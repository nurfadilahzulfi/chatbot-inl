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4\"/>
    </mc:Choice>
  </mc:AlternateContent>
  <xr:revisionPtr revIDLastSave="0" documentId="13_ncr:1_{63DD5B76-A313-4701-A41B-9467DDFA01FB}" xr6:coauthVersionLast="47" xr6:coauthVersionMax="47" xr10:uidLastSave="{00000000-0000-0000-0000-000000000000}"/>
  <bookViews>
    <workbookView xWindow="14400" yWindow="0" windowWidth="14400" windowHeight="15600" firstSheet="11" activeTab="16" xr2:uid="{00000000-000D-0000-FFFF-FFFF00000000}"/>
  </bookViews>
  <sheets>
    <sheet name="September - 2024" sheetId="6" r:id="rId1"/>
    <sheet name="SUMMARY HPP " sheetId="19" state="hidden" r:id="rId2"/>
    <sheet name="HPP REF " sheetId="17" state="hidden" r:id="rId3"/>
    <sheet name="HPP FRACT" sheetId="18" state="hidden" r:id="rId4"/>
    <sheet name="AMOR" sheetId="24" state="hidden" r:id="rId5"/>
    <sheet name="DEP" sheetId="23" state="hidden" r:id="rId6"/>
    <sheet name="MTC" sheetId="20" state="hidden" r:id="rId7"/>
    <sheet name="LOG" sheetId="21" state="hidden" r:id="rId8"/>
    <sheet name="OH" sheetId="22" state="hidden" r:id="rId9"/>
    <sheet name="Convert Gas" sheetId="3" r:id="rId10"/>
    <sheet name="OIP Refinery" sheetId="10" r:id="rId11"/>
    <sheet name="OIP Fract" sheetId="4" r:id="rId12"/>
    <sheet name="Time Sheet Bulanan" sheetId="25" state="hidden" r:id="rId13"/>
    <sheet name="2024" sheetId="16" state="hidden" r:id="rId14"/>
    <sheet name="Detail Septembe OIP Akhir Plant" sheetId="26" state="hidden" r:id="rId15"/>
    <sheet name="Prod" sheetId="28" r:id="rId16"/>
    <sheet name="Utility" sheetId="29" r:id="rId17"/>
    <sheet name="Qty cons analysis" sheetId="30" r:id="rId18"/>
    <sheet name="Downtime Ref September" sheetId="32" state="hidden" r:id="rId19"/>
    <sheet name="Downtime Fract September" sheetId="33" state="hidden" r:id="rId20"/>
    <sheet name="Downtime Ref" sheetId="31" state="hidden" r:id="rId21"/>
    <sheet name="Flow Meter" sheetId="8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</externalReferences>
  <definedNames>
    <definedName name="_xlnm.Print_Area" localSheetId="14">'Detail Septembe OIP Akhir Plant'!$B$1:$P$45</definedName>
    <definedName name="_xlnm.Print_Area" localSheetId="19">'Downtime Fract September'!$F$1:$K$55</definedName>
    <definedName name="_xlnm.Print_Area" localSheetId="20">'Downtime Ref'!$F$2:$K$51</definedName>
    <definedName name="_xlnm.Print_Area" localSheetId="18">'Downtime Ref September'!$F$2:$K$52</definedName>
    <definedName name="_xlnm.Print_Area" localSheetId="15">Prod!$B$2:$H$83</definedName>
    <definedName name="_xlnm.Print_Area" localSheetId="17">'Qty cons analysis'!$D$2:$I$53</definedName>
    <definedName name="_xlnm.Print_Area" localSheetId="0">'September - 2024'!$A$64:$VVL$268</definedName>
    <definedName name="_xlnm.Print_Area" localSheetId="16">Utility!$D$1:$L$56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30" i="6" l="1"/>
  <c r="J7" i="33"/>
  <c r="I52" i="33"/>
  <c r="I37" i="33"/>
  <c r="G37" i="33"/>
  <c r="M36" i="33"/>
  <c r="K36" i="33"/>
  <c r="J36" i="33"/>
  <c r="M35" i="33"/>
  <c r="K35" i="33"/>
  <c r="J35" i="33"/>
  <c r="I53" i="33" s="1"/>
  <c r="M34" i="33"/>
  <c r="K34" i="33"/>
  <c r="J34" i="33"/>
  <c r="M33" i="33"/>
  <c r="K33" i="33"/>
  <c r="J33" i="33"/>
  <c r="M32" i="33"/>
  <c r="K32" i="33"/>
  <c r="J32" i="33"/>
  <c r="M31" i="33"/>
  <c r="K31" i="33"/>
  <c r="J31" i="33"/>
  <c r="M30" i="33"/>
  <c r="K30" i="33"/>
  <c r="J30" i="33"/>
  <c r="M29" i="33"/>
  <c r="K29" i="33"/>
  <c r="J29" i="33"/>
  <c r="M28" i="33"/>
  <c r="K28" i="33"/>
  <c r="J28" i="33"/>
  <c r="M27" i="33"/>
  <c r="K27" i="33"/>
  <c r="J27" i="33"/>
  <c r="M26" i="33"/>
  <c r="K26" i="33"/>
  <c r="J26" i="33"/>
  <c r="M25" i="33"/>
  <c r="K25" i="33"/>
  <c r="J25" i="33"/>
  <c r="M24" i="33"/>
  <c r="K24" i="33"/>
  <c r="J24" i="33"/>
  <c r="M23" i="33"/>
  <c r="K23" i="33"/>
  <c r="J23" i="33"/>
  <c r="I50" i="33" s="1"/>
  <c r="M22" i="33"/>
  <c r="K22" i="33"/>
  <c r="J22" i="33"/>
  <c r="M21" i="33"/>
  <c r="K21" i="33"/>
  <c r="J21" i="33"/>
  <c r="M20" i="33"/>
  <c r="K20" i="33"/>
  <c r="J20" i="33"/>
  <c r="M19" i="33"/>
  <c r="K19" i="33"/>
  <c r="J19" i="33"/>
  <c r="M18" i="33"/>
  <c r="K18" i="33"/>
  <c r="J18" i="33"/>
  <c r="M17" i="33"/>
  <c r="K17" i="33"/>
  <c r="J17" i="33"/>
  <c r="M16" i="33"/>
  <c r="K16" i="33"/>
  <c r="J16" i="33"/>
  <c r="I51" i="33" s="1"/>
  <c r="M15" i="33"/>
  <c r="K15" i="33"/>
  <c r="J15" i="33"/>
  <c r="M14" i="33"/>
  <c r="K14" i="33"/>
  <c r="J14" i="33"/>
  <c r="M13" i="33"/>
  <c r="K13" i="33"/>
  <c r="J13" i="33"/>
  <c r="M12" i="33"/>
  <c r="K12" i="33"/>
  <c r="J12" i="33"/>
  <c r="M11" i="33"/>
  <c r="K11" i="33"/>
  <c r="J11" i="33"/>
  <c r="M10" i="33"/>
  <c r="K10" i="33"/>
  <c r="J10" i="33"/>
  <c r="M9" i="33"/>
  <c r="K9" i="33"/>
  <c r="J9" i="33"/>
  <c r="M8" i="33"/>
  <c r="K8" i="33"/>
  <c r="J8" i="33"/>
  <c r="AR7" i="33"/>
  <c r="AP7" i="33"/>
  <c r="AL7" i="33"/>
  <c r="AK7" i="33"/>
  <c r="AI7" i="33"/>
  <c r="AC7" i="33"/>
  <c r="AB7" i="33"/>
  <c r="AA7" i="33"/>
  <c r="Z7" i="33"/>
  <c r="R7" i="33"/>
  <c r="Q7" i="33"/>
  <c r="P7" i="33"/>
  <c r="O7" i="33"/>
  <c r="M7" i="33"/>
  <c r="M37" i="33" s="1"/>
  <c r="K7" i="33"/>
  <c r="I49" i="33"/>
  <c r="I54" i="33" s="1"/>
  <c r="I37" i="32"/>
  <c r="G37" i="32"/>
  <c r="M36" i="32"/>
  <c r="K36" i="32"/>
  <c r="J36" i="32"/>
  <c r="M35" i="32"/>
  <c r="K35" i="32"/>
  <c r="J35" i="32"/>
  <c r="M34" i="32"/>
  <c r="K34" i="32"/>
  <c r="J34" i="32"/>
  <c r="M33" i="32"/>
  <c r="K33" i="32"/>
  <c r="J33" i="32"/>
  <c r="M32" i="32"/>
  <c r="K32" i="32"/>
  <c r="J32" i="32"/>
  <c r="M31" i="32"/>
  <c r="K31" i="32"/>
  <c r="J31" i="32"/>
  <c r="M30" i="32"/>
  <c r="K30" i="32"/>
  <c r="J30" i="32"/>
  <c r="M29" i="32"/>
  <c r="K29" i="32"/>
  <c r="J29" i="32"/>
  <c r="M28" i="32"/>
  <c r="K28" i="32"/>
  <c r="J28" i="32"/>
  <c r="I50" i="32" s="1"/>
  <c r="M27" i="32"/>
  <c r="K27" i="32"/>
  <c r="J27" i="32"/>
  <c r="M26" i="32"/>
  <c r="K26" i="32"/>
  <c r="J26" i="32"/>
  <c r="M25" i="32"/>
  <c r="K25" i="32"/>
  <c r="J25" i="32"/>
  <c r="M24" i="32"/>
  <c r="K24" i="32"/>
  <c r="J24" i="32"/>
  <c r="M23" i="32"/>
  <c r="K23" i="32"/>
  <c r="J23" i="32"/>
  <c r="M22" i="32"/>
  <c r="K22" i="32"/>
  <c r="J22" i="32"/>
  <c r="M21" i="32"/>
  <c r="K21" i="32"/>
  <c r="J21" i="32"/>
  <c r="M20" i="32"/>
  <c r="K20" i="32"/>
  <c r="J20" i="32"/>
  <c r="M19" i="32"/>
  <c r="K19" i="32"/>
  <c r="J19" i="32"/>
  <c r="M18" i="32"/>
  <c r="K18" i="32"/>
  <c r="J18" i="32"/>
  <c r="M17" i="32"/>
  <c r="K17" i="32"/>
  <c r="J17" i="32"/>
  <c r="M16" i="32"/>
  <c r="K16" i="32"/>
  <c r="J16" i="32"/>
  <c r="M15" i="32"/>
  <c r="K15" i="32"/>
  <c r="J15" i="32"/>
  <c r="M14" i="32"/>
  <c r="K14" i="32"/>
  <c r="J14" i="32"/>
  <c r="M13" i="32"/>
  <c r="K13" i="32"/>
  <c r="J13" i="32"/>
  <c r="M12" i="32"/>
  <c r="K12" i="32"/>
  <c r="J12" i="32"/>
  <c r="M11" i="32"/>
  <c r="K11" i="32"/>
  <c r="J11" i="32"/>
  <c r="M10" i="32"/>
  <c r="K10" i="32"/>
  <c r="J10" i="32"/>
  <c r="J37" i="32" s="1"/>
  <c r="M9" i="32"/>
  <c r="K9" i="32"/>
  <c r="J9" i="32"/>
  <c r="M8" i="32"/>
  <c r="K8" i="32"/>
  <c r="J8" i="32"/>
  <c r="AR7" i="32"/>
  <c r="AP7" i="32"/>
  <c r="AL7" i="32"/>
  <c r="AK7" i="32"/>
  <c r="AI7" i="32"/>
  <c r="AC7" i="32"/>
  <c r="AB7" i="32"/>
  <c r="AA7" i="32"/>
  <c r="Z7" i="32"/>
  <c r="R7" i="32"/>
  <c r="Q7" i="32"/>
  <c r="P7" i="32"/>
  <c r="O7" i="32"/>
  <c r="M7" i="32"/>
  <c r="M37" i="32" s="1"/>
  <c r="K7" i="32"/>
  <c r="J7" i="32"/>
  <c r="I43" i="32" s="1"/>
  <c r="L32" i="26"/>
  <c r="N30" i="26"/>
  <c r="I51" i="32" l="1"/>
  <c r="J37" i="33"/>
  <c r="AJ74" i="6"/>
  <c r="K36" i="29" l="1"/>
  <c r="K28" i="29"/>
  <c r="K19" i="29"/>
  <c r="G31" i="28" l="1"/>
  <c r="G40" i="28"/>
  <c r="G41" i="28"/>
  <c r="G42" i="28"/>
  <c r="G43" i="28"/>
  <c r="G49" i="28"/>
  <c r="G50" i="28"/>
  <c r="G55" i="28"/>
  <c r="G56" i="28"/>
  <c r="G60" i="28"/>
  <c r="G61" i="28"/>
  <c r="G66" i="28" l="1"/>
  <c r="E20" i="28" l="1"/>
  <c r="E21" i="28"/>
  <c r="I47" i="31" l="1"/>
  <c r="M38" i="31"/>
  <c r="I38" i="31"/>
  <c r="G37" i="31"/>
  <c r="J37" i="31" s="1"/>
  <c r="G36" i="31"/>
  <c r="K36" i="31" s="1"/>
  <c r="G35" i="31"/>
  <c r="M35" i="31" s="1"/>
  <c r="G34" i="31"/>
  <c r="K34" i="31" s="1"/>
  <c r="G33" i="31"/>
  <c r="J33" i="31" s="1"/>
  <c r="G32" i="31"/>
  <c r="M32" i="31" s="1"/>
  <c r="G31" i="31"/>
  <c r="J31" i="31" s="1"/>
  <c r="G30" i="31"/>
  <c r="M30" i="31" s="1"/>
  <c r="G29" i="31"/>
  <c r="J29" i="31" s="1"/>
  <c r="G28" i="31"/>
  <c r="M28" i="31" s="1"/>
  <c r="G27" i="31"/>
  <c r="J27" i="31" s="1"/>
  <c r="G26" i="31"/>
  <c r="M26" i="31" s="1"/>
  <c r="G25" i="31"/>
  <c r="J25" i="31" s="1"/>
  <c r="G24" i="31"/>
  <c r="M24" i="31" s="1"/>
  <c r="G23" i="31"/>
  <c r="J23" i="31" s="1"/>
  <c r="G22" i="31"/>
  <c r="M22" i="31" s="1"/>
  <c r="G21" i="31"/>
  <c r="J21" i="31" s="1"/>
  <c r="G20" i="31"/>
  <c r="M20" i="31" s="1"/>
  <c r="G19" i="31"/>
  <c r="J19" i="31" s="1"/>
  <c r="G18" i="31"/>
  <c r="M18" i="31" s="1"/>
  <c r="G17" i="31"/>
  <c r="J17" i="31" s="1"/>
  <c r="G16" i="31"/>
  <c r="M16" i="31" s="1"/>
  <c r="G15" i="31"/>
  <c r="J15" i="31" s="1"/>
  <c r="G14" i="31"/>
  <c r="M14" i="31" s="1"/>
  <c r="G13" i="31"/>
  <c r="J13" i="31" s="1"/>
  <c r="G12" i="31"/>
  <c r="M12" i="31" s="1"/>
  <c r="G11" i="31"/>
  <c r="J11" i="31" s="1"/>
  <c r="G10" i="31"/>
  <c r="M10" i="31" s="1"/>
  <c r="G9" i="31"/>
  <c r="J9" i="31" s="1"/>
  <c r="G8" i="31"/>
  <c r="M8" i="31" s="1"/>
  <c r="G7" i="31"/>
  <c r="J7" i="31" s="1"/>
  <c r="F4" i="31"/>
  <c r="AJ18" i="6"/>
  <c r="AJ42" i="6"/>
  <c r="AJ43" i="6"/>
  <c r="AJ23" i="6"/>
  <c r="AJ19" i="6"/>
  <c r="AJ9" i="6"/>
  <c r="AD260" i="6"/>
  <c r="AD258" i="6"/>
  <c r="AD255" i="6"/>
  <c r="AD249" i="6"/>
  <c r="AD247" i="6"/>
  <c r="AD245" i="6"/>
  <c r="AD238" i="6"/>
  <c r="AD236" i="6"/>
  <c r="AD233" i="6"/>
  <c r="AD239" i="6" s="1"/>
  <c r="AD240" i="6" s="1"/>
  <c r="AD230" i="6"/>
  <c r="AD231" i="6" s="1"/>
  <c r="AD74" i="6"/>
  <c r="AD71" i="6"/>
  <c r="AD72" i="6" s="1"/>
  <c r="AD70" i="6"/>
  <c r="AD61" i="6"/>
  <c r="AD60" i="6"/>
  <c r="AD57" i="6"/>
  <c r="AD54" i="6"/>
  <c r="AD53" i="6"/>
  <c r="AD52" i="6"/>
  <c r="AD46" i="6"/>
  <c r="AD63" i="6" s="1"/>
  <c r="AD41" i="6"/>
  <c r="AD37" i="6"/>
  <c r="AD25" i="6" s="1"/>
  <c r="AD26" i="6" s="1"/>
  <c r="AD32" i="6"/>
  <c r="AD56" i="6" s="1"/>
  <c r="AD28" i="6"/>
  <c r="AD55" i="6" s="1"/>
  <c r="AD12" i="6"/>
  <c r="AD68" i="6" s="1"/>
  <c r="AD11" i="6"/>
  <c r="AD66" i="6" s="1"/>
  <c r="AD8" i="6"/>
  <c r="AD7" i="6"/>
  <c r="AD62" i="6" l="1"/>
  <c r="K35" i="31"/>
  <c r="J36" i="31"/>
  <c r="K37" i="31"/>
  <c r="G38" i="31"/>
  <c r="J35" i="31"/>
  <c r="K7" i="31"/>
  <c r="K9" i="31"/>
  <c r="K11" i="31"/>
  <c r="K13" i="31"/>
  <c r="K15" i="31"/>
  <c r="K17" i="31"/>
  <c r="K19" i="31"/>
  <c r="K21" i="31"/>
  <c r="K23" i="31"/>
  <c r="K25" i="31"/>
  <c r="K27" i="31"/>
  <c r="K29" i="31"/>
  <c r="K31" i="31"/>
  <c r="K33" i="31"/>
  <c r="M7" i="31"/>
  <c r="M9" i="31"/>
  <c r="M11" i="31"/>
  <c r="M13" i="31"/>
  <c r="M15" i="31"/>
  <c r="M17" i="31"/>
  <c r="M19" i="31"/>
  <c r="M21" i="31"/>
  <c r="M23" i="31"/>
  <c r="M25" i="31"/>
  <c r="M27" i="31"/>
  <c r="M29" i="31"/>
  <c r="M31" i="31"/>
  <c r="M33" i="31"/>
  <c r="J8" i="31"/>
  <c r="J10" i="31"/>
  <c r="J12" i="31"/>
  <c r="J14" i="31"/>
  <c r="J16" i="31"/>
  <c r="J18" i="31"/>
  <c r="J20" i="31"/>
  <c r="J22" i="31"/>
  <c r="J24" i="31"/>
  <c r="J26" i="31"/>
  <c r="J28" i="31"/>
  <c r="J30" i="31"/>
  <c r="J32" i="31"/>
  <c r="J34" i="31"/>
  <c r="K8" i="31"/>
  <c r="K10" i="31"/>
  <c r="K12" i="31"/>
  <c r="K14" i="31"/>
  <c r="K16" i="31"/>
  <c r="K18" i="31"/>
  <c r="K20" i="31"/>
  <c r="K22" i="31"/>
  <c r="K24" i="31"/>
  <c r="K26" i="31"/>
  <c r="K28" i="31"/>
  <c r="K30" i="31"/>
  <c r="K32" i="31"/>
  <c r="AD58" i="6"/>
  <c r="AD59" i="6"/>
  <c r="I44" i="31" l="1"/>
  <c r="I48" i="31" s="1"/>
  <c r="J38" i="31"/>
  <c r="AJ7" i="6"/>
  <c r="AJ237" i="6" l="1"/>
  <c r="N23" i="26"/>
  <c r="AB33" i="26"/>
  <c r="H32" i="26"/>
  <c r="H31" i="26"/>
  <c r="H30" i="26"/>
  <c r="N29" i="26"/>
  <c r="H29" i="26"/>
  <c r="N28" i="26"/>
  <c r="H28" i="26"/>
  <c r="N27" i="26"/>
  <c r="H27" i="26"/>
  <c r="N26" i="26"/>
  <c r="H26" i="26"/>
  <c r="H25" i="26"/>
  <c r="N25" i="26"/>
  <c r="H24" i="26"/>
  <c r="N24" i="26"/>
  <c r="H23" i="26"/>
  <c r="N22" i="26"/>
  <c r="H22" i="26"/>
  <c r="N21" i="26"/>
  <c r="H21" i="26"/>
  <c r="N20" i="26"/>
  <c r="H20" i="26"/>
  <c r="N19" i="26"/>
  <c r="H19" i="26"/>
  <c r="N18" i="26"/>
  <c r="H18" i="26"/>
  <c r="N17" i="26"/>
  <c r="H17" i="26"/>
  <c r="N16" i="26"/>
  <c r="H16" i="26"/>
  <c r="N15" i="26"/>
  <c r="H15" i="26"/>
  <c r="N14" i="26"/>
  <c r="H14" i="26"/>
  <c r="N13" i="26"/>
  <c r="H13" i="26"/>
  <c r="N12" i="26"/>
  <c r="H12" i="26"/>
  <c r="E35" i="26" s="1"/>
  <c r="N11" i="26"/>
  <c r="H11" i="26"/>
  <c r="H33" i="26" l="1"/>
  <c r="E36" i="26" s="1"/>
  <c r="L33" i="26"/>
  <c r="F39" i="16" l="1"/>
  <c r="E38" i="3"/>
  <c r="F38" i="3" s="1"/>
  <c r="H38" i="3" s="1"/>
  <c r="J38" i="3" s="1"/>
  <c r="AI29" i="6"/>
  <c r="K38" i="3" l="1"/>
  <c r="N38" i="3" s="1"/>
  <c r="M38" i="3"/>
  <c r="V19" i="6"/>
  <c r="AI7" i="6" l="1"/>
  <c r="AI18" i="6" l="1"/>
  <c r="AI237" i="6" l="1"/>
  <c r="AI43" i="6"/>
  <c r="AI23" i="6"/>
  <c r="AI28" i="6"/>
  <c r="AI14" i="6"/>
  <c r="AI13" i="6"/>
  <c r="AH23" i="6"/>
  <c r="AH7" i="6"/>
  <c r="T249" i="6" l="1"/>
  <c r="AH235" i="6"/>
  <c r="AH249" i="6"/>
  <c r="AG258" i="6"/>
  <c r="AH258" i="6"/>
  <c r="AI258" i="6"/>
  <c r="AJ258" i="6"/>
  <c r="AK258" i="6"/>
  <c r="AH14" i="6"/>
  <c r="AH13" i="6"/>
  <c r="AH18" i="6"/>
  <c r="AG7" i="6"/>
  <c r="AG18" i="6"/>
  <c r="AG13" i="6"/>
  <c r="AG23" i="6"/>
  <c r="AF235" i="6"/>
  <c r="AF258" i="6"/>
  <c r="AF30" i="6"/>
  <c r="AF29" i="6"/>
  <c r="AF23" i="6"/>
  <c r="AF13" i="6"/>
  <c r="AF7" i="6"/>
  <c r="AF18" i="6" l="1"/>
  <c r="AM250" i="6"/>
  <c r="AM6" i="6"/>
  <c r="F9" i="28" s="1"/>
  <c r="G9" i="28" s="1"/>
  <c r="AE235" i="6"/>
  <c r="AE237" i="6"/>
  <c r="AE258" i="6"/>
  <c r="AE249" i="6"/>
  <c r="AE22" i="6"/>
  <c r="AE18" i="6" s="1"/>
  <c r="AE30" i="6"/>
  <c r="AE29" i="6"/>
  <c r="AE19" i="6"/>
  <c r="AE9" i="6"/>
  <c r="AE7" i="6"/>
  <c r="AC46" i="6"/>
  <c r="AE23" i="6" l="1"/>
  <c r="AE247" i="6" s="1"/>
  <c r="AM73" i="6"/>
  <c r="AC7" i="6"/>
  <c r="Y7" i="6" l="1"/>
  <c r="AC235" i="6"/>
  <c r="AC260" i="6"/>
  <c r="AE260" i="6"/>
  <c r="AF260" i="6"/>
  <c r="AG260" i="6"/>
  <c r="AH260" i="6"/>
  <c r="AI260" i="6"/>
  <c r="AJ260" i="6"/>
  <c r="AK260" i="6"/>
  <c r="AC258" i="6"/>
  <c r="Z23" i="6"/>
  <c r="W43" i="6"/>
  <c r="AB9" i="6"/>
  <c r="AB255" i="6"/>
  <c r="AA255" i="6"/>
  <c r="AB249" i="6"/>
  <c r="AA249" i="6"/>
  <c r="AB235" i="6"/>
  <c r="AB239" i="6" s="1"/>
  <c r="AA235" i="6"/>
  <c r="AA239" i="6" s="1"/>
  <c r="AB230" i="6"/>
  <c r="AB231" i="6" s="1"/>
  <c r="AA230" i="6"/>
  <c r="AA231" i="6" s="1"/>
  <c r="AB74" i="6"/>
  <c r="AA74" i="6"/>
  <c r="AB61" i="6"/>
  <c r="AA61" i="6"/>
  <c r="AB60" i="6"/>
  <c r="AA60" i="6"/>
  <c r="AB46" i="6"/>
  <c r="AB62" i="6" s="1"/>
  <c r="AA46" i="6"/>
  <c r="AA62" i="6" s="1"/>
  <c r="AB41" i="6"/>
  <c r="AA41" i="6"/>
  <c r="AB37" i="6"/>
  <c r="AB58" i="6" s="1"/>
  <c r="AA37" i="6"/>
  <c r="AA58" i="6" s="1"/>
  <c r="AB32" i="6"/>
  <c r="AB57" i="6" s="1"/>
  <c r="AA32" i="6"/>
  <c r="AA57" i="6" s="1"/>
  <c r="AB30" i="6"/>
  <c r="AA30" i="6"/>
  <c r="AB29" i="6"/>
  <c r="AA29" i="6"/>
  <c r="AB23" i="6"/>
  <c r="AB247" i="6" s="1"/>
  <c r="AA23" i="6"/>
  <c r="AA247" i="6" s="1"/>
  <c r="AB19" i="6"/>
  <c r="AA19" i="6"/>
  <c r="AB18" i="6"/>
  <c r="AA18" i="6"/>
  <c r="AA14" i="6"/>
  <c r="AB12" i="6"/>
  <c r="AB68" i="6" s="1"/>
  <c r="AA12" i="6"/>
  <c r="AA68" i="6" s="1"/>
  <c r="AA9" i="6"/>
  <c r="AA11" i="6" s="1"/>
  <c r="AA66" i="6" s="1"/>
  <c r="AB7" i="6"/>
  <c r="AA7" i="6"/>
  <c r="AA53" i="6" l="1"/>
  <c r="AA59" i="6"/>
  <c r="AA8" i="6"/>
  <c r="AB11" i="6"/>
  <c r="AB66" i="6" s="1"/>
  <c r="AB8" i="6"/>
  <c r="AA28" i="6"/>
  <c r="AA25" i="6" s="1"/>
  <c r="AA26" i="6" s="1"/>
  <c r="AA63" i="6"/>
  <c r="AA236" i="6"/>
  <c r="AA240" i="6"/>
  <c r="AB63" i="6"/>
  <c r="AB240" i="6"/>
  <c r="AB59" i="6"/>
  <c r="AA71" i="6"/>
  <c r="AA72" i="6" s="1"/>
  <c r="AB28" i="6"/>
  <c r="AB25" i="6" s="1"/>
  <c r="AB26" i="6" s="1"/>
  <c r="AA52" i="6"/>
  <c r="AB52" i="6"/>
  <c r="AB260" i="6"/>
  <c r="AB71" i="6"/>
  <c r="AB72" i="6" s="1"/>
  <c r="AB236" i="6"/>
  <c r="AB53" i="6"/>
  <c r="AB54" i="6"/>
  <c r="AA56" i="6"/>
  <c r="AB56" i="6"/>
  <c r="AA245" i="6"/>
  <c r="AA258" i="6"/>
  <c r="AB245" i="6"/>
  <c r="AB258" i="6"/>
  <c r="AA54" i="6"/>
  <c r="AA70" i="6"/>
  <c r="AA238" i="6"/>
  <c r="AA260" i="6"/>
  <c r="AB70" i="6"/>
  <c r="AB238" i="6"/>
  <c r="AA55" i="6" l="1"/>
  <c r="AB55" i="6"/>
  <c r="Z255" i="6"/>
  <c r="Z249" i="6"/>
  <c r="Z239" i="6"/>
  <c r="Z240" i="6" s="1"/>
  <c r="Z230" i="6"/>
  <c r="Z231" i="6" s="1"/>
  <c r="Z74" i="6"/>
  <c r="Z61" i="6"/>
  <c r="Z60" i="6"/>
  <c r="Z46" i="6"/>
  <c r="Z63" i="6" s="1"/>
  <c r="Z41" i="6"/>
  <c r="Z37" i="6"/>
  <c r="Z58" i="6" s="1"/>
  <c r="Z32" i="6"/>
  <c r="Z57" i="6" s="1"/>
  <c r="Z30" i="6"/>
  <c r="Z29" i="6"/>
  <c r="Z54" i="6" s="1"/>
  <c r="Z238" i="6"/>
  <c r="Z19" i="6"/>
  <c r="Z18" i="6"/>
  <c r="Z13" i="6"/>
  <c r="Z12" i="6"/>
  <c r="Z68" i="6" s="1"/>
  <c r="Z9" i="6"/>
  <c r="Z260" i="6" s="1"/>
  <c r="Z7" i="6"/>
  <c r="Z53" i="6" l="1"/>
  <c r="Z71" i="6"/>
  <c r="Z72" i="6" s="1"/>
  <c r="Z52" i="6"/>
  <c r="Z245" i="6"/>
  <c r="Z70" i="6"/>
  <c r="Z8" i="6"/>
  <c r="Z59" i="6"/>
  <c r="Z247" i="6"/>
  <c r="Z11" i="6"/>
  <c r="Z66" i="6" s="1"/>
  <c r="Z28" i="6"/>
  <c r="Z25" i="6" s="1"/>
  <c r="Z26" i="6" s="1"/>
  <c r="Z62" i="6"/>
  <c r="Z56" i="6"/>
  <c r="Z236" i="6"/>
  <c r="Z258" i="6"/>
  <c r="Z55" i="6" l="1"/>
  <c r="S255" i="6"/>
  <c r="S249" i="6"/>
  <c r="S237" i="6"/>
  <c r="S230" i="6"/>
  <c r="S231" i="6" s="1"/>
  <c r="S74" i="6"/>
  <c r="S61" i="6"/>
  <c r="S60" i="6"/>
  <c r="S46" i="6"/>
  <c r="S63" i="6" s="1"/>
  <c r="S41" i="6"/>
  <c r="S37" i="6"/>
  <c r="S59" i="6" s="1"/>
  <c r="S32" i="6"/>
  <c r="S56" i="6" s="1"/>
  <c r="S30" i="6"/>
  <c r="S29" i="6"/>
  <c r="S54" i="6" s="1"/>
  <c r="S23" i="6"/>
  <c r="S247" i="6" s="1"/>
  <c r="S19" i="6"/>
  <c r="S53" i="6" s="1"/>
  <c r="S17" i="6"/>
  <c r="S18" i="6" s="1"/>
  <c r="S13" i="6"/>
  <c r="S12" i="6"/>
  <c r="S68" i="6" s="1"/>
  <c r="S9" i="6"/>
  <c r="S236" i="6" s="1"/>
  <c r="S7" i="6"/>
  <c r="S260" i="6" l="1"/>
  <c r="S258" i="6"/>
  <c r="S57" i="6"/>
  <c r="S71" i="6"/>
  <c r="S72" i="6" s="1"/>
  <c r="S52" i="6"/>
  <c r="S8" i="6"/>
  <c r="S58" i="6"/>
  <c r="S70" i="6"/>
  <c r="S238" i="6"/>
  <c r="S239" i="6"/>
  <c r="S240" i="6" s="1"/>
  <c r="S11" i="6"/>
  <c r="S66" i="6" s="1"/>
  <c r="S28" i="6"/>
  <c r="S25" i="6" s="1"/>
  <c r="S26" i="6" s="1"/>
  <c r="S245" i="6"/>
  <c r="S62" i="6"/>
  <c r="S55" i="6" l="1"/>
  <c r="Y30" i="6" l="1"/>
  <c r="Y23" i="6"/>
  <c r="Y18" i="6"/>
  <c r="Y237" i="6"/>
  <c r="Y29" i="6"/>
  <c r="Y19" i="6"/>
  <c r="Y9" i="6"/>
  <c r="Y260" i="6" s="1"/>
  <c r="Y258" i="6" l="1"/>
  <c r="X18" i="6"/>
  <c r="X14" i="6"/>
  <c r="X13" i="6"/>
  <c r="N12" i="6"/>
  <c r="M12" i="6"/>
  <c r="X23" i="6"/>
  <c r="X30" i="6"/>
  <c r="X29" i="6"/>
  <c r="X19" i="6"/>
  <c r="X9" i="6"/>
  <c r="X260" i="6" s="1"/>
  <c r="N255" i="6"/>
  <c r="M255" i="6"/>
  <c r="N249" i="6"/>
  <c r="M249" i="6"/>
  <c r="N239" i="6"/>
  <c r="N240" i="6" s="1"/>
  <c r="N237" i="6"/>
  <c r="M235" i="6"/>
  <c r="N230" i="6"/>
  <c r="N231" i="6" s="1"/>
  <c r="M230" i="6"/>
  <c r="M231" i="6" s="1"/>
  <c r="N74" i="6"/>
  <c r="M74" i="6"/>
  <c r="N54" i="6"/>
  <c r="M54" i="6"/>
  <c r="N46" i="6"/>
  <c r="N63" i="6" s="1"/>
  <c r="M46" i="6"/>
  <c r="M63" i="6" s="1"/>
  <c r="N43" i="6"/>
  <c r="M43" i="6"/>
  <c r="N42" i="6"/>
  <c r="M42" i="6"/>
  <c r="M60" i="6" s="1"/>
  <c r="N37" i="6"/>
  <c r="N59" i="6" s="1"/>
  <c r="M37" i="6"/>
  <c r="M59" i="6" s="1"/>
  <c r="N32" i="6"/>
  <c r="N56" i="6" s="1"/>
  <c r="M32" i="6"/>
  <c r="M57" i="6" s="1"/>
  <c r="N28" i="6"/>
  <c r="M28" i="6"/>
  <c r="N23" i="6"/>
  <c r="N247" i="6" s="1"/>
  <c r="M23" i="6"/>
  <c r="M247" i="6" s="1"/>
  <c r="N19" i="6"/>
  <c r="M19" i="6"/>
  <c r="N18" i="6"/>
  <c r="M18" i="6"/>
  <c r="M13" i="6"/>
  <c r="N68" i="6"/>
  <c r="M68" i="6"/>
  <c r="N9" i="6"/>
  <c r="N11" i="6" s="1"/>
  <c r="N66" i="6" s="1"/>
  <c r="M9" i="6"/>
  <c r="M258" i="6" s="1"/>
  <c r="N7" i="6"/>
  <c r="M7" i="6"/>
  <c r="M56" i="6" l="1"/>
  <c r="M71" i="6"/>
  <c r="M72" i="6" s="1"/>
  <c r="M41" i="6"/>
  <c r="N61" i="6"/>
  <c r="M61" i="6"/>
  <c r="N71" i="6"/>
  <c r="N72" i="6" s="1"/>
  <c r="M53" i="6"/>
  <c r="N8" i="6"/>
  <c r="M236" i="6"/>
  <c r="N60" i="6"/>
  <c r="M11" i="6"/>
  <c r="M66" i="6" s="1"/>
  <c r="M238" i="6"/>
  <c r="N258" i="6"/>
  <c r="M70" i="6"/>
  <c r="N260" i="6"/>
  <c r="X245" i="6"/>
  <c r="M8" i="6"/>
  <c r="M245" i="6"/>
  <c r="M260" i="6"/>
  <c r="X258" i="6"/>
  <c r="N53" i="6"/>
  <c r="M25" i="6"/>
  <c r="M26" i="6" s="1"/>
  <c r="N236" i="6"/>
  <c r="N41" i="6"/>
  <c r="N25" i="6" s="1"/>
  <c r="N26" i="6" s="1"/>
  <c r="N52" i="6"/>
  <c r="N57" i="6"/>
  <c r="N245" i="6"/>
  <c r="M58" i="6"/>
  <c r="M62" i="6"/>
  <c r="N58" i="6"/>
  <c r="N62" i="6"/>
  <c r="N70" i="6"/>
  <c r="N238" i="6"/>
  <c r="M52" i="6"/>
  <c r="M239" i="6"/>
  <c r="M240" i="6"/>
  <c r="X7" i="6" l="1"/>
  <c r="M45" i="16" l="1"/>
  <c r="M46" i="16"/>
  <c r="K13" i="18" l="1"/>
  <c r="K10" i="18"/>
  <c r="K11" i="18" s="1"/>
  <c r="K8" i="18"/>
  <c r="F21" i="18"/>
  <c r="F20" i="18"/>
  <c r="F18" i="18"/>
  <c r="F17" i="18"/>
  <c r="F16" i="18"/>
  <c r="F15" i="18"/>
  <c r="D44" i="17"/>
  <c r="D43" i="17"/>
  <c r="D41" i="17"/>
  <c r="D40" i="17"/>
  <c r="G25" i="19"/>
  <c r="G24" i="19"/>
  <c r="G23" i="19"/>
  <c r="G22" i="19"/>
  <c r="G17" i="19"/>
  <c r="K13" i="17"/>
  <c r="K12" i="17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I6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K6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I6" i="22"/>
  <c r="B20" i="21"/>
  <c r="B21" i="21" s="1"/>
  <c r="B22" i="21" s="1"/>
  <c r="B23" i="21" s="1"/>
  <c r="B24" i="21" s="1"/>
  <c r="B19" i="21"/>
  <c r="D15" i="21"/>
  <c r="I14" i="21"/>
  <c r="I13" i="21"/>
  <c r="I12" i="21"/>
  <c r="I11" i="21"/>
  <c r="K6" i="21"/>
  <c r="C17" i="20"/>
  <c r="F13" i="20"/>
  <c r="G26" i="19" l="1"/>
  <c r="F34" i="17"/>
  <c r="T260" i="6"/>
  <c r="U260" i="6"/>
  <c r="V260" i="6"/>
  <c r="T258" i="6"/>
  <c r="U258" i="6"/>
  <c r="V258" i="6"/>
  <c r="AM21" i="6"/>
  <c r="F25" i="19"/>
  <c r="F24" i="19"/>
  <c r="F23" i="19"/>
  <c r="F22" i="19"/>
  <c r="O6" i="18"/>
  <c r="F47" i="17"/>
  <c r="F46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19" i="17"/>
  <c r="L20" i="17" s="1"/>
  <c r="L21" i="17" s="1"/>
  <c r="F10" i="17"/>
  <c r="K14" i="17"/>
  <c r="W18" i="6"/>
  <c r="W235" i="6"/>
  <c r="W19" i="6"/>
  <c r="W9" i="6"/>
  <c r="W7" i="6"/>
  <c r="W260" i="6" l="1"/>
  <c r="W245" i="6"/>
  <c r="O4" i="18"/>
  <c r="H10" i="18" s="1"/>
  <c r="H11" i="18" s="1"/>
  <c r="H13" i="18" s="1"/>
  <c r="H15" i="18" s="1"/>
  <c r="W258" i="6"/>
  <c r="W236" i="6"/>
  <c r="U7" i="6"/>
  <c r="T7" i="6"/>
  <c r="I7" i="19" l="1"/>
  <c r="H8" i="18"/>
  <c r="H17" i="18"/>
  <c r="J17" i="18" s="1"/>
  <c r="M17" i="18" s="1"/>
  <c r="H16" i="18"/>
  <c r="J15" i="18"/>
  <c r="M15" i="18" s="1"/>
  <c r="V235" i="6"/>
  <c r="V30" i="6"/>
  <c r="V29" i="6"/>
  <c r="V23" i="6"/>
  <c r="H18" i="18" l="1"/>
  <c r="J16" i="18"/>
  <c r="M16" i="18" s="1"/>
  <c r="U18" i="6"/>
  <c r="U23" i="6"/>
  <c r="U237" i="6"/>
  <c r="T235" i="6"/>
  <c r="T18" i="6"/>
  <c r="T23" i="6"/>
  <c r="H20" i="18" l="1"/>
  <c r="J18" i="18"/>
  <c r="M18" i="18" s="1"/>
  <c r="AM257" i="6"/>
  <c r="R30" i="6"/>
  <c r="R29" i="6"/>
  <c r="R23" i="6"/>
  <c r="L18" i="6"/>
  <c r="K18" i="6"/>
  <c r="J18" i="6"/>
  <c r="I18" i="6"/>
  <c r="H18" i="6"/>
  <c r="G18" i="6"/>
  <c r="O18" i="6"/>
  <c r="P18" i="6"/>
  <c r="Q18" i="6"/>
  <c r="R18" i="6"/>
  <c r="R19" i="6"/>
  <c r="R9" i="6"/>
  <c r="R7" i="6"/>
  <c r="O255" i="6"/>
  <c r="O249" i="6"/>
  <c r="O235" i="6"/>
  <c r="O230" i="6"/>
  <c r="O231" i="6" s="1"/>
  <c r="O74" i="6"/>
  <c r="O46" i="6"/>
  <c r="O63" i="6" s="1"/>
  <c r="O42" i="6"/>
  <c r="O61" i="6" s="1"/>
  <c r="O37" i="6"/>
  <c r="O59" i="6" s="1"/>
  <c r="O32" i="6"/>
  <c r="O56" i="6" s="1"/>
  <c r="O29" i="6"/>
  <c r="O28" i="6" s="1"/>
  <c r="O23" i="6"/>
  <c r="O238" i="6" s="1"/>
  <c r="O19" i="6"/>
  <c r="O14" i="6"/>
  <c r="O13" i="6"/>
  <c r="O12" i="6"/>
  <c r="O68" i="6" s="1"/>
  <c r="O9" i="6"/>
  <c r="O260" i="6" s="1"/>
  <c r="O7" i="6"/>
  <c r="L255" i="6"/>
  <c r="L249" i="6"/>
  <c r="L235" i="6"/>
  <c r="L239" i="6" s="1"/>
  <c r="L240" i="6" s="1"/>
  <c r="L230" i="6"/>
  <c r="L231" i="6" s="1"/>
  <c r="L74" i="6"/>
  <c r="L54" i="6"/>
  <c r="L46" i="6"/>
  <c r="L63" i="6" s="1"/>
  <c r="L43" i="6"/>
  <c r="L42" i="6"/>
  <c r="L37" i="6"/>
  <c r="L58" i="6" s="1"/>
  <c r="L32" i="6"/>
  <c r="L56" i="6" s="1"/>
  <c r="L28" i="6"/>
  <c r="L23" i="6"/>
  <c r="L247" i="6" s="1"/>
  <c r="L19" i="6"/>
  <c r="L14" i="6"/>
  <c r="L13" i="6"/>
  <c r="L12" i="6"/>
  <c r="L68" i="6" s="1"/>
  <c r="L9" i="6"/>
  <c r="L7" i="6"/>
  <c r="G18" i="30" l="1"/>
  <c r="H18" i="30" s="1"/>
  <c r="I38" i="29"/>
  <c r="AS18" i="6"/>
  <c r="H21" i="18"/>
  <c r="J21" i="18" s="1"/>
  <c r="M21" i="18" s="1"/>
  <c r="J20" i="18"/>
  <c r="M20" i="18" s="1"/>
  <c r="R260" i="6"/>
  <c r="R258" i="6"/>
  <c r="L245" i="6"/>
  <c r="L260" i="6"/>
  <c r="L258" i="6"/>
  <c r="O245" i="6"/>
  <c r="O258" i="6"/>
  <c r="O236" i="6"/>
  <c r="L61" i="6"/>
  <c r="O53" i="6"/>
  <c r="L52" i="6"/>
  <c r="O52" i="6"/>
  <c r="O58" i="6"/>
  <c r="O247" i="6"/>
  <c r="L53" i="6"/>
  <c r="L59" i="6"/>
  <c r="O62" i="6"/>
  <c r="L8" i="6"/>
  <c r="L71" i="6"/>
  <c r="L72" i="6" s="1"/>
  <c r="O8" i="6"/>
  <c r="L41" i="6"/>
  <c r="L25" i="6" s="1"/>
  <c r="L26" i="6" s="1"/>
  <c r="O41" i="6"/>
  <c r="O25" i="6" s="1"/>
  <c r="O26" i="6" s="1"/>
  <c r="O55" i="6"/>
  <c r="O54" i="6"/>
  <c r="O70" i="6"/>
  <c r="O239" i="6"/>
  <c r="O240" i="6" s="1"/>
  <c r="O57" i="6"/>
  <c r="O71" i="6"/>
  <c r="O72" i="6" s="1"/>
  <c r="O11" i="6"/>
  <c r="O66" i="6" s="1"/>
  <c r="O60" i="6"/>
  <c r="L57" i="6"/>
  <c r="L236" i="6"/>
  <c r="L70" i="6"/>
  <c r="L238" i="6"/>
  <c r="L60" i="6"/>
  <c r="L11" i="6"/>
  <c r="L66" i="6" s="1"/>
  <c r="L62" i="6"/>
  <c r="J38" i="29" l="1"/>
  <c r="K38" i="29"/>
  <c r="Q7" i="6"/>
  <c r="Q23" i="6"/>
  <c r="Q29" i="6"/>
  <c r="Q14" i="6"/>
  <c r="Q13" i="6"/>
  <c r="K255" i="6"/>
  <c r="K249" i="6"/>
  <c r="K237" i="6"/>
  <c r="K230" i="6"/>
  <c r="K231" i="6" s="1"/>
  <c r="K74" i="6"/>
  <c r="K54" i="6"/>
  <c r="K46" i="6"/>
  <c r="K63" i="6" s="1"/>
  <c r="K43" i="6"/>
  <c r="K42" i="6"/>
  <c r="K37" i="6"/>
  <c r="K59" i="6" s="1"/>
  <c r="K32" i="6"/>
  <c r="K56" i="6" s="1"/>
  <c r="K28" i="6"/>
  <c r="K55" i="6" s="1"/>
  <c r="K23" i="6"/>
  <c r="K247" i="6" s="1"/>
  <c r="K19" i="6"/>
  <c r="K14" i="6"/>
  <c r="K13" i="6"/>
  <c r="K12" i="6"/>
  <c r="K68" i="6" s="1"/>
  <c r="K9" i="6"/>
  <c r="K7" i="6"/>
  <c r="K236" i="6" l="1"/>
  <c r="K260" i="6"/>
  <c r="K258" i="6"/>
  <c r="K41" i="6"/>
  <c r="K25" i="6" s="1"/>
  <c r="K26" i="6" s="1"/>
  <c r="K53" i="6"/>
  <c r="K52" i="6"/>
  <c r="K57" i="6"/>
  <c r="K61" i="6"/>
  <c r="K8" i="6"/>
  <c r="K58" i="6"/>
  <c r="K70" i="6"/>
  <c r="K238" i="6"/>
  <c r="K71" i="6"/>
  <c r="K72" i="6" s="1"/>
  <c r="K239" i="6"/>
  <c r="K240" i="6" s="1"/>
  <c r="K11" i="6"/>
  <c r="K66" i="6" s="1"/>
  <c r="K60" i="6"/>
  <c r="K245" i="6"/>
  <c r="K62" i="6"/>
  <c r="Q30" i="6" l="1"/>
  <c r="Q19" i="6"/>
  <c r="Q9" i="6"/>
  <c r="Q260" i="6" l="1"/>
  <c r="Q258" i="6"/>
  <c r="P7" i="6"/>
  <c r="P30" i="6"/>
  <c r="P29" i="6"/>
  <c r="P23" i="6"/>
  <c r="P19" i="6"/>
  <c r="I255" i="6"/>
  <c r="I249" i="6"/>
  <c r="I235" i="6"/>
  <c r="I239" i="6" s="1"/>
  <c r="I240" i="6" s="1"/>
  <c r="I230" i="6"/>
  <c r="I231" i="6" s="1"/>
  <c r="I74" i="6"/>
  <c r="I54" i="6"/>
  <c r="I46" i="6"/>
  <c r="I62" i="6" s="1"/>
  <c r="I43" i="6"/>
  <c r="I42" i="6"/>
  <c r="I37" i="6"/>
  <c r="I59" i="6" s="1"/>
  <c r="I32" i="6"/>
  <c r="I56" i="6" s="1"/>
  <c r="I28" i="6"/>
  <c r="I23" i="6"/>
  <c r="I247" i="6" s="1"/>
  <c r="I12" i="6"/>
  <c r="I68" i="6" s="1"/>
  <c r="I9" i="6"/>
  <c r="I7" i="6"/>
  <c r="I245" i="6" l="1"/>
  <c r="I260" i="6"/>
  <c r="I258" i="6"/>
  <c r="I61" i="6"/>
  <c r="I71" i="6"/>
  <c r="I72" i="6" s="1"/>
  <c r="I41" i="6"/>
  <c r="I25" i="6" s="1"/>
  <c r="I26" i="6" s="1"/>
  <c r="I55" i="6"/>
  <c r="I63" i="6"/>
  <c r="I52" i="6"/>
  <c r="I53" i="6"/>
  <c r="I8" i="6"/>
  <c r="I60" i="6"/>
  <c r="I11" i="6"/>
  <c r="I66" i="6" s="1"/>
  <c r="I57" i="6"/>
  <c r="I236" i="6"/>
  <c r="I58" i="6"/>
  <c r="I70" i="6"/>
  <c r="I238" i="6"/>
  <c r="P9" i="6" l="1"/>
  <c r="P258" i="6" l="1"/>
  <c r="P260" i="6"/>
  <c r="P54" i="6"/>
  <c r="P235" i="6"/>
  <c r="P14" i="6"/>
  <c r="P13" i="6"/>
  <c r="AM65" i="6"/>
  <c r="P11" i="6"/>
  <c r="G13" i="10"/>
  <c r="G10" i="30" l="1"/>
  <c r="H10" i="30" s="1"/>
  <c r="F58" i="28"/>
  <c r="G58" i="28" s="1"/>
  <c r="N64" i="16"/>
  <c r="P239" i="6"/>
  <c r="P240" i="6" s="1"/>
  <c r="AM67" i="6" l="1"/>
  <c r="G11" i="30" s="1"/>
  <c r="H11" i="30" s="1"/>
  <c r="AM29" i="6" l="1"/>
  <c r="N26" i="16" l="1"/>
  <c r="F24" i="28"/>
  <c r="M256" i="16"/>
  <c r="L256" i="16"/>
  <c r="M255" i="16"/>
  <c r="L255" i="16"/>
  <c r="M253" i="16"/>
  <c r="L253" i="16"/>
  <c r="M252" i="16"/>
  <c r="L252" i="16"/>
  <c r="M250" i="16"/>
  <c r="L250" i="16"/>
  <c r="M249" i="16"/>
  <c r="L249" i="16"/>
  <c r="H247" i="16"/>
  <c r="AX246" i="16"/>
  <c r="Q246" i="16"/>
  <c r="Q247" i="16" s="1"/>
  <c r="P246" i="16"/>
  <c r="P247" i="16" s="1"/>
  <c r="O246" i="16"/>
  <c r="O247" i="16" s="1"/>
  <c r="M246" i="16"/>
  <c r="M247" i="16" s="1"/>
  <c r="L246" i="16"/>
  <c r="L247" i="16" s="1"/>
  <c r="K246" i="16"/>
  <c r="K247" i="16" s="1"/>
  <c r="J246" i="16"/>
  <c r="J247" i="16" s="1"/>
  <c r="I246" i="16"/>
  <c r="I247" i="16" s="1"/>
  <c r="G246" i="16"/>
  <c r="G247" i="16" s="1"/>
  <c r="F246" i="16"/>
  <c r="F247" i="16" s="1"/>
  <c r="Q243" i="16"/>
  <c r="P243" i="16"/>
  <c r="O243" i="16"/>
  <c r="M243" i="16"/>
  <c r="L243" i="16"/>
  <c r="K243" i="16"/>
  <c r="J243" i="16"/>
  <c r="I243" i="16"/>
  <c r="H243" i="16"/>
  <c r="G243" i="16"/>
  <c r="F243" i="16"/>
  <c r="D243" i="16"/>
  <c r="T242" i="16"/>
  <c r="O242" i="16"/>
  <c r="M242" i="16"/>
  <c r="L242" i="16"/>
  <c r="J242" i="16"/>
  <c r="H242" i="16"/>
  <c r="G242" i="16"/>
  <c r="D242" i="16"/>
  <c r="Q241" i="16"/>
  <c r="P241" i="16"/>
  <c r="O241" i="16"/>
  <c r="M241" i="16"/>
  <c r="L241" i="16"/>
  <c r="K241" i="16"/>
  <c r="J241" i="16"/>
  <c r="I241" i="16"/>
  <c r="H241" i="16"/>
  <c r="G241" i="16"/>
  <c r="F241" i="16"/>
  <c r="D241" i="16"/>
  <c r="Q240" i="16"/>
  <c r="P240" i="16"/>
  <c r="O240" i="16"/>
  <c r="M240" i="16"/>
  <c r="L240" i="16"/>
  <c r="K240" i="16"/>
  <c r="J240" i="16"/>
  <c r="I240" i="16"/>
  <c r="H240" i="16"/>
  <c r="G240" i="16"/>
  <c r="F240" i="16"/>
  <c r="Q239" i="16"/>
  <c r="P239" i="16"/>
  <c r="O239" i="16"/>
  <c r="M239" i="16"/>
  <c r="L239" i="16"/>
  <c r="K239" i="16"/>
  <c r="J239" i="16"/>
  <c r="I239" i="16"/>
  <c r="H239" i="16"/>
  <c r="G239" i="16"/>
  <c r="F239" i="16"/>
  <c r="AX237" i="16"/>
  <c r="Q237" i="16"/>
  <c r="P237" i="16"/>
  <c r="O237" i="16"/>
  <c r="M237" i="16"/>
  <c r="L237" i="16"/>
  <c r="K237" i="16"/>
  <c r="J237" i="16"/>
  <c r="I237" i="16"/>
  <c r="H237" i="16"/>
  <c r="G237" i="16"/>
  <c r="F237" i="16"/>
  <c r="T235" i="16"/>
  <c r="J235" i="16"/>
  <c r="I235" i="16"/>
  <c r="H235" i="16"/>
  <c r="Q234" i="16"/>
  <c r="P234" i="16"/>
  <c r="O234" i="16"/>
  <c r="M234" i="16"/>
  <c r="L234" i="16"/>
  <c r="K234" i="16"/>
  <c r="J234" i="16"/>
  <c r="I234" i="16"/>
  <c r="H234" i="16"/>
  <c r="G234" i="16"/>
  <c r="F234" i="16"/>
  <c r="Q233" i="16"/>
  <c r="P233" i="16"/>
  <c r="O233" i="16"/>
  <c r="M233" i="16"/>
  <c r="L233" i="16"/>
  <c r="K233" i="16"/>
  <c r="J233" i="16"/>
  <c r="I233" i="16"/>
  <c r="H233" i="16"/>
  <c r="G233" i="16"/>
  <c r="F233" i="16"/>
  <c r="Q232" i="16"/>
  <c r="P232" i="16"/>
  <c r="O232" i="16"/>
  <c r="M232" i="16"/>
  <c r="L232" i="16"/>
  <c r="K232" i="16"/>
  <c r="J232" i="16"/>
  <c r="I232" i="16"/>
  <c r="H232" i="16"/>
  <c r="G232" i="16"/>
  <c r="F232" i="16"/>
  <c r="Q230" i="16"/>
  <c r="P230" i="16"/>
  <c r="O230" i="16"/>
  <c r="M230" i="16"/>
  <c r="L230" i="16"/>
  <c r="K230" i="16"/>
  <c r="J230" i="16"/>
  <c r="I230" i="16"/>
  <c r="H230" i="16"/>
  <c r="G230" i="16"/>
  <c r="F230" i="16"/>
  <c r="D230" i="16"/>
  <c r="D234" i="16" s="1"/>
  <c r="D235" i="16" s="1"/>
  <c r="T228" i="16"/>
  <c r="I228" i="16"/>
  <c r="H228" i="16"/>
  <c r="D228" i="16"/>
  <c r="Q227" i="16"/>
  <c r="P227" i="16"/>
  <c r="O227" i="16"/>
  <c r="M227" i="16"/>
  <c r="L227" i="16"/>
  <c r="K227" i="16"/>
  <c r="J227" i="16"/>
  <c r="I227" i="16"/>
  <c r="H227" i="16"/>
  <c r="G227" i="16"/>
  <c r="F227" i="16"/>
  <c r="Q226" i="16"/>
  <c r="P226" i="16"/>
  <c r="O226" i="16"/>
  <c r="M226" i="16"/>
  <c r="L226" i="16"/>
  <c r="K226" i="16"/>
  <c r="J226" i="16"/>
  <c r="I226" i="16"/>
  <c r="H226" i="16"/>
  <c r="G226" i="16"/>
  <c r="F226" i="16"/>
  <c r="AX224" i="16"/>
  <c r="Q224" i="16"/>
  <c r="Q228" i="16" s="1"/>
  <c r="P224" i="16"/>
  <c r="P228" i="16" s="1"/>
  <c r="O224" i="16"/>
  <c r="O228" i="16" s="1"/>
  <c r="M224" i="16"/>
  <c r="M228" i="16" s="1"/>
  <c r="L224" i="16"/>
  <c r="L228" i="16" s="1"/>
  <c r="K224" i="16"/>
  <c r="K228" i="16" s="1"/>
  <c r="J224" i="16"/>
  <c r="J228" i="16" s="1"/>
  <c r="I224" i="16"/>
  <c r="H224" i="16"/>
  <c r="G224" i="16"/>
  <c r="G228" i="16" s="1"/>
  <c r="F224" i="16"/>
  <c r="F228" i="16" s="1"/>
  <c r="D224" i="16"/>
  <c r="Q223" i="16"/>
  <c r="P223" i="16"/>
  <c r="O223" i="16"/>
  <c r="M223" i="16"/>
  <c r="L223" i="16"/>
  <c r="K223" i="16"/>
  <c r="J223" i="16"/>
  <c r="I223" i="16"/>
  <c r="H223" i="16"/>
  <c r="G223" i="16"/>
  <c r="F223" i="16"/>
  <c r="T221" i="16"/>
  <c r="O221" i="16"/>
  <c r="N221" i="16"/>
  <c r="M221" i="16"/>
  <c r="L221" i="16"/>
  <c r="K221" i="16"/>
  <c r="J221" i="16"/>
  <c r="I221" i="16"/>
  <c r="H221" i="16"/>
  <c r="G221" i="16"/>
  <c r="F221" i="16"/>
  <c r="T220" i="16"/>
  <c r="Q220" i="16"/>
  <c r="P220" i="16"/>
  <c r="O220" i="16"/>
  <c r="N220" i="16"/>
  <c r="M220" i="16"/>
  <c r="L220" i="16"/>
  <c r="K220" i="16"/>
  <c r="J220" i="16"/>
  <c r="I220" i="16"/>
  <c r="H220" i="16"/>
  <c r="G220" i="16"/>
  <c r="F220" i="16"/>
  <c r="Q219" i="16"/>
  <c r="P219" i="16"/>
  <c r="O219" i="16"/>
  <c r="N219" i="16"/>
  <c r="M219" i="16"/>
  <c r="L219" i="16"/>
  <c r="K219" i="16"/>
  <c r="J219" i="16"/>
  <c r="I219" i="16"/>
  <c r="H219" i="16"/>
  <c r="G219" i="16"/>
  <c r="F219" i="16"/>
  <c r="Q218" i="16"/>
  <c r="P218" i="16"/>
  <c r="O218" i="16"/>
  <c r="N218" i="16"/>
  <c r="M218" i="16"/>
  <c r="L218" i="16"/>
  <c r="K218" i="16"/>
  <c r="J218" i="16"/>
  <c r="I218" i="16"/>
  <c r="H218" i="16"/>
  <c r="G218" i="16"/>
  <c r="F218" i="16"/>
  <c r="Q217" i="16"/>
  <c r="P217" i="16"/>
  <c r="O217" i="16"/>
  <c r="N217" i="16"/>
  <c r="M217" i="16"/>
  <c r="L217" i="16"/>
  <c r="K217" i="16"/>
  <c r="J217" i="16"/>
  <c r="I217" i="16"/>
  <c r="H217" i="16"/>
  <c r="G217" i="16"/>
  <c r="F217" i="16"/>
  <c r="F209" i="16"/>
  <c r="S207" i="16"/>
  <c r="Q206" i="16"/>
  <c r="Q209" i="16" s="1"/>
  <c r="P206" i="16"/>
  <c r="O206" i="16"/>
  <c r="O209" i="16" s="1"/>
  <c r="N206" i="16"/>
  <c r="M206" i="16"/>
  <c r="M209" i="16" s="1"/>
  <c r="L206" i="16"/>
  <c r="L209" i="16" s="1"/>
  <c r="K206" i="16"/>
  <c r="K209" i="16" s="1"/>
  <c r="J206" i="16"/>
  <c r="I206" i="16"/>
  <c r="H206" i="16"/>
  <c r="G206" i="16"/>
  <c r="Q205" i="16"/>
  <c r="Q208" i="16" s="1"/>
  <c r="P205" i="16"/>
  <c r="O205" i="16"/>
  <c r="O208" i="16" s="1"/>
  <c r="N205" i="16"/>
  <c r="N208" i="16" s="1"/>
  <c r="M205" i="16"/>
  <c r="M208" i="16" s="1"/>
  <c r="L205" i="16"/>
  <c r="K205" i="16"/>
  <c r="K208" i="16" s="1"/>
  <c r="J205" i="16"/>
  <c r="I205" i="16"/>
  <c r="I208" i="16" s="1"/>
  <c r="H205" i="16"/>
  <c r="G205" i="16"/>
  <c r="G208" i="16" s="1"/>
  <c r="F205" i="16"/>
  <c r="Q197" i="16"/>
  <c r="Q200" i="16" s="1"/>
  <c r="P197" i="16"/>
  <c r="P200" i="16" s="1"/>
  <c r="O197" i="16"/>
  <c r="O200" i="16" s="1"/>
  <c r="N197" i="16"/>
  <c r="N200" i="16" s="1"/>
  <c r="M197" i="16"/>
  <c r="L197" i="16"/>
  <c r="L200" i="16" s="1"/>
  <c r="K197" i="16"/>
  <c r="K200" i="16" s="1"/>
  <c r="J197" i="16"/>
  <c r="J200" i="16" s="1"/>
  <c r="I197" i="16"/>
  <c r="I200" i="16" s="1"/>
  <c r="H197" i="16"/>
  <c r="H200" i="16" s="1"/>
  <c r="G197" i="16"/>
  <c r="G200" i="16" s="1"/>
  <c r="F197" i="16"/>
  <c r="Q196" i="16"/>
  <c r="Q201" i="16" s="1"/>
  <c r="P196" i="16"/>
  <c r="P202" i="16" s="1"/>
  <c r="O196" i="16"/>
  <c r="O202" i="16" s="1"/>
  <c r="N196" i="16"/>
  <c r="N199" i="16" s="1"/>
  <c r="M196" i="16"/>
  <c r="M201" i="16" s="1"/>
  <c r="L196" i="16"/>
  <c r="L202" i="16" s="1"/>
  <c r="K196" i="16"/>
  <c r="K199" i="16" s="1"/>
  <c r="J196" i="16"/>
  <c r="J202" i="16" s="1"/>
  <c r="I196" i="16"/>
  <c r="I201" i="16" s="1"/>
  <c r="H196" i="16"/>
  <c r="H202" i="16" s="1"/>
  <c r="G196" i="16"/>
  <c r="G201" i="16" s="1"/>
  <c r="F196" i="16"/>
  <c r="F199" i="16" s="1"/>
  <c r="H194" i="16"/>
  <c r="H193" i="16"/>
  <c r="H192" i="16"/>
  <c r="Q191" i="16"/>
  <c r="P191" i="16"/>
  <c r="O191" i="16"/>
  <c r="N191" i="16"/>
  <c r="M191" i="16"/>
  <c r="L191" i="16"/>
  <c r="K191" i="16"/>
  <c r="J191" i="16"/>
  <c r="I191" i="16"/>
  <c r="H191" i="16"/>
  <c r="G191" i="16"/>
  <c r="F191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N179" i="16"/>
  <c r="L179" i="16"/>
  <c r="K179" i="16"/>
  <c r="Q175" i="16"/>
  <c r="P175" i="16"/>
  <c r="O175" i="16"/>
  <c r="O179" i="16" s="1"/>
  <c r="M175" i="16"/>
  <c r="M179" i="16" s="1"/>
  <c r="Q174" i="16"/>
  <c r="P174" i="16"/>
  <c r="P178" i="16" s="1"/>
  <c r="O174" i="16"/>
  <c r="N174" i="16"/>
  <c r="M174" i="16"/>
  <c r="M178" i="16" s="1"/>
  <c r="L174" i="16"/>
  <c r="L178" i="16" s="1"/>
  <c r="K174" i="16"/>
  <c r="J174" i="16"/>
  <c r="I174" i="16"/>
  <c r="H174" i="16"/>
  <c r="G174" i="16"/>
  <c r="Q173" i="16"/>
  <c r="P173" i="16"/>
  <c r="P177" i="16" s="1"/>
  <c r="O173" i="16"/>
  <c r="N173" i="16"/>
  <c r="N177" i="16" s="1"/>
  <c r="M173" i="16"/>
  <c r="M177" i="16" s="1"/>
  <c r="L173" i="16"/>
  <c r="L177" i="16" s="1"/>
  <c r="K173" i="16"/>
  <c r="J173" i="16"/>
  <c r="I173" i="16"/>
  <c r="H173" i="16"/>
  <c r="G173" i="16"/>
  <c r="O172" i="16"/>
  <c r="N172" i="16"/>
  <c r="M172" i="16"/>
  <c r="L172" i="16"/>
  <c r="K172" i="16"/>
  <c r="J172" i="16"/>
  <c r="I172" i="16"/>
  <c r="H172" i="16"/>
  <c r="G172" i="16"/>
  <c r="T166" i="16"/>
  <c r="T165" i="16"/>
  <c r="Q163" i="16"/>
  <c r="Q167" i="16" s="1"/>
  <c r="P163" i="16"/>
  <c r="P167" i="16" s="1"/>
  <c r="O163" i="16"/>
  <c r="O167" i="16" s="1"/>
  <c r="N163" i="16"/>
  <c r="M163" i="16"/>
  <c r="M167" i="16" s="1"/>
  <c r="L163" i="16"/>
  <c r="L184" i="16" s="1"/>
  <c r="K163" i="16"/>
  <c r="K184" i="16" s="1"/>
  <c r="J163" i="16"/>
  <c r="J167" i="16" s="1"/>
  <c r="J188" i="16" s="1"/>
  <c r="I163" i="16"/>
  <c r="I167" i="16" s="1"/>
  <c r="I188" i="16" s="1"/>
  <c r="H163" i="16"/>
  <c r="H184" i="16" s="1"/>
  <c r="G163" i="16"/>
  <c r="F163" i="16"/>
  <c r="F184" i="16" s="1"/>
  <c r="Q162" i="16"/>
  <c r="P162" i="16"/>
  <c r="P166" i="16" s="1"/>
  <c r="O162" i="16"/>
  <c r="O166" i="16" s="1"/>
  <c r="N162" i="16"/>
  <c r="N166" i="16" s="1"/>
  <c r="M162" i="16"/>
  <c r="L162" i="16"/>
  <c r="K162" i="16"/>
  <c r="K166" i="16" s="1"/>
  <c r="J162" i="16"/>
  <c r="J166" i="16" s="1"/>
  <c r="J187" i="16" s="1"/>
  <c r="I162" i="16"/>
  <c r="I166" i="16" s="1"/>
  <c r="I187" i="16" s="1"/>
  <c r="H162" i="16"/>
  <c r="G162" i="16"/>
  <c r="G166" i="16" s="1"/>
  <c r="G187" i="16" s="1"/>
  <c r="F162" i="16"/>
  <c r="F183" i="16" s="1"/>
  <c r="Q161" i="16"/>
  <c r="Q165" i="16" s="1"/>
  <c r="P161" i="16"/>
  <c r="P169" i="16" s="1"/>
  <c r="O161" i="16"/>
  <c r="O165" i="16" s="1"/>
  <c r="N161" i="16"/>
  <c r="M161" i="16"/>
  <c r="M165" i="16" s="1"/>
  <c r="L161" i="16"/>
  <c r="K161" i="16"/>
  <c r="J161" i="16"/>
  <c r="I161" i="16"/>
  <c r="H161" i="16"/>
  <c r="G161" i="16"/>
  <c r="G165" i="16" s="1"/>
  <c r="G186" i="16" s="1"/>
  <c r="F161" i="16"/>
  <c r="F165" i="16" s="1"/>
  <c r="F186" i="16" s="1"/>
  <c r="O160" i="16"/>
  <c r="N160" i="16"/>
  <c r="M160" i="16"/>
  <c r="L160" i="16"/>
  <c r="K160" i="16"/>
  <c r="J160" i="16"/>
  <c r="I160" i="16"/>
  <c r="H160" i="16"/>
  <c r="G160" i="16"/>
  <c r="F160" i="16"/>
  <c r="M157" i="16"/>
  <c r="I157" i="16"/>
  <c r="H157" i="16"/>
  <c r="Q156" i="16"/>
  <c r="Q168" i="16" s="1"/>
  <c r="P156" i="16"/>
  <c r="P168" i="16" s="1"/>
  <c r="O156" i="16"/>
  <c r="O168" i="16" s="1"/>
  <c r="N156" i="16"/>
  <c r="M156" i="16"/>
  <c r="L156" i="16"/>
  <c r="L168" i="16" s="1"/>
  <c r="K156" i="16"/>
  <c r="K168" i="16" s="1"/>
  <c r="J156" i="16"/>
  <c r="I156" i="16"/>
  <c r="H156" i="16"/>
  <c r="H168" i="16" s="1"/>
  <c r="G156" i="16"/>
  <c r="G168" i="16" s="1"/>
  <c r="T168" i="16" s="1"/>
  <c r="F156" i="16"/>
  <c r="C147" i="16"/>
  <c r="C146" i="16"/>
  <c r="Q144" i="16"/>
  <c r="Q147" i="16" s="1"/>
  <c r="P144" i="16"/>
  <c r="O144" i="16"/>
  <c r="N144" i="16"/>
  <c r="M144" i="16"/>
  <c r="M147" i="16" s="1"/>
  <c r="L144" i="16"/>
  <c r="L147" i="16" s="1"/>
  <c r="K144" i="16"/>
  <c r="J144" i="16"/>
  <c r="I144" i="16"/>
  <c r="I147" i="16" s="1"/>
  <c r="H144" i="16"/>
  <c r="G144" i="16"/>
  <c r="F144" i="16"/>
  <c r="Q143" i="16"/>
  <c r="P143" i="16"/>
  <c r="P146" i="16" s="1"/>
  <c r="O143" i="16"/>
  <c r="N143" i="16"/>
  <c r="N146" i="16" s="1"/>
  <c r="M143" i="16"/>
  <c r="L143" i="16"/>
  <c r="K143" i="16"/>
  <c r="J143" i="16"/>
  <c r="J146" i="16" s="1"/>
  <c r="I143" i="16"/>
  <c r="I146" i="16" s="1"/>
  <c r="H143" i="16"/>
  <c r="H146" i="16" s="1"/>
  <c r="G143" i="16"/>
  <c r="T143" i="16" s="1"/>
  <c r="F143" i="16"/>
  <c r="T138" i="16"/>
  <c r="T137" i="16"/>
  <c r="Q135" i="16"/>
  <c r="P135" i="16"/>
  <c r="P138" i="16" s="1"/>
  <c r="O135" i="16"/>
  <c r="O138" i="16" s="1"/>
  <c r="N135" i="16"/>
  <c r="N138" i="16" s="1"/>
  <c r="M135" i="16"/>
  <c r="L135" i="16"/>
  <c r="L138" i="16" s="1"/>
  <c r="K135" i="16"/>
  <c r="K138" i="16" s="1"/>
  <c r="J135" i="16"/>
  <c r="J138" i="16" s="1"/>
  <c r="I135" i="16"/>
  <c r="H135" i="16"/>
  <c r="H138" i="16" s="1"/>
  <c r="G135" i="16"/>
  <c r="G138" i="16" s="1"/>
  <c r="F135" i="16"/>
  <c r="F138" i="16" s="1"/>
  <c r="Q134" i="16"/>
  <c r="P134" i="16"/>
  <c r="O134" i="16"/>
  <c r="N134" i="16"/>
  <c r="N137" i="16" s="1"/>
  <c r="M134" i="16"/>
  <c r="L134" i="16"/>
  <c r="L137" i="16" s="1"/>
  <c r="K134" i="16"/>
  <c r="J134" i="16"/>
  <c r="J137" i="16" s="1"/>
  <c r="I134" i="16"/>
  <c r="H134" i="16"/>
  <c r="G134" i="16"/>
  <c r="G140" i="16" s="1"/>
  <c r="T140" i="16" s="1"/>
  <c r="F134" i="16"/>
  <c r="F137" i="16" s="1"/>
  <c r="GA132" i="16"/>
  <c r="Q130" i="16"/>
  <c r="P130" i="16"/>
  <c r="P139" i="16" s="1"/>
  <c r="O130" i="16"/>
  <c r="O139" i="16" s="1"/>
  <c r="N130" i="16"/>
  <c r="M130" i="16"/>
  <c r="L130" i="16"/>
  <c r="L139" i="16" s="1"/>
  <c r="K130" i="16"/>
  <c r="K139" i="16" s="1"/>
  <c r="J130" i="16"/>
  <c r="J139" i="16" s="1"/>
  <c r="I130" i="16"/>
  <c r="H130" i="16"/>
  <c r="H139" i="16" s="1"/>
  <c r="G130" i="16"/>
  <c r="G139" i="16" s="1"/>
  <c r="T139" i="16" s="1"/>
  <c r="F130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I120" i="16"/>
  <c r="I119" i="16"/>
  <c r="Q117" i="16"/>
  <c r="Q120" i="16" s="1"/>
  <c r="P117" i="16"/>
  <c r="O117" i="16"/>
  <c r="N117" i="16"/>
  <c r="M117" i="16"/>
  <c r="M120" i="16" s="1"/>
  <c r="L117" i="16"/>
  <c r="L120" i="16" s="1"/>
  <c r="K117" i="16"/>
  <c r="J117" i="16"/>
  <c r="J120" i="16" s="1"/>
  <c r="I117" i="16"/>
  <c r="H117" i="16"/>
  <c r="G117" i="16"/>
  <c r="F117" i="16"/>
  <c r="Q116" i="16"/>
  <c r="Q119" i="16" s="1"/>
  <c r="P116" i="16"/>
  <c r="P119" i="16" s="1"/>
  <c r="O116" i="16"/>
  <c r="O119" i="16" s="1"/>
  <c r="N116" i="16"/>
  <c r="N119" i="16" s="1"/>
  <c r="M116" i="16"/>
  <c r="M119" i="16" s="1"/>
  <c r="L116" i="16"/>
  <c r="L119" i="16" s="1"/>
  <c r="K116" i="16"/>
  <c r="K119" i="16" s="1"/>
  <c r="J116" i="16"/>
  <c r="I116" i="16"/>
  <c r="H116" i="16"/>
  <c r="H119" i="16" s="1"/>
  <c r="G116" i="16"/>
  <c r="F116" i="16"/>
  <c r="T111" i="16"/>
  <c r="T110" i="16"/>
  <c r="Q108" i="16"/>
  <c r="Q111" i="16" s="1"/>
  <c r="P108" i="16"/>
  <c r="P111" i="16" s="1"/>
  <c r="O108" i="16"/>
  <c r="O111" i="16" s="1"/>
  <c r="N108" i="16"/>
  <c r="M108" i="16"/>
  <c r="M111" i="16" s="1"/>
  <c r="L108" i="16"/>
  <c r="L111" i="16" s="1"/>
  <c r="K108" i="16"/>
  <c r="K111" i="16" s="1"/>
  <c r="J108" i="16"/>
  <c r="J111" i="16" s="1"/>
  <c r="I108" i="16"/>
  <c r="I111" i="16" s="1"/>
  <c r="H108" i="16"/>
  <c r="H111" i="16" s="1"/>
  <c r="G108" i="16"/>
  <c r="G111" i="16" s="1"/>
  <c r="F108" i="16"/>
  <c r="Q107" i="16"/>
  <c r="Q110" i="16" s="1"/>
  <c r="P107" i="16"/>
  <c r="P110" i="16" s="1"/>
  <c r="O107" i="16"/>
  <c r="O110" i="16" s="1"/>
  <c r="N107" i="16"/>
  <c r="M107" i="16"/>
  <c r="L107" i="16"/>
  <c r="L110" i="16" s="1"/>
  <c r="K107" i="16"/>
  <c r="K110" i="16" s="1"/>
  <c r="J107" i="16"/>
  <c r="I107" i="16"/>
  <c r="I110" i="16" s="1"/>
  <c r="H107" i="16"/>
  <c r="H110" i="16" s="1"/>
  <c r="G107" i="16"/>
  <c r="G110" i="16" s="1"/>
  <c r="F107" i="16"/>
  <c r="H105" i="16"/>
  <c r="H104" i="16"/>
  <c r="J103" i="16"/>
  <c r="H103" i="16"/>
  <c r="Q102" i="16"/>
  <c r="Q112" i="16" s="1"/>
  <c r="P102" i="16"/>
  <c r="P112" i="16" s="1"/>
  <c r="O102" i="16"/>
  <c r="O112" i="16" s="1"/>
  <c r="N102" i="16"/>
  <c r="M102" i="16"/>
  <c r="M112" i="16" s="1"/>
  <c r="L102" i="16"/>
  <c r="L112" i="16" s="1"/>
  <c r="K102" i="16"/>
  <c r="K112" i="16" s="1"/>
  <c r="J102" i="16"/>
  <c r="I102" i="16"/>
  <c r="I112" i="16" s="1"/>
  <c r="H102" i="16"/>
  <c r="H112" i="16" s="1"/>
  <c r="G102" i="16"/>
  <c r="G112" i="16" s="1"/>
  <c r="T112" i="16" s="1"/>
  <c r="F102" i="16"/>
  <c r="Q90" i="16"/>
  <c r="P90" i="16"/>
  <c r="O90" i="16"/>
  <c r="N90" i="16"/>
  <c r="M90" i="16"/>
  <c r="L90" i="16"/>
  <c r="L93" i="16" s="1"/>
  <c r="K90" i="16"/>
  <c r="K93" i="16" s="1"/>
  <c r="J90" i="16"/>
  <c r="I90" i="16"/>
  <c r="H90" i="16"/>
  <c r="H93" i="16" s="1"/>
  <c r="G90" i="16"/>
  <c r="T90" i="16" s="1"/>
  <c r="T97" i="16" s="1"/>
  <c r="F90" i="16"/>
  <c r="Q89" i="16"/>
  <c r="P89" i="16"/>
  <c r="P92" i="16" s="1"/>
  <c r="O89" i="16"/>
  <c r="N89" i="16"/>
  <c r="M89" i="16"/>
  <c r="L89" i="16"/>
  <c r="K89" i="16"/>
  <c r="K92" i="16" s="1"/>
  <c r="J89" i="16"/>
  <c r="J92" i="16" s="1"/>
  <c r="I89" i="16"/>
  <c r="H89" i="16"/>
  <c r="H92" i="16" s="1"/>
  <c r="G89" i="16"/>
  <c r="F89" i="16"/>
  <c r="T86" i="16"/>
  <c r="T84" i="16"/>
  <c r="T83" i="16"/>
  <c r="Q81" i="16"/>
  <c r="Q84" i="16" s="1"/>
  <c r="P81" i="16"/>
  <c r="P84" i="16" s="1"/>
  <c r="O81" i="16"/>
  <c r="N81" i="16"/>
  <c r="M81" i="16"/>
  <c r="M84" i="16" s="1"/>
  <c r="L81" i="16"/>
  <c r="L84" i="16" s="1"/>
  <c r="K81" i="16"/>
  <c r="J81" i="16"/>
  <c r="I81" i="16"/>
  <c r="I84" i="16" s="1"/>
  <c r="H81" i="16"/>
  <c r="H84" i="16" s="1"/>
  <c r="G81" i="16"/>
  <c r="G84" i="16" s="1"/>
  <c r="F81" i="16"/>
  <c r="F84" i="16" s="1"/>
  <c r="Q80" i="16"/>
  <c r="P80" i="16"/>
  <c r="P83" i="16" s="1"/>
  <c r="O80" i="16"/>
  <c r="O83" i="16" s="1"/>
  <c r="N80" i="16"/>
  <c r="M80" i="16"/>
  <c r="L80" i="16"/>
  <c r="K80" i="16"/>
  <c r="K83" i="16" s="1"/>
  <c r="J80" i="16"/>
  <c r="I80" i="16"/>
  <c r="H80" i="16"/>
  <c r="H83" i="16" s="1"/>
  <c r="G80" i="16"/>
  <c r="G83" i="16" s="1"/>
  <c r="F80" i="16"/>
  <c r="I78" i="16"/>
  <c r="H78" i="16"/>
  <c r="G78" i="16"/>
  <c r="F78" i="16"/>
  <c r="FX77" i="16"/>
  <c r="OZ77" i="16" s="1"/>
  <c r="I77" i="16"/>
  <c r="FX76" i="16"/>
  <c r="OZ76" i="16" s="1"/>
  <c r="T76" i="16"/>
  <c r="I76" i="16"/>
  <c r="Q75" i="16"/>
  <c r="P75" i="16"/>
  <c r="O75" i="16"/>
  <c r="O85" i="16" s="1"/>
  <c r="N75" i="16"/>
  <c r="N85" i="16" s="1"/>
  <c r="M75" i="16"/>
  <c r="M85" i="16" s="1"/>
  <c r="L75" i="16"/>
  <c r="L85" i="16" s="1"/>
  <c r="K75" i="16"/>
  <c r="K85" i="16" s="1"/>
  <c r="J75" i="16"/>
  <c r="J85" i="16" s="1"/>
  <c r="I75" i="16"/>
  <c r="I85" i="16" s="1"/>
  <c r="H75" i="16"/>
  <c r="G75" i="16"/>
  <c r="F75" i="16"/>
  <c r="Q74" i="16"/>
  <c r="P74" i="16"/>
  <c r="O74" i="16"/>
  <c r="N74" i="16"/>
  <c r="M74" i="16"/>
  <c r="L74" i="16"/>
  <c r="K74" i="16"/>
  <c r="J74" i="16"/>
  <c r="I74" i="16"/>
  <c r="H74" i="16"/>
  <c r="G74" i="16"/>
  <c r="T74" i="16" s="1"/>
  <c r="F74" i="16"/>
  <c r="OY73" i="16"/>
  <c r="GA72" i="16"/>
  <c r="M72" i="16"/>
  <c r="Q71" i="16"/>
  <c r="P71" i="16"/>
  <c r="M71" i="16"/>
  <c r="L71" i="16"/>
  <c r="K71" i="16"/>
  <c r="J71" i="16"/>
  <c r="I71" i="16"/>
  <c r="H71" i="16"/>
  <c r="G71" i="16"/>
  <c r="F71" i="16"/>
  <c r="T70" i="16"/>
  <c r="M69" i="16"/>
  <c r="F69" i="16"/>
  <c r="Q68" i="16"/>
  <c r="P68" i="16"/>
  <c r="O68" i="16"/>
  <c r="M68" i="16"/>
  <c r="L68" i="16"/>
  <c r="K68" i="16"/>
  <c r="J68" i="16"/>
  <c r="I68" i="16"/>
  <c r="H68" i="16"/>
  <c r="G68" i="16"/>
  <c r="F68" i="16"/>
  <c r="F67" i="16"/>
  <c r="Q66" i="16"/>
  <c r="P66" i="16"/>
  <c r="O66" i="16"/>
  <c r="O67" i="16" s="1"/>
  <c r="N66" i="16"/>
  <c r="M66" i="16"/>
  <c r="L66" i="16"/>
  <c r="K66" i="16"/>
  <c r="K67" i="16" s="1"/>
  <c r="J66" i="16"/>
  <c r="J67" i="16" s="1"/>
  <c r="I66" i="16"/>
  <c r="I67" i="16" s="1"/>
  <c r="H66" i="16"/>
  <c r="G66" i="16"/>
  <c r="F66" i="16"/>
  <c r="FN65" i="16"/>
  <c r="F65" i="16"/>
  <c r="Q64" i="16"/>
  <c r="P64" i="16"/>
  <c r="O64" i="16"/>
  <c r="M64" i="16"/>
  <c r="L64" i="16"/>
  <c r="K64" i="16"/>
  <c r="J64" i="16"/>
  <c r="I64" i="16"/>
  <c r="H64" i="16"/>
  <c r="G64" i="16"/>
  <c r="F64" i="16"/>
  <c r="OR62" i="16"/>
  <c r="FN62" i="16"/>
  <c r="T62" i="16"/>
  <c r="OR61" i="16"/>
  <c r="T61" i="16"/>
  <c r="M60" i="16"/>
  <c r="L60" i="16"/>
  <c r="G60" i="16"/>
  <c r="M59" i="16"/>
  <c r="L59" i="16"/>
  <c r="G59" i="16"/>
  <c r="G58" i="16"/>
  <c r="OP52" i="16"/>
  <c r="OR52" i="16" s="1"/>
  <c r="T52" i="16"/>
  <c r="OR51" i="16"/>
  <c r="T51" i="16"/>
  <c r="T42" i="16" s="1"/>
  <c r="Q49" i="16"/>
  <c r="P49" i="16"/>
  <c r="O49" i="16"/>
  <c r="N49" i="16"/>
  <c r="M49" i="16"/>
  <c r="L49" i="16"/>
  <c r="K49" i="16"/>
  <c r="J49" i="16"/>
  <c r="K47" i="16"/>
  <c r="J47" i="16"/>
  <c r="I47" i="16"/>
  <c r="H47" i="16"/>
  <c r="G47" i="16"/>
  <c r="F47" i="16"/>
  <c r="DG46" i="16"/>
  <c r="Q46" i="16"/>
  <c r="P46" i="16"/>
  <c r="O46" i="16"/>
  <c r="N46" i="16"/>
  <c r="M43" i="16"/>
  <c r="L46" i="16"/>
  <c r="K46" i="16"/>
  <c r="J46" i="16"/>
  <c r="I46" i="16"/>
  <c r="H46" i="16"/>
  <c r="G46" i="16"/>
  <c r="F46" i="16"/>
  <c r="Q45" i="16"/>
  <c r="P45" i="16"/>
  <c r="O45" i="16"/>
  <c r="L45" i="16"/>
  <c r="K45" i="16"/>
  <c r="J45" i="16"/>
  <c r="I45" i="16"/>
  <c r="H45" i="16"/>
  <c r="G45" i="16"/>
  <c r="F45" i="16"/>
  <c r="Q44" i="16"/>
  <c r="O44" i="16"/>
  <c r="M44" i="16"/>
  <c r="L44" i="16"/>
  <c r="K44" i="16"/>
  <c r="J44" i="16"/>
  <c r="I44" i="16"/>
  <c r="H44" i="16"/>
  <c r="F44" i="16"/>
  <c r="T43" i="16"/>
  <c r="P43" i="16"/>
  <c r="O43" i="16"/>
  <c r="L43" i="16"/>
  <c r="J43" i="16"/>
  <c r="I43" i="16"/>
  <c r="G43" i="16"/>
  <c r="F43" i="16"/>
  <c r="D43" i="16"/>
  <c r="H42" i="16"/>
  <c r="G42" i="16"/>
  <c r="F42" i="16"/>
  <c r="Q40" i="16"/>
  <c r="P40" i="16"/>
  <c r="O40" i="16"/>
  <c r="M40" i="16"/>
  <c r="L40" i="16"/>
  <c r="K40" i="16"/>
  <c r="J40" i="16"/>
  <c r="I40" i="16"/>
  <c r="H40" i="16"/>
  <c r="F40" i="16"/>
  <c r="Q39" i="16"/>
  <c r="P39" i="16"/>
  <c r="O39" i="16"/>
  <c r="M39" i="16"/>
  <c r="L39" i="16"/>
  <c r="K39" i="16"/>
  <c r="J39" i="16"/>
  <c r="I39" i="16"/>
  <c r="H39" i="16"/>
  <c r="T38" i="16"/>
  <c r="M38" i="16"/>
  <c r="L38" i="16"/>
  <c r="K38" i="16"/>
  <c r="J38" i="16"/>
  <c r="I38" i="16"/>
  <c r="Q36" i="16"/>
  <c r="P36" i="16"/>
  <c r="O36" i="16"/>
  <c r="N36" i="16"/>
  <c r="M36" i="16"/>
  <c r="L36" i="16"/>
  <c r="K36" i="16"/>
  <c r="J36" i="16"/>
  <c r="I36" i="16"/>
  <c r="H36" i="16"/>
  <c r="F36" i="16"/>
  <c r="Q35" i="16"/>
  <c r="P35" i="16"/>
  <c r="O35" i="16"/>
  <c r="N35" i="16"/>
  <c r="M35" i="16"/>
  <c r="L35" i="16"/>
  <c r="K35" i="16"/>
  <c r="J35" i="16"/>
  <c r="I35" i="16"/>
  <c r="H35" i="16"/>
  <c r="F35" i="16"/>
  <c r="T34" i="16"/>
  <c r="O34" i="16"/>
  <c r="G34" i="16"/>
  <c r="G57" i="16" s="1"/>
  <c r="D34" i="16"/>
  <c r="DI33" i="16"/>
  <c r="DH33" i="16"/>
  <c r="DG33" i="16"/>
  <c r="Q33" i="16"/>
  <c r="P33" i="16"/>
  <c r="O33" i="16"/>
  <c r="N33" i="16"/>
  <c r="M33" i="16"/>
  <c r="L33" i="16"/>
  <c r="K33" i="16"/>
  <c r="J33" i="16"/>
  <c r="I33" i="16"/>
  <c r="H33" i="16"/>
  <c r="F33" i="16"/>
  <c r="PF32" i="16"/>
  <c r="PF34" i="16" s="1"/>
  <c r="OS24" i="16" s="1"/>
  <c r="PF24" i="16" s="1"/>
  <c r="DI32" i="16"/>
  <c r="DH32" i="16"/>
  <c r="DG32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T29" i="16"/>
  <c r="J29" i="16"/>
  <c r="I29" i="16"/>
  <c r="H29" i="16"/>
  <c r="G29" i="16"/>
  <c r="PF27" i="16"/>
  <c r="Q27" i="16"/>
  <c r="P27" i="16"/>
  <c r="O27" i="16"/>
  <c r="M27" i="16"/>
  <c r="L27" i="16"/>
  <c r="K27" i="16"/>
  <c r="J27" i="16"/>
  <c r="I27" i="16"/>
  <c r="H27" i="16"/>
  <c r="G27" i="16"/>
  <c r="F27" i="16"/>
  <c r="AEG26" i="16"/>
  <c r="PF26" i="16"/>
  <c r="OO26" i="16"/>
  <c r="OO32" i="16" s="1"/>
  <c r="Q26" i="16"/>
  <c r="P26" i="16"/>
  <c r="O26" i="16"/>
  <c r="M26" i="16"/>
  <c r="L26" i="16"/>
  <c r="K26" i="16"/>
  <c r="J26" i="16"/>
  <c r="I26" i="16"/>
  <c r="H26" i="16"/>
  <c r="G26" i="16"/>
  <c r="F26" i="16"/>
  <c r="AEG25" i="16"/>
  <c r="AEE25" i="16"/>
  <c r="T25" i="16"/>
  <c r="M25" i="16"/>
  <c r="L25" i="16"/>
  <c r="J25" i="16"/>
  <c r="I25" i="16"/>
  <c r="H25" i="16"/>
  <c r="G25" i="16"/>
  <c r="D25" i="16"/>
  <c r="M22" i="16"/>
  <c r="D22" i="16"/>
  <c r="AER20" i="16"/>
  <c r="AEG20" i="16"/>
  <c r="PF20" i="16"/>
  <c r="Q20" i="16"/>
  <c r="P20" i="16"/>
  <c r="O20" i="16"/>
  <c r="M20" i="16"/>
  <c r="L20" i="16"/>
  <c r="K20" i="16"/>
  <c r="J20" i="16"/>
  <c r="I20" i="16"/>
  <c r="H20" i="16"/>
  <c r="G20" i="16"/>
  <c r="F20" i="16"/>
  <c r="D20" i="16"/>
  <c r="AEG19" i="16"/>
  <c r="AER19" i="16" s="1"/>
  <c r="Q19" i="16"/>
  <c r="P19" i="16"/>
  <c r="O19" i="16"/>
  <c r="M19" i="16"/>
  <c r="L19" i="16"/>
  <c r="K19" i="16"/>
  <c r="J19" i="16"/>
  <c r="I19" i="16"/>
  <c r="H19" i="16"/>
  <c r="G19" i="16"/>
  <c r="F19" i="16"/>
  <c r="D19" i="16"/>
  <c r="AGV17" i="16"/>
  <c r="OR17" i="16"/>
  <c r="Q17" i="16"/>
  <c r="P17" i="16"/>
  <c r="M17" i="16"/>
  <c r="L17" i="16"/>
  <c r="K17" i="16"/>
  <c r="J17" i="16"/>
  <c r="I17" i="16"/>
  <c r="H17" i="16"/>
  <c r="G17" i="16"/>
  <c r="F17" i="16"/>
  <c r="AGV16" i="16"/>
  <c r="AGV19" i="16" s="1"/>
  <c r="OR16" i="16"/>
  <c r="DI16" i="16"/>
  <c r="DH16" i="16"/>
  <c r="DG16" i="16"/>
  <c r="Q16" i="16"/>
  <c r="P16" i="16"/>
  <c r="M16" i="16"/>
  <c r="L16" i="16"/>
  <c r="K16" i="16"/>
  <c r="J16" i="16"/>
  <c r="I16" i="16"/>
  <c r="H16" i="16"/>
  <c r="G16" i="16"/>
  <c r="F16" i="16"/>
  <c r="OR15" i="16"/>
  <c r="OS17" i="16" s="1"/>
  <c r="Q15" i="16"/>
  <c r="P15" i="16"/>
  <c r="M15" i="16"/>
  <c r="L15" i="16"/>
  <c r="Q14" i="16"/>
  <c r="P14" i="16"/>
  <c r="O14" i="16"/>
  <c r="N14" i="16"/>
  <c r="M14" i="16"/>
  <c r="L14" i="16"/>
  <c r="K14" i="16"/>
  <c r="J14" i="16"/>
  <c r="I14" i="16"/>
  <c r="Q13" i="16"/>
  <c r="P13" i="16"/>
  <c r="AX13" i="16" s="1"/>
  <c r="M13" i="16"/>
  <c r="L13" i="16"/>
  <c r="H13" i="16"/>
  <c r="G13" i="16"/>
  <c r="F13" i="16"/>
  <c r="Q12" i="16"/>
  <c r="P12" i="16"/>
  <c r="M12" i="16"/>
  <c r="L12" i="16"/>
  <c r="K12" i="16"/>
  <c r="J12" i="16"/>
  <c r="I12" i="16"/>
  <c r="I65" i="16" s="1"/>
  <c r="H12" i="16"/>
  <c r="G12" i="16"/>
  <c r="F12" i="16"/>
  <c r="AEE11" i="16"/>
  <c r="AEE26" i="16" s="1"/>
  <c r="Q11" i="16"/>
  <c r="P11" i="16"/>
  <c r="O11" i="16"/>
  <c r="M11" i="16"/>
  <c r="L11" i="16"/>
  <c r="K11" i="16"/>
  <c r="J11" i="16"/>
  <c r="I11" i="16"/>
  <c r="H11" i="16"/>
  <c r="H10" i="16" s="1"/>
  <c r="G11" i="16"/>
  <c r="F11" i="16"/>
  <c r="F10" i="16" s="1"/>
  <c r="Q9" i="16"/>
  <c r="P9" i="16"/>
  <c r="O9" i="16"/>
  <c r="M9" i="16"/>
  <c r="L9" i="16"/>
  <c r="K9" i="16"/>
  <c r="J9" i="16"/>
  <c r="I9" i="16"/>
  <c r="H9" i="16"/>
  <c r="G9" i="16"/>
  <c r="F9" i="16"/>
  <c r="Q8" i="16"/>
  <c r="P8" i="16"/>
  <c r="O8" i="16"/>
  <c r="M8" i="16"/>
  <c r="L8" i="16"/>
  <c r="K8" i="16"/>
  <c r="J8" i="16"/>
  <c r="I8" i="16"/>
  <c r="H8" i="16"/>
  <c r="G8" i="16"/>
  <c r="F8" i="16"/>
  <c r="M65" i="16" l="1"/>
  <c r="G24" i="28"/>
  <c r="H182" i="16"/>
  <c r="M183" i="16"/>
  <c r="M62" i="16"/>
  <c r="K51" i="16"/>
  <c r="P235" i="16"/>
  <c r="F34" i="16"/>
  <c r="F57" i="16" s="1"/>
  <c r="M213" i="16"/>
  <c r="M34" i="16"/>
  <c r="M57" i="16" s="1"/>
  <c r="J60" i="16"/>
  <c r="Q38" i="16"/>
  <c r="Q60" i="16" s="1"/>
  <c r="Q25" i="16"/>
  <c r="Q54" i="16" s="1"/>
  <c r="P38" i="16"/>
  <c r="Q235" i="16"/>
  <c r="P157" i="16"/>
  <c r="P158" i="16" s="1"/>
  <c r="J10" i="16"/>
  <c r="H43" i="16"/>
  <c r="H62" i="16" s="1"/>
  <c r="L182" i="16"/>
  <c r="O10" i="16"/>
  <c r="J104" i="16"/>
  <c r="F29" i="16"/>
  <c r="F55" i="16" s="1"/>
  <c r="N29" i="16"/>
  <c r="N56" i="16" s="1"/>
  <c r="Q65" i="16"/>
  <c r="M192" i="16"/>
  <c r="M193" i="16" s="1"/>
  <c r="L69" i="16"/>
  <c r="Q43" i="16"/>
  <c r="Q62" i="16" s="1"/>
  <c r="Q67" i="16"/>
  <c r="G103" i="16"/>
  <c r="G104" i="16" s="1"/>
  <c r="T104" i="16" s="1"/>
  <c r="I62" i="16"/>
  <c r="O29" i="16"/>
  <c r="O56" i="16" s="1"/>
  <c r="K29" i="16"/>
  <c r="K56" i="16" s="1"/>
  <c r="F86" i="16"/>
  <c r="G213" i="16"/>
  <c r="O216" i="16"/>
  <c r="L127" i="16"/>
  <c r="J131" i="16"/>
  <c r="J132" i="16" s="1"/>
  <c r="P10" i="16"/>
  <c r="K25" i="16"/>
  <c r="K53" i="16" s="1"/>
  <c r="G157" i="16"/>
  <c r="G158" i="16" s="1"/>
  <c r="T158" i="16" s="1"/>
  <c r="N34" i="16"/>
  <c r="N57" i="16" s="1"/>
  <c r="O140" i="16"/>
  <c r="G67" i="16"/>
  <c r="T190" i="16"/>
  <c r="Q242" i="16"/>
  <c r="K126" i="16"/>
  <c r="I56" i="16"/>
  <c r="O57" i="16"/>
  <c r="I169" i="16"/>
  <c r="Q69" i="16"/>
  <c r="I86" i="16"/>
  <c r="Q86" i="16"/>
  <c r="H113" i="16"/>
  <c r="L235" i="16"/>
  <c r="P242" i="16"/>
  <c r="I69" i="16"/>
  <c r="Q34" i="16"/>
  <c r="Q58" i="16" s="1"/>
  <c r="L103" i="16"/>
  <c r="L104" i="16" s="1"/>
  <c r="M235" i="16"/>
  <c r="J65" i="16"/>
  <c r="T78" i="16"/>
  <c r="P103" i="16"/>
  <c r="P104" i="16" s="1"/>
  <c r="F167" i="16"/>
  <c r="F188" i="16" s="1"/>
  <c r="L52" i="16"/>
  <c r="G48" i="16"/>
  <c r="G61" i="16"/>
  <c r="P61" i="16"/>
  <c r="M150" i="16"/>
  <c r="L192" i="16"/>
  <c r="L193" i="16" s="1"/>
  <c r="N202" i="16"/>
  <c r="J53" i="16"/>
  <c r="L54" i="16"/>
  <c r="O58" i="16"/>
  <c r="G72" i="16"/>
  <c r="I123" i="16"/>
  <c r="S143" i="16"/>
  <c r="U143" i="16" s="1"/>
  <c r="N215" i="16"/>
  <c r="K216" i="16"/>
  <c r="P52" i="16"/>
  <c r="L53" i="16"/>
  <c r="F25" i="16"/>
  <c r="F54" i="16" s="1"/>
  <c r="G62" i="16"/>
  <c r="P69" i="16"/>
  <c r="FN69" i="16" s="1"/>
  <c r="O97" i="16"/>
  <c r="J182" i="16"/>
  <c r="M216" i="16"/>
  <c r="G209" i="16"/>
  <c r="G216" i="16" s="1"/>
  <c r="M53" i="16"/>
  <c r="G56" i="16"/>
  <c r="Q221" i="16"/>
  <c r="G85" i="16"/>
  <c r="P97" i="16"/>
  <c r="Q150" i="16"/>
  <c r="K157" i="16"/>
  <c r="K158" i="16" s="1"/>
  <c r="N212" i="16"/>
  <c r="O70" i="16"/>
  <c r="O51" i="16"/>
  <c r="K34" i="16"/>
  <c r="K57" i="16" s="1"/>
  <c r="I59" i="16"/>
  <c r="K72" i="16"/>
  <c r="G76" i="16"/>
  <c r="G77" i="16" s="1"/>
  <c r="T77" i="16" s="1"/>
  <c r="T75" i="16" s="1"/>
  <c r="T85" i="16" s="1"/>
  <c r="K242" i="16"/>
  <c r="F96" i="16"/>
  <c r="N96" i="16"/>
  <c r="J113" i="16"/>
  <c r="F103" i="16"/>
  <c r="F104" i="16" s="1"/>
  <c r="N103" i="16"/>
  <c r="N104" i="16" s="1"/>
  <c r="P182" i="16"/>
  <c r="F201" i="16"/>
  <c r="H34" i="16"/>
  <c r="H57" i="16" s="1"/>
  <c r="P34" i="16"/>
  <c r="P58" i="16" s="1"/>
  <c r="K59" i="16"/>
  <c r="I60" i="16"/>
  <c r="O61" i="16"/>
  <c r="K43" i="16"/>
  <c r="K61" i="16" s="1"/>
  <c r="N86" i="16"/>
  <c r="J76" i="16"/>
  <c r="J77" i="16" s="1"/>
  <c r="F202" i="16"/>
  <c r="Q216" i="16"/>
  <c r="S14" i="16"/>
  <c r="M70" i="16"/>
  <c r="H52" i="16"/>
  <c r="Q52" i="16"/>
  <c r="G54" i="16"/>
  <c r="J55" i="16"/>
  <c r="S42" i="16"/>
  <c r="U42" i="16" s="1"/>
  <c r="S66" i="16"/>
  <c r="U66" i="16" s="1"/>
  <c r="N67" i="16"/>
  <c r="Q72" i="16"/>
  <c r="S78" i="16"/>
  <c r="J86" i="16"/>
  <c r="F76" i="16"/>
  <c r="F77" i="16" s="1"/>
  <c r="N76" i="16"/>
  <c r="N77" i="16" s="1"/>
  <c r="G96" i="16"/>
  <c r="O96" i="16"/>
  <c r="K97" i="16"/>
  <c r="G92" i="16"/>
  <c r="G99" i="16" s="1"/>
  <c r="K113" i="16"/>
  <c r="K123" i="16"/>
  <c r="G124" i="16"/>
  <c r="O124" i="16"/>
  <c r="O120" i="16"/>
  <c r="O127" i="16" s="1"/>
  <c r="F150" i="16"/>
  <c r="H158" i="16"/>
  <c r="J184" i="16"/>
  <c r="L199" i="16"/>
  <c r="I202" i="16"/>
  <c r="J212" i="16"/>
  <c r="G235" i="16"/>
  <c r="I242" i="16"/>
  <c r="I52" i="16"/>
  <c r="O25" i="16"/>
  <c r="O53" i="16" s="1"/>
  <c r="H54" i="16"/>
  <c r="K60" i="16"/>
  <c r="L65" i="16"/>
  <c r="M76" i="16"/>
  <c r="M77" i="16" s="1"/>
  <c r="J84" i="16"/>
  <c r="P99" i="16"/>
  <c r="L97" i="16"/>
  <c r="O93" i="16"/>
  <c r="L113" i="16"/>
  <c r="H124" i="16"/>
  <c r="P124" i="16"/>
  <c r="P120" i="16"/>
  <c r="P127" i="16" s="1"/>
  <c r="K151" i="16"/>
  <c r="I150" i="16"/>
  <c r="H165" i="16"/>
  <c r="H186" i="16" s="1"/>
  <c r="M169" i="16"/>
  <c r="M184" i="16"/>
  <c r="P192" i="16"/>
  <c r="P193" i="16" s="1"/>
  <c r="P199" i="16"/>
  <c r="K213" i="16"/>
  <c r="G70" i="16"/>
  <c r="S13" i="16"/>
  <c r="G51" i="16"/>
  <c r="J52" i="16"/>
  <c r="G53" i="16"/>
  <c r="H56" i="16"/>
  <c r="S33" i="16"/>
  <c r="F62" i="16"/>
  <c r="Q76" i="16"/>
  <c r="Q77" i="16" s="1"/>
  <c r="P93" i="16"/>
  <c r="P100" i="16" s="1"/>
  <c r="P113" i="16"/>
  <c r="I124" i="16"/>
  <c r="G131" i="16"/>
  <c r="G132" i="16" s="1"/>
  <c r="T132" i="16" s="1"/>
  <c r="L154" i="16"/>
  <c r="J150" i="16"/>
  <c r="U162" i="16"/>
  <c r="U166" i="16" s="1"/>
  <c r="L165" i="16"/>
  <c r="L186" i="16" s="1"/>
  <c r="H167" i="16"/>
  <c r="H188" i="16" s="1"/>
  <c r="Q169" i="16"/>
  <c r="Q192" i="16"/>
  <c r="Q193" i="16" s="1"/>
  <c r="Q199" i="16"/>
  <c r="L213" i="16"/>
  <c r="S218" i="16"/>
  <c r="U218" i="16" s="1"/>
  <c r="S220" i="16"/>
  <c r="U220" i="16" s="1"/>
  <c r="G10" i="16"/>
  <c r="M67" i="16"/>
  <c r="Q51" i="16"/>
  <c r="H53" i="16"/>
  <c r="J54" i="16"/>
  <c r="Q29" i="16"/>
  <c r="Q56" i="16" s="1"/>
  <c r="L34" i="16"/>
  <c r="L57" i="16" s="1"/>
  <c r="I34" i="16"/>
  <c r="I58" i="16" s="1"/>
  <c r="J61" i="16"/>
  <c r="O62" i="16"/>
  <c r="O72" i="16"/>
  <c r="M86" i="16"/>
  <c r="N84" i="16"/>
  <c r="G86" i="16"/>
  <c r="S86" i="16" s="1"/>
  <c r="U86" i="16" s="1"/>
  <c r="J96" i="16"/>
  <c r="N92" i="16"/>
  <c r="H97" i="16"/>
  <c r="F113" i="16"/>
  <c r="N113" i="16"/>
  <c r="F123" i="16"/>
  <c r="N123" i="16"/>
  <c r="F119" i="16"/>
  <c r="G120" i="16"/>
  <c r="K131" i="16"/>
  <c r="K132" i="16" s="1"/>
  <c r="M146" i="16"/>
  <c r="M186" i="16"/>
  <c r="Q157" i="16"/>
  <c r="Q158" i="16" s="1"/>
  <c r="H201" i="16"/>
  <c r="Q202" i="16"/>
  <c r="O213" i="16"/>
  <c r="I51" i="16"/>
  <c r="G23" i="16"/>
  <c r="G22" i="16" s="1"/>
  <c r="S30" i="16"/>
  <c r="H38" i="16"/>
  <c r="H60" i="16" s="1"/>
  <c r="P65" i="16"/>
  <c r="K86" i="16"/>
  <c r="K96" i="16"/>
  <c r="O92" i="16"/>
  <c r="O99" i="16" s="1"/>
  <c r="O126" i="16"/>
  <c r="J112" i="16"/>
  <c r="G123" i="16"/>
  <c r="O123" i="16"/>
  <c r="K124" i="16"/>
  <c r="G119" i="16"/>
  <c r="G126" i="16" s="1"/>
  <c r="H120" i="16"/>
  <c r="U120" i="16" s="1"/>
  <c r="O131" i="16"/>
  <c r="O132" i="16" s="1"/>
  <c r="N150" i="16"/>
  <c r="P165" i="16"/>
  <c r="P186" i="16" s="1"/>
  <c r="S190" i="16"/>
  <c r="U190" i="16" s="1"/>
  <c r="L201" i="16"/>
  <c r="Q213" i="16"/>
  <c r="O235" i="16"/>
  <c r="K235" i="16"/>
  <c r="F92" i="16"/>
  <c r="K10" i="16"/>
  <c r="M52" i="16"/>
  <c r="L61" i="16"/>
  <c r="S49" i="16"/>
  <c r="H65" i="16"/>
  <c r="O86" i="16"/>
  <c r="G93" i="16"/>
  <c r="G100" i="16" s="1"/>
  <c r="L124" i="16"/>
  <c r="M124" i="16"/>
  <c r="G151" i="16"/>
  <c r="O151" i="16"/>
  <c r="Q146" i="16"/>
  <c r="T163" i="16"/>
  <c r="T167" i="16" s="1"/>
  <c r="H199" i="16"/>
  <c r="N201" i="16"/>
  <c r="L216" i="16"/>
  <c r="J123" i="16"/>
  <c r="L10" i="16"/>
  <c r="K70" i="16"/>
  <c r="H55" i="16"/>
  <c r="S35" i="16"/>
  <c r="J59" i="16"/>
  <c r="J62" i="16"/>
  <c r="S74" i="16"/>
  <c r="U74" i="16" s="1"/>
  <c r="F85" i="16"/>
  <c r="O103" i="16"/>
  <c r="O104" i="16" s="1"/>
  <c r="J119" i="16"/>
  <c r="K120" i="16"/>
  <c r="K127" i="16" s="1"/>
  <c r="K137" i="16"/>
  <c r="K140" i="16"/>
  <c r="H151" i="16"/>
  <c r="P151" i="16"/>
  <c r="L157" i="16"/>
  <c r="L158" i="16" s="1"/>
  <c r="M166" i="16"/>
  <c r="M187" i="16" s="1"/>
  <c r="I192" i="16"/>
  <c r="I193" i="16" s="1"/>
  <c r="I199" i="16"/>
  <c r="M200" i="16"/>
  <c r="S200" i="16" s="1"/>
  <c r="P201" i="16"/>
  <c r="I212" i="16"/>
  <c r="S217" i="16"/>
  <c r="U217" i="16" s="1"/>
  <c r="S219" i="16"/>
  <c r="U219" i="16" s="1"/>
  <c r="AGV24" i="16"/>
  <c r="AGV20" i="16"/>
  <c r="S36" i="16"/>
  <c r="J51" i="16"/>
  <c r="OR63" i="16"/>
  <c r="J69" i="16"/>
  <c r="H85" i="16"/>
  <c r="P221" i="16"/>
  <c r="P85" i="16"/>
  <c r="I97" i="16"/>
  <c r="I93" i="16"/>
  <c r="I100" i="16" s="1"/>
  <c r="M97" i="16"/>
  <c r="M93" i="16"/>
  <c r="M100" i="16" s="1"/>
  <c r="Q97" i="16"/>
  <c r="Q93" i="16"/>
  <c r="Q100" i="16" s="1"/>
  <c r="H67" i="16"/>
  <c r="L67" i="16"/>
  <c r="P67" i="16"/>
  <c r="I70" i="16"/>
  <c r="Q70" i="16"/>
  <c r="H72" i="16"/>
  <c r="L72" i="16"/>
  <c r="S81" i="16"/>
  <c r="J124" i="16"/>
  <c r="S46" i="16"/>
  <c r="F51" i="16"/>
  <c r="F52" i="16"/>
  <c r="I10" i="16"/>
  <c r="M10" i="16"/>
  <c r="Q10" i="16"/>
  <c r="F70" i="16"/>
  <c r="J70" i="16"/>
  <c r="G52" i="16"/>
  <c r="K52" i="16"/>
  <c r="O52" i="16"/>
  <c r="T54" i="16"/>
  <c r="T53" i="16"/>
  <c r="S26" i="16"/>
  <c r="M29" i="16"/>
  <c r="I55" i="16"/>
  <c r="J56" i="16"/>
  <c r="S31" i="16"/>
  <c r="T33" i="16"/>
  <c r="F38" i="16"/>
  <c r="O38" i="16"/>
  <c r="O59" i="16" s="1"/>
  <c r="M51" i="16"/>
  <c r="F61" i="16"/>
  <c r="G69" i="16"/>
  <c r="K69" i="16"/>
  <c r="O69" i="16"/>
  <c r="H99" i="16"/>
  <c r="L92" i="16"/>
  <c r="L96" i="16"/>
  <c r="H96" i="16"/>
  <c r="F120" i="16"/>
  <c r="F124" i="16"/>
  <c r="J127" i="16"/>
  <c r="N120" i="16"/>
  <c r="N124" i="16"/>
  <c r="S117" i="16"/>
  <c r="H51" i="16"/>
  <c r="H70" i="16"/>
  <c r="L51" i="16"/>
  <c r="L70" i="16"/>
  <c r="P51" i="16"/>
  <c r="P70" i="16"/>
  <c r="G55" i="16"/>
  <c r="I53" i="16"/>
  <c r="Q53" i="16"/>
  <c r="L29" i="16"/>
  <c r="P29" i="16"/>
  <c r="OS16" i="16"/>
  <c r="P25" i="16"/>
  <c r="P53" i="16" s="1"/>
  <c r="I54" i="16"/>
  <c r="M54" i="16"/>
  <c r="J34" i="16"/>
  <c r="J23" i="16" s="1"/>
  <c r="J22" i="16" s="1"/>
  <c r="I61" i="16"/>
  <c r="M61" i="16"/>
  <c r="L62" i="16"/>
  <c r="P62" i="16"/>
  <c r="G65" i="16"/>
  <c r="K65" i="16"/>
  <c r="H69" i="16"/>
  <c r="S71" i="16"/>
  <c r="F72" i="16"/>
  <c r="J72" i="16"/>
  <c r="H86" i="16"/>
  <c r="H76" i="16"/>
  <c r="H77" i="16" s="1"/>
  <c r="L86" i="16"/>
  <c r="L76" i="16"/>
  <c r="L77" i="16" s="1"/>
  <c r="P86" i="16"/>
  <c r="P76" i="16"/>
  <c r="P77" i="16" s="1"/>
  <c r="L83" i="16"/>
  <c r="P96" i="16"/>
  <c r="I72" i="16"/>
  <c r="I83" i="16"/>
  <c r="Q83" i="16"/>
  <c r="F97" i="16"/>
  <c r="F93" i="16"/>
  <c r="J97" i="16"/>
  <c r="J93" i="16"/>
  <c r="N97" i="16"/>
  <c r="N93" i="16"/>
  <c r="S90" i="16"/>
  <c r="I113" i="16"/>
  <c r="I103" i="16"/>
  <c r="M113" i="16"/>
  <c r="M103" i="16"/>
  <c r="M104" i="16" s="1"/>
  <c r="M110" i="16"/>
  <c r="M126" i="16" s="1"/>
  <c r="Q113" i="16"/>
  <c r="Q103" i="16"/>
  <c r="Q104" i="16" s="1"/>
  <c r="I127" i="16"/>
  <c r="Q123" i="16"/>
  <c r="I131" i="16"/>
  <c r="I132" i="16" s="1"/>
  <c r="I138" i="16"/>
  <c r="I154" i="16" s="1"/>
  <c r="M131" i="16"/>
  <c r="M132" i="16" s="1"/>
  <c r="M138" i="16"/>
  <c r="M154" i="16" s="1"/>
  <c r="Q131" i="16"/>
  <c r="Q132" i="16" s="1"/>
  <c r="Q138" i="16"/>
  <c r="Q154" i="16" s="1"/>
  <c r="M151" i="16"/>
  <c r="Q151" i="16"/>
  <c r="S174" i="16"/>
  <c r="T174" i="16"/>
  <c r="G183" i="16"/>
  <c r="K183" i="16"/>
  <c r="K178" i="16"/>
  <c r="O183" i="16"/>
  <c r="O178" i="16"/>
  <c r="O187" i="16" s="1"/>
  <c r="S173" i="16"/>
  <c r="G182" i="16"/>
  <c r="T173" i="16"/>
  <c r="T182" i="16" s="1"/>
  <c r="K177" i="16"/>
  <c r="K182" i="16"/>
  <c r="O177" i="16"/>
  <c r="O186" i="16" s="1"/>
  <c r="O182" i="16"/>
  <c r="O65" i="16"/>
  <c r="P72" i="16"/>
  <c r="K76" i="16"/>
  <c r="K77" i="16" s="1"/>
  <c r="K84" i="16"/>
  <c r="K100" i="16" s="1"/>
  <c r="O76" i="16"/>
  <c r="O77" i="16" s="1"/>
  <c r="O84" i="16"/>
  <c r="M83" i="16"/>
  <c r="I92" i="16"/>
  <c r="I96" i="16"/>
  <c r="M92" i="16"/>
  <c r="M96" i="16"/>
  <c r="Q92" i="16"/>
  <c r="Q96" i="16"/>
  <c r="G97" i="16"/>
  <c r="I151" i="16"/>
  <c r="G184" i="16"/>
  <c r="G167" i="16"/>
  <c r="G188" i="16" s="1"/>
  <c r="K167" i="16"/>
  <c r="K188" i="16" s="1"/>
  <c r="U174" i="16"/>
  <c r="Q184" i="16"/>
  <c r="Q179" i="16"/>
  <c r="Q188" i="16" s="1"/>
  <c r="H212" i="16"/>
  <c r="H208" i="16"/>
  <c r="H215" i="16" s="1"/>
  <c r="L208" i="16"/>
  <c r="L215" i="16" s="1"/>
  <c r="L212" i="16"/>
  <c r="P208" i="16"/>
  <c r="P215" i="16" s="1"/>
  <c r="P212" i="16"/>
  <c r="K99" i="16"/>
  <c r="H100" i="16"/>
  <c r="L100" i="16"/>
  <c r="S108" i="16"/>
  <c r="H126" i="16"/>
  <c r="U119" i="16"/>
  <c r="L126" i="16"/>
  <c r="P126" i="16"/>
  <c r="L123" i="16"/>
  <c r="S135" i="16"/>
  <c r="S138" i="16" s="1"/>
  <c r="M139" i="16"/>
  <c r="F140" i="16"/>
  <c r="S140" i="16" s="1"/>
  <c r="N140" i="16"/>
  <c r="J153" i="16"/>
  <c r="N153" i="16"/>
  <c r="H147" i="16"/>
  <c r="P147" i="16"/>
  <c r="P154" i="16" s="1"/>
  <c r="L151" i="16"/>
  <c r="I168" i="16"/>
  <c r="I158" i="16"/>
  <c r="M168" i="16"/>
  <c r="M158" i="16"/>
  <c r="J169" i="16"/>
  <c r="J165" i="16"/>
  <c r="J186" i="16" s="1"/>
  <c r="N165" i="16"/>
  <c r="N186" i="16" s="1"/>
  <c r="N169" i="16"/>
  <c r="S161" i="16"/>
  <c r="S165" i="16" s="1"/>
  <c r="H166" i="16"/>
  <c r="H187" i="16" s="1"/>
  <c r="F169" i="16"/>
  <c r="U173" i="16"/>
  <c r="H183" i="16"/>
  <c r="O188" i="16"/>
  <c r="F213" i="16"/>
  <c r="F192" i="16"/>
  <c r="S197" i="16"/>
  <c r="S80" i="16"/>
  <c r="F83" i="16"/>
  <c r="J83" i="16"/>
  <c r="J99" i="16" s="1"/>
  <c r="N83" i="16"/>
  <c r="S89" i="16"/>
  <c r="Q126" i="16"/>
  <c r="M123" i="16"/>
  <c r="H140" i="16"/>
  <c r="H131" i="16"/>
  <c r="L140" i="16"/>
  <c r="L131" i="16"/>
  <c r="L132" i="16" s="1"/>
  <c r="P140" i="16"/>
  <c r="P131" i="16"/>
  <c r="P132" i="16" s="1"/>
  <c r="G137" i="16"/>
  <c r="O137" i="16"/>
  <c r="F139" i="16"/>
  <c r="S139" i="16" s="1"/>
  <c r="N139" i="16"/>
  <c r="G146" i="16"/>
  <c r="G150" i="16"/>
  <c r="K146" i="16"/>
  <c r="K150" i="16"/>
  <c r="O146" i="16"/>
  <c r="O150" i="16"/>
  <c r="F168" i="16"/>
  <c r="S168" i="16" s="1"/>
  <c r="J168" i="16"/>
  <c r="N168" i="16"/>
  <c r="N157" i="16"/>
  <c r="N158" i="16" s="1"/>
  <c r="G169" i="16"/>
  <c r="K169" i="16"/>
  <c r="O169" i="16"/>
  <c r="U161" i="16"/>
  <c r="U165" i="16" s="1"/>
  <c r="Q166" i="16"/>
  <c r="H169" i="16"/>
  <c r="I183" i="16"/>
  <c r="Q183" i="16"/>
  <c r="L183" i="16"/>
  <c r="N192" i="16"/>
  <c r="N193" i="16" s="1"/>
  <c r="G192" i="16"/>
  <c r="G202" i="16"/>
  <c r="K192" i="16"/>
  <c r="K193" i="16" s="1"/>
  <c r="K215" i="16"/>
  <c r="K202" i="16"/>
  <c r="K201" i="16"/>
  <c r="O192" i="16"/>
  <c r="O193" i="16" s="1"/>
  <c r="O201" i="16"/>
  <c r="O199" i="16"/>
  <c r="G199" i="16"/>
  <c r="G215" i="16"/>
  <c r="O215" i="16"/>
  <c r="F242" i="16"/>
  <c r="Q85" i="16"/>
  <c r="T89" i="16"/>
  <c r="T96" i="16" s="1"/>
  <c r="K103" i="16"/>
  <c r="F111" i="16"/>
  <c r="N111" i="16"/>
  <c r="F112" i="16"/>
  <c r="S112" i="16" s="1"/>
  <c r="N112" i="16"/>
  <c r="G113" i="16"/>
  <c r="O113" i="16"/>
  <c r="M127" i="16"/>
  <c r="Q127" i="16"/>
  <c r="I126" i="16"/>
  <c r="H123" i="16"/>
  <c r="P123" i="16"/>
  <c r="Q124" i="16"/>
  <c r="F131" i="16"/>
  <c r="F132" i="16" s="1"/>
  <c r="N131" i="16"/>
  <c r="N132" i="16" s="1"/>
  <c r="I140" i="16"/>
  <c r="M140" i="16"/>
  <c r="Q140" i="16"/>
  <c r="H137" i="16"/>
  <c r="H153" i="16" s="1"/>
  <c r="P137" i="16"/>
  <c r="P153" i="16" s="1"/>
  <c r="I139" i="16"/>
  <c r="Q139" i="16"/>
  <c r="J140" i="16"/>
  <c r="H150" i="16"/>
  <c r="L150" i="16"/>
  <c r="P150" i="16"/>
  <c r="F151" i="16"/>
  <c r="J151" i="16"/>
  <c r="N151" i="16"/>
  <c r="L146" i="16"/>
  <c r="L153" i="16" s="1"/>
  <c r="F157" i="16"/>
  <c r="F158" i="16" s="1"/>
  <c r="J157" i="16"/>
  <c r="O157" i="16"/>
  <c r="O158" i="16" s="1"/>
  <c r="N167" i="16"/>
  <c r="N188" i="16" s="1"/>
  <c r="N184" i="16"/>
  <c r="S163" i="16"/>
  <c r="S167" i="16" s="1"/>
  <c r="K165" i="16"/>
  <c r="L166" i="16"/>
  <c r="L187" i="16" s="1"/>
  <c r="L169" i="16"/>
  <c r="N182" i="16"/>
  <c r="P179" i="16"/>
  <c r="P188" i="16" s="1"/>
  <c r="P184" i="16"/>
  <c r="P187" i="16"/>
  <c r="F182" i="16"/>
  <c r="G212" i="16"/>
  <c r="K212" i="16"/>
  <c r="O212" i="16"/>
  <c r="H209" i="16"/>
  <c r="H213" i="16"/>
  <c r="S206" i="16"/>
  <c r="P209" i="16"/>
  <c r="P216" i="16" s="1"/>
  <c r="P213" i="16"/>
  <c r="S107" i="16"/>
  <c r="F110" i="16"/>
  <c r="J110" i="16"/>
  <c r="J126" i="16" s="1"/>
  <c r="N110" i="16"/>
  <c r="N126" i="16" s="1"/>
  <c r="S116" i="16"/>
  <c r="T117" i="16"/>
  <c r="T124" i="16" s="1"/>
  <c r="I137" i="16"/>
  <c r="I153" i="16" s="1"/>
  <c r="M137" i="16"/>
  <c r="Q137" i="16"/>
  <c r="S144" i="16"/>
  <c r="U144" i="16" s="1"/>
  <c r="F146" i="16"/>
  <c r="F147" i="16"/>
  <c r="J147" i="16"/>
  <c r="J154" i="16" s="1"/>
  <c r="N147" i="16"/>
  <c r="N154" i="16" s="1"/>
  <c r="S162" i="16"/>
  <c r="S166" i="16" s="1"/>
  <c r="U163" i="16"/>
  <c r="U167" i="16" s="1"/>
  <c r="I165" i="16"/>
  <c r="I186" i="16" s="1"/>
  <c r="F166" i="16"/>
  <c r="F187" i="16" s="1"/>
  <c r="L167" i="16"/>
  <c r="L188" i="16" s="1"/>
  <c r="I182" i="16"/>
  <c r="M182" i="16"/>
  <c r="Q182" i="16"/>
  <c r="P183" i="16"/>
  <c r="Q177" i="16"/>
  <c r="Q186" i="16" s="1"/>
  <c r="Q178" i="16"/>
  <c r="I213" i="16"/>
  <c r="T116" i="16"/>
  <c r="T123" i="16" s="1"/>
  <c r="S134" i="16"/>
  <c r="T144" i="16"/>
  <c r="G147" i="16"/>
  <c r="K147" i="16"/>
  <c r="K154" i="16" s="1"/>
  <c r="O147" i="16"/>
  <c r="O154" i="16" s="1"/>
  <c r="M188" i="16"/>
  <c r="I184" i="16"/>
  <c r="J199" i="16"/>
  <c r="J201" i="16"/>
  <c r="J192" i="16"/>
  <c r="S196" i="16"/>
  <c r="F212" i="16"/>
  <c r="F208" i="16"/>
  <c r="S205" i="16"/>
  <c r="J213" i="16"/>
  <c r="J209" i="16"/>
  <c r="J216" i="16" s="1"/>
  <c r="N213" i="16"/>
  <c r="N209" i="16"/>
  <c r="N216" i="16" s="1"/>
  <c r="J208" i="16"/>
  <c r="J215" i="16" s="1"/>
  <c r="F216" i="16"/>
  <c r="I209" i="16"/>
  <c r="I216" i="16" s="1"/>
  <c r="Q212" i="16"/>
  <c r="F235" i="16"/>
  <c r="J183" i="16"/>
  <c r="N183" i="16"/>
  <c r="O184" i="16"/>
  <c r="N178" i="16"/>
  <c r="N187" i="16" s="1"/>
  <c r="M199" i="16"/>
  <c r="M202" i="16"/>
  <c r="I215" i="16"/>
  <c r="M215" i="16"/>
  <c r="Q215" i="16"/>
  <c r="M212" i="16"/>
  <c r="F58" i="16" l="1"/>
  <c r="N58" i="16"/>
  <c r="F56" i="16"/>
  <c r="M58" i="16"/>
  <c r="T93" i="16"/>
  <c r="T100" i="16" s="1"/>
  <c r="K54" i="16"/>
  <c r="N55" i="16"/>
  <c r="S29" i="16"/>
  <c r="S55" i="16" s="1"/>
  <c r="F48" i="16"/>
  <c r="M23" i="16"/>
  <c r="M153" i="16"/>
  <c r="K58" i="16"/>
  <c r="M48" i="16"/>
  <c r="O55" i="16"/>
  <c r="H59" i="16"/>
  <c r="AX30" i="16"/>
  <c r="Q59" i="16"/>
  <c r="T119" i="16"/>
  <c r="T126" i="16" s="1"/>
  <c r="S213" i="16"/>
  <c r="H61" i="16"/>
  <c r="T92" i="16"/>
  <c r="T99" i="16" s="1"/>
  <c r="U30" i="16"/>
  <c r="S92" i="16"/>
  <c r="F53" i="16"/>
  <c r="S221" i="16"/>
  <c r="U221" i="16" s="1"/>
  <c r="S85" i="16"/>
  <c r="U85" i="16" s="1"/>
  <c r="K55" i="16"/>
  <c r="OR66" i="16"/>
  <c r="T183" i="16"/>
  <c r="Q61" i="16"/>
  <c r="S67" i="16"/>
  <c r="AX67" i="16" s="1"/>
  <c r="O60" i="16"/>
  <c r="F99" i="16"/>
  <c r="L47" i="16"/>
  <c r="L58" i="16"/>
  <c r="O153" i="16"/>
  <c r="S158" i="16"/>
  <c r="Q153" i="16"/>
  <c r="I57" i="16"/>
  <c r="M99" i="16"/>
  <c r="F59" i="16"/>
  <c r="H48" i="16"/>
  <c r="F126" i="16"/>
  <c r="H58" i="16"/>
  <c r="S131" i="16"/>
  <c r="S129" i="16" s="1"/>
  <c r="K153" i="16"/>
  <c r="T131" i="16"/>
  <c r="T129" i="16" s="1"/>
  <c r="P57" i="16"/>
  <c r="Q57" i="16"/>
  <c r="OR65" i="16"/>
  <c r="Q47" i="16"/>
  <c r="H23" i="16"/>
  <c r="H22" i="16" s="1"/>
  <c r="S199" i="16"/>
  <c r="N100" i="16"/>
  <c r="U33" i="16"/>
  <c r="P48" i="16"/>
  <c r="S132" i="16"/>
  <c r="Q48" i="16"/>
  <c r="S123" i="16"/>
  <c r="Q99" i="16"/>
  <c r="J100" i="16"/>
  <c r="U168" i="16"/>
  <c r="S124" i="16"/>
  <c r="S77" i="16"/>
  <c r="U77" i="16" s="1"/>
  <c r="T103" i="16"/>
  <c r="T102" i="16" s="1"/>
  <c r="N99" i="16"/>
  <c r="P47" i="16"/>
  <c r="S34" i="16"/>
  <c r="U34" i="16" s="1"/>
  <c r="K62" i="16"/>
  <c r="S97" i="16"/>
  <c r="M56" i="16"/>
  <c r="O100" i="16"/>
  <c r="K48" i="16"/>
  <c r="K23" i="16"/>
  <c r="K22" i="16" s="1"/>
  <c r="T157" i="16"/>
  <c r="T156" i="16" s="1"/>
  <c r="O54" i="16"/>
  <c r="I23" i="16"/>
  <c r="I22" i="16" s="1"/>
  <c r="Q55" i="16"/>
  <c r="U35" i="16"/>
  <c r="T113" i="16"/>
  <c r="M55" i="16"/>
  <c r="Q187" i="16"/>
  <c r="U139" i="16"/>
  <c r="U112" i="16"/>
  <c r="S113" i="16"/>
  <c r="U113" i="16" s="1"/>
  <c r="I99" i="16"/>
  <c r="S202" i="16"/>
  <c r="J58" i="16"/>
  <c r="P55" i="16"/>
  <c r="H127" i="16"/>
  <c r="L48" i="16"/>
  <c r="S201" i="16"/>
  <c r="S169" i="16"/>
  <c r="U90" i="16"/>
  <c r="M47" i="16"/>
  <c r="G127" i="16"/>
  <c r="T120" i="16"/>
  <c r="T127" i="16" s="1"/>
  <c r="S119" i="16"/>
  <c r="T146" i="16"/>
  <c r="G153" i="16"/>
  <c r="L23" i="16"/>
  <c r="L22" i="16" s="1"/>
  <c r="S212" i="16"/>
  <c r="J193" i="16"/>
  <c r="U117" i="16"/>
  <c r="S147" i="16"/>
  <c r="S154" i="16" s="1"/>
  <c r="F154" i="16"/>
  <c r="H216" i="16"/>
  <c r="S209" i="16"/>
  <c r="S216" i="16" s="1"/>
  <c r="U135" i="16"/>
  <c r="U138" i="16" s="1"/>
  <c r="U116" i="16"/>
  <c r="H132" i="16"/>
  <c r="S182" i="16"/>
  <c r="F127" i="16"/>
  <c r="S120" i="16"/>
  <c r="L99" i="16"/>
  <c r="U46" i="16"/>
  <c r="U81" i="16"/>
  <c r="S84" i="16"/>
  <c r="U84" i="16" s="1"/>
  <c r="F23" i="16"/>
  <c r="P54" i="16"/>
  <c r="S137" i="16"/>
  <c r="U134" i="16"/>
  <c r="U137" i="16" s="1"/>
  <c r="L56" i="16"/>
  <c r="S208" i="16"/>
  <c r="S215" i="16" s="1"/>
  <c r="F215" i="16"/>
  <c r="T147" i="16"/>
  <c r="G154" i="16"/>
  <c r="F153" i="16"/>
  <c r="S146" i="16"/>
  <c r="U146" i="16" s="1"/>
  <c r="K104" i="16"/>
  <c r="U169" i="16"/>
  <c r="U140" i="16"/>
  <c r="S104" i="16"/>
  <c r="S179" i="16"/>
  <c r="H154" i="16"/>
  <c r="U108" i="16"/>
  <c r="U111" i="16" s="1"/>
  <c r="U127" i="16" s="1"/>
  <c r="S111" i="16"/>
  <c r="K186" i="16"/>
  <c r="U177" i="16"/>
  <c r="U186" i="16" s="1"/>
  <c r="S177" i="16"/>
  <c r="S186" i="16" s="1"/>
  <c r="T177" i="16"/>
  <c r="T186" i="16" s="1"/>
  <c r="K187" i="16"/>
  <c r="S178" i="16"/>
  <c r="S187" i="16" s="1"/>
  <c r="T178" i="16"/>
  <c r="T187" i="16" s="1"/>
  <c r="U178" i="16"/>
  <c r="U187" i="16" s="1"/>
  <c r="S183" i="16"/>
  <c r="I104" i="16"/>
  <c r="N127" i="16"/>
  <c r="O48" i="16"/>
  <c r="O47" i="16"/>
  <c r="J57" i="16"/>
  <c r="L55" i="16"/>
  <c r="F60" i="16"/>
  <c r="U107" i="16"/>
  <c r="U110" i="16" s="1"/>
  <c r="U126" i="16" s="1"/>
  <c r="S110" i="16"/>
  <c r="S151" i="16"/>
  <c r="S157" i="16"/>
  <c r="S156" i="16" s="1"/>
  <c r="T192" i="16"/>
  <c r="G193" i="16"/>
  <c r="T193" i="16" s="1"/>
  <c r="T179" i="16"/>
  <c r="T169" i="16"/>
  <c r="J158" i="16"/>
  <c r="U158" i="16" s="1"/>
  <c r="S96" i="16"/>
  <c r="U89" i="16"/>
  <c r="U80" i="16"/>
  <c r="S83" i="16"/>
  <c r="U83" i="16" s="1"/>
  <c r="S76" i="16"/>
  <c r="F193" i="16"/>
  <c r="S192" i="16"/>
  <c r="U179" i="16"/>
  <c r="U182" i="16"/>
  <c r="U157" i="16"/>
  <c r="U156" i="16" s="1"/>
  <c r="S103" i="16"/>
  <c r="U103" i="16" s="1"/>
  <c r="U183" i="16"/>
  <c r="S150" i="16"/>
  <c r="F100" i="16"/>
  <c r="S93" i="16"/>
  <c r="P56" i="16"/>
  <c r="U92" i="16"/>
  <c r="J48" i="16"/>
  <c r="U31" i="16"/>
  <c r="AX31" i="16"/>
  <c r="U26" i="16"/>
  <c r="AIV16" i="16"/>
  <c r="AIW16" i="16" s="1"/>
  <c r="U36" i="16"/>
  <c r="S56" i="16" l="1"/>
  <c r="U29" i="16"/>
  <c r="U97" i="16"/>
  <c r="OR67" i="16"/>
  <c r="OR69" i="16" s="1"/>
  <c r="T130" i="16"/>
  <c r="U132" i="16"/>
  <c r="S153" i="16"/>
  <c r="U131" i="16"/>
  <c r="U130" i="16" s="1"/>
  <c r="S130" i="16"/>
  <c r="AX29" i="16"/>
  <c r="S58" i="16"/>
  <c r="S57" i="16"/>
  <c r="U96" i="16"/>
  <c r="S100" i="16"/>
  <c r="S126" i="16"/>
  <c r="S99" i="16"/>
  <c r="S75" i="16"/>
  <c r="U75" i="16" s="1"/>
  <c r="U76" i="16"/>
  <c r="T191" i="16"/>
  <c r="S127" i="16"/>
  <c r="U99" i="16"/>
  <c r="S102" i="16"/>
  <c r="U104" i="16"/>
  <c r="U102" i="16" s="1"/>
  <c r="U147" i="16"/>
  <c r="U192" i="16"/>
  <c r="U93" i="16"/>
  <c r="U100" i="16" s="1"/>
  <c r="U124" i="16"/>
  <c r="S193" i="16"/>
  <c r="S191" i="16" s="1"/>
  <c r="F22" i="16"/>
  <c r="U123" i="16"/>
  <c r="U129" i="16" l="1"/>
  <c r="U193" i="16"/>
  <c r="U191" i="16" s="1"/>
  <c r="J235" i="6" l="1"/>
  <c r="J14" i="6"/>
  <c r="J13" i="6"/>
  <c r="J43" i="6"/>
  <c r="J42" i="6"/>
  <c r="J23" i="6"/>
  <c r="J19" i="6"/>
  <c r="J9" i="6"/>
  <c r="J7" i="6"/>
  <c r="J260" i="6" l="1"/>
  <c r="J258" i="6"/>
  <c r="H42" i="6"/>
  <c r="H13" i="6"/>
  <c r="H23" i="6"/>
  <c r="H43" i="6"/>
  <c r="H19" i="6"/>
  <c r="H9" i="6"/>
  <c r="H7" i="6"/>
  <c r="H258" i="6" l="1"/>
  <c r="H260" i="6"/>
  <c r="G246" i="6"/>
  <c r="G249" i="6" s="1"/>
  <c r="G23" i="6"/>
  <c r="G43" i="6"/>
  <c r="G42" i="6"/>
  <c r="G19" i="6"/>
  <c r="G7" i="6"/>
  <c r="AM7" i="6" s="1"/>
  <c r="AW10" i="6" s="1"/>
  <c r="G9" i="6"/>
  <c r="AM9" i="6" s="1"/>
  <c r="AW8" i="6" s="1"/>
  <c r="H8" i="6"/>
  <c r="J8" i="6"/>
  <c r="P8" i="6"/>
  <c r="Q8" i="6"/>
  <c r="R8" i="6"/>
  <c r="T8" i="6"/>
  <c r="U8" i="6"/>
  <c r="V8" i="6"/>
  <c r="W8" i="6"/>
  <c r="X8" i="6"/>
  <c r="Y8" i="6"/>
  <c r="AC8" i="6"/>
  <c r="AE8" i="6"/>
  <c r="AF8" i="6"/>
  <c r="AG8" i="6"/>
  <c r="AH8" i="6"/>
  <c r="AI8" i="6"/>
  <c r="AJ8" i="6"/>
  <c r="H11" i="6"/>
  <c r="H66" i="6" s="1"/>
  <c r="J11" i="6"/>
  <c r="J66" i="6" s="1"/>
  <c r="P66" i="6"/>
  <c r="Q11" i="6"/>
  <c r="Q66" i="6" s="1"/>
  <c r="R11" i="6"/>
  <c r="R66" i="6" s="1"/>
  <c r="T11" i="6"/>
  <c r="T66" i="6" s="1"/>
  <c r="U11" i="6"/>
  <c r="U66" i="6" s="1"/>
  <c r="V11" i="6"/>
  <c r="V66" i="6" s="1"/>
  <c r="W11" i="6"/>
  <c r="W66" i="6" s="1"/>
  <c r="X11" i="6"/>
  <c r="X66" i="6" s="1"/>
  <c r="Y11" i="6"/>
  <c r="Y66" i="6" s="1"/>
  <c r="AC11" i="6"/>
  <c r="AC66" i="6" s="1"/>
  <c r="AE11" i="6"/>
  <c r="AE66" i="6" s="1"/>
  <c r="AF11" i="6"/>
  <c r="AF66" i="6" s="1"/>
  <c r="AG11" i="6"/>
  <c r="AG66" i="6" s="1"/>
  <c r="AH11" i="6"/>
  <c r="AH66" i="6" s="1"/>
  <c r="AI11" i="6"/>
  <c r="AI66" i="6" s="1"/>
  <c r="AJ11" i="6"/>
  <c r="AJ66" i="6" s="1"/>
  <c r="H12" i="6"/>
  <c r="H68" i="6" s="1"/>
  <c r="J12" i="6"/>
  <c r="J68" i="6" s="1"/>
  <c r="P12" i="6"/>
  <c r="P68" i="6" s="1"/>
  <c r="Q12" i="6"/>
  <c r="R12" i="6"/>
  <c r="R68" i="6" s="1"/>
  <c r="T12" i="6"/>
  <c r="T68" i="6" s="1"/>
  <c r="U12" i="6"/>
  <c r="U68" i="6" s="1"/>
  <c r="V12" i="6"/>
  <c r="V68" i="6" s="1"/>
  <c r="W12" i="6"/>
  <c r="W68" i="6" s="1"/>
  <c r="X12" i="6"/>
  <c r="X68" i="6" s="1"/>
  <c r="Y12" i="6"/>
  <c r="Y68" i="6" s="1"/>
  <c r="AC12" i="6"/>
  <c r="AC68" i="6" s="1"/>
  <c r="AE12" i="6"/>
  <c r="AE68" i="6" s="1"/>
  <c r="AF12" i="6"/>
  <c r="AF68" i="6" s="1"/>
  <c r="AG12" i="6"/>
  <c r="AG68" i="6" s="1"/>
  <c r="AH12" i="6"/>
  <c r="AH68" i="6" s="1"/>
  <c r="AI12" i="6"/>
  <c r="AI68" i="6" s="1"/>
  <c r="AJ12" i="6"/>
  <c r="AJ68" i="6" s="1"/>
  <c r="H28" i="6"/>
  <c r="J28" i="6"/>
  <c r="P28" i="6"/>
  <c r="P55" i="6" s="1"/>
  <c r="Q28" i="6"/>
  <c r="Q55" i="6" s="1"/>
  <c r="R28" i="6"/>
  <c r="R55" i="6" s="1"/>
  <c r="T28" i="6"/>
  <c r="T55" i="6" s="1"/>
  <c r="U28" i="6"/>
  <c r="U55" i="6" s="1"/>
  <c r="V28" i="6"/>
  <c r="W28" i="6"/>
  <c r="W55" i="6" s="1"/>
  <c r="X28" i="6"/>
  <c r="X55" i="6" s="1"/>
  <c r="Y28" i="6"/>
  <c r="Y55" i="6" s="1"/>
  <c r="AC28" i="6"/>
  <c r="AC55" i="6" s="1"/>
  <c r="AE28" i="6"/>
  <c r="AE55" i="6" s="1"/>
  <c r="AF28" i="6"/>
  <c r="AF55" i="6" s="1"/>
  <c r="AG28" i="6"/>
  <c r="AG55" i="6" s="1"/>
  <c r="AH28" i="6"/>
  <c r="AH55" i="6" s="1"/>
  <c r="AI55" i="6"/>
  <c r="AJ28" i="6"/>
  <c r="AJ55" i="6" s="1"/>
  <c r="H32" i="6"/>
  <c r="H55" i="6" s="1"/>
  <c r="J32" i="6"/>
  <c r="J55" i="6" s="1"/>
  <c r="P32" i="6"/>
  <c r="Q32" i="6"/>
  <c r="Q56" i="6" s="1"/>
  <c r="R32" i="6"/>
  <c r="R56" i="6" s="1"/>
  <c r="T32" i="6"/>
  <c r="U32" i="6"/>
  <c r="U56" i="6" s="1"/>
  <c r="V32" i="6"/>
  <c r="V56" i="6" s="1"/>
  <c r="W32" i="6"/>
  <c r="W56" i="6" s="1"/>
  <c r="X32" i="6"/>
  <c r="Y32" i="6"/>
  <c r="Y57" i="6" s="1"/>
  <c r="AC32" i="6"/>
  <c r="AC57" i="6" s="1"/>
  <c r="AE32" i="6"/>
  <c r="AE56" i="6" s="1"/>
  <c r="AF32" i="6"/>
  <c r="AG32" i="6"/>
  <c r="AG57" i="6" s="1"/>
  <c r="AH32" i="6"/>
  <c r="AH57" i="6" s="1"/>
  <c r="AI32" i="6"/>
  <c r="AI56" i="6" s="1"/>
  <c r="AJ32" i="6"/>
  <c r="H37" i="6"/>
  <c r="H59" i="6" s="1"/>
  <c r="J37" i="6"/>
  <c r="P37" i="6"/>
  <c r="P59" i="6" s="1"/>
  <c r="Q37" i="6"/>
  <c r="Q59" i="6" s="1"/>
  <c r="R37" i="6"/>
  <c r="T37" i="6"/>
  <c r="T59" i="6" s="1"/>
  <c r="U37" i="6"/>
  <c r="U59" i="6" s="1"/>
  <c r="V37" i="6"/>
  <c r="W37" i="6"/>
  <c r="W58" i="6" s="1"/>
  <c r="X37" i="6"/>
  <c r="X59" i="6" s="1"/>
  <c r="Y37" i="6"/>
  <c r="Y59" i="6" s="1"/>
  <c r="AC37" i="6"/>
  <c r="AC59" i="6" s="1"/>
  <c r="AE37" i="6"/>
  <c r="AE59" i="6" s="1"/>
  <c r="AF37" i="6"/>
  <c r="AF59" i="6" s="1"/>
  <c r="AG37" i="6"/>
  <c r="AG59" i="6" s="1"/>
  <c r="AH37" i="6"/>
  <c r="AI37" i="6"/>
  <c r="AI58" i="6" s="1"/>
  <c r="AJ37" i="6"/>
  <c r="AJ59" i="6" s="1"/>
  <c r="H41" i="6"/>
  <c r="J41" i="6"/>
  <c r="P41" i="6"/>
  <c r="Q41" i="6"/>
  <c r="R41" i="6"/>
  <c r="T41" i="6"/>
  <c r="U41" i="6"/>
  <c r="V41" i="6"/>
  <c r="W41" i="6"/>
  <c r="X41" i="6"/>
  <c r="Y41" i="6"/>
  <c r="AC41" i="6"/>
  <c r="AE41" i="6"/>
  <c r="AF41" i="6"/>
  <c r="AG41" i="6"/>
  <c r="AH41" i="6"/>
  <c r="AI41" i="6"/>
  <c r="AJ41" i="6"/>
  <c r="H46" i="6"/>
  <c r="H62" i="6" s="1"/>
  <c r="J46" i="6"/>
  <c r="P46" i="6"/>
  <c r="P63" i="6" s="1"/>
  <c r="Q46" i="6"/>
  <c r="Q63" i="6" s="1"/>
  <c r="R46" i="6"/>
  <c r="T46" i="6"/>
  <c r="T63" i="6" s="1"/>
  <c r="U46" i="6"/>
  <c r="U63" i="6" s="1"/>
  <c r="V46" i="6"/>
  <c r="W46" i="6"/>
  <c r="W62" i="6" s="1"/>
  <c r="X46" i="6"/>
  <c r="X62" i="6" s="1"/>
  <c r="Y46" i="6"/>
  <c r="Y63" i="6" s="1"/>
  <c r="AC63" i="6"/>
  <c r="AE46" i="6"/>
  <c r="AE63" i="6" s="1"/>
  <c r="AF46" i="6"/>
  <c r="AF63" i="6" s="1"/>
  <c r="AG46" i="6"/>
  <c r="AG63" i="6" s="1"/>
  <c r="AH46" i="6"/>
  <c r="AI46" i="6"/>
  <c r="AI62" i="6" s="1"/>
  <c r="AJ46" i="6"/>
  <c r="AJ62" i="6" s="1"/>
  <c r="H52" i="6"/>
  <c r="J52" i="6"/>
  <c r="P52" i="6"/>
  <c r="Q52" i="6"/>
  <c r="R52" i="6"/>
  <c r="T52" i="6"/>
  <c r="U52" i="6"/>
  <c r="V52" i="6"/>
  <c r="W52" i="6"/>
  <c r="X52" i="6"/>
  <c r="Y52" i="6"/>
  <c r="AC52" i="6"/>
  <c r="AE52" i="6"/>
  <c r="AF52" i="6"/>
  <c r="AG52" i="6"/>
  <c r="AH52" i="6"/>
  <c r="AI52" i="6"/>
  <c r="AJ52" i="6"/>
  <c r="H53" i="6"/>
  <c r="J53" i="6"/>
  <c r="P53" i="6"/>
  <c r="Q53" i="6"/>
  <c r="R53" i="6"/>
  <c r="T53" i="6"/>
  <c r="U53" i="6"/>
  <c r="V53" i="6"/>
  <c r="W53" i="6"/>
  <c r="X53" i="6"/>
  <c r="Y53" i="6"/>
  <c r="AC53" i="6"/>
  <c r="AE53" i="6"/>
  <c r="AF53" i="6"/>
  <c r="AG53" i="6"/>
  <c r="AH53" i="6"/>
  <c r="AI53" i="6"/>
  <c r="AJ53" i="6"/>
  <c r="H54" i="6"/>
  <c r="J54" i="6"/>
  <c r="Q54" i="6"/>
  <c r="R54" i="6"/>
  <c r="T54" i="6"/>
  <c r="U54" i="6"/>
  <c r="V54" i="6"/>
  <c r="W54" i="6"/>
  <c r="X54" i="6"/>
  <c r="Y54" i="6"/>
  <c r="AC54" i="6"/>
  <c r="AE54" i="6"/>
  <c r="AF54" i="6"/>
  <c r="AG54" i="6"/>
  <c r="AH54" i="6"/>
  <c r="AI54" i="6"/>
  <c r="AJ54" i="6"/>
  <c r="AC56" i="6"/>
  <c r="U57" i="6"/>
  <c r="H60" i="6"/>
  <c r="J60" i="6"/>
  <c r="P60" i="6"/>
  <c r="Q60" i="6"/>
  <c r="R60" i="6"/>
  <c r="T60" i="6"/>
  <c r="U60" i="6"/>
  <c r="V60" i="6"/>
  <c r="W60" i="6"/>
  <c r="X60" i="6"/>
  <c r="Y60" i="6"/>
  <c r="AC60" i="6"/>
  <c r="AE60" i="6"/>
  <c r="AF60" i="6"/>
  <c r="AG60" i="6"/>
  <c r="AH60" i="6"/>
  <c r="AI60" i="6"/>
  <c r="AJ60" i="6"/>
  <c r="H61" i="6"/>
  <c r="J61" i="6"/>
  <c r="P61" i="6"/>
  <c r="Q61" i="6"/>
  <c r="R61" i="6"/>
  <c r="T61" i="6"/>
  <c r="U61" i="6"/>
  <c r="V61" i="6"/>
  <c r="W61" i="6"/>
  <c r="X61" i="6"/>
  <c r="Y61" i="6"/>
  <c r="AC61" i="6"/>
  <c r="AE61" i="6"/>
  <c r="AF61" i="6"/>
  <c r="AG61" i="6"/>
  <c r="AH61" i="6"/>
  <c r="AI61" i="6"/>
  <c r="AJ61" i="6"/>
  <c r="AE62" i="6"/>
  <c r="Q68" i="6"/>
  <c r="H70" i="6"/>
  <c r="J70" i="6"/>
  <c r="P70" i="6"/>
  <c r="Q70" i="6"/>
  <c r="R70" i="6"/>
  <c r="T70" i="6"/>
  <c r="U70" i="6"/>
  <c r="V70" i="6"/>
  <c r="W70" i="6"/>
  <c r="X70" i="6"/>
  <c r="Y70" i="6"/>
  <c r="AC70" i="6"/>
  <c r="AE70" i="6"/>
  <c r="AF70" i="6"/>
  <c r="AG70" i="6"/>
  <c r="AH70" i="6"/>
  <c r="AI70" i="6"/>
  <c r="AJ70" i="6"/>
  <c r="H71" i="6"/>
  <c r="H72" i="6" s="1"/>
  <c r="J71" i="6"/>
  <c r="J72" i="6" s="1"/>
  <c r="P71" i="6"/>
  <c r="P72" i="6" s="1"/>
  <c r="Q71" i="6"/>
  <c r="Q72" i="6" s="1"/>
  <c r="R71" i="6"/>
  <c r="R72" i="6" s="1"/>
  <c r="T71" i="6"/>
  <c r="T72" i="6" s="1"/>
  <c r="U71" i="6"/>
  <c r="U72" i="6" s="1"/>
  <c r="V71" i="6"/>
  <c r="V72" i="6" s="1"/>
  <c r="W71" i="6"/>
  <c r="W72" i="6" s="1"/>
  <c r="X71" i="6"/>
  <c r="X72" i="6" s="1"/>
  <c r="Y71" i="6"/>
  <c r="Y72" i="6" s="1"/>
  <c r="AC71" i="6"/>
  <c r="AC72" i="6" s="1"/>
  <c r="AE71" i="6"/>
  <c r="AE72" i="6" s="1"/>
  <c r="AF71" i="6"/>
  <c r="AF72" i="6" s="1"/>
  <c r="AG71" i="6"/>
  <c r="AG72" i="6" s="1"/>
  <c r="AH71" i="6"/>
  <c r="AH72" i="6" s="1"/>
  <c r="AI71" i="6"/>
  <c r="AI72" i="6" s="1"/>
  <c r="AJ71" i="6"/>
  <c r="AJ72" i="6" s="1"/>
  <c r="H74" i="6"/>
  <c r="J74" i="6"/>
  <c r="P74" i="6"/>
  <c r="Q74" i="6"/>
  <c r="R74" i="6"/>
  <c r="T74" i="6"/>
  <c r="U74" i="6"/>
  <c r="V74" i="6"/>
  <c r="W74" i="6"/>
  <c r="X74" i="6"/>
  <c r="Y74" i="6"/>
  <c r="AC74" i="6"/>
  <c r="AE74" i="6"/>
  <c r="AF74" i="6"/>
  <c r="AG74" i="6"/>
  <c r="AH74" i="6"/>
  <c r="AI74" i="6"/>
  <c r="H230" i="6"/>
  <c r="H231" i="6" s="1"/>
  <c r="J230" i="6"/>
  <c r="J231" i="6" s="1"/>
  <c r="P230" i="6"/>
  <c r="P231" i="6" s="1"/>
  <c r="Q230" i="6"/>
  <c r="Q231" i="6" s="1"/>
  <c r="R230" i="6"/>
  <c r="R231" i="6" s="1"/>
  <c r="T230" i="6"/>
  <c r="T231" i="6" s="1"/>
  <c r="U230" i="6"/>
  <c r="U231" i="6" s="1"/>
  <c r="V230" i="6"/>
  <c r="V231" i="6" s="1"/>
  <c r="W230" i="6"/>
  <c r="W231" i="6" s="1"/>
  <c r="X230" i="6"/>
  <c r="X231" i="6" s="1"/>
  <c r="Y230" i="6"/>
  <c r="Y231" i="6" s="1"/>
  <c r="AC230" i="6"/>
  <c r="AC231" i="6" s="1"/>
  <c r="AE230" i="6"/>
  <c r="AE231" i="6" s="1"/>
  <c r="AF230" i="6"/>
  <c r="AF231" i="6" s="1"/>
  <c r="AG230" i="6"/>
  <c r="AG231" i="6" s="1"/>
  <c r="AH230" i="6"/>
  <c r="AH231" i="6" s="1"/>
  <c r="AI230" i="6"/>
  <c r="AI231" i="6" s="1"/>
  <c r="AJ230" i="6"/>
  <c r="AJ231" i="6" s="1"/>
  <c r="H236" i="6"/>
  <c r="J236" i="6"/>
  <c r="P236" i="6"/>
  <c r="Q236" i="6"/>
  <c r="R236" i="6"/>
  <c r="T236" i="6"/>
  <c r="U236" i="6"/>
  <c r="V236" i="6"/>
  <c r="X236" i="6"/>
  <c r="Y236" i="6"/>
  <c r="AC236" i="6"/>
  <c r="AE236" i="6"/>
  <c r="AF236" i="6"/>
  <c r="AG236" i="6"/>
  <c r="AH236" i="6"/>
  <c r="AI236" i="6"/>
  <c r="AJ236" i="6"/>
  <c r="AJ240" i="6" s="1"/>
  <c r="H238" i="6"/>
  <c r="J238" i="6"/>
  <c r="P238" i="6"/>
  <c r="Q238" i="6"/>
  <c r="R238" i="6"/>
  <c r="T238" i="6"/>
  <c r="U238" i="6"/>
  <c r="V238" i="6"/>
  <c r="W238" i="6"/>
  <c r="X238" i="6"/>
  <c r="Y238" i="6"/>
  <c r="AC238" i="6"/>
  <c r="AE238" i="6"/>
  <c r="AF238" i="6"/>
  <c r="AG238" i="6"/>
  <c r="AH238" i="6"/>
  <c r="AI238" i="6"/>
  <c r="AJ238" i="6"/>
  <c r="H239" i="6"/>
  <c r="H240" i="6" s="1"/>
  <c r="J239" i="6"/>
  <c r="J240" i="6" s="1"/>
  <c r="Q239" i="6"/>
  <c r="Q240" i="6" s="1"/>
  <c r="R239" i="6"/>
  <c r="R240" i="6" s="1"/>
  <c r="T239" i="6"/>
  <c r="T240" i="6" s="1"/>
  <c r="U239" i="6"/>
  <c r="U240" i="6" s="1"/>
  <c r="V239" i="6"/>
  <c r="V240" i="6" s="1"/>
  <c r="W239" i="6"/>
  <c r="W240" i="6" s="1"/>
  <c r="X239" i="6"/>
  <c r="X240" i="6" s="1"/>
  <c r="Y239" i="6"/>
  <c r="Y240" i="6" s="1"/>
  <c r="AC239" i="6"/>
  <c r="AC240" i="6" s="1"/>
  <c r="AE239" i="6"/>
  <c r="AE240" i="6" s="1"/>
  <c r="AF239" i="6"/>
  <c r="AF240" i="6" s="1"/>
  <c r="AG239" i="6"/>
  <c r="AG240" i="6" s="1"/>
  <c r="AH239" i="6"/>
  <c r="AH240" i="6" s="1"/>
  <c r="AI239" i="6"/>
  <c r="AI240" i="6" s="1"/>
  <c r="AJ239" i="6"/>
  <c r="H245" i="6"/>
  <c r="J245" i="6"/>
  <c r="P245" i="6"/>
  <c r="Q245" i="6"/>
  <c r="R245" i="6"/>
  <c r="T245" i="6"/>
  <c r="U245" i="6"/>
  <c r="V245" i="6"/>
  <c r="Y245" i="6"/>
  <c r="AC245" i="6"/>
  <c r="AE245" i="6"/>
  <c r="AF245" i="6"/>
  <c r="AG245" i="6"/>
  <c r="AH245" i="6"/>
  <c r="AI245" i="6"/>
  <c r="AJ245" i="6"/>
  <c r="H247" i="6"/>
  <c r="J247" i="6"/>
  <c r="P247" i="6"/>
  <c r="Q247" i="6"/>
  <c r="R247" i="6"/>
  <c r="T247" i="6"/>
  <c r="U247" i="6"/>
  <c r="V247" i="6"/>
  <c r="W247" i="6"/>
  <c r="X247" i="6"/>
  <c r="Y247" i="6"/>
  <c r="AC247" i="6"/>
  <c r="AF247" i="6"/>
  <c r="AG247" i="6"/>
  <c r="AH247" i="6"/>
  <c r="AI247" i="6"/>
  <c r="AJ247" i="6"/>
  <c r="H249" i="6"/>
  <c r="J249" i="6"/>
  <c r="P249" i="6"/>
  <c r="Q249" i="6"/>
  <c r="R249" i="6"/>
  <c r="U249" i="6"/>
  <c r="V249" i="6"/>
  <c r="W249" i="6"/>
  <c r="X249" i="6"/>
  <c r="Y249" i="6"/>
  <c r="AC249" i="6"/>
  <c r="AF249" i="6"/>
  <c r="AG249" i="6"/>
  <c r="AI249" i="6"/>
  <c r="AJ249" i="6"/>
  <c r="H255" i="6"/>
  <c r="J255" i="6"/>
  <c r="P255" i="6"/>
  <c r="Q255" i="6"/>
  <c r="R255" i="6"/>
  <c r="T255" i="6"/>
  <c r="U255" i="6"/>
  <c r="V255" i="6"/>
  <c r="W255" i="6"/>
  <c r="X255" i="6"/>
  <c r="Y255" i="6"/>
  <c r="AC255" i="6"/>
  <c r="AE255" i="6"/>
  <c r="AF255" i="6"/>
  <c r="AG255" i="6"/>
  <c r="AH255" i="6"/>
  <c r="AI255" i="6"/>
  <c r="AJ255" i="6"/>
  <c r="AM39" i="6"/>
  <c r="F34" i="28" s="1"/>
  <c r="AM38" i="6"/>
  <c r="AM36" i="6"/>
  <c r="AM34" i="6"/>
  <c r="AM33" i="6"/>
  <c r="AM22" i="6"/>
  <c r="F33" i="28" l="1"/>
  <c r="W63" i="6"/>
  <c r="G34" i="28"/>
  <c r="G6" i="30"/>
  <c r="F11" i="28"/>
  <c r="G11" i="28" s="1"/>
  <c r="AS9" i="6"/>
  <c r="AM10" i="6"/>
  <c r="AR9" i="6"/>
  <c r="AM258" i="6"/>
  <c r="D19" i="17" s="1"/>
  <c r="AE57" i="6"/>
  <c r="AJ58" i="6"/>
  <c r="X63" i="6"/>
  <c r="P62" i="6"/>
  <c r="AF62" i="6"/>
  <c r="AI59" i="6"/>
  <c r="G245" i="6"/>
  <c r="G258" i="6"/>
  <c r="G260" i="6"/>
  <c r="H63" i="6"/>
  <c r="AF58" i="6"/>
  <c r="V57" i="6"/>
  <c r="AJ63" i="6"/>
  <c r="H58" i="6"/>
  <c r="V55" i="6"/>
  <c r="V25" i="6"/>
  <c r="V26" i="6" s="1"/>
  <c r="X58" i="6"/>
  <c r="T62" i="6"/>
  <c r="P58" i="6"/>
  <c r="Q58" i="6"/>
  <c r="AG58" i="6"/>
  <c r="AE58" i="6"/>
  <c r="W59" i="6"/>
  <c r="AI63" i="6"/>
  <c r="R57" i="6"/>
  <c r="AH56" i="6"/>
  <c r="Q57" i="6"/>
  <c r="AG56" i="6"/>
  <c r="J56" i="6"/>
  <c r="T58" i="6"/>
  <c r="Y56" i="6"/>
  <c r="J57" i="6"/>
  <c r="AC58" i="6"/>
  <c r="U58" i="6"/>
  <c r="AI57" i="6"/>
  <c r="Y58" i="6"/>
  <c r="W57" i="6"/>
  <c r="AH63" i="6"/>
  <c r="AH62" i="6"/>
  <c r="V63" i="6"/>
  <c r="V62" i="6"/>
  <c r="R63" i="6"/>
  <c r="R62" i="6"/>
  <c r="J63" i="6"/>
  <c r="J62" i="6"/>
  <c r="AH59" i="6"/>
  <c r="AH58" i="6"/>
  <c r="V59" i="6"/>
  <c r="V58" i="6"/>
  <c r="R59" i="6"/>
  <c r="R58" i="6"/>
  <c r="J59" i="6"/>
  <c r="J58" i="6"/>
  <c r="AJ56" i="6"/>
  <c r="AJ57" i="6"/>
  <c r="AF56" i="6"/>
  <c r="AF57" i="6"/>
  <c r="X56" i="6"/>
  <c r="X57" i="6"/>
  <c r="T56" i="6"/>
  <c r="T57" i="6"/>
  <c r="P56" i="6"/>
  <c r="P57" i="6"/>
  <c r="H56" i="6"/>
  <c r="H57" i="6"/>
  <c r="AG62" i="6"/>
  <c r="AC62" i="6"/>
  <c r="Y62" i="6"/>
  <c r="U62" i="6"/>
  <c r="Q62" i="6"/>
  <c r="AG25" i="6"/>
  <c r="AG26" i="6" s="1"/>
  <c r="AC25" i="6"/>
  <c r="AC26" i="6" s="1"/>
  <c r="Y25" i="6"/>
  <c r="Y26" i="6" s="1"/>
  <c r="U25" i="6"/>
  <c r="U26" i="6" s="1"/>
  <c r="Q25" i="6"/>
  <c r="Q26" i="6" s="1"/>
  <c r="AJ25" i="6"/>
  <c r="AJ26" i="6" s="1"/>
  <c r="AF25" i="6"/>
  <c r="AF26" i="6" s="1"/>
  <c r="X25" i="6"/>
  <c r="X26" i="6" s="1"/>
  <c r="T25" i="6"/>
  <c r="T26" i="6" s="1"/>
  <c r="P25" i="6"/>
  <c r="P26" i="6" s="1"/>
  <c r="H25" i="6"/>
  <c r="H26" i="6" s="1"/>
  <c r="AI25" i="6"/>
  <c r="AI26" i="6" s="1"/>
  <c r="AE25" i="6"/>
  <c r="AE26" i="6" s="1"/>
  <c r="W25" i="6"/>
  <c r="W26" i="6" s="1"/>
  <c r="AH25" i="6"/>
  <c r="AH26" i="6" s="1"/>
  <c r="R25" i="6"/>
  <c r="R26" i="6" s="1"/>
  <c r="J25" i="6"/>
  <c r="J26" i="6" s="1"/>
  <c r="E37" i="3"/>
  <c r="F37" i="3" s="1"/>
  <c r="H37" i="3" s="1"/>
  <c r="J37" i="3" s="1"/>
  <c r="G33" i="28" l="1"/>
  <c r="F51" i="28"/>
  <c r="G51" i="28" s="1"/>
  <c r="F32" i="28"/>
  <c r="H6" i="30"/>
  <c r="G34" i="30"/>
  <c r="H34" i="30" s="1"/>
  <c r="G27" i="30"/>
  <c r="H27" i="30" s="1"/>
  <c r="G26" i="30"/>
  <c r="H26" i="30" s="1"/>
  <c r="AM74" i="6"/>
  <c r="F67" i="28" s="1"/>
  <c r="G67" i="28" s="1"/>
  <c r="N3" i="17"/>
  <c r="F2" i="20"/>
  <c r="F14" i="20" s="1"/>
  <c r="C2" i="20"/>
  <c r="C18" i="20" s="1"/>
  <c r="C19" i="20" s="1"/>
  <c r="N4" i="17"/>
  <c r="AM251" i="6"/>
  <c r="N8" i="16"/>
  <c r="S8" i="16" s="1"/>
  <c r="U8" i="16" s="1"/>
  <c r="M37" i="3"/>
  <c r="K37" i="3"/>
  <c r="N37" i="3" s="1"/>
  <c r="G32" i="28" l="1"/>
  <c r="F52" i="28"/>
  <c r="G52" i="28" s="1"/>
  <c r="D35" i="17"/>
  <c r="F35" i="17" s="1"/>
  <c r="I4" i="19"/>
  <c r="K4" i="23"/>
  <c r="I4" i="24"/>
  <c r="H8" i="17"/>
  <c r="K4" i="21"/>
  <c r="D37" i="17"/>
  <c r="F37" i="17" s="1"/>
  <c r="J37" i="17" s="1"/>
  <c r="M37" i="17" s="1"/>
  <c r="F21" i="17"/>
  <c r="F14" i="17"/>
  <c r="I3" i="19"/>
  <c r="K3" i="21"/>
  <c r="F19" i="17"/>
  <c r="I3" i="22"/>
  <c r="F17" i="17"/>
  <c r="I3" i="24"/>
  <c r="K3" i="23"/>
  <c r="F13" i="17"/>
  <c r="F18" i="20"/>
  <c r="F15" i="20"/>
  <c r="N5" i="17"/>
  <c r="AK236" i="6"/>
  <c r="AM13" i="6"/>
  <c r="N15" i="16" l="1"/>
  <c r="F12" i="28"/>
  <c r="G12" i="28" s="1"/>
  <c r="I5" i="24"/>
  <c r="H12" i="24" s="1"/>
  <c r="K5" i="23"/>
  <c r="K56" i="23" s="1"/>
  <c r="O37" i="17"/>
  <c r="N37" i="17"/>
  <c r="I4" i="22"/>
  <c r="I5" i="22" s="1"/>
  <c r="I5" i="19"/>
  <c r="K5" i="2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M35" i="17" s="1"/>
  <c r="H26" i="17"/>
  <c r="J26" i="17" s="1"/>
  <c r="M26" i="17" s="1"/>
  <c r="H10" i="17"/>
  <c r="J10" i="17" s="1"/>
  <c r="M10" i="17" s="1"/>
  <c r="H43" i="17"/>
  <c r="M43" i="17" s="1"/>
  <c r="H13" i="17"/>
  <c r="J13" i="17" s="1"/>
  <c r="M13" i="17" s="1"/>
  <c r="H42" i="17"/>
  <c r="M42" i="17" s="1"/>
  <c r="H21" i="17"/>
  <c r="J21" i="17" s="1"/>
  <c r="H41" i="17"/>
  <c r="M41" i="17" s="1"/>
  <c r="H9" i="17"/>
  <c r="H17" i="17"/>
  <c r="J17" i="17" s="1"/>
  <c r="M17" i="17" s="1"/>
  <c r="H44" i="17"/>
  <c r="M44" i="17" s="1"/>
  <c r="H34" i="17"/>
  <c r="J34" i="17" s="1"/>
  <c r="M34" i="17" s="1"/>
  <c r="H25" i="17"/>
  <c r="J25" i="17" s="1"/>
  <c r="M25" i="17" s="1"/>
  <c r="H14" i="17"/>
  <c r="J14" i="17" s="1"/>
  <c r="M14" i="17" s="1"/>
  <c r="H33" i="17"/>
  <c r="J33" i="17" s="1"/>
  <c r="M33" i="17" s="1"/>
  <c r="H23" i="17"/>
  <c r="H40" i="17"/>
  <c r="M40" i="17" s="1"/>
  <c r="H30" i="17"/>
  <c r="J30" i="17" s="1"/>
  <c r="M30" i="17" s="1"/>
  <c r="H19" i="17"/>
  <c r="J19" i="17" s="1"/>
  <c r="H38" i="17"/>
  <c r="J38" i="17" s="1"/>
  <c r="M38" i="17" s="1"/>
  <c r="O24" i="17"/>
  <c r="N39" i="17"/>
  <c r="N24" i="17"/>
  <c r="O39" i="17"/>
  <c r="F19" i="20"/>
  <c r="G13" i="19"/>
  <c r="S15" i="16"/>
  <c r="T15" i="16"/>
  <c r="U15" i="16"/>
  <c r="E228" i="6"/>
  <c r="E235" i="6"/>
  <c r="E236" i="6" s="1"/>
  <c r="I9" i="24" l="1"/>
  <c r="H10" i="24"/>
  <c r="K44" i="23"/>
  <c r="J15" i="23"/>
  <c r="K67" i="23"/>
  <c r="J51" i="23"/>
  <c r="J40" i="23"/>
  <c r="J13" i="23"/>
  <c r="K29" i="23"/>
  <c r="K19" i="23"/>
  <c r="J54" i="23"/>
  <c r="K69" i="23"/>
  <c r="J58" i="23"/>
  <c r="K32" i="23"/>
  <c r="J29" i="23"/>
  <c r="K58" i="23"/>
  <c r="K68" i="23"/>
  <c r="K15" i="23"/>
  <c r="K41" i="23"/>
  <c r="J52" i="23"/>
  <c r="K55" i="23"/>
  <c r="J57" i="23"/>
  <c r="K38" i="23"/>
  <c r="K25" i="23"/>
  <c r="K50" i="23"/>
  <c r="J24" i="23"/>
  <c r="K43" i="23"/>
  <c r="J19" i="23"/>
  <c r="J59" i="23"/>
  <c r="K37" i="23"/>
  <c r="J71" i="23"/>
  <c r="J65" i="23"/>
  <c r="J20" i="23"/>
  <c r="J68" i="23"/>
  <c r="K46" i="23"/>
  <c r="J31" i="23"/>
  <c r="K34" i="23"/>
  <c r="K35" i="23"/>
  <c r="K36" i="23"/>
  <c r="J45" i="23"/>
  <c r="K23" i="23"/>
  <c r="K63" i="23"/>
  <c r="J16" i="23"/>
  <c r="J17" i="23"/>
  <c r="J34" i="23"/>
  <c r="J22" i="23"/>
  <c r="J62" i="23"/>
  <c r="K40" i="23"/>
  <c r="K10" i="23"/>
  <c r="J50" i="23"/>
  <c r="J27" i="23"/>
  <c r="J67" i="23"/>
  <c r="K53" i="23"/>
  <c r="K49" i="23"/>
  <c r="K51" i="23"/>
  <c r="J36" i="23"/>
  <c r="K14" i="23"/>
  <c r="K54" i="23"/>
  <c r="K33" i="23"/>
  <c r="K66" i="23"/>
  <c r="K59" i="23"/>
  <c r="J12" i="23"/>
  <c r="J53" i="23"/>
  <c r="K31" i="23"/>
  <c r="J23" i="23"/>
  <c r="J48" i="23"/>
  <c r="J49" i="23"/>
  <c r="K28" i="23"/>
  <c r="J30" i="23"/>
  <c r="J70" i="23"/>
  <c r="K64" i="23"/>
  <c r="I13" i="24"/>
  <c r="J39" i="23"/>
  <c r="J25" i="23"/>
  <c r="K20" i="23"/>
  <c r="J35" i="23"/>
  <c r="K21" i="23"/>
  <c r="K61" i="23"/>
  <c r="J32" i="23"/>
  <c r="K12" i="23"/>
  <c r="J44" i="23"/>
  <c r="K22" i="23"/>
  <c r="K70" i="23"/>
  <c r="K65" i="23"/>
  <c r="J33" i="23"/>
  <c r="J42" i="23"/>
  <c r="J21" i="23"/>
  <c r="J61" i="23"/>
  <c r="K47" i="23"/>
  <c r="J55" i="23"/>
  <c r="J56" i="23"/>
  <c r="K27" i="23"/>
  <c r="K60" i="23"/>
  <c r="J38" i="23"/>
  <c r="K24" i="23"/>
  <c r="H15" i="24"/>
  <c r="I10" i="24"/>
  <c r="K17" i="23"/>
  <c r="K42" i="23"/>
  <c r="J10" i="23"/>
  <c r="J11" i="23"/>
  <c r="J43" i="23"/>
  <c r="K13" i="23"/>
  <c r="K45" i="23"/>
  <c r="J47" i="23"/>
  <c r="K18" i="23"/>
  <c r="J26" i="23"/>
  <c r="J28" i="23"/>
  <c r="J60" i="23"/>
  <c r="K30" i="23"/>
  <c r="K62" i="23"/>
  <c r="J63" i="23"/>
  <c r="J64" i="23"/>
  <c r="J41" i="23"/>
  <c r="J18" i="23"/>
  <c r="K52" i="23"/>
  <c r="J37" i="23"/>
  <c r="J69" i="23"/>
  <c r="K39" i="23"/>
  <c r="K71" i="23"/>
  <c r="K57" i="23"/>
  <c r="K26" i="23"/>
  <c r="K11" i="23"/>
  <c r="J66" i="23"/>
  <c r="J14" i="23"/>
  <c r="J46" i="23"/>
  <c r="K16" i="23"/>
  <c r="K48" i="23"/>
  <c r="H13" i="24"/>
  <c r="M19" i="17"/>
  <c r="N19" i="17" s="1"/>
  <c r="H9" i="24"/>
  <c r="I14" i="24"/>
  <c r="H11" i="24"/>
  <c r="I11" i="24"/>
  <c r="I12" i="24"/>
  <c r="H14" i="24"/>
  <c r="I15" i="24"/>
  <c r="O47" i="17"/>
  <c r="N47" i="17"/>
  <c r="O38" i="17"/>
  <c r="N38" i="17"/>
  <c r="N31" i="17"/>
  <c r="O31" i="17"/>
  <c r="I13" i="19"/>
  <c r="H13" i="19"/>
  <c r="N34" i="17"/>
  <c r="O34" i="17"/>
  <c r="N43" i="17"/>
  <c r="O43" i="17"/>
  <c r="H45" i="22"/>
  <c r="H30" i="22"/>
  <c r="H23" i="22"/>
  <c r="H16" i="22"/>
  <c r="H44" i="22"/>
  <c r="H26" i="22"/>
  <c r="I42" i="22"/>
  <c r="I20" i="22"/>
  <c r="I11" i="22"/>
  <c r="I34" i="22"/>
  <c r="I16" i="22"/>
  <c r="I43" i="22"/>
  <c r="H14" i="22"/>
  <c r="I10" i="22"/>
  <c r="H46" i="22"/>
  <c r="H17" i="22"/>
  <c r="H42" i="22"/>
  <c r="I12" i="22"/>
  <c r="I46" i="22"/>
  <c r="H37" i="22"/>
  <c r="H22" i="22"/>
  <c r="H15" i="22"/>
  <c r="H35" i="22"/>
  <c r="H36" i="22"/>
  <c r="H18" i="22"/>
  <c r="I50" i="22"/>
  <c r="I28" i="22"/>
  <c r="I19" i="22"/>
  <c r="I44" i="22"/>
  <c r="I24" i="22"/>
  <c r="I27" i="22"/>
  <c r="H13" i="22"/>
  <c r="H25" i="22"/>
  <c r="H48" i="22"/>
  <c r="H38" i="22"/>
  <c r="H12" i="22"/>
  <c r="I41" i="22"/>
  <c r="I33" i="22"/>
  <c r="H40" i="22"/>
  <c r="I45" i="22"/>
  <c r="I22" i="22"/>
  <c r="H29" i="22"/>
  <c r="H49" i="22"/>
  <c r="H34" i="22"/>
  <c r="H19" i="22"/>
  <c r="H28" i="22"/>
  <c r="I48" i="22"/>
  <c r="I15" i="22"/>
  <c r="I36" i="22"/>
  <c r="I9" i="22"/>
  <c r="I32" i="22"/>
  <c r="I21" i="22"/>
  <c r="I49" i="22"/>
  <c r="H24" i="22"/>
  <c r="I26" i="22"/>
  <c r="H21" i="22"/>
  <c r="H41" i="22"/>
  <c r="H10" i="22"/>
  <c r="H11" i="22"/>
  <c r="H20" i="22"/>
  <c r="I13" i="22"/>
  <c r="I23" i="22"/>
  <c r="I17" i="22"/>
  <c r="I35" i="22"/>
  <c r="I25" i="22"/>
  <c r="I40" i="22"/>
  <c r="I31" i="22"/>
  <c r="H43" i="22"/>
  <c r="H9" i="22"/>
  <c r="H47" i="22"/>
  <c r="I29" i="22"/>
  <c r="I39" i="22"/>
  <c r="I30" i="22"/>
  <c r="H31" i="22"/>
  <c r="H27" i="22"/>
  <c r="H39" i="22"/>
  <c r="H32" i="22"/>
  <c r="H33" i="22"/>
  <c r="H50" i="22"/>
  <c r="I37" i="22"/>
  <c r="I47" i="22"/>
  <c r="I14" i="22"/>
  <c r="I18" i="22"/>
  <c r="I38" i="22"/>
  <c r="M21" i="17"/>
  <c r="I22" i="19"/>
  <c r="I23" i="19"/>
  <c r="H24" i="19"/>
  <c r="H22" i="19"/>
  <c r="I24" i="19"/>
  <c r="I25" i="19"/>
  <c r="H17" i="19"/>
  <c r="H25" i="19"/>
  <c r="I17" i="19"/>
  <c r="H23" i="19"/>
  <c r="O32" i="17"/>
  <c r="N32" i="17"/>
  <c r="O33" i="17"/>
  <c r="N33" i="17"/>
  <c r="F9" i="21"/>
  <c r="K12" i="21"/>
  <c r="J11" i="21"/>
  <c r="J12" i="21"/>
  <c r="K11" i="21"/>
  <c r="F10" i="21"/>
  <c r="F8" i="21"/>
  <c r="J13" i="21"/>
  <c r="K13" i="21"/>
  <c r="J14" i="21"/>
  <c r="K14" i="21"/>
  <c r="N25" i="17"/>
  <c r="O25" i="17"/>
  <c r="N10" i="17"/>
  <c r="O10" i="17"/>
  <c r="N30" i="17"/>
  <c r="O30" i="17"/>
  <c r="O17" i="17"/>
  <c r="N17" i="17"/>
  <c r="N26" i="17"/>
  <c r="O26" i="17"/>
  <c r="O28" i="17"/>
  <c r="N28" i="17"/>
  <c r="O42" i="17"/>
  <c r="N42" i="17"/>
  <c r="O13" i="17"/>
  <c r="N13" i="17"/>
  <c r="N44" i="17"/>
  <c r="O44" i="17"/>
  <c r="N40" i="17"/>
  <c r="O40" i="17"/>
  <c r="N35" i="17"/>
  <c r="O35" i="17"/>
  <c r="O27" i="17"/>
  <c r="N27" i="17"/>
  <c r="N14" i="17"/>
  <c r="O14" i="17"/>
  <c r="O41" i="17"/>
  <c r="N41" i="17"/>
  <c r="O46" i="17"/>
  <c r="N46" i="17"/>
  <c r="AM15" i="6"/>
  <c r="N17" i="16" l="1"/>
  <c r="F14" i="28"/>
  <c r="G14" i="28" s="1"/>
  <c r="J9" i="23"/>
  <c r="K9" i="23"/>
  <c r="O19" i="17"/>
  <c r="H20" i="24"/>
  <c r="I20" i="24"/>
  <c r="H26" i="19"/>
  <c r="I51" i="22"/>
  <c r="O21" i="17"/>
  <c r="N21" i="17"/>
  <c r="I26" i="19"/>
  <c r="I8" i="21"/>
  <c r="F18" i="21"/>
  <c r="F15" i="21"/>
  <c r="I15" i="21" s="1"/>
  <c r="I10" i="21"/>
  <c r="F17" i="21"/>
  <c r="I17" i="21" s="1"/>
  <c r="H51" i="22"/>
  <c r="I9" i="21"/>
  <c r="F16" i="21"/>
  <c r="I16" i="21" s="1"/>
  <c r="U17" i="16"/>
  <c r="T17" i="16"/>
  <c r="S17" i="16"/>
  <c r="S64" i="16"/>
  <c r="AM242" i="6"/>
  <c r="I25" i="29" s="1"/>
  <c r="F29" i="10"/>
  <c r="J25" i="29" l="1"/>
  <c r="K25" i="29"/>
  <c r="K16" i="21"/>
  <c r="J16" i="21"/>
  <c r="K9" i="21"/>
  <c r="J9" i="21"/>
  <c r="F20" i="21"/>
  <c r="I18" i="21"/>
  <c r="I19" i="21"/>
  <c r="F19" i="21"/>
  <c r="J17" i="21"/>
  <c r="K17" i="21"/>
  <c r="G16" i="19"/>
  <c r="K8" i="21"/>
  <c r="J8" i="21"/>
  <c r="K10" i="21"/>
  <c r="J10" i="21"/>
  <c r="G19" i="19"/>
  <c r="K15" i="21"/>
  <c r="J15" i="21"/>
  <c r="U64" i="16"/>
  <c r="S72" i="16"/>
  <c r="AN242" i="6"/>
  <c r="N237" i="16"/>
  <c r="S237" i="16" s="1"/>
  <c r="U237" i="16" s="1"/>
  <c r="F26" i="10"/>
  <c r="F25" i="10"/>
  <c r="F24" i="10"/>
  <c r="F19" i="10"/>
  <c r="F18" i="10"/>
  <c r="I20" i="21" l="1"/>
  <c r="F21" i="21"/>
  <c r="I21" i="21" s="1"/>
  <c r="K19" i="21"/>
  <c r="J19" i="21"/>
  <c r="H16" i="19"/>
  <c r="I16" i="19"/>
  <c r="K18" i="21"/>
  <c r="J18" i="21"/>
  <c r="I19" i="19"/>
  <c r="H19" i="19"/>
  <c r="AM235" i="6"/>
  <c r="G16" i="30" l="1"/>
  <c r="I20" i="29"/>
  <c r="I25" i="21"/>
  <c r="G18" i="19"/>
  <c r="G20" i="19" s="1"/>
  <c r="J21" i="21"/>
  <c r="K21" i="21"/>
  <c r="K20" i="21"/>
  <c r="J20" i="21"/>
  <c r="N232" i="16"/>
  <c r="S232" i="16" s="1"/>
  <c r="U232" i="16" s="1"/>
  <c r="G247" i="6"/>
  <c r="K20" i="29" l="1"/>
  <c r="J20" i="29"/>
  <c r="H16" i="30"/>
  <c r="G32" i="30"/>
  <c r="H32" i="30" s="1"/>
  <c r="J25" i="21"/>
  <c r="H18" i="19"/>
  <c r="H20" i="19" s="1"/>
  <c r="I18" i="19"/>
  <c r="I20" i="19" s="1"/>
  <c r="K25" i="21"/>
  <c r="AM23" i="6"/>
  <c r="F21" i="28" l="1"/>
  <c r="G21" i="28" s="1"/>
  <c r="AM24" i="6"/>
  <c r="O3" i="18" s="1"/>
  <c r="I6" i="19" s="1"/>
  <c r="I8" i="19" s="1"/>
  <c r="N22" i="16"/>
  <c r="S22" i="16" s="1"/>
  <c r="V22" i="16" s="1"/>
  <c r="AN23" i="6"/>
  <c r="O5" i="18" l="1"/>
  <c r="G5" i="10"/>
  <c r="F5" i="4"/>
  <c r="AM225" i="6"/>
  <c r="AK54" i="6"/>
  <c r="AK55" i="6"/>
  <c r="N224" i="16" l="1"/>
  <c r="G13" i="30"/>
  <c r="I12" i="29"/>
  <c r="N15" i="18"/>
  <c r="O21" i="18"/>
  <c r="N21" i="18"/>
  <c r="N16" i="18"/>
  <c r="O20" i="18"/>
  <c r="O18" i="18"/>
  <c r="O17" i="18"/>
  <c r="N20" i="18"/>
  <c r="O15" i="18"/>
  <c r="O16" i="18"/>
  <c r="N18" i="18"/>
  <c r="N17" i="18"/>
  <c r="N228" i="16"/>
  <c r="S224" i="16"/>
  <c r="U224" i="16" s="1"/>
  <c r="AN225" i="6"/>
  <c r="AK52" i="6"/>
  <c r="I16" i="29" l="1"/>
  <c r="J16" i="29" s="1"/>
  <c r="K12" i="29"/>
  <c r="J12" i="29"/>
  <c r="H13" i="30"/>
  <c r="G29" i="30"/>
  <c r="H29" i="30" s="1"/>
  <c r="AM69" i="6"/>
  <c r="N68" i="16" l="1"/>
  <c r="G12" i="30"/>
  <c r="F62" i="28"/>
  <c r="G62" i="28" s="1"/>
  <c r="S68" i="16"/>
  <c r="U68" i="16" s="1"/>
  <c r="D34" i="10"/>
  <c r="G34" i="10" s="1"/>
  <c r="D33" i="10"/>
  <c r="G33" i="10" s="1"/>
  <c r="D32" i="10"/>
  <c r="G32" i="10" s="1"/>
  <c r="D31" i="10"/>
  <c r="G31" i="10" s="1"/>
  <c r="D30" i="10"/>
  <c r="G30" i="10" s="1"/>
  <c r="D29" i="10"/>
  <c r="G29" i="10" s="1"/>
  <c r="D28" i="10"/>
  <c r="G28" i="10" s="1"/>
  <c r="D27" i="10"/>
  <c r="G27" i="10" s="1"/>
  <c r="D26" i="10"/>
  <c r="G26" i="10" s="1"/>
  <c r="D25" i="10"/>
  <c r="G25" i="10" s="1"/>
  <c r="D24" i="10"/>
  <c r="G24" i="10" s="1"/>
  <c r="D23" i="10"/>
  <c r="G23" i="10" s="1"/>
  <c r="D22" i="10"/>
  <c r="G22" i="10" s="1"/>
  <c r="D21" i="10"/>
  <c r="G21" i="10" s="1"/>
  <c r="D20" i="10"/>
  <c r="G20" i="10" s="1"/>
  <c r="D19" i="10"/>
  <c r="G19" i="10" s="1"/>
  <c r="D18" i="10"/>
  <c r="G18" i="10" s="1"/>
  <c r="D17" i="10"/>
  <c r="G17" i="10" s="1"/>
  <c r="AM18" i="6" s="1"/>
  <c r="D16" i="10"/>
  <c r="G16" i="10" s="1"/>
  <c r="D15" i="10"/>
  <c r="G15" i="10" s="1"/>
  <c r="D14" i="10"/>
  <c r="G14" i="10" s="1"/>
  <c r="D13" i="10"/>
  <c r="D12" i="10"/>
  <c r="G12" i="10" s="1"/>
  <c r="D11" i="10"/>
  <c r="G11" i="10" s="1"/>
  <c r="D10" i="10"/>
  <c r="G10" i="10" s="1"/>
  <c r="D9" i="10"/>
  <c r="G9" i="10" s="1"/>
  <c r="D8" i="10"/>
  <c r="G8" i="10" s="1"/>
  <c r="D7" i="10"/>
  <c r="G7" i="10" s="1"/>
  <c r="D6" i="10"/>
  <c r="G6" i="10" s="1"/>
  <c r="H12" i="30" l="1"/>
  <c r="G28" i="30"/>
  <c r="H28" i="30" s="1"/>
  <c r="G7" i="30"/>
  <c r="H7" i="30" s="1"/>
  <c r="F16" i="28"/>
  <c r="G236" i="6"/>
  <c r="AM30" i="6"/>
  <c r="G16" i="28" l="1"/>
  <c r="F45" i="28"/>
  <c r="G45" i="28" s="1"/>
  <c r="N27" i="16"/>
  <c r="N25" i="16" s="1"/>
  <c r="F25" i="28"/>
  <c r="AM236" i="6"/>
  <c r="D16" i="17" s="1"/>
  <c r="F16" i="17" s="1"/>
  <c r="J16" i="17" s="1"/>
  <c r="M16" i="17" s="1"/>
  <c r="N11" i="16"/>
  <c r="AM70" i="6"/>
  <c r="AO9" i="6"/>
  <c r="AP9" i="6" s="1"/>
  <c r="AN9" i="6"/>
  <c r="S27" i="16" l="1"/>
  <c r="D9" i="17"/>
  <c r="F9" i="17" s="1"/>
  <c r="J9" i="17" s="1"/>
  <c r="M9" i="17" s="1"/>
  <c r="N9" i="17" s="1"/>
  <c r="F63" i="28"/>
  <c r="G63" i="28" s="1"/>
  <c r="G25" i="28"/>
  <c r="F23" i="28"/>
  <c r="G23" i="28" s="1"/>
  <c r="F47" i="28"/>
  <c r="G47" i="28" s="1"/>
  <c r="O16" i="17"/>
  <c r="N16" i="17"/>
  <c r="AN70" i="6"/>
  <c r="N10" i="16"/>
  <c r="S10" i="16" s="1"/>
  <c r="N12" i="16"/>
  <c r="N65" i="16" s="1"/>
  <c r="S11" i="16"/>
  <c r="V11" i="16" s="1"/>
  <c r="N69" i="16"/>
  <c r="N53" i="16"/>
  <c r="S25" i="16"/>
  <c r="U27" i="16"/>
  <c r="AIV17" i="16"/>
  <c r="AIW17" i="16" s="1"/>
  <c r="N54" i="16"/>
  <c r="O9" i="17" l="1"/>
  <c r="F48" i="28"/>
  <c r="G48" i="28" s="1"/>
  <c r="U11" i="16"/>
  <c r="U69" i="16" s="1"/>
  <c r="AIV8" i="16"/>
  <c r="AIW8" i="16" s="1"/>
  <c r="AX11" i="16"/>
  <c r="S65" i="16"/>
  <c r="S69" i="16"/>
  <c r="AX69" i="16" s="1"/>
  <c r="OO15" i="16"/>
  <c r="OO17" i="16" s="1"/>
  <c r="S12" i="16"/>
  <c r="S53" i="16"/>
  <c r="U25" i="16"/>
  <c r="S54" i="16"/>
  <c r="D9" i="4"/>
  <c r="F9" i="4" s="1"/>
  <c r="AX65" i="16" l="1"/>
  <c r="V65" i="16"/>
  <c r="OO18" i="16"/>
  <c r="OO20" i="16"/>
  <c r="AN7" i="6"/>
  <c r="AM14" i="6"/>
  <c r="N16" i="16" l="1"/>
  <c r="F13" i="28"/>
  <c r="G13" i="28" s="1"/>
  <c r="T16" i="16"/>
  <c r="S16" i="16"/>
  <c r="U16" i="16"/>
  <c r="G41" i="6"/>
  <c r="G53" i="6"/>
  <c r="G238" i="6"/>
  <c r="G28" i="6" l="1"/>
  <c r="AM28" i="6" s="1"/>
  <c r="G61" i="6"/>
  <c r="G54" i="6"/>
  <c r="G60" i="6"/>
  <c r="AM54" i="6" l="1"/>
  <c r="N71" i="16"/>
  <c r="N72" i="16" s="1"/>
  <c r="S16" i="8"/>
  <c r="AK255" i="6"/>
  <c r="AK74" i="6"/>
  <c r="U71" i="16" l="1"/>
  <c r="U72" i="16" s="1"/>
  <c r="AK239" i="6"/>
  <c r="AK240" i="6" s="1"/>
  <c r="AK230" i="6"/>
  <c r="AK231" i="6" s="1"/>
  <c r="AM226" i="6"/>
  <c r="AM48" i="6"/>
  <c r="AM49" i="6"/>
  <c r="AM50" i="6"/>
  <c r="AM47" i="6"/>
  <c r="N45" i="16" s="1"/>
  <c r="AM45" i="6"/>
  <c r="I11" i="29" l="1"/>
  <c r="G14" i="30"/>
  <c r="S45" i="16"/>
  <c r="N43" i="16"/>
  <c r="N62" i="16" s="1"/>
  <c r="N223" i="16"/>
  <c r="S223" i="16" s="1"/>
  <c r="U223" i="16" s="1"/>
  <c r="AM55" i="6"/>
  <c r="H14" i="30" l="1"/>
  <c r="G30" i="30"/>
  <c r="H30" i="30" s="1"/>
  <c r="N61" i="16"/>
  <c r="U45" i="16"/>
  <c r="S43" i="16"/>
  <c r="S61" i="16" s="1"/>
  <c r="S62" i="16" l="1"/>
  <c r="U43" i="16"/>
  <c r="OP15" i="16"/>
  <c r="OP17" i="16" s="1"/>
  <c r="S18" i="8"/>
  <c r="R21" i="8"/>
  <c r="OP20" i="16" l="1"/>
  <c r="OP18" i="16"/>
  <c r="R39" i="8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AM268" i="6" l="1"/>
  <c r="AM267" i="6"/>
  <c r="AM262" i="6"/>
  <c r="AM264" i="6"/>
  <c r="N250" i="16"/>
  <c r="AM259" i="6"/>
  <c r="G255" i="6"/>
  <c r="AM254" i="6"/>
  <c r="I35" i="29" s="1"/>
  <c r="AK249" i="6"/>
  <c r="AM248" i="6"/>
  <c r="I26" i="29" s="1"/>
  <c r="AM246" i="6"/>
  <c r="I30" i="29" s="1"/>
  <c r="AM244" i="6"/>
  <c r="G239" i="6"/>
  <c r="G240" i="6" s="1"/>
  <c r="AM237" i="6"/>
  <c r="AM233" i="6"/>
  <c r="I18" i="29" s="1"/>
  <c r="G230" i="6"/>
  <c r="G231" i="6" s="1"/>
  <c r="G74" i="6"/>
  <c r="AK71" i="6"/>
  <c r="AK72" i="6" s="1"/>
  <c r="AK70" i="6"/>
  <c r="AK53" i="6"/>
  <c r="AK46" i="6"/>
  <c r="AK63" i="6" s="1"/>
  <c r="G46" i="6"/>
  <c r="G62" i="6" s="1"/>
  <c r="AK41" i="6"/>
  <c r="E41" i="6"/>
  <c r="AK37" i="6"/>
  <c r="AK59" i="6" s="1"/>
  <c r="G37" i="6"/>
  <c r="AK32" i="6"/>
  <c r="AK57" i="6" s="1"/>
  <c r="G32" i="6"/>
  <c r="AK12" i="6"/>
  <c r="G12" i="6"/>
  <c r="G68" i="6" s="1"/>
  <c r="AK11" i="6"/>
  <c r="AK8" i="6"/>
  <c r="AM245" i="6" l="1"/>
  <c r="D23" i="17" s="1"/>
  <c r="F23" i="17" s="1"/>
  <c r="J23" i="17" s="1"/>
  <c r="M23" i="17" s="1"/>
  <c r="I29" i="29"/>
  <c r="G15" i="30"/>
  <c r="AM265" i="6"/>
  <c r="D10" i="18" s="1"/>
  <c r="F10" i="18" s="1"/>
  <c r="G22" i="30"/>
  <c r="I40" i="29"/>
  <c r="J30" i="29"/>
  <c r="K30" i="29"/>
  <c r="AM263" i="6"/>
  <c r="D11" i="18" s="1"/>
  <c r="F11" i="18" s="1"/>
  <c r="G23" i="30"/>
  <c r="G20" i="30"/>
  <c r="I41" i="29"/>
  <c r="J35" i="29"/>
  <c r="K35" i="29"/>
  <c r="I37" i="29"/>
  <c r="G17" i="30"/>
  <c r="K26" i="29"/>
  <c r="N255" i="16"/>
  <c r="I39" i="29"/>
  <c r="J18" i="29"/>
  <c r="K18" i="29"/>
  <c r="G21" i="30"/>
  <c r="I21" i="29"/>
  <c r="N256" i="16"/>
  <c r="I42" i="29"/>
  <c r="N252" i="16"/>
  <c r="T252" i="16" s="1"/>
  <c r="N240" i="16"/>
  <c r="S240" i="16" s="1"/>
  <c r="AM247" i="6"/>
  <c r="D13" i="18" s="1"/>
  <c r="F13" i="18" s="1"/>
  <c r="J13" i="18" s="1"/>
  <c r="M13" i="18" s="1"/>
  <c r="N253" i="16"/>
  <c r="T253" i="16" s="1"/>
  <c r="N23" i="17"/>
  <c r="O23" i="17"/>
  <c r="N249" i="16"/>
  <c r="S249" i="16" s="1"/>
  <c r="AM260" i="6"/>
  <c r="D20" i="17" s="1"/>
  <c r="F20" i="17" s="1"/>
  <c r="J20" i="17" s="1"/>
  <c r="AM12" i="6"/>
  <c r="N233" i="16"/>
  <c r="S233" i="16" s="1"/>
  <c r="U233" i="16" s="1"/>
  <c r="AM32" i="6"/>
  <c r="G55" i="6"/>
  <c r="N239" i="16"/>
  <c r="S239" i="16" s="1"/>
  <c r="N241" i="16"/>
  <c r="S241" i="16" s="1"/>
  <c r="U241" i="16" s="1"/>
  <c r="N243" i="16"/>
  <c r="S243" i="16" s="1"/>
  <c r="U243" i="16" s="1"/>
  <c r="AN233" i="6"/>
  <c r="N230" i="16"/>
  <c r="S230" i="16" s="1"/>
  <c r="U230" i="16" s="1"/>
  <c r="AN254" i="6"/>
  <c r="N246" i="16"/>
  <c r="T256" i="16"/>
  <c r="S256" i="16"/>
  <c r="T255" i="16"/>
  <c r="S255" i="16"/>
  <c r="T250" i="16"/>
  <c r="S250" i="16"/>
  <c r="G58" i="6"/>
  <c r="AM37" i="6"/>
  <c r="AK68" i="6"/>
  <c r="AK247" i="6"/>
  <c r="AM238" i="6"/>
  <c r="D8" i="18" s="1"/>
  <c r="F8" i="18" s="1"/>
  <c r="J8" i="18" s="1"/>
  <c r="M8" i="18" s="1"/>
  <c r="AM249" i="6"/>
  <c r="I31" i="29" s="1"/>
  <c r="G25" i="6"/>
  <c r="G57" i="6"/>
  <c r="AR18" i="6"/>
  <c r="AM42" i="6"/>
  <c r="F37" i="28" s="1"/>
  <c r="AM19" i="6"/>
  <c r="G52" i="6"/>
  <c r="AM43" i="6"/>
  <c r="AU30" i="6" s="1"/>
  <c r="AK61" i="6"/>
  <c r="AK66" i="6"/>
  <c r="AM46" i="6"/>
  <c r="AM62" i="6" s="1"/>
  <c r="N44" i="16" s="1"/>
  <c r="G71" i="6"/>
  <c r="G72" i="6" s="1"/>
  <c r="G59" i="6"/>
  <c r="G8" i="6"/>
  <c r="AM8" i="6" s="1"/>
  <c r="G63" i="6"/>
  <c r="G56" i="6"/>
  <c r="AM255" i="6"/>
  <c r="G11" i="6"/>
  <c r="G70" i="6"/>
  <c r="AM239" i="6"/>
  <c r="AK56" i="6"/>
  <c r="AK58" i="6"/>
  <c r="AK60" i="6"/>
  <c r="AK62" i="6"/>
  <c r="N234" i="16" l="1"/>
  <c r="I22" i="29"/>
  <c r="J39" i="29"/>
  <c r="K39" i="29"/>
  <c r="J41" i="29"/>
  <c r="K41" i="29"/>
  <c r="H21" i="30"/>
  <c r="G37" i="30"/>
  <c r="H37" i="30" s="1"/>
  <c r="J40" i="29"/>
  <c r="K40" i="29"/>
  <c r="J31" i="29"/>
  <c r="K31" i="29"/>
  <c r="H20" i="30"/>
  <c r="G36" i="30"/>
  <c r="H36" i="30" s="1"/>
  <c r="H15" i="30"/>
  <c r="G31" i="30"/>
  <c r="H31" i="30" s="1"/>
  <c r="H17" i="30"/>
  <c r="G33" i="30"/>
  <c r="H33" i="30" s="1"/>
  <c r="AM58" i="6"/>
  <c r="AM56" i="6"/>
  <c r="J37" i="29"/>
  <c r="K37" i="29"/>
  <c r="J42" i="29"/>
  <c r="K42" i="29"/>
  <c r="H23" i="30"/>
  <c r="G39" i="30"/>
  <c r="H39" i="30" s="1"/>
  <c r="I27" i="29"/>
  <c r="J29" i="29"/>
  <c r="K29" i="29"/>
  <c r="K21" i="29"/>
  <c r="J21" i="29"/>
  <c r="I23" i="29"/>
  <c r="H22" i="30"/>
  <c r="G38" i="30"/>
  <c r="H38" i="30" s="1"/>
  <c r="N20" i="16"/>
  <c r="F17" i="28"/>
  <c r="G37" i="28"/>
  <c r="N40" i="16"/>
  <c r="F38" i="28"/>
  <c r="S252" i="16"/>
  <c r="T249" i="16"/>
  <c r="S253" i="16"/>
  <c r="J11" i="18"/>
  <c r="M11" i="18"/>
  <c r="N13" i="18"/>
  <c r="O13" i="18"/>
  <c r="M10" i="18"/>
  <c r="J10" i="18"/>
  <c r="O8" i="18"/>
  <c r="N8" i="18"/>
  <c r="M20" i="17"/>
  <c r="U239" i="16"/>
  <c r="AFR239" i="16"/>
  <c r="N242" i="16"/>
  <c r="S242" i="16" s="1"/>
  <c r="U242" i="16" s="1"/>
  <c r="U44" i="16"/>
  <c r="T44" i="16"/>
  <c r="S44" i="16"/>
  <c r="N9" i="16"/>
  <c r="N39" i="16"/>
  <c r="AFR240" i="16"/>
  <c r="U240" i="16"/>
  <c r="S234" i="16"/>
  <c r="N235" i="16"/>
  <c r="N247" i="16"/>
  <c r="S247" i="16" s="1"/>
  <c r="U247" i="16" s="1"/>
  <c r="S246" i="16"/>
  <c r="U246" i="16" s="1"/>
  <c r="S20" i="16"/>
  <c r="N52" i="16"/>
  <c r="AM52" i="6"/>
  <c r="N19" i="16"/>
  <c r="S40" i="16"/>
  <c r="AM68" i="6"/>
  <c r="AM60" i="6"/>
  <c r="AM71" i="6"/>
  <c r="F65" i="28" s="1"/>
  <c r="G65" i="28" s="1"/>
  <c r="G26" i="6"/>
  <c r="AM57" i="6"/>
  <c r="AM63" i="6"/>
  <c r="AM240" i="6"/>
  <c r="AM41" i="6"/>
  <c r="AM59" i="6"/>
  <c r="G66" i="6"/>
  <c r="J23" i="29" l="1"/>
  <c r="K23" i="29"/>
  <c r="K27" i="29"/>
  <c r="I32" i="29"/>
  <c r="J22" i="29"/>
  <c r="K22" i="29"/>
  <c r="G38" i="28"/>
  <c r="F36" i="28"/>
  <c r="G36" i="28" s="1"/>
  <c r="N38" i="16"/>
  <c r="F53" i="28"/>
  <c r="G53" i="28" s="1"/>
  <c r="G17" i="28"/>
  <c r="F46" i="28"/>
  <c r="G46" i="28" s="1"/>
  <c r="M22" i="18"/>
  <c r="G12" i="19" s="1"/>
  <c r="I12" i="19" s="1"/>
  <c r="N10" i="18"/>
  <c r="O10" i="18"/>
  <c r="O11" i="18"/>
  <c r="N11" i="18"/>
  <c r="N20" i="17"/>
  <c r="O20" i="17"/>
  <c r="N48" i="16"/>
  <c r="S48" i="16" s="1"/>
  <c r="N47" i="16"/>
  <c r="S47" i="16" s="1"/>
  <c r="S39" i="16"/>
  <c r="U39" i="16" s="1"/>
  <c r="U234" i="16"/>
  <c r="S235" i="16"/>
  <c r="U235" i="16" s="1"/>
  <c r="AIV11" i="16"/>
  <c r="AIW11" i="16" s="1"/>
  <c r="U20" i="16"/>
  <c r="S52" i="16"/>
  <c r="S19" i="16"/>
  <c r="N51" i="16"/>
  <c r="N70" i="16"/>
  <c r="U40" i="16"/>
  <c r="N60" i="16"/>
  <c r="N59" i="16"/>
  <c r="AM26" i="6"/>
  <c r="AM25" i="6"/>
  <c r="AM61" i="6"/>
  <c r="K32" i="29" l="1"/>
  <c r="J32" i="29"/>
  <c r="N23" i="16"/>
  <c r="S23" i="16" s="1"/>
  <c r="F20" i="28"/>
  <c r="G20" i="28" s="1"/>
  <c r="F54" i="28"/>
  <c r="G54" i="28" s="1"/>
  <c r="H12" i="19"/>
  <c r="O22" i="18"/>
  <c r="N22" i="18"/>
  <c r="S38" i="16"/>
  <c r="S60" i="16" s="1"/>
  <c r="U19" i="16"/>
  <c r="S70" i="16"/>
  <c r="U70" i="16" s="1"/>
  <c r="S51" i="16"/>
  <c r="E22" i="3"/>
  <c r="F22" i="3" s="1"/>
  <c r="H22" i="3" s="1"/>
  <c r="J22" i="3" s="1"/>
  <c r="E23" i="3"/>
  <c r="F23" i="3" s="1"/>
  <c r="H23" i="3" s="1"/>
  <c r="J23" i="3" s="1"/>
  <c r="E24" i="3"/>
  <c r="F24" i="3" s="1"/>
  <c r="H24" i="3" s="1"/>
  <c r="J24" i="3" s="1"/>
  <c r="E25" i="3"/>
  <c r="F25" i="3" s="1"/>
  <c r="H25" i="3" s="1"/>
  <c r="J25" i="3" s="1"/>
  <c r="E26" i="3"/>
  <c r="F26" i="3" s="1"/>
  <c r="H26" i="3" s="1"/>
  <c r="J26" i="3" s="1"/>
  <c r="E27" i="3"/>
  <c r="F27" i="3" s="1"/>
  <c r="H27" i="3" s="1"/>
  <c r="J27" i="3" s="1"/>
  <c r="E28" i="3"/>
  <c r="F28" i="3" s="1"/>
  <c r="H28" i="3" s="1"/>
  <c r="J28" i="3" s="1"/>
  <c r="E29" i="3"/>
  <c r="F29" i="3" s="1"/>
  <c r="H29" i="3" s="1"/>
  <c r="J29" i="3" s="1"/>
  <c r="E30" i="3"/>
  <c r="F30" i="3" s="1"/>
  <c r="H30" i="3" s="1"/>
  <c r="J30" i="3" s="1"/>
  <c r="E31" i="3"/>
  <c r="F31" i="3" s="1"/>
  <c r="H31" i="3" s="1"/>
  <c r="J31" i="3" s="1"/>
  <c r="E32" i="3"/>
  <c r="F32" i="3" s="1"/>
  <c r="H32" i="3" s="1"/>
  <c r="J32" i="3" s="1"/>
  <c r="E33" i="3"/>
  <c r="F33" i="3" s="1"/>
  <c r="H33" i="3" s="1"/>
  <c r="J33" i="3" s="1"/>
  <c r="E34" i="3"/>
  <c r="F34" i="3" s="1"/>
  <c r="H34" i="3" s="1"/>
  <c r="J34" i="3" s="1"/>
  <c r="E35" i="3"/>
  <c r="F35" i="3" s="1"/>
  <c r="H35" i="3" s="1"/>
  <c r="J35" i="3" s="1"/>
  <c r="E36" i="3"/>
  <c r="F36" i="3" s="1"/>
  <c r="H36" i="3" s="1"/>
  <c r="J36" i="3" s="1"/>
  <c r="AX20" i="16" l="1"/>
  <c r="AX19" i="16" s="1"/>
  <c r="S59" i="16"/>
  <c r="U38" i="16"/>
  <c r="K24" i="3"/>
  <c r="N24" i="3" s="1"/>
  <c r="M24" i="3"/>
  <c r="K28" i="3"/>
  <c r="N28" i="3" s="1"/>
  <c r="M28" i="3"/>
  <c r="K35" i="3"/>
  <c r="N35" i="3" s="1"/>
  <c r="M35" i="3"/>
  <c r="K31" i="3"/>
  <c r="N31" i="3" s="1"/>
  <c r="M31" i="3"/>
  <c r="K23" i="3"/>
  <c r="N23" i="3" s="1"/>
  <c r="M23" i="3"/>
  <c r="K36" i="3"/>
  <c r="N36" i="3" s="1"/>
  <c r="M36" i="3"/>
  <c r="K27" i="3"/>
  <c r="N27" i="3" s="1"/>
  <c r="M27" i="3"/>
  <c r="K33" i="3"/>
  <c r="N33" i="3" s="1"/>
  <c r="M33" i="3"/>
  <c r="K30" i="3"/>
  <c r="N30" i="3" s="1"/>
  <c r="M30" i="3"/>
  <c r="K26" i="3"/>
  <c r="N26" i="3" s="1"/>
  <c r="M26" i="3"/>
  <c r="K29" i="3"/>
  <c r="N29" i="3" s="1"/>
  <c r="M29" i="3"/>
  <c r="K32" i="3"/>
  <c r="N32" i="3" s="1"/>
  <c r="M32" i="3"/>
  <c r="K34" i="3"/>
  <c r="N34" i="3" s="1"/>
  <c r="M34" i="3"/>
  <c r="K22" i="3"/>
  <c r="N22" i="3" s="1"/>
  <c r="M22" i="3"/>
  <c r="K25" i="3"/>
  <c r="N25" i="3" s="1"/>
  <c r="M25" i="3"/>
  <c r="D8" i="4" l="1"/>
  <c r="F8" i="4" s="1"/>
  <c r="D7" i="4"/>
  <c r="F7" i="4" s="1"/>
  <c r="D10" i="4"/>
  <c r="F10" i="4" s="1"/>
  <c r="D11" i="4"/>
  <c r="F11" i="4" s="1"/>
  <c r="D12" i="4"/>
  <c r="F12" i="4" s="1"/>
  <c r="D13" i="4"/>
  <c r="F13" i="4" s="1"/>
  <c r="D14" i="4"/>
  <c r="F14" i="4" s="1"/>
  <c r="D15" i="4"/>
  <c r="D16" i="4"/>
  <c r="D17" i="4"/>
  <c r="F17" i="4" s="1"/>
  <c r="D18" i="4"/>
  <c r="D19" i="4"/>
  <c r="F19" i="4" s="1"/>
  <c r="D20" i="4"/>
  <c r="F20" i="4" s="1"/>
  <c r="D21" i="4"/>
  <c r="F21" i="4" s="1"/>
  <c r="D22" i="4"/>
  <c r="F22" i="4" s="1"/>
  <c r="D23" i="4"/>
  <c r="F23" i="4" s="1"/>
  <c r="D24" i="4"/>
  <c r="F24" i="4" s="1"/>
  <c r="D25" i="4"/>
  <c r="F25" i="4" s="1"/>
  <c r="D26" i="4"/>
  <c r="F26" i="4" s="1"/>
  <c r="D27" i="4"/>
  <c r="F27" i="4" s="1"/>
  <c r="D28" i="4"/>
  <c r="F28" i="4" s="1"/>
  <c r="D29" i="4"/>
  <c r="F29" i="4" s="1"/>
  <c r="D30" i="4"/>
  <c r="F30" i="4" s="1"/>
  <c r="D31" i="4"/>
  <c r="F31" i="4" s="1"/>
  <c r="D32" i="4"/>
  <c r="F32" i="4" s="1"/>
  <c r="D33" i="4"/>
  <c r="F33" i="4" s="1"/>
  <c r="D34" i="4"/>
  <c r="F34" i="4" s="1"/>
  <c r="D6" i="4"/>
  <c r="F6" i="4" s="1"/>
  <c r="F15" i="4" l="1"/>
  <c r="F18" i="4"/>
  <c r="F16" i="4"/>
  <c r="AM11" i="6" l="1"/>
  <c r="AM72" i="6"/>
  <c r="AM53" i="6"/>
  <c r="AM66" i="6" l="1"/>
  <c r="D8" i="17" l="1"/>
  <c r="F8" i="17" s="1"/>
  <c r="J8" i="17" s="1"/>
  <c r="M8" i="17" s="1"/>
  <c r="F59" i="28"/>
  <c r="G59" i="28" s="1"/>
  <c r="AN66" i="6"/>
  <c r="O8" i="17"/>
  <c r="N8" i="17"/>
  <c r="C48" i="3"/>
  <c r="L39" i="3"/>
  <c r="I39" i="3"/>
  <c r="C50" i="3" s="1"/>
  <c r="E21" i="3"/>
  <c r="F21" i="3" s="1"/>
  <c r="H21" i="3" s="1"/>
  <c r="J21" i="3" s="1"/>
  <c r="E20" i="3"/>
  <c r="F20" i="3" s="1"/>
  <c r="H20" i="3" s="1"/>
  <c r="J20" i="3" s="1"/>
  <c r="E19" i="3"/>
  <c r="F19" i="3" s="1"/>
  <c r="H19" i="3" s="1"/>
  <c r="J19" i="3" s="1"/>
  <c r="E18" i="3"/>
  <c r="F18" i="3" s="1"/>
  <c r="H18" i="3" s="1"/>
  <c r="J18" i="3" s="1"/>
  <c r="E17" i="3"/>
  <c r="F17" i="3" s="1"/>
  <c r="H17" i="3" s="1"/>
  <c r="J17" i="3" s="1"/>
  <c r="E16" i="3"/>
  <c r="F16" i="3" s="1"/>
  <c r="H16" i="3" s="1"/>
  <c r="J16" i="3" s="1"/>
  <c r="E15" i="3"/>
  <c r="F15" i="3" s="1"/>
  <c r="H15" i="3" s="1"/>
  <c r="J15" i="3" s="1"/>
  <c r="K15" i="3" s="1"/>
  <c r="E14" i="3"/>
  <c r="F14" i="3" s="1"/>
  <c r="H14" i="3" s="1"/>
  <c r="J14" i="3" s="1"/>
  <c r="E13" i="3"/>
  <c r="F13" i="3" s="1"/>
  <c r="H13" i="3" s="1"/>
  <c r="J13" i="3" s="1"/>
  <c r="E12" i="3"/>
  <c r="F12" i="3" s="1"/>
  <c r="H12" i="3" s="1"/>
  <c r="J12" i="3" s="1"/>
  <c r="E11" i="3"/>
  <c r="F11" i="3" s="1"/>
  <c r="H11" i="3" s="1"/>
  <c r="J11" i="3" s="1"/>
  <c r="E10" i="3"/>
  <c r="F10" i="3" s="1"/>
  <c r="H10" i="3" s="1"/>
  <c r="J10" i="3" s="1"/>
  <c r="E9" i="3"/>
  <c r="F9" i="3" s="1"/>
  <c r="H9" i="3" s="1"/>
  <c r="J9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E8" i="3"/>
  <c r="F8" i="3" s="1"/>
  <c r="M9" i="3" l="1"/>
  <c r="K9" i="3"/>
  <c r="N9" i="3" s="1"/>
  <c r="M16" i="3"/>
  <c r="K16" i="3"/>
  <c r="N16" i="3" s="1"/>
  <c r="K21" i="3"/>
  <c r="N21" i="3" s="1"/>
  <c r="M21" i="3"/>
  <c r="M10" i="3"/>
  <c r="K10" i="3"/>
  <c r="N10" i="3" s="1"/>
  <c r="M17" i="3"/>
  <c r="K17" i="3"/>
  <c r="N17" i="3" s="1"/>
  <c r="M18" i="3"/>
  <c r="K18" i="3"/>
  <c r="N18" i="3" s="1"/>
  <c r="M13" i="3"/>
  <c r="K13" i="3"/>
  <c r="N13" i="3" s="1"/>
  <c r="M11" i="3"/>
  <c r="K11" i="3"/>
  <c r="N11" i="3" s="1"/>
  <c r="M12" i="3"/>
  <c r="K12" i="3"/>
  <c r="N12" i="3" s="1"/>
  <c r="M14" i="3"/>
  <c r="K14" i="3"/>
  <c r="N14" i="3" s="1"/>
  <c r="K19" i="3"/>
  <c r="N19" i="3" s="1"/>
  <c r="M19" i="3"/>
  <c r="F40" i="3"/>
  <c r="H8" i="3"/>
  <c r="F39" i="3"/>
  <c r="M15" i="3"/>
  <c r="N15" i="3"/>
  <c r="M20" i="3"/>
  <c r="K20" i="3"/>
  <c r="N20" i="3" s="1"/>
  <c r="C40" i="3"/>
  <c r="E40" i="3"/>
  <c r="AM228" i="6" l="1"/>
  <c r="G46" i="3"/>
  <c r="C45" i="3"/>
  <c r="C47" i="3" s="1"/>
  <c r="C49" i="3" s="1"/>
  <c r="C51" i="3" s="1"/>
  <c r="F45" i="3"/>
  <c r="F47" i="3" s="1"/>
  <c r="J8" i="3"/>
  <c r="H40" i="3"/>
  <c r="H42" i="3" s="1"/>
  <c r="H39" i="3"/>
  <c r="AM229" i="6" l="1"/>
  <c r="I14" i="29"/>
  <c r="D12" i="17"/>
  <c r="F12" i="17" s="1"/>
  <c r="J12" i="17" s="1"/>
  <c r="M12" i="17" s="1"/>
  <c r="M48" i="17" s="1"/>
  <c r="N226" i="16"/>
  <c r="S226" i="16" s="1"/>
  <c r="U226" i="16" s="1"/>
  <c r="J40" i="3"/>
  <c r="J42" i="3" s="1"/>
  <c r="J39" i="3"/>
  <c r="M8" i="3"/>
  <c r="M39" i="3" s="1"/>
  <c r="K8" i="3"/>
  <c r="J14" i="29" l="1"/>
  <c r="K14" i="29"/>
  <c r="I15" i="29"/>
  <c r="O12" i="17"/>
  <c r="O48" i="17" s="1"/>
  <c r="N12" i="17"/>
  <c r="N48" i="17" s="1"/>
  <c r="N227" i="16"/>
  <c r="S227" i="16" s="1"/>
  <c r="AM231" i="6"/>
  <c r="K39" i="3"/>
  <c r="N8" i="3"/>
  <c r="N39" i="3" s="1"/>
  <c r="J15" i="29" l="1"/>
  <c r="K15" i="29"/>
  <c r="K16" i="29" s="1"/>
  <c r="U227" i="16"/>
  <c r="S228" i="16"/>
  <c r="U228" i="16" s="1"/>
  <c r="G11" i="19" l="1"/>
  <c r="G14" i="19" l="1"/>
  <c r="G28" i="19" s="1"/>
  <c r="H11" i="19"/>
  <c r="H14" i="19" s="1"/>
  <c r="H28" i="19" s="1"/>
  <c r="I11" i="19" l="1"/>
  <c r="I14" i="19" s="1"/>
  <c r="I28" i="19" s="1"/>
  <c r="K26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tc={783A7696-C501-4148-A3C8-B9EA3FACEFF8}</author>
    <author>tc={E4428B88-416D-4FD3-AB40-44FD2B63B567}</author>
  </authors>
  <commentList>
    <comment ref="Q29" authorId="0" shapeId="0" xr:uid="{783A7696-C501-4148-A3C8-B9EA3FACEFF8}">
      <text>
        <t>[Komentar beralur]
Versi Excel memungkinkan Anda untuk membaca komentar beralur; namun, setiap pengeditan pada komentar akan dihapus jika file dibuka di versi Excel yang lebih baru. Pelajari selengkapnya: https://go.microsoft.com/fwlink/?linkid=870924
Komentar:
    Transfer Langsung ke Packaging : 237.105 Kg ( Base On Sounding Packaging )</t>
      </text>
    </comment>
    <comment ref="AJ42" authorId="1" shapeId="0" xr:uid="{E4428B88-416D-4FD3-AB40-44FD2B63B567}">
      <text>
        <t xml:space="preserve">[Komentar beralur]
Versi Excel memungkinkan Anda untuk membaca komentar beralur; namun, setiap pengeditan pada komentar akan dihapus jika file dibuka di versi Excel yang lebih baru. Pelajari selengkapnya: https://go.microsoft.com/fwlink/?linkid=870924
Komentar:
    Filling Langsung Ke Packaging 71.400 Kg
</t>
      </text>
    </comment>
  </commentList>
</comments>
</file>

<file path=xl/sharedStrings.xml><?xml version="1.0" encoding="utf-8"?>
<sst xmlns="http://schemas.openxmlformats.org/spreadsheetml/2006/main" count="2437" uniqueCount="808">
  <si>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</si>
  <si>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</si>
  <si>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</si>
  <si>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</si>
  <si>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</si>
  <si>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</si>
  <si>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</si>
  <si>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</si>
  <si>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</si>
  <si>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</si>
  <si>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</si>
  <si>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</si>
  <si>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</si>
  <si>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</si>
  <si>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</si>
  <si>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</si>
  <si>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</si>
  <si>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</si>
  <si>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</si>
  <si>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</si>
  <si>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</si>
  <si>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</si>
  <si>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</si>
  <si>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</si>
  <si>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</si>
  <si>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</si>
  <si>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</si>
  <si>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</si>
  <si>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</si>
  <si>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</si>
  <si>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</si>
  <si>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</si>
  <si>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</si>
  <si>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</si>
  <si>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</si>
  <si>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</si>
  <si>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</si>
  <si>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</si>
  <si>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</si>
  <si>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</si>
  <si>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</si>
  <si>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</si>
  <si>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</si>
  <si>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</si>
  <si>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</si>
  <si>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</si>
  <si>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</si>
  <si>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</si>
  <si>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</si>
  <si>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</si>
  <si>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</si>
  <si>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</si>
  <si>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</si>
  <si>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</si>
  <si>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</si>
  <si>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</si>
  <si>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</si>
  <si>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</si>
  <si>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</si>
  <si>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</si>
  <si>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</si>
  <si>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</si>
  <si>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</si>
  <si>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</si>
  <si>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</si>
  <si>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</si>
  <si>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</si>
  <si>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</si>
  <si>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</si>
  <si>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</si>
  <si>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</si>
  <si>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</si>
  <si>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</si>
  <si>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</si>
  <si>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</si>
  <si>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</si>
  <si>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</si>
  <si>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</si>
  <si>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</si>
  <si>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</si>
  <si>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</si>
  <si>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</si>
  <si>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</si>
  <si>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</si>
  <si>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</si>
  <si>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</si>
  <si>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</si>
  <si>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</si>
  <si>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</si>
  <si>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</si>
  <si>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</si>
  <si>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</si>
  <si>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</si>
  <si>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</si>
  <si>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</si>
  <si>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</si>
  <si>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</si>
  <si>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</si>
  <si>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</si>
  <si>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</si>
  <si>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</si>
  <si>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</si>
  <si>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</si>
  <si>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</si>
  <si>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</si>
  <si>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</si>
  <si>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</si>
  <si>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</si>
  <si>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</si>
  <si>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</si>
  <si>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</si>
  <si>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</si>
  <si>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</si>
  <si>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</si>
  <si>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</si>
  <si>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</si>
  <si>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</si>
  <si>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</si>
  <si>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</si>
  <si>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</si>
  <si>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</si>
  <si>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</si>
  <si>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</si>
  <si>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</si>
  <si>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</si>
  <si>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</si>
  <si>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</si>
  <si>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</si>
  <si>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</si>
  <si>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</si>
  <si>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</si>
  <si>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</si>
  <si>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</si>
  <si>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</si>
  <si>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</si>
  <si>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</si>
  <si>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</si>
  <si>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</si>
  <si>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</si>
  <si>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</si>
  <si>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</si>
  <si>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</si>
  <si>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r>
      <rPr>
        <b/>
        <sz val="11"/>
        <color theme="1"/>
        <rFont val="Arial"/>
        <family val="2"/>
      </rPr>
      <t>UNCORRECTED VOLUME (UV)
(m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</si>
  <si>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</si>
  <si>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</si>
  <si>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</si>
  <si>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</si>
  <si>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</si>
  <si>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</si>
  <si>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</si>
  <si>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</si>
  <si>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</si>
  <si>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</si>
  <si>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</si>
  <si>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</si>
  <si>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</si>
  <si>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</si>
  <si>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</si>
  <si>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</si>
  <si>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</si>
  <si>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</si>
  <si>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</si>
  <si>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</si>
  <si>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</si>
  <si>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</si>
  <si>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</si>
  <si>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</si>
  <si>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</si>
  <si>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</si>
  <si>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</si>
  <si>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>Oil In Plant Refinery</t>
  </si>
  <si>
    <t xml:space="preserve">No 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</si>
  <si>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</si>
  <si>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</si>
  <si>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</si>
  <si>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</si>
  <si>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</si>
  <si>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</si>
  <si>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</si>
  <si>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</si>
  <si>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</si>
  <si>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</si>
  <si>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</si>
  <si>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</si>
  <si>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</si>
  <si>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</si>
  <si>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</si>
  <si>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</si>
  <si>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</si>
  <si>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</si>
  <si>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</si>
  <si>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</si>
  <si>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</si>
  <si>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</si>
  <si>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</si>
  <si>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</si>
  <si>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</si>
  <si>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</si>
  <si>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</si>
  <si>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</si>
  <si>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</si>
  <si>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</si>
  <si>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</si>
  <si>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</si>
  <si>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</si>
  <si>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</si>
  <si>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</si>
  <si>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</si>
  <si>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</si>
  <si>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</si>
  <si>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</si>
  <si>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</si>
  <si>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</si>
  <si>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</si>
  <si>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</si>
  <si>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</si>
  <si>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</si>
  <si>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</si>
  <si>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</si>
  <si>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>Oil In Plant Fract</t>
  </si>
  <si>
    <t>Stock Minyak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</si>
  <si>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</si>
  <si>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</si>
  <si>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</si>
  <si>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</si>
  <si>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</si>
  <si>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</si>
  <si>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</si>
  <si>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</si>
  <si>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</si>
  <si>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</si>
  <si>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</si>
  <si>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</si>
  <si>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</si>
  <si>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</si>
  <si>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</si>
  <si>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</si>
  <si>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</si>
  <si>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</si>
  <si>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</si>
  <si>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</si>
  <si>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</si>
  <si>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</si>
  <si>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</si>
  <si>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</si>
  <si>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</si>
  <si>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</si>
  <si>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</si>
  <si>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</si>
  <si>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</si>
  <si>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</si>
  <si>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</si>
  <si>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</si>
  <si>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</si>
  <si>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</si>
  <si>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</si>
  <si>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</si>
  <si>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</si>
  <si>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</si>
  <si>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</si>
  <si>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</si>
  <si>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</si>
  <si>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</si>
  <si>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</si>
  <si>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</si>
  <si>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</si>
  <si>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</si>
  <si>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</si>
  <si>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</si>
  <si>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</si>
  <si>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</si>
  <si>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</si>
  <si>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</si>
  <si>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</si>
  <si>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</si>
  <si>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</si>
  <si>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</si>
  <si>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</si>
  <si>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</si>
  <si>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</si>
  <si>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</si>
  <si>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</si>
  <si>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</si>
  <si>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</si>
  <si>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</si>
  <si>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</si>
  <si>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</si>
  <si>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</si>
  <si>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</si>
  <si>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</si>
  <si>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</si>
  <si>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</si>
  <si>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</si>
  <si>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</si>
  <si>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</si>
  <si>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</si>
  <si>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</si>
  <si>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</si>
  <si>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</si>
  <si>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</si>
  <si>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</si>
  <si>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Selisih OIP Consume</t>
  </si>
  <si>
    <t>TOTAL MONTHLY
(Kg)</t>
  </si>
  <si>
    <t>PRODUCTION REPORT 2024</t>
  </si>
  <si>
    <t>MONTHLY REPORT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</si>
  <si>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</si>
  <si>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</si>
  <si>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</si>
  <si>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</si>
  <si>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</si>
  <si>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</si>
  <si>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</si>
  <si>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</si>
  <si>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</si>
  <si>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</si>
  <si>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</si>
  <si>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</si>
  <si>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</si>
  <si>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</si>
  <si>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</si>
  <si>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</si>
  <si>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</si>
  <si>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</si>
  <si>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</si>
  <si>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</si>
  <si>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</si>
  <si>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</si>
  <si>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>Utilitas CPO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</si>
  <si>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</si>
  <si>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</si>
  <si>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</si>
  <si>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</si>
  <si>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</si>
  <si>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</si>
  <si>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</si>
  <si>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</si>
  <si>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</si>
  <si>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</si>
  <si>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</si>
  <si>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</si>
  <si>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</si>
  <si>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</si>
  <si>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</si>
  <si>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</si>
  <si>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</si>
  <si>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</si>
  <si>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</si>
  <si>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</si>
  <si>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</si>
  <si>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</si>
  <si>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</si>
  <si>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</si>
  <si>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</si>
  <si>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</si>
  <si>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</si>
  <si>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</si>
  <si>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</si>
  <si>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t xml:space="preserve">  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</si>
  <si>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</si>
  <si>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</si>
  <si>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</si>
  <si>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</si>
  <si>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</si>
  <si>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</si>
  <si>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Kg/Kg</t>
  </si>
  <si>
    <t>Kg/Mt</t>
  </si>
  <si>
    <t>m3/ Kg</t>
  </si>
  <si>
    <t>m3/ Mt</t>
  </si>
  <si>
    <t>September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</si>
  <si>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</si>
  <si>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</si>
  <si>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</si>
  <si>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</si>
  <si>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</si>
  <si>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</si>
  <si>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</si>
  <si>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</si>
  <si>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</si>
  <si>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</si>
  <si>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</si>
  <si>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</si>
  <si>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</si>
  <si>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</si>
  <si>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</si>
  <si>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</si>
  <si>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</si>
  <si>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</si>
  <si>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</si>
  <si>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</si>
  <si>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</si>
  <si>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</si>
  <si>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</si>
  <si>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 xml:space="preserve">Production Cost September 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</si>
  <si>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</si>
  <si>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</si>
  <si>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</si>
  <si>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</si>
  <si>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</si>
  <si>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</si>
  <si>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</si>
  <si>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</si>
  <si>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</si>
  <si>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</si>
  <si>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</si>
  <si>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</si>
  <si>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</si>
  <si>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</si>
  <si>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</si>
  <si>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</si>
  <si>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</si>
  <si>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</si>
  <si>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</si>
  <si>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</si>
  <si>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</si>
  <si>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</si>
  <si>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</si>
  <si>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</si>
  <si>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</si>
  <si>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</si>
  <si>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</si>
  <si>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</si>
  <si>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</si>
  <si>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</si>
  <si>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</si>
  <si>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</si>
  <si>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</si>
  <si>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</si>
  <si>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</si>
  <si>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</si>
  <si>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</si>
  <si>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</si>
  <si>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</si>
  <si>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</si>
  <si>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</si>
  <si>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</si>
  <si>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</si>
  <si>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</si>
  <si>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</si>
  <si>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</si>
  <si>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</si>
  <si>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</si>
  <si>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</si>
  <si>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</si>
  <si>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</si>
  <si>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</si>
  <si>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</si>
  <si>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</si>
  <si>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</si>
  <si>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</si>
  <si>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</si>
  <si>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</si>
  <si>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</si>
  <si>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</si>
  <si>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</si>
  <si>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</si>
  <si>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</si>
  <si>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</si>
  <si>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</si>
  <si>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</si>
  <si>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</si>
  <si>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</si>
  <si>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</si>
  <si>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</si>
  <si>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</si>
  <si>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</si>
  <si>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</si>
  <si>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</si>
  <si>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</si>
  <si>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</si>
  <si>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</si>
  <si>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</si>
  <si>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</si>
  <si>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</si>
  <si>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</si>
  <si>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</si>
  <si>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</si>
  <si>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</si>
  <si>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</si>
  <si>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</si>
  <si>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</si>
  <si>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</si>
  <si>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</si>
  <si>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</si>
  <si>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</si>
  <si>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</si>
  <si>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</si>
  <si>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</si>
  <si>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</si>
  <si>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</si>
  <si>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</si>
  <si>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</si>
  <si>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</si>
  <si>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</si>
  <si>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</si>
  <si>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</si>
  <si>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</si>
  <si>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</si>
  <si>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</si>
  <si>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</si>
  <si>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</si>
  <si>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</si>
  <si>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</si>
  <si>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</si>
  <si>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</si>
  <si>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</si>
  <si>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</si>
  <si>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</si>
  <si>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</si>
  <si>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</si>
  <si>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</si>
  <si>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</si>
  <si>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</si>
  <si>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</si>
  <si>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</si>
  <si>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</si>
  <si>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</si>
  <si>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</si>
  <si>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</si>
  <si>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</si>
  <si>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</si>
  <si>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</si>
  <si>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</si>
  <si>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</si>
  <si>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</si>
  <si>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</si>
  <si>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</si>
  <si>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</si>
  <si>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</si>
  <si>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</si>
  <si>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</si>
  <si>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</si>
  <si>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</si>
  <si>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</si>
  <si>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</si>
  <si>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</si>
  <si>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</si>
  <si>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</si>
  <si>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</si>
  <si>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</si>
  <si>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</si>
  <si>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</si>
  <si>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</si>
  <si>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</si>
  <si>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</si>
  <si>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</si>
  <si>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</si>
  <si>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</si>
  <si>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</si>
  <si>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</si>
  <si>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</si>
  <si>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</si>
  <si>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</si>
  <si>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</si>
  <si>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</si>
  <si>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</si>
  <si>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</si>
  <si>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</si>
  <si>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</si>
  <si>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</si>
  <si>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</si>
  <si>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</si>
  <si>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</si>
  <si>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</si>
  <si>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</si>
  <si>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</si>
  <si>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</si>
  <si>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</si>
  <si>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</si>
  <si>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</si>
  <si>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</si>
  <si>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</si>
  <si>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</si>
  <si>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PT. INDUSTRI NABATI LESTARI</t>
  </si>
  <si>
    <t>Nomor Dokumen</t>
  </si>
  <si>
    <t>Tanggal Berlaku</t>
  </si>
  <si>
    <t>PABRIK MINYAK GORENG</t>
  </si>
  <si>
    <t>INLHO/BOPP-PRD/F-021</t>
  </si>
  <si>
    <t>Kantor Pusat : Komp.KEK Sei Mangkei, Kav.2-3, Kec. Bosar Maligas,  Kab. Simalungun, Sumatera Utara, 21184</t>
  </si>
  <si>
    <t>Nomor Revisi</t>
  </si>
  <si>
    <t>Halaman</t>
  </si>
  <si>
    <t xml:space="preserve">  BERITA ACARA DEPARTEMEN REFINERY &amp; FRACTIONATION</t>
  </si>
  <si>
    <t xml:space="preserve">00 </t>
  </si>
  <si>
    <t>Hal : Stock Opname Oil In Plant ( Refinery &amp; Fractionation )</t>
  </si>
  <si>
    <t>1.    Refinery</t>
  </si>
  <si>
    <t>2. Fractination</t>
  </si>
  <si>
    <t>No.</t>
  </si>
  <si>
    <t>Tag.</t>
  </si>
  <si>
    <t>Volume (Ton)</t>
  </si>
  <si>
    <t>Quantity (Ton)</t>
  </si>
  <si>
    <t>By Lipico</t>
  </si>
  <si>
    <t>MX312</t>
  </si>
  <si>
    <t>CR 1201</t>
  </si>
  <si>
    <t>VE611</t>
  </si>
  <si>
    <t>CR 1202</t>
  </si>
  <si>
    <t>VE612</t>
  </si>
  <si>
    <t>CR 1203</t>
  </si>
  <si>
    <t>FL621</t>
  </si>
  <si>
    <t>CR 1204</t>
  </si>
  <si>
    <t>FL622</t>
  </si>
  <si>
    <t>CR 1205</t>
  </si>
  <si>
    <t>FL623</t>
  </si>
  <si>
    <t>CR 1206</t>
  </si>
  <si>
    <t>FL624</t>
  </si>
  <si>
    <t>CR 1207</t>
  </si>
  <si>
    <t>FL625</t>
  </si>
  <si>
    <t>CR 1208</t>
  </si>
  <si>
    <t>FL625A/B</t>
  </si>
  <si>
    <t>CR 1209</t>
  </si>
  <si>
    <t>FL626A/B</t>
  </si>
  <si>
    <t>CR 1210</t>
  </si>
  <si>
    <t>FL741A/B</t>
  </si>
  <si>
    <t>CR 1211</t>
  </si>
  <si>
    <t>VE661</t>
  </si>
  <si>
    <t>CR 1212</t>
  </si>
  <si>
    <t>TK641</t>
  </si>
  <si>
    <t>T-261</t>
  </si>
  <si>
    <t>VE701</t>
  </si>
  <si>
    <t>T-241</t>
  </si>
  <si>
    <t>HE721A</t>
  </si>
  <si>
    <t>T-221</t>
  </si>
  <si>
    <t>HE721B</t>
  </si>
  <si>
    <t>T-231 A</t>
  </si>
  <si>
    <t>HE722</t>
  </si>
  <si>
    <t>T-231 B</t>
  </si>
  <si>
    <t>PR731</t>
  </si>
  <si>
    <t>T-251 A</t>
  </si>
  <si>
    <t>DE732</t>
  </si>
  <si>
    <t>T-251 B</t>
  </si>
  <si>
    <t>VE 771</t>
  </si>
  <si>
    <t>VE751</t>
  </si>
  <si>
    <t xml:space="preserve">Dengan Rincian OIP Fract Sebagai berikut : </t>
  </si>
  <si>
    <t>VE753</t>
  </si>
  <si>
    <t xml:space="preserve">RBDPO : </t>
  </si>
  <si>
    <t xml:space="preserve">Mt </t>
  </si>
  <si>
    <t xml:space="preserve">RBDPS : </t>
  </si>
  <si>
    <t xml:space="preserve">Dengan Rincian OIP Refinery  Sebagai berikut : </t>
  </si>
  <si>
    <t xml:space="preserve">CPO     : </t>
  </si>
  <si>
    <t>Demikian saya sampaikan, Terimakasih.</t>
  </si>
  <si>
    <t>Dibuat Oleh :</t>
  </si>
  <si>
    <t>Diperiksa Oleh :</t>
  </si>
  <si>
    <t>Diketahui Oleh :</t>
  </si>
  <si>
    <t>Sudarianto</t>
  </si>
  <si>
    <t>Gunawan E. Putra</t>
  </si>
  <si>
    <t>Manager Produksi</t>
  </si>
  <si>
    <t>Head Controller and Tax</t>
  </si>
  <si>
    <t>Berikut kami lampirkan laporan Stok Opname Oil In Plant Per-tanggal 01 Oktober 2024.</t>
  </si>
  <si>
    <t>Reza Pahlevi Panjaitan</t>
  </si>
  <si>
    <t>SPV Produksi</t>
  </si>
  <si>
    <t>Fractionation OLEIN IV 58</t>
  </si>
  <si>
    <t>MONTHLY PRODUCTION REPORT</t>
  </si>
  <si>
    <t>Item</t>
  </si>
  <si>
    <t>Unit</t>
  </si>
  <si>
    <t>Remaks</t>
  </si>
  <si>
    <t>Budget</t>
  </si>
  <si>
    <t>Actual</t>
  </si>
  <si>
    <t>Percentage Act.</t>
  </si>
  <si>
    <t>1.</t>
  </si>
  <si>
    <t>Refinery Plant</t>
  </si>
  <si>
    <t>CPO Incoming</t>
  </si>
  <si>
    <t>- Avg. FFA</t>
  </si>
  <si>
    <t>- Avg. Moist &amp; Impurities</t>
  </si>
  <si>
    <t>- Avg. DOBI</t>
  </si>
  <si>
    <t>Fractionation Olein IV 56</t>
  </si>
  <si>
    <t>Fractionation Olein IV 57 ( Bulk )</t>
  </si>
  <si>
    <t>Olein IV 57</t>
  </si>
  <si>
    <t>Fractionation Olein IV 57 ( Retail )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</si>
  <si>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</si>
  <si>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</si>
  <si>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</si>
  <si>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</si>
  <si>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</si>
  <si>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</si>
  <si>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</si>
  <si>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</si>
  <si>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</si>
  <si>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</si>
  <si>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</si>
  <si>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</si>
  <si>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Prepared by,</t>
  </si>
  <si>
    <t>Checked by,</t>
  </si>
  <si>
    <t>Approved by,</t>
  </si>
  <si>
    <t>Eben Jaya Ginting</t>
  </si>
  <si>
    <t>UTILITY (GAS, STEAM, WATER &amp; POWER) REPORT</t>
  </si>
  <si>
    <t>Incoming *base on INL</t>
  </si>
  <si>
    <t>Incoming *base on Pertagas</t>
  </si>
  <si>
    <t xml:space="preserve">MP Boiler </t>
  </si>
  <si>
    <t>Incoming Raw Water</t>
  </si>
  <si>
    <t>PLN *base on BA Kinra</t>
  </si>
  <si>
    <t>- Physical Refinery Plant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</si>
  <si>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</si>
  <si>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</si>
  <si>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</si>
  <si>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</si>
  <si>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Selisih antara incoming dan outgoing dikarenakan hal berikut :</t>
  </si>
  <si>
    <t>- Over pemakaian Gas dikarenakan running sesuai RKAP 19 hari namun plant running 27 hari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</si>
  <si>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</si>
  <si>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</si>
  <si>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</si>
  <si>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</si>
  <si>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</si>
  <si>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</si>
  <si>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</si>
  <si>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</si>
  <si>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</si>
  <si>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</si>
  <si>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</si>
  <si>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</si>
  <si>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</si>
  <si>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 xml:space="preserve">Gas Over dikarenakan kapasitas tidak tercapai </t>
  </si>
  <si>
    <t>Gas Consumption (HP Boiler) **)</t>
  </si>
  <si>
    <t>mmbtu/MT</t>
  </si>
  <si>
    <t>m3/MT</t>
  </si>
  <si>
    <t xml:space="preserve">Steam </t>
  </si>
  <si>
    <t>Steam Refinery Over dikarenakan kapasitas tidak tercapai</t>
  </si>
  <si>
    <t>Kwh/MT</t>
  </si>
  <si>
    <t>Power Over dikarenakan kapasitas tidak tercapai</t>
  </si>
  <si>
    <t>Steam Over dikarenakan menggunakan 2 unit chiller</t>
  </si>
  <si>
    <t>* Power Fractionation Over dikarenakan kapasitas tidak tercapai</t>
  </si>
  <si>
    <t>* Steam Refinery Over dikarenakan kapasitas tidak tercapai</t>
  </si>
  <si>
    <t>* Gas Refinery Over dikarenakan kapasitas tidak tercapai</t>
  </si>
  <si>
    <t>DOWN TIME SLOW FLOWRATE PRODUCTION REFINERY</t>
  </si>
  <si>
    <t>CAPACITY (Kg)</t>
  </si>
  <si>
    <t>REMARKS</t>
  </si>
  <si>
    <t>Down time</t>
  </si>
  <si>
    <t>Tph</t>
  </si>
  <si>
    <t>Stop</t>
  </si>
  <si>
    <t>Slow</t>
  </si>
  <si>
    <t>Slow fr terkait penyesuaian material dan set brand iv 57 &amp; iv 60</t>
  </si>
  <si>
    <t>Tidak adanya shipment produk dan proses High FFA</t>
  </si>
  <si>
    <t>Sirkulasi quality ouspek</t>
  </si>
  <si>
    <t>Slow fr terkait penyesuaian material</t>
  </si>
  <si>
    <t>Slow fr terkait penyesuaian material &amp; Set Brand</t>
  </si>
  <si>
    <t>Slow fr terkait penyesuaian material &amp; proses High FFA</t>
  </si>
  <si>
    <t>Power Blackout</t>
  </si>
  <si>
    <t>MP Boiler Trip</t>
  </si>
  <si>
    <t>HOLD,Plant Sirkulasi</t>
  </si>
  <si>
    <t>Summary</t>
  </si>
  <si>
    <t>1. Slow flow rate due to Space Tank High</t>
  </si>
  <si>
    <t>hours</t>
  </si>
  <si>
    <t>2. Slow flow rate due to Olein IV 60 process</t>
  </si>
  <si>
    <t>3. Hold plant due to trip MP boiler &amp; maintenance</t>
  </si>
  <si>
    <t>4. Running Slow flowrate dikarenakan CPO Shortage</t>
  </si>
  <si>
    <t>5. Downtime due to Start Up Plant</t>
  </si>
  <si>
    <t>6. Running Normal Plant</t>
  </si>
  <si>
    <t>7. Stop Plant due to Preventive Maintenance Plant</t>
  </si>
  <si>
    <t>8. Total CPO incoming : 41,976 MT ( 64,48 % dari forecast Agustus )</t>
  </si>
  <si>
    <t>9. CPO Olah : 46,503 MT ( 71,43 % dari Target RKAP Agustus 2023 )</t>
  </si>
  <si>
    <t>10. Note : Kapasitas 2200 TPD</t>
  </si>
  <si>
    <t>- Total 232,17 hours</t>
  </si>
  <si>
    <t>- Total CPO incoming : 41,976 MT ( 64,48 % dari forecast Agustus )</t>
  </si>
  <si>
    <t>- CPO Olah : 46,503 MT ( 71,43 % dari Target RKAP Agustus 2023 )</t>
  </si>
  <si>
    <t>- Note : Kapasitas 2200 TPD</t>
  </si>
  <si>
    <t>Fraksinasi  Plant</t>
  </si>
  <si>
    <t>Periode 01 s/d 30 September 2024</t>
  </si>
  <si>
    <t>Total Olah RBDPO ( Feed )</t>
  </si>
  <si>
    <t>Tercapai</t>
  </si>
  <si>
    <t>Tidak Tercapai</t>
  </si>
  <si>
    <t>- BE Achieve dengan pemakaian consume Bleaching Earth 7,80 Kg/MT</t>
  </si>
  <si>
    <t>- Total CPO Proses sebesar : 24.046 Mt dengan total CPO Incoming ke INL sebanyak : 24.987 MT</t>
  </si>
  <si>
    <t xml:space="preserve">Syaiful Sembiring </t>
  </si>
  <si>
    <t xml:space="preserve">Admin. Process </t>
  </si>
  <si>
    <t>- Untuk hari olah Produksi terpenuhi namun dalam kondisi Slow Flowrate dikarenakan Shortage CPO dan target Shipment yang
   tercapai hanya Olein IV 56</t>
  </si>
  <si>
    <t>- Rata rata incoming CPO perhari 832 MT</t>
  </si>
  <si>
    <t>- Suplay To RO Product</t>
  </si>
  <si>
    <t>- Suplay To Proses dan Sanitary</t>
  </si>
  <si>
    <t>Rincian Outgoing Proses</t>
  </si>
  <si>
    <t>- Refinery - Cooling Water System</t>
  </si>
  <si>
    <t xml:space="preserve">- Refinery - Utilities </t>
  </si>
  <si>
    <t>Total Feed Raw Material CPO</t>
  </si>
  <si>
    <t>Consume CPO ( MT )</t>
  </si>
  <si>
    <t xml:space="preserve">Norma </t>
  </si>
  <si>
    <t>&lt; 90</t>
  </si>
  <si>
    <t>&lt; 61</t>
  </si>
  <si>
    <t>&lt; 0,5</t>
  </si>
  <si>
    <t>&lt; 0,4</t>
  </si>
  <si>
    <t>Explanation Under / Over  budget</t>
  </si>
  <si>
    <t>Supervisor Produksi</t>
  </si>
  <si>
    <t>Reza P. Panjaitan</t>
  </si>
  <si>
    <t>Jr. Manager Produksi</t>
  </si>
  <si>
    <t>Manager Plant</t>
  </si>
  <si>
    <t xml:space="preserve">                              Approved by,</t>
  </si>
  <si>
    <t xml:space="preserve">                            Manager Plant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</si>
  <si>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Eben Jaya Ginting</t>
    </r>
  </si>
  <si>
    <t>Periode 01/30 September 2024</t>
  </si>
  <si>
    <t>Penyesuaian incoming CPO</t>
  </si>
  <si>
    <t>HOLD CPO Shortage</t>
  </si>
  <si>
    <t xml:space="preserve">Penyesuaian incoming CPO </t>
  </si>
  <si>
    <t>4. Penyesuaian incoming CPO</t>
  </si>
  <si>
    <t>8. Energizing PMG II</t>
  </si>
  <si>
    <t>9. Zero Suplay Gas (Problem Pertagas)</t>
  </si>
  <si>
    <t>10, Stop Plant</t>
  </si>
  <si>
    <t>11.HOLD CPO Shortage</t>
  </si>
  <si>
    <t>Note : Kapasitas 2200 TPD</t>
  </si>
  <si>
    <t>DOWN TIME SLOW FLOWRATE PRODUCTION FRACTIONATION</t>
  </si>
  <si>
    <t>Slow flow rate due to Olein IV 58 process</t>
  </si>
  <si>
    <t xml:space="preserve"> Slow flow rate due to Olein IV 56 process &amp; IV 58 process</t>
  </si>
  <si>
    <t>Slow flow rate due to Olein IV 56 process</t>
  </si>
  <si>
    <t>STOP PLANT</t>
  </si>
  <si>
    <t>Slow flow rate due to Olein IV 56 process &amp; proses IV 57</t>
  </si>
  <si>
    <t>3. Slow flow rate due to Olein IV 57 process</t>
  </si>
  <si>
    <t xml:space="preserve">4. Slow Flow rate terkait material sortage &amp; menyesuaikan </t>
  </si>
  <si>
    <t>5. Downtime due to Start/Stop Up Plant</t>
  </si>
  <si>
    <t>10. Slow flow rate due to Olein IV 58 process</t>
  </si>
  <si>
    <t>11. STOP PLANT</t>
  </si>
  <si>
    <t>12.Slow flow rate due to Olein IV 56 process</t>
  </si>
  <si>
    <t>13. Slow flow rate due to Olein IV 56 process &amp; IV 57 process</t>
  </si>
  <si>
    <t>14. Slow flow rate due to Olein IV 56 process &amp; IV 58 process</t>
  </si>
  <si>
    <t>8. Note : Kapasitas 2000 TPD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</si>
</sst>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0.00_);_(* \(#,##0.00\);_(* &quot;-&quot;??.0_);_(@_)"/>
    <numFmt numFmtId="171" formatCode="_(* #,##0.0_);_(* \(#,##0.0\);_(* &quot;-&quot;??.0_);_(@_)"/>
    <numFmt numFmtId="172" formatCode="_(* #,##0.000_);_(* \(#,##0.000\);_(* &quot;-&quot;??.00_);_(@_)"/>
    <numFmt numFmtId="173" formatCode="_(* #.##0_);_(* \(#.##0\);_(* &quot;-&quot;??_);_(@_)"/>
    <numFmt numFmtId="174" formatCode="_(* #,##0.0_);_(* \(#,##0.0\);_(* &quot;-&quot;??_);_(@_)"/>
    <numFmt numFmtId="175" formatCode="_-* #,##0.0000_-;\-* #,##0.0000_-;_-* &quot;-&quot;_-;_-@_-"/>
    <numFmt numFmtId="176" formatCode="_-* #,##0_-;\-* #,##0_-;_-* &quot;-&quot;????_-;_-@_-"/>
    <numFmt numFmtId="177" formatCode="_-* #,##0_-;\-* #,##0_-;_-* &quot;-&quot;??_-;_-@_-"/>
    <numFmt numFmtId="178" formatCode="0.0%"/>
    <numFmt numFmtId="179" formatCode="#,##0.0"/>
    <numFmt numFmtId="180" formatCode="0.0"/>
    <numFmt numFmtId="181" formatCode="_(* #,##0.0000_);_(* \(#,##0.0000\);_(* &quot;-&quot;??.00_);_(@_)"/>
    <numFmt numFmtId="182" formatCode="_(* #,##0.0000_);_(* \(#,##0.0000\);_(* &quot;-&quot;??.000_);_(@_)"/>
    <numFmt numFmtId="183" formatCode="_(* #,###.0000_);_(* \(#,###.0000\);_(* &quot;-&quot;?,?00.00_);_(@_)"/>
    <numFmt numFmtId="184" formatCode="_(* #,###.00_);_(* \(#,###.00\);_(* &quot;-&quot;?,?00_);_(@_)"/>
    <numFmt numFmtId="185" formatCode="[$-13809]dd\ mmmm\ yyyy;@"/>
    <numFmt numFmtId="186" formatCode="#,##0_ ;[Red]\-#,##0\ "/>
    <numFmt numFmtId="187" formatCode="#,##0_ ;\-#,##0\ "/>
    <numFmt numFmtId="188" formatCode="_(* #,##0_);_(* \(#,##0\);_(* &quot;-&quot;_);_(@_)"/>
    <numFmt numFmtId="189" formatCode="#,##0.000"/>
    <numFmt numFmtId="190" formatCode="0.000"/>
    <numFmt numFmtId="191" formatCode="#,##0.0000"/>
    <numFmt numFmtId="192" formatCode="_(* #,##0.00_);_(* \(#,##0.00\);_(* &quot;-&quot;??.00_);_(@_)"/>
    <numFmt numFmtId="193" formatCode="_(* #,##0.0000_);_(* \(#,##0.0000\);_(* &quot;-&quot;??.0000_);_(@_)"/>
    <numFmt numFmtId="194" formatCode="_-* #,##0.00_-;\-* #,##0.00_-;_-* &quot;-&quot;????_-;_-@_-"/>
    <numFmt numFmtId="195" formatCode="[$-409]d\-mmm;@"/>
    <numFmt numFmtId="196" formatCode="_(* #,##0.00_);_(* \(#,##0.00\);_(* &quot;-&quot;_);_(@_)"/>
    <numFmt numFmtId="197" formatCode="_(* #,##0.000_);_(* \(#,##0.000\);_(* &quot;-&quot;_);_(@_)"/>
    <numFmt numFmtId="198" formatCode="_(* #,##0.0_);_(* \(#,##0.0\);_(* &quot;-&quot;_);_(@_)"/>
  </numFmts>
  <fonts count="7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sz val="16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5"/>
      <color rgb="FF000000"/>
      <name val="Times New Roman"/>
      <family val="1"/>
    </font>
    <font>
      <sz val="12"/>
      <color rgb="FF000000"/>
      <name val="Times New Roman"/>
      <family val="1"/>
    </font>
    <font>
      <sz val="14"/>
      <color rgb="FF000000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u/>
      <sz val="11"/>
      <name val="Arial"/>
      <family val="2"/>
    </font>
    <font>
      <b/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</fills>
  <borders count="17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/>
    <xf numFmtId="0" fontId="25" fillId="0" borderId="0"/>
    <xf numFmtId="9" fontId="1" fillId="0" borderId="0" applyFont="0" applyFill="0" applyBorder="0" applyAlignment="0" applyProtection="0"/>
    <xf numFmtId="0" fontId="1" fillId="0" borderId="0"/>
    <xf numFmtId="0" fontId="40" fillId="0" borderId="0"/>
    <xf numFmtId="0" fontId="60" fillId="0" borderId="0"/>
    <xf numFmtId="188" fontId="1" fillId="0" borderId="0" applyFont="0" applyFill="0" applyBorder="0" applyAlignment="0" applyProtection="0"/>
    <xf numFmtId="0" fontId="1" fillId="0" borderId="0"/>
  </cellStyleXfs>
  <cellXfs count="1779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7" xfId="0" applyFont="1" applyBorder="1"/>
    <xf numFmtId="0" fontId="3" fillId="0" borderId="9" xfId="0" quotePrefix="1" applyFont="1" applyBorder="1" applyAlignment="1">
      <alignment horizontal="center"/>
    </xf>
    <xf numFmtId="0" fontId="2" fillId="0" borderId="28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9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8" xfId="0" quotePrefix="1" applyFont="1" applyBorder="1"/>
    <xf numFmtId="164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2" xfId="0" applyFont="1" applyBorder="1"/>
    <xf numFmtId="0" fontId="3" fillId="0" borderId="4" xfId="0" applyFont="1" applyBorder="1"/>
    <xf numFmtId="166" fontId="2" fillId="0" borderId="0" xfId="1" applyNumberFormat="1" applyFont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13" xfId="1" applyNumberFormat="1" applyFont="1" applyFill="1" applyBorder="1"/>
    <xf numFmtId="166" fontId="2" fillId="4" borderId="24" xfId="1" applyNumberFormat="1" applyFont="1" applyFill="1" applyBorder="1"/>
    <xf numFmtId="0" fontId="3" fillId="4" borderId="34" xfId="0" quotePrefix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6" fontId="2" fillId="6" borderId="3" xfId="0" applyNumberFormat="1" applyFont="1" applyFill="1" applyBorder="1"/>
    <xf numFmtId="164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6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8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28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34" xfId="1" applyNumberFormat="1" applyFont="1" applyFill="1" applyBorder="1"/>
    <xf numFmtId="165" fontId="3" fillId="6" borderId="21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0" fontId="6" fillId="0" borderId="3" xfId="0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7" fontId="6" fillId="0" borderId="3" xfId="0" applyNumberFormat="1" applyFont="1" applyBorder="1"/>
    <xf numFmtId="166" fontId="6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6" fontId="3" fillId="0" borderId="3" xfId="1" applyNumberFormat="1" applyFont="1" applyBorder="1"/>
    <xf numFmtId="164" fontId="2" fillId="3" borderId="4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64" fontId="2" fillId="6" borderId="11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5" fontId="2" fillId="5" borderId="0" xfId="2" applyNumberFormat="1" applyFont="1" applyFill="1"/>
    <xf numFmtId="165" fontId="3" fillId="6" borderId="35" xfId="2" applyNumberFormat="1" applyFont="1" applyFill="1" applyBorder="1" applyAlignment="1">
      <alignment horizontal="center" vertical="center" wrapText="1"/>
    </xf>
    <xf numFmtId="165" fontId="14" fillId="6" borderId="35" xfId="2" applyNumberFormat="1" applyFont="1" applyFill="1" applyBorder="1" applyAlignment="1">
      <alignment horizontal="center" vertical="center" wrapText="1"/>
    </xf>
    <xf numFmtId="165" fontId="2" fillId="6" borderId="43" xfId="2" applyNumberFormat="1" applyFont="1" applyFill="1" applyBorder="1"/>
    <xf numFmtId="174" fontId="2" fillId="0" borderId="17" xfId="5" applyNumberFormat="1" applyFont="1" applyBorder="1"/>
    <xf numFmtId="164" fontId="2" fillId="0" borderId="17" xfId="5" applyFont="1" applyBorder="1"/>
    <xf numFmtId="168" fontId="2" fillId="0" borderId="17" xfId="5" applyNumberFormat="1" applyFont="1" applyBorder="1"/>
    <xf numFmtId="168" fontId="2" fillId="0" borderId="44" xfId="5" applyNumberFormat="1" applyFont="1" applyBorder="1"/>
    <xf numFmtId="175" fontId="2" fillId="6" borderId="45" xfId="2" applyNumberFormat="1" applyFont="1" applyFill="1" applyBorder="1"/>
    <xf numFmtId="10" fontId="2" fillId="0" borderId="44" xfId="3" applyNumberFormat="1" applyFont="1" applyBorder="1"/>
    <xf numFmtId="174" fontId="2" fillId="0" borderId="11" xfId="5" applyNumberFormat="1" applyFont="1" applyBorder="1"/>
    <xf numFmtId="164" fontId="2" fillId="0" borderId="11" xfId="5" applyFont="1" applyBorder="1"/>
    <xf numFmtId="168" fontId="2" fillId="0" borderId="11" xfId="5" applyNumberFormat="1" applyFont="1" applyBorder="1"/>
    <xf numFmtId="168" fontId="2" fillId="0" borderId="22" xfId="5" applyNumberFormat="1" applyFont="1" applyBorder="1"/>
    <xf numFmtId="175" fontId="2" fillId="6" borderId="22" xfId="2" applyNumberFormat="1" applyFont="1" applyFill="1" applyBorder="1"/>
    <xf numFmtId="10" fontId="2" fillId="0" borderId="34" xfId="3" applyNumberFormat="1" applyFont="1" applyBorder="1"/>
    <xf numFmtId="10" fontId="2" fillId="0" borderId="22" xfId="3" applyNumberFormat="1" applyFont="1" applyBorder="1"/>
    <xf numFmtId="168" fontId="2" fillId="6" borderId="4" xfId="5" applyNumberFormat="1" applyFont="1" applyFill="1" applyBorder="1"/>
    <xf numFmtId="165" fontId="3" fillId="6" borderId="19" xfId="2" applyNumberFormat="1" applyFont="1" applyFill="1" applyBorder="1" applyAlignment="1"/>
    <xf numFmtId="165" fontId="3" fillId="6" borderId="51" xfId="2" applyNumberFormat="1" applyFont="1" applyFill="1" applyBorder="1" applyAlignment="1"/>
    <xf numFmtId="165" fontId="3" fillId="6" borderId="53" xfId="2" applyNumberFormat="1" applyFont="1" applyFill="1" applyBorder="1" applyAlignment="1">
      <alignment vertical="center"/>
    </xf>
    <xf numFmtId="169" fontId="2" fillId="5" borderId="0" xfId="0" applyNumberFormat="1" applyFont="1" applyFill="1"/>
    <xf numFmtId="165" fontId="3" fillId="5" borderId="0" xfId="2" applyNumberFormat="1" applyFont="1" applyFill="1"/>
    <xf numFmtId="165" fontId="2" fillId="6" borderId="0" xfId="2" applyNumberFormat="1" applyFont="1" applyFill="1"/>
    <xf numFmtId="0" fontId="2" fillId="5" borderId="0" xfId="6" applyFont="1" applyFill="1"/>
    <xf numFmtId="17" fontId="6" fillId="5" borderId="0" xfId="6" applyNumberFormat="1" applyFont="1" applyFill="1"/>
    <xf numFmtId="0" fontId="3" fillId="0" borderId="35" xfId="6" applyFont="1" applyBorder="1" applyAlignment="1">
      <alignment horizontal="center" vertical="center" wrapText="1"/>
    </xf>
    <xf numFmtId="0" fontId="3" fillId="0" borderId="35" xfId="6" applyFont="1" applyBorder="1" applyAlignment="1">
      <alignment vertical="center" wrapText="1"/>
    </xf>
    <xf numFmtId="0" fontId="3" fillId="6" borderId="35" xfId="6" applyFont="1" applyFill="1" applyBorder="1" applyAlignment="1">
      <alignment vertical="center" wrapText="1"/>
    </xf>
    <xf numFmtId="0" fontId="2" fillId="0" borderId="0" xfId="6" applyFont="1"/>
    <xf numFmtId="0" fontId="3" fillId="6" borderId="35" xfId="6" applyFont="1" applyFill="1" applyBorder="1" applyAlignment="1">
      <alignment horizontal="center" vertical="center" wrapText="1"/>
    </xf>
    <xf numFmtId="0" fontId="14" fillId="0" borderId="35" xfId="6" applyFont="1" applyBorder="1" applyAlignment="1">
      <alignment horizontal="center" vertical="center" wrapText="1"/>
    </xf>
    <xf numFmtId="0" fontId="14" fillId="6" borderId="35" xfId="6" applyFont="1" applyFill="1" applyBorder="1" applyAlignment="1">
      <alignment horizontal="center" vertical="center" wrapText="1"/>
    </xf>
    <xf numFmtId="0" fontId="14" fillId="0" borderId="38" xfId="6" applyFont="1" applyBorder="1" applyAlignment="1">
      <alignment horizontal="center" vertical="center" wrapText="1"/>
    </xf>
    <xf numFmtId="0" fontId="15" fillId="0" borderId="0" xfId="6" applyFont="1"/>
    <xf numFmtId="0" fontId="2" fillId="0" borderId="42" xfId="6" applyFont="1" applyBorder="1" applyAlignment="1">
      <alignment horizontal="center"/>
    </xf>
    <xf numFmtId="168" fontId="2" fillId="6" borderId="43" xfId="5" applyNumberFormat="1" applyFont="1" applyFill="1" applyBorder="1"/>
    <xf numFmtId="169" fontId="2" fillId="0" borderId="39" xfId="6" applyNumberFormat="1" applyFont="1" applyBorder="1"/>
    <xf numFmtId="0" fontId="2" fillId="0" borderId="46" xfId="6" applyFont="1" applyBorder="1" applyAlignment="1">
      <alignment horizontal="center"/>
    </xf>
    <xf numFmtId="165" fontId="2" fillId="6" borderId="11" xfId="2" applyNumberFormat="1" applyFont="1" applyFill="1" applyBorder="1"/>
    <xf numFmtId="168" fontId="2" fillId="6" borderId="11" xfId="5" applyNumberFormat="1" applyFont="1" applyFill="1" applyBorder="1"/>
    <xf numFmtId="169" fontId="2" fillId="0" borderId="47" xfId="6" applyNumberFormat="1" applyFont="1" applyBorder="1"/>
    <xf numFmtId="0" fontId="3" fillId="0" borderId="48" xfId="6" applyFont="1" applyBorder="1"/>
    <xf numFmtId="0" fontId="3" fillId="0" borderId="19" xfId="6" applyFont="1" applyBorder="1"/>
    <xf numFmtId="168" fontId="3" fillId="0" borderId="43" xfId="6" applyNumberFormat="1" applyFont="1" applyBorder="1"/>
    <xf numFmtId="168" fontId="3" fillId="6" borderId="43" xfId="6" applyNumberFormat="1" applyFont="1" applyFill="1" applyBorder="1"/>
    <xf numFmtId="168" fontId="3" fillId="0" borderId="45" xfId="6" applyNumberFormat="1" applyFont="1" applyBorder="1"/>
    <xf numFmtId="168" fontId="3" fillId="0" borderId="19" xfId="6" applyNumberFormat="1" applyFont="1" applyBorder="1"/>
    <xf numFmtId="168" fontId="3" fillId="6" borderId="49" xfId="6" applyNumberFormat="1" applyFont="1" applyFill="1" applyBorder="1"/>
    <xf numFmtId="168" fontId="3" fillId="0" borderId="49" xfId="6" applyNumberFormat="1" applyFont="1" applyBorder="1"/>
    <xf numFmtId="0" fontId="3" fillId="0" borderId="46" xfId="6" applyFont="1" applyBorder="1" applyAlignment="1">
      <alignment horizontal="center"/>
    </xf>
    <xf numFmtId="168" fontId="2" fillId="0" borderId="16" xfId="6" applyNumberFormat="1" applyFont="1" applyBorder="1"/>
    <xf numFmtId="168" fontId="3" fillId="0" borderId="11" xfId="6" applyNumberFormat="1" applyFont="1" applyBorder="1"/>
    <xf numFmtId="0" fontId="3" fillId="6" borderId="11" xfId="6" applyFont="1" applyFill="1" applyBorder="1"/>
    <xf numFmtId="168" fontId="3" fillId="0" borderId="22" xfId="6" applyNumberFormat="1" applyFont="1" applyBorder="1"/>
    <xf numFmtId="0" fontId="2" fillId="0" borderId="47" xfId="6" applyFont="1" applyBorder="1"/>
    <xf numFmtId="0" fontId="2" fillId="6" borderId="25" xfId="6" applyFont="1" applyFill="1" applyBorder="1"/>
    <xf numFmtId="0" fontId="2" fillId="0" borderId="22" xfId="6" applyFont="1" applyBorder="1"/>
    <xf numFmtId="0" fontId="3" fillId="0" borderId="50" xfId="6" applyFont="1" applyBorder="1"/>
    <xf numFmtId="0" fontId="3" fillId="0" borderId="51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2" xfId="6" applyFont="1" applyBorder="1" applyAlignment="1">
      <alignment vertical="center"/>
    </xf>
    <xf numFmtId="0" fontId="3" fillId="0" borderId="53" xfId="6" applyFont="1" applyBorder="1" applyAlignment="1">
      <alignment vertical="center"/>
    </xf>
    <xf numFmtId="0" fontId="2" fillId="0" borderId="54" xfId="6" applyFont="1" applyBorder="1"/>
    <xf numFmtId="168" fontId="3" fillId="0" borderId="54" xfId="6" applyNumberFormat="1" applyFont="1" applyBorder="1" applyAlignment="1">
      <alignment vertical="center"/>
    </xf>
    <xf numFmtId="0" fontId="2" fillId="6" borderId="54" xfId="6" applyFont="1" applyFill="1" applyBorder="1"/>
    <xf numFmtId="168" fontId="3" fillId="0" borderId="55" xfId="6" applyNumberFormat="1" applyFont="1" applyBorder="1" applyAlignment="1">
      <alignment vertical="center"/>
    </xf>
    <xf numFmtId="0" fontId="2" fillId="0" borderId="56" xfId="6" applyFont="1" applyBorder="1"/>
    <xf numFmtId="0" fontId="2" fillId="6" borderId="55" xfId="6" applyFont="1" applyFill="1" applyBorder="1"/>
    <xf numFmtId="0" fontId="2" fillId="0" borderId="55" xfId="6" applyFont="1" applyBorder="1"/>
    <xf numFmtId="169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6" fontId="2" fillId="5" borderId="0" xfId="6" applyNumberFormat="1" applyFont="1" applyFill="1"/>
    <xf numFmtId="165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6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0" fontId="10" fillId="4" borderId="6" xfId="1" applyNumberFormat="1" applyFont="1" applyFill="1" applyBorder="1" applyAlignment="1">
      <alignment horizontal="center"/>
    </xf>
    <xf numFmtId="0" fontId="9" fillId="4" borderId="6" xfId="0" quotePrefix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4" fontId="3" fillId="7" borderId="4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2" xfId="0" applyFont="1" applyFill="1" applyBorder="1"/>
    <xf numFmtId="0" fontId="2" fillId="7" borderId="33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4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1" fontId="2" fillId="8" borderId="4" xfId="1" applyNumberFormat="1" applyFont="1" applyFill="1" applyBorder="1" applyAlignment="1">
      <alignment horizontal="center"/>
    </xf>
    <xf numFmtId="170" fontId="2" fillId="8" borderId="4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6" fontId="3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6" fontId="2" fillId="0" borderId="1" xfId="1" applyNumberFormat="1" applyFont="1" applyBorder="1"/>
    <xf numFmtId="166" fontId="2" fillId="0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73" fontId="2" fillId="4" borderId="6" xfId="1" applyNumberFormat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6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4" fontId="10" fillId="7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 applyAlignment="1">
      <alignment vertical="center"/>
    </xf>
    <xf numFmtId="165" fontId="2" fillId="5" borderId="4" xfId="2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 wrapText="1"/>
    </xf>
    <xf numFmtId="166" fontId="2" fillId="0" borderId="8" xfId="1" applyNumberFormat="1" applyFont="1" applyFill="1" applyBorder="1" applyAlignment="1">
      <alignment vertical="center" wrapText="1"/>
    </xf>
    <xf numFmtId="164" fontId="2" fillId="4" borderId="6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4" fontId="2" fillId="6" borderId="6" xfId="1" applyNumberFormat="1" applyFont="1" applyFill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vertical="center"/>
    </xf>
    <xf numFmtId="164" fontId="2" fillId="6" borderId="11" xfId="1" applyNumberFormat="1" applyFont="1" applyFill="1" applyBorder="1" applyAlignment="1">
      <alignment vertical="center"/>
    </xf>
    <xf numFmtId="165" fontId="3" fillId="6" borderId="11" xfId="2" applyNumberFormat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horizontal="center" vertical="center"/>
    </xf>
    <xf numFmtId="168" fontId="2" fillId="7" borderId="4" xfId="1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166" fontId="3" fillId="7" borderId="4" xfId="1" applyNumberFormat="1" applyFont="1" applyFill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4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7" xfId="1" applyFont="1" applyFill="1" applyBorder="1"/>
    <xf numFmtId="172" fontId="2" fillId="0" borderId="3" xfId="1" applyNumberFormat="1" applyFont="1" applyBorder="1"/>
    <xf numFmtId="43" fontId="17" fillId="0" borderId="5" xfId="1" applyFont="1" applyFill="1" applyBorder="1"/>
    <xf numFmtId="41" fontId="2" fillId="4" borderId="6" xfId="2" applyFont="1" applyFill="1" applyBorder="1" applyAlignment="1">
      <alignment horizontal="center"/>
    </xf>
    <xf numFmtId="174" fontId="2" fillId="0" borderId="0" xfId="0" applyNumberFormat="1" applyFont="1"/>
    <xf numFmtId="164" fontId="2" fillId="0" borderId="0" xfId="0" applyNumberFormat="1" applyFont="1"/>
    <xf numFmtId="164" fontId="2" fillId="0" borderId="57" xfId="1" applyNumberFormat="1" applyFont="1" applyFill="1" applyBorder="1"/>
    <xf numFmtId="0" fontId="0" fillId="0" borderId="11" xfId="0" applyBorder="1" applyAlignment="1">
      <alignment horizontal="center" vertical="center"/>
    </xf>
    <xf numFmtId="41" fontId="0" fillId="0" borderId="11" xfId="2" applyFont="1" applyBorder="1" applyAlignment="1">
      <alignment horizontal="center" vertical="center"/>
    </xf>
    <xf numFmtId="0" fontId="9" fillId="0" borderId="8" xfId="0" quotePrefix="1" applyFont="1" applyBorder="1"/>
    <xf numFmtId="170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7" fontId="10" fillId="0" borderId="4" xfId="1" applyNumberFormat="1" applyFont="1" applyFill="1" applyBorder="1" applyAlignment="1">
      <alignment vertical="center"/>
    </xf>
    <xf numFmtId="177" fontId="17" fillId="0" borderId="3" xfId="1" applyNumberFormat="1" applyFont="1" applyFill="1" applyBorder="1"/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7" fontId="0" fillId="0" borderId="11" xfId="1" applyNumberFormat="1" applyFont="1" applyBorder="1" applyAlignment="1">
      <alignment horizontal="left" vertical="center"/>
    </xf>
    <xf numFmtId="177" fontId="0" fillId="0" borderId="11" xfId="1" applyNumberFormat="1" applyFont="1" applyBorder="1"/>
    <xf numFmtId="177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7" fontId="0" fillId="0" borderId="0" xfId="0" applyNumberFormat="1"/>
    <xf numFmtId="10" fontId="0" fillId="0" borderId="0" xfId="0" applyNumberFormat="1"/>
    <xf numFmtId="177" fontId="0" fillId="0" borderId="11" xfId="1" applyNumberFormat="1" applyFont="1" applyBorder="1" applyAlignment="1">
      <alignment horizontal="center"/>
    </xf>
    <xf numFmtId="177" fontId="0" fillId="0" borderId="11" xfId="1" applyNumberFormat="1" applyFont="1" applyBorder="1" applyAlignment="1">
      <alignment horizontal="center" vertical="center" wrapText="1"/>
    </xf>
    <xf numFmtId="177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7" fontId="0" fillId="0" borderId="0" xfId="1" applyNumberFormat="1" applyFont="1" applyAlignment="1">
      <alignment horizontal="center" vertical="center" wrapText="1"/>
    </xf>
    <xf numFmtId="177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7" fontId="0" fillId="0" borderId="0" xfId="1" applyNumberFormat="1" applyFont="1"/>
    <xf numFmtId="177" fontId="1" fillId="0" borderId="4" xfId="1" applyNumberFormat="1" applyFont="1" applyFill="1" applyBorder="1" applyAlignment="1">
      <alignment vertical="center"/>
    </xf>
    <xf numFmtId="177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left" vertical="center"/>
    </xf>
    <xf numFmtId="177" fontId="0" fillId="0" borderId="0" xfId="1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20" fillId="0" borderId="11" xfId="1" applyNumberFormat="1" applyFont="1" applyBorder="1"/>
    <xf numFmtId="177" fontId="0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7" fontId="0" fillId="4" borderId="11" xfId="0" applyNumberFormat="1" applyFill="1" applyBorder="1"/>
    <xf numFmtId="177" fontId="0" fillId="4" borderId="11" xfId="1" applyNumberFormat="1" applyFont="1" applyFill="1" applyBorder="1"/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177" fontId="0" fillId="0" borderId="59" xfId="1" applyNumberFormat="1" applyFont="1" applyBorder="1" applyAlignment="1">
      <alignment horizontal="left" vertical="center"/>
    </xf>
    <xf numFmtId="177" fontId="0" fillId="0" borderId="59" xfId="1" applyNumberFormat="1" applyFont="1" applyBorder="1"/>
    <xf numFmtId="177" fontId="0" fillId="0" borderId="59" xfId="0" applyNumberFormat="1" applyBorder="1"/>
    <xf numFmtId="177" fontId="0" fillId="4" borderId="59" xfId="1" applyNumberFormat="1" applyFont="1" applyFill="1" applyBorder="1"/>
    <xf numFmtId="10" fontId="0" fillId="0" borderId="59" xfId="0" applyNumberFormat="1" applyBorder="1"/>
    <xf numFmtId="177" fontId="0" fillId="5" borderId="11" xfId="1" applyNumberFormat="1" applyFont="1" applyFill="1" applyBorder="1"/>
    <xf numFmtId="177" fontId="0" fillId="4" borderId="11" xfId="1" applyNumberFormat="1" applyFont="1" applyFill="1" applyBorder="1" applyAlignment="1">
      <alignment horizontal="left" vertical="center"/>
    </xf>
    <xf numFmtId="177" fontId="1" fillId="4" borderId="11" xfId="1" applyNumberFormat="1" applyFont="1" applyFill="1" applyBorder="1"/>
    <xf numFmtId="177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7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41" fontId="0" fillId="0" borderId="0" xfId="0" applyNumberFormat="1"/>
    <xf numFmtId="166" fontId="2" fillId="5" borderId="0" xfId="0" applyNumberFormat="1" applyFont="1" applyFill="1"/>
    <xf numFmtId="41" fontId="0" fillId="0" borderId="11" xfId="0" applyNumberFormat="1" applyBorder="1"/>
    <xf numFmtId="0" fontId="26" fillId="0" borderId="64" xfId="7" applyFont="1" applyBorder="1" applyAlignment="1">
      <alignment vertical="center"/>
    </xf>
    <xf numFmtId="3" fontId="26" fillId="0" borderId="63" xfId="0" applyNumberFormat="1" applyFont="1" applyBorder="1" applyAlignment="1">
      <alignment horizontal="center" vertical="center"/>
    </xf>
    <xf numFmtId="0" fontId="26" fillId="0" borderId="64" xfId="7" applyFont="1" applyBorder="1" applyAlignment="1">
      <alignment horizontal="left" vertical="center" indent="2"/>
    </xf>
    <xf numFmtId="1" fontId="26" fillId="0" borderId="63" xfId="7" applyNumberFormat="1" applyFont="1" applyBorder="1" applyAlignment="1">
      <alignment horizontal="center" vertical="center"/>
    </xf>
    <xf numFmtId="0" fontId="26" fillId="0" borderId="65" xfId="7" applyFont="1" applyBorder="1" applyAlignment="1">
      <alignment horizontal="center" vertical="center"/>
    </xf>
    <xf numFmtId="0" fontId="26" fillId="0" borderId="63" xfId="7" applyFont="1" applyBorder="1" applyAlignment="1">
      <alignment horizontal="center" vertical="center"/>
    </xf>
    <xf numFmtId="2" fontId="26" fillId="0" borderId="63" xfId="7" applyNumberFormat="1" applyFont="1" applyBorder="1" applyAlignment="1">
      <alignment horizontal="center" vertical="center"/>
    </xf>
    <xf numFmtId="180" fontId="26" fillId="0" borderId="63" xfId="7" applyNumberFormat="1" applyFont="1" applyBorder="1" applyAlignment="1">
      <alignment horizontal="center" vertical="center"/>
    </xf>
    <xf numFmtId="179" fontId="26" fillId="0" borderId="63" xfId="7" applyNumberFormat="1" applyFont="1" applyBorder="1" applyAlignment="1">
      <alignment horizontal="center" vertical="center"/>
    </xf>
    <xf numFmtId="0" fontId="26" fillId="0" borderId="68" xfId="7" applyFont="1" applyBorder="1" applyAlignment="1">
      <alignment horizontal="left" vertical="center" indent="2"/>
    </xf>
    <xf numFmtId="179" fontId="26" fillId="0" borderId="66" xfId="7" applyNumberFormat="1" applyFont="1" applyBorder="1" applyAlignment="1">
      <alignment horizontal="center" vertical="center"/>
    </xf>
    <xf numFmtId="4" fontId="26" fillId="0" borderId="66" xfId="7" applyNumberFormat="1" applyFont="1" applyBorder="1" applyAlignment="1">
      <alignment horizontal="center" vertical="center"/>
    </xf>
    <xf numFmtId="0" fontId="26" fillId="0" borderId="64" xfId="7" applyFont="1" applyBorder="1" applyAlignment="1">
      <alignment horizontal="left" vertical="center"/>
    </xf>
    <xf numFmtId="3" fontId="26" fillId="0" borderId="63" xfId="7" applyNumberFormat="1" applyFont="1" applyBorder="1" applyAlignment="1">
      <alignment horizontal="center" vertical="center"/>
    </xf>
    <xf numFmtId="0" fontId="26" fillId="0" borderId="68" xfId="7" applyFont="1" applyBorder="1" applyAlignment="1">
      <alignment horizontal="left" vertical="center"/>
    </xf>
    <xf numFmtId="3" fontId="26" fillId="0" borderId="66" xfId="0" applyNumberFormat="1" applyFont="1" applyBorder="1" applyAlignment="1">
      <alignment horizontal="center" vertical="center"/>
    </xf>
    <xf numFmtId="3" fontId="26" fillId="0" borderId="66" xfId="7" applyNumberFormat="1" applyFont="1" applyBorder="1" applyAlignment="1">
      <alignment horizontal="center" vertical="center"/>
    </xf>
    <xf numFmtId="0" fontId="26" fillId="5" borderId="68" xfId="7" applyFont="1" applyFill="1" applyBorder="1" applyAlignment="1">
      <alignment horizontal="left" vertical="center"/>
    </xf>
    <xf numFmtId="3" fontId="26" fillId="5" borderId="66" xfId="7" applyNumberFormat="1" applyFont="1" applyFill="1" applyBorder="1" applyAlignment="1">
      <alignment horizontal="center" vertical="center"/>
    </xf>
    <xf numFmtId="3" fontId="26" fillId="5" borderId="66" xfId="0" applyNumberFormat="1" applyFont="1" applyFill="1" applyBorder="1" applyAlignment="1">
      <alignment horizontal="center" vertical="center"/>
    </xf>
    <xf numFmtId="0" fontId="26" fillId="5" borderId="68" xfId="7" applyFont="1" applyFill="1" applyBorder="1" applyAlignment="1">
      <alignment horizontal="left" vertical="center" indent="2"/>
    </xf>
    <xf numFmtId="0" fontId="26" fillId="0" borderId="0" xfId="7" applyFont="1" applyAlignment="1">
      <alignment vertical="center"/>
    </xf>
    <xf numFmtId="0" fontId="26" fillId="0" borderId="0" xfId="7" applyFont="1" applyAlignment="1">
      <alignment horizontal="center" vertical="center"/>
    </xf>
    <xf numFmtId="3" fontId="26" fillId="0" borderId="0" xfId="7" applyNumberFormat="1" applyFont="1" applyAlignment="1">
      <alignment horizontal="center" vertical="center"/>
    </xf>
    <xf numFmtId="0" fontId="28" fillId="0" borderId="61" xfId="7" applyFont="1" applyBorder="1" applyAlignment="1">
      <alignment horizontal="left" vertical="center"/>
    </xf>
    <xf numFmtId="0" fontId="28" fillId="0" borderId="62" xfId="7" applyFont="1" applyBorder="1" applyAlignment="1">
      <alignment horizontal="left" vertical="center"/>
    </xf>
    <xf numFmtId="3" fontId="28" fillId="0" borderId="63" xfId="7" applyNumberFormat="1" applyFont="1" applyBorder="1" applyAlignment="1">
      <alignment horizontal="center" vertical="center"/>
    </xf>
    <xf numFmtId="0" fontId="29" fillId="0" borderId="63" xfId="7" applyFont="1" applyBorder="1" applyAlignment="1">
      <alignment horizontal="center" vertical="center"/>
    </xf>
    <xf numFmtId="0" fontId="28" fillId="0" borderId="70" xfId="7" applyFont="1" applyBorder="1" applyAlignment="1">
      <alignment horizontal="left" vertical="center"/>
    </xf>
    <xf numFmtId="0" fontId="26" fillId="0" borderId="71" xfId="7" applyFont="1" applyBorder="1" applyAlignment="1">
      <alignment horizontal="left" vertical="center"/>
    </xf>
    <xf numFmtId="1" fontId="26" fillId="0" borderId="67" xfId="7" applyNumberFormat="1" applyFont="1" applyBorder="1" applyAlignment="1">
      <alignment horizontal="center" vertical="center"/>
    </xf>
    <xf numFmtId="0" fontId="26" fillId="0" borderId="72" xfId="7" applyFont="1" applyBorder="1" applyAlignment="1">
      <alignment horizontal="center" vertical="center"/>
    </xf>
    <xf numFmtId="3" fontId="26" fillId="0" borderId="67" xfId="7" applyNumberFormat="1" applyFont="1" applyBorder="1" applyAlignment="1">
      <alignment horizontal="center" vertical="center"/>
    </xf>
    <xf numFmtId="3" fontId="26" fillId="0" borderId="67" xfId="0" applyNumberFormat="1" applyFont="1" applyBorder="1" applyAlignment="1">
      <alignment horizontal="center" vertical="center"/>
    </xf>
    <xf numFmtId="4" fontId="26" fillId="0" borderId="67" xfId="7" applyNumberFormat="1" applyFont="1" applyBorder="1" applyAlignment="1">
      <alignment horizontal="center" vertical="center"/>
    </xf>
    <xf numFmtId="4" fontId="26" fillId="0" borderId="63" xfId="7" applyNumberFormat="1" applyFont="1" applyBorder="1" applyAlignment="1">
      <alignment horizontal="center" vertical="center"/>
    </xf>
    <xf numFmtId="0" fontId="26" fillId="0" borderId="63" xfId="7" applyFont="1" applyBorder="1" applyAlignment="1">
      <alignment vertical="center"/>
    </xf>
    <xf numFmtId="0" fontId="26" fillId="0" borderId="63" xfId="7" applyFont="1" applyBorder="1" applyAlignment="1">
      <alignment horizontal="left" vertical="center" indent="2"/>
    </xf>
    <xf numFmtId="0" fontId="26" fillId="0" borderId="0" xfId="7" applyFont="1" applyAlignment="1">
      <alignment horizontal="left" vertical="center"/>
    </xf>
    <xf numFmtId="0" fontId="31" fillId="0" borderId="65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179" fontId="24" fillId="0" borderId="4" xfId="0" applyNumberFormat="1" applyFont="1" applyBorder="1" applyAlignment="1">
      <alignment horizontal="center" vertical="center"/>
    </xf>
    <xf numFmtId="179" fontId="33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166" fontId="34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6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4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41" fontId="2" fillId="0" borderId="74" xfId="2" applyFont="1" applyBorder="1"/>
    <xf numFmtId="41" fontId="2" fillId="0" borderId="75" xfId="2" applyFont="1" applyBorder="1"/>
    <xf numFmtId="41" fontId="2" fillId="0" borderId="41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166" fontId="3" fillId="0" borderId="6" xfId="1" applyNumberFormat="1" applyFont="1" applyFill="1" applyBorder="1"/>
    <xf numFmtId="0" fontId="3" fillId="0" borderId="76" xfId="0" applyFont="1" applyBorder="1"/>
    <xf numFmtId="41" fontId="2" fillId="0" borderId="76" xfId="2" applyFont="1" applyBorder="1"/>
    <xf numFmtId="41" fontId="2" fillId="0" borderId="0" xfId="2" applyFont="1" applyBorder="1"/>
    <xf numFmtId="41" fontId="2" fillId="0" borderId="29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6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0" fontId="9" fillId="0" borderId="76" xfId="0" applyFont="1" applyBorder="1"/>
    <xf numFmtId="0" fontId="10" fillId="0" borderId="0" xfId="0" applyFont="1" applyAlignment="1">
      <alignment horizontal="center"/>
    </xf>
    <xf numFmtId="165" fontId="10" fillId="0" borderId="76" xfId="2" applyNumberFormat="1" applyFont="1" applyBorder="1"/>
    <xf numFmtId="165" fontId="10" fillId="0" borderId="0" xfId="2" applyNumberFormat="1" applyFont="1" applyBorder="1"/>
    <xf numFmtId="165" fontId="10" fillId="0" borderId="29" xfId="2" applyNumberFormat="1" applyFont="1" applyBorder="1"/>
    <xf numFmtId="166" fontId="2" fillId="6" borderId="3" xfId="1" applyNumberFormat="1" applyFont="1" applyFill="1" applyBorder="1"/>
    <xf numFmtId="41" fontId="2" fillId="0" borderId="76" xfId="2" applyFont="1" applyFill="1" applyBorder="1"/>
    <xf numFmtId="41" fontId="2" fillId="0" borderId="0" xfId="2" applyFont="1" applyFill="1" applyBorder="1"/>
    <xf numFmtId="41" fontId="2" fillId="0" borderId="29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5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5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4" xfId="0" applyFont="1" applyBorder="1"/>
    <xf numFmtId="0" fontId="2" fillId="0" borderId="75" xfId="0" applyFont="1" applyBorder="1" applyAlignment="1">
      <alignment horizontal="center"/>
    </xf>
    <xf numFmtId="165" fontId="36" fillId="0" borderId="74" xfId="2" applyNumberFormat="1" applyFont="1" applyFill="1" applyBorder="1"/>
    <xf numFmtId="165" fontId="36" fillId="0" borderId="75" xfId="2" applyNumberFormat="1" applyFont="1" applyFill="1" applyBorder="1"/>
    <xf numFmtId="165" fontId="36" fillId="0" borderId="41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165" fontId="10" fillId="0" borderId="4" xfId="2" applyNumberFormat="1" applyFont="1" applyFill="1" applyBorder="1"/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5" fontId="2" fillId="0" borderId="0" xfId="2" applyNumberFormat="1" applyFont="1"/>
    <xf numFmtId="41" fontId="3" fillId="4" borderId="0" xfId="0" applyNumberFormat="1" applyFont="1" applyFill="1"/>
    <xf numFmtId="0" fontId="2" fillId="0" borderId="40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41" fontId="2" fillId="0" borderId="40" xfId="2" applyFont="1" applyBorder="1" applyAlignment="1"/>
    <xf numFmtId="41" fontId="2" fillId="0" borderId="77" xfId="2" applyFont="1" applyBorder="1" applyAlignment="1">
      <alignment horizontal="center"/>
    </xf>
    <xf numFmtId="41" fontId="2" fillId="0" borderId="39" xfId="2" applyFont="1" applyBorder="1" applyAlignment="1">
      <alignment horizontal="center"/>
    </xf>
    <xf numFmtId="41" fontId="2" fillId="0" borderId="0" xfId="2" applyFont="1" applyAlignment="1">
      <alignment horizontal="center"/>
    </xf>
    <xf numFmtId="177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1" xfId="0" applyFont="1" applyBorder="1" applyAlignment="1">
      <alignment horizontal="center" vertical="center"/>
    </xf>
    <xf numFmtId="165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5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6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73" fontId="2" fillId="0" borderId="6" xfId="1" applyNumberFormat="1" applyFont="1" applyFill="1" applyBorder="1"/>
    <xf numFmtId="165" fontId="2" fillId="0" borderId="74" xfId="2" applyNumberFormat="1" applyFont="1" applyFill="1" applyBorder="1"/>
    <xf numFmtId="165" fontId="2" fillId="0" borderId="75" xfId="2" applyNumberFormat="1" applyFont="1" applyFill="1" applyBorder="1"/>
    <xf numFmtId="165" fontId="2" fillId="0" borderId="41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5" fontId="2" fillId="0" borderId="0" xfId="2" applyNumberFormat="1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6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6" fontId="2" fillId="4" borderId="23" xfId="1" applyNumberFormat="1" applyFont="1" applyFill="1" applyBorder="1"/>
    <xf numFmtId="166" fontId="2" fillId="0" borderId="14" xfId="1" applyNumberFormat="1" applyFont="1" applyFill="1" applyBorder="1"/>
    <xf numFmtId="166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6" fontId="2" fillId="0" borderId="78" xfId="1" applyNumberFormat="1" applyFont="1" applyFill="1" applyBorder="1"/>
    <xf numFmtId="166" fontId="2" fillId="0" borderId="10" xfId="1" applyNumberFormat="1" applyFont="1" applyFill="1" applyBorder="1"/>
    <xf numFmtId="166" fontId="2" fillId="0" borderId="26" xfId="1" applyNumberFormat="1" applyFont="1" applyFill="1" applyBorder="1"/>
    <xf numFmtId="166" fontId="2" fillId="6" borderId="79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80" xfId="1" applyFont="1" applyFill="1" applyBorder="1"/>
    <xf numFmtId="43" fontId="2" fillId="0" borderId="9" xfId="1" applyFont="1" applyFill="1" applyBorder="1"/>
    <xf numFmtId="165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2" fontId="2" fillId="0" borderId="14" xfId="1" applyNumberFormat="1" applyFont="1" applyFill="1" applyBorder="1"/>
    <xf numFmtId="172" fontId="2" fillId="0" borderId="4" xfId="1" applyNumberFormat="1" applyFont="1" applyFill="1" applyBorder="1"/>
    <xf numFmtId="0" fontId="3" fillId="5" borderId="6" xfId="0" quotePrefix="1" applyFont="1" applyFill="1" applyBorder="1"/>
    <xf numFmtId="170" fontId="2" fillId="12" borderId="6" xfId="1" applyNumberFormat="1" applyFont="1" applyFill="1" applyBorder="1" applyAlignment="1">
      <alignment horizontal="center"/>
    </xf>
    <xf numFmtId="43" fontId="17" fillId="0" borderId="13" xfId="1" applyFont="1" applyFill="1" applyBorder="1"/>
    <xf numFmtId="43" fontId="17" fillId="0" borderId="6" xfId="1" applyFont="1" applyFill="1" applyBorder="1"/>
    <xf numFmtId="171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4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5" fontId="3" fillId="0" borderId="63" xfId="2" applyNumberFormat="1" applyFont="1" applyFill="1" applyBorder="1"/>
    <xf numFmtId="165" fontId="3" fillId="0" borderId="0" xfId="2" applyNumberFormat="1" applyFont="1" applyFill="1"/>
    <xf numFmtId="165" fontId="3" fillId="5" borderId="4" xfId="2" quotePrefix="1" applyNumberFormat="1" applyFont="1" applyFill="1" applyBorder="1"/>
    <xf numFmtId="165" fontId="3" fillId="10" borderId="4" xfId="2" applyNumberFormat="1" applyFont="1" applyFill="1" applyBorder="1" applyAlignment="1">
      <alignment horizontal="center"/>
    </xf>
    <xf numFmtId="165" fontId="3" fillId="5" borderId="4" xfId="2" quotePrefix="1" applyNumberFormat="1" applyFont="1" applyFill="1" applyBorder="1" applyAlignment="1">
      <alignment horizontal="center"/>
    </xf>
    <xf numFmtId="165" fontId="2" fillId="5" borderId="63" xfId="2" applyNumberFormat="1" applyFont="1" applyFill="1" applyBorder="1"/>
    <xf numFmtId="165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3" xfId="1" applyFont="1" applyFill="1" applyBorder="1"/>
    <xf numFmtId="43" fontId="10" fillId="0" borderId="63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5" fontId="2" fillId="0" borderId="0" xfId="2" applyNumberFormat="1" applyFont="1" applyFill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6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7" fontId="2" fillId="0" borderId="3" xfId="0" applyNumberFormat="1" applyFont="1" applyBorder="1"/>
    <xf numFmtId="43" fontId="3" fillId="0" borderId="4" xfId="1" applyFont="1" applyBorder="1"/>
    <xf numFmtId="165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5" fillId="4" borderId="60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8" fillId="0" borderId="8" xfId="0" quotePrefix="1" applyFont="1" applyBorder="1"/>
    <xf numFmtId="166" fontId="3" fillId="0" borderId="4" xfId="1" applyNumberFormat="1" applyFont="1" applyFill="1" applyBorder="1"/>
    <xf numFmtId="166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6" fontId="2" fillId="6" borderId="6" xfId="1" applyNumberFormat="1" applyFont="1" applyFill="1" applyBorder="1"/>
    <xf numFmtId="166" fontId="2" fillId="6" borderId="34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166" fontId="2" fillId="6" borderId="11" xfId="1" applyNumberFormat="1" applyFont="1" applyFill="1" applyBorder="1"/>
    <xf numFmtId="0" fontId="10" fillId="6" borderId="4" xfId="0" applyFont="1" applyFill="1" applyBorder="1" applyAlignment="1">
      <alignment vertical="center"/>
    </xf>
    <xf numFmtId="166" fontId="2" fillId="6" borderId="2" xfId="1" applyNumberFormat="1" applyFont="1" applyFill="1" applyBorder="1"/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43" fontId="3" fillId="6" borderId="2" xfId="1" applyFont="1" applyFill="1" applyBorder="1"/>
    <xf numFmtId="166" fontId="3" fillId="6" borderId="4" xfId="1" applyNumberFormat="1" applyFont="1" applyFill="1" applyBorder="1"/>
    <xf numFmtId="0" fontId="21" fillId="0" borderId="0" xfId="0" applyFont="1"/>
    <xf numFmtId="166" fontId="3" fillId="6" borderId="34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68" fontId="2" fillId="0" borderId="4" xfId="1" applyNumberFormat="1" applyFont="1" applyFill="1" applyBorder="1"/>
    <xf numFmtId="168" fontId="2" fillId="6" borderId="3" xfId="0" applyNumberFormat="1" applyFont="1" applyFill="1" applyBorder="1"/>
    <xf numFmtId="170" fontId="10" fillId="3" borderId="4" xfId="1" applyNumberFormat="1" applyFont="1" applyFill="1" applyBorder="1" applyAlignment="1">
      <alignment horizontal="center"/>
    </xf>
    <xf numFmtId="175" fontId="2" fillId="0" borderId="4" xfId="2" applyNumberFormat="1" applyFont="1" applyFill="1" applyBorder="1"/>
    <xf numFmtId="168" fontId="10" fillId="0" borderId="4" xfId="1" applyNumberFormat="1" applyFont="1" applyFill="1" applyBorder="1"/>
    <xf numFmtId="168" fontId="3" fillId="6" borderId="3" xfId="0" applyNumberFormat="1" applyFont="1" applyFill="1" applyBorder="1"/>
    <xf numFmtId="181" fontId="2" fillId="0" borderId="4" xfId="1" applyNumberFormat="1" applyFont="1" applyFill="1" applyBorder="1"/>
    <xf numFmtId="182" fontId="2" fillId="0" borderId="4" xfId="1" applyNumberFormat="1" applyFont="1" applyFill="1" applyBorder="1"/>
    <xf numFmtId="166" fontId="36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4" fontId="2" fillId="0" borderId="4" xfId="1" applyNumberFormat="1" applyFont="1" applyFill="1" applyBorder="1"/>
    <xf numFmtId="183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68" fontId="3" fillId="0" borderId="2" xfId="1" applyNumberFormat="1" applyFont="1" applyFill="1" applyBorder="1"/>
    <xf numFmtId="165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6" fontId="10" fillId="3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/>
    <xf numFmtId="166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6" fontId="9" fillId="3" borderId="4" xfId="1" applyNumberFormat="1" applyFont="1" applyFill="1" applyBorder="1" applyAlignment="1">
      <alignment horizontal="center"/>
    </xf>
    <xf numFmtId="166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6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166" fontId="36" fillId="6" borderId="4" xfId="1" applyNumberFormat="1" applyFont="1" applyFill="1" applyBorder="1"/>
    <xf numFmtId="0" fontId="0" fillId="0" borderId="11" xfId="0" applyBorder="1"/>
    <xf numFmtId="166" fontId="3" fillId="0" borderId="56" xfId="0" applyNumberFormat="1" applyFont="1" applyBorder="1"/>
    <xf numFmtId="166" fontId="3" fillId="0" borderId="41" xfId="0" applyNumberFormat="1" applyFont="1" applyBorder="1"/>
    <xf numFmtId="166" fontId="3" fillId="0" borderId="38" xfId="0" applyNumberFormat="1" applyFont="1" applyBorder="1"/>
    <xf numFmtId="0" fontId="3" fillId="0" borderId="39" xfId="0" applyFont="1" applyBorder="1" applyAlignment="1">
      <alignment horizontal="center" wrapText="1"/>
    </xf>
    <xf numFmtId="0" fontId="3" fillId="4" borderId="29" xfId="0" quotePrefix="1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166" fontId="2" fillId="0" borderId="29" xfId="0" applyNumberFormat="1" applyFont="1" applyBorder="1"/>
    <xf numFmtId="166" fontId="2" fillId="4" borderId="29" xfId="0" applyNumberFormat="1" applyFont="1" applyFill="1" applyBorder="1"/>
    <xf numFmtId="166" fontId="2" fillId="6" borderId="29" xfId="1" applyNumberFormat="1" applyFont="1" applyFill="1" applyBorder="1"/>
    <xf numFmtId="164" fontId="2" fillId="0" borderId="29" xfId="0" applyNumberFormat="1" applyFont="1" applyBorder="1"/>
    <xf numFmtId="166" fontId="5" fillId="0" borderId="29" xfId="0" applyNumberFormat="1" applyFont="1" applyBorder="1" applyAlignment="1">
      <alignment horizontal="center"/>
    </xf>
    <xf numFmtId="166" fontId="2" fillId="6" borderId="29" xfId="0" applyNumberFormat="1" applyFont="1" applyFill="1" applyBorder="1"/>
    <xf numFmtId="166" fontId="5" fillId="0" borderId="82" xfId="0" applyNumberFormat="1" applyFont="1" applyBorder="1" applyAlignment="1">
      <alignment horizontal="center"/>
    </xf>
    <xf numFmtId="166" fontId="2" fillId="6" borderId="29" xfId="0" applyNumberFormat="1" applyFont="1" applyFill="1" applyBorder="1" applyAlignment="1">
      <alignment vertical="center"/>
    </xf>
    <xf numFmtId="166" fontId="2" fillId="4" borderId="29" xfId="0" applyNumberFormat="1" applyFont="1" applyFill="1" applyBorder="1" applyAlignment="1">
      <alignment vertical="center"/>
    </xf>
    <xf numFmtId="166" fontId="2" fillId="6" borderId="29" xfId="1" applyNumberFormat="1" applyFont="1" applyFill="1" applyBorder="1" applyAlignment="1">
      <alignment vertical="center"/>
    </xf>
    <xf numFmtId="166" fontId="2" fillId="5" borderId="29" xfId="0" applyNumberFormat="1" applyFont="1" applyFill="1" applyBorder="1"/>
    <xf numFmtId="0" fontId="3" fillId="4" borderId="82" xfId="0" quotePrefix="1" applyFont="1" applyFill="1" applyBorder="1" applyAlignment="1">
      <alignment horizontal="center"/>
    </xf>
    <xf numFmtId="0" fontId="3" fillId="4" borderId="82" xfId="0" applyFont="1" applyFill="1" applyBorder="1" applyAlignment="1">
      <alignment horizontal="center"/>
    </xf>
    <xf numFmtId="43" fontId="2" fillId="0" borderId="8" xfId="1" applyFont="1" applyFill="1" applyBorder="1"/>
    <xf numFmtId="166" fontId="2" fillId="6" borderId="83" xfId="0" applyNumberFormat="1" applyFont="1" applyFill="1" applyBorder="1"/>
    <xf numFmtId="43" fontId="2" fillId="0" borderId="27" xfId="1" applyFont="1" applyFill="1" applyBorder="1"/>
    <xf numFmtId="172" fontId="2" fillId="0" borderId="29" xfId="1" applyNumberFormat="1" applyFont="1" applyBorder="1"/>
    <xf numFmtId="43" fontId="17" fillId="0" borderId="23" xfId="1" applyFont="1" applyFill="1" applyBorder="1"/>
    <xf numFmtId="164" fontId="2" fillId="5" borderId="29" xfId="0" applyNumberFormat="1" applyFont="1" applyFill="1" applyBorder="1"/>
    <xf numFmtId="164" fontId="3" fillId="6" borderId="29" xfId="0" applyNumberFormat="1" applyFont="1" applyFill="1" applyBorder="1"/>
    <xf numFmtId="164" fontId="3" fillId="0" borderId="29" xfId="0" applyNumberFormat="1" applyFont="1" applyBorder="1"/>
    <xf numFmtId="43" fontId="10" fillId="0" borderId="65" xfId="1" applyFont="1" applyFill="1" applyBorder="1"/>
    <xf numFmtId="166" fontId="6" fillId="0" borderId="29" xfId="0" applyNumberFormat="1" applyFont="1" applyBorder="1"/>
    <xf numFmtId="166" fontId="2" fillId="0" borderId="29" xfId="0" applyNumberFormat="1" applyFont="1" applyBorder="1" applyAlignment="1">
      <alignment vertical="center"/>
    </xf>
    <xf numFmtId="167" fontId="2" fillId="0" borderId="29" xfId="0" applyNumberFormat="1" applyFont="1" applyBorder="1"/>
    <xf numFmtId="166" fontId="2" fillId="4" borderId="82" xfId="0" applyNumberFormat="1" applyFont="1" applyFill="1" applyBorder="1"/>
    <xf numFmtId="0" fontId="3" fillId="4" borderId="82" xfId="0" applyFont="1" applyFill="1" applyBorder="1" applyAlignment="1">
      <alignment horizontal="center" vertical="center"/>
    </xf>
    <xf numFmtId="164" fontId="2" fillId="6" borderId="82" xfId="0" applyNumberFormat="1" applyFont="1" applyFill="1" applyBorder="1"/>
    <xf numFmtId="164" fontId="2" fillId="6" borderId="47" xfId="0" applyNumberFormat="1" applyFont="1" applyFill="1" applyBorder="1"/>
    <xf numFmtId="164" fontId="3" fillId="6" borderId="47" xfId="0" applyNumberFormat="1" applyFont="1" applyFill="1" applyBorder="1"/>
    <xf numFmtId="168" fontId="2" fillId="6" borderId="29" xfId="0" applyNumberFormat="1" applyFont="1" applyFill="1" applyBorder="1"/>
    <xf numFmtId="168" fontId="3" fillId="6" borderId="29" xfId="0" applyNumberFormat="1" applyFont="1" applyFill="1" applyBorder="1"/>
    <xf numFmtId="0" fontId="6" fillId="0" borderId="29" xfId="0" applyFont="1" applyBorder="1"/>
    <xf numFmtId="183" fontId="2" fillId="0" borderId="29" xfId="0" applyNumberFormat="1" applyFont="1" applyBorder="1"/>
    <xf numFmtId="168" fontId="3" fillId="0" borderId="84" xfId="0" applyNumberFormat="1" applyFont="1" applyBorder="1"/>
    <xf numFmtId="43" fontId="3" fillId="4" borderId="82" xfId="1" applyFont="1" applyFill="1" applyBorder="1" applyAlignment="1">
      <alignment horizontal="center"/>
    </xf>
    <xf numFmtId="166" fontId="3" fillId="6" borderId="29" xfId="0" applyNumberFormat="1" applyFont="1" applyFill="1" applyBorder="1"/>
    <xf numFmtId="167" fontId="6" fillId="0" borderId="29" xfId="0" applyNumberFormat="1" applyFont="1" applyBorder="1"/>
    <xf numFmtId="166" fontId="3" fillId="0" borderId="29" xfId="0" applyNumberFormat="1" applyFont="1" applyBorder="1"/>
    <xf numFmtId="43" fontId="3" fillId="6" borderId="29" xfId="1" applyFont="1" applyFill="1" applyBorder="1" applyAlignment="1">
      <alignment vertical="center"/>
    </xf>
    <xf numFmtId="166" fontId="6" fillId="0" borderId="29" xfId="0" applyNumberFormat="1" applyFont="1" applyBorder="1" applyAlignment="1">
      <alignment vertical="center"/>
    </xf>
    <xf numFmtId="43" fontId="2" fillId="0" borderId="29" xfId="1" applyFont="1" applyBorder="1" applyAlignment="1">
      <alignment vertical="center"/>
    </xf>
    <xf numFmtId="166" fontId="3" fillId="4" borderId="82" xfId="1" applyNumberFormat="1" applyFont="1" applyFill="1" applyBorder="1" applyAlignment="1">
      <alignment horizontal="center"/>
    </xf>
    <xf numFmtId="43" fontId="2" fillId="0" borderId="57" xfId="1" applyFont="1" applyFill="1" applyBorder="1"/>
    <xf numFmtId="43" fontId="10" fillId="0" borderId="85" xfId="1" applyFont="1" applyFill="1" applyBorder="1"/>
    <xf numFmtId="166" fontId="3" fillId="0" borderId="3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0" fillId="0" borderId="77" xfId="0" applyBorder="1"/>
    <xf numFmtId="0" fontId="35" fillId="0" borderId="0" xfId="0" applyFont="1"/>
    <xf numFmtId="0" fontId="35" fillId="5" borderId="0" xfId="0" applyFont="1" applyFill="1"/>
    <xf numFmtId="0" fontId="35" fillId="0" borderId="0" xfId="0" applyFont="1" applyAlignment="1">
      <alignment vertical="center"/>
    </xf>
    <xf numFmtId="0" fontId="10" fillId="0" borderId="0" xfId="0" applyFont="1"/>
    <xf numFmtId="0" fontId="3" fillId="5" borderId="81" xfId="0" applyFont="1" applyFill="1" applyBorder="1" applyAlignment="1">
      <alignment horizontal="center"/>
    </xf>
    <xf numFmtId="0" fontId="17" fillId="5" borderId="0" xfId="0" applyFont="1" applyFill="1"/>
    <xf numFmtId="0" fontId="2" fillId="5" borderId="32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0" borderId="8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165" fontId="2" fillId="5" borderId="32" xfId="2" applyNumberFormat="1" applyFont="1" applyFill="1" applyBorder="1" applyAlignment="1">
      <alignment horizontal="center"/>
    </xf>
    <xf numFmtId="165" fontId="37" fillId="5" borderId="0" xfId="2" applyNumberFormat="1" applyFont="1" applyFill="1" applyBorder="1"/>
    <xf numFmtId="0" fontId="2" fillId="0" borderId="32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37" fillId="0" borderId="0" xfId="0" applyFont="1"/>
    <xf numFmtId="164" fontId="3" fillId="0" borderId="0" xfId="0" applyNumberFormat="1" applyFont="1"/>
    <xf numFmtId="164" fontId="3" fillId="0" borderId="0" xfId="2" applyNumberFormat="1" applyFont="1" applyBorder="1"/>
    <xf numFmtId="0" fontId="37" fillId="5" borderId="0" xfId="0" applyFont="1" applyFill="1"/>
    <xf numFmtId="0" fontId="3" fillId="0" borderId="31" xfId="0" applyFont="1" applyBorder="1" applyAlignment="1">
      <alignment horizontal="center"/>
    </xf>
    <xf numFmtId="0" fontId="2" fillId="0" borderId="12" xfId="0" applyFont="1" applyBorder="1"/>
    <xf numFmtId="0" fontId="0" fillId="0" borderId="54" xfId="0" applyBorder="1"/>
    <xf numFmtId="177" fontId="2" fillId="5" borderId="4" xfId="1" applyNumberFormat="1" applyFont="1" applyFill="1" applyBorder="1"/>
    <xf numFmtId="166" fontId="2" fillId="0" borderId="4" xfId="1" applyNumberFormat="1" applyFont="1" applyFill="1" applyBorder="1" applyAlignment="1">
      <alignment horizontal="center"/>
    </xf>
    <xf numFmtId="166" fontId="2" fillId="8" borderId="6" xfId="1" applyNumberFormat="1" applyFont="1" applyFill="1" applyBorder="1" applyAlignment="1">
      <alignment horizontal="center"/>
    </xf>
    <xf numFmtId="166" fontId="2" fillId="0" borderId="2" xfId="1" applyNumberFormat="1" applyFont="1" applyFill="1" applyBorder="1" applyAlignment="1">
      <alignment horizontal="center"/>
    </xf>
    <xf numFmtId="178" fontId="2" fillId="0" borderId="0" xfId="0" applyNumberFormat="1" applyFont="1"/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0" borderId="87" xfId="0" applyFont="1" applyBorder="1"/>
    <xf numFmtId="0" fontId="0" fillId="0" borderId="21" xfId="0" applyBorder="1"/>
    <xf numFmtId="0" fontId="0" fillId="0" borderId="88" xfId="0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0" fontId="0" fillId="0" borderId="87" xfId="0" applyBorder="1"/>
    <xf numFmtId="166" fontId="3" fillId="0" borderId="1" xfId="0" applyNumberFormat="1" applyFont="1" applyBorder="1"/>
    <xf numFmtId="0" fontId="2" fillId="8" borderId="87" xfId="0" applyFont="1" applyFill="1" applyBorder="1"/>
    <xf numFmtId="0" fontId="2" fillId="5" borderId="87" xfId="0" applyFont="1" applyFill="1" applyBorder="1" applyAlignment="1">
      <alignment horizontal="center"/>
    </xf>
    <xf numFmtId="0" fontId="0" fillId="0" borderId="12" xfId="0" applyBorder="1"/>
    <xf numFmtId="166" fontId="3" fillId="0" borderId="0" xfId="0" applyNumberFormat="1" applyFont="1" applyAlignment="1">
      <alignment vertical="center"/>
    </xf>
    <xf numFmtId="0" fontId="2" fillId="0" borderId="7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1" fontId="2" fillId="0" borderId="76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9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3" fontId="0" fillId="8" borderId="0" xfId="0" applyNumberFormat="1" applyFill="1"/>
    <xf numFmtId="166" fontId="2" fillId="6" borderId="3" xfId="0" applyNumberFormat="1" applyFont="1" applyFill="1" applyBorder="1" applyAlignment="1">
      <alignment horizontal="center" vertical="center"/>
    </xf>
    <xf numFmtId="166" fontId="2" fillId="6" borderId="7" xfId="0" applyNumberFormat="1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wrapText="1"/>
    </xf>
    <xf numFmtId="0" fontId="3" fillId="4" borderId="76" xfId="0" quotePrefix="1" applyFont="1" applyFill="1" applyBorder="1" applyAlignment="1">
      <alignment horizontal="center"/>
    </xf>
    <xf numFmtId="0" fontId="5" fillId="0" borderId="76" xfId="0" applyFont="1" applyBorder="1" applyAlignment="1">
      <alignment horizontal="center"/>
    </xf>
    <xf numFmtId="164" fontId="2" fillId="0" borderId="76" xfId="0" applyNumberFormat="1" applyFont="1" applyBorder="1"/>
    <xf numFmtId="9" fontId="2" fillId="6" borderId="76" xfId="3" applyFont="1" applyFill="1" applyBorder="1"/>
    <xf numFmtId="164" fontId="2" fillId="6" borderId="76" xfId="0" applyNumberFormat="1" applyFont="1" applyFill="1" applyBorder="1"/>
    <xf numFmtId="166" fontId="5" fillId="0" borderId="76" xfId="0" applyNumberFormat="1" applyFont="1" applyBorder="1" applyAlignment="1">
      <alignment horizontal="center"/>
    </xf>
    <xf numFmtId="166" fontId="5" fillId="0" borderId="89" xfId="0" applyNumberFormat="1" applyFont="1" applyBorder="1" applyAlignment="1">
      <alignment horizontal="center"/>
    </xf>
    <xf numFmtId="166" fontId="2" fillId="6" borderId="76" xfId="0" applyNumberFormat="1" applyFont="1" applyFill="1" applyBorder="1"/>
    <xf numFmtId="164" fontId="2" fillId="5" borderId="76" xfId="0" applyNumberFormat="1" applyFont="1" applyFill="1" applyBorder="1"/>
    <xf numFmtId="0" fontId="3" fillId="4" borderId="89" xfId="0" quotePrefix="1" applyFont="1" applyFill="1" applyBorder="1" applyAlignment="1">
      <alignment horizontal="center"/>
    </xf>
    <xf numFmtId="43" fontId="2" fillId="0" borderId="76" xfId="1" applyFont="1" applyFill="1" applyBorder="1"/>
    <xf numFmtId="43" fontId="2" fillId="0" borderId="90" xfId="1" applyFont="1" applyFill="1" applyBorder="1"/>
    <xf numFmtId="0" fontId="3" fillId="4" borderId="89" xfId="0" applyFont="1" applyFill="1" applyBorder="1" applyAlignment="1">
      <alignment horizontal="center"/>
    </xf>
    <xf numFmtId="43" fontId="36" fillId="0" borderId="76" xfId="1" applyFont="1" applyBorder="1"/>
    <xf numFmtId="43" fontId="2" fillId="0" borderId="91" xfId="1" applyFont="1" applyBorder="1"/>
    <xf numFmtId="166" fontId="2" fillId="6" borderId="92" xfId="0" applyNumberFormat="1" applyFont="1" applyFill="1" applyBorder="1"/>
    <xf numFmtId="172" fontId="2" fillId="0" borderId="76" xfId="1" applyNumberFormat="1" applyFont="1" applyBorder="1"/>
    <xf numFmtId="164" fontId="3" fillId="6" borderId="76" xfId="0" applyNumberFormat="1" applyFont="1" applyFill="1" applyBorder="1"/>
    <xf numFmtId="166" fontId="6" fillId="0" borderId="76" xfId="0" applyNumberFormat="1" applyFont="1" applyBorder="1"/>
    <xf numFmtId="166" fontId="2" fillId="0" borderId="76" xfId="0" applyNumberFormat="1" applyFont="1" applyBorder="1"/>
    <xf numFmtId="164" fontId="3" fillId="0" borderId="76" xfId="0" applyNumberFormat="1" applyFont="1" applyBorder="1"/>
    <xf numFmtId="167" fontId="2" fillId="0" borderId="76" xfId="0" applyNumberFormat="1" applyFont="1" applyBorder="1"/>
    <xf numFmtId="166" fontId="2" fillId="0" borderId="76" xfId="0" applyNumberFormat="1" applyFont="1" applyBorder="1" applyAlignment="1">
      <alignment vertical="center"/>
    </xf>
    <xf numFmtId="166" fontId="2" fillId="4" borderId="89" xfId="0" applyNumberFormat="1" applyFont="1" applyFill="1" applyBorder="1"/>
    <xf numFmtId="164" fontId="2" fillId="0" borderId="90" xfId="0" applyNumberFormat="1" applyFont="1" applyBorder="1"/>
    <xf numFmtId="0" fontId="3" fillId="4" borderId="89" xfId="0" applyFont="1" applyFill="1" applyBorder="1" applyAlignment="1">
      <alignment horizontal="center" vertical="center"/>
    </xf>
    <xf numFmtId="2" fontId="2" fillId="6" borderId="50" xfId="0" applyNumberFormat="1" applyFont="1" applyFill="1" applyBorder="1"/>
    <xf numFmtId="0" fontId="6" fillId="0" borderId="76" xfId="0" applyFont="1" applyBorder="1"/>
    <xf numFmtId="184" fontId="2" fillId="0" borderId="76" xfId="0" applyNumberFormat="1" applyFont="1" applyBorder="1"/>
    <xf numFmtId="43" fontId="3" fillId="4" borderId="89" xfId="1" applyFont="1" applyFill="1" applyBorder="1" applyAlignment="1">
      <alignment horizontal="center"/>
    </xf>
    <xf numFmtId="167" fontId="6" fillId="0" borderId="76" xfId="0" applyNumberFormat="1" applyFont="1" applyBorder="1"/>
    <xf numFmtId="166" fontId="6" fillId="0" borderId="76" xfId="0" applyNumberFormat="1" applyFont="1" applyBorder="1" applyAlignment="1">
      <alignment vertical="center"/>
    </xf>
    <xf numFmtId="43" fontId="2" fillId="0" borderId="76" xfId="1" applyFont="1" applyBorder="1" applyAlignment="1">
      <alignment vertical="center"/>
    </xf>
    <xf numFmtId="166" fontId="3" fillId="4" borderId="89" xfId="1" applyNumberFormat="1" applyFont="1" applyFill="1" applyBorder="1" applyAlignment="1">
      <alignment horizontal="center"/>
    </xf>
    <xf numFmtId="164" fontId="3" fillId="0" borderId="74" xfId="0" applyNumberFormat="1" applyFont="1" applyBorder="1"/>
    <xf numFmtId="165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10" fontId="2" fillId="5" borderId="0" xfId="3" applyNumberFormat="1" applyFont="1" applyFill="1" applyBorder="1"/>
    <xf numFmtId="41" fontId="10" fillId="0" borderId="0" xfId="2" applyFont="1" applyBorder="1"/>
    <xf numFmtId="178" fontId="2" fillId="5" borderId="0" xfId="3" applyNumberFormat="1" applyFont="1" applyFill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4" fontId="2" fillId="5" borderId="0" xfId="0" applyNumberFormat="1" applyFont="1" applyFill="1"/>
    <xf numFmtId="177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6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68" fontId="0" fillId="0" borderId="0" xfId="0" applyNumberFormat="1"/>
    <xf numFmtId="164" fontId="0" fillId="0" borderId="0" xfId="0" applyNumberFormat="1"/>
    <xf numFmtId="43" fontId="2" fillId="0" borderId="0" xfId="1" applyFont="1" applyBorder="1" applyAlignment="1">
      <alignment vertical="center"/>
    </xf>
    <xf numFmtId="166" fontId="2" fillId="0" borderId="0" xfId="0" applyNumberFormat="1" applyFont="1" applyAlignment="1">
      <alignment horizontal="center"/>
    </xf>
    <xf numFmtId="165" fontId="3" fillId="0" borderId="0" xfId="2" applyNumberFormat="1" applyFont="1" applyFill="1" applyBorder="1"/>
    <xf numFmtId="166" fontId="2" fillId="5" borderId="0" xfId="1" applyNumberFormat="1" applyFont="1" applyFill="1" applyBorder="1" applyAlignment="1">
      <alignment vertical="center"/>
    </xf>
    <xf numFmtId="166" fontId="2" fillId="7" borderId="3" xfId="0" applyNumberFormat="1" applyFont="1" applyFill="1" applyBorder="1"/>
    <xf numFmtId="185" fontId="0" fillId="0" borderId="11" xfId="0" applyNumberFormat="1" applyBorder="1" applyAlignment="1">
      <alignment horizontal="center" vertical="center"/>
    </xf>
    <xf numFmtId="10" fontId="2" fillId="0" borderId="0" xfId="3" applyNumberFormat="1" applyFont="1" applyBorder="1"/>
    <xf numFmtId="41" fontId="2" fillId="0" borderId="4" xfId="2" applyFont="1" applyBorder="1"/>
    <xf numFmtId="41" fontId="2" fillId="0" borderId="12" xfId="2" applyFont="1" applyBorder="1"/>
    <xf numFmtId="177" fontId="2" fillId="0" borderId="4" xfId="1" applyNumberFormat="1" applyFont="1" applyBorder="1"/>
    <xf numFmtId="177" fontId="2" fillId="0" borderId="12" xfId="1" applyNumberFormat="1" applyFont="1" applyBorder="1"/>
    <xf numFmtId="0" fontId="3" fillId="5" borderId="8" xfId="0" applyFont="1" applyFill="1" applyBorder="1"/>
    <xf numFmtId="0" fontId="41" fillId="0" borderId="0" xfId="7" applyFont="1" applyAlignment="1">
      <alignment vertical="center"/>
    </xf>
    <xf numFmtId="0" fontId="28" fillId="0" borderId="93" xfId="7" applyFont="1" applyBorder="1" applyAlignment="1">
      <alignment horizontal="left" vertical="center"/>
    </xf>
    <xf numFmtId="0" fontId="28" fillId="0" borderId="94" xfId="7" applyFont="1" applyBorder="1" applyAlignment="1">
      <alignment horizontal="left" vertical="center"/>
    </xf>
    <xf numFmtId="0" fontId="28" fillId="0" borderId="95" xfId="7" applyFont="1" applyBorder="1" applyAlignment="1">
      <alignment horizontal="left" vertical="center"/>
    </xf>
    <xf numFmtId="0" fontId="28" fillId="0" borderId="97" xfId="7" applyFont="1" applyBorder="1" applyAlignment="1">
      <alignment horizontal="center" vertical="center"/>
    </xf>
    <xf numFmtId="0" fontId="28" fillId="0" borderId="98" xfId="7" applyFont="1" applyBorder="1" applyAlignment="1">
      <alignment horizontal="left" vertical="center"/>
    </xf>
    <xf numFmtId="0" fontId="29" fillId="0" borderId="99" xfId="7" applyFont="1" applyBorder="1" applyAlignment="1">
      <alignment horizontal="center" vertical="center"/>
    </xf>
    <xf numFmtId="0" fontId="28" fillId="0" borderId="100" xfId="7" applyFont="1" applyBorder="1" applyAlignment="1">
      <alignment horizontal="left" vertical="center"/>
    </xf>
    <xf numFmtId="0" fontId="28" fillId="0" borderId="101" xfId="7" applyFont="1" applyBorder="1" applyAlignment="1">
      <alignment horizontal="left" vertical="center"/>
    </xf>
    <xf numFmtId="3" fontId="28" fillId="0" borderId="66" xfId="7" applyNumberFormat="1" applyFont="1" applyBorder="1" applyAlignment="1">
      <alignment horizontal="center" vertical="center"/>
    </xf>
    <xf numFmtId="0" fontId="28" fillId="0" borderId="102" xfId="7" applyFont="1" applyBorder="1" applyAlignment="1">
      <alignment horizontal="center" vertical="center"/>
    </xf>
    <xf numFmtId="0" fontId="27" fillId="9" borderId="103" xfId="7" applyFont="1" applyFill="1" applyBorder="1" applyAlignment="1">
      <alignment horizontal="center" vertical="center"/>
    </xf>
    <xf numFmtId="0" fontId="27" fillId="9" borderId="104" xfId="7" applyFont="1" applyFill="1" applyBorder="1" applyAlignment="1">
      <alignment vertical="center"/>
    </xf>
    <xf numFmtId="0" fontId="27" fillId="9" borderId="104" xfId="7" applyFont="1" applyFill="1" applyBorder="1" applyAlignment="1">
      <alignment horizontal="center" vertical="center"/>
    </xf>
    <xf numFmtId="3" fontId="27" fillId="9" borderId="104" xfId="7" applyNumberFormat="1" applyFont="1" applyFill="1" applyBorder="1" applyAlignment="1">
      <alignment horizontal="center" vertical="center"/>
    </xf>
    <xf numFmtId="0" fontId="27" fillId="9" borderId="107" xfId="7" applyFont="1" applyFill="1" applyBorder="1" applyAlignment="1">
      <alignment horizontal="center" vertical="center"/>
    </xf>
    <xf numFmtId="0" fontId="26" fillId="0" borderId="108" xfId="7" applyFont="1" applyBorder="1" applyAlignment="1">
      <alignment horizontal="center" vertical="center"/>
    </xf>
    <xf numFmtId="0" fontId="26" fillId="0" borderId="109" xfId="7" applyFont="1" applyBorder="1" applyAlignment="1">
      <alignment vertical="center"/>
    </xf>
    <xf numFmtId="0" fontId="42" fillId="0" borderId="111" xfId="7" applyFont="1" applyBorder="1" applyAlignment="1">
      <alignment horizontal="center" vertical="center"/>
    </xf>
    <xf numFmtId="3" fontId="26" fillId="0" borderId="110" xfId="7" applyNumberFormat="1" applyFont="1" applyBorder="1" applyAlignment="1">
      <alignment horizontal="center" vertical="center"/>
    </xf>
    <xf numFmtId="3" fontId="42" fillId="0" borderId="110" xfId="7" applyNumberFormat="1" applyFont="1" applyBorder="1" applyAlignment="1">
      <alignment horizontal="center" vertical="center"/>
    </xf>
    <xf numFmtId="3" fontId="26" fillId="0" borderId="110" xfId="0" applyNumberFormat="1" applyFont="1" applyBorder="1" applyAlignment="1">
      <alignment horizontal="center" vertical="center"/>
    </xf>
    <xf numFmtId="4" fontId="26" fillId="0" borderId="110" xfId="7" applyNumberFormat="1" applyFont="1" applyBorder="1" applyAlignment="1">
      <alignment horizontal="center" vertical="center"/>
    </xf>
    <xf numFmtId="4" fontId="26" fillId="0" borderId="112" xfId="7" applyNumberFormat="1" applyFont="1" applyBorder="1" applyAlignment="1">
      <alignment horizontal="center" vertical="center"/>
    </xf>
    <xf numFmtId="0" fontId="26" fillId="0" borderId="113" xfId="7" applyFont="1" applyBorder="1" applyAlignment="1">
      <alignment horizontal="center" vertical="center"/>
    </xf>
    <xf numFmtId="0" fontId="42" fillId="0" borderId="65" xfId="7" applyFont="1" applyBorder="1" applyAlignment="1">
      <alignment horizontal="center" vertical="center"/>
    </xf>
    <xf numFmtId="3" fontId="42" fillId="0" borderId="63" xfId="7" applyNumberFormat="1" applyFont="1" applyBorder="1" applyAlignment="1">
      <alignment horizontal="center" vertical="center"/>
    </xf>
    <xf numFmtId="4" fontId="26" fillId="0" borderId="99" xfId="7" applyNumberFormat="1" applyFont="1" applyBorder="1" applyAlignment="1">
      <alignment horizontal="center" vertical="center"/>
    </xf>
    <xf numFmtId="0" fontId="26" fillId="0" borderId="114" xfId="7" applyFont="1" applyBorder="1" applyAlignment="1">
      <alignment horizontal="center" vertical="center"/>
    </xf>
    <xf numFmtId="0" fontId="26" fillId="0" borderId="32" xfId="7" applyFont="1" applyBorder="1" applyAlignment="1">
      <alignment horizontal="center" vertical="center"/>
    </xf>
    <xf numFmtId="0" fontId="26" fillId="0" borderId="115" xfId="7" applyFont="1" applyBorder="1" applyAlignment="1">
      <alignment horizontal="center" vertical="center"/>
    </xf>
    <xf numFmtId="0" fontId="42" fillId="0" borderId="69" xfId="7" applyFont="1" applyBorder="1" applyAlignment="1">
      <alignment horizontal="center" vertical="center"/>
    </xf>
    <xf numFmtId="3" fontId="42" fillId="0" borderId="66" xfId="7" applyNumberFormat="1" applyFont="1" applyBorder="1" applyAlignment="1">
      <alignment horizontal="center" vertical="center"/>
    </xf>
    <xf numFmtId="0" fontId="26" fillId="5" borderId="114" xfId="7" applyFont="1" applyFill="1" applyBorder="1" applyAlignment="1">
      <alignment horizontal="center" vertical="center"/>
    </xf>
    <xf numFmtId="0" fontId="42" fillId="5" borderId="69" xfId="7" applyFont="1" applyFill="1" applyBorder="1" applyAlignment="1">
      <alignment horizontal="center" vertical="center"/>
    </xf>
    <xf numFmtId="3" fontId="42" fillId="5" borderId="66" xfId="7" applyNumberFormat="1" applyFont="1" applyFill="1" applyBorder="1" applyAlignment="1">
      <alignment horizontal="center" vertical="center"/>
    </xf>
    <xf numFmtId="3" fontId="26" fillId="5" borderId="63" xfId="7" applyNumberFormat="1" applyFont="1" applyFill="1" applyBorder="1" applyAlignment="1">
      <alignment horizontal="center" vertical="center"/>
    </xf>
    <xf numFmtId="0" fontId="26" fillId="5" borderId="32" xfId="7" applyFont="1" applyFill="1" applyBorder="1" applyAlignment="1">
      <alignment horizontal="center" vertical="center"/>
    </xf>
    <xf numFmtId="0" fontId="26" fillId="5" borderId="115" xfId="7" applyFont="1" applyFill="1" applyBorder="1" applyAlignment="1">
      <alignment horizontal="center" vertical="center"/>
    </xf>
    <xf numFmtId="0" fontId="26" fillId="0" borderId="33" xfId="7" applyFont="1" applyBorder="1" applyAlignment="1">
      <alignment horizontal="center" vertical="center"/>
    </xf>
    <xf numFmtId="0" fontId="26" fillId="0" borderId="116" xfId="7" applyFont="1" applyBorder="1" applyAlignment="1">
      <alignment horizontal="left" vertical="center" indent="2"/>
    </xf>
    <xf numFmtId="179" fontId="26" fillId="0" borderId="117" xfId="7" applyNumberFormat="1" applyFont="1" applyBorder="1" applyAlignment="1">
      <alignment horizontal="center" vertical="center"/>
    </xf>
    <xf numFmtId="3" fontId="42" fillId="0" borderId="117" xfId="7" applyNumberFormat="1" applyFont="1" applyBorder="1" applyAlignment="1">
      <alignment horizontal="center" vertical="center"/>
    </xf>
    <xf numFmtId="3" fontId="26" fillId="0" borderId="117" xfId="7" applyNumberFormat="1" applyFont="1" applyBorder="1" applyAlignment="1">
      <alignment horizontal="center" vertical="center"/>
    </xf>
    <xf numFmtId="3" fontId="26" fillId="0" borderId="117" xfId="0" applyNumberFormat="1" applyFont="1" applyBorder="1" applyAlignment="1">
      <alignment horizontal="center" vertical="center"/>
    </xf>
    <xf numFmtId="4" fontId="26" fillId="0" borderId="117" xfId="7" applyNumberFormat="1" applyFont="1" applyBorder="1" applyAlignment="1">
      <alignment horizontal="center" vertical="center"/>
    </xf>
    <xf numFmtId="4" fontId="26" fillId="0" borderId="118" xfId="7" applyNumberFormat="1" applyFont="1" applyBorder="1" applyAlignment="1">
      <alignment horizontal="center" vertical="center"/>
    </xf>
    <xf numFmtId="3" fontId="28" fillId="4" borderId="35" xfId="7" applyNumberFormat="1" applyFont="1" applyFill="1" applyBorder="1" applyAlignment="1">
      <alignment horizontal="center" vertical="center"/>
    </xf>
    <xf numFmtId="4" fontId="28" fillId="4" borderId="35" xfId="7" applyNumberFormat="1" applyFont="1" applyFill="1" applyBorder="1" applyAlignment="1">
      <alignment horizontal="center" vertical="center"/>
    </xf>
    <xf numFmtId="0" fontId="28" fillId="0" borderId="96" xfId="7" applyFont="1" applyBorder="1" applyAlignment="1">
      <alignment horizontal="center" vertical="center"/>
    </xf>
    <xf numFmtId="3" fontId="28" fillId="0" borderId="97" xfId="7" applyNumberFormat="1" applyFont="1" applyBorder="1" applyAlignment="1">
      <alignment horizontal="center" vertical="center"/>
    </xf>
    <xf numFmtId="3" fontId="28" fillId="0" borderId="99" xfId="7" applyNumberFormat="1" applyFont="1" applyBorder="1" applyAlignment="1">
      <alignment horizontal="center" vertical="center"/>
    </xf>
    <xf numFmtId="0" fontId="28" fillId="0" borderId="66" xfId="7" applyFont="1" applyBorder="1" applyAlignment="1">
      <alignment horizontal="center" vertical="center"/>
    </xf>
    <xf numFmtId="3" fontId="28" fillId="0" borderId="102" xfId="7" applyNumberFormat="1" applyFont="1" applyBorder="1" applyAlignment="1">
      <alignment horizontal="center" vertical="center"/>
    </xf>
    <xf numFmtId="4" fontId="26" fillId="0" borderId="119" xfId="7" applyNumberFormat="1" applyFont="1" applyBorder="1" applyAlignment="1">
      <alignment horizontal="center" vertical="center"/>
    </xf>
    <xf numFmtId="0" fontId="26" fillId="0" borderId="117" xfId="7" applyFont="1" applyBorder="1" applyAlignment="1">
      <alignment horizontal="left" vertical="center" indent="2"/>
    </xf>
    <xf numFmtId="0" fontId="26" fillId="0" borderId="120" xfId="7" applyFont="1" applyBorder="1" applyAlignment="1">
      <alignment horizontal="center" vertical="center"/>
    </xf>
    <xf numFmtId="3" fontId="26" fillId="0" borderId="12" xfId="7" applyNumberFormat="1" applyFont="1" applyBorder="1" applyAlignment="1">
      <alignment horizontal="center" vertical="center"/>
    </xf>
    <xf numFmtId="4" fontId="26" fillId="0" borderId="12" xfId="7" applyNumberFormat="1" applyFont="1" applyBorder="1" applyAlignment="1">
      <alignment horizontal="center" vertical="center"/>
    </xf>
    <xf numFmtId="4" fontId="26" fillId="0" borderId="121" xfId="7" applyNumberFormat="1" applyFont="1" applyBorder="1" applyAlignment="1">
      <alignment horizontal="center" vertical="center"/>
    </xf>
    <xf numFmtId="0" fontId="28" fillId="0" borderId="40" xfId="7" applyFont="1" applyBorder="1" applyAlignment="1">
      <alignment horizontal="left" vertical="center"/>
    </xf>
    <xf numFmtId="0" fontId="28" fillId="0" borderId="77" xfId="7" applyFont="1" applyBorder="1" applyAlignment="1">
      <alignment horizontal="left" vertical="center"/>
    </xf>
    <xf numFmtId="9" fontId="31" fillId="0" borderId="77" xfId="3" applyFont="1" applyBorder="1" applyAlignment="1">
      <alignment horizontal="center" vertical="center"/>
    </xf>
    <xf numFmtId="0" fontId="28" fillId="0" borderId="77" xfId="7" applyFont="1" applyBorder="1" applyAlignment="1">
      <alignment horizontal="center" vertical="center"/>
    </xf>
    <xf numFmtId="3" fontId="28" fillId="4" borderId="39" xfId="7" applyNumberFormat="1" applyFont="1" applyFill="1" applyBorder="1" applyAlignment="1">
      <alignment horizontal="center" vertical="center"/>
    </xf>
    <xf numFmtId="0" fontId="28" fillId="0" borderId="76" xfId="7" applyFont="1" applyBorder="1" applyAlignment="1">
      <alignment horizontal="left" vertical="center"/>
    </xf>
    <xf numFmtId="0" fontId="28" fillId="0" borderId="0" xfId="7" applyFont="1" applyAlignment="1">
      <alignment horizontal="left" vertical="center"/>
    </xf>
    <xf numFmtId="0" fontId="28" fillId="0" borderId="0" xfId="7" applyFont="1" applyAlignment="1">
      <alignment horizontal="center" vertical="center"/>
    </xf>
    <xf numFmtId="3" fontId="28" fillId="0" borderId="29" xfId="7" applyNumberFormat="1" applyFont="1" applyBorder="1" applyAlignment="1">
      <alignment horizontal="center" vertical="center"/>
    </xf>
    <xf numFmtId="1" fontId="28" fillId="0" borderId="74" xfId="7" applyNumberFormat="1" applyFont="1" applyBorder="1" applyAlignment="1">
      <alignment horizontal="left" vertical="center"/>
    </xf>
    <xf numFmtId="1" fontId="28" fillId="0" borderId="75" xfId="7" applyNumberFormat="1" applyFont="1" applyBorder="1" applyAlignment="1">
      <alignment horizontal="left" vertical="center"/>
    </xf>
    <xf numFmtId="0" fontId="31" fillId="0" borderId="75" xfId="0" applyFont="1" applyBorder="1" applyAlignment="1">
      <alignment horizontal="center" vertical="center"/>
    </xf>
    <xf numFmtId="1" fontId="28" fillId="0" borderId="0" xfId="7" applyNumberFormat="1" applyFont="1" applyAlignment="1">
      <alignment horizontal="center" vertical="center"/>
    </xf>
    <xf numFmtId="3" fontId="28" fillId="0" borderId="41" xfId="7" applyNumberFormat="1" applyFont="1" applyBorder="1" applyAlignment="1">
      <alignment horizontal="center" vertical="center"/>
    </xf>
    <xf numFmtId="0" fontId="30" fillId="10" borderId="122" xfId="7" applyFont="1" applyFill="1" applyBorder="1" applyAlignment="1">
      <alignment horizontal="center" vertical="center"/>
    </xf>
    <xf numFmtId="0" fontId="32" fillId="10" borderId="122" xfId="0" applyFont="1" applyFill="1" applyBorder="1" applyAlignment="1">
      <alignment horizontal="left" vertical="center"/>
    </xf>
    <xf numFmtId="0" fontId="32" fillId="10" borderId="122" xfId="0" applyFont="1" applyFill="1" applyBorder="1" applyAlignment="1">
      <alignment horizontal="center" vertical="center"/>
    </xf>
    <xf numFmtId="0" fontId="24" fillId="0" borderId="126" xfId="0" applyFont="1" applyBorder="1" applyAlignment="1">
      <alignment horizontal="center" vertical="center"/>
    </xf>
    <xf numFmtId="0" fontId="24" fillId="0" borderId="127" xfId="0" applyFont="1" applyBorder="1" applyAlignment="1">
      <alignment vertical="center"/>
    </xf>
    <xf numFmtId="0" fontId="43" fillId="0" borderId="128" xfId="0" applyFont="1" applyBorder="1" applyAlignment="1">
      <alignment horizontal="center" vertical="center"/>
    </xf>
    <xf numFmtId="0" fontId="24" fillId="0" borderId="129" xfId="0" applyFont="1" applyBorder="1" applyAlignment="1">
      <alignment vertical="center"/>
    </xf>
    <xf numFmtId="3" fontId="24" fillId="0" borderId="127" xfId="0" applyNumberFormat="1" applyFont="1" applyBorder="1" applyAlignment="1">
      <alignment horizontal="center" vertical="center"/>
    </xf>
    <xf numFmtId="179" fontId="24" fillId="0" borderId="130" xfId="0" applyNumberFormat="1" applyFont="1" applyBorder="1" applyAlignment="1">
      <alignment horizontal="center" vertical="center"/>
    </xf>
    <xf numFmtId="179" fontId="24" fillId="0" borderId="131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4" fillId="0" borderId="32" xfId="0" applyFont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8" xfId="0" applyFont="1" applyBorder="1" applyAlignment="1">
      <alignment vertical="center"/>
    </xf>
    <xf numFmtId="179" fontId="24" fillId="0" borderId="132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179" fontId="24" fillId="0" borderId="29" xfId="0" applyNumberFormat="1" applyFont="1" applyBorder="1" applyAlignment="1">
      <alignment horizontal="center" vertical="center"/>
    </xf>
    <xf numFmtId="3" fontId="33" fillId="0" borderId="0" xfId="0" applyNumberFormat="1" applyFont="1" applyAlignment="1">
      <alignment horizontal="center" vertical="center"/>
    </xf>
    <xf numFmtId="179" fontId="33" fillId="0" borderId="132" xfId="0" applyNumberFormat="1" applyFont="1" applyBorder="1" applyAlignment="1">
      <alignment horizontal="center" vertical="center"/>
    </xf>
    <xf numFmtId="0" fontId="24" fillId="0" borderId="115" xfId="0" applyFont="1" applyBorder="1" applyAlignment="1">
      <alignment horizontal="center" vertical="center"/>
    </xf>
    <xf numFmtId="0" fontId="0" fillId="0" borderId="73" xfId="0" applyBorder="1" applyAlignment="1">
      <alignment vertical="center"/>
    </xf>
    <xf numFmtId="0" fontId="43" fillId="0" borderId="71" xfId="0" applyFont="1" applyBorder="1" applyAlignment="1">
      <alignment horizontal="center" vertical="center"/>
    </xf>
    <xf numFmtId="0" fontId="24" fillId="0" borderId="73" xfId="0" applyFont="1" applyBorder="1" applyAlignment="1">
      <alignment vertical="center"/>
    </xf>
    <xf numFmtId="0" fontId="24" fillId="0" borderId="72" xfId="0" applyFont="1" applyBorder="1" applyAlignment="1">
      <alignment horizontal="center" vertical="center"/>
    </xf>
    <xf numFmtId="3" fontId="24" fillId="0" borderId="73" xfId="0" applyNumberFormat="1" applyFont="1" applyBorder="1" applyAlignment="1">
      <alignment horizontal="center" vertical="center"/>
    </xf>
    <xf numFmtId="179" fontId="24" fillId="0" borderId="67" xfId="0" applyNumberFormat="1" applyFont="1" applyBorder="1" applyAlignment="1">
      <alignment horizontal="center" vertical="center"/>
    </xf>
    <xf numFmtId="179" fontId="24" fillId="0" borderId="133" xfId="0" applyNumberFormat="1" applyFont="1" applyBorder="1" applyAlignment="1">
      <alignment horizontal="center" vertical="center"/>
    </xf>
    <xf numFmtId="0" fontId="31" fillId="0" borderId="70" xfId="0" applyFont="1" applyBorder="1" applyAlignment="1">
      <alignment horizontal="left" vertical="center"/>
    </xf>
    <xf numFmtId="3" fontId="0" fillId="0" borderId="0" xfId="0" applyNumberFormat="1"/>
    <xf numFmtId="0" fontId="31" fillId="0" borderId="0" xfId="9" applyFont="1" applyAlignment="1">
      <alignment horizontal="left" vertical="center"/>
    </xf>
    <xf numFmtId="179" fontId="0" fillId="0" borderId="0" xfId="0" applyNumberFormat="1" applyAlignment="1">
      <alignment vertical="center"/>
    </xf>
    <xf numFmtId="0" fontId="24" fillId="0" borderId="71" xfId="0" applyFont="1" applyBorder="1" applyAlignment="1">
      <alignment horizontal="center" vertical="center"/>
    </xf>
    <xf numFmtId="0" fontId="24" fillId="0" borderId="72" xfId="0" applyFont="1" applyBorder="1" applyAlignment="1">
      <alignment vertical="center"/>
    </xf>
    <xf numFmtId="179" fontId="33" fillId="0" borderId="67" xfId="0" applyNumberFormat="1" applyFont="1" applyBorder="1" applyAlignment="1">
      <alignment horizontal="center" vertical="center"/>
    </xf>
    <xf numFmtId="179" fontId="33" fillId="0" borderId="133" xfId="0" applyNumberFormat="1" applyFont="1" applyBorder="1" applyAlignment="1">
      <alignment horizontal="center" vertical="center"/>
    </xf>
    <xf numFmtId="0" fontId="24" fillId="0" borderId="114" xfId="0" applyFont="1" applyBorder="1" applyAlignment="1">
      <alignment horizontal="center" vertical="center"/>
    </xf>
    <xf numFmtId="0" fontId="24" fillId="0" borderId="70" xfId="0" applyFont="1" applyBorder="1" applyAlignment="1">
      <alignment vertical="center"/>
    </xf>
    <xf numFmtId="0" fontId="43" fillId="0" borderId="68" xfId="0" applyFont="1" applyBorder="1" applyAlignment="1">
      <alignment horizontal="center" vertical="center"/>
    </xf>
    <xf numFmtId="0" fontId="24" fillId="0" borderId="69" xfId="0" applyFont="1" applyBorder="1" applyAlignment="1">
      <alignment horizontal="center" vertical="center"/>
    </xf>
    <xf numFmtId="3" fontId="24" fillId="0" borderId="70" xfId="0" applyNumberFormat="1" applyFont="1" applyBorder="1" applyAlignment="1">
      <alignment horizontal="center" vertical="center"/>
    </xf>
    <xf numFmtId="179" fontId="33" fillId="0" borderId="29" xfId="0" applyNumberFormat="1" applyFont="1" applyBorder="1" applyAlignment="1">
      <alignment horizontal="center" vertical="center"/>
    </xf>
    <xf numFmtId="3" fontId="44" fillId="0" borderId="134" xfId="0" applyNumberFormat="1" applyFont="1" applyBorder="1" applyAlignment="1">
      <alignment horizontal="center" vertical="center"/>
    </xf>
    <xf numFmtId="4" fontId="44" fillId="0" borderId="13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2" fillId="5" borderId="8" xfId="0" applyFont="1" applyFill="1" applyBorder="1"/>
    <xf numFmtId="166" fontId="2" fillId="5" borderId="4" xfId="1" applyNumberFormat="1" applyFont="1" applyFill="1" applyBorder="1" applyAlignment="1">
      <alignment horizontal="center"/>
    </xf>
    <xf numFmtId="166" fontId="2" fillId="5" borderId="4" xfId="1" applyNumberFormat="1" applyFont="1" applyFill="1" applyBorder="1" applyAlignment="1">
      <alignment vertical="center"/>
    </xf>
    <xf numFmtId="186" fontId="28" fillId="0" borderId="96" xfId="7" applyNumberFormat="1" applyFont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68" fontId="2" fillId="5" borderId="3" xfId="0" applyNumberFormat="1" applyFont="1" applyFill="1" applyBorder="1"/>
    <xf numFmtId="187" fontId="26" fillId="0" borderId="110" xfId="7" applyNumberFormat="1" applyFont="1" applyBorder="1" applyAlignment="1">
      <alignment horizontal="center" vertical="center"/>
    </xf>
    <xf numFmtId="0" fontId="2" fillId="5" borderId="32" xfId="0" applyFont="1" applyFill="1" applyBorder="1"/>
    <xf numFmtId="0" fontId="2" fillId="5" borderId="4" xfId="0" applyFont="1" applyFill="1" applyBorder="1"/>
    <xf numFmtId="164" fontId="2" fillId="5" borderId="3" xfId="1" applyNumberFormat="1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6" fillId="0" borderId="110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4" fontId="2" fillId="0" borderId="3" xfId="1" applyNumberFormat="1" applyFont="1" applyBorder="1"/>
    <xf numFmtId="0" fontId="28" fillId="4" borderId="0" xfId="7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8" fillId="0" borderId="74" xfId="7" applyFont="1" applyBorder="1" applyAlignment="1">
      <alignment horizontal="left" vertical="center"/>
    </xf>
    <xf numFmtId="0" fontId="28" fillId="0" borderId="75" xfId="7" applyFont="1" applyBorder="1" applyAlignment="1">
      <alignment horizontal="left" vertical="center"/>
    </xf>
    <xf numFmtId="0" fontId="28" fillId="0" borderId="75" xfId="7" applyFont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1" fillId="9" borderId="45" xfId="0" applyFont="1" applyFill="1" applyBorder="1" applyAlignment="1">
      <alignment horizontal="center" vertical="center"/>
    </xf>
    <xf numFmtId="0" fontId="21" fillId="9" borderId="136" xfId="0" applyFont="1" applyFill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32" xfId="0" applyNumberFormat="1" applyBorder="1" applyAlignment="1">
      <alignment horizontal="center" vertical="center"/>
    </xf>
    <xf numFmtId="0" fontId="0" fillId="0" borderId="126" xfId="0" applyBorder="1" applyAlignment="1">
      <alignment vertical="center"/>
    </xf>
    <xf numFmtId="3" fontId="0" fillId="0" borderId="137" xfId="0" applyNumberFormat="1" applyBorder="1" applyAlignment="1">
      <alignment horizontal="center" vertical="center"/>
    </xf>
    <xf numFmtId="0" fontId="0" fillId="0" borderId="33" xfId="0" applyBorder="1" applyAlignment="1">
      <alignment vertical="center"/>
    </xf>
    <xf numFmtId="3" fontId="0" fillId="0" borderId="121" xfId="0" applyNumberFormat="1" applyBorder="1" applyAlignment="1">
      <alignment horizontal="center" vertical="center"/>
    </xf>
    <xf numFmtId="0" fontId="46" fillId="0" borderId="40" xfId="0" applyFont="1" applyBorder="1" applyAlignment="1">
      <alignment vertical="center"/>
    </xf>
    <xf numFmtId="3" fontId="46" fillId="0" borderId="39" xfId="0" applyNumberFormat="1" applyFont="1" applyBorder="1" applyAlignment="1">
      <alignment horizontal="center" vertical="center"/>
    </xf>
    <xf numFmtId="0" fontId="46" fillId="0" borderId="76" xfId="0" applyFont="1" applyBorder="1" applyAlignment="1">
      <alignment vertical="center"/>
    </xf>
    <xf numFmtId="3" fontId="46" fillId="0" borderId="29" xfId="0" applyNumberFormat="1" applyFont="1" applyBorder="1" applyAlignment="1">
      <alignment horizontal="center" vertical="center"/>
    </xf>
    <xf numFmtId="0" fontId="46" fillId="0" borderId="74" xfId="0" applyFont="1" applyBorder="1" applyAlignment="1">
      <alignment vertical="center"/>
    </xf>
    <xf numFmtId="3" fontId="46" fillId="0" borderId="4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0" fontId="48" fillId="0" borderId="0" xfId="0" applyFont="1" applyAlignment="1">
      <alignment horizontal="left" vertical="center"/>
    </xf>
    <xf numFmtId="0" fontId="47" fillId="0" borderId="77" xfId="0" applyFont="1" applyBorder="1" applyAlignment="1">
      <alignment vertical="center"/>
    </xf>
    <xf numFmtId="0" fontId="47" fillId="0" borderId="77" xfId="0" applyFont="1" applyBorder="1" applyAlignment="1">
      <alignment horizontal="center" vertical="center"/>
    </xf>
    <xf numFmtId="0" fontId="29" fillId="0" borderId="77" xfId="0" applyFont="1" applyBorder="1" applyAlignment="1">
      <alignment horizontal="center" vertical="center"/>
    </xf>
    <xf numFmtId="3" fontId="29" fillId="0" borderId="39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3" fontId="29" fillId="0" borderId="29" xfId="0" applyNumberFormat="1" applyFont="1" applyBorder="1" applyAlignment="1">
      <alignment horizontal="center" vertical="center"/>
    </xf>
    <xf numFmtId="0" fontId="47" fillId="0" borderId="75" xfId="0" applyFont="1" applyBorder="1" applyAlignment="1">
      <alignment vertical="center"/>
    </xf>
    <xf numFmtId="0" fontId="47" fillId="0" borderId="75" xfId="0" applyFont="1" applyBorder="1" applyAlignment="1">
      <alignment horizontal="center" vertical="center"/>
    </xf>
    <xf numFmtId="0" fontId="29" fillId="0" borderId="75" xfId="0" applyFont="1" applyBorder="1" applyAlignment="1">
      <alignment horizontal="center" vertical="center"/>
    </xf>
    <xf numFmtId="3" fontId="29" fillId="0" borderId="41" xfId="0" applyNumberFormat="1" applyFont="1" applyBorder="1" applyAlignment="1">
      <alignment horizontal="center" vertical="center"/>
    </xf>
    <xf numFmtId="0" fontId="30" fillId="9" borderId="104" xfId="0" applyFont="1" applyFill="1" applyBorder="1" applyAlignment="1">
      <alignment horizontal="center" vertical="center"/>
    </xf>
    <xf numFmtId="0" fontId="47" fillId="0" borderId="67" xfId="0" applyFont="1" applyBorder="1" applyAlignment="1">
      <alignment horizontal="center" vertical="center"/>
    </xf>
    <xf numFmtId="0" fontId="31" fillId="0" borderId="109" xfId="0" applyFont="1" applyBorder="1" applyAlignment="1">
      <alignment horizontal="left" vertical="center"/>
    </xf>
    <xf numFmtId="0" fontId="31" fillId="0" borderId="72" xfId="0" applyFont="1" applyBorder="1" applyAlignment="1">
      <alignment horizontal="center" vertical="center"/>
    </xf>
    <xf numFmtId="0" fontId="31" fillId="0" borderId="67" xfId="0" applyFont="1" applyBorder="1" applyAlignment="1">
      <alignment horizontal="left" vertical="center"/>
    </xf>
    <xf numFmtId="3" fontId="31" fillId="0" borderId="67" xfId="0" applyNumberFormat="1" applyFont="1" applyBorder="1" applyAlignment="1">
      <alignment horizontal="center" vertical="center"/>
    </xf>
    <xf numFmtId="0" fontId="31" fillId="0" borderId="67" xfId="0" applyFont="1" applyBorder="1" applyAlignment="1">
      <alignment horizontal="center" vertical="center"/>
    </xf>
    <xf numFmtId="3" fontId="47" fillId="0" borderId="67" xfId="0" applyNumberFormat="1" applyFont="1" applyBorder="1" applyAlignment="1">
      <alignment horizontal="center" vertical="center"/>
    </xf>
    <xf numFmtId="4" fontId="47" fillId="0" borderId="67" xfId="0" applyNumberFormat="1" applyFont="1" applyBorder="1" applyAlignment="1">
      <alignment horizontal="center" vertical="center"/>
    </xf>
    <xf numFmtId="3" fontId="47" fillId="0" borderId="0" xfId="0" applyNumberFormat="1" applyFont="1" applyAlignment="1">
      <alignment horizontal="center" vertical="center"/>
    </xf>
    <xf numFmtId="0" fontId="47" fillId="0" borderId="63" xfId="0" applyFont="1" applyBorder="1" applyAlignment="1">
      <alignment horizontal="center" vertical="center"/>
    </xf>
    <xf numFmtId="0" fontId="31" fillId="0" borderId="64" xfId="0" applyFont="1" applyBorder="1" applyAlignment="1">
      <alignment horizontal="left" vertical="center"/>
    </xf>
    <xf numFmtId="0" fontId="31" fillId="0" borderId="63" xfId="0" applyFont="1" applyBorder="1" applyAlignment="1">
      <alignment horizontal="left" vertical="center"/>
    </xf>
    <xf numFmtId="3" fontId="31" fillId="0" borderId="63" xfId="0" applyNumberFormat="1" applyFont="1" applyBorder="1" applyAlignment="1">
      <alignment horizontal="center" vertical="center"/>
    </xf>
    <xf numFmtId="0" fontId="31" fillId="0" borderId="63" xfId="0" applyFont="1" applyBorder="1" applyAlignment="1">
      <alignment horizontal="center" vertical="center"/>
    </xf>
    <xf numFmtId="3" fontId="47" fillId="0" borderId="63" xfId="0" applyNumberFormat="1" applyFont="1" applyBorder="1" applyAlignment="1">
      <alignment horizontal="center" vertical="center"/>
    </xf>
    <xf numFmtId="4" fontId="47" fillId="0" borderId="63" xfId="0" applyNumberFormat="1" applyFont="1" applyBorder="1" applyAlignment="1">
      <alignment horizontal="center" vertical="center"/>
    </xf>
    <xf numFmtId="0" fontId="47" fillId="0" borderId="63" xfId="0" applyFont="1" applyBorder="1" applyAlignment="1">
      <alignment vertical="center"/>
    </xf>
    <xf numFmtId="0" fontId="47" fillId="0" borderId="64" xfId="0" applyFont="1" applyBorder="1" applyAlignment="1">
      <alignment vertical="center"/>
    </xf>
    <xf numFmtId="0" fontId="47" fillId="0" borderId="65" xfId="0" applyFont="1" applyBorder="1" applyAlignment="1">
      <alignment horizontal="center" vertical="center"/>
    </xf>
    <xf numFmtId="0" fontId="31" fillId="0" borderId="63" xfId="9" applyFont="1" applyBorder="1" applyAlignment="1">
      <alignment horizontal="left" vertical="center"/>
    </xf>
    <xf numFmtId="3" fontId="31" fillId="0" borderId="63" xfId="9" applyNumberFormat="1" applyFont="1" applyBorder="1" applyAlignment="1">
      <alignment horizontal="center" vertical="center"/>
    </xf>
    <xf numFmtId="0" fontId="31" fillId="0" borderId="64" xfId="9" applyFont="1" applyBorder="1" applyAlignment="1">
      <alignment horizontal="left" vertical="center"/>
    </xf>
    <xf numFmtId="0" fontId="31" fillId="0" borderId="65" xfId="9" applyFont="1" applyBorder="1" applyAlignment="1">
      <alignment horizontal="center" vertical="center"/>
    </xf>
    <xf numFmtId="0" fontId="47" fillId="4" borderId="63" xfId="0" applyFont="1" applyFill="1" applyBorder="1" applyAlignment="1">
      <alignment horizontal="center" vertical="center"/>
    </xf>
    <xf numFmtId="0" fontId="47" fillId="0" borderId="66" xfId="0" applyFont="1" applyBorder="1" applyAlignment="1">
      <alignment horizontal="center" vertical="center"/>
    </xf>
    <xf numFmtId="0" fontId="31" fillId="0" borderId="138" xfId="9" applyFont="1" applyBorder="1" applyAlignment="1">
      <alignment horizontal="left" vertical="center"/>
    </xf>
    <xf numFmtId="0" fontId="31" fillId="0" borderId="69" xfId="9" applyFont="1" applyBorder="1" applyAlignment="1">
      <alignment horizontal="center" vertical="center"/>
    </xf>
    <xf numFmtId="0" fontId="31" fillId="0" borderId="66" xfId="9" applyFont="1" applyBorder="1" applyAlignment="1">
      <alignment horizontal="left" vertical="center"/>
    </xf>
    <xf numFmtId="0" fontId="31" fillId="0" borderId="66" xfId="9" applyFont="1" applyBorder="1" applyAlignment="1">
      <alignment horizontal="center" vertical="center"/>
    </xf>
    <xf numFmtId="0" fontId="31" fillId="0" borderId="66" xfId="9" applyFont="1" applyBorder="1" applyAlignment="1">
      <alignment vertical="center"/>
    </xf>
    <xf numFmtId="3" fontId="47" fillId="0" borderId="66" xfId="0" applyNumberFormat="1" applyFont="1" applyBorder="1" applyAlignment="1">
      <alignment horizontal="center" vertical="center"/>
    </xf>
    <xf numFmtId="4" fontId="31" fillId="0" borderId="66" xfId="9" applyNumberFormat="1" applyFont="1" applyBorder="1" applyAlignment="1">
      <alignment horizontal="center" vertical="center"/>
    </xf>
    <xf numFmtId="3" fontId="49" fillId="0" borderId="139" xfId="0" applyNumberFormat="1" applyFont="1" applyBorder="1" applyAlignment="1">
      <alignment horizontal="center" vertical="center"/>
    </xf>
    <xf numFmtId="4" fontId="49" fillId="0" borderId="139" xfId="0" applyNumberFormat="1" applyFont="1" applyBorder="1" applyAlignment="1">
      <alignment horizontal="center" vertical="center"/>
    </xf>
    <xf numFmtId="4" fontId="47" fillId="0" borderId="0" xfId="0" applyNumberFormat="1" applyFont="1" applyAlignment="1">
      <alignment horizontal="center" vertical="center"/>
    </xf>
    <xf numFmtId="0" fontId="31" fillId="0" borderId="0" xfId="9" applyFont="1" applyAlignment="1">
      <alignment horizontal="center" vertical="center"/>
    </xf>
    <xf numFmtId="0" fontId="31" fillId="0" borderId="0" xfId="9" applyFont="1" applyAlignment="1">
      <alignment vertical="center"/>
    </xf>
    <xf numFmtId="0" fontId="50" fillId="0" borderId="0" xfId="9" applyFont="1" applyAlignment="1">
      <alignment horizontal="center" vertical="center"/>
    </xf>
    <xf numFmtId="0" fontId="50" fillId="0" borderId="0" xfId="9" applyFont="1" applyAlignment="1">
      <alignment vertical="center"/>
    </xf>
    <xf numFmtId="0" fontId="50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51" fillId="9" borderId="140" xfId="0" applyFont="1" applyFill="1" applyBorder="1" applyAlignment="1">
      <alignment horizontal="center" vertical="center" wrapText="1"/>
    </xf>
    <xf numFmtId="188" fontId="51" fillId="9" borderId="140" xfId="0" applyNumberFormat="1" applyFont="1" applyFill="1" applyBorder="1" applyAlignment="1">
      <alignment horizontal="center" vertical="center" wrapText="1"/>
    </xf>
    <xf numFmtId="0" fontId="30" fillId="9" borderId="140" xfId="0" applyFont="1" applyFill="1" applyBorder="1" applyAlignment="1">
      <alignment horizontal="center" vertical="center"/>
    </xf>
    <xf numFmtId="0" fontId="47" fillId="0" borderId="110" xfId="0" applyFont="1" applyBorder="1" applyAlignment="1">
      <alignment horizontal="center" vertical="center"/>
    </xf>
    <xf numFmtId="0" fontId="47" fillId="0" borderId="67" xfId="0" applyFont="1" applyBorder="1" applyAlignment="1">
      <alignment vertical="center"/>
    </xf>
    <xf numFmtId="3" fontId="47" fillId="0" borderId="4" xfId="0" applyNumberFormat="1" applyFont="1" applyBorder="1" applyAlignment="1">
      <alignment horizontal="center" vertical="center"/>
    </xf>
    <xf numFmtId="0" fontId="47" fillId="0" borderId="117" xfId="0" applyFont="1" applyBorder="1" applyAlignment="1">
      <alignment horizontal="center" vertical="center"/>
    </xf>
    <xf numFmtId="0" fontId="47" fillId="0" borderId="117" xfId="0" applyFont="1" applyBorder="1" applyAlignment="1">
      <alignment vertical="center"/>
    </xf>
    <xf numFmtId="3" fontId="47" fillId="0" borderId="117" xfId="0" applyNumberFormat="1" applyFont="1" applyBorder="1" applyAlignment="1">
      <alignment horizontal="center" vertical="center"/>
    </xf>
    <xf numFmtId="3" fontId="47" fillId="0" borderId="12" xfId="0" applyNumberFormat="1" applyFont="1" applyBorder="1" applyAlignment="1">
      <alignment horizontal="center" vertical="center"/>
    </xf>
    <xf numFmtId="3" fontId="52" fillId="0" borderId="35" xfId="0" applyNumberFormat="1" applyFont="1" applyBorder="1" applyAlignment="1">
      <alignment horizontal="center" vertical="center"/>
    </xf>
    <xf numFmtId="3" fontId="49" fillId="0" borderId="35" xfId="0" applyNumberFormat="1" applyFont="1" applyBorder="1" applyAlignment="1">
      <alignment horizontal="center" vertical="center"/>
    </xf>
    <xf numFmtId="4" fontId="49" fillId="0" borderId="35" xfId="0" applyNumberFormat="1" applyFont="1" applyBorder="1" applyAlignment="1">
      <alignment horizontal="center" vertical="center"/>
    </xf>
    <xf numFmtId="0" fontId="30" fillId="9" borderId="142" xfId="0" applyFont="1" applyFill="1" applyBorder="1" applyAlignment="1">
      <alignment horizontal="center" vertical="center"/>
    </xf>
    <xf numFmtId="3" fontId="52" fillId="0" borderId="145" xfId="0" applyNumberFormat="1" applyFont="1" applyBorder="1" applyAlignment="1">
      <alignment horizontal="center" vertical="center"/>
    </xf>
    <xf numFmtId="3" fontId="49" fillId="0" borderId="145" xfId="0" applyNumberFormat="1" applyFont="1" applyBorder="1" applyAlignment="1">
      <alignment horizontal="center" vertical="center"/>
    </xf>
    <xf numFmtId="4" fontId="49" fillId="0" borderId="145" xfId="0" applyNumberFormat="1" applyFont="1" applyBorder="1" applyAlignment="1">
      <alignment horizontal="center" vertical="center"/>
    </xf>
    <xf numFmtId="0" fontId="31" fillId="0" borderId="110" xfId="0" applyFont="1" applyBorder="1" applyAlignment="1">
      <alignment vertical="center"/>
    </xf>
    <xf numFmtId="3" fontId="31" fillId="0" borderId="110" xfId="0" applyNumberFormat="1" applyFont="1" applyBorder="1" applyAlignment="1">
      <alignment horizontal="center" vertical="center"/>
    </xf>
    <xf numFmtId="3" fontId="47" fillId="0" borderId="110" xfId="0" applyNumberFormat="1" applyFont="1" applyBorder="1" applyAlignment="1">
      <alignment horizontal="center" vertical="center"/>
    </xf>
    <xf numFmtId="4" fontId="47" fillId="0" borderId="110" xfId="0" applyNumberFormat="1" applyFont="1" applyBorder="1" applyAlignment="1">
      <alignment horizontal="center" vertical="center"/>
    </xf>
    <xf numFmtId="0" fontId="31" fillId="0" borderId="63" xfId="0" applyFont="1" applyBorder="1" applyAlignment="1">
      <alignment vertical="center"/>
    </xf>
    <xf numFmtId="4" fontId="47" fillId="0" borderId="117" xfId="0" applyNumberFormat="1" applyFont="1" applyBorder="1" applyAlignment="1">
      <alignment horizontal="center" vertical="center"/>
    </xf>
    <xf numFmtId="0" fontId="31" fillId="0" borderId="11" xfId="0" applyFont="1" applyBorder="1" applyAlignment="1">
      <alignment vertical="center"/>
    </xf>
    <xf numFmtId="3" fontId="47" fillId="0" borderId="146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0" borderId="0" xfId="3" applyFont="1" applyAlignment="1">
      <alignment horizontal="center"/>
    </xf>
    <xf numFmtId="9" fontId="2" fillId="5" borderId="0" xfId="3" applyFont="1" applyFill="1"/>
    <xf numFmtId="178" fontId="2" fillId="5" borderId="0" xfId="3" applyNumberFormat="1" applyFont="1" applyFill="1"/>
    <xf numFmtId="178" fontId="2" fillId="0" borderId="0" xfId="3" applyNumberFormat="1" applyFont="1"/>
    <xf numFmtId="0" fontId="53" fillId="0" borderId="11" xfId="0" applyFont="1" applyBorder="1" applyAlignment="1">
      <alignment horizontal="center" vertical="center"/>
    </xf>
    <xf numFmtId="15" fontId="53" fillId="0" borderId="11" xfId="0" applyNumberFormat="1" applyFont="1" applyBorder="1" applyAlignment="1">
      <alignment horizontal="center" vertical="center"/>
    </xf>
    <xf numFmtId="0" fontId="53" fillId="0" borderId="11" xfId="0" applyFont="1" applyBorder="1" applyAlignment="1">
      <alignment horizontal="left" vertical="top" wrapText="1"/>
    </xf>
    <xf numFmtId="0" fontId="53" fillId="0" borderId="11" xfId="0" applyFont="1" applyBorder="1" applyAlignment="1">
      <alignment horizontal="left" vertical="top"/>
    </xf>
    <xf numFmtId="0" fontId="53" fillId="0" borderId="11" xfId="0" applyFont="1" applyBorder="1" applyAlignment="1">
      <alignment horizontal="left" vertical="center" wrapText="1"/>
    </xf>
    <xf numFmtId="0" fontId="53" fillId="0" borderId="11" xfId="0" applyFont="1" applyBorder="1" applyAlignment="1">
      <alignment horizontal="left" vertical="center"/>
    </xf>
    <xf numFmtId="0" fontId="54" fillId="0" borderId="11" xfId="0" applyFont="1" applyBorder="1" applyAlignment="1">
      <alignment horizontal="center" vertical="center"/>
    </xf>
    <xf numFmtId="0" fontId="40" fillId="0" borderId="40" xfId="10" applyBorder="1" applyAlignment="1">
      <alignment horizontal="left" vertical="top"/>
    </xf>
    <xf numFmtId="0" fontId="40" fillId="0" borderId="77" xfId="10" applyBorder="1" applyAlignment="1">
      <alignment horizontal="left" vertical="top"/>
    </xf>
    <xf numFmtId="0" fontId="40" fillId="0" borderId="77" xfId="10" applyBorder="1" applyAlignment="1">
      <alignment horizontal="left" vertical="top" wrapText="1"/>
    </xf>
    <xf numFmtId="0" fontId="40" fillId="0" borderId="39" xfId="10" applyBorder="1" applyAlignment="1">
      <alignment horizontal="left" vertical="top"/>
    </xf>
    <xf numFmtId="0" fontId="40" fillId="0" borderId="0" xfId="10" applyAlignment="1">
      <alignment horizontal="left" vertical="top"/>
    </xf>
    <xf numFmtId="0" fontId="40" fillId="0" borderId="76" xfId="10" applyBorder="1" applyAlignment="1">
      <alignment horizontal="left" vertical="top"/>
    </xf>
    <xf numFmtId="0" fontId="40" fillId="0" borderId="29" xfId="10" applyBorder="1" applyAlignment="1">
      <alignment horizontal="center" vertical="top" wrapText="1"/>
    </xf>
    <xf numFmtId="15" fontId="40" fillId="0" borderId="29" xfId="10" applyNumberFormat="1" applyBorder="1" applyAlignment="1">
      <alignment horizontal="center" vertical="center" wrapText="1"/>
    </xf>
    <xf numFmtId="0" fontId="40" fillId="0" borderId="29" xfId="10" applyBorder="1" applyAlignment="1">
      <alignment horizontal="center" vertical="top"/>
    </xf>
    <xf numFmtId="0" fontId="40" fillId="0" borderId="11" xfId="10" applyBorder="1" applyAlignment="1">
      <alignment horizontal="left" vertical="top"/>
    </xf>
    <xf numFmtId="0" fontId="57" fillId="0" borderId="0" xfId="10" applyFont="1" applyAlignment="1">
      <alignment horizontal="left" vertical="top"/>
    </xf>
    <xf numFmtId="0" fontId="56" fillId="0" borderId="0" xfId="10" applyFont="1" applyAlignment="1">
      <alignment horizontal="left" vertical="top"/>
    </xf>
    <xf numFmtId="0" fontId="59" fillId="0" borderId="0" xfId="10" applyFont="1" applyAlignment="1">
      <alignment vertical="center"/>
    </xf>
    <xf numFmtId="0" fontId="56" fillId="0" borderId="0" xfId="10" applyFont="1" applyAlignment="1">
      <alignment vertical="center"/>
    </xf>
    <xf numFmtId="0" fontId="40" fillId="0" borderId="29" xfId="10" applyBorder="1" applyAlignment="1">
      <alignment horizontal="left" vertical="top"/>
    </xf>
    <xf numFmtId="0" fontId="56" fillId="0" borderId="11" xfId="10" applyFont="1" applyBorder="1" applyAlignment="1">
      <alignment horizontal="center" vertical="center"/>
    </xf>
    <xf numFmtId="0" fontId="56" fillId="0" borderId="11" xfId="10" applyFont="1" applyBorder="1" applyAlignment="1">
      <alignment horizontal="center" vertical="center" wrapText="1"/>
    </xf>
    <xf numFmtId="0" fontId="56" fillId="0" borderId="0" xfId="10" applyFont="1" applyAlignment="1">
      <alignment horizontal="center" vertical="center" wrapText="1"/>
    </xf>
    <xf numFmtId="0" fontId="40" fillId="0" borderId="0" xfId="10" applyAlignment="1">
      <alignment horizontal="left" vertical="top" wrapText="1"/>
    </xf>
    <xf numFmtId="0" fontId="56" fillId="0" borderId="11" xfId="10" applyFont="1" applyBorder="1" applyAlignment="1">
      <alignment horizontal="left" vertical="center"/>
    </xf>
    <xf numFmtId="0" fontId="56" fillId="0" borderId="11" xfId="10" applyFont="1" applyBorder="1" applyAlignment="1">
      <alignment horizontal="left" vertical="center" wrapText="1"/>
    </xf>
    <xf numFmtId="0" fontId="56" fillId="0" borderId="0" xfId="10" applyFont="1" applyAlignment="1">
      <alignment horizontal="left" vertical="center" wrapText="1"/>
    </xf>
    <xf numFmtId="189" fontId="56" fillId="0" borderId="11" xfId="10" applyNumberFormat="1" applyFont="1" applyBorder="1" applyAlignment="1">
      <alignment horizontal="center" vertical="center"/>
    </xf>
    <xf numFmtId="0" fontId="56" fillId="0" borderId="0" xfId="10" applyFont="1" applyAlignment="1">
      <alignment horizontal="center" vertical="center"/>
    </xf>
    <xf numFmtId="4" fontId="56" fillId="0" borderId="11" xfId="10" applyNumberFormat="1" applyFont="1" applyBorder="1" applyAlignment="1">
      <alignment horizontal="center" vertical="center"/>
    </xf>
    <xf numFmtId="189" fontId="56" fillId="0" borderId="0" xfId="10" applyNumberFormat="1" applyFont="1" applyAlignment="1">
      <alignment horizontal="left" vertical="top"/>
    </xf>
    <xf numFmtId="2" fontId="56" fillId="0" borderId="11" xfId="10" applyNumberFormat="1" applyFont="1" applyBorder="1" applyAlignment="1">
      <alignment horizontal="center" vertical="center"/>
    </xf>
    <xf numFmtId="190" fontId="56" fillId="0" borderId="11" xfId="10" applyNumberFormat="1" applyFont="1" applyBorder="1" applyAlignment="1">
      <alignment horizontal="center" vertical="center"/>
    </xf>
    <xf numFmtId="191" fontId="56" fillId="0" borderId="11" xfId="10" applyNumberFormat="1" applyFont="1" applyBorder="1" applyAlignment="1">
      <alignment horizontal="center" vertical="center"/>
    </xf>
    <xf numFmtId="1" fontId="56" fillId="0" borderId="11" xfId="10" applyNumberFormat="1" applyFont="1" applyBorder="1" applyAlignment="1">
      <alignment horizontal="center" vertical="center"/>
    </xf>
    <xf numFmtId="3" fontId="40" fillId="0" borderId="0" xfId="10" applyNumberFormat="1" applyAlignment="1">
      <alignment horizontal="left" vertical="top"/>
    </xf>
    <xf numFmtId="0" fontId="40" fillId="0" borderId="0" xfId="10" applyAlignment="1">
      <alignment horizontal="right" vertical="top"/>
    </xf>
    <xf numFmtId="0" fontId="56" fillId="0" borderId="0" xfId="10" applyFont="1" applyAlignment="1">
      <alignment horizontal="right" vertical="center"/>
    </xf>
    <xf numFmtId="4" fontId="56" fillId="0" borderId="0" xfId="10" applyNumberFormat="1" applyFont="1" applyAlignment="1">
      <alignment horizontal="left" vertical="center"/>
    </xf>
    <xf numFmtId="0" fontId="56" fillId="0" borderId="0" xfId="10" applyFont="1" applyAlignment="1">
      <alignment horizontal="left" vertical="center"/>
    </xf>
    <xf numFmtId="189" fontId="56" fillId="0" borderId="0" xfId="10" applyNumberFormat="1" applyFont="1" applyAlignment="1">
      <alignment horizontal="left" vertical="center"/>
    </xf>
    <xf numFmtId="4" fontId="56" fillId="0" borderId="0" xfId="10" applyNumberFormat="1" applyFont="1" applyAlignment="1">
      <alignment horizontal="center" vertical="center"/>
    </xf>
    <xf numFmtId="189" fontId="56" fillId="0" borderId="0" xfId="10" applyNumberFormat="1" applyFont="1" applyAlignment="1">
      <alignment horizontal="center" vertical="center"/>
    </xf>
    <xf numFmtId="0" fontId="56" fillId="0" borderId="0" xfId="10" applyFont="1" applyAlignment="1">
      <alignment horizontal="left" vertical="top" wrapText="1"/>
    </xf>
    <xf numFmtId="0" fontId="57" fillId="0" borderId="0" xfId="10" applyFont="1" applyAlignment="1">
      <alignment vertical="center" wrapText="1"/>
    </xf>
    <xf numFmtId="0" fontId="40" fillId="0" borderId="0" xfId="10" applyAlignment="1">
      <alignment vertical="center" wrapText="1"/>
    </xf>
    <xf numFmtId="0" fontId="57" fillId="0" borderId="0" xfId="10" applyFont="1" applyAlignment="1">
      <alignment horizontal="left" vertical="top" wrapText="1"/>
    </xf>
    <xf numFmtId="0" fontId="40" fillId="0" borderId="0" xfId="10" applyAlignment="1">
      <alignment vertical="top"/>
    </xf>
    <xf numFmtId="0" fontId="40" fillId="0" borderId="74" xfId="10" applyBorder="1" applyAlignment="1">
      <alignment horizontal="left" vertical="top"/>
    </xf>
    <xf numFmtId="0" fontId="40" fillId="0" borderId="75" xfId="10" applyBorder="1" applyAlignment="1">
      <alignment horizontal="left" vertical="top"/>
    </xf>
    <xf numFmtId="0" fontId="40" fillId="0" borderId="75" xfId="10" applyBorder="1" applyAlignment="1">
      <alignment vertical="top"/>
    </xf>
    <xf numFmtId="0" fontId="40" fillId="0" borderId="75" xfId="10" applyBorder="1" applyAlignment="1">
      <alignment horizontal="left" vertical="top" wrapText="1"/>
    </xf>
    <xf numFmtId="0" fontId="40" fillId="0" borderId="41" xfId="10" applyBorder="1" applyAlignment="1">
      <alignment horizontal="left" vertical="top"/>
    </xf>
    <xf numFmtId="180" fontId="56" fillId="0" borderId="11" xfId="10" applyNumberFormat="1" applyFont="1" applyBorder="1" applyAlignment="1">
      <alignment horizontal="center" vertical="center"/>
    </xf>
    <xf numFmtId="0" fontId="10" fillId="0" borderId="0" xfId="11" applyFont="1" applyAlignment="1">
      <alignment horizontal="left" vertical="center"/>
    </xf>
    <xf numFmtId="0" fontId="61" fillId="0" borderId="0" xfId="11" applyFont="1"/>
    <xf numFmtId="0" fontId="61" fillId="5" borderId="0" xfId="11" applyFont="1" applyFill="1"/>
    <xf numFmtId="0" fontId="9" fillId="0" borderId="0" xfId="11" applyFont="1" applyAlignment="1">
      <alignment horizontal="center" vertical="center"/>
    </xf>
    <xf numFmtId="0" fontId="9" fillId="5" borderId="0" xfId="11" applyFont="1" applyFill="1" applyAlignment="1">
      <alignment horizontal="center" vertical="center"/>
    </xf>
    <xf numFmtId="0" fontId="38" fillId="0" borderId="0" xfId="11" applyFont="1" applyAlignment="1">
      <alignment horizontal="left" vertical="center"/>
    </xf>
    <xf numFmtId="0" fontId="62" fillId="0" borderId="0" xfId="11" applyFont="1" applyAlignment="1">
      <alignment horizontal="left" vertical="center"/>
    </xf>
    <xf numFmtId="0" fontId="63" fillId="0" borderId="0" xfId="11" applyFont="1" applyAlignment="1">
      <alignment horizontal="left" vertical="center"/>
    </xf>
    <xf numFmtId="0" fontId="63" fillId="5" borderId="0" xfId="11" applyFont="1" applyFill="1" applyAlignment="1">
      <alignment horizontal="left" vertical="center"/>
    </xf>
    <xf numFmtId="0" fontId="9" fillId="5" borderId="0" xfId="11" applyFont="1" applyFill="1" applyAlignment="1">
      <alignment horizontal="center" vertical="center" wrapText="1"/>
    </xf>
    <xf numFmtId="0" fontId="9" fillId="3" borderId="6" xfId="11" applyFont="1" applyFill="1" applyBorder="1" applyAlignment="1">
      <alignment horizontal="center" vertical="center" wrapText="1"/>
    </xf>
    <xf numFmtId="0" fontId="9" fillId="6" borderId="81" xfId="11" applyFont="1" applyFill="1" applyBorder="1" applyAlignment="1">
      <alignment horizontal="center" vertical="center"/>
    </xf>
    <xf numFmtId="0" fontId="9" fillId="6" borderId="6" xfId="11" applyFont="1" applyFill="1" applyBorder="1" applyAlignment="1">
      <alignment vertical="center"/>
    </xf>
    <xf numFmtId="0" fontId="10" fillId="6" borderId="6" xfId="11" applyFont="1" applyFill="1" applyBorder="1" applyAlignment="1">
      <alignment horizontal="center" vertical="center"/>
    </xf>
    <xf numFmtId="166" fontId="10" fillId="6" borderId="6" xfId="5" applyNumberFormat="1" applyFont="1" applyFill="1" applyBorder="1" applyAlignment="1">
      <alignment vertical="center"/>
    </xf>
    <xf numFmtId="166" fontId="10" fillId="5" borderId="0" xfId="5" applyNumberFormat="1" applyFont="1" applyFill="1" applyBorder="1" applyAlignment="1">
      <alignment vertical="center"/>
    </xf>
    <xf numFmtId="0" fontId="9" fillId="0" borderId="32" xfId="11" applyFont="1" applyBorder="1" applyAlignment="1">
      <alignment horizontal="center" vertical="center"/>
    </xf>
    <xf numFmtId="0" fontId="10" fillId="0" borderId="4" xfId="11" applyFont="1" applyBorder="1" applyAlignment="1">
      <alignment horizontal="center" vertical="center"/>
    </xf>
    <xf numFmtId="166" fontId="10" fillId="0" borderId="4" xfId="5" applyNumberFormat="1" applyFont="1" applyFill="1" applyBorder="1" applyAlignment="1">
      <alignment vertical="center"/>
    </xf>
    <xf numFmtId="166" fontId="10" fillId="5" borderId="4" xfId="5" applyNumberFormat="1" applyFont="1" applyFill="1" applyBorder="1" applyAlignment="1">
      <alignment vertical="center"/>
    </xf>
    <xf numFmtId="166" fontId="61" fillId="0" borderId="0" xfId="11" applyNumberFormat="1" applyFont="1"/>
    <xf numFmtId="166" fontId="61" fillId="0" borderId="0" xfId="5" applyNumberFormat="1" applyFont="1"/>
    <xf numFmtId="0" fontId="10" fillId="13" borderId="4" xfId="11" applyFont="1" applyFill="1" applyBorder="1" applyAlignment="1">
      <alignment vertical="center"/>
    </xf>
    <xf numFmtId="0" fontId="10" fillId="13" borderId="4" xfId="11" applyFont="1" applyFill="1" applyBorder="1" applyAlignment="1">
      <alignment horizontal="center" vertical="center"/>
    </xf>
    <xf numFmtId="166" fontId="10" fillId="13" borderId="4" xfId="5" applyNumberFormat="1" applyFont="1" applyFill="1" applyBorder="1" applyAlignment="1">
      <alignment vertical="center"/>
    </xf>
    <xf numFmtId="188" fontId="61" fillId="0" borderId="0" xfId="12" applyFont="1"/>
    <xf numFmtId="0" fontId="10" fillId="5" borderId="4" xfId="11" applyFont="1" applyFill="1" applyBorder="1" applyAlignment="1">
      <alignment vertical="center"/>
    </xf>
    <xf numFmtId="0" fontId="10" fillId="5" borderId="4" xfId="11" applyFont="1" applyFill="1" applyBorder="1" applyAlignment="1">
      <alignment horizontal="center" vertical="center"/>
    </xf>
    <xf numFmtId="164" fontId="10" fillId="0" borderId="0" xfId="11" applyNumberFormat="1" applyFont="1" applyAlignment="1">
      <alignment vertical="center"/>
    </xf>
    <xf numFmtId="0" fontId="63" fillId="5" borderId="4" xfId="11" quotePrefix="1" applyFont="1" applyFill="1" applyBorder="1" applyAlignment="1">
      <alignment vertical="center"/>
    </xf>
    <xf numFmtId="0" fontId="63" fillId="5" borderId="4" xfId="11" applyFont="1" applyFill="1" applyBorder="1" applyAlignment="1">
      <alignment horizontal="center" vertical="center"/>
    </xf>
    <xf numFmtId="192" fontId="10" fillId="5" borderId="4" xfId="5" applyNumberFormat="1" applyFont="1" applyFill="1" applyBorder="1" applyAlignment="1">
      <alignment vertical="center"/>
    </xf>
    <xf numFmtId="164" fontId="10" fillId="5" borderId="4" xfId="5" applyFont="1" applyFill="1" applyBorder="1" applyAlignment="1">
      <alignment vertical="center"/>
    </xf>
    <xf numFmtId="164" fontId="10" fillId="5" borderId="0" xfId="5" applyFont="1" applyFill="1" applyBorder="1" applyAlignment="1">
      <alignment vertical="center"/>
    </xf>
    <xf numFmtId="164" fontId="61" fillId="0" borderId="0" xfId="5" applyFont="1"/>
    <xf numFmtId="0" fontId="38" fillId="5" borderId="4" xfId="11" applyFont="1" applyFill="1" applyBorder="1" applyAlignment="1">
      <alignment vertical="center"/>
    </xf>
    <xf numFmtId="0" fontId="10" fillId="5" borderId="4" xfId="11" quotePrefix="1" applyFont="1" applyFill="1" applyBorder="1" applyAlignment="1">
      <alignment vertical="center"/>
    </xf>
    <xf numFmtId="0" fontId="10" fillId="5" borderId="4" xfId="11" quotePrefix="1" applyFont="1" applyFill="1" applyBorder="1" applyAlignment="1">
      <alignment horizontal="center" vertical="center"/>
    </xf>
    <xf numFmtId="0" fontId="10" fillId="0" borderId="2" xfId="11" quotePrefix="1" applyFont="1" applyBorder="1" applyAlignment="1">
      <alignment vertical="center"/>
    </xf>
    <xf numFmtId="0" fontId="10" fillId="0" borderId="2" xfId="11" quotePrefix="1" applyFont="1" applyBorder="1" applyAlignment="1">
      <alignment horizontal="center" vertical="center"/>
    </xf>
    <xf numFmtId="166" fontId="10" fillId="0" borderId="2" xfId="5" applyNumberFormat="1" applyFont="1" applyFill="1" applyBorder="1" applyAlignment="1">
      <alignment vertical="center"/>
    </xf>
    <xf numFmtId="0" fontId="38" fillId="0" borderId="6" xfId="11" applyFont="1" applyBorder="1" applyAlignment="1">
      <alignment vertical="center"/>
    </xf>
    <xf numFmtId="0" fontId="64" fillId="0" borderId="6" xfId="11" applyFont="1" applyBorder="1" applyAlignment="1">
      <alignment horizontal="center" vertical="center"/>
    </xf>
    <xf numFmtId="166" fontId="10" fillId="0" borderId="6" xfId="5" applyNumberFormat="1" applyFont="1" applyFill="1" applyBorder="1" applyAlignment="1">
      <alignment vertical="center"/>
    </xf>
    <xf numFmtId="166" fontId="10" fillId="5" borderId="6" xfId="5" applyNumberFormat="1" applyFont="1" applyFill="1" applyBorder="1" applyAlignment="1">
      <alignment vertical="center"/>
    </xf>
    <xf numFmtId="0" fontId="10" fillId="13" borderId="4" xfId="11" quotePrefix="1" applyFont="1" applyFill="1" applyBorder="1" applyAlignment="1">
      <alignment vertical="center"/>
    </xf>
    <xf numFmtId="0" fontId="10" fillId="13" borderId="4" xfId="11" quotePrefix="1" applyFont="1" applyFill="1" applyBorder="1" applyAlignment="1">
      <alignment horizontal="center" vertical="center"/>
    </xf>
    <xf numFmtId="43" fontId="61" fillId="0" borderId="0" xfId="11" applyNumberFormat="1" applyFont="1"/>
    <xf numFmtId="166" fontId="10" fillId="5" borderId="2" xfId="5" applyNumberFormat="1" applyFont="1" applyFill="1" applyBorder="1" applyAlignment="1">
      <alignment vertical="center"/>
    </xf>
    <xf numFmtId="0" fontId="10" fillId="0" borderId="6" xfId="11" quotePrefix="1" applyFont="1" applyBorder="1" applyAlignment="1">
      <alignment horizontal="center" vertical="center"/>
    </xf>
    <xf numFmtId="0" fontId="10" fillId="0" borderId="4" xfId="11" quotePrefix="1" applyFont="1" applyBorder="1" applyAlignment="1">
      <alignment vertical="center"/>
    </xf>
    <xf numFmtId="0" fontId="10" fillId="0" borderId="2" xfId="11" applyFont="1" applyBorder="1" applyAlignment="1">
      <alignment horizontal="center" vertical="center"/>
    </xf>
    <xf numFmtId="0" fontId="9" fillId="5" borderId="32" xfId="11" applyFont="1" applyFill="1" applyBorder="1" applyAlignment="1">
      <alignment horizontal="center" vertical="center"/>
    </xf>
    <xf numFmtId="0" fontId="38" fillId="0" borderId="4" xfId="11" applyFont="1" applyBorder="1" applyAlignment="1">
      <alignment vertical="center"/>
    </xf>
    <xf numFmtId="0" fontId="10" fillId="0" borderId="4" xfId="11" quotePrefix="1" applyFont="1" applyBorder="1" applyAlignment="1">
      <alignment horizontal="center" vertical="center"/>
    </xf>
    <xf numFmtId="0" fontId="64" fillId="0" borderId="4" xfId="11" applyFont="1" applyBorder="1" applyAlignment="1">
      <alignment horizontal="center" vertical="center"/>
    </xf>
    <xf numFmtId="0" fontId="10" fillId="0" borderId="2" xfId="11" applyFont="1" applyBorder="1" applyAlignment="1">
      <alignment vertical="center"/>
    </xf>
    <xf numFmtId="0" fontId="9" fillId="6" borderId="81" xfId="11" applyFont="1" applyFill="1" applyBorder="1" applyAlignment="1">
      <alignment horizontal="center" vertical="top"/>
    </xf>
    <xf numFmtId="0" fontId="9" fillId="6" borderId="6" xfId="11" quotePrefix="1" applyFont="1" applyFill="1" applyBorder="1" applyAlignment="1">
      <alignment vertical="center"/>
    </xf>
    <xf numFmtId="0" fontId="9" fillId="0" borderId="32" xfId="11" applyFont="1" applyBorder="1" applyAlignment="1">
      <alignment horizontal="center" vertical="top"/>
    </xf>
    <xf numFmtId="0" fontId="10" fillId="5" borderId="6" xfId="11" quotePrefix="1" applyFont="1" applyFill="1" applyBorder="1" applyAlignment="1">
      <alignment vertical="center"/>
    </xf>
    <xf numFmtId="0" fontId="10" fillId="5" borderId="6" xfId="11" quotePrefix="1" applyFont="1" applyFill="1" applyBorder="1" applyAlignment="1">
      <alignment horizontal="center" vertical="center"/>
    </xf>
    <xf numFmtId="164" fontId="10" fillId="5" borderId="6" xfId="5" applyFont="1" applyFill="1" applyBorder="1" applyAlignment="1">
      <alignment vertical="center"/>
    </xf>
    <xf numFmtId="0" fontId="38" fillId="5" borderId="6" xfId="11" quotePrefix="1" applyFont="1" applyFill="1" applyBorder="1" applyAlignment="1">
      <alignment vertical="center"/>
    </xf>
    <xf numFmtId="164" fontId="2" fillId="5" borderId="6" xfId="5" applyFont="1" applyFill="1" applyBorder="1" applyAlignment="1">
      <alignment vertical="center"/>
    </xf>
    <xf numFmtId="0" fontId="10" fillId="5" borderId="2" xfId="11" quotePrefix="1" applyFont="1" applyFill="1" applyBorder="1" applyAlignment="1">
      <alignment vertical="center"/>
    </xf>
    <xf numFmtId="0" fontId="10" fillId="5" borderId="2" xfId="11" quotePrefix="1" applyFont="1" applyFill="1" applyBorder="1" applyAlignment="1">
      <alignment horizontal="center" vertical="center"/>
    </xf>
    <xf numFmtId="164" fontId="10" fillId="5" borderId="2" xfId="5" applyFont="1" applyFill="1" applyBorder="1" applyAlignment="1">
      <alignment vertical="center"/>
    </xf>
    <xf numFmtId="0" fontId="9" fillId="0" borderId="32" xfId="11" applyFont="1" applyBorder="1" applyAlignment="1">
      <alignment vertical="center"/>
    </xf>
    <xf numFmtId="0" fontId="10" fillId="0" borderId="4" xfId="11" applyFont="1" applyBorder="1" applyAlignment="1">
      <alignment vertical="center"/>
    </xf>
    <xf numFmtId="174" fontId="10" fillId="13" borderId="4" xfId="5" applyNumberFormat="1" applyFont="1" applyFill="1" applyBorder="1" applyAlignment="1">
      <alignment vertical="center"/>
    </xf>
    <xf numFmtId="164" fontId="10" fillId="13" borderId="4" xfId="5" applyFont="1" applyFill="1" applyBorder="1" applyAlignment="1">
      <alignment vertical="center"/>
    </xf>
    <xf numFmtId="0" fontId="10" fillId="5" borderId="32" xfId="11" applyFont="1" applyFill="1" applyBorder="1" applyAlignment="1">
      <alignment horizontal="center" vertical="center"/>
    </xf>
    <xf numFmtId="170" fontId="10" fillId="13" borderId="4" xfId="5" applyNumberFormat="1" applyFont="1" applyFill="1" applyBorder="1" applyAlignment="1">
      <alignment vertical="center"/>
    </xf>
    <xf numFmtId="0" fontId="10" fillId="5" borderId="33" xfId="11" applyFont="1" applyFill="1" applyBorder="1" applyAlignment="1">
      <alignment horizontal="center" vertical="center"/>
    </xf>
    <xf numFmtId="0" fontId="10" fillId="5" borderId="12" xfId="11" quotePrefix="1" applyFont="1" applyFill="1" applyBorder="1" applyAlignment="1">
      <alignment vertical="center"/>
    </xf>
    <xf numFmtId="0" fontId="10" fillId="5" borderId="12" xfId="11" quotePrefix="1" applyFont="1" applyFill="1" applyBorder="1" applyAlignment="1">
      <alignment horizontal="center" vertical="center"/>
    </xf>
    <xf numFmtId="164" fontId="10" fillId="5" borderId="12" xfId="5" applyFont="1" applyFill="1" applyBorder="1" applyAlignment="1">
      <alignment vertical="center"/>
    </xf>
    <xf numFmtId="0" fontId="10" fillId="5" borderId="0" xfId="11" quotePrefix="1" applyFont="1" applyFill="1" applyAlignment="1">
      <alignment vertical="center"/>
    </xf>
    <xf numFmtId="0" fontId="10" fillId="5" borderId="0" xfId="11" quotePrefix="1" applyFont="1" applyFill="1" applyAlignment="1">
      <alignment horizontal="center" vertical="center"/>
    </xf>
    <xf numFmtId="0" fontId="20" fillId="5" borderId="0" xfId="11" quotePrefix="1" applyFont="1" applyFill="1" applyAlignment="1">
      <alignment horizontal="left" vertical="center"/>
    </xf>
    <xf numFmtId="0" fontId="10" fillId="0" borderId="0" xfId="11" applyFont="1" applyAlignment="1">
      <alignment horizontal="center" vertical="center"/>
    </xf>
    <xf numFmtId="0" fontId="10" fillId="5" borderId="0" xfId="11" applyFont="1" applyFill="1" applyAlignment="1">
      <alignment horizontal="center" vertical="center"/>
    </xf>
    <xf numFmtId="0" fontId="10" fillId="0" borderId="0" xfId="11" applyFont="1" applyAlignment="1">
      <alignment vertical="center"/>
    </xf>
    <xf numFmtId="0" fontId="65" fillId="0" borderId="0" xfId="11" applyFont="1" applyAlignment="1">
      <alignment vertical="center"/>
    </xf>
    <xf numFmtId="0" fontId="65" fillId="0" borderId="0" xfId="11" applyFont="1" applyAlignment="1">
      <alignment horizontal="center" vertical="center"/>
    </xf>
    <xf numFmtId="0" fontId="65" fillId="5" borderId="0" xfId="11" applyFont="1" applyFill="1" applyAlignment="1">
      <alignment horizontal="center" vertical="center"/>
    </xf>
    <xf numFmtId="0" fontId="2" fillId="0" borderId="0" xfId="11" applyFont="1" applyAlignment="1">
      <alignment horizontal="left"/>
    </xf>
    <xf numFmtId="0" fontId="2" fillId="0" borderId="0" xfId="11" applyFont="1"/>
    <xf numFmtId="0" fontId="10" fillId="0" borderId="0" xfId="11" applyFont="1"/>
    <xf numFmtId="0" fontId="2" fillId="0" borderId="0" xfId="11" applyFont="1" applyAlignment="1">
      <alignment horizontal="center"/>
    </xf>
    <xf numFmtId="0" fontId="6" fillId="0" borderId="0" xfId="11" applyFont="1" applyAlignment="1">
      <alignment horizontal="left"/>
    </xf>
    <xf numFmtId="0" fontId="3" fillId="3" borderId="4" xfId="11" applyFont="1" applyFill="1" applyBorder="1" applyAlignment="1">
      <alignment horizontal="center" vertical="center"/>
    </xf>
    <xf numFmtId="0" fontId="3" fillId="6" borderId="6" xfId="11" quotePrefix="1" applyFont="1" applyFill="1" applyBorder="1"/>
    <xf numFmtId="0" fontId="2" fillId="6" borderId="6" xfId="11" applyFont="1" applyFill="1" applyBorder="1" applyAlignment="1">
      <alignment horizontal="center"/>
    </xf>
    <xf numFmtId="166" fontId="2" fillId="6" borderId="6" xfId="5" applyNumberFormat="1" applyFont="1" applyFill="1" applyBorder="1"/>
    <xf numFmtId="0" fontId="2" fillId="0" borderId="4" xfId="11" quotePrefix="1" applyFont="1" applyBorder="1"/>
    <xf numFmtId="0" fontId="2" fillId="0" borderId="4" xfId="11" quotePrefix="1" applyFont="1" applyBorder="1" applyAlignment="1">
      <alignment horizontal="center"/>
    </xf>
    <xf numFmtId="166" fontId="2" fillId="0" borderId="4" xfId="5" applyNumberFormat="1" applyFont="1" applyFill="1" applyBorder="1"/>
    <xf numFmtId="168" fontId="2" fillId="0" borderId="4" xfId="5" applyNumberFormat="1" applyFont="1" applyFill="1" applyBorder="1"/>
    <xf numFmtId="0" fontId="2" fillId="5" borderId="4" xfId="11" quotePrefix="1" applyFont="1" applyFill="1" applyBorder="1"/>
    <xf numFmtId="0" fontId="2" fillId="5" borderId="4" xfId="11" quotePrefix="1" applyFont="1" applyFill="1" applyBorder="1" applyAlignment="1">
      <alignment horizontal="center"/>
    </xf>
    <xf numFmtId="181" fontId="2" fillId="13" borderId="4" xfId="5" applyNumberFormat="1" applyFont="1" applyFill="1" applyBorder="1"/>
    <xf numFmtId="168" fontId="10" fillId="13" borderId="4" xfId="5" applyNumberFormat="1" applyFont="1" applyFill="1" applyBorder="1"/>
    <xf numFmtId="0" fontId="2" fillId="5" borderId="0" xfId="11" applyFont="1" applyFill="1"/>
    <xf numFmtId="169" fontId="2" fillId="5" borderId="0" xfId="11" applyNumberFormat="1" applyFont="1" applyFill="1"/>
    <xf numFmtId="0" fontId="6" fillId="5" borderId="4" xfId="11" quotePrefix="1" applyFont="1" applyFill="1" applyBorder="1"/>
    <xf numFmtId="0" fontId="2" fillId="5" borderId="4" xfId="11" applyFont="1" applyFill="1" applyBorder="1" applyAlignment="1">
      <alignment horizontal="center"/>
    </xf>
    <xf numFmtId="181" fontId="2" fillId="5" borderId="4" xfId="5" applyNumberFormat="1" applyFont="1" applyFill="1" applyBorder="1"/>
    <xf numFmtId="164" fontId="2" fillId="5" borderId="4" xfId="5" applyFont="1" applyFill="1" applyBorder="1"/>
    <xf numFmtId="168" fontId="2" fillId="5" borderId="4" xfId="5" applyNumberFormat="1" applyFont="1" applyFill="1" applyBorder="1"/>
    <xf numFmtId="169" fontId="2" fillId="0" borderId="0" xfId="11" applyNumberFormat="1" applyFont="1"/>
    <xf numFmtId="193" fontId="10" fillId="5" borderId="4" xfId="5" applyNumberFormat="1" applyFont="1" applyFill="1" applyBorder="1"/>
    <xf numFmtId="168" fontId="2" fillId="0" borderId="0" xfId="11" applyNumberFormat="1" applyFont="1"/>
    <xf numFmtId="0" fontId="3" fillId="0" borderId="2" xfId="11" quotePrefix="1" applyFont="1" applyBorder="1"/>
    <xf numFmtId="0" fontId="3" fillId="0" borderId="2" xfId="11" quotePrefix="1" applyFont="1" applyBorder="1" applyAlignment="1">
      <alignment horizontal="center"/>
    </xf>
    <xf numFmtId="181" fontId="3" fillId="0" borderId="2" xfId="5" applyNumberFormat="1" applyFont="1" applyFill="1" applyBorder="1"/>
    <xf numFmtId="168" fontId="3" fillId="0" borderId="2" xfId="5" applyNumberFormat="1" applyFont="1" applyFill="1" applyBorder="1"/>
    <xf numFmtId="164" fontId="10" fillId="0" borderId="2" xfId="5" applyFont="1" applyFill="1" applyBorder="1"/>
    <xf numFmtId="0" fontId="3" fillId="0" borderId="0" xfId="11" applyFont="1"/>
    <xf numFmtId="0" fontId="3" fillId="6" borderId="4" xfId="11" quotePrefix="1" applyFont="1" applyFill="1" applyBorder="1"/>
    <xf numFmtId="0" fontId="3" fillId="6" borderId="4" xfId="11" applyFont="1" applyFill="1" applyBorder="1" applyAlignment="1">
      <alignment horizontal="center"/>
    </xf>
    <xf numFmtId="164" fontId="3" fillId="6" borderId="4" xfId="5" applyFont="1" applyFill="1" applyBorder="1"/>
    <xf numFmtId="0" fontId="2" fillId="14" borderId="4" xfId="11" quotePrefix="1" applyFont="1" applyFill="1" applyBorder="1"/>
    <xf numFmtId="0" fontId="2" fillId="14" borderId="4" xfId="11" quotePrefix="1" applyFont="1" applyFill="1" applyBorder="1" applyAlignment="1">
      <alignment horizontal="center"/>
    </xf>
    <xf numFmtId="166" fontId="2" fillId="14" borderId="4" xfId="5" applyNumberFormat="1" applyFont="1" applyFill="1" applyBorder="1"/>
    <xf numFmtId="0" fontId="6" fillId="14" borderId="4" xfId="11" quotePrefix="1" applyFont="1" applyFill="1" applyBorder="1"/>
    <xf numFmtId="0" fontId="3" fillId="14" borderId="4" xfId="11" applyFont="1" applyFill="1" applyBorder="1" applyAlignment="1">
      <alignment horizontal="center"/>
    </xf>
    <xf numFmtId="164" fontId="3" fillId="14" borderId="4" xfId="5" applyFont="1" applyFill="1" applyBorder="1"/>
    <xf numFmtId="166" fontId="2" fillId="0" borderId="14" xfId="5" applyNumberFormat="1" applyFont="1" applyFill="1" applyBorder="1"/>
    <xf numFmtId="164" fontId="10" fillId="0" borderId="0" xfId="5" applyFont="1" applyFill="1" applyBorder="1"/>
    <xf numFmtId="0" fontId="3" fillId="0" borderId="4" xfId="11" quotePrefix="1" applyFont="1" applyBorder="1"/>
    <xf numFmtId="0" fontId="3" fillId="14" borderId="4" xfId="11" quotePrefix="1" applyFont="1" applyFill="1" applyBorder="1" applyAlignment="1">
      <alignment horizontal="center"/>
    </xf>
    <xf numFmtId="166" fontId="3" fillId="0" borderId="4" xfId="5" applyNumberFormat="1" applyFont="1" applyFill="1" applyBorder="1"/>
    <xf numFmtId="164" fontId="2" fillId="13" borderId="4" xfId="5" applyFont="1" applyFill="1" applyBorder="1"/>
    <xf numFmtId="164" fontId="10" fillId="13" borderId="4" xfId="5" applyFont="1" applyFill="1" applyBorder="1"/>
    <xf numFmtId="170" fontId="2" fillId="5" borderId="4" xfId="5" applyNumberFormat="1" applyFont="1" applyFill="1" applyBorder="1"/>
    <xf numFmtId="0" fontId="3" fillId="0" borderId="4" xfId="11" quotePrefix="1" applyFont="1" applyBorder="1" applyAlignment="1">
      <alignment horizontal="center"/>
    </xf>
    <xf numFmtId="164" fontId="3" fillId="0" borderId="4" xfId="5" applyFont="1" applyFill="1" applyBorder="1"/>
    <xf numFmtId="0" fontId="3" fillId="6" borderId="6" xfId="11" applyFont="1" applyFill="1" applyBorder="1" applyAlignment="1">
      <alignment horizontal="center"/>
    </xf>
    <xf numFmtId="164" fontId="10" fillId="5" borderId="4" xfId="5" applyFont="1" applyFill="1" applyBorder="1"/>
    <xf numFmtId="0" fontId="2" fillId="0" borderId="4" xfId="11" applyFont="1" applyBorder="1" applyAlignment="1">
      <alignment horizontal="center"/>
    </xf>
    <xf numFmtId="194" fontId="2" fillId="5" borderId="0" xfId="11" applyNumberFormat="1" applyFont="1" applyFill="1"/>
    <xf numFmtId="0" fontId="5" fillId="5" borderId="4" xfId="11" quotePrefix="1" applyFont="1" applyFill="1" applyBorder="1"/>
    <xf numFmtId="0" fontId="68" fillId="0" borderId="4" xfId="11" quotePrefix="1" applyFont="1" applyBorder="1" applyAlignment="1">
      <alignment vertical="center"/>
    </xf>
    <xf numFmtId="164" fontId="2" fillId="0" borderId="0" xfId="5" applyFont="1"/>
    <xf numFmtId="164" fontId="2" fillId="0" borderId="0" xfId="11" applyNumberFormat="1" applyFont="1"/>
    <xf numFmtId="166" fontId="10" fillId="0" borderId="0" xfId="5" applyNumberFormat="1" applyFont="1" applyFill="1" applyBorder="1"/>
    <xf numFmtId="164" fontId="2" fillId="0" borderId="0" xfId="5" applyFont="1" applyFill="1" applyBorder="1"/>
    <xf numFmtId="0" fontId="69" fillId="0" borderId="0" xfId="11" quotePrefix="1" applyFont="1" applyAlignment="1">
      <alignment vertical="center"/>
    </xf>
    <xf numFmtId="0" fontId="60" fillId="0" borderId="0" xfId="11"/>
    <xf numFmtId="0" fontId="72" fillId="0" borderId="0" xfId="11" applyFont="1" applyAlignment="1">
      <alignment horizontal="center" vertical="center"/>
    </xf>
    <xf numFmtId="0" fontId="72" fillId="0" borderId="0" xfId="11" applyFont="1"/>
    <xf numFmtId="40" fontId="72" fillId="0" borderId="0" xfId="11" applyNumberFormat="1" applyFont="1"/>
    <xf numFmtId="0" fontId="73" fillId="6" borderId="147" xfId="11" applyFont="1" applyFill="1" applyBorder="1" applyAlignment="1">
      <alignment horizontal="center" vertical="center"/>
    </xf>
    <xf numFmtId="0" fontId="73" fillId="6" borderId="148" xfId="11" applyFont="1" applyFill="1" applyBorder="1" applyAlignment="1">
      <alignment horizontal="center" vertical="center"/>
    </xf>
    <xf numFmtId="195" fontId="73" fillId="6" borderId="148" xfId="11" applyNumberFormat="1" applyFont="1" applyFill="1" applyBorder="1" applyAlignment="1">
      <alignment horizontal="center" vertical="center"/>
    </xf>
    <xf numFmtId="40" fontId="73" fillId="6" borderId="148" xfId="11" applyNumberFormat="1" applyFont="1" applyFill="1" applyBorder="1" applyAlignment="1">
      <alignment horizontal="center" vertical="center" wrapText="1"/>
    </xf>
    <xf numFmtId="195" fontId="73" fillId="6" borderId="149" xfId="11" applyNumberFormat="1" applyFont="1" applyFill="1" applyBorder="1" applyAlignment="1">
      <alignment horizontal="center" vertical="center"/>
    </xf>
    <xf numFmtId="0" fontId="25" fillId="0" borderId="32" xfId="11" applyFont="1" applyBorder="1" applyAlignment="1">
      <alignment vertical="center"/>
    </xf>
    <xf numFmtId="0" fontId="25" fillId="0" borderId="4" xfId="11" applyFont="1" applyBorder="1" applyAlignment="1">
      <alignment horizontal="center" vertical="center"/>
    </xf>
    <xf numFmtId="166" fontId="25" fillId="5" borderId="4" xfId="5" applyNumberFormat="1" applyFont="1" applyFill="1" applyBorder="1" applyAlignment="1">
      <alignment horizontal="center" vertical="center"/>
    </xf>
    <xf numFmtId="188" fontId="25" fillId="0" borderId="4" xfId="12" applyFont="1" applyFill="1" applyBorder="1" applyAlignment="1">
      <alignment horizontal="center" vertical="center"/>
    </xf>
    <xf numFmtId="10" fontId="25" fillId="5" borderId="96" xfId="5" applyNumberFormat="1" applyFont="1" applyFill="1" applyBorder="1" applyAlignment="1">
      <alignment horizontal="center" vertical="center" wrapText="1"/>
    </xf>
    <xf numFmtId="40" fontId="73" fillId="5" borderId="44" xfId="11" applyNumberFormat="1" applyFont="1" applyFill="1" applyBorder="1" applyAlignment="1">
      <alignment horizontal="left" vertical="center" wrapText="1"/>
    </xf>
    <xf numFmtId="2" fontId="60" fillId="0" borderId="0" xfId="11" applyNumberFormat="1"/>
    <xf numFmtId="164" fontId="25" fillId="0" borderId="0" xfId="5" applyFont="1" applyFill="1" applyAlignment="1">
      <alignment vertical="center"/>
    </xf>
    <xf numFmtId="0" fontId="25" fillId="0" borderId="114" xfId="11" applyFont="1" applyBorder="1" applyAlignment="1">
      <alignment vertical="center"/>
    </xf>
    <xf numFmtId="0" fontId="25" fillId="0" borderId="66" xfId="11" applyFont="1" applyBorder="1" applyAlignment="1">
      <alignment horizontal="center" vertical="center"/>
    </xf>
    <xf numFmtId="166" fontId="25" fillId="5" borderId="66" xfId="5" applyNumberFormat="1" applyFont="1" applyFill="1" applyBorder="1" applyAlignment="1">
      <alignment horizontal="center" vertical="center"/>
    </xf>
    <xf numFmtId="188" fontId="25" fillId="0" borderId="66" xfId="12" applyFont="1" applyFill="1" applyBorder="1" applyAlignment="1">
      <alignment horizontal="center" vertical="center"/>
    </xf>
    <xf numFmtId="40" fontId="73" fillId="5" borderId="150" xfId="11" applyNumberFormat="1" applyFont="1" applyFill="1" applyBorder="1" applyAlignment="1">
      <alignment horizontal="left" vertical="center" wrapText="1"/>
    </xf>
    <xf numFmtId="0" fontId="73" fillId="6" borderId="32" xfId="11" applyFont="1" applyFill="1" applyBorder="1" applyAlignment="1">
      <alignment vertical="center"/>
    </xf>
    <xf numFmtId="0" fontId="25" fillId="6" borderId="67" xfId="11" applyFont="1" applyFill="1" applyBorder="1" applyAlignment="1">
      <alignment horizontal="center" vertical="center"/>
    </xf>
    <xf numFmtId="196" fontId="25" fillId="6" borderId="67" xfId="12" applyNumberFormat="1" applyFont="1" applyFill="1" applyBorder="1" applyAlignment="1">
      <alignment horizontal="center" vertical="center"/>
    </xf>
    <xf numFmtId="188" fontId="25" fillId="6" borderId="67" xfId="12" applyFont="1" applyFill="1" applyBorder="1" applyAlignment="1">
      <alignment horizontal="center" vertical="center"/>
    </xf>
    <xf numFmtId="40" fontId="25" fillId="6" borderId="67" xfId="11" applyNumberFormat="1" applyFont="1" applyFill="1" applyBorder="1" applyAlignment="1">
      <alignment horizontal="center" vertical="center" wrapText="1"/>
    </xf>
    <xf numFmtId="40" fontId="25" fillId="6" borderId="151" xfId="11" applyNumberFormat="1" applyFont="1" applyFill="1" applyBorder="1" applyAlignment="1">
      <alignment horizontal="center" vertical="center" wrapText="1"/>
    </xf>
    <xf numFmtId="0" fontId="25" fillId="0" borderId="113" xfId="11" applyFont="1" applyBorder="1"/>
    <xf numFmtId="0" fontId="25" fillId="0" borderId="63" xfId="11" applyFont="1" applyBorder="1" applyAlignment="1">
      <alignment horizontal="center"/>
    </xf>
    <xf numFmtId="188" fontId="25" fillId="5" borderId="63" xfId="12" applyFont="1" applyFill="1" applyBorder="1" applyAlignment="1">
      <alignment horizontal="center" vertical="center"/>
    </xf>
    <xf numFmtId="166" fontId="25" fillId="5" borderId="63" xfId="5" applyNumberFormat="1" applyFont="1" applyFill="1" applyBorder="1" applyAlignment="1">
      <alignment horizontal="center" vertical="center"/>
    </xf>
    <xf numFmtId="166" fontId="25" fillId="5" borderId="63" xfId="5" applyNumberFormat="1" applyFont="1" applyFill="1" applyBorder="1" applyAlignment="1">
      <alignment horizontal="right" vertical="center"/>
    </xf>
    <xf numFmtId="40" fontId="25" fillId="5" borderId="99" xfId="11" applyNumberFormat="1" applyFont="1" applyFill="1" applyBorder="1" applyAlignment="1">
      <alignment horizontal="left" vertical="center" wrapText="1"/>
    </xf>
    <xf numFmtId="40" fontId="25" fillId="5" borderId="99" xfId="11" applyNumberFormat="1" applyFont="1" applyFill="1" applyBorder="1" applyAlignment="1">
      <alignment horizontal="center" vertical="center" wrapText="1"/>
    </xf>
    <xf numFmtId="0" fontId="25" fillId="0" borderId="113" xfId="11" applyFont="1" applyBorder="1" applyAlignment="1">
      <alignment vertical="center"/>
    </xf>
    <xf numFmtId="0" fontId="25" fillId="0" borderId="63" xfId="11" applyFont="1" applyBorder="1" applyAlignment="1">
      <alignment horizontal="center" vertical="center"/>
    </xf>
    <xf numFmtId="0" fontId="73" fillId="6" borderId="113" xfId="11" applyFont="1" applyFill="1" applyBorder="1"/>
    <xf numFmtId="0" fontId="25" fillId="6" borderId="63" xfId="11" applyFont="1" applyFill="1" applyBorder="1" applyAlignment="1">
      <alignment horizontal="center"/>
    </xf>
    <xf numFmtId="197" fontId="25" fillId="6" borderId="63" xfId="11" applyNumberFormat="1" applyFont="1" applyFill="1" applyBorder="1" applyAlignment="1">
      <alignment horizontal="center" vertical="center"/>
    </xf>
    <xf numFmtId="196" fontId="25" fillId="6" borderId="63" xfId="11" applyNumberFormat="1" applyFont="1" applyFill="1" applyBorder="1"/>
    <xf numFmtId="40" fontId="25" fillId="6" borderId="63" xfId="11" applyNumberFormat="1" applyFont="1" applyFill="1" applyBorder="1"/>
    <xf numFmtId="40" fontId="25" fillId="6" borderId="99" xfId="11" applyNumberFormat="1" applyFont="1" applyFill="1" applyBorder="1" applyAlignment="1">
      <alignment horizontal="center"/>
    </xf>
    <xf numFmtId="188" fontId="25" fillId="5" borderId="63" xfId="11" applyNumberFormat="1" applyFont="1" applyFill="1" applyBorder="1" applyAlignment="1">
      <alignment horizontal="center" vertical="center"/>
    </xf>
    <xf numFmtId="166" fontId="25" fillId="5" borderId="63" xfId="5" applyNumberFormat="1" applyFont="1" applyFill="1" applyBorder="1" applyAlignment="1">
      <alignment vertical="center"/>
    </xf>
    <xf numFmtId="40" fontId="25" fillId="5" borderId="99" xfId="11" applyNumberFormat="1" applyFont="1" applyFill="1" applyBorder="1" applyAlignment="1">
      <alignment horizontal="center" vertical="center"/>
    </xf>
    <xf numFmtId="188" fontId="25" fillId="5" borderId="66" xfId="11" applyNumberFormat="1" applyFont="1" applyFill="1" applyBorder="1" applyAlignment="1">
      <alignment horizontal="center" vertical="center"/>
    </xf>
    <xf numFmtId="166" fontId="25" fillId="5" borderId="66" xfId="5" applyNumberFormat="1" applyFont="1" applyFill="1" applyBorder="1" applyAlignment="1">
      <alignment vertical="center"/>
    </xf>
    <xf numFmtId="40" fontId="25" fillId="5" borderId="150" xfId="11" applyNumberFormat="1" applyFont="1" applyFill="1" applyBorder="1" applyAlignment="1">
      <alignment horizontal="center" vertical="center"/>
    </xf>
    <xf numFmtId="0" fontId="73" fillId="6" borderId="4" xfId="11" applyFont="1" applyFill="1" applyBorder="1" applyAlignment="1">
      <alignment horizontal="center" vertical="center"/>
    </xf>
    <xf numFmtId="195" fontId="73" fillId="6" borderId="4" xfId="11" applyNumberFormat="1" applyFont="1" applyFill="1" applyBorder="1" applyAlignment="1">
      <alignment horizontal="center" vertical="center"/>
    </xf>
    <xf numFmtId="40" fontId="73" fillId="6" borderId="151" xfId="11" applyNumberFormat="1" applyFont="1" applyFill="1" applyBorder="1" applyAlignment="1">
      <alignment horizontal="center" vertical="center" wrapText="1"/>
    </xf>
    <xf numFmtId="196" fontId="25" fillId="0" borderId="63" xfId="11" applyNumberFormat="1" applyFont="1" applyBorder="1" applyAlignment="1">
      <alignment horizontal="right" vertical="center"/>
    </xf>
    <xf numFmtId="164" fontId="25" fillId="0" borderId="63" xfId="5" applyFont="1" applyBorder="1" applyAlignment="1">
      <alignment horizontal="right" vertical="center"/>
    </xf>
    <xf numFmtId="0" fontId="25" fillId="0" borderId="102" xfId="11" applyFont="1" applyBorder="1" applyAlignment="1">
      <alignment horizontal="left" vertical="center" wrapText="1"/>
    </xf>
    <xf numFmtId="0" fontId="25" fillId="0" borderId="99" xfId="11" applyFont="1" applyBorder="1" applyAlignment="1">
      <alignment vertical="center" wrapText="1"/>
    </xf>
    <xf numFmtId="0" fontId="25" fillId="0" borderId="119" xfId="11" applyFont="1" applyBorder="1" applyAlignment="1">
      <alignment vertical="center" wrapText="1"/>
    </xf>
    <xf numFmtId="0" fontId="25" fillId="0" borderId="119" xfId="11" applyFont="1" applyBorder="1" applyAlignment="1">
      <alignment horizontal="left" vertical="center" wrapText="1"/>
    </xf>
    <xf numFmtId="196" fontId="25" fillId="0" borderId="99" xfId="12" applyNumberFormat="1" applyFont="1" applyBorder="1" applyAlignment="1">
      <alignment horizontal="left" vertical="center"/>
    </xf>
    <xf numFmtId="0" fontId="73" fillId="7" borderId="113" xfId="11" applyFont="1" applyFill="1" applyBorder="1" applyAlignment="1">
      <alignment vertical="center"/>
    </xf>
    <xf numFmtId="0" fontId="25" fillId="7" borderId="63" xfId="11" applyFont="1" applyFill="1" applyBorder="1" applyAlignment="1">
      <alignment horizontal="center" vertical="center"/>
    </xf>
    <xf numFmtId="197" fontId="25" fillId="7" borderId="63" xfId="11" applyNumberFormat="1" applyFont="1" applyFill="1" applyBorder="1" applyAlignment="1">
      <alignment horizontal="right" vertical="center"/>
    </xf>
    <xf numFmtId="196" fontId="25" fillId="7" borderId="63" xfId="11" applyNumberFormat="1" applyFont="1" applyFill="1" applyBorder="1" applyAlignment="1">
      <alignment horizontal="right" vertical="center"/>
    </xf>
    <xf numFmtId="40" fontId="25" fillId="7" borderId="99" xfId="11" applyNumberFormat="1" applyFont="1" applyFill="1" applyBorder="1" applyAlignment="1">
      <alignment horizontal="center" vertical="center"/>
    </xf>
    <xf numFmtId="198" fontId="25" fillId="0" borderId="63" xfId="11" applyNumberFormat="1" applyFont="1" applyBorder="1" applyAlignment="1">
      <alignment horizontal="right" vertical="center"/>
    </xf>
    <xf numFmtId="0" fontId="73" fillId="7" borderId="152" xfId="11" applyFont="1" applyFill="1" applyBorder="1" applyAlignment="1">
      <alignment vertical="center"/>
    </xf>
    <xf numFmtId="0" fontId="25" fillId="7" borderId="117" xfId="11" applyFont="1" applyFill="1" applyBorder="1" applyAlignment="1">
      <alignment horizontal="center" vertical="center"/>
    </xf>
    <xf numFmtId="197" fontId="25" fillId="7" borderId="117" xfId="11" applyNumberFormat="1" applyFont="1" applyFill="1" applyBorder="1" applyAlignment="1">
      <alignment horizontal="center" vertical="center"/>
    </xf>
    <xf numFmtId="40" fontId="25" fillId="7" borderId="118" xfId="11" applyNumberFormat="1" applyFont="1" applyFill="1" applyBorder="1" applyAlignment="1">
      <alignment horizontal="center" vertical="center"/>
    </xf>
    <xf numFmtId="0" fontId="25" fillId="0" borderId="0" xfId="11" applyFont="1" applyAlignment="1">
      <alignment horizontal="center" vertical="center"/>
    </xf>
    <xf numFmtId="40" fontId="25" fillId="0" borderId="0" xfId="11" applyNumberFormat="1" applyFont="1" applyAlignment="1">
      <alignment vertical="center"/>
    </xf>
    <xf numFmtId="17" fontId="3" fillId="0" borderId="0" xfId="11" applyNumberFormat="1" applyFont="1" applyAlignment="1">
      <alignment horizontal="center" vertical="center"/>
    </xf>
    <xf numFmtId="17" fontId="2" fillId="0" borderId="0" xfId="11" applyNumberFormat="1" applyFont="1" applyAlignment="1">
      <alignment horizontal="right" vertical="center"/>
    </xf>
    <xf numFmtId="0" fontId="2" fillId="0" borderId="0" xfId="11" applyFont="1" applyAlignment="1">
      <alignment horizontal="left" vertical="center"/>
    </xf>
    <xf numFmtId="0" fontId="2" fillId="0" borderId="0" xfId="11" applyFont="1" applyAlignment="1">
      <alignment vertical="center"/>
    </xf>
    <xf numFmtId="0" fontId="6" fillId="0" borderId="0" xfId="11" applyFont="1" applyAlignment="1">
      <alignment horizontal="left" vertical="center"/>
    </xf>
    <xf numFmtId="0" fontId="9" fillId="0" borderId="154" xfId="11" applyFont="1" applyBorder="1" applyAlignment="1">
      <alignment horizontal="center" vertical="center"/>
    </xf>
    <xf numFmtId="0" fontId="2" fillId="0" borderId="0" xfId="11" applyFont="1" applyAlignment="1">
      <alignment horizontal="center" vertical="center"/>
    </xf>
    <xf numFmtId="0" fontId="9" fillId="0" borderId="160" xfId="11" applyFont="1" applyBorder="1" applyAlignment="1">
      <alignment horizontal="center" vertical="center"/>
    </xf>
    <xf numFmtId="0" fontId="9" fillId="0" borderId="161" xfId="11" applyFont="1" applyBorder="1" applyAlignment="1">
      <alignment horizontal="center" vertical="center"/>
    </xf>
    <xf numFmtId="0" fontId="2" fillId="0" borderId="162" xfId="11" applyFont="1" applyBorder="1" applyAlignment="1">
      <alignment horizontal="center" vertical="center"/>
    </xf>
    <xf numFmtId="188" fontId="2" fillId="0" borderId="0" xfId="12" applyFont="1" applyAlignment="1">
      <alignment horizontal="center" vertical="center"/>
    </xf>
    <xf numFmtId="0" fontId="2" fillId="0" borderId="64" xfId="13" applyFont="1" applyBorder="1" applyAlignment="1">
      <alignment vertical="center" wrapText="1"/>
    </xf>
    <xf numFmtId="164" fontId="2" fillId="0" borderId="163" xfId="5" applyFont="1" applyFill="1" applyBorder="1" applyAlignment="1">
      <alignment vertical="center"/>
    </xf>
    <xf numFmtId="10" fontId="2" fillId="0" borderId="164" xfId="5" applyNumberFormat="1" applyFont="1" applyFill="1" applyBorder="1" applyAlignment="1">
      <alignment horizontal="center" vertical="center"/>
    </xf>
    <xf numFmtId="10" fontId="2" fillId="0" borderId="0" xfId="5" applyNumberFormat="1" applyFont="1" applyFill="1" applyBorder="1" applyAlignment="1">
      <alignment horizontal="center" vertical="center"/>
    </xf>
    <xf numFmtId="164" fontId="2" fillId="0" borderId="0" xfId="5" applyFont="1" applyAlignment="1">
      <alignment vertical="center"/>
    </xf>
    <xf numFmtId="0" fontId="2" fillId="0" borderId="165" xfId="11" applyFont="1" applyBorder="1" applyAlignment="1">
      <alignment horizontal="center" vertical="center"/>
    </xf>
    <xf numFmtId="188" fontId="2" fillId="0" borderId="63" xfId="12" applyFont="1" applyBorder="1" applyAlignment="1">
      <alignment horizontal="center" vertical="center"/>
    </xf>
    <xf numFmtId="164" fontId="2" fillId="0" borderId="164" xfId="5" applyFont="1" applyFill="1" applyBorder="1" applyAlignment="1">
      <alignment vertical="center"/>
    </xf>
    <xf numFmtId="0" fontId="2" fillId="0" borderId="166" xfId="11" applyFont="1" applyBorder="1" applyAlignment="1">
      <alignment horizontal="center" vertical="center"/>
    </xf>
    <xf numFmtId="166" fontId="2" fillId="5" borderId="4" xfId="5" applyNumberFormat="1" applyFont="1" applyFill="1" applyBorder="1" applyAlignment="1">
      <alignment horizontal="center"/>
    </xf>
    <xf numFmtId="0" fontId="10" fillId="0" borderId="166" xfId="11" applyFont="1" applyBorder="1" applyAlignment="1">
      <alignment horizontal="center" vertical="center"/>
    </xf>
    <xf numFmtId="0" fontId="10" fillId="0" borderId="167" xfId="11" applyFont="1" applyBorder="1" applyAlignment="1">
      <alignment horizontal="center" vertical="center"/>
    </xf>
    <xf numFmtId="188" fontId="2" fillId="0" borderId="4" xfId="12" applyFont="1" applyBorder="1" applyAlignment="1">
      <alignment horizontal="center" vertical="center"/>
    </xf>
    <xf numFmtId="164" fontId="2" fillId="0" borderId="161" xfId="5" applyFont="1" applyFill="1" applyBorder="1" applyAlignment="1">
      <alignment vertical="center"/>
    </xf>
    <xf numFmtId="166" fontId="9" fillId="0" borderId="168" xfId="5" applyNumberFormat="1" applyFont="1" applyFill="1" applyBorder="1" applyAlignment="1">
      <alignment horizontal="left" vertical="center"/>
    </xf>
    <xf numFmtId="0" fontId="9" fillId="0" borderId="168" xfId="11" applyFont="1" applyBorder="1" applyAlignment="1">
      <alignment vertical="center"/>
    </xf>
    <xf numFmtId="164" fontId="3" fillId="0" borderId="168" xfId="5" applyFont="1" applyFill="1" applyBorder="1" applyAlignment="1">
      <alignment vertical="center"/>
    </xf>
    <xf numFmtId="164" fontId="3" fillId="0" borderId="156" xfId="5" applyFont="1" applyFill="1" applyBorder="1" applyAlignment="1">
      <alignment vertical="center"/>
    </xf>
    <xf numFmtId="164" fontId="3" fillId="0" borderId="160" xfId="5" applyFont="1" applyFill="1" applyBorder="1" applyAlignment="1">
      <alignment vertical="center"/>
    </xf>
    <xf numFmtId="164" fontId="3" fillId="0" borderId="0" xfId="5" applyFont="1" applyFill="1" applyBorder="1" applyAlignment="1">
      <alignment vertical="center"/>
    </xf>
    <xf numFmtId="164" fontId="3" fillId="0" borderId="0" xfId="5" applyFont="1" applyFill="1" applyAlignment="1">
      <alignment vertical="center"/>
    </xf>
    <xf numFmtId="0" fontId="73" fillId="0" borderId="0" xfId="11" applyFont="1" applyAlignment="1">
      <alignment horizontal="center"/>
    </xf>
    <xf numFmtId="166" fontId="73" fillId="0" borderId="0" xfId="5" applyNumberFormat="1" applyFont="1" applyFill="1"/>
    <xf numFmtId="0" fontId="73" fillId="0" borderId="0" xfId="11" applyFont="1"/>
    <xf numFmtId="0" fontId="5" fillId="0" borderId="0" xfId="11" applyFont="1" applyAlignment="1">
      <alignment vertical="center"/>
    </xf>
    <xf numFmtId="164" fontId="2" fillId="0" borderId="0" xfId="11" applyNumberFormat="1" applyFont="1" applyAlignment="1">
      <alignment vertical="center"/>
    </xf>
    <xf numFmtId="174" fontId="2" fillId="0" borderId="0" xfId="5" applyNumberFormat="1" applyFont="1" applyAlignment="1">
      <alignment vertical="center"/>
    </xf>
    <xf numFmtId="170" fontId="3" fillId="0" borderId="0" xfId="5" applyNumberFormat="1" applyFont="1"/>
    <xf numFmtId="0" fontId="3" fillId="0" borderId="0" xfId="11" applyFont="1" applyAlignment="1">
      <alignment horizontal="left"/>
    </xf>
    <xf numFmtId="0" fontId="61" fillId="0" borderId="0" xfId="11" applyFont="1" applyAlignment="1">
      <alignment vertical="center"/>
    </xf>
    <xf numFmtId="0" fontId="64" fillId="0" borderId="4" xfId="11" applyFont="1" applyBorder="1" applyAlignment="1">
      <alignment vertical="center"/>
    </xf>
    <xf numFmtId="0" fontId="65" fillId="0" borderId="4" xfId="11" applyFont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43" fontId="2" fillId="0" borderId="2" xfId="1" applyFont="1" applyFill="1" applyBorder="1" applyAlignment="1">
      <alignment vertical="center"/>
    </xf>
    <xf numFmtId="164" fontId="10" fillId="13" borderId="4" xfId="5" applyFont="1" applyFill="1" applyBorder="1" applyAlignment="1">
      <alignment horizontal="right" vertical="center"/>
    </xf>
    <xf numFmtId="164" fontId="10" fillId="0" borderId="4" xfId="5" applyFont="1" applyFill="1" applyBorder="1" applyAlignment="1">
      <alignment horizontal="right" vertical="center"/>
    </xf>
    <xf numFmtId="164" fontId="10" fillId="0" borderId="2" xfId="5" applyFont="1" applyFill="1" applyBorder="1" applyAlignment="1">
      <alignment horizontal="right" vertical="center"/>
    </xf>
    <xf numFmtId="164" fontId="10" fillId="0" borderId="6" xfId="5" applyFont="1" applyFill="1" applyBorder="1" applyAlignment="1">
      <alignment horizontal="right" vertical="center"/>
    </xf>
    <xf numFmtId="164" fontId="10" fillId="13" borderId="2" xfId="5" applyFont="1" applyFill="1" applyBorder="1" applyAlignment="1">
      <alignment horizontal="right" vertical="center"/>
    </xf>
    <xf numFmtId="9" fontId="10" fillId="13" borderId="4" xfId="5" applyNumberFormat="1" applyFont="1" applyFill="1" applyBorder="1" applyAlignment="1">
      <alignment horizontal="right" vertical="center"/>
    </xf>
    <xf numFmtId="9" fontId="10" fillId="0" borderId="4" xfId="5" applyNumberFormat="1" applyFont="1" applyFill="1" applyBorder="1" applyAlignment="1">
      <alignment horizontal="right" vertical="center"/>
    </xf>
    <xf numFmtId="164" fontId="10" fillId="6" borderId="6" xfId="5" applyFont="1" applyFill="1" applyBorder="1" applyAlignment="1">
      <alignment horizontal="right" vertical="center"/>
    </xf>
    <xf numFmtId="166" fontId="10" fillId="0" borderId="29" xfId="5" applyNumberFormat="1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horizontal="right" vertical="center"/>
    </xf>
    <xf numFmtId="164" fontId="10" fillId="0" borderId="12" xfId="5" applyFont="1" applyFill="1" applyBorder="1" applyAlignment="1">
      <alignment horizontal="right" vertical="center"/>
    </xf>
    <xf numFmtId="0" fontId="63" fillId="0" borderId="0" xfId="11" applyFont="1" applyAlignment="1">
      <alignment horizontal="center" vertical="center"/>
    </xf>
    <xf numFmtId="166" fontId="10" fillId="6" borderId="24" xfId="5" applyNumberFormat="1" applyFont="1" applyFill="1" applyBorder="1" applyAlignment="1">
      <alignment horizontal="center" vertical="center"/>
    </xf>
    <xf numFmtId="166" fontId="10" fillId="0" borderId="132" xfId="5" applyNumberFormat="1" applyFont="1" applyFill="1" applyBorder="1" applyAlignment="1">
      <alignment horizontal="center" vertical="center"/>
    </xf>
    <xf numFmtId="164" fontId="10" fillId="0" borderId="132" xfId="5" applyFont="1" applyFill="1" applyBorder="1" applyAlignment="1">
      <alignment horizontal="center" vertical="center"/>
    </xf>
    <xf numFmtId="164" fontId="10" fillId="0" borderId="29" xfId="5" applyFont="1" applyFill="1" applyBorder="1" applyAlignment="1">
      <alignment horizontal="center" vertical="center"/>
    </xf>
    <xf numFmtId="9" fontId="10" fillId="0" borderId="132" xfId="5" applyNumberFormat="1" applyFont="1" applyFill="1" applyBorder="1" applyAlignment="1">
      <alignment horizontal="center" vertical="center"/>
    </xf>
    <xf numFmtId="166" fontId="10" fillId="0" borderId="84" xfId="5" applyNumberFormat="1" applyFont="1" applyFill="1" applyBorder="1" applyAlignment="1">
      <alignment horizontal="center" vertical="center"/>
    </xf>
    <xf numFmtId="166" fontId="10" fillId="0" borderId="82" xfId="5" applyNumberFormat="1" applyFont="1" applyFill="1" applyBorder="1" applyAlignment="1">
      <alignment horizontal="center" vertical="center"/>
    </xf>
    <xf numFmtId="166" fontId="10" fillId="6" borderId="82" xfId="5" applyNumberFormat="1" applyFont="1" applyFill="1" applyBorder="1" applyAlignment="1">
      <alignment horizontal="center" vertical="center"/>
    </xf>
    <xf numFmtId="164" fontId="10" fillId="0" borderId="84" xfId="5" applyFont="1" applyFill="1" applyBorder="1" applyAlignment="1">
      <alignment horizontal="center" vertical="center"/>
    </xf>
    <xf numFmtId="164" fontId="10" fillId="0" borderId="41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horizontal="center" vertical="center"/>
    </xf>
    <xf numFmtId="0" fontId="20" fillId="5" borderId="0" xfId="11" quotePrefix="1" applyFont="1" applyFill="1" applyAlignment="1">
      <alignment horizontal="center" vertical="center"/>
    </xf>
    <xf numFmtId="0" fontId="61" fillId="0" borderId="0" xfId="11" applyFont="1" applyAlignment="1">
      <alignment horizontal="center" vertical="center"/>
    </xf>
    <xf numFmtId="166" fontId="10" fillId="0" borderId="24" xfId="5" applyNumberFormat="1" applyFont="1" applyFill="1" applyBorder="1" applyAlignment="1">
      <alignment horizontal="center" vertical="center"/>
    </xf>
    <xf numFmtId="164" fontId="10" fillId="0" borderId="24" xfId="5" applyFont="1" applyFill="1" applyBorder="1" applyAlignment="1">
      <alignment horizontal="center" vertical="center"/>
    </xf>
    <xf numFmtId="164" fontId="10" fillId="0" borderId="25" xfId="5" applyFont="1" applyFill="1" applyBorder="1" applyAlignment="1">
      <alignment horizontal="center" vertical="center"/>
    </xf>
    <xf numFmtId="166" fontId="10" fillId="13" borderId="29" xfId="5" applyNumberFormat="1" applyFont="1" applyFill="1" applyBorder="1" applyAlignment="1">
      <alignment horizontal="center" vertical="center"/>
    </xf>
    <xf numFmtId="166" fontId="9" fillId="0" borderId="132" xfId="5" applyNumberFormat="1" applyFont="1" applyFill="1" applyBorder="1" applyAlignment="1">
      <alignment horizontal="center" vertical="center"/>
    </xf>
    <xf numFmtId="166" fontId="9" fillId="13" borderId="132" xfId="5" applyNumberFormat="1" applyFont="1" applyFill="1" applyBorder="1" applyAlignment="1">
      <alignment horizontal="center" vertical="center"/>
    </xf>
    <xf numFmtId="166" fontId="9" fillId="0" borderId="25" xfId="5" applyNumberFormat="1" applyFont="1" applyFill="1" applyBorder="1" applyAlignment="1">
      <alignment horizontal="center" vertical="center"/>
    </xf>
    <xf numFmtId="166" fontId="9" fillId="13" borderId="29" xfId="5" applyNumberFormat="1" applyFont="1" applyFill="1" applyBorder="1" applyAlignment="1">
      <alignment horizontal="center" vertical="center"/>
    </xf>
    <xf numFmtId="166" fontId="9" fillId="0" borderId="24" xfId="5" applyNumberFormat="1" applyFont="1" applyFill="1" applyBorder="1" applyAlignment="1">
      <alignment horizontal="center" vertical="center"/>
    </xf>
    <xf numFmtId="166" fontId="9" fillId="0" borderId="29" xfId="5" applyNumberFormat="1" applyFont="1" applyFill="1" applyBorder="1" applyAlignment="1">
      <alignment horizontal="center" vertical="center"/>
    </xf>
    <xf numFmtId="164" fontId="9" fillId="0" borderId="82" xfId="5" applyFont="1" applyFill="1" applyBorder="1" applyAlignment="1">
      <alignment horizontal="center" vertical="center"/>
    </xf>
    <xf numFmtId="164" fontId="9" fillId="13" borderId="29" xfId="5" applyFont="1" applyFill="1" applyBorder="1" applyAlignment="1">
      <alignment horizontal="center" vertical="center"/>
    </xf>
    <xf numFmtId="164" fontId="2" fillId="0" borderId="4" xfId="5" applyFont="1" applyFill="1" applyBorder="1"/>
    <xf numFmtId="164" fontId="10" fillId="0" borderId="4" xfId="5" applyFont="1" applyFill="1" applyBorder="1"/>
    <xf numFmtId="166" fontId="10" fillId="6" borderId="6" xfId="5" applyNumberFormat="1" applyFont="1" applyFill="1" applyBorder="1"/>
    <xf numFmtId="166" fontId="10" fillId="5" borderId="4" xfId="5" applyNumberFormat="1" applyFont="1" applyFill="1" applyBorder="1"/>
    <xf numFmtId="164" fontId="9" fillId="13" borderId="4" xfId="5" applyFont="1" applyFill="1" applyBorder="1"/>
    <xf numFmtId="164" fontId="9" fillId="5" borderId="2" xfId="5" applyFont="1" applyFill="1" applyBorder="1"/>
    <xf numFmtId="164" fontId="9" fillId="6" borderId="4" xfId="5" applyFont="1" applyFill="1" applyBorder="1"/>
    <xf numFmtId="164" fontId="9" fillId="5" borderId="4" xfId="5" applyFont="1" applyFill="1" applyBorder="1"/>
    <xf numFmtId="164" fontId="10" fillId="6" borderId="6" xfId="5" applyFont="1" applyFill="1" applyBorder="1"/>
    <xf numFmtId="164" fontId="9" fillId="0" borderId="4" xfId="5" applyFont="1" applyFill="1" applyBorder="1"/>
    <xf numFmtId="0" fontId="9" fillId="3" borderId="8" xfId="11" applyFont="1" applyFill="1" applyBorder="1" applyAlignment="1">
      <alignment horizontal="center" vertical="center" wrapText="1"/>
    </xf>
    <xf numFmtId="166" fontId="10" fillId="6" borderId="23" xfId="5" applyNumberFormat="1" applyFont="1" applyFill="1" applyBorder="1"/>
    <xf numFmtId="0" fontId="3" fillId="0" borderId="4" xfId="11" applyFont="1" applyBorder="1" applyAlignment="1">
      <alignment horizontal="center"/>
    </xf>
    <xf numFmtId="181" fontId="9" fillId="13" borderId="8" xfId="5" applyNumberFormat="1" applyFont="1" applyFill="1" applyBorder="1"/>
    <xf numFmtId="0" fontId="3" fillId="0" borderId="2" xfId="11" applyFont="1" applyBorder="1" applyAlignment="1">
      <alignment horizontal="center"/>
    </xf>
    <xf numFmtId="164" fontId="9" fillId="6" borderId="8" xfId="5" applyFont="1" applyFill="1" applyBorder="1"/>
    <xf numFmtId="164" fontId="10" fillId="6" borderId="23" xfId="5" applyFont="1" applyFill="1" applyBorder="1"/>
    <xf numFmtId="192" fontId="9" fillId="13" borderId="8" xfId="5" applyNumberFormat="1" applyFont="1" applyFill="1" applyBorder="1"/>
    <xf numFmtId="192" fontId="9" fillId="0" borderId="8" xfId="5" applyNumberFormat="1" applyFont="1" applyFill="1" applyBorder="1"/>
    <xf numFmtId="0" fontId="3" fillId="5" borderId="4" xfId="11" applyFont="1" applyFill="1" applyBorder="1" applyAlignment="1">
      <alignment horizontal="center"/>
    </xf>
    <xf numFmtId="164" fontId="9" fillId="13" borderId="8" xfId="5" applyFont="1" applyFill="1" applyBorder="1"/>
    <xf numFmtId="0" fontId="2" fillId="5" borderId="14" xfId="11" applyFont="1" applyFill="1" applyBorder="1" applyAlignment="1">
      <alignment horizontal="center"/>
    </xf>
    <xf numFmtId="0" fontId="2" fillId="5" borderId="58" xfId="11" applyFont="1" applyFill="1" applyBorder="1" applyAlignment="1">
      <alignment horizontal="center"/>
    </xf>
    <xf numFmtId="0" fontId="68" fillId="0" borderId="2" xfId="11" quotePrefix="1" applyFont="1" applyBorder="1" applyAlignment="1">
      <alignment vertical="center"/>
    </xf>
    <xf numFmtId="0" fontId="2" fillId="5" borderId="2" xfId="11" quotePrefix="1" applyFont="1" applyFill="1" applyBorder="1" applyAlignment="1">
      <alignment horizontal="center"/>
    </xf>
    <xf numFmtId="164" fontId="2" fillId="5" borderId="2" xfId="5" applyFont="1" applyFill="1" applyBorder="1"/>
    <xf numFmtId="0" fontId="3" fillId="3" borderId="14" xfId="11" applyFont="1" applyFill="1" applyBorder="1" applyAlignment="1">
      <alignment horizontal="center" vertical="center" wrapText="1"/>
    </xf>
    <xf numFmtId="0" fontId="3" fillId="3" borderId="4" xfId="11" applyFont="1" applyFill="1" applyBorder="1" applyAlignment="1">
      <alignment horizontal="center" vertical="center" wrapText="1"/>
    </xf>
    <xf numFmtId="0" fontId="9" fillId="3" borderId="14" xfId="11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166" fontId="10" fillId="0" borderId="4" xfId="5" applyNumberFormat="1" applyFont="1" applyFill="1" applyBorder="1"/>
    <xf numFmtId="9" fontId="10" fillId="13" borderId="4" xfId="3" applyFont="1" applyFill="1" applyBorder="1"/>
    <xf numFmtId="9" fontId="10" fillId="0" borderId="4" xfId="3" applyFont="1" applyFill="1" applyBorder="1"/>
    <xf numFmtId="9" fontId="10" fillId="0" borderId="2" xfId="3" applyFont="1" applyFill="1" applyBorder="1"/>
    <xf numFmtId="9" fontId="10" fillId="6" borderId="6" xfId="3" applyFont="1" applyFill="1" applyBorder="1"/>
    <xf numFmtId="0" fontId="2" fillId="5" borderId="0" xfId="11" applyFont="1" applyFill="1" applyAlignment="1">
      <alignment horizontal="center"/>
    </xf>
    <xf numFmtId="0" fontId="68" fillId="0" borderId="0" xfId="11" quotePrefix="1" applyFont="1" applyAlignment="1">
      <alignment vertical="center"/>
    </xf>
    <xf numFmtId="0" fontId="2" fillId="5" borderId="0" xfId="11" quotePrefix="1" applyFont="1" applyFill="1" applyAlignment="1">
      <alignment horizontal="center"/>
    </xf>
    <xf numFmtId="164" fontId="2" fillId="5" borderId="0" xfId="5" applyFont="1" applyFill="1" applyBorder="1"/>
    <xf numFmtId="9" fontId="10" fillId="0" borderId="0" xfId="3" applyFont="1" applyFill="1" applyBorder="1"/>
    <xf numFmtId="0" fontId="38" fillId="0" borderId="0" xfId="11" applyFont="1" applyAlignment="1">
      <alignment horizontal="left"/>
    </xf>
    <xf numFmtId="0" fontId="10" fillId="0" borderId="0" xfId="11" quotePrefix="1" applyFont="1"/>
    <xf numFmtId="164" fontId="9" fillId="0" borderId="0" xfId="5" applyFont="1" applyFill="1" applyBorder="1"/>
    <xf numFmtId="181" fontId="10" fillId="0" borderId="8" xfId="5" applyNumberFormat="1" applyFont="1" applyFill="1" applyBorder="1"/>
    <xf numFmtId="182" fontId="10" fillId="0" borderId="8" xfId="5" applyNumberFormat="1" applyFont="1" applyFill="1" applyBorder="1"/>
    <xf numFmtId="181" fontId="9" fillId="0" borderId="28" xfId="5" applyNumberFormat="1" applyFont="1" applyFill="1" applyBorder="1"/>
    <xf numFmtId="166" fontId="10" fillId="0" borderId="8" xfId="5" applyNumberFormat="1" applyFont="1" applyFill="1" applyBorder="1"/>
    <xf numFmtId="166" fontId="9" fillId="0" borderId="8" xfId="5" applyNumberFormat="1" applyFont="1" applyFill="1" applyBorder="1"/>
    <xf numFmtId="192" fontId="10" fillId="0" borderId="8" xfId="5" applyNumberFormat="1" applyFont="1" applyFill="1" applyBorder="1"/>
    <xf numFmtId="164" fontId="10" fillId="0" borderId="8" xfId="5" applyFont="1" applyFill="1" applyBorder="1"/>
    <xf numFmtId="164" fontId="9" fillId="0" borderId="8" xfId="5" applyFont="1" applyFill="1" applyBorder="1"/>
    <xf numFmtId="164" fontId="9" fillId="0" borderId="28" xfId="5" applyFont="1" applyFill="1" applyBorder="1"/>
    <xf numFmtId="0" fontId="68" fillId="0" borderId="0" xfId="11" quotePrefix="1" applyFont="1" applyAlignment="1">
      <alignment horizontal="center" vertical="center"/>
    </xf>
    <xf numFmtId="0" fontId="69" fillId="0" borderId="0" xfId="11" quotePrefix="1" applyFont="1" applyAlignment="1">
      <alignment horizontal="center" vertical="center"/>
    </xf>
    <xf numFmtId="0" fontId="3" fillId="6" borderId="6" xfId="11" quotePrefix="1" applyFont="1" applyFill="1" applyBorder="1" applyAlignment="1">
      <alignment horizontal="center" vertical="center"/>
    </xf>
    <xf numFmtId="0" fontId="2" fillId="0" borderId="4" xfId="11" quotePrefix="1" applyFont="1" applyBorder="1" applyAlignment="1">
      <alignment horizontal="center" vertical="center"/>
    </xf>
    <xf numFmtId="0" fontId="2" fillId="5" borderId="4" xfId="11" quotePrefix="1" applyFont="1" applyFill="1" applyBorder="1" applyAlignment="1">
      <alignment horizontal="center" vertical="center"/>
    </xf>
    <xf numFmtId="0" fontId="6" fillId="5" borderId="4" xfId="11" quotePrefix="1" applyFont="1" applyFill="1" applyBorder="1" applyAlignment="1">
      <alignment horizontal="center" vertical="center"/>
    </xf>
    <xf numFmtId="0" fontId="3" fillId="0" borderId="2" xfId="11" quotePrefix="1" applyFont="1" applyBorder="1" applyAlignment="1">
      <alignment horizontal="center" vertical="center"/>
    </xf>
    <xf numFmtId="0" fontId="3" fillId="6" borderId="4" xfId="11" quotePrefix="1" applyFont="1" applyFill="1" applyBorder="1" applyAlignment="1">
      <alignment horizontal="center" vertical="center"/>
    </xf>
    <xf numFmtId="0" fontId="2" fillId="14" borderId="4" xfId="11" quotePrefix="1" applyFont="1" applyFill="1" applyBorder="1" applyAlignment="1">
      <alignment horizontal="center" vertical="center"/>
    </xf>
    <xf numFmtId="0" fontId="6" fillId="14" borderId="4" xfId="11" quotePrefix="1" applyFont="1" applyFill="1" applyBorder="1" applyAlignment="1">
      <alignment horizontal="center" vertical="center"/>
    </xf>
    <xf numFmtId="0" fontId="3" fillId="0" borderId="4" xfId="11" quotePrefix="1" applyFont="1" applyBorder="1" applyAlignment="1">
      <alignment horizontal="center" vertical="center"/>
    </xf>
    <xf numFmtId="0" fontId="5" fillId="5" borderId="4" xfId="11" quotePrefix="1" applyFont="1" applyFill="1" applyBorder="1" applyAlignment="1">
      <alignment horizontal="center" vertical="center"/>
    </xf>
    <xf numFmtId="41" fontId="2" fillId="14" borderId="4" xfId="2" quotePrefix="1" applyFont="1" applyFill="1" applyBorder="1" applyAlignment="1">
      <alignment horizontal="center" vertical="center"/>
    </xf>
    <xf numFmtId="0" fontId="2" fillId="0" borderId="2" xfId="11" quotePrefix="1" applyFont="1" applyBorder="1" applyAlignment="1">
      <alignment horizontal="center" vertical="center"/>
    </xf>
    <xf numFmtId="40" fontId="73" fillId="6" borderId="8" xfId="11" applyNumberFormat="1" applyFont="1" applyFill="1" applyBorder="1" applyAlignment="1">
      <alignment horizontal="center" vertical="center" wrapText="1"/>
    </xf>
    <xf numFmtId="164" fontId="25" fillId="0" borderId="65" xfId="5" applyFont="1" applyBorder="1" applyAlignment="1">
      <alignment horizontal="right" vertical="center"/>
    </xf>
    <xf numFmtId="40" fontId="25" fillId="7" borderId="65" xfId="11" applyNumberFormat="1" applyFont="1" applyFill="1" applyBorder="1" applyAlignment="1">
      <alignment horizontal="right" vertical="center"/>
    </xf>
    <xf numFmtId="40" fontId="25" fillId="7" borderId="120" xfId="11" applyNumberFormat="1" applyFont="1" applyFill="1" applyBorder="1" applyAlignment="1">
      <alignment vertical="center"/>
    </xf>
    <xf numFmtId="195" fontId="73" fillId="6" borderId="6" xfId="11" applyNumberFormat="1" applyFont="1" applyFill="1" applyBorder="1" applyAlignment="1">
      <alignment horizontal="center" vertical="center"/>
    </xf>
    <xf numFmtId="2" fontId="25" fillId="0" borderId="66" xfId="11" applyNumberFormat="1" applyFont="1" applyBorder="1" applyAlignment="1">
      <alignment horizontal="right" vertical="center" wrapText="1"/>
    </xf>
    <xf numFmtId="196" fontId="25" fillId="7" borderId="169" xfId="11" applyNumberFormat="1" applyFont="1" applyFill="1" applyBorder="1" applyAlignment="1">
      <alignment vertical="center"/>
    </xf>
    <xf numFmtId="0" fontId="9" fillId="0" borderId="0" xfId="11" applyFont="1" applyAlignment="1">
      <alignment vertical="center"/>
    </xf>
    <xf numFmtId="0" fontId="51" fillId="0" borderId="0" xfId="11" applyFont="1"/>
    <xf numFmtId="10" fontId="25" fillId="5" borderId="67" xfId="5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164" fontId="2" fillId="0" borderId="14" xfId="1" applyNumberFormat="1" applyFont="1" applyFill="1" applyBorder="1" applyAlignment="1">
      <alignment vertical="center"/>
    </xf>
    <xf numFmtId="43" fontId="17" fillId="0" borderId="15" xfId="1" applyFont="1" applyFill="1" applyBorder="1"/>
    <xf numFmtId="166" fontId="2" fillId="0" borderId="3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72" fontId="2" fillId="0" borderId="1" xfId="1" applyNumberFormat="1" applyFont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5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70" xfId="0" applyFont="1" applyBorder="1" applyAlignment="1">
      <alignment horizontal="center" vertical="center"/>
    </xf>
    <xf numFmtId="0" fontId="2" fillId="0" borderId="162" xfId="0" applyFont="1" applyBorder="1" applyAlignment="1">
      <alignment horizontal="center" vertical="center"/>
    </xf>
    <xf numFmtId="166" fontId="2" fillId="5" borderId="110" xfId="1" applyNumberFormat="1" applyFont="1" applyFill="1" applyBorder="1" applyAlignment="1">
      <alignment vertical="center"/>
    </xf>
    <xf numFmtId="0" fontId="2" fillId="0" borderId="64" xfId="0" applyFont="1" applyBorder="1" applyAlignment="1">
      <alignment vertical="center" wrapText="1"/>
    </xf>
    <xf numFmtId="43" fontId="2" fillId="0" borderId="171" xfId="1" applyFont="1" applyFill="1" applyBorder="1" applyAlignment="1">
      <alignment vertical="center"/>
    </xf>
    <xf numFmtId="10" fontId="2" fillId="0" borderId="163" xfId="1" applyNumberFormat="1" applyFont="1" applyFill="1" applyBorder="1" applyAlignment="1">
      <alignment vertical="center"/>
    </xf>
    <xf numFmtId="10" fontId="2" fillId="0" borderId="0" xfId="1" applyNumberFormat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166" fontId="0" fillId="0" borderId="11" xfId="1" applyNumberFormat="1" applyFont="1" applyFill="1" applyBorder="1" applyAlignment="1"/>
    <xf numFmtId="166" fontId="20" fillId="0" borderId="11" xfId="1" applyNumberFormat="1" applyFont="1" applyFill="1" applyBorder="1" applyAlignment="1"/>
    <xf numFmtId="166" fontId="61" fillId="0" borderId="11" xfId="1" applyNumberFormat="1" applyFont="1" applyFill="1" applyBorder="1" applyAlignment="1"/>
    <xf numFmtId="0" fontId="2" fillId="0" borderId="165" xfId="0" applyFont="1" applyBorder="1" applyAlignment="1">
      <alignment horizontal="center" vertical="center"/>
    </xf>
    <xf numFmtId="166" fontId="2" fillId="5" borderId="63" xfId="1" applyNumberFormat="1" applyFont="1" applyFill="1" applyBorder="1" applyAlignment="1">
      <alignment vertical="center"/>
    </xf>
    <xf numFmtId="43" fontId="2" fillId="0" borderId="172" xfId="1" applyFont="1" applyFill="1" applyBorder="1" applyAlignment="1">
      <alignment vertical="center"/>
    </xf>
    <xf numFmtId="10" fontId="2" fillId="0" borderId="164" xfId="1" applyNumberFormat="1" applyFont="1" applyFill="1" applyBorder="1" applyAlignment="1">
      <alignment vertical="center"/>
    </xf>
    <xf numFmtId="0" fontId="2" fillId="0" borderId="166" xfId="0" applyFont="1" applyBorder="1" applyAlignment="1">
      <alignment horizontal="center" vertical="center"/>
    </xf>
    <xf numFmtId="166" fontId="2" fillId="5" borderId="63" xfId="1" quotePrefix="1" applyNumberFormat="1" applyFont="1" applyFill="1" applyBorder="1" applyAlignment="1">
      <alignment vertical="center"/>
    </xf>
    <xf numFmtId="166" fontId="2" fillId="5" borderId="63" xfId="1" applyNumberFormat="1" applyFont="1" applyFill="1" applyBorder="1" applyAlignment="1">
      <alignment horizontal="center" vertical="center"/>
    </xf>
    <xf numFmtId="0" fontId="10" fillId="0" borderId="166" xfId="0" applyFont="1" applyBorder="1" applyAlignment="1">
      <alignment horizontal="center" vertical="center"/>
    </xf>
    <xf numFmtId="166" fontId="2" fillId="5" borderId="63" xfId="1" applyNumberFormat="1" applyFont="1" applyFill="1" applyBorder="1"/>
    <xf numFmtId="0" fontId="10" fillId="0" borderId="167" xfId="0" applyFont="1" applyBorder="1" applyAlignment="1">
      <alignment horizontal="center" vertical="center"/>
    </xf>
    <xf numFmtId="43" fontId="2" fillId="0" borderId="164" xfId="1" applyFont="1" applyFill="1" applyBorder="1" applyAlignment="1">
      <alignment vertical="center"/>
    </xf>
    <xf numFmtId="166" fontId="9" fillId="0" borderId="158" xfId="1" applyNumberFormat="1" applyFont="1" applyFill="1" applyBorder="1" applyAlignment="1">
      <alignment vertical="center"/>
    </xf>
    <xf numFmtId="0" fontId="9" fillId="0" borderId="173" xfId="0" applyFont="1" applyBorder="1" applyAlignment="1">
      <alignment vertical="center"/>
    </xf>
    <xf numFmtId="43" fontId="3" fillId="0" borderId="160" xfId="1" applyFont="1" applyFill="1" applyBorder="1" applyAlignment="1">
      <alignment vertical="center"/>
    </xf>
    <xf numFmtId="43" fontId="3" fillId="0" borderId="156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66" fillId="0" borderId="0" xfId="1" applyFont="1" applyFill="1" applyAlignment="1">
      <alignment vertical="center"/>
    </xf>
    <xf numFmtId="0" fontId="73" fillId="0" borderId="0" xfId="0" applyFont="1" applyAlignment="1">
      <alignment horizontal="center"/>
    </xf>
    <xf numFmtId="166" fontId="73" fillId="0" borderId="0" xfId="1" applyNumberFormat="1" applyFont="1" applyFill="1"/>
    <xf numFmtId="0" fontId="73" fillId="0" borderId="0" xfId="0" applyFont="1"/>
    <xf numFmtId="0" fontId="5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74" fontId="2" fillId="0" borderId="0" xfId="1" applyNumberFormat="1" applyFont="1" applyAlignment="1">
      <alignment vertical="center"/>
    </xf>
    <xf numFmtId="170" fontId="3" fillId="0" borderId="0" xfId="1" applyNumberFormat="1" applyFont="1"/>
    <xf numFmtId="0" fontId="2" fillId="5" borderId="166" xfId="0" applyFont="1" applyFill="1" applyBorder="1" applyAlignment="1">
      <alignment horizontal="center" vertical="center"/>
    </xf>
    <xf numFmtId="43" fontId="2" fillId="5" borderId="172" xfId="1" applyFont="1" applyFill="1" applyBorder="1" applyAlignment="1">
      <alignment vertical="center"/>
    </xf>
    <xf numFmtId="10" fontId="2" fillId="5" borderId="164" xfId="1" applyNumberFormat="1" applyFont="1" applyFill="1" applyBorder="1" applyAlignment="1">
      <alignment vertical="center"/>
    </xf>
    <xf numFmtId="10" fontId="2" fillId="5" borderId="0" xfId="1" applyNumberFormat="1" applyFont="1" applyFill="1" applyBorder="1" applyAlignment="1">
      <alignment vertical="center"/>
    </xf>
    <xf numFmtId="43" fontId="2" fillId="5" borderId="0" xfId="1" applyFont="1" applyFill="1" applyAlignment="1">
      <alignment vertical="center"/>
    </xf>
    <xf numFmtId="41" fontId="2" fillId="5" borderId="63" xfId="2" applyFont="1" applyFill="1" applyBorder="1" applyAlignment="1">
      <alignment vertical="center"/>
    </xf>
    <xf numFmtId="43" fontId="2" fillId="0" borderId="174" xfId="1" applyFont="1" applyFill="1" applyBorder="1" applyAlignment="1">
      <alignment vertical="center"/>
    </xf>
    <xf numFmtId="166" fontId="2" fillId="5" borderId="66" xfId="1" applyNumberFormat="1" applyFont="1" applyFill="1" applyBorder="1"/>
    <xf numFmtId="43" fontId="2" fillId="0" borderId="175" xfId="1" applyFont="1" applyFill="1" applyBorder="1" applyAlignment="1">
      <alignment vertical="center"/>
    </xf>
    <xf numFmtId="166" fontId="9" fillId="0" borderId="160" xfId="1" applyNumberFormat="1" applyFont="1" applyFill="1" applyBorder="1" applyAlignment="1">
      <alignment vertical="center"/>
    </xf>
    <xf numFmtId="0" fontId="9" fillId="0" borderId="156" xfId="0" applyFont="1" applyBorder="1" applyAlignment="1">
      <alignment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32" fillId="10" borderId="123" xfId="0" applyFont="1" applyFill="1" applyBorder="1" applyAlignment="1">
      <alignment horizontal="left" vertical="center"/>
    </xf>
    <xf numFmtId="0" fontId="32" fillId="10" borderId="124" xfId="0" applyFont="1" applyFill="1" applyBorder="1" applyAlignment="1">
      <alignment horizontal="left" vertical="center"/>
    </xf>
    <xf numFmtId="0" fontId="32" fillId="10" borderId="125" xfId="0" applyFont="1" applyFill="1" applyBorder="1" applyAlignment="1">
      <alignment horizontal="left" vertical="center"/>
    </xf>
    <xf numFmtId="0" fontId="44" fillId="0" borderId="134" xfId="0" applyFont="1" applyBorder="1" applyAlignment="1">
      <alignment horizontal="left" vertical="center"/>
    </xf>
    <xf numFmtId="0" fontId="27" fillId="9" borderId="104" xfId="7" applyFont="1" applyFill="1" applyBorder="1" applyAlignment="1">
      <alignment horizontal="center" vertical="center"/>
    </xf>
    <xf numFmtId="3" fontId="27" fillId="9" borderId="104" xfId="7" applyNumberFormat="1" applyFont="1" applyFill="1" applyBorder="1" applyAlignment="1">
      <alignment horizontal="center" vertical="center"/>
    </xf>
    <xf numFmtId="3" fontId="27" fillId="9" borderId="105" xfId="7" applyNumberFormat="1" applyFont="1" applyFill="1" applyBorder="1" applyAlignment="1">
      <alignment horizontal="center" vertical="center"/>
    </xf>
    <xf numFmtId="3" fontId="27" fillId="9" borderId="106" xfId="7" applyNumberFormat="1" applyFont="1" applyFill="1" applyBorder="1" applyAlignment="1">
      <alignment horizontal="center" vertical="center"/>
    </xf>
    <xf numFmtId="0" fontId="27" fillId="9" borderId="105" xfId="7" applyFont="1" applyFill="1" applyBorder="1" applyAlignment="1">
      <alignment horizontal="center" vertical="center"/>
    </xf>
    <xf numFmtId="0" fontId="27" fillId="9" borderId="106" xfId="7" applyFont="1" applyFill="1" applyBorder="1" applyAlignment="1">
      <alignment horizontal="center" vertical="center"/>
    </xf>
    <xf numFmtId="188" fontId="51" fillId="9" borderId="19" xfId="0" applyNumberFormat="1" applyFont="1" applyFill="1" applyBorder="1" applyAlignment="1">
      <alignment horizontal="center" vertical="center" wrapText="1"/>
    </xf>
    <xf numFmtId="188" fontId="51" fillId="9" borderId="20" xfId="0" applyNumberFormat="1" applyFont="1" applyFill="1" applyBorder="1" applyAlignment="1">
      <alignment horizontal="center" vertical="center" wrapText="1"/>
    </xf>
    <xf numFmtId="0" fontId="51" fillId="0" borderId="143" xfId="0" applyFont="1" applyBorder="1" applyAlignment="1">
      <alignment horizontal="left" vertical="center" wrapText="1"/>
    </xf>
    <xf numFmtId="0" fontId="51" fillId="0" borderId="144" xfId="0" applyFont="1" applyBorder="1" applyAlignment="1">
      <alignment horizontal="left" vertical="center" wrapText="1"/>
    </xf>
    <xf numFmtId="0" fontId="28" fillId="0" borderId="40" xfId="7" applyFont="1" applyBorder="1" applyAlignment="1">
      <alignment horizontal="left" vertical="center"/>
    </xf>
    <xf numFmtId="0" fontId="28" fillId="0" borderId="77" xfId="7" applyFont="1" applyBorder="1" applyAlignment="1">
      <alignment horizontal="left" vertical="center"/>
    </xf>
    <xf numFmtId="0" fontId="28" fillId="0" borderId="76" xfId="7" applyFont="1" applyBorder="1" applyAlignment="1">
      <alignment horizontal="left" vertical="center"/>
    </xf>
    <xf numFmtId="0" fontId="28" fillId="0" borderId="0" xfId="7" applyFont="1" applyAlignment="1">
      <alignment horizontal="left" vertical="center"/>
    </xf>
    <xf numFmtId="0" fontId="51" fillId="9" borderId="42" xfId="0" applyFont="1" applyFill="1" applyBorder="1" applyAlignment="1">
      <alignment horizontal="center" vertical="center" wrapText="1"/>
    </xf>
    <xf numFmtId="0" fontId="51" fillId="9" borderId="141" xfId="0" applyFont="1" applyFill="1" applyBorder="1" applyAlignment="1">
      <alignment horizontal="center" vertical="center" wrapText="1"/>
    </xf>
    <xf numFmtId="0" fontId="51" fillId="9" borderId="43" xfId="0" applyFont="1" applyFill="1" applyBorder="1" applyAlignment="1">
      <alignment horizontal="center" vertical="center" wrapText="1"/>
    </xf>
    <xf numFmtId="0" fontId="51" fillId="9" borderId="140" xfId="0" applyFont="1" applyFill="1" applyBorder="1" applyAlignment="1">
      <alignment horizontal="center" vertical="center" wrapText="1"/>
    </xf>
    <xf numFmtId="188" fontId="51" fillId="9" borderId="86" xfId="0" applyNumberFormat="1" applyFont="1" applyFill="1" applyBorder="1" applyAlignment="1">
      <alignment horizontal="center" vertical="center" wrapText="1"/>
    </xf>
    <xf numFmtId="188" fontId="51" fillId="9" borderId="18" xfId="0" applyNumberFormat="1" applyFont="1" applyFill="1" applyBorder="1" applyAlignment="1">
      <alignment horizontal="center" vertical="center" wrapText="1"/>
    </xf>
    <xf numFmtId="0" fontId="21" fillId="9" borderId="30" xfId="0" applyFont="1" applyFill="1" applyBorder="1" applyAlignment="1">
      <alignment horizontal="left" vertical="center"/>
    </xf>
    <xf numFmtId="0" fontId="21" fillId="9" borderId="135" xfId="0" applyFont="1" applyFill="1" applyBorder="1" applyAlignment="1">
      <alignment horizontal="left" vertical="center"/>
    </xf>
    <xf numFmtId="0" fontId="49" fillId="0" borderId="139" xfId="0" applyFont="1" applyBorder="1" applyAlignment="1">
      <alignment horizontal="left" vertical="center"/>
    </xf>
    <xf numFmtId="0" fontId="30" fillId="9" borderId="104" xfId="0" applyFont="1" applyFill="1" applyBorder="1" applyAlignment="1">
      <alignment horizontal="left" vertical="center"/>
    </xf>
    <xf numFmtId="0" fontId="30" fillId="9" borderId="104" xfId="0" applyFont="1" applyFill="1" applyBorder="1" applyAlignment="1">
      <alignment horizontal="center" vertical="center"/>
    </xf>
    <xf numFmtId="0" fontId="30" fillId="9" borderId="105" xfId="0" applyFont="1" applyFill="1" applyBorder="1" applyAlignment="1">
      <alignment horizontal="center" vertical="center"/>
    </xf>
    <xf numFmtId="188" fontId="51" fillId="9" borderId="43" xfId="0" applyNumberFormat="1" applyFont="1" applyFill="1" applyBorder="1" applyAlignment="1">
      <alignment horizontal="center" vertical="center" wrapText="1"/>
    </xf>
    <xf numFmtId="0" fontId="3" fillId="5" borderId="0" xfId="6" applyFont="1" applyFill="1" applyAlignment="1">
      <alignment horizontal="center" vertical="center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0" fontId="3" fillId="0" borderId="41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2" fillId="0" borderId="59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54" fillId="0" borderId="11" xfId="0" applyFont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86" xfId="0" applyFont="1" applyFill="1" applyBorder="1" applyAlignment="1">
      <alignment horizontal="center" vertical="center"/>
    </xf>
    <xf numFmtId="0" fontId="3" fillId="0" borderId="81" xfId="0" applyFont="1" applyBorder="1" applyAlignment="1">
      <alignment horizontal="center" vertical="top"/>
    </xf>
    <xf numFmtId="0" fontId="3" fillId="0" borderId="32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5" borderId="8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5" borderId="33" xfId="0" applyFont="1" applyFill="1" applyBorder="1" applyAlignment="1">
      <alignment horizontal="center" vertical="top"/>
    </xf>
    <xf numFmtId="0" fontId="3" fillId="11" borderId="30" xfId="0" applyFont="1" applyFill="1" applyBorder="1" applyAlignment="1">
      <alignment horizontal="center" vertical="center"/>
    </xf>
    <xf numFmtId="0" fontId="3" fillId="11" borderId="31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57" fillId="0" borderId="0" xfId="10" applyFont="1" applyAlignment="1">
      <alignment horizontal="center" vertical="top"/>
    </xf>
    <xf numFmtId="0" fontId="57" fillId="0" borderId="0" xfId="10" applyFont="1" applyAlignment="1">
      <alignment horizontal="center" vertical="center"/>
    </xf>
    <xf numFmtId="0" fontId="57" fillId="0" borderId="0" xfId="10" applyFont="1" applyAlignment="1">
      <alignment horizontal="center" vertical="center" wrapText="1"/>
    </xf>
    <xf numFmtId="0" fontId="56" fillId="0" borderId="16" xfId="10" applyFont="1" applyBorder="1" applyAlignment="1">
      <alignment horizontal="center" vertical="center"/>
    </xf>
    <xf numFmtId="0" fontId="56" fillId="0" borderId="51" xfId="10" applyFont="1" applyBorder="1" applyAlignment="1">
      <alignment horizontal="center" vertical="center"/>
    </xf>
    <xf numFmtId="0" fontId="56" fillId="0" borderId="21" xfId="10" applyFont="1" applyBorder="1" applyAlignment="1">
      <alignment horizontal="center" vertical="center"/>
    </xf>
    <xf numFmtId="0" fontId="56" fillId="0" borderId="60" xfId="10" applyFont="1" applyBorder="1" applyAlignment="1">
      <alignment horizontal="left" vertical="center" wrapText="1"/>
    </xf>
    <xf numFmtId="0" fontId="56" fillId="0" borderId="0" xfId="10" applyFont="1" applyAlignment="1">
      <alignment horizontal="right" vertical="center"/>
    </xf>
    <xf numFmtId="0" fontId="56" fillId="0" borderId="60" xfId="10" applyFont="1" applyBorder="1" applyAlignment="1">
      <alignment horizontal="left"/>
    </xf>
    <xf numFmtId="0" fontId="56" fillId="0" borderId="16" xfId="10" applyFont="1" applyBorder="1" applyAlignment="1">
      <alignment horizontal="center" vertical="center" wrapText="1"/>
    </xf>
    <xf numFmtId="0" fontId="56" fillId="0" borderId="51" xfId="10" applyFont="1" applyBorder="1" applyAlignment="1">
      <alignment horizontal="center" vertical="center" wrapText="1"/>
    </xf>
    <xf numFmtId="0" fontId="56" fillId="0" borderId="21" xfId="10" applyFont="1" applyBorder="1" applyAlignment="1">
      <alignment horizontal="center" vertical="center" wrapText="1"/>
    </xf>
    <xf numFmtId="0" fontId="40" fillId="0" borderId="11" xfId="10" quotePrefix="1" applyBorder="1" applyAlignment="1">
      <alignment horizontal="center" vertical="center" wrapText="1"/>
    </xf>
    <xf numFmtId="0" fontId="40" fillId="0" borderId="11" xfId="10" applyBorder="1" applyAlignment="1">
      <alignment horizontal="center" vertical="center"/>
    </xf>
    <xf numFmtId="0" fontId="57" fillId="0" borderId="60" xfId="10" applyFont="1" applyBorder="1" applyAlignment="1">
      <alignment horizontal="left" vertical="top"/>
    </xf>
    <xf numFmtId="0" fontId="57" fillId="0" borderId="0" xfId="10" applyFont="1" applyAlignment="1">
      <alignment horizontal="left" vertical="top"/>
    </xf>
    <xf numFmtId="0" fontId="58" fillId="0" borderId="59" xfId="10" applyFont="1" applyBorder="1" applyAlignment="1">
      <alignment horizontal="center" vertical="center"/>
    </xf>
    <xf numFmtId="0" fontId="40" fillId="0" borderId="11" xfId="10" applyBorder="1" applyAlignment="1">
      <alignment horizontal="center" vertical="top"/>
    </xf>
    <xf numFmtId="0" fontId="55" fillId="0" borderId="11" xfId="10" applyFont="1" applyBorder="1" applyAlignment="1">
      <alignment horizontal="center" vertical="center"/>
    </xf>
    <xf numFmtId="0" fontId="40" fillId="0" borderId="11" xfId="10" applyBorder="1" applyAlignment="1">
      <alignment horizontal="center" vertical="center" wrapText="1"/>
    </xf>
    <xf numFmtId="0" fontId="40" fillId="0" borderId="11" xfId="10" applyBorder="1" applyAlignment="1">
      <alignment horizontal="center" vertical="top" wrapText="1"/>
    </xf>
    <xf numFmtId="15" fontId="40" fillId="0" borderId="11" xfId="10" applyNumberFormat="1" applyBorder="1" applyAlignment="1">
      <alignment horizontal="center" vertical="center" wrapText="1"/>
    </xf>
    <xf numFmtId="0" fontId="9" fillId="0" borderId="0" xfId="11" applyFont="1" applyAlignment="1">
      <alignment horizontal="center" vertical="center"/>
    </xf>
    <xf numFmtId="0" fontId="9" fillId="3" borderId="30" xfId="11" applyFont="1" applyFill="1" applyBorder="1" applyAlignment="1">
      <alignment horizontal="center" vertical="center"/>
    </xf>
    <xf numFmtId="0" fontId="9" fillId="3" borderId="32" xfId="11" applyFont="1" applyFill="1" applyBorder="1" applyAlignment="1">
      <alignment horizontal="center" vertical="center"/>
    </xf>
    <xf numFmtId="0" fontId="9" fillId="3" borderId="17" xfId="11" applyFont="1" applyFill="1" applyBorder="1" applyAlignment="1">
      <alignment horizontal="center" vertical="center"/>
    </xf>
    <xf numFmtId="0" fontId="9" fillId="3" borderId="4" xfId="11" applyFont="1" applyFill="1" applyBorder="1" applyAlignment="1">
      <alignment horizontal="center" vertical="center"/>
    </xf>
    <xf numFmtId="0" fontId="9" fillId="3" borderId="18" xfId="11" applyFont="1" applyFill="1" applyBorder="1" applyAlignment="1">
      <alignment horizontal="center" vertical="center"/>
    </xf>
    <xf numFmtId="0" fontId="9" fillId="3" borderId="19" xfId="11" applyFont="1" applyFill="1" applyBorder="1" applyAlignment="1">
      <alignment horizontal="center" vertical="center"/>
    </xf>
    <xf numFmtId="0" fontId="9" fillId="3" borderId="86" xfId="11" applyFont="1" applyFill="1" applyBorder="1" applyAlignment="1">
      <alignment horizontal="center" vertical="center"/>
    </xf>
    <xf numFmtId="0" fontId="9" fillId="3" borderId="39" xfId="11" applyFont="1" applyFill="1" applyBorder="1" applyAlignment="1">
      <alignment horizontal="center" vertical="center" wrapText="1"/>
    </xf>
    <xf numFmtId="0" fontId="9" fillId="3" borderId="29" xfId="11" applyFont="1" applyFill="1" applyBorder="1" applyAlignment="1">
      <alignment horizontal="center" vertical="center" wrapText="1"/>
    </xf>
    <xf numFmtId="0" fontId="20" fillId="5" borderId="0" xfId="11" quotePrefix="1" applyFont="1" applyFill="1" applyAlignment="1">
      <alignment horizontal="left" vertical="center"/>
    </xf>
    <xf numFmtId="0" fontId="20" fillId="5" borderId="0" xfId="11" quotePrefix="1" applyFont="1" applyFill="1" applyAlignment="1">
      <alignment horizontal="left" vertical="center" wrapText="1"/>
    </xf>
    <xf numFmtId="0" fontId="10" fillId="0" borderId="0" xfId="11" applyFont="1" applyAlignment="1">
      <alignment horizontal="center" vertical="center"/>
    </xf>
    <xf numFmtId="0" fontId="65" fillId="0" borderId="0" xfId="11" applyFont="1" applyAlignment="1">
      <alignment horizontal="center" vertical="center"/>
    </xf>
    <xf numFmtId="0" fontId="66" fillId="0" borderId="0" xfId="11" applyFont="1" applyAlignment="1">
      <alignment horizontal="center"/>
    </xf>
    <xf numFmtId="0" fontId="67" fillId="0" borderId="0" xfId="11" applyFont="1" applyAlignment="1">
      <alignment horizontal="center"/>
    </xf>
    <xf numFmtId="0" fontId="3" fillId="3" borderId="11" xfId="11" applyFont="1" applyFill="1" applyBorder="1" applyAlignment="1">
      <alignment horizontal="center" vertical="center"/>
    </xf>
    <xf numFmtId="0" fontId="3" fillId="3" borderId="6" xfId="11" applyFont="1" applyFill="1" applyBorder="1" applyAlignment="1">
      <alignment horizontal="center" vertical="center"/>
    </xf>
    <xf numFmtId="0" fontId="3" fillId="3" borderId="4" xfId="11" applyFont="1" applyFill="1" applyBorder="1" applyAlignment="1">
      <alignment horizontal="center" vertical="center"/>
    </xf>
    <xf numFmtId="0" fontId="3" fillId="3" borderId="2" xfId="11" applyFont="1" applyFill="1" applyBorder="1" applyAlignment="1">
      <alignment horizontal="center" vertical="center"/>
    </xf>
    <xf numFmtId="0" fontId="3" fillId="3" borderId="51" xfId="11" applyFont="1" applyFill="1" applyBorder="1" applyAlignment="1">
      <alignment horizontal="center"/>
    </xf>
    <xf numFmtId="0" fontId="9" fillId="3" borderId="51" xfId="11" applyFont="1" applyFill="1" applyBorder="1" applyAlignment="1">
      <alignment horizontal="center"/>
    </xf>
    <xf numFmtId="0" fontId="9" fillId="3" borderId="6" xfId="11" applyFont="1" applyFill="1" applyBorder="1" applyAlignment="1">
      <alignment horizontal="center" vertical="center" wrapText="1"/>
    </xf>
    <xf numFmtId="0" fontId="9" fillId="3" borderId="4" xfId="11" applyFont="1" applyFill="1" applyBorder="1" applyAlignment="1">
      <alignment horizontal="center" vertical="center" wrapText="1"/>
    </xf>
    <xf numFmtId="0" fontId="9" fillId="3" borderId="2" xfId="11" applyFont="1" applyFill="1" applyBorder="1" applyAlignment="1">
      <alignment horizontal="center" vertical="center" wrapText="1"/>
    </xf>
    <xf numFmtId="0" fontId="9" fillId="3" borderId="23" xfId="11" applyFont="1" applyFill="1" applyBorder="1" applyAlignment="1">
      <alignment horizontal="center" vertical="center" wrapText="1"/>
    </xf>
    <xf numFmtId="0" fontId="9" fillId="3" borderId="8" xfId="11" applyFont="1" applyFill="1" applyBorder="1" applyAlignment="1">
      <alignment horizontal="center" vertical="center" wrapText="1"/>
    </xf>
    <xf numFmtId="0" fontId="9" fillId="3" borderId="28" xfId="11" applyFont="1" applyFill="1" applyBorder="1" applyAlignment="1">
      <alignment horizontal="center" vertical="center" wrapText="1"/>
    </xf>
    <xf numFmtId="0" fontId="3" fillId="3" borderId="13" xfId="11" applyFont="1" applyFill="1" applyBorder="1" applyAlignment="1">
      <alignment horizontal="center" vertical="center" wrapText="1"/>
    </xf>
    <xf numFmtId="0" fontId="3" fillId="3" borderId="58" xfId="11" applyFont="1" applyFill="1" applyBorder="1" applyAlignment="1">
      <alignment horizontal="center" vertical="center" wrapText="1"/>
    </xf>
    <xf numFmtId="0" fontId="3" fillId="3" borderId="6" xfId="11" applyFont="1" applyFill="1" applyBorder="1" applyAlignment="1">
      <alignment horizontal="center" vertical="center" wrapText="1"/>
    </xf>
    <xf numFmtId="0" fontId="3" fillId="3" borderId="2" xfId="11" applyFont="1" applyFill="1" applyBorder="1" applyAlignment="1">
      <alignment horizontal="center" vertical="center" wrapText="1"/>
    </xf>
    <xf numFmtId="0" fontId="69" fillId="0" borderId="0" xfId="11" quotePrefix="1" applyFont="1" applyAlignment="1">
      <alignment horizontal="left" vertical="center"/>
    </xf>
    <xf numFmtId="0" fontId="10" fillId="0" borderId="0" xfId="11" quotePrefix="1" applyFont="1" applyAlignment="1">
      <alignment horizontal="left" vertical="center"/>
    </xf>
    <xf numFmtId="0" fontId="9" fillId="3" borderId="13" xfId="11" applyFont="1" applyFill="1" applyBorder="1" applyAlignment="1">
      <alignment horizontal="center" vertical="center" wrapText="1"/>
    </xf>
    <xf numFmtId="0" fontId="9" fillId="3" borderId="58" xfId="11" applyFont="1" applyFill="1" applyBorder="1" applyAlignment="1">
      <alignment horizontal="center" vertical="center" wrapText="1"/>
    </xf>
    <xf numFmtId="40" fontId="25" fillId="0" borderId="102" xfId="11" applyNumberFormat="1" applyFont="1" applyBorder="1" applyAlignment="1">
      <alignment horizontal="left" vertical="center"/>
    </xf>
    <xf numFmtId="40" fontId="25" fillId="0" borderId="119" xfId="11" applyNumberFormat="1" applyFont="1" applyBorder="1" applyAlignment="1">
      <alignment horizontal="left" vertical="center"/>
    </xf>
    <xf numFmtId="0" fontId="70" fillId="0" borderId="0" xfId="11" applyFont="1" applyAlignment="1">
      <alignment horizontal="center"/>
    </xf>
    <xf numFmtId="0" fontId="71" fillId="0" borderId="0" xfId="11" applyFont="1" applyAlignment="1">
      <alignment horizontal="center"/>
    </xf>
    <xf numFmtId="0" fontId="73" fillId="6" borderId="50" xfId="11" applyFont="1" applyFill="1" applyBorder="1" applyAlignment="1">
      <alignment horizontal="center" vertical="center"/>
    </xf>
    <xf numFmtId="0" fontId="73" fillId="6" borderId="51" xfId="11" applyFont="1" applyFill="1" applyBorder="1" applyAlignment="1">
      <alignment horizontal="center" vertical="center"/>
    </xf>
    <xf numFmtId="0" fontId="73" fillId="6" borderId="47" xfId="11" applyFont="1" applyFill="1" applyBorder="1" applyAlignment="1">
      <alignment horizontal="center" vertical="center"/>
    </xf>
    <xf numFmtId="0" fontId="25" fillId="0" borderId="102" xfId="11" applyFont="1" applyBorder="1" applyAlignment="1">
      <alignment horizontal="left" vertical="center" wrapText="1"/>
    </xf>
    <xf numFmtId="0" fontId="25" fillId="0" borderId="119" xfId="11" applyFont="1" applyBorder="1" applyAlignment="1">
      <alignment horizontal="left" vertical="center" wrapText="1"/>
    </xf>
    <xf numFmtId="0" fontId="74" fillId="0" borderId="0" xfId="11" applyFont="1" applyAlignment="1">
      <alignment horizontal="left" vertical="center"/>
    </xf>
    <xf numFmtId="0" fontId="74" fillId="0" borderId="0" xfId="11" quotePrefix="1" applyFont="1" applyAlignment="1">
      <alignment horizontal="left" vertical="center"/>
    </xf>
    <xf numFmtId="0" fontId="2" fillId="0" borderId="0" xfId="0" applyFont="1" applyAlignment="1">
      <alignment horizontal="left"/>
    </xf>
    <xf numFmtId="17" fontId="4" fillId="0" borderId="0" xfId="0" applyNumberFormat="1" applyFont="1" applyAlignment="1">
      <alignment horizontal="center" vertical="center"/>
    </xf>
    <xf numFmtId="0" fontId="9" fillId="0" borderId="153" xfId="0" applyFont="1" applyBorder="1" applyAlignment="1">
      <alignment horizontal="center" vertical="center"/>
    </xf>
    <xf numFmtId="0" fontId="9" fillId="0" borderId="157" xfId="0" applyFont="1" applyBorder="1" applyAlignment="1">
      <alignment horizontal="center" vertical="center"/>
    </xf>
    <xf numFmtId="0" fontId="9" fillId="0" borderId="130" xfId="0" applyFont="1" applyBorder="1" applyAlignment="1">
      <alignment horizontal="center" vertical="center" wrapText="1"/>
    </xf>
    <xf numFmtId="0" fontId="2" fillId="0" borderId="158" xfId="0" applyFont="1" applyBorder="1" applyAlignment="1">
      <alignment horizontal="center" vertical="center" wrapText="1"/>
    </xf>
    <xf numFmtId="0" fontId="9" fillId="0" borderId="128" xfId="0" applyFont="1" applyBorder="1" applyAlignment="1">
      <alignment horizontal="center" vertical="center"/>
    </xf>
    <xf numFmtId="0" fontId="9" fillId="0" borderId="159" xfId="0" applyFont="1" applyBorder="1" applyAlignment="1">
      <alignment horizontal="center" vertical="center"/>
    </xf>
    <xf numFmtId="0" fontId="9" fillId="0" borderId="154" xfId="0" applyFont="1" applyBorder="1" applyAlignment="1">
      <alignment horizontal="center" vertical="center"/>
    </xf>
    <xf numFmtId="0" fontId="9" fillId="0" borderId="155" xfId="0" applyFont="1" applyBorder="1" applyAlignment="1">
      <alignment horizontal="center" vertical="center"/>
    </xf>
    <xf numFmtId="0" fontId="9" fillId="0" borderId="15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11" applyFont="1" applyAlignment="1">
      <alignment horizontal="left" vertical="center"/>
    </xf>
    <xf numFmtId="17" fontId="3" fillId="0" borderId="0" xfId="11" applyNumberFormat="1" applyFont="1" applyAlignment="1">
      <alignment horizontal="center" vertical="center"/>
    </xf>
    <xf numFmtId="0" fontId="9" fillId="0" borderId="153" xfId="11" applyFont="1" applyBorder="1" applyAlignment="1">
      <alignment horizontal="center" vertical="center"/>
    </xf>
    <xf numFmtId="0" fontId="9" fillId="0" borderId="157" xfId="11" applyFont="1" applyBorder="1" applyAlignment="1">
      <alignment horizontal="center" vertical="center"/>
    </xf>
    <xf numFmtId="0" fontId="9" fillId="0" borderId="130" xfId="11" applyFont="1" applyBorder="1" applyAlignment="1">
      <alignment horizontal="center" vertical="center" wrapText="1"/>
    </xf>
    <xf numFmtId="0" fontId="2" fillId="0" borderId="158" xfId="11" applyFont="1" applyBorder="1" applyAlignment="1">
      <alignment horizontal="center" vertical="center" wrapText="1"/>
    </xf>
    <xf numFmtId="0" fontId="9" fillId="0" borderId="128" xfId="11" applyFont="1" applyBorder="1" applyAlignment="1">
      <alignment horizontal="center" vertical="center"/>
    </xf>
    <xf numFmtId="0" fontId="9" fillId="0" borderId="159" xfId="11" applyFont="1" applyBorder="1" applyAlignment="1">
      <alignment horizontal="center" vertical="center"/>
    </xf>
    <xf numFmtId="0" fontId="9" fillId="0" borderId="154" xfId="11" applyFont="1" applyBorder="1" applyAlignment="1">
      <alignment horizontal="center" vertical="center"/>
    </xf>
    <xf numFmtId="0" fontId="9" fillId="0" borderId="155" xfId="11" applyFont="1" applyBorder="1" applyAlignment="1">
      <alignment horizontal="center" vertical="center"/>
    </xf>
    <xf numFmtId="0" fontId="9" fillId="0" borderId="156" xfId="11" applyFont="1" applyBorder="1" applyAlignment="1">
      <alignment horizontal="center" vertical="center"/>
    </xf>
    <xf numFmtId="0" fontId="2" fillId="0" borderId="0" xfId="11" quotePrefix="1" applyFont="1" applyAlignment="1">
      <alignment horizontal="left"/>
    </xf>
    <xf numFmtId="0" fontId="2" fillId="0" borderId="0" xfId="11" applyFont="1" applyAlignment="1">
      <alignment horizontal="left"/>
    </xf>
    <xf numFmtId="0" fontId="3" fillId="0" borderId="0" xfId="11" applyFont="1" applyAlignment="1">
      <alignment horizontal="center"/>
    </xf>
    <xf numFmtId="10" fontId="0" fillId="0" borderId="11" xfId="0" applyNumberForma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58" xfId="0" applyFont="1" applyBorder="1" applyAlignment="1">
      <alignment horizontal="center"/>
    </xf>
    <xf numFmtId="0" fontId="23" fillId="0" borderId="59" xfId="0" applyFont="1" applyBorder="1" applyAlignment="1">
      <alignment horizont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23" fillId="0" borderId="11" xfId="0" applyFont="1" applyBorder="1" applyAlignment="1">
      <alignment horizontal="center"/>
    </xf>
    <xf numFmtId="0" fontId="0" fillId="0" borderId="0" xfId="0" applyAlignment="1">
      <alignment horizontal="left"/>
    </xf>
  </cellXfs>
  <cellStyles count="14">
    <cellStyle name="Comma [0] 7 6" xfId="4" xr:uid="{ECFD3BC1-7400-4267-8DA1-28CB919DA43E}"/>
    <cellStyle name="Koma" xfId="1" builtinId="3"/>
    <cellStyle name="Koma [0]" xfId="2" builtinId="6"/>
    <cellStyle name="Koma [0] 2" xfId="12" xr:uid="{6647D73B-5051-4BD0-866A-D89A6B222F4B}"/>
    <cellStyle name="Koma 2" xfId="5" xr:uid="{18F76E38-5E99-403C-A587-8F4C77CDF59E}"/>
    <cellStyle name="Normal" xfId="0" builtinId="0"/>
    <cellStyle name="Normal 2" xfId="6" xr:uid="{A6D52D10-6F0D-4177-BF70-8FFCE34C9EC3}"/>
    <cellStyle name="Normal 2 2" xfId="7" xr:uid="{0FF02BD5-5888-4A6C-AB2D-E78FAB122086}"/>
    <cellStyle name="Normal 236" xfId="9" xr:uid="{587CA2C4-5861-4065-B597-D078C10DB76E}"/>
    <cellStyle name="Normal 3" xfId="10" xr:uid="{70337782-CF02-4E3D-8A8B-402E134C3B03}"/>
    <cellStyle name="Normal 4" xfId="11" xr:uid="{1A6B0AD7-5482-4F9D-A319-14766D2D977C}"/>
    <cellStyle name="Normal 5" xfId="13" xr:uid="{9542830F-8C37-4173-95F7-43396221C506}"/>
    <cellStyle name="Percent 4" xfId="8" xr:uid="{80ED6CE8-C19A-4395-B593-7DB5B1686DD3}"/>
    <cellStyle name="Persen" xfId="3" builtinId="5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28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1.xml"/><Relationship Id="rId58" Type="http://schemas.microsoft.com/office/2017/10/relationships/person" Target="persons/perso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54" Type="http://schemas.openxmlformats.org/officeDocument/2006/relationships/externalLink" Target="externalLinks/externalLink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27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52" Type="http://schemas.openxmlformats.org/officeDocument/2006/relationships/externalLink" Target="externalLinks/externalLink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52107</xdr:colOff>
      <xdr:row>1</xdr:row>
      <xdr:rowOff>283508</xdr:rowOff>
    </xdr:from>
    <xdr:to>
      <xdr:col>2</xdr:col>
      <xdr:colOff>595032</xdr:colOff>
      <xdr:row>3</xdr:row>
      <xdr:rowOff>156882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1FB46D1-FD50-4787-941F-FE2566290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007" y="445433"/>
          <a:ext cx="542925" cy="549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.xlsx" TargetMode="External"/><Relationship Id="rId1" Type="http://schemas.openxmlformats.org/officeDocument/2006/relationships/externalLinkPath" Target="file:///C:\Users\User\Downloads\09.%20PT_INL_Monthly%20Storage%20Tangki%20PT.INL%20September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1).xlsx" TargetMode="External"/><Relationship Id="rId1" Type="http://schemas.openxmlformats.org/officeDocument/2006/relationships/externalLinkPath" Target="file:///C:\Users\User\Downloads\09.%20PT_INL_Monthly%20Storage%20Tangki%20PT.INL%20September%202024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2).xlsx" TargetMode="External"/><Relationship Id="rId1" Type="http://schemas.openxmlformats.org/officeDocument/2006/relationships/externalLinkPath" Target="file:///C:\Users\User\Downloads\09.%20PT_INL_Monthly%20Storage%20Tangki%20PT.INL%20September%202024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3).xlsx" TargetMode="External"/><Relationship Id="rId1" Type="http://schemas.openxmlformats.org/officeDocument/2006/relationships/externalLinkPath" Target="file:///C:\Users\User\Downloads\09.%20PT_INL_Monthly%20Storage%20Tangki%20PT.INL%20September%202024%20(3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4).xlsx" TargetMode="External"/><Relationship Id="rId1" Type="http://schemas.openxmlformats.org/officeDocument/2006/relationships/externalLinkPath" Target="file:///C:\Users\User\Downloads\09.%20PT_INL_Monthly%20Storage%20Tangki%20PT.INL%20September%202024%20(4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5).xlsx" TargetMode="External"/><Relationship Id="rId1" Type="http://schemas.openxmlformats.org/officeDocument/2006/relationships/externalLinkPath" Target="file:///C:\Users\User\Downloads\09.%20PT_INL_Monthly%20Storage%20Tangki%20PT.INL%20September%202024%20(5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8).xlsx" TargetMode="External"/><Relationship Id="rId1" Type="http://schemas.openxmlformats.org/officeDocument/2006/relationships/externalLinkPath" Target="file:///C:\Users\User\Downloads\09.%20PT_INL_Monthly%20Storage%20Tangki%20PT.INL%20September%202024%20(8)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10).xlsx" TargetMode="External"/><Relationship Id="rId1" Type="http://schemas.openxmlformats.org/officeDocument/2006/relationships/externalLinkPath" Target="file:///C:\Users\User\Downloads\09.%20PT_INL_Monthly%20Storage%20Tangki%20PT.INL%20September%202024%20(10)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6).xlsx" TargetMode="External"/><Relationship Id="rId1" Type="http://schemas.openxmlformats.org/officeDocument/2006/relationships/externalLinkPath" Target="file:///C:\Users\User\Downloads\09.%20PT_INL_Monthly%20Storage%20Tangki%20PT.INL%20September%202024%20(6)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7).xlsx" TargetMode="External"/><Relationship Id="rId1" Type="http://schemas.openxmlformats.org/officeDocument/2006/relationships/externalLinkPath" Target="file:///C:\Users\User\Downloads\09.%20PT_INL_Monthly%20Storage%20Tangki%20PT.INL%20September%202024%20(7)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9).xlsx" TargetMode="External"/><Relationship Id="rId1" Type="http://schemas.openxmlformats.org/officeDocument/2006/relationships/externalLinkPath" Target="file:///C:\Users\User\Downloads\09.%20PT_INL_Monthly%20Storage%20Tangki%20PT.INL%20September%202024%20(9)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11).xlsx" TargetMode="External"/><Relationship Id="rId1" Type="http://schemas.openxmlformats.org/officeDocument/2006/relationships/externalLinkPath" Target="file:///C:\Users\User\Downloads\09.%20PT_INL_Monthly%20Storage%20Tangki%20PT.INL%20September%202024%20(11)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12).xlsx" TargetMode="External"/><Relationship Id="rId1" Type="http://schemas.openxmlformats.org/officeDocument/2006/relationships/externalLinkPath" Target="file:///C:\Users\User\Downloads\09.%20PT_INL_Monthly%20Storage%20Tangki%20PT.INL%20September%202024%20(12)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13).xlsx" TargetMode="External"/><Relationship Id="rId1" Type="http://schemas.openxmlformats.org/officeDocument/2006/relationships/externalLinkPath" Target="file:///C:\Users\User\Downloads\09.%20PT_INL_Monthly%20Storage%20Tangki%20PT.INL%20September%202024%20(13)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14).xlsx" TargetMode="External"/><Relationship Id="rId1" Type="http://schemas.openxmlformats.org/officeDocument/2006/relationships/externalLinkPath" Target="file:///C:\Users\User\Downloads\09.%20PT_INL_Monthly%20Storage%20Tangki%20PT.INL%20September%202024%20(14)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15).xlsx" TargetMode="External"/><Relationship Id="rId1" Type="http://schemas.openxmlformats.org/officeDocument/2006/relationships/externalLinkPath" Target="file:///C:\Users\User\Downloads\09.%20PT_INL_Monthly%20Storage%20Tangki%20PT.INL%20September%202024%20(15)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16).xlsx" TargetMode="External"/><Relationship Id="rId1" Type="http://schemas.openxmlformats.org/officeDocument/2006/relationships/externalLinkPath" Target="file:///C:\Users\User\Downloads\09.%20PT_INL_Monthly%20Storage%20Tangki%20PT.INL%20September%202024%20(16)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17).xlsx" TargetMode="External"/><Relationship Id="rId1" Type="http://schemas.openxmlformats.org/officeDocument/2006/relationships/externalLinkPath" Target="file:///C:\Users\User\Downloads\09.%20PT_INL_Monthly%20Storage%20Tangki%20PT.INL%20September%202024%20(17)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9.%20PT_INL_Monthly%20Storage%20Tangki%20PT.INL%20September%202024%20(19).xlsx" TargetMode="External"/><Relationship Id="rId1" Type="http://schemas.openxmlformats.org/officeDocument/2006/relationships/externalLinkPath" Target="file:///C:\Users\User\Downloads\09.%20PT_INL_Monthly%20Storage%20Tangki%20PT.INL%20September%202024%20(19)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file:///C:\Users\User\Downloads\Formula%20Production%20Cost%20INL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Formula%20Production%20Cost%20INL%20master%20.xlsx" TargetMode="External"/><Relationship Id="rId1" Type="http://schemas.openxmlformats.org/officeDocument/2006/relationships/externalLinkPath" Target="/HPP/Formula%20Production%20Cost%20INL%20master%20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PEKERJAAN\LAPORAN%20PRODUKSI\Production%20Report%20Yearly\Production%20Report%20BELAJAR%202024.xlsx" TargetMode="External"/><Relationship Id="rId1" Type="http://schemas.openxmlformats.org/officeDocument/2006/relationships/externalLinkPath" Target="/01.%20PEKERJAAN/LAPORAN%20PRODUKSI/Production%20Report%20Yearly/Production%20Report%20BELAJAR%20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4.DAILY%20REPORT%20PRODUCTION%20APRIL%202024%20(4).xlsx" TargetMode="External"/><Relationship Id="rId1" Type="http://schemas.openxmlformats.org/officeDocument/2006/relationships/externalLinkPath" Target="file:///C:\Users\User\Downloads\04.DAILY%20REPORT%20PRODUCTION%20APRIL%202024%20(4)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5.DAILY%20REPORT%20PRODUCTION%20MEI%202024%20(6).xlsx" TargetMode="External"/><Relationship Id="rId1" Type="http://schemas.openxmlformats.org/officeDocument/2006/relationships/externalLinkPath" Target="file:///C:\Users\User\Downloads\05.DAILY%20REPORT%20PRODUCTION%20MEI%202024%20(6)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6.DAILY%20REPORT%20PRODUCTION%20JUNI%202024%20(6).xlsx" TargetMode="External"/><Relationship Id="rId1" Type="http://schemas.openxmlformats.org/officeDocument/2006/relationships/externalLinkPath" Target="file:///C:\Users\User\Downloads\06.DAILY%20REPORT%20PRODUCTION%20JUNI%202024%20(6)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7.%20DAILY%20REPORT%20PRODUCTION%20JULI%202024.xlsx" TargetMode="External"/><Relationship Id="rId1" Type="http://schemas.openxmlformats.org/officeDocument/2006/relationships/externalLinkPath" Target="file:///C:\Users\User\Downloads\07.%20DAILY%20REPORT%20PRODUCTION%20JULI%202024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8.%20DAILY%20REPORT%20PRODUCTION%20AGUSTUS%202024.xlsx" TargetMode="External"/><Relationship Id="rId1" Type="http://schemas.openxmlformats.org/officeDocument/2006/relationships/externalLinkPath" Target="file:///C:\Users\User\Downloads\08.%20DAILY%20REPORT%20PRODUCTION%20AGUSTUS%202024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7.%20DAILY%20REPORT%20PRODUCTION%20JULI%202024%20(4).xlsx" TargetMode="External"/><Relationship Id="rId1" Type="http://schemas.openxmlformats.org/officeDocument/2006/relationships/externalLinkPath" Target="file:///C:\Users\User\Downloads\07.%20DAILY%20REPORT%20PRODUCTION%20JULI%202024%20(4)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2.DAILY%20REPORT%20PRODUCTION%20FEBRUARI%202024%20(9).xlsx" TargetMode="External"/><Relationship Id="rId1" Type="http://schemas.openxmlformats.org/officeDocument/2006/relationships/externalLinkPath" Target="/1.%20AUDIT%20TCP%20(%20BCG%20)/02.DAILY%20REPORT%20PRODUCTION%20FEBRUARI%202024%20(9)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1.DAILY%20REPORT%20PRODUCTION%20JANUARI%202024%20(8).xlsx" TargetMode="External"/><Relationship Id="rId1" Type="http://schemas.openxmlformats.org/officeDocument/2006/relationships/externalLinkPath" Target="/1.%20AUDIT%20TCP%20(%20BCG%20)/01.DAILY%20REPORT%20PRODUCTION%20JANUARI%202024%20(8)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6.%20Production%20Performance%20Report%20%20juni%202024%20(1).xlsx" TargetMode="External"/><Relationship Id="rId1" Type="http://schemas.openxmlformats.org/officeDocument/2006/relationships/externalLinkPath" Target="file:///C:\Users\User\Downloads\06.%20Production%20Performance%20Report%20%20juni%202024%20(1)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</sheetNames>
    <sheetDataSet>
      <sheetData sheetId="0"/>
      <sheetData sheetId="1">
        <row r="15">
          <cell r="P15">
            <v>0</v>
          </cell>
          <cell r="Q15">
            <v>325264</v>
          </cell>
        </row>
        <row r="18">
          <cell r="P18">
            <v>313195</v>
          </cell>
          <cell r="Q18">
            <v>526736</v>
          </cell>
        </row>
        <row r="22">
          <cell r="P22">
            <v>668457</v>
          </cell>
        </row>
        <row r="26">
          <cell r="P26">
            <v>17895</v>
          </cell>
        </row>
        <row r="29">
          <cell r="P29">
            <v>252686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</sheetNames>
    <sheetDataSet>
      <sheetData sheetId="0"/>
      <sheetData sheetId="1"/>
      <sheetData sheetId="2">
        <row r="15">
          <cell r="P15">
            <v>1091462</v>
          </cell>
          <cell r="Q15">
            <v>244372</v>
          </cell>
        </row>
        <row r="18">
          <cell r="P18">
            <v>224636</v>
          </cell>
          <cell r="Q18">
            <v>224510</v>
          </cell>
        </row>
        <row r="22">
          <cell r="P22">
            <v>169785</v>
          </cell>
        </row>
        <row r="26">
          <cell r="P26">
            <v>9543</v>
          </cell>
        </row>
        <row r="30">
          <cell r="P30">
            <v>81026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8">
          <cell r="P18">
            <v>978845</v>
          </cell>
        </row>
        <row r="26">
          <cell r="P26">
            <v>39994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</sheetNames>
    <sheetDataSet>
      <sheetData sheetId="0"/>
      <sheetData sheetId="1"/>
      <sheetData sheetId="2"/>
      <sheetData sheetId="3">
        <row r="15">
          <cell r="P15">
            <v>775948</v>
          </cell>
          <cell r="Q15">
            <v>1130594</v>
          </cell>
        </row>
        <row r="23">
          <cell r="P23">
            <v>392392</v>
          </cell>
        </row>
        <row r="30">
          <cell r="P30">
            <v>127278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12">
          <cell r="Q12">
            <v>457913</v>
          </cell>
        </row>
        <row r="14">
          <cell r="Q14">
            <v>598896</v>
          </cell>
        </row>
        <row r="15">
          <cell r="P15">
            <v>1072925</v>
          </cell>
        </row>
        <row r="18">
          <cell r="P18">
            <v>1022180</v>
          </cell>
          <cell r="Q18">
            <v>817090</v>
          </cell>
        </row>
        <row r="21">
          <cell r="P21">
            <v>772516</v>
          </cell>
        </row>
        <row r="26">
          <cell r="P26">
            <v>42272</v>
          </cell>
        </row>
        <row r="30">
          <cell r="P30">
            <v>173336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</sheetNames>
    <sheetDataSet>
      <sheetData sheetId="0"/>
      <sheetData sheetId="1"/>
      <sheetData sheetId="2"/>
      <sheetData sheetId="3"/>
      <sheetData sheetId="4">
        <row r="15">
          <cell r="P15">
            <v>411548</v>
          </cell>
          <cell r="Q15">
            <v>686462</v>
          </cell>
        </row>
        <row r="18">
          <cell r="P18">
            <v>666787</v>
          </cell>
          <cell r="Q18">
            <v>695363</v>
          </cell>
        </row>
        <row r="22">
          <cell r="P22">
            <v>521490</v>
          </cell>
        </row>
        <row r="26">
          <cell r="P26">
            <v>27444</v>
          </cell>
        </row>
        <row r="30">
          <cell r="P30">
            <v>216551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</sheetNames>
    <sheetDataSet>
      <sheetData sheetId="0"/>
      <sheetData sheetId="1"/>
      <sheetData sheetId="2"/>
      <sheetData sheetId="3"/>
      <sheetData sheetId="4"/>
      <sheetData sheetId="5">
        <row r="15">
          <cell r="P15">
            <v>662586</v>
          </cell>
          <cell r="Q15">
            <v>608618</v>
          </cell>
        </row>
        <row r="18">
          <cell r="P18">
            <v>465986</v>
          </cell>
          <cell r="Q18">
            <v>628377</v>
          </cell>
        </row>
        <row r="22">
          <cell r="P22">
            <v>374594</v>
          </cell>
        </row>
        <row r="26">
          <cell r="P26">
            <v>24771</v>
          </cell>
        </row>
        <row r="30">
          <cell r="P30">
            <v>191184</v>
          </cell>
        </row>
      </sheetData>
      <sheetData sheetId="6"/>
      <sheetData sheetId="7"/>
      <sheetData sheetId="8"/>
      <sheetData sheetId="9"/>
      <sheetData sheetId="10"/>
      <sheetData sheetId="11">
        <row r="15">
          <cell r="P15">
            <v>820575</v>
          </cell>
          <cell r="Q15">
            <v>1067764</v>
          </cell>
        </row>
        <row r="18">
          <cell r="P18">
            <v>1034913</v>
          </cell>
          <cell r="Q18">
            <v>1110923</v>
          </cell>
        </row>
        <row r="21">
          <cell r="P21">
            <v>730466</v>
          </cell>
        </row>
        <row r="26">
          <cell r="P26">
            <v>45133</v>
          </cell>
        </row>
        <row r="28">
          <cell r="P28">
            <v>186831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</sheetNames>
    <sheetDataSet>
      <sheetData sheetId="0"/>
      <sheetData sheetId="1"/>
      <sheetData sheetId="2"/>
      <sheetData sheetId="3">
        <row r="18">
          <cell r="P18">
            <v>1081467</v>
          </cell>
        </row>
      </sheetData>
      <sheetData sheetId="4"/>
      <sheetData sheetId="5"/>
      <sheetData sheetId="6">
        <row r="15">
          <cell r="P15">
            <v>581111</v>
          </cell>
          <cell r="Q15">
            <v>662414</v>
          </cell>
        </row>
        <row r="18">
          <cell r="P18">
            <v>615068</v>
          </cell>
          <cell r="Q18">
            <v>524444</v>
          </cell>
        </row>
        <row r="22">
          <cell r="P22">
            <v>411892</v>
          </cell>
        </row>
        <row r="26">
          <cell r="P26">
            <v>25126</v>
          </cell>
        </row>
        <row r="30">
          <cell r="P30">
            <v>158241</v>
          </cell>
        </row>
      </sheetData>
      <sheetData sheetId="7"/>
      <sheetData sheetId="8"/>
      <sheetData sheetId="9">
        <row r="15">
          <cell r="P15">
            <v>1393093</v>
          </cell>
          <cell r="Q15">
            <v>1041561</v>
          </cell>
        </row>
        <row r="18">
          <cell r="Q18">
            <v>589345</v>
          </cell>
        </row>
        <row r="21">
          <cell r="P21">
            <v>95794</v>
          </cell>
        </row>
        <row r="22">
          <cell r="P22">
            <v>117352</v>
          </cell>
        </row>
      </sheetData>
      <sheetData sheetId="10"/>
      <sheetData sheetId="11"/>
      <sheetData sheetId="12">
        <row r="15">
          <cell r="P15">
            <v>544250</v>
          </cell>
          <cell r="Q15">
            <v>701797</v>
          </cell>
        </row>
        <row r="18">
          <cell r="P18">
            <v>655534</v>
          </cell>
          <cell r="Q18">
            <v>411103</v>
          </cell>
        </row>
        <row r="21">
          <cell r="P21">
            <v>538270</v>
          </cell>
        </row>
        <row r="26">
          <cell r="P26">
            <v>37189</v>
          </cell>
        </row>
        <row r="28">
          <cell r="P28">
            <v>118662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5">
          <cell r="P15">
            <v>1040334</v>
          </cell>
          <cell r="Q15">
            <v>612421</v>
          </cell>
        </row>
        <row r="18">
          <cell r="P18">
            <v>453240</v>
          </cell>
          <cell r="Q18">
            <v>501574</v>
          </cell>
        </row>
        <row r="22">
          <cell r="P22">
            <v>464613</v>
          </cell>
        </row>
        <row r="26">
          <cell r="P26">
            <v>25986</v>
          </cell>
        </row>
        <row r="30">
          <cell r="P30">
            <v>173994</v>
          </cell>
        </row>
      </sheetData>
      <sheetData sheetId="8">
        <row r="15">
          <cell r="P15">
            <v>0</v>
          </cell>
          <cell r="Q15">
            <v>386446</v>
          </cell>
        </row>
        <row r="18">
          <cell r="P18">
            <v>356656</v>
          </cell>
          <cell r="Q18">
            <v>680764</v>
          </cell>
        </row>
        <row r="22">
          <cell r="P22">
            <v>604158</v>
          </cell>
        </row>
        <row r="26">
          <cell r="P26">
            <v>16762</v>
          </cell>
        </row>
        <row r="30">
          <cell r="P30">
            <v>209676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5">
          <cell r="P15">
            <v>1402234</v>
          </cell>
          <cell r="Q15">
            <v>1154162</v>
          </cell>
        </row>
        <row r="18">
          <cell r="P18">
            <v>1102778</v>
          </cell>
          <cell r="Q18">
            <v>1221935</v>
          </cell>
        </row>
        <row r="21">
          <cell r="P21">
            <v>526646</v>
          </cell>
        </row>
        <row r="26">
          <cell r="P26">
            <v>45065</v>
          </cell>
        </row>
        <row r="27">
          <cell r="P27">
            <v>99947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Lemba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5">
          <cell r="P15">
            <v>646901</v>
          </cell>
          <cell r="Q15">
            <v>563620</v>
          </cell>
        </row>
        <row r="18">
          <cell r="P18">
            <v>511365</v>
          </cell>
          <cell r="Q18">
            <v>634120</v>
          </cell>
        </row>
        <row r="21">
          <cell r="P21">
            <v>572873</v>
          </cell>
        </row>
        <row r="26">
          <cell r="P26">
            <v>16219</v>
          </cell>
        </row>
        <row r="30">
          <cell r="P30">
            <v>124438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P15">
            <v>1738216</v>
          </cell>
        </row>
      </sheetData>
      <sheetData sheetId="15">
        <row r="15">
          <cell r="P15">
            <v>511082</v>
          </cell>
        </row>
      </sheetData>
      <sheetData sheetId="16">
        <row r="18">
          <cell r="Q18">
            <v>688986</v>
          </cell>
        </row>
        <row r="23">
          <cell r="P23">
            <v>964480</v>
          </cell>
        </row>
        <row r="30">
          <cell r="P30">
            <v>208479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5">
          <cell r="P15">
            <v>885719</v>
          </cell>
          <cell r="Q15">
            <v>430122</v>
          </cell>
        </row>
        <row r="18">
          <cell r="P18">
            <v>402238</v>
          </cell>
        </row>
        <row r="26">
          <cell r="P26">
            <v>11052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5">
          <cell r="P15">
            <v>904325</v>
          </cell>
          <cell r="Q15">
            <v>1380669</v>
          </cell>
        </row>
        <row r="18">
          <cell r="P18">
            <v>1334184</v>
          </cell>
          <cell r="Q18">
            <v>867293</v>
          </cell>
        </row>
        <row r="23">
          <cell r="P23">
            <v>822471</v>
          </cell>
        </row>
        <row r="26">
          <cell r="P26">
            <v>58214</v>
          </cell>
        </row>
        <row r="30">
          <cell r="P30">
            <v>196699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5">
          <cell r="P15">
            <v>870362</v>
          </cell>
          <cell r="Q15">
            <v>938737</v>
          </cell>
        </row>
        <row r="18">
          <cell r="P18">
            <v>899645</v>
          </cell>
        </row>
        <row r="21">
          <cell r="P21">
            <v>977688</v>
          </cell>
        </row>
        <row r="26">
          <cell r="P26">
            <v>40299</v>
          </cell>
        </row>
        <row r="30">
          <cell r="P30">
            <v>185126</v>
          </cell>
        </row>
      </sheetData>
      <sheetData sheetId="21"/>
      <sheetData sheetId="2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2 Rev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0">
          <cell r="P30">
            <v>5569</v>
          </cell>
        </row>
      </sheetData>
      <sheetData sheetId="18"/>
      <sheetData sheetId="19"/>
      <sheetData sheetId="20">
        <row r="18">
          <cell r="Q18">
            <v>1218693</v>
          </cell>
        </row>
      </sheetData>
      <sheetData sheetId="21">
        <row r="15">
          <cell r="P15">
            <v>1413850</v>
          </cell>
          <cell r="Q15">
            <v>875019</v>
          </cell>
        </row>
        <row r="18">
          <cell r="P18">
            <v>826606</v>
          </cell>
          <cell r="Q18">
            <v>998551</v>
          </cell>
        </row>
        <row r="21">
          <cell r="P21">
            <v>908032</v>
          </cell>
        </row>
        <row r="26">
          <cell r="P26">
            <v>38288</v>
          </cell>
        </row>
        <row r="30">
          <cell r="P30">
            <v>193691</v>
          </cell>
        </row>
      </sheetData>
      <sheetData sheetId="22">
        <row r="15">
          <cell r="P15">
            <v>577458</v>
          </cell>
        </row>
        <row r="18">
          <cell r="P18">
            <v>34606</v>
          </cell>
          <cell r="Q18">
            <v>284335</v>
          </cell>
        </row>
        <row r="21">
          <cell r="P21">
            <v>343197</v>
          </cell>
        </row>
        <row r="26">
          <cell r="P26">
            <v>1071</v>
          </cell>
        </row>
        <row r="30">
          <cell r="P30">
            <v>88321</v>
          </cell>
        </row>
      </sheetData>
      <sheetData sheetId="23">
        <row r="15">
          <cell r="Q15">
            <v>41122</v>
          </cell>
        </row>
      </sheetData>
      <sheetData sheetId="24">
        <row r="15">
          <cell r="P15">
            <v>737455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2 Rev"/>
      <sheetName val="23"/>
      <sheetName val="24"/>
      <sheetName val="25"/>
      <sheetName val="26"/>
      <sheetName val="27"/>
      <sheetName val="28"/>
      <sheetName val="29"/>
      <sheetName val="30 (Stock Opnam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5">
          <cell r="P15">
            <v>733336</v>
          </cell>
        </row>
      </sheetData>
      <sheetData sheetId="26"/>
      <sheetData sheetId="27"/>
      <sheetData sheetId="28"/>
      <sheetData sheetId="29"/>
      <sheetData sheetId="30"/>
      <sheetData sheetId="31">
        <row r="10">
          <cell r="Q10">
            <v>545232</v>
          </cell>
        </row>
        <row r="15">
          <cell r="P15">
            <v>950954</v>
          </cell>
        </row>
        <row r="18">
          <cell r="P18">
            <v>519035</v>
          </cell>
          <cell r="Q18">
            <v>991912</v>
          </cell>
        </row>
        <row r="22">
          <cell r="P22">
            <v>777227</v>
          </cell>
        </row>
        <row r="26">
          <cell r="P26">
            <v>25365</v>
          </cell>
        </row>
        <row r="30">
          <cell r="P30">
            <v>304865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2 Rev"/>
      <sheetName val="23"/>
      <sheetName val="24"/>
      <sheetName val="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5">
          <cell r="P15">
            <v>786729</v>
          </cell>
          <cell r="Q15">
            <v>879838</v>
          </cell>
        </row>
        <row r="18">
          <cell r="P18">
            <v>735680</v>
          </cell>
          <cell r="Q18">
            <v>235246</v>
          </cell>
        </row>
        <row r="21">
          <cell r="P21">
            <v>217590</v>
          </cell>
        </row>
        <row r="26">
          <cell r="P26">
            <v>56619</v>
          </cell>
        </row>
        <row r="30">
          <cell r="P30">
            <v>27470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2 Rev"/>
      <sheetName val="23"/>
      <sheetName val="24"/>
      <sheetName val="25"/>
      <sheetName val="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5">
          <cell r="P15">
            <v>792985</v>
          </cell>
        </row>
        <row r="18">
          <cell r="Q18">
            <v>1562863</v>
          </cell>
        </row>
        <row r="23">
          <cell r="P23">
            <v>1097545</v>
          </cell>
        </row>
        <row r="30">
          <cell r="P30">
            <v>234400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2 Rev"/>
      <sheetName val="23"/>
      <sheetName val="24"/>
      <sheetName val="25"/>
      <sheetName val="26"/>
      <sheetName val="27"/>
      <sheetName val="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5">
          <cell r="P15">
            <v>1209719</v>
          </cell>
        </row>
        <row r="18">
          <cell r="Q18">
            <v>1569616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2 Rev"/>
      <sheetName val="23"/>
      <sheetName val="24"/>
      <sheetName val="25"/>
      <sheetName val="26"/>
      <sheetName val="27"/>
      <sheetName val="28"/>
      <sheetName val="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P15">
            <v>914652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2 Rev"/>
      <sheetName val="23"/>
      <sheetName val="24"/>
      <sheetName val="25"/>
      <sheetName val="26"/>
      <sheetName val="27"/>
      <sheetName val="28"/>
      <sheetName val="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1">
          <cell r="P21">
            <v>777910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  <row r="6">
          <cell r="I6">
            <v>16000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54">
          <cell r="H54">
            <v>259161.44425770309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  <row r="10">
          <cell r="F10">
            <v>8700</v>
          </cell>
        </row>
      </sheetData>
      <sheetData sheetId="1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6">
          <cell r="I6">
            <v>16000</v>
          </cell>
        </row>
        <row r="14">
          <cell r="F14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"/>
      <sheetName val="Januari 24"/>
      <sheetName val="HPP Jan 2024"/>
      <sheetName val="Februari 24"/>
      <sheetName val="Grafik ORM"/>
      <sheetName val="Maret 24"/>
      <sheetName val="April 24"/>
      <sheetName val="Mei 24"/>
      <sheetName val="Juny 24"/>
      <sheetName val="July 24"/>
      <sheetName val="Agustus 24"/>
      <sheetName val="September 24"/>
      <sheetName val="Monthly - Yearly "/>
      <sheetName val="Oktober 24"/>
      <sheetName val="November 24"/>
      <sheetName val="Desember 24"/>
      <sheetName val="todate"/>
      <sheetName val="Report Produsi 2021 - Mei 2023"/>
      <sheetName val="Sheet3"/>
      <sheetName val="HPP PRODUKSI"/>
      <sheetName val="ACTUAL VS BUDGET 2022"/>
      <sheetName val="yearly Report 2021"/>
      <sheetName val="ISSUE OPERASIONAL"/>
      <sheetName val="Rencana Kerja"/>
      <sheetName val="Agustus-Sound"/>
      <sheetName val="Sheet2"/>
      <sheetName val="Sheet1"/>
    </sheetNames>
    <sheetDataSet>
      <sheetData sheetId="0" refreshError="1"/>
      <sheetData sheetId="1" refreshError="1">
        <row r="9">
          <cell r="AL9">
            <v>18</v>
          </cell>
        </row>
        <row r="10">
          <cell r="AL10">
            <v>17.457608504398824</v>
          </cell>
        </row>
        <row r="11">
          <cell r="AL11">
            <v>11906089</v>
          </cell>
        </row>
        <row r="12">
          <cell r="AL12">
            <v>10284032.518182635</v>
          </cell>
        </row>
        <row r="13">
          <cell r="AL13">
            <v>1622056.4818173659</v>
          </cell>
        </row>
        <row r="15">
          <cell r="AL15">
            <v>0.42388888888888893</v>
          </cell>
        </row>
        <row r="16">
          <cell r="AL16">
            <v>2.2105555555555561</v>
          </cell>
        </row>
        <row r="18">
          <cell r="AL18">
            <v>11255730</v>
          </cell>
        </row>
        <row r="19">
          <cell r="AL19">
            <v>568791</v>
          </cell>
        </row>
        <row r="22">
          <cell r="AL22">
            <v>1982807</v>
          </cell>
        </row>
        <row r="23">
          <cell r="AL23">
            <v>396275</v>
          </cell>
        </row>
        <row r="26">
          <cell r="AL26">
            <v>2230587</v>
          </cell>
        </row>
        <row r="27">
          <cell r="AL27">
            <v>597280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8">
          <cell r="AL38">
            <v>1622056.4818173659</v>
          </cell>
        </row>
        <row r="39">
          <cell r="AL39">
            <v>1537641</v>
          </cell>
        </row>
        <row r="40">
          <cell r="AL40">
            <v>0</v>
          </cell>
        </row>
        <row r="41">
          <cell r="AL41">
            <v>923976</v>
          </cell>
        </row>
        <row r="42">
          <cell r="AL42">
            <v>613665</v>
          </cell>
        </row>
        <row r="43">
          <cell r="AL43">
            <v>17.423640322580646</v>
          </cell>
        </row>
        <row r="58">
          <cell r="AL58">
            <v>128586</v>
          </cell>
        </row>
        <row r="59">
          <cell r="AL59">
            <v>1.2503461047274416</v>
          </cell>
        </row>
        <row r="60">
          <cell r="AL60">
            <v>25923</v>
          </cell>
        </row>
        <row r="61">
          <cell r="AL61">
            <v>1.5981564323182909</v>
          </cell>
        </row>
        <row r="62">
          <cell r="AL62">
            <v>6664.8560000000007</v>
          </cell>
        </row>
        <row r="63">
          <cell r="AL63">
            <v>5.597855013514514E-2</v>
          </cell>
        </row>
        <row r="68">
          <cell r="AL68">
            <v>845858</v>
          </cell>
        </row>
        <row r="69">
          <cell r="AL69">
            <v>399021.27999999997</v>
          </cell>
        </row>
        <row r="72">
          <cell r="AL72">
            <v>0</v>
          </cell>
        </row>
        <row r="74">
          <cell r="AL74">
            <v>17197</v>
          </cell>
        </row>
        <row r="75">
          <cell r="AL75">
            <v>19659</v>
          </cell>
        </row>
        <row r="96">
          <cell r="AL96">
            <v>461724.07999999996</v>
          </cell>
        </row>
        <row r="101">
          <cell r="AL101">
            <v>7439</v>
          </cell>
        </row>
        <row r="102">
          <cell r="AL102">
            <v>35235</v>
          </cell>
        </row>
        <row r="104">
          <cell r="AL104">
            <v>89268</v>
          </cell>
        </row>
        <row r="105">
          <cell r="AL105">
            <v>211410</v>
          </cell>
        </row>
        <row r="123">
          <cell r="AL123">
            <v>534116</v>
          </cell>
        </row>
        <row r="124">
          <cell r="AL124">
            <v>524483.80000000005</v>
          </cell>
        </row>
        <row r="128">
          <cell r="AL128">
            <v>48858</v>
          </cell>
        </row>
        <row r="129">
          <cell r="AL129">
            <v>5023</v>
          </cell>
        </row>
        <row r="131">
          <cell r="AL131">
            <v>586296</v>
          </cell>
        </row>
        <row r="132">
          <cell r="AL132">
            <v>30138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84">
          <cell r="AL184">
            <v>356139</v>
          </cell>
        </row>
        <row r="185">
          <cell r="AL185">
            <v>364427.63</v>
          </cell>
        </row>
        <row r="190">
          <cell r="AL190">
            <v>25527</v>
          </cell>
        </row>
        <row r="191">
          <cell r="AL191">
            <v>8084</v>
          </cell>
        </row>
        <row r="211">
          <cell r="AL211">
            <v>356139</v>
          </cell>
        </row>
        <row r="212">
          <cell r="AL212">
            <v>534116</v>
          </cell>
        </row>
        <row r="213">
          <cell r="AL213">
            <v>845858</v>
          </cell>
        </row>
        <row r="214">
          <cell r="AL214">
            <v>1736113</v>
          </cell>
        </row>
        <row r="215">
          <cell r="AL215">
            <v>1749656.7900000003</v>
          </cell>
        </row>
        <row r="217">
          <cell r="AL217">
            <v>27426.645100000005</v>
          </cell>
        </row>
        <row r="218">
          <cell r="AL218">
            <v>23450.754799999995</v>
          </cell>
        </row>
        <row r="220">
          <cell r="AL220">
            <v>2299.1853999999998</v>
          </cell>
        </row>
        <row r="221">
          <cell r="AL221">
            <v>21151.569399999997</v>
          </cell>
        </row>
        <row r="224">
          <cell r="AL224">
            <v>4927889</v>
          </cell>
        </row>
        <row r="226">
          <cell r="AL226">
            <v>2995400</v>
          </cell>
        </row>
        <row r="227">
          <cell r="AL227">
            <v>1282600</v>
          </cell>
        </row>
        <row r="228">
          <cell r="AL228">
            <v>649889</v>
          </cell>
        </row>
        <row r="231">
          <cell r="AL231">
            <v>17554</v>
          </cell>
        </row>
        <row r="233">
          <cell r="AL233">
            <v>2013</v>
          </cell>
        </row>
        <row r="234">
          <cell r="AL234">
            <v>1344</v>
          </cell>
        </row>
        <row r="235">
          <cell r="AL235">
            <v>7297.1</v>
          </cell>
        </row>
        <row r="237">
          <cell r="AL237">
            <v>4438</v>
          </cell>
        </row>
        <row r="240">
          <cell r="AL240">
            <v>520700</v>
          </cell>
        </row>
      </sheetData>
      <sheetData sheetId="2" refreshError="1"/>
      <sheetData sheetId="3" refreshError="1">
        <row r="9">
          <cell r="AL9">
            <v>11</v>
          </cell>
        </row>
        <row r="10">
          <cell r="AL10">
            <v>17.224766862170089</v>
          </cell>
        </row>
        <row r="11">
          <cell r="AL11">
            <v>11747291</v>
          </cell>
        </row>
        <row r="12">
          <cell r="AL12">
            <v>10885810.60758747</v>
          </cell>
        </row>
        <row r="13">
          <cell r="AL13">
            <v>861480.39241253119</v>
          </cell>
        </row>
        <row r="15">
          <cell r="AL15">
            <v>0.43545454545454548</v>
          </cell>
        </row>
        <row r="16">
          <cell r="AL16">
            <v>2.2127272727272729</v>
          </cell>
        </row>
        <row r="18">
          <cell r="AL18">
            <v>11075536</v>
          </cell>
        </row>
        <row r="19">
          <cell r="AL19">
            <v>594383</v>
          </cell>
        </row>
        <row r="21">
          <cell r="AL21">
            <v>50570</v>
          </cell>
        </row>
        <row r="22">
          <cell r="AL22">
            <v>42320</v>
          </cell>
        </row>
        <row r="23">
          <cell r="AL23">
            <v>8250</v>
          </cell>
        </row>
        <row r="72">
          <cell r="AI72">
            <v>0</v>
          </cell>
        </row>
        <row r="101">
          <cell r="AI101">
            <v>0</v>
          </cell>
        </row>
        <row r="102">
          <cell r="AI102">
            <v>0</v>
          </cell>
        </row>
        <row r="110">
          <cell r="AI110">
            <v>0</v>
          </cell>
        </row>
        <row r="111">
          <cell r="AI111">
            <v>0</v>
          </cell>
        </row>
        <row r="154">
          <cell r="AL154">
            <v>202</v>
          </cell>
        </row>
        <row r="155">
          <cell r="AL155">
            <v>1126</v>
          </cell>
        </row>
        <row r="156">
          <cell r="AL156">
            <v>5369</v>
          </cell>
        </row>
        <row r="157">
          <cell r="AL157">
            <v>0</v>
          </cell>
        </row>
        <row r="168">
          <cell r="AL168">
            <v>9</v>
          </cell>
        </row>
        <row r="169">
          <cell r="AL169">
            <v>86</v>
          </cell>
        </row>
        <row r="184">
          <cell r="AL184">
            <v>0</v>
          </cell>
        </row>
        <row r="190">
          <cell r="AL190">
            <v>15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542142</v>
          </cell>
        </row>
        <row r="213">
          <cell r="AL213">
            <v>192009</v>
          </cell>
        </row>
        <row r="214">
          <cell r="AL214">
            <v>734151</v>
          </cell>
        </row>
        <row r="215">
          <cell r="AL215">
            <v>649233.52999999991</v>
          </cell>
        </row>
        <row r="217">
          <cell r="AL217">
            <v>17654.447900000003</v>
          </cell>
        </row>
        <row r="218">
          <cell r="AL218">
            <v>14868.589600000001</v>
          </cell>
        </row>
        <row r="220">
          <cell r="AL220">
            <v>1937.1727999999998</v>
          </cell>
        </row>
        <row r="221">
          <cell r="AL221">
            <v>12931.416799999999</v>
          </cell>
        </row>
        <row r="224">
          <cell r="AL224">
            <v>3183848</v>
          </cell>
        </row>
        <row r="226">
          <cell r="AL226">
            <v>2048300</v>
          </cell>
        </row>
        <row r="227">
          <cell r="AL227">
            <v>818400</v>
          </cell>
        </row>
        <row r="228">
          <cell r="AL228">
            <v>317148</v>
          </cell>
        </row>
        <row r="231">
          <cell r="AL231">
            <v>16703</v>
          </cell>
        </row>
        <row r="233">
          <cell r="AL233">
            <v>1500</v>
          </cell>
        </row>
        <row r="234">
          <cell r="AL234">
            <v>1063</v>
          </cell>
        </row>
        <row r="235">
          <cell r="AL235">
            <v>3910.2999999999997</v>
          </cell>
        </row>
        <row r="236">
          <cell r="AL236">
            <v>10229.699999999997</v>
          </cell>
        </row>
        <row r="237">
          <cell r="AL237">
            <v>2566</v>
          </cell>
        </row>
        <row r="240">
          <cell r="AL240">
            <v>417100</v>
          </cell>
        </row>
      </sheetData>
      <sheetData sheetId="4" refreshError="1"/>
      <sheetData sheetId="5" refreshError="1">
        <row r="9">
          <cell r="AL9">
            <v>5</v>
          </cell>
        </row>
        <row r="10">
          <cell r="AL10">
            <v>4.5497712609970664</v>
          </cell>
        </row>
        <row r="11">
          <cell r="AL11">
            <v>3102944</v>
          </cell>
        </row>
        <row r="12">
          <cell r="AL12">
            <v>2891954.6607774799</v>
          </cell>
        </row>
        <row r="13">
          <cell r="AL13">
            <v>210989.3392225201</v>
          </cell>
        </row>
        <row r="15">
          <cell r="AL15">
            <v>0.43</v>
          </cell>
        </row>
        <row r="16">
          <cell r="AL16">
            <v>2.21</v>
          </cell>
        </row>
        <row r="18">
          <cell r="AL18">
            <v>2943785</v>
          </cell>
        </row>
        <row r="19">
          <cell r="AL19">
            <v>137988</v>
          </cell>
        </row>
        <row r="21">
          <cell r="AL21">
            <v>0</v>
          </cell>
        </row>
        <row r="22">
          <cell r="AL22">
            <v>0</v>
          </cell>
        </row>
        <row r="23">
          <cell r="AL23">
            <v>0</v>
          </cell>
        </row>
        <row r="25">
          <cell r="AL25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210989.3392225201</v>
          </cell>
        </row>
        <row r="31">
          <cell r="AL31">
            <v>151447</v>
          </cell>
        </row>
        <row r="32">
          <cell r="AL32">
            <v>49934</v>
          </cell>
        </row>
        <row r="35">
          <cell r="AL35">
            <v>1075806</v>
          </cell>
        </row>
        <row r="36">
          <cell r="AL36">
            <v>517413</v>
          </cell>
        </row>
        <row r="38">
          <cell r="AL38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43">
          <cell r="AL43">
            <v>2.8945161290322581</v>
          </cell>
        </row>
        <row r="58">
          <cell r="AL58">
            <v>29654</v>
          </cell>
        </row>
        <row r="60">
          <cell r="AL60">
            <v>2901</v>
          </cell>
        </row>
        <row r="62">
          <cell r="AL62">
            <v>1744.336</v>
          </cell>
        </row>
        <row r="65">
          <cell r="AL65">
            <v>21.957999999999998</v>
          </cell>
        </row>
        <row r="68">
          <cell r="AL68">
            <v>0</v>
          </cell>
        </row>
        <row r="69">
          <cell r="AL69">
            <v>0</v>
          </cell>
        </row>
        <row r="72">
          <cell r="AL72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97">
          <cell r="AL97">
            <v>0</v>
          </cell>
        </row>
        <row r="98">
          <cell r="AL98">
            <v>0</v>
          </cell>
        </row>
        <row r="99">
          <cell r="AL99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1">
          <cell r="AL151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86">
          <cell r="AL186">
            <v>0</v>
          </cell>
        </row>
        <row r="187">
          <cell r="AL187">
            <v>0</v>
          </cell>
        </row>
        <row r="188">
          <cell r="AL188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  <row r="217">
          <cell r="AL217">
            <v>5574.5241999999998</v>
          </cell>
        </row>
        <row r="218">
          <cell r="AL218">
            <v>5581.7098999999998</v>
          </cell>
        </row>
        <row r="220">
          <cell r="AL220">
            <v>578.96010000000001</v>
          </cell>
        </row>
        <row r="221">
          <cell r="AL221">
            <v>5002.7498000000005</v>
          </cell>
        </row>
        <row r="222">
          <cell r="AL222">
            <v>5581.7099000000007</v>
          </cell>
        </row>
        <row r="224">
          <cell r="AL224">
            <v>1241817</v>
          </cell>
        </row>
        <row r="226">
          <cell r="AL226">
            <v>829700</v>
          </cell>
        </row>
        <row r="227">
          <cell r="AL227">
            <v>366100</v>
          </cell>
        </row>
        <row r="228">
          <cell r="AL228">
            <v>46017</v>
          </cell>
        </row>
        <row r="229">
          <cell r="AL229">
            <v>1241817</v>
          </cell>
        </row>
        <row r="231">
          <cell r="AL231">
            <v>3331</v>
          </cell>
        </row>
        <row r="233">
          <cell r="AL233">
            <v>472</v>
          </cell>
        </row>
        <row r="234">
          <cell r="AL234">
            <v>414</v>
          </cell>
        </row>
        <row r="235">
          <cell r="AL235">
            <v>1557</v>
          </cell>
        </row>
        <row r="236">
          <cell r="AL236">
            <v>888</v>
          </cell>
        </row>
        <row r="237">
          <cell r="AL237">
            <v>941</v>
          </cell>
        </row>
      </sheetData>
      <sheetData sheetId="6" refreshError="1">
        <row r="9">
          <cell r="AL9">
            <v>0</v>
          </cell>
        </row>
        <row r="21">
          <cell r="AL21">
            <v>0</v>
          </cell>
        </row>
        <row r="22">
          <cell r="AL22">
            <v>0</v>
          </cell>
        </row>
        <row r="23">
          <cell r="AL23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9">
          <cell r="AL39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43">
          <cell r="AL43">
            <v>0</v>
          </cell>
        </row>
        <row r="60">
          <cell r="AL60">
            <v>0</v>
          </cell>
        </row>
        <row r="68">
          <cell r="AL68">
            <v>0</v>
          </cell>
        </row>
        <row r="69">
          <cell r="AL69">
            <v>0</v>
          </cell>
        </row>
        <row r="70">
          <cell r="AL70">
            <v>0</v>
          </cell>
        </row>
        <row r="71">
          <cell r="AL71">
            <v>0</v>
          </cell>
        </row>
        <row r="72">
          <cell r="AL72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1">
          <cell r="AL151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7" refreshError="1">
        <row r="9">
          <cell r="AL9">
            <v>0</v>
          </cell>
        </row>
        <row r="21">
          <cell r="AL21">
            <v>0</v>
          </cell>
        </row>
        <row r="22">
          <cell r="AL22">
            <v>0</v>
          </cell>
        </row>
        <row r="23">
          <cell r="AL23">
            <v>0</v>
          </cell>
        </row>
        <row r="25">
          <cell r="AL25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9">
          <cell r="AL39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60">
          <cell r="AL60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97">
          <cell r="AL97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8" refreshError="1">
        <row r="9">
          <cell r="AL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60">
          <cell r="AL60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9" refreshError="1">
        <row r="9">
          <cell r="AL9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9">
          <cell r="AL39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10" refreshError="1">
        <row r="9">
          <cell r="AL9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40">
          <cell r="AL40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11" refreshError="1">
        <row r="9">
          <cell r="AL9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42">
          <cell r="AL42">
            <v>0</v>
          </cell>
        </row>
        <row r="60">
          <cell r="AL60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12" refreshError="1"/>
      <sheetData sheetId="13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0">
          <cell r="AL30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  <row r="39">
          <cell r="AL39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58">
          <cell r="AL58">
            <v>0</v>
          </cell>
        </row>
        <row r="60">
          <cell r="AL60">
            <v>0</v>
          </cell>
        </row>
        <row r="62">
          <cell r="AL62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59">
          <cell r="AL159">
            <v>0</v>
          </cell>
        </row>
        <row r="160">
          <cell r="AL160">
            <v>0</v>
          </cell>
        </row>
        <row r="162">
          <cell r="AL162">
            <v>0</v>
          </cell>
        </row>
        <row r="163">
          <cell r="AL163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  <row r="217">
          <cell r="AL217">
            <v>0</v>
          </cell>
        </row>
        <row r="218">
          <cell r="AL218">
            <v>0</v>
          </cell>
        </row>
        <row r="220">
          <cell r="AL220">
            <v>0</v>
          </cell>
        </row>
        <row r="221">
          <cell r="AL221">
            <v>0</v>
          </cell>
        </row>
        <row r="224">
          <cell r="AL224">
            <v>0</v>
          </cell>
        </row>
        <row r="226">
          <cell r="AL226">
            <v>0</v>
          </cell>
        </row>
        <row r="227">
          <cell r="AL227">
            <v>0</v>
          </cell>
        </row>
        <row r="228">
          <cell r="AL228">
            <v>0</v>
          </cell>
        </row>
        <row r="231">
          <cell r="AL231">
            <v>0</v>
          </cell>
        </row>
        <row r="233">
          <cell r="AL233">
            <v>0</v>
          </cell>
        </row>
        <row r="234">
          <cell r="AL234">
            <v>0</v>
          </cell>
        </row>
        <row r="235">
          <cell r="AL235">
            <v>0</v>
          </cell>
        </row>
        <row r="236">
          <cell r="AL236">
            <v>0</v>
          </cell>
        </row>
        <row r="237">
          <cell r="AL237">
            <v>0</v>
          </cell>
        </row>
        <row r="240">
          <cell r="AL240">
            <v>0</v>
          </cell>
        </row>
      </sheetData>
      <sheetData sheetId="14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  <row r="39">
          <cell r="AL39">
            <v>0</v>
          </cell>
        </row>
        <row r="41">
          <cell r="AL41">
            <v>0</v>
          </cell>
        </row>
        <row r="42">
          <cell r="AL42">
            <v>0</v>
          </cell>
        </row>
        <row r="58">
          <cell r="AL58">
            <v>0</v>
          </cell>
        </row>
        <row r="60">
          <cell r="AL60">
            <v>0</v>
          </cell>
        </row>
        <row r="62">
          <cell r="AL62">
            <v>0</v>
          </cell>
        </row>
        <row r="65">
          <cell r="AL65" t="e">
            <v>#DIV/0!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7">
          <cell r="AL217">
            <v>0</v>
          </cell>
        </row>
        <row r="218">
          <cell r="AL218">
            <v>0</v>
          </cell>
        </row>
        <row r="220">
          <cell r="AL220">
            <v>0</v>
          </cell>
        </row>
        <row r="221">
          <cell r="AL221">
            <v>0</v>
          </cell>
        </row>
        <row r="224">
          <cell r="AL224">
            <v>0</v>
          </cell>
        </row>
        <row r="226">
          <cell r="AL226">
            <v>0</v>
          </cell>
        </row>
        <row r="227">
          <cell r="AL227">
            <v>0</v>
          </cell>
        </row>
        <row r="228">
          <cell r="AL228">
            <v>0</v>
          </cell>
        </row>
        <row r="231">
          <cell r="AL231">
            <v>0</v>
          </cell>
        </row>
        <row r="233">
          <cell r="AL233">
            <v>0</v>
          </cell>
        </row>
        <row r="234">
          <cell r="AL234">
            <v>0</v>
          </cell>
        </row>
        <row r="235">
          <cell r="AL235">
            <v>0</v>
          </cell>
        </row>
        <row r="237">
          <cell r="AL237">
            <v>0</v>
          </cell>
        </row>
        <row r="240">
          <cell r="AL240">
            <v>0</v>
          </cell>
        </row>
      </sheetData>
      <sheetData sheetId="15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58">
          <cell r="AL58">
            <v>0</v>
          </cell>
        </row>
        <row r="60">
          <cell r="AL60">
            <v>0</v>
          </cell>
        </row>
        <row r="62">
          <cell r="AL62">
            <v>0</v>
          </cell>
        </row>
        <row r="65">
          <cell r="AL65" t="e">
            <v>#DIV/0!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6">
          <cell r="AL156">
            <v>0</v>
          </cell>
        </row>
        <row r="160">
          <cell r="AL160">
            <v>0</v>
          </cell>
        </row>
        <row r="161">
          <cell r="AL161">
            <v>0</v>
          </cell>
        </row>
        <row r="162">
          <cell r="AL162">
            <v>0</v>
          </cell>
        </row>
        <row r="172">
          <cell r="AL172" t="e">
            <v>#DIV/0!</v>
          </cell>
        </row>
        <row r="173">
          <cell r="AL173" t="e">
            <v>#DIV/0!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7">
          <cell r="AL217">
            <v>0</v>
          </cell>
        </row>
        <row r="218">
          <cell r="AL218">
            <v>0</v>
          </cell>
        </row>
        <row r="220">
          <cell r="AL220">
            <v>0</v>
          </cell>
        </row>
        <row r="221">
          <cell r="AL221">
            <v>0</v>
          </cell>
        </row>
        <row r="224">
          <cell r="AL224">
            <v>0</v>
          </cell>
        </row>
        <row r="226">
          <cell r="AL226">
            <v>0</v>
          </cell>
        </row>
        <row r="227">
          <cell r="AL227">
            <v>0</v>
          </cell>
        </row>
        <row r="228">
          <cell r="AL228">
            <v>0</v>
          </cell>
        </row>
        <row r="231">
          <cell r="AL231">
            <v>0</v>
          </cell>
        </row>
        <row r="233">
          <cell r="AL233">
            <v>0</v>
          </cell>
        </row>
        <row r="234">
          <cell r="AL234">
            <v>0</v>
          </cell>
        </row>
        <row r="235">
          <cell r="AL235">
            <v>0</v>
          </cell>
        </row>
        <row r="237">
          <cell r="AL237">
            <v>0</v>
          </cell>
        </row>
        <row r="240">
          <cell r="AL240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il - 24"/>
    </sheetNames>
    <sheetDataSet>
      <sheetData sheetId="0">
        <row r="9">
          <cell r="AK9"/>
        </row>
        <row r="11">
          <cell r="AK11"/>
        </row>
        <row r="12">
          <cell r="C12" t="str">
            <v>CPO Consume Total</v>
          </cell>
        </row>
        <row r="243">
          <cell r="AK243"/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i - 24"/>
    </sheetNames>
    <sheetDataSet>
      <sheetData sheetId="0">
        <row r="9">
          <cell r="AL9"/>
        </row>
        <row r="11">
          <cell r="AL11">
            <v>0</v>
          </cell>
        </row>
        <row r="12">
          <cell r="D12">
            <v>36359000</v>
          </cell>
          <cell r="AL12"/>
        </row>
        <row r="13">
          <cell r="AL13">
            <v>0</v>
          </cell>
        </row>
        <row r="16">
          <cell r="AL16"/>
        </row>
        <row r="17">
          <cell r="AL17"/>
        </row>
        <row r="19">
          <cell r="D19">
            <v>34250178</v>
          </cell>
          <cell r="AL19"/>
        </row>
        <row r="20">
          <cell r="AL20"/>
        </row>
        <row r="35">
          <cell r="AL35">
            <v>0</v>
          </cell>
        </row>
        <row r="36">
          <cell r="AL36"/>
        </row>
        <row r="37">
          <cell r="AL37"/>
        </row>
        <row r="44">
          <cell r="AL44">
            <v>0</v>
          </cell>
        </row>
        <row r="59">
          <cell r="AL59"/>
        </row>
        <row r="63">
          <cell r="AL63"/>
        </row>
        <row r="66">
          <cell r="AL66"/>
        </row>
        <row r="218">
          <cell r="AL218"/>
        </row>
        <row r="219">
          <cell r="AL219"/>
        </row>
        <row r="221">
          <cell r="AL221"/>
        </row>
        <row r="222">
          <cell r="AL222">
            <v>0</v>
          </cell>
        </row>
        <row r="225">
          <cell r="AL225"/>
        </row>
        <row r="227">
          <cell r="AL227"/>
        </row>
        <row r="228">
          <cell r="AL228"/>
        </row>
        <row r="229">
          <cell r="AL229">
            <v>0</v>
          </cell>
        </row>
        <row r="230">
          <cell r="AL230">
            <v>0</v>
          </cell>
        </row>
        <row r="232">
          <cell r="AL232"/>
        </row>
        <row r="234">
          <cell r="AL234"/>
        </row>
        <row r="235">
          <cell r="AL235"/>
        </row>
        <row r="236">
          <cell r="AL236"/>
        </row>
        <row r="237">
          <cell r="AL237">
            <v>0</v>
          </cell>
        </row>
        <row r="238">
          <cell r="AL238"/>
        </row>
        <row r="241">
          <cell r="AL241"/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 - 24"/>
    </sheetNames>
    <sheetDataSet>
      <sheetData sheetId="0">
        <row r="9">
          <cell r="AL9">
            <v>18</v>
          </cell>
        </row>
        <row r="11">
          <cell r="AL11">
            <v>13.078035190615838</v>
          </cell>
        </row>
        <row r="12">
          <cell r="D12">
            <v>36359000</v>
          </cell>
          <cell r="AL12">
            <v>8919220</v>
          </cell>
        </row>
        <row r="13">
          <cell r="AL13">
            <v>8919220</v>
          </cell>
        </row>
        <row r="16">
          <cell r="AL16">
            <v>0.45375000000000004</v>
          </cell>
        </row>
        <row r="17">
          <cell r="AL17">
            <v>2.2100000000000004</v>
          </cell>
        </row>
        <row r="19">
          <cell r="D19">
            <v>34250178</v>
          </cell>
          <cell r="AL19">
            <v>8432668</v>
          </cell>
        </row>
        <row r="20">
          <cell r="AL20">
            <v>432588</v>
          </cell>
        </row>
        <row r="35">
          <cell r="AL35">
            <v>7764784</v>
          </cell>
        </row>
        <row r="36">
          <cell r="AL36">
            <v>5498655</v>
          </cell>
        </row>
        <row r="37">
          <cell r="AL37">
            <v>2266129</v>
          </cell>
        </row>
        <row r="44">
          <cell r="AL44">
            <v>12.523845161290323</v>
          </cell>
        </row>
        <row r="59">
          <cell r="AL59">
            <v>88126</v>
          </cell>
        </row>
        <row r="63">
          <cell r="AL63">
            <v>4040.197999999999</v>
          </cell>
        </row>
        <row r="66">
          <cell r="AL66">
            <v>21.886470588235294</v>
          </cell>
        </row>
        <row r="218">
          <cell r="AL218">
            <v>21557.354200000002</v>
          </cell>
        </row>
        <row r="219">
          <cell r="AL219">
            <v>19670.9984</v>
          </cell>
        </row>
        <row r="221">
          <cell r="AL221">
            <v>2593.8142000000003</v>
          </cell>
        </row>
        <row r="222">
          <cell r="AL222">
            <v>17077.184200000003</v>
          </cell>
        </row>
        <row r="225">
          <cell r="AL225">
            <v>3827086</v>
          </cell>
        </row>
        <row r="227">
          <cell r="AL227">
            <v>2489600</v>
          </cell>
        </row>
        <row r="228">
          <cell r="AL228">
            <v>850000</v>
          </cell>
        </row>
        <row r="229">
          <cell r="AL229">
            <v>487486</v>
          </cell>
        </row>
        <row r="232">
          <cell r="AL232">
            <v>16314</v>
          </cell>
        </row>
        <row r="234">
          <cell r="AL234">
            <v>1749</v>
          </cell>
        </row>
        <row r="235">
          <cell r="AL235">
            <v>993</v>
          </cell>
        </row>
        <row r="236">
          <cell r="AL236">
            <v>6781.7999999999984</v>
          </cell>
        </row>
        <row r="238">
          <cell r="AL238">
            <v>3544</v>
          </cell>
        </row>
        <row r="241">
          <cell r="AL241">
            <v>407800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i - 2024xx"/>
      <sheetName val="Juli - 2024 ( Revisi )"/>
      <sheetName val="Juli - 2024( Asli )"/>
      <sheetName val="Convert Gas"/>
      <sheetName val="OIP Refinery"/>
      <sheetName val="OIP Fraksinasi"/>
      <sheetName val="Direct Refinery To Fract "/>
      <sheetName val="Flow Meter"/>
      <sheetName val="Juli - 2024"/>
    </sheetNames>
    <sheetDataSet>
      <sheetData sheetId="0" refreshError="1"/>
      <sheetData sheetId="1">
        <row r="6">
          <cell r="AL6">
            <v>22</v>
          </cell>
        </row>
        <row r="8">
          <cell r="AL8">
            <v>23.454543988269798</v>
          </cell>
        </row>
        <row r="9">
          <cell r="AL9">
            <v>15995999</v>
          </cell>
        </row>
        <row r="10">
          <cell r="AL10">
            <v>15995999</v>
          </cell>
        </row>
        <row r="11">
          <cell r="AL11">
            <v>0</v>
          </cell>
        </row>
        <row r="12">
          <cell r="AL12">
            <v>3.8848484848484857</v>
          </cell>
        </row>
        <row r="13">
          <cell r="AL13">
            <v>0.41795454545454547</v>
          </cell>
        </row>
        <row r="16">
          <cell r="AL16">
            <v>14396709</v>
          </cell>
        </row>
        <row r="17">
          <cell r="AL17">
            <v>713632</v>
          </cell>
        </row>
        <row r="19">
          <cell r="AL19">
            <v>0</v>
          </cell>
        </row>
        <row r="20">
          <cell r="AL20">
            <v>135300</v>
          </cell>
        </row>
        <row r="21">
          <cell r="AL21">
            <v>25100</v>
          </cell>
        </row>
        <row r="32">
          <cell r="AL32">
            <v>11686063</v>
          </cell>
        </row>
        <row r="33">
          <cell r="AL33">
            <v>8627479</v>
          </cell>
        </row>
        <row r="34">
          <cell r="AL34">
            <v>3578824</v>
          </cell>
        </row>
        <row r="51">
          <cell r="AL51">
            <v>70.680524643702526</v>
          </cell>
        </row>
        <row r="52">
          <cell r="AL52">
            <v>29.319475356297481</v>
          </cell>
        </row>
        <row r="56">
          <cell r="AL56">
            <v>162476</v>
          </cell>
        </row>
        <row r="58">
          <cell r="AL58">
            <v>0</v>
          </cell>
        </row>
        <row r="60">
          <cell r="AL60">
            <v>7823.7820000000002</v>
          </cell>
        </row>
        <row r="64">
          <cell r="AL64">
            <v>21.912727272727277</v>
          </cell>
        </row>
        <row r="216">
          <cell r="AL216">
            <v>27875.589599999996</v>
          </cell>
        </row>
        <row r="217">
          <cell r="AL217">
            <v>26610.053000000004</v>
          </cell>
        </row>
        <row r="219">
          <cell r="AL219">
            <v>4776.3290292795864</v>
          </cell>
        </row>
        <row r="220">
          <cell r="AL220">
            <v>21833.72397072041</v>
          </cell>
        </row>
        <row r="223">
          <cell r="AL223">
            <v>4916977</v>
          </cell>
        </row>
        <row r="225">
          <cell r="AL225">
            <v>3311110</v>
          </cell>
        </row>
        <row r="226">
          <cell r="AL226">
            <v>1238750</v>
          </cell>
        </row>
        <row r="227">
          <cell r="AL227">
            <v>367117</v>
          </cell>
        </row>
        <row r="230">
          <cell r="AL230">
            <v>18760</v>
          </cell>
        </row>
        <row r="232">
          <cell r="AL232">
            <v>3095</v>
          </cell>
        </row>
        <row r="233">
          <cell r="AL233">
            <v>1579</v>
          </cell>
        </row>
        <row r="234">
          <cell r="AL234">
            <v>8167.3000000000011</v>
          </cell>
        </row>
        <row r="235">
          <cell r="AL235">
            <v>6264.6999999999989</v>
          </cell>
        </row>
        <row r="236">
          <cell r="AL236">
            <v>5782</v>
          </cell>
        </row>
        <row r="239">
          <cell r="AL239">
            <v>538900</v>
          </cell>
        </row>
        <row r="242">
          <cell r="AL242">
            <v>69700</v>
          </cell>
        </row>
        <row r="243">
          <cell r="AL243">
            <v>65890</v>
          </cell>
        </row>
        <row r="245">
          <cell r="AL245">
            <v>71800</v>
          </cell>
        </row>
        <row r="246">
          <cell r="AL246">
            <v>19517</v>
          </cell>
        </row>
        <row r="248">
          <cell r="AL248">
            <v>748.31</v>
          </cell>
        </row>
        <row r="249">
          <cell r="AL249">
            <v>7628.8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AL6">
            <v>21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i - 2024xx"/>
      <sheetName val="Agustus - 2024"/>
      <sheetName val="HPP REF "/>
      <sheetName val="HPP FRACT "/>
      <sheetName val="SUMARY HPP"/>
      <sheetName val="Convert Gas"/>
      <sheetName val="OIP Refinery"/>
      <sheetName val="OIP Fract"/>
      <sheetName val="2024"/>
      <sheetName val="Flow Meter"/>
      <sheetName val="Detail Agustus OIP Akhir Plant"/>
    </sheetNames>
    <sheetDataSet>
      <sheetData sheetId="0"/>
      <sheetData sheetId="1">
        <row r="9">
          <cell r="AN9">
            <v>0.33632591655436067</v>
          </cell>
        </row>
        <row r="27">
          <cell r="AN27"/>
        </row>
        <row r="38">
          <cell r="AN38">
            <v>224749</v>
          </cell>
        </row>
        <row r="39">
          <cell r="AN39">
            <v>87749</v>
          </cell>
        </row>
        <row r="40">
          <cell r="AN40">
            <v>137000</v>
          </cell>
        </row>
        <row r="62">
          <cell r="AN62">
            <v>11.311305073715658</v>
          </cell>
        </row>
        <row r="66">
          <cell r="AN66">
            <v>0.50926730514371621</v>
          </cell>
        </row>
        <row r="222">
          <cell r="AN222">
            <v>1300.0773312500003</v>
          </cell>
        </row>
        <row r="235">
          <cell r="AN235">
            <v>3516.75</v>
          </cell>
        </row>
        <row r="244">
          <cell r="AN244">
            <v>103300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i - 2024xx"/>
      <sheetName val="Juli - 2024"/>
      <sheetName val="Convert Gas"/>
      <sheetName val="OIP Refinery"/>
      <sheetName val="Flow Meter"/>
    </sheetNames>
    <sheetDataSet>
      <sheetData sheetId="0"/>
      <sheetData sheetId="1">
        <row r="6">
          <cell r="AL6">
            <v>15</v>
          </cell>
        </row>
        <row r="9">
          <cell r="D9">
            <v>36359000</v>
          </cell>
        </row>
        <row r="14">
          <cell r="AL14">
            <v>2.2135714285714285</v>
          </cell>
        </row>
      </sheetData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ruari - 24"/>
    </sheetNames>
    <sheetDataSet>
      <sheetData sheetId="0">
        <row r="34">
          <cell r="AL34">
            <v>7224129</v>
          </cell>
        </row>
        <row r="35">
          <cell r="AL35">
            <v>5178274</v>
          </cell>
        </row>
        <row r="36">
          <cell r="AL36">
            <v>2045855</v>
          </cell>
        </row>
        <row r="38">
          <cell r="AL38">
            <v>421426.64599608653</v>
          </cell>
        </row>
        <row r="39">
          <cell r="AL39">
            <v>398670</v>
          </cell>
        </row>
        <row r="41">
          <cell r="AL41">
            <v>248300</v>
          </cell>
        </row>
        <row r="42">
          <cell r="AL42">
            <v>150370</v>
          </cell>
        </row>
        <row r="43">
          <cell r="AL43">
            <v>13.04905322580645</v>
          </cell>
        </row>
        <row r="58">
          <cell r="AL58">
            <v>148066</v>
          </cell>
        </row>
        <row r="60">
          <cell r="AL60">
            <v>15015</v>
          </cell>
        </row>
        <row r="62">
          <cell r="AL62">
            <v>6551.9319999999989</v>
          </cell>
        </row>
        <row r="65">
          <cell r="AL65">
            <v>21.991000000000003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i - 24"/>
    </sheetNames>
    <sheetDataSet>
      <sheetData sheetId="0">
        <row r="65">
          <cell r="AL65">
            <v>21.923529411764708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"/>
      <sheetName val="LAPORAN PRODUKSI"/>
      <sheetName val="Packaging-Salvaco"/>
      <sheetName val="Utility"/>
      <sheetName val="Qty cons analysis"/>
      <sheetName val="Report Listrik"/>
      <sheetName val="HPP 24"/>
      <sheetName val="HPP 100 %"/>
      <sheetName val="Downtime Ref"/>
      <sheetName val="Downtime Frack"/>
      <sheetName val="Downtime Packaging"/>
      <sheetName val="HPP PRODUKSI"/>
      <sheetName val="HPP PRO TODATE"/>
      <sheetName val="REPORT PRODUKSI 2021 - 2023"/>
      <sheetName val="TOP ISSUE"/>
    </sheetNames>
    <sheetDataSet>
      <sheetData sheetId="0"/>
      <sheetData sheetId="1">
        <row r="11">
          <cell r="F11">
            <v>0</v>
          </cell>
          <cell r="G11">
            <v>11.231454545454547</v>
          </cell>
          <cell r="H11">
            <v>22.42490909090909</v>
          </cell>
          <cell r="I11">
            <v>7.7860454545454534</v>
          </cell>
          <cell r="J11">
            <v>11.154136363636365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27.729227272727275</v>
          </cell>
          <cell r="Y11">
            <v>56.458727272727273</v>
          </cell>
          <cell r="Z11">
            <v>62.590545454545456</v>
          </cell>
          <cell r="AA11">
            <v>25.77509090909091</v>
          </cell>
          <cell r="AB11">
            <v>37.957045454545451</v>
          </cell>
          <cell r="AC11">
            <v>30.107454545454544</v>
          </cell>
          <cell r="AD11">
            <v>10.408954545454547</v>
          </cell>
          <cell r="AE11">
            <v>28.632636363636362</v>
          </cell>
          <cell r="AF11">
            <v>22.617954545454548</v>
          </cell>
          <cell r="AG11">
            <v>14.704818181818183</v>
          </cell>
          <cell r="AH11">
            <v>7.4209090909090909</v>
          </cell>
          <cell r="AI11">
            <v>28.419181818181816</v>
          </cell>
          <cell r="AJ1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YL01AP9N@outlook.com" id="{51E3B3FB-8BEF-417A-AC53-1A63B09E3400}" userId="d649dda74a6d6150" providerId="Windows Live"/>
</personList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9" dT="2024-09-12T01:38:43.08" personId="{51E3B3FB-8BEF-417A-AC53-1A63B09E3400}" id="{783A7696-C501-4148-A3C8-B9EA3FACEFF8}">
    <text>Transfer Langsung ke Packaging : 237.105 Kg ( Base On Sounding Packaging )</text>
  </threadedComment>
  <threadedComment ref="AJ42" dT="2024-10-04T08:25:06.51" personId="{51E3B3FB-8BEF-417A-AC53-1A63B09E3400}" id="{E4428B88-416D-4FD3-AB40-44FD2B63B567}">
    <text xml:space="preserve">Filling Langsung Ke Packaging 71.400 Kg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dimension ref="A1:VVL291"/>
  <sheetViews>
    <sheetView zoomScale="80" zoomScaleNormal="80" zoomScaleSheetLayoutView="55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G19" sqref="G19:U19"/>
    </sheetView>
  </sheetViews>
  <sheetFormatPr defaultColWidth="9" defaultRowHeight="15" x14ac:dyDescent="0.25"/>
  <cols>
    <col min="1" max="1" width="3" style="1" customWidth="1"/>
    <col min="2" max="2" width="3" style="1" hidden="1" customWidth="1"/>
    <col min="3" max="3" width="4.7109375" style="5" customWidth="1"/>
    <col min="4" max="4" width="41.28515625" style="1" customWidth="1"/>
    <col min="5" max="5" width="14.7109375" style="1" customWidth="1"/>
    <col min="6" max="6" width="11.7109375" style="2" customWidth="1"/>
    <col min="7" max="13" width="13.7109375" style="1" customWidth="1"/>
    <col min="14" max="15" width="13.5703125" style="1" customWidth="1"/>
    <col min="16" max="16" width="15.7109375" style="1" customWidth="1"/>
    <col min="17" max="18" width="16" style="1" customWidth="1"/>
    <col min="19" max="19" width="15.7109375" style="1" customWidth="1"/>
    <col min="20" max="20" width="17.5703125" style="1" customWidth="1"/>
    <col min="21" max="21" width="17.7109375" style="1" customWidth="1"/>
    <col min="22" max="22" width="16" style="1" customWidth="1"/>
    <col min="23" max="23" width="13.5703125" style="1" customWidth="1"/>
    <col min="24" max="24" width="15.7109375" style="1" customWidth="1"/>
    <col min="25" max="25" width="13.5703125" style="1" customWidth="1"/>
    <col min="26" max="26" width="15.85546875" style="1" customWidth="1"/>
    <col min="27" max="28" width="15.42578125" style="1" customWidth="1"/>
    <col min="29" max="29" width="15.5703125" style="1" customWidth="1"/>
    <col min="30" max="31" width="15.42578125" style="1" customWidth="1"/>
    <col min="32" max="32" width="16.140625" style="1" customWidth="1"/>
    <col min="33" max="33" width="15.85546875" style="1" customWidth="1"/>
    <col min="34" max="34" width="15" style="1" customWidth="1"/>
    <col min="35" max="36" width="16" style="1" customWidth="1"/>
    <col min="37" max="37" width="0.28515625" style="1" customWidth="1"/>
    <col min="38" max="38" width="1.5703125" style="1" customWidth="1"/>
    <col min="39" max="39" width="25.7109375" style="1" customWidth="1"/>
    <col min="40" max="40" width="17.28515625" style="1" hidden="1" customWidth="1"/>
    <col min="41" max="41" width="14.85546875" style="1" hidden="1" customWidth="1"/>
    <col min="42" max="42" width="13.28515625" style="1" hidden="1" customWidth="1"/>
    <col min="43" max="43" width="14.28515625" style="1" hidden="1" customWidth="1"/>
    <col min="44" max="44" width="23.42578125" style="1" hidden="1" customWidth="1"/>
    <col min="45" max="45" width="20.85546875" style="1" hidden="1" customWidth="1"/>
    <col min="46" max="48" width="8.140625" style="1" customWidth="1"/>
    <col min="49" max="49" width="10.7109375" style="1" bestFit="1" customWidth="1"/>
    <col min="50" max="58" width="8.140625" style="1" customWidth="1"/>
    <col min="59" max="59" width="8.140625" style="1" hidden="1" customWidth="1"/>
    <col min="60" max="61" width="7.5703125" style="1" hidden="1" customWidth="1"/>
    <col min="62" max="63" width="8.140625" style="1" hidden="1" customWidth="1"/>
    <col min="64" max="66" width="8.140625" style="1" customWidth="1"/>
    <col min="67" max="78" width="9" style="1"/>
    <col min="79" max="79" width="12.7109375" style="1" customWidth="1"/>
    <col min="80" max="80" width="12.140625" style="1" customWidth="1"/>
    <col min="81" max="81" width="9.140625" style="1" customWidth="1"/>
    <col min="82" max="82" width="9.85546875" style="1" customWidth="1"/>
    <col min="83" max="83" width="15.85546875" style="1" customWidth="1"/>
    <col min="84" max="84" width="12.85546875" style="1" customWidth="1"/>
    <col min="85" max="85" width="14.140625" style="1" customWidth="1"/>
    <col min="86" max="97" width="9" style="1"/>
    <col min="98" max="98" width="9.5703125" style="145" customWidth="1"/>
    <col min="99" max="99" width="12.42578125" style="1" customWidth="1"/>
    <col min="100" max="15063" width="9" style="1"/>
    <col min="15064" max="16384" width="9" style="47"/>
  </cols>
  <sheetData>
    <row r="1" spans="3:98" ht="31.5" customHeight="1" thickBot="1" x14ac:dyDescent="0.3">
      <c r="C1" s="1538"/>
      <c r="D1" s="1538"/>
      <c r="E1" s="1538"/>
      <c r="F1" s="1538"/>
      <c r="G1" s="1538"/>
      <c r="H1" s="1538"/>
      <c r="I1" s="1538"/>
      <c r="J1" s="1538"/>
      <c r="K1" s="1538"/>
      <c r="L1" s="1538"/>
      <c r="M1" s="1538"/>
      <c r="N1" s="1538"/>
      <c r="O1" s="1538"/>
      <c r="P1" s="1538" t="s">
        <v>86</v>
      </c>
      <c r="Q1" s="1538"/>
      <c r="R1" s="1538"/>
      <c r="S1" s="1538"/>
      <c r="T1" s="1538"/>
      <c r="U1" s="1538"/>
      <c r="V1" s="1538"/>
      <c r="W1" s="1538"/>
      <c r="X1" s="1538"/>
      <c r="Y1" s="1538"/>
      <c r="Z1" s="1538"/>
      <c r="AA1" s="1538"/>
      <c r="AB1" s="1538"/>
      <c r="AC1" s="1538"/>
      <c r="AD1" s="1538"/>
      <c r="AE1" s="1538"/>
      <c r="AF1" s="1538"/>
      <c r="AG1" s="1538"/>
      <c r="AH1" s="1538"/>
      <c r="AI1" s="1538"/>
      <c r="AJ1" s="1538"/>
      <c r="AK1" s="1538"/>
      <c r="AL1" s="1538"/>
      <c r="AM1" s="1538"/>
    </row>
    <row r="2" spans="3:98" ht="30" customHeight="1" x14ac:dyDescent="0.25">
      <c r="C2" s="1600" t="s">
        <v>100</v>
      </c>
      <c r="D2" s="1602" t="s">
        <v>101</v>
      </c>
      <c r="E2" s="1604" t="s">
        <v>102</v>
      </c>
      <c r="F2" s="1606" t="s">
        <v>103</v>
      </c>
      <c r="G2" s="1608" t="s">
        <v>368</v>
      </c>
      <c r="H2" s="1609"/>
      <c r="I2" s="1609"/>
      <c r="J2" s="1609"/>
      <c r="K2" s="1609"/>
      <c r="L2" s="1609"/>
      <c r="M2" s="1609"/>
      <c r="N2" s="1609"/>
      <c r="O2" s="1609"/>
      <c r="P2" s="1609"/>
      <c r="Q2" s="1609"/>
      <c r="R2" s="1609"/>
      <c r="S2" s="1609"/>
      <c r="T2" s="1609"/>
      <c r="U2" s="1609"/>
      <c r="V2" s="1609"/>
      <c r="W2" s="1609"/>
      <c r="X2" s="1609"/>
      <c r="Y2" s="1609"/>
      <c r="Z2" s="1609"/>
      <c r="AA2" s="1609"/>
      <c r="AB2" s="1609"/>
      <c r="AC2" s="1609"/>
      <c r="AD2" s="1609"/>
      <c r="AE2" s="1609"/>
      <c r="AF2" s="1609"/>
      <c r="AG2" s="1609"/>
      <c r="AH2" s="1609"/>
      <c r="AI2" s="1609"/>
      <c r="AJ2" s="1609"/>
      <c r="AK2" s="1610"/>
      <c r="AM2" s="1598" t="s">
        <v>302</v>
      </c>
    </row>
    <row r="3" spans="3:98" x14ac:dyDescent="0.25">
      <c r="C3" s="1601"/>
      <c r="D3" s="1603"/>
      <c r="E3" s="1605"/>
      <c r="F3" s="1607"/>
      <c r="G3" s="374">
        <v>1</v>
      </c>
      <c r="H3" s="374">
        <v>2</v>
      </c>
      <c r="I3" s="374">
        <v>3</v>
      </c>
      <c r="J3" s="374">
        <v>4</v>
      </c>
      <c r="K3" s="374">
        <v>5</v>
      </c>
      <c r="L3" s="374">
        <v>6</v>
      </c>
      <c r="M3" s="374">
        <v>7</v>
      </c>
      <c r="N3" s="374">
        <v>8</v>
      </c>
      <c r="O3" s="374">
        <v>9</v>
      </c>
      <c r="P3" s="374">
        <v>10</v>
      </c>
      <c r="Q3" s="374">
        <v>11</v>
      </c>
      <c r="R3" s="374">
        <v>12</v>
      </c>
      <c r="S3" s="374">
        <v>13</v>
      </c>
      <c r="T3" s="374">
        <v>14</v>
      </c>
      <c r="U3" s="374">
        <v>15</v>
      </c>
      <c r="V3" s="374">
        <v>16</v>
      </c>
      <c r="W3" s="374">
        <v>17</v>
      </c>
      <c r="X3" s="374">
        <v>18</v>
      </c>
      <c r="Y3" s="374">
        <v>19</v>
      </c>
      <c r="Z3" s="374">
        <v>20</v>
      </c>
      <c r="AA3" s="374">
        <v>21</v>
      </c>
      <c r="AB3" s="374">
        <v>22</v>
      </c>
      <c r="AC3" s="374">
        <v>23</v>
      </c>
      <c r="AD3" s="374">
        <v>24</v>
      </c>
      <c r="AE3" s="374">
        <v>25</v>
      </c>
      <c r="AF3" s="374">
        <v>26</v>
      </c>
      <c r="AG3" s="374">
        <v>27</v>
      </c>
      <c r="AH3" s="374">
        <v>28</v>
      </c>
      <c r="AI3" s="374">
        <v>29</v>
      </c>
      <c r="AJ3" s="374">
        <v>30</v>
      </c>
      <c r="AK3" s="374">
        <v>31</v>
      </c>
      <c r="AM3" s="1599"/>
    </row>
    <row r="4" spans="3:98" x14ac:dyDescent="0.25">
      <c r="C4" s="7">
        <v>1</v>
      </c>
      <c r="D4" s="48" t="s">
        <v>85</v>
      </c>
      <c r="E4" s="49"/>
      <c r="F4" s="50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2"/>
      <c r="AH4" s="52"/>
      <c r="AI4" s="52"/>
      <c r="AJ4" s="52"/>
      <c r="AK4" s="53"/>
      <c r="AL4" s="3"/>
      <c r="AM4" s="54" t="s">
        <v>127</v>
      </c>
    </row>
    <row r="5" spans="3:98" x14ac:dyDescent="0.25">
      <c r="C5" s="8"/>
      <c r="D5" s="9" t="s">
        <v>16</v>
      </c>
      <c r="E5" s="256"/>
      <c r="F5" s="10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5"/>
      <c r="AI5" s="275"/>
      <c r="AJ5" s="275"/>
      <c r="AK5" s="275"/>
      <c r="AL5" s="3"/>
      <c r="AM5" s="55" t="s">
        <v>16</v>
      </c>
    </row>
    <row r="6" spans="3:98" x14ac:dyDescent="0.25">
      <c r="C6" s="8"/>
      <c r="D6" s="11" t="s">
        <v>84</v>
      </c>
      <c r="E6" s="257"/>
      <c r="F6" s="12" t="s">
        <v>83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  <c r="V6" s="33">
        <v>0</v>
      </c>
      <c r="W6" s="33">
        <v>1</v>
      </c>
      <c r="X6" s="33">
        <v>1</v>
      </c>
      <c r="Y6" s="33">
        <v>1</v>
      </c>
      <c r="Z6" s="33">
        <v>1</v>
      </c>
      <c r="AA6" s="33">
        <v>1</v>
      </c>
      <c r="AB6" s="33">
        <v>1</v>
      </c>
      <c r="AC6" s="33">
        <v>0</v>
      </c>
      <c r="AD6" s="33">
        <v>0</v>
      </c>
      <c r="AE6" s="33">
        <v>1</v>
      </c>
      <c r="AF6" s="33">
        <v>1</v>
      </c>
      <c r="AG6" s="33">
        <v>1</v>
      </c>
      <c r="AH6" s="33">
        <v>1</v>
      </c>
      <c r="AI6" s="33">
        <v>1</v>
      </c>
      <c r="AJ6" s="33">
        <v>1</v>
      </c>
      <c r="AK6" s="33"/>
      <c r="AL6" s="3"/>
      <c r="AM6" s="57">
        <f>SUM(G6:AK6)</f>
        <v>27</v>
      </c>
      <c r="AR6" s="5"/>
    </row>
    <row r="7" spans="3:98" x14ac:dyDescent="0.25">
      <c r="C7" s="8"/>
      <c r="D7" s="74" t="s">
        <v>125</v>
      </c>
      <c r="E7" s="257"/>
      <c r="F7" s="75" t="s">
        <v>14</v>
      </c>
      <c r="G7" s="276">
        <f>'[1]01'!$P$15</f>
        <v>0</v>
      </c>
      <c r="H7" s="276">
        <f>'[2]02'!$P$15</f>
        <v>1091462</v>
      </c>
      <c r="I7" s="276">
        <f>'[3]03'!$P$15</f>
        <v>775948</v>
      </c>
      <c r="J7" s="276">
        <f>'[4]04'!$P$15</f>
        <v>411548</v>
      </c>
      <c r="K7" s="276">
        <f>'[5]05'!$P$15</f>
        <v>662586</v>
      </c>
      <c r="L7" s="276">
        <f>'[6]06'!$P$15</f>
        <v>581111</v>
      </c>
      <c r="M7" s="276">
        <f>'[7]07'!$P$15</f>
        <v>1040334</v>
      </c>
      <c r="N7" s="276">
        <f>'[7]08'!$P$15</f>
        <v>0</v>
      </c>
      <c r="O7" s="276">
        <f>'[6]09'!$P$15</f>
        <v>1393093</v>
      </c>
      <c r="P7" s="276">
        <f>'[3]10'!$P$15</f>
        <v>1072925</v>
      </c>
      <c r="Q7" s="276">
        <f>'[5]11'!$P$15</f>
        <v>820575</v>
      </c>
      <c r="R7" s="276">
        <f>'[6]12'!$P$15</f>
        <v>544250</v>
      </c>
      <c r="S7" s="276">
        <f>'[8]13'!$P$15</f>
        <v>646901</v>
      </c>
      <c r="T7" s="276">
        <f>'[9]14'!$P$15</f>
        <v>1738216</v>
      </c>
      <c r="U7" s="276">
        <f>'[9]15'!$P$15</f>
        <v>511082</v>
      </c>
      <c r="V7" s="276">
        <v>0</v>
      </c>
      <c r="W7" s="276">
        <f>'[10]17'!$P$15</f>
        <v>885719</v>
      </c>
      <c r="X7" s="276">
        <f>'[7]18'!$P$15</f>
        <v>1402234</v>
      </c>
      <c r="Y7" s="276">
        <f>'[11]19'!$P$15-3000</f>
        <v>901325</v>
      </c>
      <c r="Z7" s="276">
        <f>'[12]20'!$P$15</f>
        <v>870362</v>
      </c>
      <c r="AA7" s="276">
        <f>'[13]21'!$P$15</f>
        <v>1413850</v>
      </c>
      <c r="AB7" s="276">
        <f>'[13]22'!$P$15</f>
        <v>577458</v>
      </c>
      <c r="AC7" s="276">
        <f>'[13]23'!$P$15-9880</f>
        <v>727575</v>
      </c>
      <c r="AD7" s="276">
        <f>'[14]24'!$P$15</f>
        <v>733336</v>
      </c>
      <c r="AE7" s="276">
        <f>'[15]25'!$P$15</f>
        <v>786729</v>
      </c>
      <c r="AF7" s="276">
        <f>'[16]26'!$P$15</f>
        <v>792985</v>
      </c>
      <c r="AG7" s="276">
        <f>956721+110099+463387</f>
        <v>1530207</v>
      </c>
      <c r="AH7" s="276">
        <f>'[17]28'!$P$15</f>
        <v>1209719</v>
      </c>
      <c r="AI7" s="276">
        <f>'[18]29'!$P$15</f>
        <v>914652</v>
      </c>
      <c r="AJ7" s="276">
        <f>'[14]30 (Stock Opname)'!$P$15</f>
        <v>950954</v>
      </c>
      <c r="AK7" s="276"/>
      <c r="AL7" s="3"/>
      <c r="AM7" s="60">
        <f>SUM(G7:AK7)</f>
        <v>24987136</v>
      </c>
      <c r="AN7" s="3">
        <f>AVERAGE(H7:AA7)</f>
        <v>838176.05</v>
      </c>
      <c r="AP7" s="3"/>
    </row>
    <row r="8" spans="3:98" x14ac:dyDescent="0.25">
      <c r="C8" s="8"/>
      <c r="D8" s="11" t="s">
        <v>104</v>
      </c>
      <c r="E8" s="257"/>
      <c r="F8" s="13" t="s">
        <v>25</v>
      </c>
      <c r="G8" s="34">
        <f>G9/2200000*100</f>
        <v>14.784727272727272</v>
      </c>
      <c r="H8" s="34">
        <f t="shared" ref="H8:AJ8" si="0">H9/2200000*100</f>
        <v>11.107818181818182</v>
      </c>
      <c r="I8" s="34">
        <f t="shared" si="0"/>
        <v>51.390636363636368</v>
      </c>
      <c r="J8" s="34">
        <f t="shared" si="0"/>
        <v>31.202818181818181</v>
      </c>
      <c r="K8" s="34">
        <f t="shared" si="0"/>
        <v>27.664454545454547</v>
      </c>
      <c r="L8" s="34">
        <f t="shared" si="0"/>
        <v>30.10972727272727</v>
      </c>
      <c r="M8" s="34">
        <f t="shared" si="0"/>
        <v>27.837318181818183</v>
      </c>
      <c r="N8" s="34">
        <f t="shared" si="0"/>
        <v>17.565727272727273</v>
      </c>
      <c r="O8" s="34">
        <f t="shared" si="0"/>
        <v>47.343681818181821</v>
      </c>
      <c r="P8" s="34">
        <f t="shared" si="0"/>
        <v>48.036772727272727</v>
      </c>
      <c r="Q8" s="34">
        <f t="shared" si="0"/>
        <v>48.534727272727274</v>
      </c>
      <c r="R8" s="34">
        <f t="shared" si="0"/>
        <v>31.899863636363634</v>
      </c>
      <c r="S8" s="34">
        <f t="shared" si="0"/>
        <v>25.619090909090907</v>
      </c>
      <c r="T8" s="34">
        <f t="shared" si="0"/>
        <v>27.539136363636363</v>
      </c>
      <c r="U8" s="34">
        <f t="shared" si="0"/>
        <v>72.177227272727279</v>
      </c>
      <c r="V8" s="34">
        <f t="shared" si="0"/>
        <v>0</v>
      </c>
      <c r="W8" s="34">
        <f t="shared" si="0"/>
        <v>19.550999999999998</v>
      </c>
      <c r="X8" s="34">
        <f t="shared" si="0"/>
        <v>52.461909090909089</v>
      </c>
      <c r="Y8" s="34">
        <f t="shared" si="0"/>
        <v>62.757681818181823</v>
      </c>
      <c r="Z8" s="34">
        <f t="shared" si="0"/>
        <v>42.669863636363637</v>
      </c>
      <c r="AA8" s="34">
        <f t="shared" si="0"/>
        <v>39.773590909090913</v>
      </c>
      <c r="AB8" s="34">
        <f>AB9/2200000*100</f>
        <v>1.8691818181818181</v>
      </c>
      <c r="AC8" s="34">
        <f t="shared" si="0"/>
        <v>0</v>
      </c>
      <c r="AD8" s="34">
        <f t="shared" si="0"/>
        <v>0</v>
      </c>
      <c r="AE8" s="34">
        <f t="shared" si="0"/>
        <v>39.992636363636365</v>
      </c>
      <c r="AF8" s="34">
        <f t="shared" si="0"/>
        <v>73.778681818181809</v>
      </c>
      <c r="AG8" s="34">
        <f t="shared" si="0"/>
        <v>74.954409090909095</v>
      </c>
      <c r="AH8" s="34">
        <f t="shared" si="0"/>
        <v>78.119409090909087</v>
      </c>
      <c r="AI8" s="34">
        <f t="shared" si="0"/>
        <v>69.487818181818184</v>
      </c>
      <c r="AJ8" s="34">
        <f t="shared" si="0"/>
        <v>24.783272727272728</v>
      </c>
      <c r="AK8" s="34">
        <f>AK9/2200000*100</f>
        <v>0</v>
      </c>
      <c r="AL8" s="3"/>
      <c r="AM8" s="61">
        <f>SUM(G8:AJ8)/AM6</f>
        <v>40.481969696969699</v>
      </c>
      <c r="AP8" s="847"/>
      <c r="AW8" s="3">
        <f>AM9/30</f>
        <v>801543</v>
      </c>
    </row>
    <row r="9" spans="3:98" s="1" customFormat="1" x14ac:dyDescent="0.25">
      <c r="C9" s="8"/>
      <c r="D9" s="58" t="s">
        <v>97</v>
      </c>
      <c r="E9" s="240">
        <v>36359000</v>
      </c>
      <c r="F9" s="59" t="s">
        <v>14</v>
      </c>
      <c r="G9" s="276">
        <f>'[1]01'!$Q$15</f>
        <v>325264</v>
      </c>
      <c r="H9" s="276">
        <f>'[2]02'!$Q$15</f>
        <v>244372</v>
      </c>
      <c r="I9" s="276">
        <f>'[3]03'!$Q$15</f>
        <v>1130594</v>
      </c>
      <c r="J9" s="276">
        <f>'[4]04'!$Q$15</f>
        <v>686462</v>
      </c>
      <c r="K9" s="276">
        <f>'[5]05'!$Q$15</f>
        <v>608618</v>
      </c>
      <c r="L9" s="276">
        <f>'[6]06'!$Q$15</f>
        <v>662414</v>
      </c>
      <c r="M9" s="276">
        <f>'[7]07'!$Q$15</f>
        <v>612421</v>
      </c>
      <c r="N9" s="276">
        <f>'[7]08'!$Q$15</f>
        <v>386446</v>
      </c>
      <c r="O9" s="276">
        <f>'[6]09'!$Q$15</f>
        <v>1041561</v>
      </c>
      <c r="P9" s="276">
        <f>'[3]10'!$Q$12+'[3]10'!$Q$14</f>
        <v>1056809</v>
      </c>
      <c r="Q9" s="276">
        <f>'[5]11'!$Q$15</f>
        <v>1067764</v>
      </c>
      <c r="R9" s="276">
        <f>'[6]12'!$Q$15</f>
        <v>701797</v>
      </c>
      <c r="S9" s="276">
        <f>'[8]13'!$Q$15</f>
        <v>563620</v>
      </c>
      <c r="T9" s="276">
        <v>605861</v>
      </c>
      <c r="U9" s="276">
        <v>1587899</v>
      </c>
      <c r="V9" s="276"/>
      <c r="W9" s="276">
        <f>'[10]17'!$Q$15</f>
        <v>430122</v>
      </c>
      <c r="X9" s="276">
        <f>'[7]18'!$Q$15</f>
        <v>1154162</v>
      </c>
      <c r="Y9" s="276">
        <f>'[11]19'!$Q$15</f>
        <v>1380669</v>
      </c>
      <c r="Z9" s="276">
        <f>'[12]20'!$Q$15</f>
        <v>938737</v>
      </c>
      <c r="AA9" s="276">
        <f>'[13]21'!$Q$15</f>
        <v>875019</v>
      </c>
      <c r="AB9" s="276">
        <f>'[13]22 Rev'!$Q$15</f>
        <v>41122</v>
      </c>
      <c r="AC9" s="276">
        <v>0</v>
      </c>
      <c r="AD9" s="276">
        <v>0</v>
      </c>
      <c r="AE9" s="276">
        <f>'[15]25'!$Q$15</f>
        <v>879838</v>
      </c>
      <c r="AF9" s="276">
        <v>1623131</v>
      </c>
      <c r="AG9" s="276">
        <v>1648997</v>
      </c>
      <c r="AH9" s="276">
        <v>1718627</v>
      </c>
      <c r="AI9" s="276">
        <v>1528732</v>
      </c>
      <c r="AJ9" s="276">
        <f>'[14]30 (Stock Opname)'!$Q$10</f>
        <v>545232</v>
      </c>
      <c r="AK9" s="276"/>
      <c r="AM9" s="60">
        <f>SUM(G9:AK9)</f>
        <v>24046290</v>
      </c>
      <c r="AN9" s="372">
        <f>AM9/E9</f>
        <v>0.66135729805550203</v>
      </c>
      <c r="AO9" s="3">
        <f>AM9/AM6</f>
        <v>890603.33333333337</v>
      </c>
      <c r="AP9" s="850">
        <f>AO9/E9</f>
        <v>2.4494714742796374E-2</v>
      </c>
      <c r="AQ9" s="3"/>
      <c r="AR9" s="1099">
        <f>AM9/E9</f>
        <v>0.66135729805550203</v>
      </c>
      <c r="AS9" s="1102">
        <f>AM9/E9</f>
        <v>0.66135729805550203</v>
      </c>
      <c r="BM9" s="4"/>
      <c r="CT9" s="146"/>
    </row>
    <row r="10" spans="3:98" s="1" customFormat="1" x14ac:dyDescent="0.25">
      <c r="C10" s="8"/>
      <c r="D10" s="975" t="s">
        <v>388</v>
      </c>
      <c r="E10" s="976"/>
      <c r="F10" s="64"/>
      <c r="G10" s="977"/>
      <c r="H10" s="977"/>
      <c r="I10" s="977"/>
      <c r="J10" s="977"/>
      <c r="K10" s="977"/>
      <c r="L10" s="977"/>
      <c r="M10" s="546"/>
      <c r="O10" s="977"/>
      <c r="P10" s="977"/>
      <c r="Q10" s="977"/>
      <c r="R10" s="977"/>
      <c r="T10" s="977"/>
      <c r="U10" s="977"/>
      <c r="V10" s="977"/>
      <c r="W10" s="977"/>
      <c r="X10" s="977"/>
      <c r="Y10" s="977"/>
      <c r="Z10" s="977"/>
      <c r="AA10" s="977"/>
      <c r="AB10" s="977"/>
      <c r="AC10" s="977"/>
      <c r="AD10" s="977"/>
      <c r="AE10" s="977"/>
      <c r="AF10" s="977"/>
      <c r="AG10" s="977"/>
      <c r="AH10" s="977"/>
      <c r="AI10" s="977"/>
      <c r="AJ10" s="977"/>
      <c r="AK10" s="977"/>
      <c r="AL10" s="65"/>
      <c r="AM10" s="533">
        <f>AM9/AM6</f>
        <v>890603.33333333337</v>
      </c>
      <c r="AN10" s="372"/>
      <c r="AO10" s="3"/>
      <c r="AP10" s="850"/>
      <c r="AQ10" s="3"/>
      <c r="AR10" s="974"/>
      <c r="AW10" s="3">
        <f>AM7/30</f>
        <v>832904.53333333333</v>
      </c>
      <c r="BM10" s="4"/>
      <c r="CT10" s="146"/>
    </row>
    <row r="11" spans="3:98" s="1" customFormat="1" x14ac:dyDescent="0.25">
      <c r="C11" s="8"/>
      <c r="D11" s="21" t="s">
        <v>98</v>
      </c>
      <c r="E11" s="240">
        <v>29045000</v>
      </c>
      <c r="F11" s="13" t="s">
        <v>14</v>
      </c>
      <c r="G11" s="33">
        <f>G9-G36-G45</f>
        <v>325264</v>
      </c>
      <c r="H11" s="33">
        <f t="shared" ref="H11:AJ11" si="1">H9-H36-H45</f>
        <v>244372</v>
      </c>
      <c r="I11" s="33">
        <f t="shared" si="1"/>
        <v>1130594</v>
      </c>
      <c r="J11" s="33">
        <f t="shared" si="1"/>
        <v>686462</v>
      </c>
      <c r="K11" s="33">
        <f t="shared" si="1"/>
        <v>608618</v>
      </c>
      <c r="L11" s="33">
        <f t="shared" si="1"/>
        <v>662414</v>
      </c>
      <c r="M11" s="33">
        <f>M9-M36-M45</f>
        <v>612421</v>
      </c>
      <c r="N11" s="33">
        <f>N9-N36-N45</f>
        <v>386446</v>
      </c>
      <c r="O11" s="33">
        <f t="shared" si="1"/>
        <v>1041561</v>
      </c>
      <c r="P11" s="33">
        <f>P9-P36-P45</f>
        <v>1056809</v>
      </c>
      <c r="Q11" s="33">
        <f t="shared" si="1"/>
        <v>1067764</v>
      </c>
      <c r="R11" s="33">
        <f t="shared" si="1"/>
        <v>701797</v>
      </c>
      <c r="S11" s="33">
        <f>S9-S36-S45</f>
        <v>563620</v>
      </c>
      <c r="T11" s="33">
        <f t="shared" si="1"/>
        <v>605861</v>
      </c>
      <c r="U11" s="33">
        <f t="shared" si="1"/>
        <v>1587899</v>
      </c>
      <c r="V11" s="33">
        <f t="shared" si="1"/>
        <v>0</v>
      </c>
      <c r="W11" s="33">
        <f t="shared" si="1"/>
        <v>430122</v>
      </c>
      <c r="X11" s="33">
        <f t="shared" si="1"/>
        <v>1154162</v>
      </c>
      <c r="Y11" s="33">
        <f t="shared" si="1"/>
        <v>1380669</v>
      </c>
      <c r="Z11" s="33">
        <f t="shared" si="1"/>
        <v>938737</v>
      </c>
      <c r="AA11" s="33">
        <f t="shared" si="1"/>
        <v>875019</v>
      </c>
      <c r="AB11" s="33">
        <f t="shared" si="1"/>
        <v>41122</v>
      </c>
      <c r="AC11" s="33">
        <f t="shared" si="1"/>
        <v>0</v>
      </c>
      <c r="AD11" s="33">
        <f t="shared" si="1"/>
        <v>0</v>
      </c>
      <c r="AE11" s="33">
        <f t="shared" si="1"/>
        <v>879838</v>
      </c>
      <c r="AF11" s="33">
        <f t="shared" si="1"/>
        <v>1623131</v>
      </c>
      <c r="AG11" s="33">
        <f t="shared" si="1"/>
        <v>1648997</v>
      </c>
      <c r="AH11" s="33">
        <f t="shared" si="1"/>
        <v>1718627</v>
      </c>
      <c r="AI11" s="33">
        <f t="shared" si="1"/>
        <v>1528732</v>
      </c>
      <c r="AJ11" s="33">
        <f t="shared" si="1"/>
        <v>545232</v>
      </c>
      <c r="AK11" s="33">
        <f>AK9-AK36-AK45</f>
        <v>0</v>
      </c>
      <c r="AM11" s="57">
        <f>SUM(G11:AK11)</f>
        <v>24046290</v>
      </c>
      <c r="AP11" s="37"/>
      <c r="CT11" s="146"/>
    </row>
    <row r="12" spans="3:98" s="1" customFormat="1" x14ac:dyDescent="0.25">
      <c r="C12" s="8"/>
      <c r="D12" s="21" t="s">
        <v>99</v>
      </c>
      <c r="E12" s="240">
        <v>7314000</v>
      </c>
      <c r="F12" s="13" t="s">
        <v>14</v>
      </c>
      <c r="G12" s="33">
        <f>G36+G45</f>
        <v>0</v>
      </c>
      <c r="H12" s="33">
        <f t="shared" ref="H12:AJ12" si="2">H36+H45</f>
        <v>0</v>
      </c>
      <c r="I12" s="33">
        <f t="shared" si="2"/>
        <v>0</v>
      </c>
      <c r="J12" s="33">
        <f t="shared" si="2"/>
        <v>0</v>
      </c>
      <c r="K12" s="33">
        <f t="shared" si="2"/>
        <v>0</v>
      </c>
      <c r="L12" s="33">
        <f t="shared" si="2"/>
        <v>0</v>
      </c>
      <c r="M12" s="33">
        <f t="shared" si="2"/>
        <v>0</v>
      </c>
      <c r="N12" s="33">
        <f t="shared" si="2"/>
        <v>0</v>
      </c>
      <c r="O12" s="33">
        <f t="shared" si="2"/>
        <v>0</v>
      </c>
      <c r="P12" s="33">
        <f t="shared" si="2"/>
        <v>0</v>
      </c>
      <c r="Q12" s="33">
        <f t="shared" si="2"/>
        <v>0</v>
      </c>
      <c r="R12" s="33">
        <f t="shared" si="2"/>
        <v>0</v>
      </c>
      <c r="S12" s="33">
        <f>S36+S45</f>
        <v>0</v>
      </c>
      <c r="T12" s="33">
        <f t="shared" si="2"/>
        <v>0</v>
      </c>
      <c r="U12" s="33">
        <f t="shared" si="2"/>
        <v>0</v>
      </c>
      <c r="V12" s="33">
        <f t="shared" si="2"/>
        <v>0</v>
      </c>
      <c r="W12" s="33">
        <f t="shared" si="2"/>
        <v>0</v>
      </c>
      <c r="X12" s="33">
        <f t="shared" si="2"/>
        <v>0</v>
      </c>
      <c r="Y12" s="33">
        <f t="shared" si="2"/>
        <v>0</v>
      </c>
      <c r="Z12" s="33">
        <f t="shared" si="2"/>
        <v>0</v>
      </c>
      <c r="AA12" s="33">
        <f t="shared" si="2"/>
        <v>0</v>
      </c>
      <c r="AB12" s="33">
        <f t="shared" si="2"/>
        <v>0</v>
      </c>
      <c r="AC12" s="33">
        <f t="shared" si="2"/>
        <v>0</v>
      </c>
      <c r="AD12" s="33">
        <f t="shared" si="2"/>
        <v>0</v>
      </c>
      <c r="AE12" s="33">
        <f t="shared" si="2"/>
        <v>0</v>
      </c>
      <c r="AF12" s="33">
        <f t="shared" si="2"/>
        <v>0</v>
      </c>
      <c r="AG12" s="33">
        <f t="shared" si="2"/>
        <v>0</v>
      </c>
      <c r="AH12" s="33">
        <f t="shared" si="2"/>
        <v>0</v>
      </c>
      <c r="AI12" s="33">
        <f t="shared" si="2"/>
        <v>0</v>
      </c>
      <c r="AJ12" s="33">
        <f t="shared" si="2"/>
        <v>0</v>
      </c>
      <c r="AK12" s="33">
        <f>AK36+AK45</f>
        <v>0</v>
      </c>
      <c r="AM12" s="57">
        <f>SUM(G12:AK12)</f>
        <v>0</v>
      </c>
      <c r="CT12" s="146"/>
    </row>
    <row r="13" spans="3:98" s="1" customFormat="1" x14ac:dyDescent="0.25">
      <c r="C13" s="8"/>
      <c r="D13" s="14" t="s">
        <v>82</v>
      </c>
      <c r="E13" s="258">
        <v>5</v>
      </c>
      <c r="F13" s="13" t="s">
        <v>25</v>
      </c>
      <c r="G13" s="29">
        <v>4.16</v>
      </c>
      <c r="H13" s="29">
        <f>3.99</f>
        <v>3.99</v>
      </c>
      <c r="I13" s="29">
        <v>3.58</v>
      </c>
      <c r="J13" s="29">
        <f>(3.6+3.65+3.95)/3</f>
        <v>3.7333333333333329</v>
      </c>
      <c r="K13" s="29">
        <f>(4.17+3.99)/2</f>
        <v>4.08</v>
      </c>
      <c r="L13" s="29">
        <f>(3.55+3.59)/2</f>
        <v>3.57</v>
      </c>
      <c r="M13" s="29">
        <f>(3.99)</f>
        <v>3.99</v>
      </c>
      <c r="N13" s="29">
        <v>3.6</v>
      </c>
      <c r="O13" s="29">
        <f>(3.83+3.78)/2</f>
        <v>3.8049999999999997</v>
      </c>
      <c r="P13" s="29">
        <f>(3.61+3.43)/2</f>
        <v>3.52</v>
      </c>
      <c r="Q13" s="29">
        <f>(3.62+3.69)/2</f>
        <v>3.6550000000000002</v>
      </c>
      <c r="R13" s="29">
        <v>3.77</v>
      </c>
      <c r="S13" s="29">
        <f>(3.83+3.55)/2</f>
        <v>3.69</v>
      </c>
      <c r="T13" s="29">
        <v>3.85</v>
      </c>
      <c r="U13" s="29">
        <v>3.74</v>
      </c>
      <c r="V13" s="29">
        <v>0</v>
      </c>
      <c r="W13" s="29">
        <v>3.64</v>
      </c>
      <c r="X13" s="29">
        <f>(3.56+3.58)/2</f>
        <v>3.5700000000000003</v>
      </c>
      <c r="Y13" s="29">
        <v>3.71</v>
      </c>
      <c r="Z13" s="29">
        <f>(3.98+3.78)/2</f>
        <v>3.88</v>
      </c>
      <c r="AA13" s="29">
        <v>3.85</v>
      </c>
      <c r="AB13" s="29">
        <v>0</v>
      </c>
      <c r="AC13" s="29">
        <v>0</v>
      </c>
      <c r="AD13" s="29">
        <v>0</v>
      </c>
      <c r="AE13" s="29">
        <v>3.95</v>
      </c>
      <c r="AF13" s="29">
        <f>(4.15+3.76)/2</f>
        <v>3.9550000000000001</v>
      </c>
      <c r="AG13" s="29">
        <f>(3.41+3.74)/2</f>
        <v>3.5750000000000002</v>
      </c>
      <c r="AH13" s="29">
        <f>(3.74+3.77)/2</f>
        <v>3.7549999999999999</v>
      </c>
      <c r="AI13" s="29">
        <f>(4.02+3.77)/2</f>
        <v>3.8949999999999996</v>
      </c>
      <c r="AJ13" s="29">
        <v>3.88</v>
      </c>
      <c r="AK13" s="29"/>
      <c r="AM13" s="61">
        <f>SUM(G13:AJ13)/AM6</f>
        <v>3.6441975308641967</v>
      </c>
      <c r="CT13" s="145"/>
    </row>
    <row r="14" spans="3:98" s="1" customFormat="1" x14ac:dyDescent="0.25">
      <c r="C14" s="8"/>
      <c r="D14" s="14" t="s">
        <v>81</v>
      </c>
      <c r="E14" s="258">
        <v>0.5</v>
      </c>
      <c r="F14" s="13" t="s">
        <v>25</v>
      </c>
      <c r="G14" s="29">
        <v>0.48</v>
      </c>
      <c r="H14" s="29">
        <v>0.48</v>
      </c>
      <c r="I14" s="29">
        <v>0.4</v>
      </c>
      <c r="J14" s="29">
        <f>(0.38+0.35+0.48)/3</f>
        <v>0.40333333333333332</v>
      </c>
      <c r="K14" s="29">
        <f>(0.4+0.49)/2</f>
        <v>0.44500000000000001</v>
      </c>
      <c r="L14" s="29">
        <f>(0.44+0.47)/2</f>
        <v>0.45499999999999996</v>
      </c>
      <c r="M14" s="29">
        <v>0.41</v>
      </c>
      <c r="N14" s="29">
        <v>0.47</v>
      </c>
      <c r="O14" s="29">
        <f>(0.42+0.49)/2</f>
        <v>0.45499999999999996</v>
      </c>
      <c r="P14" s="29">
        <f>(0.4+0.42)/2</f>
        <v>0.41000000000000003</v>
      </c>
      <c r="Q14" s="29">
        <f>(0.42+0.38)/2</f>
        <v>0.4</v>
      </c>
      <c r="R14" s="29">
        <v>0.4</v>
      </c>
      <c r="S14" s="29">
        <v>0.44</v>
      </c>
      <c r="T14" s="29">
        <v>0.46</v>
      </c>
      <c r="U14" s="29">
        <v>0.44</v>
      </c>
      <c r="V14" s="29">
        <v>0</v>
      </c>
      <c r="W14" s="29">
        <v>0.4</v>
      </c>
      <c r="X14" s="29">
        <f>(0.38+0.46)/2</f>
        <v>0.42000000000000004</v>
      </c>
      <c r="Y14" s="29">
        <v>0.38</v>
      </c>
      <c r="Z14" s="29">
        <v>0.39</v>
      </c>
      <c r="AA14" s="29">
        <f>(0.42+0.45)/2</f>
        <v>0.435</v>
      </c>
      <c r="AB14" s="29">
        <v>0</v>
      </c>
      <c r="AC14" s="29">
        <v>0</v>
      </c>
      <c r="AD14" s="29">
        <v>0</v>
      </c>
      <c r="AE14" s="29">
        <v>0.41</v>
      </c>
      <c r="AF14" s="29">
        <v>0.42</v>
      </c>
      <c r="AG14" s="29">
        <v>0.46</v>
      </c>
      <c r="AH14" s="29">
        <f>(0.41+0.47)/2</f>
        <v>0.43999999999999995</v>
      </c>
      <c r="AI14" s="29">
        <f>(0.43+0.48)/2</f>
        <v>0.45499999999999996</v>
      </c>
      <c r="AJ14" s="29">
        <v>0.42</v>
      </c>
      <c r="AK14" s="29"/>
      <c r="AM14" s="61">
        <f>SUM(G14:AJ14)/AM6</f>
        <v>0.41401234567901246</v>
      </c>
      <c r="BM14" s="4"/>
      <c r="CT14" s="146"/>
    </row>
    <row r="15" spans="3:98" s="1" customFormat="1" x14ac:dyDescent="0.25">
      <c r="C15" s="8"/>
      <c r="D15" s="14" t="s">
        <v>80</v>
      </c>
      <c r="E15" s="259" t="s">
        <v>79</v>
      </c>
      <c r="F15" s="13" t="s">
        <v>25</v>
      </c>
      <c r="G15" s="29">
        <v>22.18</v>
      </c>
      <c r="H15" s="29">
        <v>22.18</v>
      </c>
      <c r="I15" s="29">
        <v>22.18</v>
      </c>
      <c r="J15" s="29">
        <v>22.15</v>
      </c>
      <c r="K15" s="29">
        <v>22.17</v>
      </c>
      <c r="L15" s="29">
        <v>22.16</v>
      </c>
      <c r="M15" s="29">
        <v>22.18</v>
      </c>
      <c r="N15" s="29">
        <v>22.18</v>
      </c>
      <c r="O15" s="29">
        <v>22.1</v>
      </c>
      <c r="P15" s="29">
        <v>22.1</v>
      </c>
      <c r="Q15" s="29">
        <v>22.18</v>
      </c>
      <c r="R15" s="29">
        <v>22.1</v>
      </c>
      <c r="S15" s="29">
        <v>22</v>
      </c>
      <c r="T15" s="29">
        <v>22.02</v>
      </c>
      <c r="U15" s="29">
        <v>22.02</v>
      </c>
      <c r="V15" s="29">
        <v>0</v>
      </c>
      <c r="W15" s="29">
        <v>22.08</v>
      </c>
      <c r="X15" s="29">
        <v>22.02</v>
      </c>
      <c r="Y15" s="29">
        <v>22.02</v>
      </c>
      <c r="Z15" s="29">
        <v>22.01</v>
      </c>
      <c r="AA15" s="29">
        <v>22.02</v>
      </c>
      <c r="AB15" s="29">
        <v>0</v>
      </c>
      <c r="AC15" s="29">
        <v>0</v>
      </c>
      <c r="AD15" s="29">
        <v>0</v>
      </c>
      <c r="AE15" s="29">
        <v>22.02</v>
      </c>
      <c r="AF15" s="29">
        <v>22.02</v>
      </c>
      <c r="AG15" s="29">
        <v>22.02</v>
      </c>
      <c r="AH15" s="29">
        <v>22.02</v>
      </c>
      <c r="AI15" s="29">
        <v>22.01</v>
      </c>
      <c r="AJ15" s="29">
        <v>22.02</v>
      </c>
      <c r="AK15" s="29"/>
      <c r="AM15" s="61">
        <f>SUM(G15:AK15)/AM6</f>
        <v>21.265185185185178</v>
      </c>
      <c r="CT15" s="146"/>
    </row>
    <row r="16" spans="3:98" s="1" customFormat="1" x14ac:dyDescent="0.25">
      <c r="C16" s="8"/>
      <c r="D16" s="62" t="s">
        <v>78</v>
      </c>
      <c r="E16" s="260"/>
      <c r="F16" s="64"/>
      <c r="G16" s="33"/>
      <c r="H16" s="33"/>
      <c r="I16" s="33"/>
      <c r="J16" s="33"/>
      <c r="K16" s="33"/>
      <c r="L16" s="33"/>
      <c r="M16" s="546"/>
      <c r="N16" s="546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65"/>
      <c r="AM16" s="66" t="s">
        <v>78</v>
      </c>
      <c r="CT16" s="146"/>
    </row>
    <row r="17" spans="1:15111" s="1" customFormat="1" x14ac:dyDescent="0.25">
      <c r="C17" s="8"/>
      <c r="D17" s="855" t="s">
        <v>369</v>
      </c>
      <c r="E17" s="260"/>
      <c r="F17" s="64"/>
      <c r="G17" s="33">
        <v>-25058</v>
      </c>
      <c r="H17" s="33">
        <v>5184</v>
      </c>
      <c r="I17" s="33">
        <v>12794</v>
      </c>
      <c r="J17" s="33">
        <v>-15208</v>
      </c>
      <c r="K17" s="33">
        <v>-2710</v>
      </c>
      <c r="L17" s="33">
        <v>4240</v>
      </c>
      <c r="M17" s="33">
        <v>3950</v>
      </c>
      <c r="N17" s="33">
        <v>8077</v>
      </c>
      <c r="O17" s="33">
        <v>-16405</v>
      </c>
      <c r="P17" s="33">
        <v>2258</v>
      </c>
      <c r="Q17" s="33">
        <v>3187</v>
      </c>
      <c r="R17" s="33">
        <v>2456</v>
      </c>
      <c r="S17" s="33">
        <f>'OIP Refinery'!G17</f>
        <v>20802</v>
      </c>
      <c r="T17" s="33">
        <v>-9534</v>
      </c>
      <c r="U17" s="33">
        <v>-592</v>
      </c>
      <c r="V17" s="33">
        <v>0</v>
      </c>
      <c r="W17" s="33">
        <v>13769</v>
      </c>
      <c r="X17" s="33">
        <v>-2231</v>
      </c>
      <c r="Y17" s="33">
        <v>-24516</v>
      </c>
      <c r="Z17" s="33">
        <v>-2682</v>
      </c>
      <c r="AA17" s="33">
        <v>-8332</v>
      </c>
      <c r="AB17" s="33">
        <v>-5229</v>
      </c>
      <c r="AC17" s="33">
        <v>-4192</v>
      </c>
      <c r="AD17" s="33">
        <v>4232</v>
      </c>
      <c r="AE17" s="33">
        <v>21733</v>
      </c>
      <c r="AF17" s="33">
        <v>-6956</v>
      </c>
      <c r="AG17" s="33">
        <v>-12010</v>
      </c>
      <c r="AH17" s="33">
        <v>12177</v>
      </c>
      <c r="AI17" s="33">
        <v>-7816</v>
      </c>
      <c r="AJ17" s="33">
        <v>3740</v>
      </c>
      <c r="AK17" s="33"/>
      <c r="AL17" s="65"/>
      <c r="AM17" s="66"/>
      <c r="CT17" s="146"/>
    </row>
    <row r="18" spans="1:15111" s="1" customFormat="1" x14ac:dyDescent="0.25">
      <c r="C18" s="15"/>
      <c r="D18" s="67" t="s">
        <v>196</v>
      </c>
      <c r="E18" s="240">
        <v>34458000</v>
      </c>
      <c r="F18" s="68" t="s">
        <v>14</v>
      </c>
      <c r="G18" s="276">
        <f>'[1]01'!$P$18+G17</f>
        <v>288137</v>
      </c>
      <c r="H18" s="276">
        <f>'[2]02'!$P$18+H17</f>
        <v>229820</v>
      </c>
      <c r="I18" s="276">
        <f>'[6]03'!$P$18+I17</f>
        <v>1094261</v>
      </c>
      <c r="J18" s="276">
        <f>'[4]04'!$P$18+J17</f>
        <v>651579</v>
      </c>
      <c r="K18" s="276">
        <f>'[5]05'!$P$18+K22+K17</f>
        <v>582876</v>
      </c>
      <c r="L18" s="276">
        <f>'[6]06'!$P$18+L17</f>
        <v>619308</v>
      </c>
      <c r="M18" s="276">
        <f>'[7]07'!$P$18+M22+M17</f>
        <v>583790</v>
      </c>
      <c r="N18" s="276">
        <f>'[7]08'!$P$18+N17</f>
        <v>364733</v>
      </c>
      <c r="O18" s="276">
        <f>'[2]09'!$P$18+O17</f>
        <v>962440</v>
      </c>
      <c r="P18" s="276">
        <f>'[3]10'!$P$18+P17</f>
        <v>1024438</v>
      </c>
      <c r="Q18" s="276">
        <f>'[5]11'!$P$18+Q17</f>
        <v>1038100</v>
      </c>
      <c r="R18" s="276">
        <f>'[6]12'!$P$18+R17</f>
        <v>657990</v>
      </c>
      <c r="S18" s="276">
        <f>'[8]13'!$P$18+S17</f>
        <v>532167</v>
      </c>
      <c r="T18" s="276">
        <f>580282+T17</f>
        <v>570748</v>
      </c>
      <c r="U18" s="276">
        <f>1519300+U17</f>
        <v>1518708</v>
      </c>
      <c r="V18" s="276">
        <v>0</v>
      </c>
      <c r="W18" s="276">
        <f>'[10]17'!$P$18+W17</f>
        <v>416007</v>
      </c>
      <c r="X18" s="276">
        <f>'[7]18'!$P$18+X17</f>
        <v>1100547</v>
      </c>
      <c r="Y18" s="276">
        <f>'[11]19'!$P$18+Y17</f>
        <v>1309668</v>
      </c>
      <c r="Z18" s="276">
        <f>'[12]20'!$P$18+Z17</f>
        <v>896963</v>
      </c>
      <c r="AA18" s="276">
        <f>'[13]21'!$P$18+AA17</f>
        <v>818274</v>
      </c>
      <c r="AB18" s="276">
        <f>'[13]22'!$P$18+AB17</f>
        <v>29377</v>
      </c>
      <c r="AC18" s="276">
        <v>0</v>
      </c>
      <c r="AD18" s="276">
        <v>0</v>
      </c>
      <c r="AE18" s="276">
        <f>'[15]25'!$P$18+AE22+AE17</f>
        <v>818213</v>
      </c>
      <c r="AF18" s="276">
        <f>1548139+AF17</f>
        <v>1541183</v>
      </c>
      <c r="AG18" s="276">
        <f>1587278+AG17</f>
        <v>1575268</v>
      </c>
      <c r="AH18" s="276">
        <f>1612436+AH17</f>
        <v>1624613</v>
      </c>
      <c r="AI18" s="276">
        <f>1301424+AI22+AI17</f>
        <v>1411508</v>
      </c>
      <c r="AJ18" s="276">
        <f>'[14]30 (Stock Opname)'!$P$18+AJ17</f>
        <v>522775</v>
      </c>
      <c r="AK18" s="276"/>
      <c r="AM18" s="60">
        <f>SUM(G18:AK18)</f>
        <v>22783491</v>
      </c>
      <c r="AP18" s="3"/>
      <c r="AR18" s="1099">
        <f>AM18/E18</f>
        <v>0.66119597771199723</v>
      </c>
      <c r="AS18" s="3">
        <f>SUM(Q18:Z18)</f>
        <v>8040898</v>
      </c>
      <c r="CT18" s="145"/>
      <c r="VGM18" s="47"/>
      <c r="VGN18" s="47"/>
      <c r="VGO18" s="47"/>
      <c r="VGP18" s="47"/>
      <c r="VGQ18" s="47"/>
      <c r="VGR18" s="47"/>
      <c r="VGS18" s="47"/>
      <c r="VGT18" s="47"/>
      <c r="VGU18" s="47"/>
      <c r="VGV18" s="47"/>
      <c r="VGW18" s="47"/>
      <c r="VGX18" s="47"/>
      <c r="VGY18" s="47"/>
      <c r="VGZ18" s="47"/>
      <c r="VHA18" s="47"/>
      <c r="VHB18" s="47"/>
      <c r="VHC18" s="47"/>
      <c r="VHD18" s="47"/>
      <c r="VHE18" s="47"/>
      <c r="VHF18" s="47"/>
      <c r="VHG18" s="47"/>
      <c r="VHH18" s="47"/>
      <c r="VHI18" s="47"/>
      <c r="VHJ18" s="47"/>
      <c r="VHK18" s="47"/>
      <c r="VHL18" s="47"/>
      <c r="VHM18" s="47"/>
      <c r="VHN18" s="47"/>
      <c r="VHO18" s="47"/>
      <c r="VHP18" s="47"/>
      <c r="VHQ18" s="47"/>
      <c r="VHR18" s="47"/>
      <c r="VHS18" s="47"/>
      <c r="VHT18" s="47"/>
      <c r="VHU18" s="47"/>
      <c r="VHV18" s="47"/>
      <c r="VHW18" s="47"/>
      <c r="VHX18" s="47"/>
      <c r="VHY18" s="47"/>
      <c r="VHZ18" s="47"/>
      <c r="VIA18" s="47"/>
      <c r="VIB18" s="47"/>
      <c r="VIC18" s="47"/>
      <c r="VID18" s="47"/>
      <c r="VIE18" s="47"/>
    </row>
    <row r="19" spans="1:15111" s="1" customFormat="1" x14ac:dyDescent="0.25">
      <c r="C19" s="15"/>
      <c r="D19" s="67" t="s">
        <v>64</v>
      </c>
      <c r="E19" s="240">
        <v>1636000</v>
      </c>
      <c r="F19" s="68" t="s">
        <v>14</v>
      </c>
      <c r="G19" s="276">
        <f>'[1]01'!$P$26</f>
        <v>17895</v>
      </c>
      <c r="H19" s="276">
        <f>'[2]02'!$P$26</f>
        <v>9543</v>
      </c>
      <c r="I19" s="276">
        <v>47327</v>
      </c>
      <c r="J19" s="276">
        <f>'[4]04'!$P$26</f>
        <v>27444</v>
      </c>
      <c r="K19" s="276">
        <f>'[5]05'!$P$26</f>
        <v>24771</v>
      </c>
      <c r="L19" s="276">
        <f>'[6]06'!$P$26</f>
        <v>25126</v>
      </c>
      <c r="M19" s="276">
        <f>'[7]07'!$P$26</f>
        <v>25986</v>
      </c>
      <c r="N19" s="276">
        <f>'[7]08'!$P$26</f>
        <v>16762</v>
      </c>
      <c r="O19" s="276">
        <f>'[2]09'!$P$26</f>
        <v>39994</v>
      </c>
      <c r="P19" s="276">
        <f>'[3]10'!$P$26</f>
        <v>42272</v>
      </c>
      <c r="Q19" s="276">
        <f>'[5]11'!$P$26</f>
        <v>45133</v>
      </c>
      <c r="R19" s="276">
        <f>'[6]12'!$P$26</f>
        <v>37189</v>
      </c>
      <c r="S19" s="276">
        <f>'[8]13'!$P$26</f>
        <v>16219</v>
      </c>
      <c r="T19" s="276">
        <v>26322</v>
      </c>
      <c r="U19" s="276">
        <v>71848</v>
      </c>
      <c r="V19" s="276">
        <f>3083</f>
        <v>3083</v>
      </c>
      <c r="W19" s="276">
        <f>'[10]17'!$P$26</f>
        <v>11052</v>
      </c>
      <c r="X19" s="276">
        <f>'[7]18'!$P$26</f>
        <v>45065</v>
      </c>
      <c r="Y19" s="276">
        <f>'[11]19'!$P$26</f>
        <v>58214</v>
      </c>
      <c r="Z19" s="276">
        <f>'[12]20'!$P$26</f>
        <v>40299</v>
      </c>
      <c r="AA19" s="276">
        <f>'[13]21'!$P$26</f>
        <v>38288</v>
      </c>
      <c r="AB19" s="276">
        <f>'[13]22'!$P$26</f>
        <v>1071</v>
      </c>
      <c r="AC19" s="276">
        <v>0</v>
      </c>
      <c r="AD19" s="276">
        <v>0</v>
      </c>
      <c r="AE19" s="276">
        <f>'[15]25'!$P$26</f>
        <v>56619</v>
      </c>
      <c r="AF19" s="276">
        <v>70755</v>
      </c>
      <c r="AG19" s="276">
        <v>49063</v>
      </c>
      <c r="AH19" s="276">
        <v>69396</v>
      </c>
      <c r="AI19" s="276">
        <v>56417</v>
      </c>
      <c r="AJ19" s="276">
        <f>'[14]30 (Stock Opname)'!$P$26</f>
        <v>25365</v>
      </c>
      <c r="AK19" s="276"/>
      <c r="AM19" s="60">
        <f>SUM(G19:AK19)</f>
        <v>998518</v>
      </c>
      <c r="AP19" s="3"/>
      <c r="CT19" s="145"/>
      <c r="VGM19" s="47"/>
      <c r="VGN19" s="47"/>
      <c r="VGO19" s="47"/>
      <c r="VGP19" s="47"/>
      <c r="VGQ19" s="47"/>
      <c r="VGR19" s="47"/>
      <c r="VGS19" s="47"/>
      <c r="VGT19" s="47"/>
      <c r="VGU19" s="47"/>
      <c r="VGV19" s="47"/>
      <c r="VGW19" s="47"/>
      <c r="VGX19" s="47"/>
      <c r="VGY19" s="47"/>
      <c r="VGZ19" s="47"/>
      <c r="VHA19" s="47"/>
      <c r="VHB19" s="47"/>
      <c r="VHC19" s="47"/>
      <c r="VHD19" s="47"/>
      <c r="VHE19" s="47"/>
      <c r="VHF19" s="47"/>
      <c r="VHG19" s="47"/>
      <c r="VHH19" s="47"/>
      <c r="VHI19" s="47"/>
      <c r="VHJ19" s="47"/>
      <c r="VHK19" s="47"/>
      <c r="VHL19" s="47"/>
      <c r="VHM19" s="47"/>
      <c r="VHN19" s="47"/>
      <c r="VHO19" s="47"/>
      <c r="VHP19" s="47"/>
      <c r="VHQ19" s="47"/>
      <c r="VHR19" s="47"/>
      <c r="VHS19" s="47"/>
      <c r="VHT19" s="47"/>
      <c r="VHU19" s="47"/>
      <c r="VHV19" s="47"/>
      <c r="VHW19" s="47"/>
      <c r="VHX19" s="47"/>
      <c r="VHY19" s="47"/>
      <c r="VHZ19" s="47"/>
      <c r="VIA19" s="47"/>
      <c r="VIB19" s="47"/>
      <c r="VIC19" s="47"/>
      <c r="VID19" s="47"/>
      <c r="VIE19" s="47"/>
    </row>
    <row r="20" spans="1:15111" s="1" customFormat="1" x14ac:dyDescent="0.25">
      <c r="C20" s="15"/>
      <c r="D20" s="735" t="s">
        <v>359</v>
      </c>
      <c r="E20" s="760"/>
      <c r="F20" s="20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276"/>
      <c r="AM20" s="57"/>
      <c r="AP20" s="3"/>
      <c r="CT20" s="145"/>
      <c r="VGM20" s="47"/>
      <c r="VGN20" s="47"/>
      <c r="VGO20" s="47"/>
      <c r="VGP20" s="47"/>
      <c r="VGQ20" s="47"/>
      <c r="VGR20" s="47"/>
      <c r="VGS20" s="47"/>
      <c r="VGT20" s="47"/>
      <c r="VGU20" s="47"/>
      <c r="VGV20" s="47"/>
      <c r="VGW20" s="47"/>
      <c r="VGX20" s="47"/>
      <c r="VGY20" s="47"/>
      <c r="VGZ20" s="47"/>
      <c r="VHA20" s="47"/>
      <c r="VHB20" s="47"/>
      <c r="VHC20" s="47"/>
      <c r="VHD20" s="47"/>
      <c r="VHE20" s="47"/>
      <c r="VHF20" s="47"/>
      <c r="VHG20" s="47"/>
      <c r="VHH20" s="47"/>
      <c r="VHI20" s="47"/>
      <c r="VHJ20" s="47"/>
      <c r="VHK20" s="47"/>
      <c r="VHL20" s="47"/>
      <c r="VHM20" s="47"/>
      <c r="VHN20" s="47"/>
      <c r="VHO20" s="47"/>
      <c r="VHP20" s="47"/>
      <c r="VHQ20" s="47"/>
      <c r="VHR20" s="47"/>
      <c r="VHS20" s="47"/>
      <c r="VHT20" s="47"/>
      <c r="VHU20" s="47"/>
      <c r="VHV20" s="47"/>
      <c r="VHW20" s="47"/>
      <c r="VHX20" s="47"/>
      <c r="VHY20" s="47"/>
      <c r="VHZ20" s="47"/>
      <c r="VIA20" s="47"/>
      <c r="VIB20" s="47"/>
      <c r="VIC20" s="47"/>
      <c r="VID20" s="47"/>
      <c r="VIE20" s="47"/>
    </row>
    <row r="21" spans="1:15111" x14ac:dyDescent="0.25">
      <c r="C21" s="8"/>
      <c r="D21" s="11" t="s">
        <v>84</v>
      </c>
      <c r="E21" s="257"/>
      <c r="F21" s="12" t="s">
        <v>83</v>
      </c>
      <c r="G21" s="33">
        <v>1</v>
      </c>
      <c r="H21" s="33">
        <v>1</v>
      </c>
      <c r="I21" s="33">
        <v>1</v>
      </c>
      <c r="J21" s="33">
        <v>1</v>
      </c>
      <c r="K21" s="33">
        <v>1</v>
      </c>
      <c r="L21" s="33">
        <v>1</v>
      </c>
      <c r="M21" s="33">
        <v>1</v>
      </c>
      <c r="N21" s="33">
        <v>1</v>
      </c>
      <c r="O21" s="33">
        <v>1</v>
      </c>
      <c r="P21" s="33">
        <v>1</v>
      </c>
      <c r="Q21" s="33">
        <v>1</v>
      </c>
      <c r="R21" s="33">
        <v>1</v>
      </c>
      <c r="S21" s="33">
        <v>1</v>
      </c>
      <c r="T21" s="33">
        <v>1</v>
      </c>
      <c r="U21" s="33">
        <v>1</v>
      </c>
      <c r="V21" s="33">
        <v>1</v>
      </c>
      <c r="W21" s="33">
        <v>0</v>
      </c>
      <c r="X21" s="33">
        <v>1</v>
      </c>
      <c r="Y21" s="33">
        <v>1</v>
      </c>
      <c r="Z21" s="33">
        <v>1</v>
      </c>
      <c r="AA21" s="33">
        <v>1</v>
      </c>
      <c r="AB21" s="33">
        <v>1</v>
      </c>
      <c r="AC21" s="33">
        <v>0</v>
      </c>
      <c r="AD21" s="33">
        <v>0</v>
      </c>
      <c r="AE21" s="33">
        <v>1</v>
      </c>
      <c r="AF21" s="33">
        <v>1</v>
      </c>
      <c r="AG21" s="33">
        <v>1</v>
      </c>
      <c r="AH21" s="33">
        <v>1</v>
      </c>
      <c r="AI21" s="33">
        <v>1</v>
      </c>
      <c r="AJ21" s="33">
        <v>1</v>
      </c>
      <c r="AK21" s="33"/>
      <c r="AL21" s="3"/>
      <c r="AM21" s="57">
        <f>SUM(G21:AK21)</f>
        <v>27</v>
      </c>
    </row>
    <row r="22" spans="1:15111" x14ac:dyDescent="0.25">
      <c r="C22" s="8"/>
      <c r="D22" s="11" t="s">
        <v>363</v>
      </c>
      <c r="E22" s="257"/>
      <c r="F22" s="12" t="s">
        <v>14</v>
      </c>
      <c r="G22" s="33">
        <v>0</v>
      </c>
      <c r="H22" s="33">
        <v>0</v>
      </c>
      <c r="I22" s="33">
        <v>0</v>
      </c>
      <c r="J22" s="33">
        <v>0</v>
      </c>
      <c r="K22" s="33">
        <v>119600</v>
      </c>
      <c r="L22" s="33">
        <v>0</v>
      </c>
      <c r="M22" s="33">
        <v>126600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f>60800</f>
        <v>60800</v>
      </c>
      <c r="AF22" s="33">
        <v>0</v>
      </c>
      <c r="AG22" s="33">
        <v>0</v>
      </c>
      <c r="AH22" s="33">
        <v>0</v>
      </c>
      <c r="AI22" s="33">
        <v>117900</v>
      </c>
      <c r="AJ22" s="33">
        <v>0</v>
      </c>
      <c r="AK22" s="33">
        <v>0</v>
      </c>
      <c r="AL22" s="3"/>
      <c r="AM22" s="57">
        <f>SUM(G22:AJ22)</f>
        <v>424900</v>
      </c>
    </row>
    <row r="23" spans="1:15111" s="1" customFormat="1" x14ac:dyDescent="0.25">
      <c r="C23" s="15"/>
      <c r="D23" s="67" t="s">
        <v>362</v>
      </c>
      <c r="E23" s="240"/>
      <c r="F23" s="68" t="s">
        <v>14</v>
      </c>
      <c r="G23" s="276">
        <f>'[1]01'!$Q$18</f>
        <v>526736</v>
      </c>
      <c r="H23" s="276">
        <f>'[2]02'!$Q$18</f>
        <v>224510</v>
      </c>
      <c r="I23" s="276">
        <f>509400+165400</f>
        <v>674800</v>
      </c>
      <c r="J23" s="276">
        <f>'[4]04'!$Q$18</f>
        <v>695363</v>
      </c>
      <c r="K23" s="276">
        <f>'[5]05'!$Q$18+K22</f>
        <v>747977</v>
      </c>
      <c r="L23" s="276">
        <f>'[6]06'!$Q$18</f>
        <v>524444</v>
      </c>
      <c r="M23" s="276">
        <f>'[7]07'!$Q$18</f>
        <v>501574</v>
      </c>
      <c r="N23" s="276">
        <f>'[7]08'!$Q$18</f>
        <v>680764</v>
      </c>
      <c r="O23" s="276">
        <f>'[6]09'!$Q$18</f>
        <v>589345</v>
      </c>
      <c r="P23" s="276">
        <f>'[3]10'!$Q$18</f>
        <v>817090</v>
      </c>
      <c r="Q23" s="276">
        <f>'[5]11'!$Q$18</f>
        <v>1110923</v>
      </c>
      <c r="R23" s="276">
        <f>'[6]12'!$Q$18</f>
        <v>411103</v>
      </c>
      <c r="S23" s="276">
        <f>'[8]13'!$Q$18</f>
        <v>634120</v>
      </c>
      <c r="T23" s="276">
        <f>578566+290444</f>
        <v>869010</v>
      </c>
      <c r="U23" s="276">
        <f>584944+567152</f>
        <v>1152096</v>
      </c>
      <c r="V23" s="276">
        <f>'[9]16'!$Q$18</f>
        <v>688986</v>
      </c>
      <c r="W23" s="276">
        <v>0</v>
      </c>
      <c r="X23" s="276">
        <f>'[7]18'!$Q$18</f>
        <v>1221935</v>
      </c>
      <c r="Y23" s="276">
        <f>'[11]19'!$Q$18</f>
        <v>867293</v>
      </c>
      <c r="Z23" s="276">
        <f>'[13]20'!$Q$18</f>
        <v>1218693</v>
      </c>
      <c r="AA23" s="276">
        <f>'[13]21'!$Q$18</f>
        <v>998551</v>
      </c>
      <c r="AB23" s="276">
        <f>'[13]22'!$Q$18</f>
        <v>284335</v>
      </c>
      <c r="AC23" s="276">
        <v>0</v>
      </c>
      <c r="AD23" s="276">
        <v>0</v>
      </c>
      <c r="AE23" s="276">
        <f>'[15]25'!$Q$18+AE22</f>
        <v>296046</v>
      </c>
      <c r="AF23" s="276">
        <f>'[16]26'!$Q$18</f>
        <v>1562863</v>
      </c>
      <c r="AG23" s="276">
        <f>931340+642286</f>
        <v>1573626</v>
      </c>
      <c r="AH23" s="276">
        <f>'[17]28'!$Q$18</f>
        <v>1569616</v>
      </c>
      <c r="AI23" s="276">
        <f>340263+818995</f>
        <v>1159258</v>
      </c>
      <c r="AJ23" s="276">
        <f>'[14]30 (Stock Opname)'!$Q$18</f>
        <v>991912</v>
      </c>
      <c r="AK23" s="276"/>
      <c r="AM23" s="60">
        <f>SUM(G23:AJ23)</f>
        <v>22592969</v>
      </c>
      <c r="AN23" s="762">
        <f>AM23/E18</f>
        <v>0.65566686981252542</v>
      </c>
      <c r="AP23" s="3"/>
      <c r="AR23" s="974"/>
      <c r="CT23" s="145"/>
      <c r="VGM23" s="47"/>
      <c r="VGN23" s="47"/>
      <c r="VGO23" s="47"/>
      <c r="VGP23" s="47"/>
      <c r="VGQ23" s="47"/>
      <c r="VGR23" s="47"/>
      <c r="VGS23" s="47"/>
      <c r="VGT23" s="47"/>
      <c r="VGU23" s="47"/>
      <c r="VGV23" s="47"/>
      <c r="VGW23" s="47"/>
      <c r="VGX23" s="47"/>
      <c r="VGY23" s="47"/>
      <c r="VGZ23" s="47"/>
      <c r="VHA23" s="47"/>
      <c r="VHB23" s="47"/>
      <c r="VHC23" s="47"/>
      <c r="VHD23" s="47"/>
      <c r="VHE23" s="47"/>
      <c r="VHF23" s="47"/>
      <c r="VHG23" s="47"/>
      <c r="VHH23" s="47"/>
      <c r="VHI23" s="47"/>
      <c r="VHJ23" s="47"/>
      <c r="VHK23" s="47"/>
      <c r="VHL23" s="47"/>
      <c r="VHM23" s="47"/>
      <c r="VHN23" s="47"/>
      <c r="VHO23" s="47"/>
      <c r="VHP23" s="47"/>
      <c r="VHQ23" s="47"/>
      <c r="VHR23" s="47"/>
      <c r="VHS23" s="47"/>
      <c r="VHT23" s="47"/>
      <c r="VHU23" s="47"/>
      <c r="VHV23" s="47"/>
      <c r="VHW23" s="47"/>
      <c r="VHX23" s="47"/>
      <c r="VHY23" s="47"/>
      <c r="VHZ23" s="47"/>
      <c r="VIA23" s="47"/>
      <c r="VIB23" s="47"/>
      <c r="VIC23" s="47"/>
      <c r="VID23" s="47"/>
      <c r="VIE23" s="47"/>
    </row>
    <row r="24" spans="1:15111" s="1" customFormat="1" x14ac:dyDescent="0.25">
      <c r="C24" s="15"/>
      <c r="D24" s="975" t="s">
        <v>387</v>
      </c>
      <c r="E24" s="976"/>
      <c r="F24" s="72"/>
      <c r="G24" s="977"/>
      <c r="H24" s="977"/>
      <c r="I24" s="977"/>
      <c r="J24" s="977"/>
      <c r="K24" s="977"/>
      <c r="L24" s="977"/>
      <c r="M24" s="546"/>
      <c r="N24" s="546"/>
      <c r="O24" s="977"/>
      <c r="P24" s="977"/>
      <c r="Q24" s="977"/>
      <c r="R24" s="977"/>
      <c r="T24" s="977"/>
      <c r="U24" s="977"/>
      <c r="V24" s="977"/>
      <c r="W24" s="977"/>
      <c r="X24" s="977"/>
      <c r="Y24" s="977"/>
      <c r="Z24" s="977"/>
      <c r="AA24" s="977"/>
      <c r="AB24" s="977"/>
      <c r="AC24" s="977"/>
      <c r="AD24" s="977"/>
      <c r="AE24" s="977"/>
      <c r="AF24" s="977"/>
      <c r="AG24" s="977"/>
      <c r="AH24" s="977"/>
      <c r="AI24" s="977"/>
      <c r="AJ24" s="977"/>
      <c r="AK24" s="977"/>
      <c r="AL24" s="65"/>
      <c r="AM24" s="533">
        <f>AM23/AM21</f>
        <v>836776.62962962966</v>
      </c>
      <c r="AN24" s="762"/>
      <c r="AP24" s="3"/>
      <c r="AR24" s="974"/>
      <c r="CT24" s="145"/>
      <c r="VGM24" s="47"/>
      <c r="VGN24" s="47"/>
      <c r="VGO24" s="47"/>
      <c r="VGP24" s="47"/>
      <c r="VGQ24" s="47"/>
      <c r="VGR24" s="47"/>
      <c r="VGS24" s="47"/>
      <c r="VGT24" s="47"/>
      <c r="VGU24" s="47"/>
      <c r="VGV24" s="47"/>
      <c r="VGW24" s="47"/>
      <c r="VGX24" s="47"/>
      <c r="VGY24" s="47"/>
      <c r="VGZ24" s="47"/>
      <c r="VHA24" s="47"/>
      <c r="VHB24" s="47"/>
      <c r="VHC24" s="47"/>
      <c r="VHD24" s="47"/>
      <c r="VHE24" s="47"/>
      <c r="VHF24" s="47"/>
      <c r="VHG24" s="47"/>
      <c r="VHH24" s="47"/>
      <c r="VHI24" s="47"/>
      <c r="VHJ24" s="47"/>
      <c r="VHK24" s="47"/>
      <c r="VHL24" s="47"/>
      <c r="VHM24" s="47"/>
      <c r="VHN24" s="47"/>
      <c r="VHO24" s="47"/>
      <c r="VHP24" s="47"/>
      <c r="VHQ24" s="47"/>
      <c r="VHR24" s="47"/>
      <c r="VHS24" s="47"/>
      <c r="VHT24" s="47"/>
      <c r="VHU24" s="47"/>
      <c r="VHV24" s="47"/>
      <c r="VHW24" s="47"/>
      <c r="VHX24" s="47"/>
      <c r="VHY24" s="47"/>
      <c r="VHZ24" s="47"/>
      <c r="VIA24" s="47"/>
      <c r="VIB24" s="47"/>
      <c r="VIC24" s="47"/>
      <c r="VID24" s="47"/>
      <c r="VIE24" s="47"/>
    </row>
    <row r="25" spans="1:15111" s="1" customFormat="1" x14ac:dyDescent="0.25">
      <c r="C25" s="15"/>
      <c r="D25" s="14" t="s">
        <v>361</v>
      </c>
      <c r="E25" s="759"/>
      <c r="F25" s="13" t="s">
        <v>14</v>
      </c>
      <c r="G25" s="33">
        <f>SUM(G28,G32,G37,G41,G46)</f>
        <v>921143</v>
      </c>
      <c r="H25" s="33">
        <f t="shared" ref="H25:AJ25" si="3">SUM(H28,H32,H37,H41,H46)</f>
        <v>250811</v>
      </c>
      <c r="I25" s="33">
        <f t="shared" si="3"/>
        <v>519670</v>
      </c>
      <c r="J25" s="33">
        <f t="shared" si="3"/>
        <v>738041</v>
      </c>
      <c r="K25" s="33">
        <f>SUM(K28,K32,K37,K41,K46)</f>
        <v>756126</v>
      </c>
      <c r="L25" s="33">
        <f t="shared" ref="L25" si="4">SUM(L28,L32,L37,L41,L46)</f>
        <v>570133</v>
      </c>
      <c r="M25" s="33">
        <f t="shared" ref="M25:N25" si="5">SUM(M28,M32,M37,M41,M46)</f>
        <v>638607</v>
      </c>
      <c r="N25" s="33">
        <f t="shared" si="5"/>
        <v>813834</v>
      </c>
      <c r="O25" s="33">
        <f t="shared" si="3"/>
        <v>268538</v>
      </c>
      <c r="P25" s="33">
        <f t="shared" si="3"/>
        <v>945852</v>
      </c>
      <c r="Q25" s="33">
        <f t="shared" si="3"/>
        <v>1154402</v>
      </c>
      <c r="R25" s="33">
        <f t="shared" si="3"/>
        <v>656932</v>
      </c>
      <c r="S25" s="33">
        <f t="shared" ref="S25" si="6">SUM(S28,S32,S37,S41,S46)</f>
        <v>697311</v>
      </c>
      <c r="T25" s="33">
        <f t="shared" si="3"/>
        <v>565858</v>
      </c>
      <c r="U25" s="33">
        <f t="shared" si="3"/>
        <v>970101</v>
      </c>
      <c r="V25" s="33">
        <f>SUM(V28,V32,V37,V41,V46)</f>
        <v>1172959</v>
      </c>
      <c r="W25" s="33">
        <f t="shared" si="3"/>
        <v>5569</v>
      </c>
      <c r="X25" s="33">
        <f t="shared" si="3"/>
        <v>626593</v>
      </c>
      <c r="Y25" s="33">
        <f t="shared" si="3"/>
        <v>1049970</v>
      </c>
      <c r="Z25" s="33">
        <f t="shared" si="3"/>
        <v>1162814</v>
      </c>
      <c r="AA25" s="33">
        <f t="shared" si="3"/>
        <v>1101723</v>
      </c>
      <c r="AB25" s="33">
        <f t="shared" si="3"/>
        <v>431518</v>
      </c>
      <c r="AC25" s="33">
        <f t="shared" si="3"/>
        <v>0</v>
      </c>
      <c r="AD25" s="33">
        <f t="shared" si="3"/>
        <v>0</v>
      </c>
      <c r="AE25" s="33">
        <f t="shared" si="3"/>
        <v>245060</v>
      </c>
      <c r="AF25" s="33">
        <f t="shared" si="3"/>
        <v>1331945</v>
      </c>
      <c r="AG25" s="33">
        <f t="shared" si="3"/>
        <v>1525137</v>
      </c>
      <c r="AH25" s="33">
        <f t="shared" si="3"/>
        <v>1704373</v>
      </c>
      <c r="AI25" s="33">
        <f t="shared" si="3"/>
        <v>1210513</v>
      </c>
      <c r="AJ25" s="33">
        <f t="shared" si="3"/>
        <v>1153492</v>
      </c>
      <c r="AK25" s="33"/>
      <c r="AM25" s="57">
        <f>SUM(G25:AJ25)</f>
        <v>23189025</v>
      </c>
      <c r="AP25" s="3"/>
      <c r="CT25" s="146"/>
      <c r="VGM25" s="47"/>
      <c r="VGN25" s="47"/>
      <c r="VGO25" s="47"/>
      <c r="VGP25" s="47"/>
      <c r="VGQ25" s="47"/>
      <c r="VGR25" s="47"/>
      <c r="VGS25" s="47"/>
      <c r="VGT25" s="47"/>
      <c r="VGU25" s="47"/>
      <c r="VGV25" s="47"/>
      <c r="VGW25" s="47"/>
      <c r="VGX25" s="47"/>
      <c r="VGY25" s="47"/>
      <c r="VGZ25" s="47"/>
      <c r="VHA25" s="47"/>
      <c r="VHB25" s="47"/>
      <c r="VHC25" s="47"/>
      <c r="VHD25" s="47"/>
      <c r="VHE25" s="47"/>
      <c r="VHF25" s="47"/>
      <c r="VHG25" s="47"/>
      <c r="VHH25" s="47"/>
      <c r="VHI25" s="47"/>
      <c r="VHJ25" s="47"/>
      <c r="VHK25" s="47"/>
      <c r="VHL25" s="47"/>
      <c r="VHM25" s="47"/>
      <c r="VHN25" s="47"/>
      <c r="VHO25" s="47"/>
      <c r="VHP25" s="47"/>
      <c r="VHQ25" s="47"/>
      <c r="VHR25" s="47"/>
      <c r="VHS25" s="47"/>
      <c r="VHT25" s="47"/>
      <c r="VHU25" s="47"/>
      <c r="VHV25" s="47"/>
      <c r="VHW25" s="47"/>
      <c r="VHX25" s="47"/>
      <c r="VHY25" s="47"/>
      <c r="VHZ25" s="47"/>
      <c r="VIA25" s="47"/>
      <c r="VIB25" s="47"/>
      <c r="VIC25" s="47"/>
      <c r="VID25" s="47"/>
      <c r="VIE25" s="47"/>
    </row>
    <row r="26" spans="1:15111" s="1" customFormat="1" hidden="1" x14ac:dyDescent="0.25">
      <c r="C26" s="15"/>
      <c r="D26" s="14" t="s">
        <v>360</v>
      </c>
      <c r="E26" s="761"/>
      <c r="F26" s="13" t="s">
        <v>14</v>
      </c>
      <c r="G26" s="33">
        <f>G23-G25</f>
        <v>-394407</v>
      </c>
      <c r="H26" s="33">
        <f t="shared" ref="H26:AJ26" si="7">H23-H25</f>
        <v>-26301</v>
      </c>
      <c r="I26" s="33">
        <f t="shared" si="7"/>
        <v>155130</v>
      </c>
      <c r="J26" s="33">
        <f t="shared" si="7"/>
        <v>-42678</v>
      </c>
      <c r="K26" s="33">
        <f t="shared" si="7"/>
        <v>-8149</v>
      </c>
      <c r="L26" s="33">
        <f t="shared" si="7"/>
        <v>-45689</v>
      </c>
      <c r="M26" s="33">
        <f>M23-M25</f>
        <v>-137033</v>
      </c>
      <c r="N26" s="33">
        <f>N23-N25</f>
        <v>-133070</v>
      </c>
      <c r="O26" s="33">
        <f t="shared" si="7"/>
        <v>320807</v>
      </c>
      <c r="P26" s="33">
        <f t="shared" si="7"/>
        <v>-128762</v>
      </c>
      <c r="Q26" s="33">
        <f t="shared" si="7"/>
        <v>-43479</v>
      </c>
      <c r="R26" s="33">
        <f t="shared" si="7"/>
        <v>-245829</v>
      </c>
      <c r="S26" s="33">
        <f>S23-S25</f>
        <v>-63191</v>
      </c>
      <c r="T26" s="33">
        <f t="shared" si="7"/>
        <v>303152</v>
      </c>
      <c r="U26" s="33">
        <f t="shared" si="7"/>
        <v>181995</v>
      </c>
      <c r="V26" s="33">
        <f t="shared" si="7"/>
        <v>-483973</v>
      </c>
      <c r="W26" s="33">
        <f t="shared" si="7"/>
        <v>-5569</v>
      </c>
      <c r="X26" s="33">
        <f t="shared" si="7"/>
        <v>595342</v>
      </c>
      <c r="Y26" s="33">
        <f t="shared" si="7"/>
        <v>-182677</v>
      </c>
      <c r="Z26" s="33">
        <f t="shared" si="7"/>
        <v>55879</v>
      </c>
      <c r="AA26" s="33">
        <f t="shared" si="7"/>
        <v>-103172</v>
      </c>
      <c r="AB26" s="33">
        <f t="shared" si="7"/>
        <v>-147183</v>
      </c>
      <c r="AC26" s="33">
        <f t="shared" si="7"/>
        <v>0</v>
      </c>
      <c r="AD26" s="33">
        <f t="shared" si="7"/>
        <v>0</v>
      </c>
      <c r="AE26" s="33">
        <f t="shared" si="7"/>
        <v>50986</v>
      </c>
      <c r="AF26" s="33">
        <f t="shared" si="7"/>
        <v>230918</v>
      </c>
      <c r="AG26" s="33">
        <f t="shared" si="7"/>
        <v>48489</v>
      </c>
      <c r="AH26" s="33">
        <f t="shared" si="7"/>
        <v>-134757</v>
      </c>
      <c r="AI26" s="33">
        <f t="shared" si="7"/>
        <v>-51255</v>
      </c>
      <c r="AJ26" s="33">
        <f t="shared" si="7"/>
        <v>-161580</v>
      </c>
      <c r="AK26" s="33"/>
      <c r="AM26" s="57">
        <f>SUM(G26:AJ26)</f>
        <v>-596056</v>
      </c>
      <c r="AP26" s="3"/>
      <c r="CT26" s="146"/>
      <c r="VGM26" s="47"/>
      <c r="VGN26" s="47"/>
      <c r="VGO26" s="47"/>
      <c r="VGP26" s="47"/>
      <c r="VGQ26" s="47"/>
      <c r="VGR26" s="47"/>
      <c r="VGS26" s="47"/>
      <c r="VGT26" s="47"/>
      <c r="VGU26" s="47"/>
      <c r="VGV26" s="47"/>
      <c r="VGW26" s="47"/>
      <c r="VGX26" s="47"/>
      <c r="VGY26" s="47"/>
      <c r="VGZ26" s="47"/>
      <c r="VHA26" s="47"/>
      <c r="VHB26" s="47"/>
      <c r="VHC26" s="47"/>
      <c r="VHD26" s="47"/>
      <c r="VHE26" s="47"/>
      <c r="VHF26" s="47"/>
      <c r="VHG26" s="47"/>
      <c r="VHH26" s="47"/>
      <c r="VHI26" s="47"/>
      <c r="VHJ26" s="47"/>
      <c r="VHK26" s="47"/>
      <c r="VHL26" s="47"/>
      <c r="VHM26" s="47"/>
      <c r="VHN26" s="47"/>
      <c r="VHO26" s="47"/>
      <c r="VHP26" s="47"/>
      <c r="VHQ26" s="47"/>
      <c r="VHR26" s="47"/>
      <c r="VHS26" s="47"/>
      <c r="VHT26" s="47"/>
      <c r="VHU26" s="47"/>
      <c r="VHV26" s="47"/>
      <c r="VHW26" s="47"/>
      <c r="VHX26" s="47"/>
      <c r="VHY26" s="47"/>
      <c r="VHZ26" s="47"/>
      <c r="VIA26" s="47"/>
      <c r="VIB26" s="47"/>
      <c r="VIC26" s="47"/>
      <c r="VID26" s="47"/>
      <c r="VIE26" s="47"/>
    </row>
    <row r="27" spans="1:15111" x14ac:dyDescent="0.25">
      <c r="C27" s="15"/>
      <c r="D27" s="236" t="s">
        <v>76</v>
      </c>
      <c r="E27" s="237"/>
      <c r="F27" s="238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M27" s="69" t="s">
        <v>63</v>
      </c>
      <c r="AP27" s="3"/>
      <c r="AQ27" s="315"/>
    </row>
    <row r="28" spans="1:15111" s="1" customFormat="1" x14ac:dyDescent="0.25">
      <c r="C28" s="15"/>
      <c r="D28" s="14" t="s">
        <v>75</v>
      </c>
      <c r="E28" s="261"/>
      <c r="F28" s="20" t="s">
        <v>14</v>
      </c>
      <c r="G28" s="33">
        <f>G29+G30</f>
        <v>0</v>
      </c>
      <c r="H28" s="33">
        <f t="shared" ref="H28:AJ28" si="8">H29+H30</f>
        <v>0</v>
      </c>
      <c r="I28" s="33">
        <f t="shared" si="8"/>
        <v>0</v>
      </c>
      <c r="J28" s="33">
        <f t="shared" si="8"/>
        <v>0</v>
      </c>
      <c r="K28" s="33">
        <f t="shared" si="8"/>
        <v>222848</v>
      </c>
      <c r="L28" s="33">
        <f t="shared" si="8"/>
        <v>0</v>
      </c>
      <c r="M28" s="33">
        <f t="shared" ref="M28:N28" si="9">M29+M30</f>
        <v>0</v>
      </c>
      <c r="N28" s="33">
        <f t="shared" si="9"/>
        <v>0</v>
      </c>
      <c r="O28" s="33">
        <f t="shared" si="8"/>
        <v>114139</v>
      </c>
      <c r="P28" s="33">
        <f t="shared" si="8"/>
        <v>945852</v>
      </c>
      <c r="Q28" s="33">
        <f t="shared" si="8"/>
        <v>1154402</v>
      </c>
      <c r="R28" s="33">
        <f t="shared" si="8"/>
        <v>656932</v>
      </c>
      <c r="S28" s="33">
        <f t="shared" ref="S28" si="10">S29+S30</f>
        <v>697311</v>
      </c>
      <c r="T28" s="33">
        <f t="shared" si="8"/>
        <v>565858</v>
      </c>
      <c r="U28" s="33">
        <f t="shared" si="8"/>
        <v>970101</v>
      </c>
      <c r="V28" s="33">
        <f t="shared" si="8"/>
        <v>1172959</v>
      </c>
      <c r="W28" s="33">
        <f t="shared" si="8"/>
        <v>0</v>
      </c>
      <c r="X28" s="33">
        <f t="shared" si="8"/>
        <v>626593</v>
      </c>
      <c r="Y28" s="33">
        <f t="shared" si="8"/>
        <v>1009020</v>
      </c>
      <c r="Z28" s="33">
        <f t="shared" si="8"/>
        <v>1162814</v>
      </c>
      <c r="AA28" s="33">
        <f t="shared" si="8"/>
        <v>1101723</v>
      </c>
      <c r="AB28" s="33">
        <f t="shared" si="8"/>
        <v>431518</v>
      </c>
      <c r="AC28" s="33">
        <f t="shared" si="8"/>
        <v>0</v>
      </c>
      <c r="AD28" s="33">
        <f t="shared" si="8"/>
        <v>0</v>
      </c>
      <c r="AE28" s="33">
        <f t="shared" si="8"/>
        <v>245060</v>
      </c>
      <c r="AF28" s="33">
        <f t="shared" si="8"/>
        <v>1331945</v>
      </c>
      <c r="AG28" s="33">
        <f t="shared" si="8"/>
        <v>1525137</v>
      </c>
      <c r="AH28" s="33">
        <f t="shared" si="8"/>
        <v>1704373</v>
      </c>
      <c r="AI28" s="33">
        <f>AI29+AI30</f>
        <v>927960</v>
      </c>
      <c r="AJ28" s="33">
        <f t="shared" si="8"/>
        <v>0</v>
      </c>
      <c r="AK28" s="33"/>
      <c r="AM28" s="57">
        <f>SUM(G28:AK28)</f>
        <v>16566545</v>
      </c>
      <c r="AN28" s="3"/>
      <c r="AO28" s="3"/>
      <c r="AP28" s="3"/>
      <c r="AQ28" s="315"/>
      <c r="CT28" s="146"/>
    </row>
    <row r="29" spans="1:15111" x14ac:dyDescent="0.25">
      <c r="C29" s="15"/>
      <c r="D29" s="67" t="s">
        <v>74</v>
      </c>
      <c r="E29" s="261"/>
      <c r="F29" s="68" t="s">
        <v>14</v>
      </c>
      <c r="G29" s="276"/>
      <c r="H29" s="276"/>
      <c r="I29" s="276"/>
      <c r="J29" s="276"/>
      <c r="K29" s="276">
        <v>190348</v>
      </c>
      <c r="L29" s="276"/>
      <c r="M29" s="276"/>
      <c r="N29" s="276"/>
      <c r="O29" s="276">
        <f>'[6]09'!$P$21</f>
        <v>95794</v>
      </c>
      <c r="P29" s="276">
        <f>'[3]10'!$P$21</f>
        <v>772516</v>
      </c>
      <c r="Q29" s="276">
        <f>'[5]11'!$P$21+237105</f>
        <v>967571</v>
      </c>
      <c r="R29" s="276">
        <f>'[6]12'!$P$21</f>
        <v>538270</v>
      </c>
      <c r="S29" s="276">
        <f>'[8]13'!$P$21</f>
        <v>572873</v>
      </c>
      <c r="T29" s="276">
        <v>469337</v>
      </c>
      <c r="U29" s="276">
        <v>822558</v>
      </c>
      <c r="V29" s="276">
        <f>'[9]16'!$P$23</f>
        <v>964480</v>
      </c>
      <c r="W29" s="276">
        <v>0</v>
      </c>
      <c r="X29" s="276">
        <f>'[7]18'!$P$21</f>
        <v>526646</v>
      </c>
      <c r="Y29" s="276">
        <f>'[11]19'!$P$23</f>
        <v>822471</v>
      </c>
      <c r="Z29" s="276">
        <f>'[12]20'!$P$21</f>
        <v>977688</v>
      </c>
      <c r="AA29" s="276">
        <f>'[13]21'!$P$21</f>
        <v>908032</v>
      </c>
      <c r="AB29" s="276">
        <f>'[13]22'!$P$21</f>
        <v>343197</v>
      </c>
      <c r="AC29" s="276">
        <v>0</v>
      </c>
      <c r="AD29" s="276">
        <v>0</v>
      </c>
      <c r="AE29" s="276">
        <f>'[15]25'!$P$21</f>
        <v>217590</v>
      </c>
      <c r="AF29" s="276">
        <f>'[16]26'!$P$23</f>
        <v>1097545</v>
      </c>
      <c r="AG29" s="276">
        <v>1298759</v>
      </c>
      <c r="AH29" s="276">
        <v>1426210</v>
      </c>
      <c r="AI29" s="276">
        <f>'[19]29'!$P$21</f>
        <v>777910</v>
      </c>
      <c r="AJ29" s="276">
        <v>0</v>
      </c>
      <c r="AK29" s="276">
        <v>0</v>
      </c>
      <c r="AM29" s="60">
        <f>SUM(G29:AK29)</f>
        <v>13789795</v>
      </c>
      <c r="AP29" s="3"/>
    </row>
    <row r="30" spans="1:15111" x14ac:dyDescent="0.25">
      <c r="C30" s="15"/>
      <c r="D30" s="67" t="s">
        <v>73</v>
      </c>
      <c r="E30" s="261"/>
      <c r="F30" s="68" t="s">
        <v>14</v>
      </c>
      <c r="G30" s="277"/>
      <c r="H30" s="277"/>
      <c r="I30" s="277"/>
      <c r="J30" s="277"/>
      <c r="K30" s="277">
        <v>32500</v>
      </c>
      <c r="L30" s="277"/>
      <c r="M30" s="277"/>
      <c r="N30" s="277"/>
      <c r="O30" s="277">
        <v>18345</v>
      </c>
      <c r="P30" s="277">
        <f>'[3]10'!$P$30</f>
        <v>173336</v>
      </c>
      <c r="Q30" s="277">
        <f>'[5]11'!$P$28</f>
        <v>186831</v>
      </c>
      <c r="R30" s="277">
        <f>'[6]12'!$P$28</f>
        <v>118662</v>
      </c>
      <c r="S30" s="277">
        <f>'[8]13'!$P$30</f>
        <v>124438</v>
      </c>
      <c r="T30" s="277">
        <v>96521</v>
      </c>
      <c r="U30" s="277">
        <v>147543</v>
      </c>
      <c r="V30" s="277">
        <f>'[9]16'!$P$30</f>
        <v>208479</v>
      </c>
      <c r="W30" s="277">
        <v>0</v>
      </c>
      <c r="X30" s="277">
        <f>'[7]18'!$P$27</f>
        <v>99947</v>
      </c>
      <c r="Y30" s="277">
        <f>'[11]19'!$P$30-Y39</f>
        <v>186549</v>
      </c>
      <c r="Z30" s="277">
        <f>'[12]20'!$P$30</f>
        <v>185126</v>
      </c>
      <c r="AA30" s="277">
        <f>'[13]21'!$P$30</f>
        <v>193691</v>
      </c>
      <c r="AB30" s="277">
        <f>'[13]22'!$P$30</f>
        <v>88321</v>
      </c>
      <c r="AC30" s="277">
        <v>0</v>
      </c>
      <c r="AD30" s="277">
        <v>0</v>
      </c>
      <c r="AE30" s="277">
        <f>'[15]25'!$P$30</f>
        <v>27470</v>
      </c>
      <c r="AF30" s="277">
        <f>'[16]26'!$P$30</f>
        <v>234400</v>
      </c>
      <c r="AG30" s="277">
        <v>226378</v>
      </c>
      <c r="AH30" s="277">
        <v>278163</v>
      </c>
      <c r="AI30" s="277">
        <v>150050</v>
      </c>
      <c r="AJ30" s="277">
        <v>0</v>
      </c>
      <c r="AK30" s="276">
        <v>0</v>
      </c>
      <c r="AM30" s="60">
        <f>SUM(G30:AK30)</f>
        <v>2776750</v>
      </c>
      <c r="AP30" s="3"/>
      <c r="AU30" s="3">
        <f>AM30+AM34+AM39+AM43+AM49</f>
        <v>4579832</v>
      </c>
    </row>
    <row r="31" spans="1:15111" s="73" customFormat="1" x14ac:dyDescent="0.25">
      <c r="A31" s="65"/>
      <c r="B31" s="65"/>
      <c r="C31" s="71"/>
      <c r="D31" s="236" t="s">
        <v>105</v>
      </c>
      <c r="E31" s="313"/>
      <c r="F31" s="95"/>
      <c r="G31" s="278"/>
      <c r="H31" s="278"/>
      <c r="I31" s="278"/>
      <c r="J31" s="278"/>
      <c r="K31" s="278"/>
      <c r="L31" s="278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  <c r="AC31" s="278"/>
      <c r="AD31" s="278"/>
      <c r="AE31" s="278"/>
      <c r="AF31" s="278"/>
      <c r="AG31" s="278"/>
      <c r="AH31" s="278"/>
      <c r="AI31" s="278"/>
      <c r="AJ31" s="278"/>
      <c r="AK31" s="278"/>
      <c r="AL31" s="65"/>
      <c r="AM31" s="69" t="s">
        <v>107</v>
      </c>
      <c r="AN31" s="65"/>
      <c r="AO31" s="65"/>
      <c r="AP31" s="376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147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65"/>
      <c r="EJ31" s="65"/>
      <c r="EK31" s="65"/>
      <c r="EL31" s="65"/>
      <c r="EM31" s="65"/>
      <c r="EN31" s="65"/>
      <c r="EO31" s="65"/>
      <c r="EP31" s="65"/>
      <c r="EQ31" s="65"/>
      <c r="ER31" s="65"/>
      <c r="ES31" s="65"/>
      <c r="ET31" s="65"/>
      <c r="EU31" s="65"/>
      <c r="EV31" s="65"/>
      <c r="EW31" s="65"/>
      <c r="EX31" s="65"/>
      <c r="EY31" s="65"/>
      <c r="EZ31" s="65"/>
      <c r="FA31" s="65"/>
      <c r="FB31" s="65"/>
      <c r="FC31" s="65"/>
      <c r="FD31" s="65"/>
      <c r="FE31" s="65"/>
      <c r="FF31" s="65"/>
      <c r="FG31" s="65"/>
      <c r="FH31" s="65"/>
      <c r="FI31" s="65"/>
      <c r="FJ31" s="65"/>
      <c r="FK31" s="65"/>
      <c r="FL31" s="65"/>
      <c r="FM31" s="65"/>
      <c r="FN31" s="65"/>
      <c r="FO31" s="65"/>
      <c r="FP31" s="65"/>
      <c r="FQ31" s="65"/>
      <c r="FR31" s="65"/>
      <c r="FS31" s="65"/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65"/>
      <c r="GG31" s="65"/>
      <c r="GH31" s="65"/>
      <c r="GI31" s="65"/>
      <c r="GJ31" s="65"/>
      <c r="GK31" s="65"/>
      <c r="GL31" s="65"/>
      <c r="GM31" s="65"/>
      <c r="GN31" s="65"/>
      <c r="GO31" s="65"/>
      <c r="GP31" s="65"/>
      <c r="GQ31" s="65"/>
      <c r="GR31" s="65"/>
      <c r="GS31" s="65"/>
      <c r="GT31" s="65"/>
      <c r="GU31" s="65"/>
      <c r="GV31" s="65"/>
      <c r="GW31" s="65"/>
      <c r="GX31" s="65"/>
      <c r="GY31" s="65"/>
      <c r="GZ31" s="65"/>
      <c r="HA31" s="65"/>
      <c r="HB31" s="65"/>
      <c r="HC31" s="65"/>
      <c r="HD31" s="65"/>
      <c r="HE31" s="65"/>
      <c r="HF31" s="65"/>
      <c r="HG31" s="65"/>
      <c r="HH31" s="65"/>
      <c r="HI31" s="65"/>
      <c r="HJ31" s="65"/>
      <c r="HK31" s="65"/>
      <c r="HL31" s="65"/>
      <c r="HM31" s="65"/>
      <c r="HN31" s="65"/>
      <c r="HO31" s="65"/>
      <c r="HP31" s="65"/>
      <c r="HQ31" s="65"/>
      <c r="HR31" s="65"/>
      <c r="HS31" s="65"/>
      <c r="HT31" s="65"/>
      <c r="HU31" s="65"/>
      <c r="HV31" s="65"/>
      <c r="HW31" s="65"/>
      <c r="HX31" s="65"/>
      <c r="HY31" s="65"/>
      <c r="HZ31" s="65"/>
      <c r="IA31" s="65"/>
      <c r="IB31" s="65"/>
      <c r="IC31" s="65"/>
      <c r="ID31" s="65"/>
      <c r="IE31" s="65"/>
      <c r="IF31" s="65"/>
      <c r="IG31" s="65"/>
      <c r="IH31" s="65"/>
      <c r="II31" s="65"/>
      <c r="IJ31" s="65"/>
      <c r="IK31" s="65"/>
      <c r="IL31" s="65"/>
      <c r="IM31" s="65"/>
      <c r="IN31" s="65"/>
      <c r="IO31" s="65"/>
      <c r="IP31" s="65"/>
      <c r="IQ31" s="65"/>
      <c r="IR31" s="65"/>
      <c r="IS31" s="65"/>
      <c r="IT31" s="65"/>
      <c r="IU31" s="65"/>
      <c r="IV31" s="65"/>
      <c r="IW31" s="65"/>
      <c r="IX31" s="65"/>
      <c r="IY31" s="65"/>
      <c r="IZ31" s="65"/>
      <c r="JA31" s="65"/>
      <c r="JB31" s="65"/>
      <c r="JC31" s="65"/>
      <c r="JD31" s="65"/>
      <c r="JE31" s="65"/>
      <c r="JF31" s="65"/>
      <c r="JG31" s="65"/>
      <c r="JH31" s="65"/>
      <c r="JI31" s="65"/>
      <c r="JJ31" s="65"/>
      <c r="JK31" s="65"/>
      <c r="JL31" s="65"/>
      <c r="JM31" s="65"/>
      <c r="JN31" s="65"/>
      <c r="JO31" s="65"/>
      <c r="JP31" s="65"/>
      <c r="JQ31" s="65"/>
      <c r="JR31" s="65"/>
      <c r="JS31" s="65"/>
      <c r="JT31" s="65"/>
      <c r="JU31" s="65"/>
      <c r="JV31" s="65"/>
      <c r="JW31" s="65"/>
      <c r="JX31" s="65"/>
      <c r="JY31" s="65"/>
      <c r="JZ31" s="65"/>
      <c r="KA31" s="65"/>
      <c r="KB31" s="65"/>
      <c r="KC31" s="65"/>
      <c r="KD31" s="65"/>
      <c r="KE31" s="65"/>
      <c r="KF31" s="65"/>
      <c r="KG31" s="65"/>
      <c r="KH31" s="65"/>
      <c r="KI31" s="65"/>
      <c r="KJ31" s="65"/>
      <c r="KK31" s="65"/>
      <c r="KL31" s="65"/>
      <c r="KM31" s="65"/>
      <c r="KN31" s="65"/>
      <c r="KO31" s="65"/>
      <c r="KP31" s="65"/>
      <c r="KQ31" s="65"/>
      <c r="KR31" s="65"/>
      <c r="KS31" s="65"/>
      <c r="KT31" s="65"/>
      <c r="KU31" s="65"/>
      <c r="KV31" s="65"/>
      <c r="KW31" s="65"/>
      <c r="KX31" s="65"/>
      <c r="KY31" s="65"/>
      <c r="KZ31" s="65"/>
      <c r="LA31" s="65"/>
      <c r="LB31" s="65"/>
      <c r="LC31" s="65"/>
      <c r="LD31" s="65"/>
      <c r="LE31" s="65"/>
      <c r="LF31" s="65"/>
      <c r="LG31" s="65"/>
      <c r="LH31" s="65"/>
      <c r="LI31" s="65"/>
      <c r="LJ31" s="65"/>
      <c r="LK31" s="65"/>
      <c r="LL31" s="65"/>
      <c r="LM31" s="65"/>
      <c r="LN31" s="65"/>
      <c r="LO31" s="65"/>
      <c r="LP31" s="65"/>
      <c r="LQ31" s="65"/>
      <c r="LR31" s="65"/>
      <c r="LS31" s="65"/>
      <c r="LT31" s="65"/>
      <c r="LU31" s="65"/>
      <c r="LV31" s="65"/>
      <c r="LW31" s="65"/>
      <c r="LX31" s="65"/>
      <c r="LY31" s="65"/>
      <c r="LZ31" s="65"/>
      <c r="MA31" s="65"/>
      <c r="MB31" s="65"/>
      <c r="MC31" s="65"/>
      <c r="MD31" s="65"/>
      <c r="ME31" s="65"/>
      <c r="MF31" s="65"/>
      <c r="MG31" s="65"/>
      <c r="MH31" s="65"/>
      <c r="MI31" s="65"/>
      <c r="MJ31" s="65"/>
      <c r="MK31" s="65"/>
      <c r="ML31" s="65"/>
      <c r="MM31" s="65"/>
      <c r="MN31" s="65"/>
      <c r="MO31" s="65"/>
      <c r="MP31" s="65"/>
      <c r="MQ31" s="65"/>
      <c r="MR31" s="65"/>
      <c r="MS31" s="65"/>
      <c r="MT31" s="65"/>
      <c r="MU31" s="65"/>
      <c r="MV31" s="65"/>
      <c r="MW31" s="65"/>
      <c r="MX31" s="65"/>
      <c r="MY31" s="65"/>
      <c r="MZ31" s="65"/>
      <c r="NA31" s="65"/>
      <c r="NB31" s="65"/>
      <c r="NC31" s="65"/>
      <c r="ND31" s="65"/>
      <c r="NE31" s="65"/>
      <c r="NF31" s="65"/>
      <c r="NG31" s="65"/>
      <c r="NH31" s="65"/>
      <c r="NI31" s="65"/>
      <c r="NJ31" s="65"/>
      <c r="NK31" s="65"/>
      <c r="NL31" s="65"/>
      <c r="NM31" s="65"/>
      <c r="NN31" s="65"/>
      <c r="NO31" s="65"/>
      <c r="NP31" s="65"/>
      <c r="NQ31" s="65"/>
      <c r="NR31" s="65"/>
      <c r="NS31" s="65"/>
      <c r="NT31" s="65"/>
      <c r="NU31" s="65"/>
      <c r="NV31" s="65"/>
      <c r="NW31" s="65"/>
      <c r="NX31" s="65"/>
      <c r="NY31" s="65"/>
      <c r="NZ31" s="65"/>
      <c r="OA31" s="65"/>
      <c r="OB31" s="65"/>
      <c r="OC31" s="65"/>
      <c r="OD31" s="65"/>
      <c r="OE31" s="65"/>
      <c r="OF31" s="65"/>
      <c r="OG31" s="65"/>
      <c r="OH31" s="65"/>
      <c r="OI31" s="65"/>
      <c r="OJ31" s="65"/>
      <c r="OK31" s="65"/>
      <c r="OL31" s="65"/>
      <c r="OM31" s="65"/>
      <c r="ON31" s="65"/>
      <c r="OO31" s="65"/>
      <c r="OP31" s="65"/>
      <c r="OQ31" s="65"/>
      <c r="OR31" s="65"/>
      <c r="OS31" s="65"/>
      <c r="OT31" s="65"/>
      <c r="OU31" s="65"/>
      <c r="OV31" s="65"/>
      <c r="OW31" s="65"/>
      <c r="OX31" s="65"/>
      <c r="OY31" s="65"/>
      <c r="OZ31" s="65"/>
      <c r="PA31" s="65"/>
      <c r="PB31" s="65"/>
      <c r="PC31" s="65"/>
      <c r="PD31" s="65"/>
      <c r="PE31" s="65"/>
      <c r="PF31" s="65"/>
      <c r="PG31" s="65"/>
      <c r="PH31" s="65"/>
      <c r="PI31" s="65"/>
      <c r="PJ31" s="65"/>
      <c r="PK31" s="65"/>
      <c r="PL31" s="65"/>
      <c r="PM31" s="65"/>
      <c r="PN31" s="65"/>
      <c r="PO31" s="65"/>
      <c r="PP31" s="65"/>
      <c r="PQ31" s="65"/>
      <c r="PR31" s="65"/>
      <c r="PS31" s="65"/>
      <c r="PT31" s="65"/>
      <c r="PU31" s="65"/>
      <c r="PV31" s="65"/>
      <c r="PW31" s="65"/>
      <c r="PX31" s="65"/>
      <c r="PY31" s="65"/>
      <c r="PZ31" s="65"/>
      <c r="QA31" s="65"/>
      <c r="QB31" s="65"/>
      <c r="QC31" s="65"/>
      <c r="QD31" s="65"/>
      <c r="QE31" s="65"/>
      <c r="QF31" s="65"/>
      <c r="QG31" s="65"/>
      <c r="QH31" s="65"/>
      <c r="QI31" s="65"/>
      <c r="QJ31" s="65"/>
      <c r="QK31" s="65"/>
      <c r="QL31" s="65"/>
      <c r="QM31" s="65"/>
      <c r="QN31" s="65"/>
      <c r="QO31" s="65"/>
      <c r="QP31" s="65"/>
      <c r="QQ31" s="65"/>
      <c r="QR31" s="65"/>
      <c r="QS31" s="65"/>
      <c r="QT31" s="65"/>
      <c r="QU31" s="65"/>
      <c r="QV31" s="65"/>
      <c r="QW31" s="65"/>
      <c r="QX31" s="65"/>
      <c r="QY31" s="65"/>
      <c r="QZ31" s="65"/>
      <c r="RA31" s="65"/>
      <c r="RB31" s="65"/>
      <c r="RC31" s="65"/>
      <c r="RD31" s="65"/>
      <c r="RE31" s="65"/>
      <c r="RF31" s="65"/>
      <c r="RG31" s="65"/>
      <c r="RH31" s="65"/>
      <c r="RI31" s="65"/>
      <c r="RJ31" s="65"/>
      <c r="RK31" s="65"/>
      <c r="RL31" s="65"/>
      <c r="RM31" s="65"/>
      <c r="RN31" s="65"/>
      <c r="RO31" s="65"/>
      <c r="RP31" s="65"/>
      <c r="RQ31" s="65"/>
      <c r="RR31" s="65"/>
      <c r="RS31" s="65"/>
      <c r="RT31" s="65"/>
      <c r="RU31" s="65"/>
      <c r="RV31" s="65"/>
      <c r="RW31" s="65"/>
      <c r="RX31" s="65"/>
      <c r="RY31" s="65"/>
      <c r="RZ31" s="65"/>
      <c r="SA31" s="65"/>
      <c r="SB31" s="65"/>
      <c r="SC31" s="65"/>
      <c r="SD31" s="65"/>
      <c r="SE31" s="65"/>
      <c r="SF31" s="65"/>
      <c r="SG31" s="65"/>
      <c r="SH31" s="65"/>
      <c r="SI31" s="65"/>
      <c r="SJ31" s="65"/>
      <c r="SK31" s="65"/>
      <c r="SL31" s="65"/>
      <c r="SM31" s="65"/>
      <c r="SN31" s="65"/>
      <c r="SO31" s="65"/>
      <c r="SP31" s="65"/>
      <c r="SQ31" s="65"/>
      <c r="SR31" s="65"/>
      <c r="SS31" s="65"/>
      <c r="ST31" s="65"/>
      <c r="SU31" s="65"/>
      <c r="SV31" s="65"/>
      <c r="SW31" s="65"/>
      <c r="SX31" s="65"/>
      <c r="SY31" s="65"/>
      <c r="SZ31" s="65"/>
      <c r="TA31" s="65"/>
      <c r="TB31" s="65"/>
      <c r="TC31" s="65"/>
      <c r="TD31" s="65"/>
      <c r="TE31" s="65"/>
      <c r="TF31" s="65"/>
      <c r="TG31" s="65"/>
      <c r="TH31" s="65"/>
      <c r="TI31" s="65"/>
      <c r="TJ31" s="65"/>
      <c r="TK31" s="65"/>
      <c r="TL31" s="65"/>
      <c r="TM31" s="65"/>
      <c r="TN31" s="65"/>
      <c r="TO31" s="65"/>
      <c r="TP31" s="65"/>
      <c r="TQ31" s="65"/>
      <c r="TR31" s="65"/>
      <c r="TS31" s="65"/>
      <c r="TT31" s="65"/>
      <c r="TU31" s="65"/>
      <c r="TV31" s="65"/>
      <c r="TW31" s="65"/>
      <c r="TX31" s="65"/>
      <c r="TY31" s="65"/>
      <c r="TZ31" s="65"/>
      <c r="UA31" s="65"/>
      <c r="UB31" s="65"/>
      <c r="UC31" s="65"/>
      <c r="UD31" s="65"/>
      <c r="UE31" s="65"/>
      <c r="UF31" s="65"/>
      <c r="UG31" s="65"/>
      <c r="UH31" s="65"/>
      <c r="UI31" s="65"/>
      <c r="UJ31" s="65"/>
      <c r="UK31" s="65"/>
      <c r="UL31" s="65"/>
      <c r="UM31" s="65"/>
      <c r="UN31" s="65"/>
      <c r="UO31" s="65"/>
      <c r="UP31" s="65"/>
      <c r="UQ31" s="65"/>
      <c r="UR31" s="65"/>
      <c r="US31" s="65"/>
      <c r="UT31" s="65"/>
      <c r="UU31" s="65"/>
      <c r="UV31" s="65"/>
      <c r="UW31" s="65"/>
      <c r="UX31" s="65"/>
      <c r="UY31" s="65"/>
      <c r="UZ31" s="65"/>
      <c r="VA31" s="65"/>
      <c r="VB31" s="65"/>
      <c r="VC31" s="65"/>
      <c r="VD31" s="65"/>
      <c r="VE31" s="65"/>
      <c r="VF31" s="65"/>
      <c r="VG31" s="65"/>
      <c r="VH31" s="65"/>
      <c r="VI31" s="65"/>
      <c r="VJ31" s="65"/>
      <c r="VK31" s="65"/>
      <c r="VL31" s="65"/>
      <c r="VM31" s="65"/>
      <c r="VN31" s="65"/>
      <c r="VO31" s="65"/>
      <c r="VP31" s="65"/>
      <c r="VQ31" s="65"/>
      <c r="VR31" s="65"/>
      <c r="VS31" s="65"/>
      <c r="VT31" s="65"/>
      <c r="VU31" s="65"/>
      <c r="VV31" s="65"/>
      <c r="VW31" s="65"/>
      <c r="VX31" s="65"/>
      <c r="VY31" s="65"/>
      <c r="VZ31" s="65"/>
      <c r="WA31" s="65"/>
      <c r="WB31" s="65"/>
      <c r="WC31" s="65"/>
      <c r="WD31" s="65"/>
      <c r="WE31" s="65"/>
      <c r="WF31" s="65"/>
      <c r="WG31" s="65"/>
      <c r="WH31" s="65"/>
      <c r="WI31" s="65"/>
      <c r="WJ31" s="65"/>
      <c r="WK31" s="65"/>
      <c r="WL31" s="65"/>
      <c r="WM31" s="65"/>
      <c r="WN31" s="65"/>
      <c r="WO31" s="65"/>
      <c r="WP31" s="65"/>
      <c r="WQ31" s="65"/>
      <c r="WR31" s="65"/>
      <c r="WS31" s="65"/>
      <c r="WT31" s="65"/>
      <c r="WU31" s="65"/>
      <c r="WV31" s="65"/>
      <c r="WW31" s="65"/>
      <c r="WX31" s="65"/>
      <c r="WY31" s="65"/>
      <c r="WZ31" s="65"/>
      <c r="XA31" s="65"/>
      <c r="XB31" s="65"/>
      <c r="XC31" s="65"/>
      <c r="XD31" s="65"/>
      <c r="XE31" s="65"/>
      <c r="XF31" s="65"/>
      <c r="XG31" s="65"/>
      <c r="XH31" s="65"/>
      <c r="XI31" s="65"/>
      <c r="XJ31" s="65"/>
      <c r="XK31" s="65"/>
      <c r="XL31" s="65"/>
      <c r="XM31" s="65"/>
      <c r="XN31" s="65"/>
      <c r="XO31" s="65"/>
      <c r="XP31" s="65"/>
      <c r="XQ31" s="65"/>
      <c r="XR31" s="65"/>
      <c r="XS31" s="65"/>
      <c r="XT31" s="65"/>
      <c r="XU31" s="65"/>
      <c r="XV31" s="65"/>
      <c r="XW31" s="65"/>
      <c r="XX31" s="65"/>
      <c r="XY31" s="65"/>
      <c r="XZ31" s="65"/>
      <c r="YA31" s="65"/>
      <c r="YB31" s="65"/>
      <c r="YC31" s="65"/>
      <c r="YD31" s="65"/>
      <c r="YE31" s="65"/>
      <c r="YF31" s="65"/>
      <c r="YG31" s="65"/>
      <c r="YH31" s="65"/>
      <c r="YI31" s="65"/>
      <c r="YJ31" s="65"/>
      <c r="YK31" s="65"/>
      <c r="YL31" s="65"/>
      <c r="YM31" s="65"/>
      <c r="YN31" s="65"/>
      <c r="YO31" s="65"/>
      <c r="YP31" s="65"/>
      <c r="YQ31" s="65"/>
      <c r="YR31" s="65"/>
      <c r="YS31" s="65"/>
      <c r="YT31" s="65"/>
      <c r="YU31" s="65"/>
      <c r="YV31" s="65"/>
      <c r="YW31" s="65"/>
      <c r="YX31" s="65"/>
      <c r="YY31" s="65"/>
      <c r="YZ31" s="65"/>
      <c r="ZA31" s="65"/>
      <c r="ZB31" s="65"/>
      <c r="ZC31" s="65"/>
      <c r="ZD31" s="65"/>
      <c r="ZE31" s="65"/>
      <c r="ZF31" s="65"/>
      <c r="ZG31" s="65"/>
      <c r="ZH31" s="65"/>
      <c r="ZI31" s="65"/>
      <c r="ZJ31" s="65"/>
      <c r="ZK31" s="65"/>
      <c r="ZL31" s="65"/>
      <c r="ZM31" s="65"/>
      <c r="ZN31" s="65"/>
      <c r="ZO31" s="65"/>
      <c r="ZP31" s="65"/>
      <c r="ZQ31" s="65"/>
      <c r="ZR31" s="65"/>
      <c r="ZS31" s="65"/>
      <c r="ZT31" s="65"/>
      <c r="ZU31" s="65"/>
      <c r="ZV31" s="65"/>
      <c r="ZW31" s="65"/>
      <c r="ZX31" s="65"/>
      <c r="ZY31" s="65"/>
      <c r="ZZ31" s="65"/>
      <c r="AAA31" s="65"/>
      <c r="AAB31" s="65"/>
      <c r="AAC31" s="65"/>
      <c r="AAD31" s="65"/>
      <c r="AAE31" s="65"/>
      <c r="AAF31" s="65"/>
      <c r="AAG31" s="65"/>
      <c r="AAH31" s="65"/>
      <c r="AAI31" s="65"/>
      <c r="AAJ31" s="65"/>
      <c r="AAK31" s="65"/>
      <c r="AAL31" s="65"/>
      <c r="AAM31" s="65"/>
      <c r="AAN31" s="65"/>
      <c r="AAO31" s="65"/>
      <c r="AAP31" s="65"/>
      <c r="AAQ31" s="65"/>
      <c r="AAR31" s="65"/>
      <c r="AAS31" s="65"/>
      <c r="AAT31" s="65"/>
      <c r="AAU31" s="65"/>
      <c r="AAV31" s="65"/>
      <c r="AAW31" s="65"/>
      <c r="AAX31" s="65"/>
      <c r="AAY31" s="65"/>
      <c r="AAZ31" s="65"/>
      <c r="ABA31" s="65"/>
      <c r="ABB31" s="65"/>
      <c r="ABC31" s="65"/>
      <c r="ABD31" s="65"/>
      <c r="ABE31" s="65"/>
      <c r="ABF31" s="65"/>
      <c r="ABG31" s="65"/>
      <c r="ABH31" s="65"/>
      <c r="ABI31" s="65"/>
      <c r="ABJ31" s="65"/>
      <c r="ABK31" s="65"/>
      <c r="ABL31" s="65"/>
      <c r="ABM31" s="65"/>
      <c r="ABN31" s="65"/>
      <c r="ABO31" s="65"/>
      <c r="ABP31" s="65"/>
      <c r="ABQ31" s="65"/>
      <c r="ABR31" s="65"/>
      <c r="ABS31" s="65"/>
      <c r="ABT31" s="65"/>
      <c r="ABU31" s="65"/>
      <c r="ABV31" s="65"/>
      <c r="ABW31" s="65"/>
      <c r="ABX31" s="65"/>
      <c r="ABY31" s="65"/>
      <c r="ABZ31" s="65"/>
      <c r="ACA31" s="65"/>
      <c r="ACB31" s="65"/>
      <c r="ACC31" s="65"/>
      <c r="ACD31" s="65"/>
      <c r="ACE31" s="65"/>
      <c r="ACF31" s="65"/>
      <c r="ACG31" s="65"/>
      <c r="ACH31" s="65"/>
      <c r="ACI31" s="65"/>
      <c r="ACJ31" s="65"/>
      <c r="ACK31" s="65"/>
      <c r="ACL31" s="65"/>
      <c r="ACM31" s="65"/>
      <c r="ACN31" s="65"/>
      <c r="ACO31" s="65"/>
      <c r="ACP31" s="65"/>
      <c r="ACQ31" s="65"/>
      <c r="ACR31" s="65"/>
      <c r="ACS31" s="65"/>
      <c r="ACT31" s="65"/>
      <c r="ACU31" s="65"/>
      <c r="ACV31" s="65"/>
      <c r="ACW31" s="65"/>
      <c r="ACX31" s="65"/>
      <c r="ACY31" s="65"/>
      <c r="ACZ31" s="65"/>
      <c r="ADA31" s="65"/>
      <c r="ADB31" s="65"/>
      <c r="ADC31" s="65"/>
      <c r="ADD31" s="65"/>
      <c r="ADE31" s="65"/>
      <c r="ADF31" s="65"/>
      <c r="ADG31" s="65"/>
      <c r="ADH31" s="65"/>
      <c r="ADI31" s="65"/>
      <c r="ADJ31" s="65"/>
      <c r="ADK31" s="65"/>
      <c r="ADL31" s="65"/>
      <c r="ADM31" s="65"/>
      <c r="ADN31" s="65"/>
      <c r="ADO31" s="65"/>
      <c r="ADP31" s="65"/>
      <c r="ADQ31" s="65"/>
      <c r="ADR31" s="65"/>
      <c r="ADS31" s="65"/>
      <c r="ADT31" s="65"/>
      <c r="ADU31" s="65"/>
      <c r="ADV31" s="65"/>
      <c r="ADW31" s="65"/>
      <c r="ADX31" s="65"/>
      <c r="ADY31" s="65"/>
      <c r="ADZ31" s="65"/>
      <c r="AEA31" s="65"/>
      <c r="AEB31" s="65"/>
      <c r="AEC31" s="65"/>
      <c r="AED31" s="65"/>
      <c r="AEE31" s="65"/>
      <c r="AEF31" s="65"/>
      <c r="AEG31" s="65"/>
      <c r="AEH31" s="65"/>
      <c r="AEI31" s="65"/>
      <c r="AEJ31" s="65"/>
      <c r="AEK31" s="65"/>
      <c r="AEL31" s="65"/>
      <c r="AEM31" s="65"/>
      <c r="AEN31" s="65"/>
      <c r="AEO31" s="65"/>
      <c r="AEP31" s="65"/>
      <c r="AEQ31" s="65"/>
      <c r="AER31" s="65"/>
      <c r="AES31" s="65"/>
      <c r="AET31" s="65"/>
      <c r="AEU31" s="65"/>
      <c r="AEV31" s="65"/>
      <c r="AEW31" s="65"/>
      <c r="AEX31" s="65"/>
      <c r="AEY31" s="65"/>
      <c r="AEZ31" s="65"/>
      <c r="AFA31" s="65"/>
      <c r="AFB31" s="65"/>
      <c r="AFC31" s="65"/>
      <c r="AFD31" s="65"/>
      <c r="AFE31" s="65"/>
      <c r="AFF31" s="65"/>
      <c r="AFG31" s="65"/>
      <c r="AFH31" s="65"/>
      <c r="AFI31" s="65"/>
      <c r="AFJ31" s="65"/>
      <c r="AFK31" s="65"/>
      <c r="AFL31" s="65"/>
      <c r="AFM31" s="65"/>
      <c r="AFN31" s="65"/>
      <c r="AFO31" s="65"/>
      <c r="AFP31" s="65"/>
      <c r="AFQ31" s="65"/>
      <c r="AFR31" s="65"/>
      <c r="AFS31" s="65"/>
      <c r="AFT31" s="65"/>
      <c r="AFU31" s="65"/>
      <c r="AFV31" s="65"/>
      <c r="AFW31" s="65"/>
      <c r="AFX31" s="65"/>
      <c r="AFY31" s="65"/>
      <c r="AFZ31" s="65"/>
      <c r="AGA31" s="65"/>
      <c r="AGB31" s="65"/>
      <c r="AGC31" s="65"/>
      <c r="AGD31" s="65"/>
      <c r="AGE31" s="65"/>
      <c r="AGF31" s="65"/>
      <c r="AGG31" s="65"/>
      <c r="AGH31" s="65"/>
      <c r="AGI31" s="65"/>
      <c r="AGJ31" s="65"/>
      <c r="AGK31" s="65"/>
      <c r="AGL31" s="65"/>
      <c r="AGM31" s="65"/>
      <c r="AGN31" s="65"/>
      <c r="AGO31" s="65"/>
      <c r="AGP31" s="65"/>
      <c r="AGQ31" s="65"/>
      <c r="AGR31" s="65"/>
      <c r="AGS31" s="65"/>
      <c r="AGT31" s="65"/>
      <c r="AGU31" s="65"/>
      <c r="AGV31" s="65"/>
      <c r="AGW31" s="65"/>
      <c r="AGX31" s="65"/>
      <c r="AGY31" s="65"/>
      <c r="AGZ31" s="65"/>
      <c r="AHA31" s="65"/>
      <c r="AHB31" s="65"/>
      <c r="AHC31" s="65"/>
      <c r="AHD31" s="65"/>
      <c r="AHE31" s="65"/>
      <c r="AHF31" s="65"/>
      <c r="AHG31" s="65"/>
      <c r="AHH31" s="65"/>
      <c r="AHI31" s="65"/>
      <c r="AHJ31" s="65"/>
      <c r="AHK31" s="65"/>
      <c r="AHL31" s="65"/>
      <c r="AHM31" s="65"/>
      <c r="AHN31" s="65"/>
      <c r="AHO31" s="65"/>
      <c r="AHP31" s="65"/>
      <c r="AHQ31" s="65"/>
      <c r="AHR31" s="65"/>
      <c r="AHS31" s="65"/>
      <c r="AHT31" s="65"/>
      <c r="AHU31" s="65"/>
      <c r="AHV31" s="65"/>
      <c r="AHW31" s="65"/>
      <c r="AHX31" s="65"/>
      <c r="AHY31" s="65"/>
      <c r="AHZ31" s="65"/>
      <c r="AIA31" s="65"/>
      <c r="AIB31" s="65"/>
      <c r="AIC31" s="65"/>
      <c r="AID31" s="65"/>
      <c r="AIE31" s="65"/>
      <c r="AIF31" s="65"/>
      <c r="AIG31" s="65"/>
      <c r="AIH31" s="65"/>
      <c r="AII31" s="65"/>
      <c r="AIJ31" s="65"/>
      <c r="AIK31" s="65"/>
      <c r="AIL31" s="65"/>
      <c r="AIM31" s="65"/>
      <c r="AIN31" s="65"/>
      <c r="AIO31" s="65"/>
      <c r="AIP31" s="65"/>
      <c r="AIQ31" s="65"/>
      <c r="AIR31" s="65"/>
      <c r="AIS31" s="65"/>
      <c r="AIT31" s="65"/>
      <c r="AIU31" s="65"/>
      <c r="AIV31" s="65"/>
      <c r="AIW31" s="65"/>
      <c r="AIX31" s="65"/>
      <c r="AIY31" s="65"/>
      <c r="AIZ31" s="65"/>
      <c r="AJA31" s="65"/>
      <c r="AJB31" s="65"/>
      <c r="AJC31" s="65"/>
      <c r="AJD31" s="65"/>
      <c r="AJE31" s="65"/>
      <c r="AJF31" s="65"/>
      <c r="AJG31" s="65"/>
      <c r="AJH31" s="65"/>
      <c r="AJI31" s="65"/>
      <c r="AJJ31" s="65"/>
      <c r="AJK31" s="65"/>
      <c r="AJL31" s="65"/>
      <c r="AJM31" s="65"/>
      <c r="AJN31" s="65"/>
      <c r="AJO31" s="65"/>
      <c r="AJP31" s="65"/>
      <c r="AJQ31" s="65"/>
      <c r="AJR31" s="65"/>
      <c r="AJS31" s="65"/>
      <c r="AJT31" s="65"/>
      <c r="AJU31" s="65"/>
      <c r="AJV31" s="65"/>
      <c r="AJW31" s="65"/>
      <c r="AJX31" s="65"/>
      <c r="AJY31" s="65"/>
      <c r="AJZ31" s="65"/>
      <c r="AKA31" s="65"/>
      <c r="AKB31" s="65"/>
      <c r="AKC31" s="65"/>
      <c r="AKD31" s="65"/>
      <c r="AKE31" s="65"/>
      <c r="AKF31" s="65"/>
      <c r="AKG31" s="65"/>
      <c r="AKH31" s="65"/>
      <c r="AKI31" s="65"/>
      <c r="AKJ31" s="65"/>
      <c r="AKK31" s="65"/>
      <c r="AKL31" s="65"/>
      <c r="AKM31" s="65"/>
      <c r="AKN31" s="65"/>
      <c r="AKO31" s="65"/>
      <c r="AKP31" s="65"/>
      <c r="AKQ31" s="65"/>
      <c r="AKR31" s="65"/>
      <c r="AKS31" s="65"/>
      <c r="AKT31" s="65"/>
      <c r="AKU31" s="65"/>
      <c r="AKV31" s="65"/>
      <c r="AKW31" s="65"/>
      <c r="AKX31" s="65"/>
      <c r="AKY31" s="65"/>
      <c r="AKZ31" s="65"/>
      <c r="ALA31" s="65"/>
      <c r="ALB31" s="65"/>
      <c r="ALC31" s="65"/>
      <c r="ALD31" s="65"/>
      <c r="ALE31" s="65"/>
      <c r="ALF31" s="65"/>
      <c r="ALG31" s="65"/>
      <c r="ALH31" s="65"/>
      <c r="ALI31" s="65"/>
      <c r="ALJ31" s="65"/>
      <c r="ALK31" s="65"/>
      <c r="ALL31" s="65"/>
      <c r="ALM31" s="65"/>
      <c r="ALN31" s="65"/>
      <c r="ALO31" s="65"/>
      <c r="ALP31" s="65"/>
      <c r="ALQ31" s="65"/>
      <c r="ALR31" s="65"/>
      <c r="ALS31" s="65"/>
      <c r="ALT31" s="65"/>
      <c r="ALU31" s="65"/>
      <c r="ALV31" s="65"/>
      <c r="ALW31" s="65"/>
      <c r="ALX31" s="65"/>
      <c r="ALY31" s="65"/>
      <c r="ALZ31" s="65"/>
      <c r="AMA31" s="65"/>
      <c r="AMB31" s="65"/>
      <c r="AMC31" s="65"/>
      <c r="AMD31" s="65"/>
      <c r="AME31" s="65"/>
      <c r="AMF31" s="65"/>
      <c r="AMG31" s="65"/>
      <c r="AMH31" s="65"/>
      <c r="AMI31" s="65"/>
      <c r="AMJ31" s="65"/>
      <c r="AMK31" s="65"/>
      <c r="AML31" s="65"/>
      <c r="AMM31" s="65"/>
      <c r="AMN31" s="65"/>
      <c r="AMO31" s="65"/>
      <c r="AMP31" s="65"/>
      <c r="AMQ31" s="65"/>
      <c r="AMR31" s="65"/>
      <c r="AMS31" s="65"/>
      <c r="AMT31" s="65"/>
      <c r="AMU31" s="65"/>
      <c r="AMV31" s="65"/>
      <c r="AMW31" s="65"/>
      <c r="AMX31" s="65"/>
      <c r="AMY31" s="65"/>
      <c r="AMZ31" s="65"/>
      <c r="ANA31" s="65"/>
      <c r="ANB31" s="65"/>
      <c r="ANC31" s="65"/>
      <c r="AND31" s="65"/>
      <c r="ANE31" s="65"/>
      <c r="ANF31" s="65"/>
      <c r="ANG31" s="65"/>
      <c r="ANH31" s="65"/>
      <c r="ANI31" s="65"/>
      <c r="ANJ31" s="65"/>
      <c r="ANK31" s="65"/>
      <c r="ANL31" s="65"/>
      <c r="ANM31" s="65"/>
      <c r="ANN31" s="65"/>
      <c r="ANO31" s="65"/>
      <c r="ANP31" s="65"/>
      <c r="ANQ31" s="65"/>
      <c r="ANR31" s="65"/>
      <c r="ANS31" s="65"/>
      <c r="ANT31" s="65"/>
      <c r="ANU31" s="65"/>
      <c r="ANV31" s="65"/>
      <c r="ANW31" s="65"/>
      <c r="ANX31" s="65"/>
      <c r="ANY31" s="65"/>
      <c r="ANZ31" s="65"/>
      <c r="AOA31" s="65"/>
      <c r="AOB31" s="65"/>
      <c r="AOC31" s="65"/>
      <c r="AOD31" s="65"/>
      <c r="AOE31" s="65"/>
      <c r="AOF31" s="65"/>
      <c r="AOG31" s="65"/>
      <c r="AOH31" s="65"/>
      <c r="AOI31" s="65"/>
      <c r="AOJ31" s="65"/>
      <c r="AOK31" s="65"/>
      <c r="AOL31" s="65"/>
      <c r="AOM31" s="65"/>
      <c r="AON31" s="65"/>
      <c r="AOO31" s="65"/>
      <c r="AOP31" s="65"/>
      <c r="AOQ31" s="65"/>
      <c r="AOR31" s="65"/>
      <c r="AOS31" s="65"/>
      <c r="AOT31" s="65"/>
      <c r="AOU31" s="65"/>
      <c r="AOV31" s="65"/>
      <c r="AOW31" s="65"/>
      <c r="AOX31" s="65"/>
      <c r="AOY31" s="65"/>
      <c r="AOZ31" s="65"/>
      <c r="APA31" s="65"/>
      <c r="APB31" s="65"/>
      <c r="APC31" s="65"/>
      <c r="APD31" s="65"/>
      <c r="APE31" s="65"/>
      <c r="APF31" s="65"/>
      <c r="APG31" s="65"/>
      <c r="APH31" s="65"/>
      <c r="API31" s="65"/>
      <c r="APJ31" s="65"/>
      <c r="APK31" s="65"/>
      <c r="APL31" s="65"/>
      <c r="APM31" s="65"/>
      <c r="APN31" s="65"/>
      <c r="APO31" s="65"/>
      <c r="APP31" s="65"/>
      <c r="APQ31" s="65"/>
      <c r="APR31" s="65"/>
      <c r="APS31" s="65"/>
      <c r="APT31" s="65"/>
      <c r="APU31" s="65"/>
      <c r="APV31" s="65"/>
      <c r="APW31" s="65"/>
      <c r="APX31" s="65"/>
      <c r="APY31" s="65"/>
      <c r="APZ31" s="65"/>
      <c r="AQA31" s="65"/>
      <c r="AQB31" s="65"/>
      <c r="AQC31" s="65"/>
      <c r="AQD31" s="65"/>
      <c r="AQE31" s="65"/>
      <c r="AQF31" s="65"/>
      <c r="AQG31" s="65"/>
      <c r="AQH31" s="65"/>
      <c r="AQI31" s="65"/>
      <c r="AQJ31" s="65"/>
      <c r="AQK31" s="65"/>
      <c r="AQL31" s="65"/>
      <c r="AQM31" s="65"/>
      <c r="AQN31" s="65"/>
      <c r="AQO31" s="65"/>
      <c r="AQP31" s="65"/>
      <c r="AQQ31" s="65"/>
      <c r="AQR31" s="65"/>
      <c r="AQS31" s="65"/>
      <c r="AQT31" s="65"/>
      <c r="AQU31" s="65"/>
      <c r="AQV31" s="65"/>
      <c r="AQW31" s="65"/>
      <c r="AQX31" s="65"/>
      <c r="AQY31" s="65"/>
      <c r="AQZ31" s="65"/>
      <c r="ARA31" s="65"/>
      <c r="ARB31" s="65"/>
      <c r="ARC31" s="65"/>
      <c r="ARD31" s="65"/>
      <c r="ARE31" s="65"/>
      <c r="ARF31" s="65"/>
      <c r="ARG31" s="65"/>
      <c r="ARH31" s="65"/>
      <c r="ARI31" s="65"/>
      <c r="ARJ31" s="65"/>
      <c r="ARK31" s="65"/>
      <c r="ARL31" s="65"/>
      <c r="ARM31" s="65"/>
      <c r="ARN31" s="65"/>
      <c r="ARO31" s="65"/>
      <c r="ARP31" s="65"/>
      <c r="ARQ31" s="65"/>
      <c r="ARR31" s="65"/>
      <c r="ARS31" s="65"/>
      <c r="ART31" s="65"/>
      <c r="ARU31" s="65"/>
      <c r="ARV31" s="65"/>
      <c r="ARW31" s="65"/>
      <c r="ARX31" s="65"/>
      <c r="ARY31" s="65"/>
      <c r="ARZ31" s="65"/>
      <c r="ASA31" s="65"/>
      <c r="ASB31" s="65"/>
      <c r="ASC31" s="65"/>
      <c r="ASD31" s="65"/>
      <c r="ASE31" s="65"/>
      <c r="ASF31" s="65"/>
      <c r="ASG31" s="65"/>
      <c r="ASH31" s="65"/>
      <c r="ASI31" s="65"/>
      <c r="ASJ31" s="65"/>
      <c r="ASK31" s="65"/>
      <c r="ASL31" s="65"/>
      <c r="ASM31" s="65"/>
      <c r="ASN31" s="65"/>
      <c r="ASO31" s="65"/>
      <c r="ASP31" s="65"/>
      <c r="ASQ31" s="65"/>
      <c r="ASR31" s="65"/>
      <c r="ASS31" s="65"/>
      <c r="AST31" s="65"/>
      <c r="ASU31" s="65"/>
      <c r="ASV31" s="65"/>
      <c r="ASW31" s="65"/>
      <c r="ASX31" s="65"/>
      <c r="ASY31" s="65"/>
      <c r="ASZ31" s="65"/>
      <c r="ATA31" s="65"/>
      <c r="ATB31" s="65"/>
      <c r="ATC31" s="65"/>
      <c r="ATD31" s="65"/>
      <c r="ATE31" s="65"/>
      <c r="ATF31" s="65"/>
      <c r="ATG31" s="65"/>
      <c r="ATH31" s="65"/>
      <c r="ATI31" s="65"/>
      <c r="ATJ31" s="65"/>
      <c r="ATK31" s="65"/>
      <c r="ATL31" s="65"/>
      <c r="ATM31" s="65"/>
      <c r="ATN31" s="65"/>
      <c r="ATO31" s="65"/>
      <c r="ATP31" s="65"/>
      <c r="ATQ31" s="65"/>
      <c r="ATR31" s="65"/>
      <c r="ATS31" s="65"/>
      <c r="ATT31" s="65"/>
      <c r="ATU31" s="65"/>
      <c r="ATV31" s="65"/>
      <c r="ATW31" s="65"/>
      <c r="ATX31" s="65"/>
      <c r="ATY31" s="65"/>
      <c r="ATZ31" s="65"/>
      <c r="AUA31" s="65"/>
      <c r="AUB31" s="65"/>
      <c r="AUC31" s="65"/>
      <c r="AUD31" s="65"/>
      <c r="AUE31" s="65"/>
      <c r="AUF31" s="65"/>
      <c r="AUG31" s="65"/>
      <c r="AUH31" s="65"/>
      <c r="AUI31" s="65"/>
      <c r="AUJ31" s="65"/>
      <c r="AUK31" s="65"/>
      <c r="AUL31" s="65"/>
      <c r="AUM31" s="65"/>
      <c r="AUN31" s="65"/>
      <c r="AUO31" s="65"/>
      <c r="AUP31" s="65"/>
      <c r="AUQ31" s="65"/>
      <c r="AUR31" s="65"/>
      <c r="AUS31" s="65"/>
      <c r="AUT31" s="65"/>
      <c r="AUU31" s="65"/>
      <c r="AUV31" s="65"/>
      <c r="AUW31" s="65"/>
      <c r="AUX31" s="65"/>
      <c r="AUY31" s="65"/>
      <c r="AUZ31" s="65"/>
      <c r="AVA31" s="65"/>
      <c r="AVB31" s="65"/>
      <c r="AVC31" s="65"/>
      <c r="AVD31" s="65"/>
      <c r="AVE31" s="65"/>
      <c r="AVF31" s="65"/>
      <c r="AVG31" s="65"/>
      <c r="AVH31" s="65"/>
      <c r="AVI31" s="65"/>
      <c r="AVJ31" s="65"/>
      <c r="AVK31" s="65"/>
      <c r="AVL31" s="65"/>
      <c r="AVM31" s="65"/>
      <c r="AVN31" s="65"/>
      <c r="AVO31" s="65"/>
      <c r="AVP31" s="65"/>
      <c r="AVQ31" s="65"/>
      <c r="AVR31" s="65"/>
      <c r="AVS31" s="65"/>
      <c r="AVT31" s="65"/>
      <c r="AVU31" s="65"/>
      <c r="AVV31" s="65"/>
      <c r="AVW31" s="65"/>
      <c r="AVX31" s="65"/>
      <c r="AVY31" s="65"/>
      <c r="AVZ31" s="65"/>
      <c r="AWA31" s="65"/>
      <c r="AWB31" s="65"/>
      <c r="AWC31" s="65"/>
      <c r="AWD31" s="65"/>
      <c r="AWE31" s="65"/>
      <c r="AWF31" s="65"/>
      <c r="AWG31" s="65"/>
      <c r="AWH31" s="65"/>
      <c r="AWI31" s="65"/>
      <c r="AWJ31" s="65"/>
      <c r="AWK31" s="65"/>
      <c r="AWL31" s="65"/>
      <c r="AWM31" s="65"/>
      <c r="AWN31" s="65"/>
      <c r="AWO31" s="65"/>
      <c r="AWP31" s="65"/>
      <c r="AWQ31" s="65"/>
      <c r="AWR31" s="65"/>
      <c r="AWS31" s="65"/>
      <c r="AWT31" s="65"/>
      <c r="AWU31" s="65"/>
      <c r="AWV31" s="65"/>
      <c r="AWW31" s="65"/>
      <c r="AWX31" s="65"/>
      <c r="AWY31" s="65"/>
      <c r="AWZ31" s="65"/>
      <c r="AXA31" s="65"/>
      <c r="AXB31" s="65"/>
      <c r="AXC31" s="65"/>
      <c r="AXD31" s="65"/>
      <c r="AXE31" s="65"/>
      <c r="AXF31" s="65"/>
      <c r="AXG31" s="65"/>
      <c r="AXH31" s="65"/>
      <c r="AXI31" s="65"/>
      <c r="AXJ31" s="65"/>
      <c r="AXK31" s="65"/>
      <c r="AXL31" s="65"/>
      <c r="AXM31" s="65"/>
      <c r="AXN31" s="65"/>
      <c r="AXO31" s="65"/>
      <c r="AXP31" s="65"/>
      <c r="AXQ31" s="65"/>
      <c r="AXR31" s="65"/>
      <c r="AXS31" s="65"/>
      <c r="AXT31" s="65"/>
      <c r="AXU31" s="65"/>
      <c r="AXV31" s="65"/>
      <c r="AXW31" s="65"/>
      <c r="AXX31" s="65"/>
      <c r="AXY31" s="65"/>
      <c r="AXZ31" s="65"/>
      <c r="AYA31" s="65"/>
      <c r="AYB31" s="65"/>
      <c r="AYC31" s="65"/>
      <c r="AYD31" s="65"/>
      <c r="AYE31" s="65"/>
      <c r="AYF31" s="65"/>
      <c r="AYG31" s="65"/>
      <c r="AYH31" s="65"/>
      <c r="AYI31" s="65"/>
      <c r="AYJ31" s="65"/>
      <c r="AYK31" s="65"/>
      <c r="AYL31" s="65"/>
      <c r="AYM31" s="65"/>
      <c r="AYN31" s="65"/>
      <c r="AYO31" s="65"/>
      <c r="AYP31" s="65"/>
      <c r="AYQ31" s="65"/>
      <c r="AYR31" s="65"/>
      <c r="AYS31" s="65"/>
      <c r="AYT31" s="65"/>
      <c r="AYU31" s="65"/>
      <c r="AYV31" s="65"/>
      <c r="AYW31" s="65"/>
      <c r="AYX31" s="65"/>
      <c r="AYY31" s="65"/>
      <c r="AYZ31" s="65"/>
      <c r="AZA31" s="65"/>
      <c r="AZB31" s="65"/>
      <c r="AZC31" s="65"/>
      <c r="AZD31" s="65"/>
      <c r="AZE31" s="65"/>
      <c r="AZF31" s="65"/>
      <c r="AZG31" s="65"/>
      <c r="AZH31" s="65"/>
      <c r="AZI31" s="65"/>
      <c r="AZJ31" s="65"/>
      <c r="AZK31" s="65"/>
      <c r="AZL31" s="65"/>
      <c r="AZM31" s="65"/>
      <c r="AZN31" s="65"/>
      <c r="AZO31" s="65"/>
      <c r="AZP31" s="65"/>
      <c r="AZQ31" s="65"/>
      <c r="AZR31" s="65"/>
      <c r="AZS31" s="65"/>
      <c r="AZT31" s="65"/>
      <c r="AZU31" s="65"/>
      <c r="AZV31" s="65"/>
      <c r="AZW31" s="65"/>
      <c r="AZX31" s="65"/>
      <c r="AZY31" s="65"/>
      <c r="AZZ31" s="65"/>
      <c r="BAA31" s="65"/>
      <c r="BAB31" s="65"/>
      <c r="BAC31" s="65"/>
      <c r="BAD31" s="65"/>
      <c r="BAE31" s="65"/>
      <c r="BAF31" s="65"/>
      <c r="BAG31" s="65"/>
      <c r="BAH31" s="65"/>
      <c r="BAI31" s="65"/>
      <c r="BAJ31" s="65"/>
      <c r="BAK31" s="65"/>
      <c r="BAL31" s="65"/>
      <c r="BAM31" s="65"/>
      <c r="BAN31" s="65"/>
      <c r="BAO31" s="65"/>
      <c r="BAP31" s="65"/>
      <c r="BAQ31" s="65"/>
      <c r="BAR31" s="65"/>
      <c r="BAS31" s="65"/>
      <c r="BAT31" s="65"/>
      <c r="BAU31" s="65"/>
      <c r="BAV31" s="65"/>
      <c r="BAW31" s="65"/>
      <c r="BAX31" s="65"/>
      <c r="BAY31" s="65"/>
      <c r="BAZ31" s="65"/>
      <c r="BBA31" s="65"/>
      <c r="BBB31" s="65"/>
      <c r="BBC31" s="65"/>
      <c r="BBD31" s="65"/>
      <c r="BBE31" s="65"/>
      <c r="BBF31" s="65"/>
      <c r="BBG31" s="65"/>
      <c r="BBH31" s="65"/>
      <c r="BBI31" s="65"/>
      <c r="BBJ31" s="65"/>
      <c r="BBK31" s="65"/>
      <c r="BBL31" s="65"/>
      <c r="BBM31" s="65"/>
      <c r="BBN31" s="65"/>
      <c r="BBO31" s="65"/>
      <c r="BBP31" s="65"/>
      <c r="BBQ31" s="65"/>
      <c r="BBR31" s="65"/>
      <c r="BBS31" s="65"/>
      <c r="BBT31" s="65"/>
      <c r="BBU31" s="65"/>
      <c r="BBV31" s="65"/>
      <c r="BBW31" s="65"/>
      <c r="BBX31" s="65"/>
      <c r="BBY31" s="65"/>
      <c r="BBZ31" s="65"/>
      <c r="BCA31" s="65"/>
      <c r="BCB31" s="65"/>
      <c r="BCC31" s="65"/>
      <c r="BCD31" s="65"/>
      <c r="BCE31" s="65"/>
      <c r="BCF31" s="65"/>
      <c r="BCG31" s="65"/>
      <c r="BCH31" s="65"/>
      <c r="BCI31" s="65"/>
      <c r="BCJ31" s="65"/>
      <c r="BCK31" s="65"/>
      <c r="BCL31" s="65"/>
      <c r="BCM31" s="65"/>
      <c r="BCN31" s="65"/>
      <c r="BCO31" s="65"/>
      <c r="BCP31" s="65"/>
      <c r="BCQ31" s="65"/>
      <c r="BCR31" s="65"/>
      <c r="BCS31" s="65"/>
      <c r="BCT31" s="65"/>
      <c r="BCU31" s="65"/>
      <c r="BCV31" s="65"/>
      <c r="BCW31" s="65"/>
      <c r="BCX31" s="65"/>
      <c r="BCY31" s="65"/>
      <c r="BCZ31" s="65"/>
      <c r="BDA31" s="65"/>
      <c r="BDB31" s="65"/>
      <c r="BDC31" s="65"/>
      <c r="BDD31" s="65"/>
      <c r="BDE31" s="65"/>
      <c r="BDF31" s="65"/>
      <c r="BDG31" s="65"/>
      <c r="BDH31" s="65"/>
      <c r="BDI31" s="65"/>
      <c r="BDJ31" s="65"/>
      <c r="BDK31" s="65"/>
      <c r="BDL31" s="65"/>
      <c r="BDM31" s="65"/>
      <c r="BDN31" s="65"/>
      <c r="BDO31" s="65"/>
      <c r="BDP31" s="65"/>
      <c r="BDQ31" s="65"/>
      <c r="BDR31" s="65"/>
      <c r="BDS31" s="65"/>
      <c r="BDT31" s="65"/>
      <c r="BDU31" s="65"/>
      <c r="BDV31" s="65"/>
      <c r="BDW31" s="65"/>
      <c r="BDX31" s="65"/>
      <c r="BDY31" s="65"/>
      <c r="BDZ31" s="65"/>
      <c r="BEA31" s="65"/>
      <c r="BEB31" s="65"/>
      <c r="BEC31" s="65"/>
      <c r="BED31" s="65"/>
      <c r="BEE31" s="65"/>
      <c r="BEF31" s="65"/>
      <c r="BEG31" s="65"/>
      <c r="BEH31" s="65"/>
      <c r="BEI31" s="65"/>
      <c r="BEJ31" s="65"/>
      <c r="BEK31" s="65"/>
      <c r="BEL31" s="65"/>
      <c r="BEM31" s="65"/>
      <c r="BEN31" s="65"/>
      <c r="BEO31" s="65"/>
      <c r="BEP31" s="65"/>
      <c r="BEQ31" s="65"/>
      <c r="BER31" s="65"/>
      <c r="BES31" s="65"/>
      <c r="BET31" s="65"/>
      <c r="BEU31" s="65"/>
      <c r="BEV31" s="65"/>
      <c r="BEW31" s="65"/>
      <c r="BEX31" s="65"/>
      <c r="BEY31" s="65"/>
      <c r="BEZ31" s="65"/>
      <c r="BFA31" s="65"/>
      <c r="BFB31" s="65"/>
      <c r="BFC31" s="65"/>
      <c r="BFD31" s="65"/>
      <c r="BFE31" s="65"/>
      <c r="BFF31" s="65"/>
      <c r="BFG31" s="65"/>
      <c r="BFH31" s="65"/>
      <c r="BFI31" s="65"/>
      <c r="BFJ31" s="65"/>
      <c r="BFK31" s="65"/>
      <c r="BFL31" s="65"/>
      <c r="BFM31" s="65"/>
      <c r="BFN31" s="65"/>
      <c r="BFO31" s="65"/>
      <c r="BFP31" s="65"/>
      <c r="BFQ31" s="65"/>
      <c r="BFR31" s="65"/>
      <c r="BFS31" s="65"/>
      <c r="BFT31" s="65"/>
      <c r="BFU31" s="65"/>
      <c r="BFV31" s="65"/>
      <c r="BFW31" s="65"/>
      <c r="BFX31" s="65"/>
      <c r="BFY31" s="65"/>
      <c r="BFZ31" s="65"/>
      <c r="BGA31" s="65"/>
      <c r="BGB31" s="65"/>
      <c r="BGC31" s="65"/>
      <c r="BGD31" s="65"/>
      <c r="BGE31" s="65"/>
      <c r="BGF31" s="65"/>
      <c r="BGG31" s="65"/>
      <c r="BGH31" s="65"/>
      <c r="BGI31" s="65"/>
      <c r="BGJ31" s="65"/>
      <c r="BGK31" s="65"/>
      <c r="BGL31" s="65"/>
      <c r="BGM31" s="65"/>
      <c r="BGN31" s="65"/>
      <c r="BGO31" s="65"/>
      <c r="BGP31" s="65"/>
      <c r="BGQ31" s="65"/>
      <c r="BGR31" s="65"/>
      <c r="BGS31" s="65"/>
      <c r="BGT31" s="65"/>
      <c r="BGU31" s="65"/>
      <c r="BGV31" s="65"/>
      <c r="BGW31" s="65"/>
      <c r="BGX31" s="65"/>
      <c r="BGY31" s="65"/>
      <c r="BGZ31" s="65"/>
      <c r="BHA31" s="65"/>
      <c r="BHB31" s="65"/>
      <c r="BHC31" s="65"/>
      <c r="BHD31" s="65"/>
      <c r="BHE31" s="65"/>
      <c r="BHF31" s="65"/>
      <c r="BHG31" s="65"/>
      <c r="BHH31" s="65"/>
      <c r="BHI31" s="65"/>
      <c r="BHJ31" s="65"/>
      <c r="BHK31" s="65"/>
      <c r="BHL31" s="65"/>
      <c r="BHM31" s="65"/>
      <c r="BHN31" s="65"/>
      <c r="BHO31" s="65"/>
      <c r="BHP31" s="65"/>
      <c r="BHQ31" s="65"/>
      <c r="BHR31" s="65"/>
      <c r="BHS31" s="65"/>
      <c r="BHT31" s="65"/>
      <c r="BHU31" s="65"/>
      <c r="BHV31" s="65"/>
      <c r="BHW31" s="65"/>
      <c r="BHX31" s="65"/>
      <c r="BHY31" s="65"/>
      <c r="BHZ31" s="65"/>
      <c r="BIA31" s="65"/>
      <c r="BIB31" s="65"/>
      <c r="BIC31" s="65"/>
      <c r="BID31" s="65"/>
      <c r="BIE31" s="65"/>
      <c r="BIF31" s="65"/>
      <c r="BIG31" s="65"/>
      <c r="BIH31" s="65"/>
      <c r="BII31" s="65"/>
      <c r="BIJ31" s="65"/>
      <c r="BIK31" s="65"/>
      <c r="BIL31" s="65"/>
      <c r="BIM31" s="65"/>
      <c r="BIN31" s="65"/>
      <c r="BIO31" s="65"/>
      <c r="BIP31" s="65"/>
      <c r="BIQ31" s="65"/>
      <c r="BIR31" s="65"/>
      <c r="BIS31" s="65"/>
      <c r="BIT31" s="65"/>
      <c r="BIU31" s="65"/>
      <c r="BIV31" s="65"/>
      <c r="BIW31" s="65"/>
      <c r="BIX31" s="65"/>
      <c r="BIY31" s="65"/>
      <c r="BIZ31" s="65"/>
      <c r="BJA31" s="65"/>
      <c r="BJB31" s="65"/>
      <c r="BJC31" s="65"/>
      <c r="BJD31" s="65"/>
      <c r="BJE31" s="65"/>
      <c r="BJF31" s="65"/>
      <c r="BJG31" s="65"/>
      <c r="BJH31" s="65"/>
      <c r="BJI31" s="65"/>
      <c r="BJJ31" s="65"/>
      <c r="BJK31" s="65"/>
      <c r="BJL31" s="65"/>
      <c r="BJM31" s="65"/>
      <c r="BJN31" s="65"/>
      <c r="BJO31" s="65"/>
      <c r="BJP31" s="65"/>
      <c r="BJQ31" s="65"/>
      <c r="BJR31" s="65"/>
      <c r="BJS31" s="65"/>
      <c r="BJT31" s="65"/>
      <c r="BJU31" s="65"/>
      <c r="BJV31" s="65"/>
      <c r="BJW31" s="65"/>
      <c r="BJX31" s="65"/>
      <c r="BJY31" s="65"/>
      <c r="BJZ31" s="65"/>
      <c r="BKA31" s="65"/>
      <c r="BKB31" s="65"/>
      <c r="BKC31" s="65"/>
      <c r="BKD31" s="65"/>
      <c r="BKE31" s="65"/>
      <c r="BKF31" s="65"/>
      <c r="BKG31" s="65"/>
      <c r="BKH31" s="65"/>
      <c r="BKI31" s="65"/>
      <c r="BKJ31" s="65"/>
      <c r="BKK31" s="65"/>
      <c r="BKL31" s="65"/>
      <c r="BKM31" s="65"/>
      <c r="BKN31" s="65"/>
      <c r="BKO31" s="65"/>
      <c r="BKP31" s="65"/>
      <c r="BKQ31" s="65"/>
      <c r="BKR31" s="65"/>
      <c r="BKS31" s="65"/>
      <c r="BKT31" s="65"/>
      <c r="BKU31" s="65"/>
      <c r="BKV31" s="65"/>
      <c r="BKW31" s="65"/>
      <c r="BKX31" s="65"/>
      <c r="BKY31" s="65"/>
      <c r="BKZ31" s="65"/>
      <c r="BLA31" s="65"/>
      <c r="BLB31" s="65"/>
      <c r="BLC31" s="65"/>
      <c r="BLD31" s="65"/>
      <c r="BLE31" s="65"/>
      <c r="BLF31" s="65"/>
      <c r="BLG31" s="65"/>
      <c r="BLH31" s="65"/>
      <c r="BLI31" s="65"/>
      <c r="BLJ31" s="65"/>
      <c r="BLK31" s="65"/>
      <c r="BLL31" s="65"/>
      <c r="BLM31" s="65"/>
      <c r="BLN31" s="65"/>
      <c r="BLO31" s="65"/>
      <c r="BLP31" s="65"/>
      <c r="BLQ31" s="65"/>
      <c r="BLR31" s="65"/>
      <c r="BLS31" s="65"/>
      <c r="BLT31" s="65"/>
      <c r="BLU31" s="65"/>
      <c r="BLV31" s="65"/>
      <c r="BLW31" s="65"/>
      <c r="BLX31" s="65"/>
      <c r="BLY31" s="65"/>
      <c r="BLZ31" s="65"/>
      <c r="BMA31" s="65"/>
      <c r="BMB31" s="65"/>
      <c r="BMC31" s="65"/>
      <c r="BMD31" s="65"/>
      <c r="BME31" s="65"/>
      <c r="BMF31" s="65"/>
      <c r="BMG31" s="65"/>
      <c r="BMH31" s="65"/>
      <c r="BMI31" s="65"/>
      <c r="BMJ31" s="65"/>
      <c r="BMK31" s="65"/>
      <c r="BML31" s="65"/>
      <c r="BMM31" s="65"/>
      <c r="BMN31" s="65"/>
      <c r="BMO31" s="65"/>
      <c r="BMP31" s="65"/>
      <c r="BMQ31" s="65"/>
      <c r="BMR31" s="65"/>
      <c r="BMS31" s="65"/>
      <c r="BMT31" s="65"/>
      <c r="BMU31" s="65"/>
      <c r="BMV31" s="65"/>
      <c r="BMW31" s="65"/>
      <c r="BMX31" s="65"/>
      <c r="BMY31" s="65"/>
      <c r="BMZ31" s="65"/>
      <c r="BNA31" s="65"/>
      <c r="BNB31" s="65"/>
      <c r="BNC31" s="65"/>
      <c r="BND31" s="65"/>
      <c r="BNE31" s="65"/>
      <c r="BNF31" s="65"/>
      <c r="BNG31" s="65"/>
      <c r="BNH31" s="65"/>
      <c r="BNI31" s="65"/>
      <c r="BNJ31" s="65"/>
      <c r="BNK31" s="65"/>
      <c r="BNL31" s="65"/>
      <c r="BNM31" s="65"/>
      <c r="BNN31" s="65"/>
      <c r="BNO31" s="65"/>
      <c r="BNP31" s="65"/>
      <c r="BNQ31" s="65"/>
      <c r="BNR31" s="65"/>
      <c r="BNS31" s="65"/>
      <c r="BNT31" s="65"/>
      <c r="BNU31" s="65"/>
      <c r="BNV31" s="65"/>
      <c r="BNW31" s="65"/>
      <c r="BNX31" s="65"/>
      <c r="BNY31" s="65"/>
      <c r="BNZ31" s="65"/>
      <c r="BOA31" s="65"/>
      <c r="BOB31" s="65"/>
      <c r="BOC31" s="65"/>
      <c r="BOD31" s="65"/>
      <c r="BOE31" s="65"/>
      <c r="BOF31" s="65"/>
      <c r="BOG31" s="65"/>
      <c r="BOH31" s="65"/>
      <c r="BOI31" s="65"/>
      <c r="BOJ31" s="65"/>
      <c r="BOK31" s="65"/>
      <c r="BOL31" s="65"/>
      <c r="BOM31" s="65"/>
      <c r="BON31" s="65"/>
      <c r="BOO31" s="65"/>
      <c r="BOP31" s="65"/>
      <c r="BOQ31" s="65"/>
      <c r="BOR31" s="65"/>
      <c r="BOS31" s="65"/>
      <c r="BOT31" s="65"/>
      <c r="BOU31" s="65"/>
      <c r="BOV31" s="65"/>
      <c r="BOW31" s="65"/>
      <c r="BOX31" s="65"/>
      <c r="BOY31" s="65"/>
      <c r="BOZ31" s="65"/>
      <c r="BPA31" s="65"/>
      <c r="BPB31" s="65"/>
      <c r="BPC31" s="65"/>
      <c r="BPD31" s="65"/>
      <c r="BPE31" s="65"/>
      <c r="BPF31" s="65"/>
      <c r="BPG31" s="65"/>
      <c r="BPH31" s="65"/>
      <c r="BPI31" s="65"/>
      <c r="BPJ31" s="65"/>
      <c r="BPK31" s="65"/>
      <c r="BPL31" s="65"/>
      <c r="BPM31" s="65"/>
      <c r="BPN31" s="65"/>
      <c r="BPO31" s="65"/>
      <c r="BPP31" s="65"/>
      <c r="BPQ31" s="65"/>
      <c r="BPR31" s="65"/>
      <c r="BPS31" s="65"/>
      <c r="BPT31" s="65"/>
      <c r="BPU31" s="65"/>
      <c r="BPV31" s="65"/>
      <c r="BPW31" s="65"/>
      <c r="BPX31" s="65"/>
      <c r="BPY31" s="65"/>
      <c r="BPZ31" s="65"/>
      <c r="BQA31" s="65"/>
      <c r="BQB31" s="65"/>
      <c r="BQC31" s="65"/>
      <c r="BQD31" s="65"/>
      <c r="BQE31" s="65"/>
      <c r="BQF31" s="65"/>
      <c r="BQG31" s="65"/>
      <c r="BQH31" s="65"/>
      <c r="BQI31" s="65"/>
      <c r="BQJ31" s="65"/>
      <c r="BQK31" s="65"/>
      <c r="BQL31" s="65"/>
      <c r="BQM31" s="65"/>
      <c r="BQN31" s="65"/>
      <c r="BQO31" s="65"/>
      <c r="BQP31" s="65"/>
      <c r="BQQ31" s="65"/>
      <c r="BQR31" s="65"/>
      <c r="BQS31" s="65"/>
      <c r="BQT31" s="65"/>
      <c r="BQU31" s="65"/>
      <c r="BQV31" s="65"/>
      <c r="BQW31" s="65"/>
      <c r="BQX31" s="65"/>
      <c r="BQY31" s="65"/>
      <c r="BQZ31" s="65"/>
      <c r="BRA31" s="65"/>
      <c r="BRB31" s="65"/>
      <c r="BRC31" s="65"/>
      <c r="BRD31" s="65"/>
      <c r="BRE31" s="65"/>
      <c r="BRF31" s="65"/>
      <c r="BRG31" s="65"/>
      <c r="BRH31" s="65"/>
      <c r="BRI31" s="65"/>
      <c r="BRJ31" s="65"/>
      <c r="BRK31" s="65"/>
      <c r="BRL31" s="65"/>
      <c r="BRM31" s="65"/>
      <c r="BRN31" s="65"/>
      <c r="BRO31" s="65"/>
      <c r="BRP31" s="65"/>
      <c r="BRQ31" s="65"/>
      <c r="BRR31" s="65"/>
      <c r="BRS31" s="65"/>
      <c r="BRT31" s="65"/>
      <c r="BRU31" s="65"/>
      <c r="BRV31" s="65"/>
      <c r="BRW31" s="65"/>
      <c r="BRX31" s="65"/>
      <c r="BRY31" s="65"/>
      <c r="BRZ31" s="65"/>
      <c r="BSA31" s="65"/>
      <c r="BSB31" s="65"/>
      <c r="BSC31" s="65"/>
      <c r="BSD31" s="65"/>
      <c r="BSE31" s="65"/>
      <c r="BSF31" s="65"/>
      <c r="BSG31" s="65"/>
      <c r="BSH31" s="65"/>
      <c r="BSI31" s="65"/>
      <c r="BSJ31" s="65"/>
      <c r="BSK31" s="65"/>
      <c r="BSL31" s="65"/>
      <c r="BSM31" s="65"/>
      <c r="BSN31" s="65"/>
      <c r="BSO31" s="65"/>
      <c r="BSP31" s="65"/>
      <c r="BSQ31" s="65"/>
      <c r="BSR31" s="65"/>
      <c r="BSS31" s="65"/>
      <c r="BST31" s="65"/>
      <c r="BSU31" s="65"/>
      <c r="BSV31" s="65"/>
      <c r="BSW31" s="65"/>
      <c r="BSX31" s="65"/>
      <c r="BSY31" s="65"/>
      <c r="BSZ31" s="65"/>
      <c r="BTA31" s="65"/>
      <c r="BTB31" s="65"/>
      <c r="BTC31" s="65"/>
      <c r="BTD31" s="65"/>
      <c r="BTE31" s="65"/>
      <c r="BTF31" s="65"/>
      <c r="BTG31" s="65"/>
      <c r="BTH31" s="65"/>
      <c r="BTI31" s="65"/>
      <c r="BTJ31" s="65"/>
      <c r="BTK31" s="65"/>
      <c r="BTL31" s="65"/>
      <c r="BTM31" s="65"/>
      <c r="BTN31" s="65"/>
      <c r="BTO31" s="65"/>
      <c r="BTP31" s="65"/>
      <c r="BTQ31" s="65"/>
      <c r="BTR31" s="65"/>
      <c r="BTS31" s="65"/>
      <c r="BTT31" s="65"/>
      <c r="BTU31" s="65"/>
      <c r="BTV31" s="65"/>
      <c r="BTW31" s="65"/>
      <c r="BTX31" s="65"/>
      <c r="BTY31" s="65"/>
      <c r="BTZ31" s="65"/>
      <c r="BUA31" s="65"/>
      <c r="BUB31" s="65"/>
      <c r="BUC31" s="65"/>
      <c r="BUD31" s="65"/>
      <c r="BUE31" s="65"/>
      <c r="BUF31" s="65"/>
      <c r="BUG31" s="65"/>
      <c r="BUH31" s="65"/>
      <c r="BUI31" s="65"/>
      <c r="BUJ31" s="65"/>
      <c r="BUK31" s="65"/>
      <c r="BUL31" s="65"/>
      <c r="BUM31" s="65"/>
      <c r="BUN31" s="65"/>
      <c r="BUO31" s="65"/>
      <c r="BUP31" s="65"/>
      <c r="BUQ31" s="65"/>
      <c r="BUR31" s="65"/>
      <c r="BUS31" s="65"/>
      <c r="BUT31" s="65"/>
      <c r="BUU31" s="65"/>
      <c r="BUV31" s="65"/>
      <c r="BUW31" s="65"/>
      <c r="BUX31" s="65"/>
      <c r="BUY31" s="65"/>
      <c r="BUZ31" s="65"/>
      <c r="BVA31" s="65"/>
      <c r="BVB31" s="65"/>
      <c r="BVC31" s="65"/>
      <c r="BVD31" s="65"/>
      <c r="BVE31" s="65"/>
      <c r="BVF31" s="65"/>
      <c r="BVG31" s="65"/>
      <c r="BVH31" s="65"/>
      <c r="BVI31" s="65"/>
      <c r="BVJ31" s="65"/>
      <c r="BVK31" s="65"/>
      <c r="BVL31" s="65"/>
      <c r="BVM31" s="65"/>
      <c r="BVN31" s="65"/>
      <c r="BVO31" s="65"/>
      <c r="BVP31" s="65"/>
      <c r="BVQ31" s="65"/>
      <c r="BVR31" s="65"/>
      <c r="BVS31" s="65"/>
      <c r="BVT31" s="65"/>
      <c r="BVU31" s="65"/>
      <c r="BVV31" s="65"/>
      <c r="BVW31" s="65"/>
      <c r="BVX31" s="65"/>
      <c r="BVY31" s="65"/>
      <c r="BVZ31" s="65"/>
      <c r="BWA31" s="65"/>
      <c r="BWB31" s="65"/>
      <c r="BWC31" s="65"/>
      <c r="BWD31" s="65"/>
      <c r="BWE31" s="65"/>
      <c r="BWF31" s="65"/>
      <c r="BWG31" s="65"/>
      <c r="BWH31" s="65"/>
      <c r="BWI31" s="65"/>
      <c r="BWJ31" s="65"/>
      <c r="BWK31" s="65"/>
      <c r="BWL31" s="65"/>
      <c r="BWM31" s="65"/>
      <c r="BWN31" s="65"/>
      <c r="BWO31" s="65"/>
      <c r="BWP31" s="65"/>
      <c r="BWQ31" s="65"/>
      <c r="BWR31" s="65"/>
      <c r="BWS31" s="65"/>
      <c r="BWT31" s="65"/>
      <c r="BWU31" s="65"/>
      <c r="BWV31" s="65"/>
      <c r="BWW31" s="65"/>
      <c r="BWX31" s="65"/>
      <c r="BWY31" s="65"/>
      <c r="BWZ31" s="65"/>
      <c r="BXA31" s="65"/>
      <c r="BXB31" s="65"/>
      <c r="BXC31" s="65"/>
      <c r="BXD31" s="65"/>
      <c r="BXE31" s="65"/>
      <c r="BXF31" s="65"/>
      <c r="BXG31" s="65"/>
      <c r="BXH31" s="65"/>
      <c r="BXI31" s="65"/>
      <c r="BXJ31" s="65"/>
      <c r="BXK31" s="65"/>
      <c r="BXL31" s="65"/>
      <c r="BXM31" s="65"/>
      <c r="BXN31" s="65"/>
      <c r="BXO31" s="65"/>
      <c r="BXP31" s="65"/>
      <c r="BXQ31" s="65"/>
      <c r="BXR31" s="65"/>
      <c r="BXS31" s="65"/>
      <c r="BXT31" s="65"/>
      <c r="BXU31" s="65"/>
      <c r="BXV31" s="65"/>
      <c r="BXW31" s="65"/>
      <c r="BXX31" s="65"/>
      <c r="BXY31" s="65"/>
      <c r="BXZ31" s="65"/>
      <c r="BYA31" s="65"/>
      <c r="BYB31" s="65"/>
      <c r="BYC31" s="65"/>
      <c r="BYD31" s="65"/>
      <c r="BYE31" s="65"/>
      <c r="BYF31" s="65"/>
      <c r="BYG31" s="65"/>
      <c r="BYH31" s="65"/>
      <c r="BYI31" s="65"/>
      <c r="BYJ31" s="65"/>
      <c r="BYK31" s="65"/>
      <c r="BYL31" s="65"/>
      <c r="BYM31" s="65"/>
      <c r="BYN31" s="65"/>
      <c r="BYO31" s="65"/>
      <c r="BYP31" s="65"/>
      <c r="BYQ31" s="65"/>
      <c r="BYR31" s="65"/>
      <c r="BYS31" s="65"/>
      <c r="BYT31" s="65"/>
      <c r="BYU31" s="65"/>
      <c r="BYV31" s="65"/>
      <c r="BYW31" s="65"/>
      <c r="BYX31" s="65"/>
      <c r="BYY31" s="65"/>
      <c r="BYZ31" s="65"/>
      <c r="BZA31" s="65"/>
      <c r="BZB31" s="65"/>
      <c r="BZC31" s="65"/>
      <c r="BZD31" s="65"/>
      <c r="BZE31" s="65"/>
      <c r="BZF31" s="65"/>
      <c r="BZG31" s="65"/>
      <c r="BZH31" s="65"/>
      <c r="BZI31" s="65"/>
      <c r="BZJ31" s="65"/>
      <c r="BZK31" s="65"/>
      <c r="BZL31" s="65"/>
      <c r="BZM31" s="65"/>
      <c r="BZN31" s="65"/>
      <c r="BZO31" s="65"/>
      <c r="BZP31" s="65"/>
      <c r="BZQ31" s="65"/>
      <c r="BZR31" s="65"/>
      <c r="BZS31" s="65"/>
      <c r="BZT31" s="65"/>
      <c r="BZU31" s="65"/>
      <c r="BZV31" s="65"/>
      <c r="BZW31" s="65"/>
      <c r="BZX31" s="65"/>
      <c r="BZY31" s="65"/>
      <c r="BZZ31" s="65"/>
      <c r="CAA31" s="65"/>
      <c r="CAB31" s="65"/>
      <c r="CAC31" s="65"/>
      <c r="CAD31" s="65"/>
      <c r="CAE31" s="65"/>
      <c r="CAF31" s="65"/>
      <c r="CAG31" s="65"/>
      <c r="CAH31" s="65"/>
      <c r="CAI31" s="65"/>
      <c r="CAJ31" s="65"/>
      <c r="CAK31" s="65"/>
      <c r="CAL31" s="65"/>
      <c r="CAM31" s="65"/>
      <c r="CAN31" s="65"/>
      <c r="CAO31" s="65"/>
      <c r="CAP31" s="65"/>
      <c r="CAQ31" s="65"/>
      <c r="CAR31" s="65"/>
      <c r="CAS31" s="65"/>
      <c r="CAT31" s="65"/>
      <c r="CAU31" s="65"/>
      <c r="CAV31" s="65"/>
      <c r="CAW31" s="65"/>
      <c r="CAX31" s="65"/>
      <c r="CAY31" s="65"/>
      <c r="CAZ31" s="65"/>
      <c r="CBA31" s="65"/>
      <c r="CBB31" s="65"/>
      <c r="CBC31" s="65"/>
      <c r="CBD31" s="65"/>
      <c r="CBE31" s="65"/>
      <c r="CBF31" s="65"/>
      <c r="CBG31" s="65"/>
      <c r="CBH31" s="65"/>
      <c r="CBI31" s="65"/>
      <c r="CBJ31" s="65"/>
      <c r="CBK31" s="65"/>
      <c r="CBL31" s="65"/>
      <c r="CBM31" s="65"/>
      <c r="CBN31" s="65"/>
      <c r="CBO31" s="65"/>
      <c r="CBP31" s="65"/>
      <c r="CBQ31" s="65"/>
      <c r="CBR31" s="65"/>
      <c r="CBS31" s="65"/>
      <c r="CBT31" s="65"/>
      <c r="CBU31" s="65"/>
      <c r="CBV31" s="65"/>
      <c r="CBW31" s="65"/>
      <c r="CBX31" s="65"/>
      <c r="CBY31" s="65"/>
      <c r="CBZ31" s="65"/>
      <c r="CCA31" s="65"/>
      <c r="CCB31" s="65"/>
      <c r="CCC31" s="65"/>
      <c r="CCD31" s="65"/>
      <c r="CCE31" s="65"/>
      <c r="CCF31" s="65"/>
      <c r="CCG31" s="65"/>
      <c r="CCH31" s="65"/>
      <c r="CCI31" s="65"/>
      <c r="CCJ31" s="65"/>
      <c r="CCK31" s="65"/>
      <c r="CCL31" s="65"/>
      <c r="CCM31" s="65"/>
      <c r="CCN31" s="65"/>
      <c r="CCO31" s="65"/>
      <c r="CCP31" s="65"/>
      <c r="CCQ31" s="65"/>
      <c r="CCR31" s="65"/>
      <c r="CCS31" s="65"/>
      <c r="CCT31" s="65"/>
      <c r="CCU31" s="65"/>
      <c r="CCV31" s="65"/>
      <c r="CCW31" s="65"/>
      <c r="CCX31" s="65"/>
      <c r="CCY31" s="65"/>
      <c r="CCZ31" s="65"/>
      <c r="CDA31" s="65"/>
      <c r="CDB31" s="65"/>
      <c r="CDC31" s="65"/>
      <c r="CDD31" s="65"/>
      <c r="CDE31" s="65"/>
      <c r="CDF31" s="65"/>
      <c r="CDG31" s="65"/>
      <c r="CDH31" s="65"/>
      <c r="CDI31" s="65"/>
      <c r="CDJ31" s="65"/>
      <c r="CDK31" s="65"/>
      <c r="CDL31" s="65"/>
      <c r="CDM31" s="65"/>
      <c r="CDN31" s="65"/>
      <c r="CDO31" s="65"/>
      <c r="CDP31" s="65"/>
      <c r="CDQ31" s="65"/>
      <c r="CDR31" s="65"/>
      <c r="CDS31" s="65"/>
      <c r="CDT31" s="65"/>
      <c r="CDU31" s="65"/>
      <c r="CDV31" s="65"/>
      <c r="CDW31" s="65"/>
      <c r="CDX31" s="65"/>
      <c r="CDY31" s="65"/>
      <c r="CDZ31" s="65"/>
      <c r="CEA31" s="65"/>
      <c r="CEB31" s="65"/>
      <c r="CEC31" s="65"/>
      <c r="CED31" s="65"/>
      <c r="CEE31" s="65"/>
      <c r="CEF31" s="65"/>
      <c r="CEG31" s="65"/>
      <c r="CEH31" s="65"/>
      <c r="CEI31" s="65"/>
      <c r="CEJ31" s="65"/>
      <c r="CEK31" s="65"/>
      <c r="CEL31" s="65"/>
      <c r="CEM31" s="65"/>
      <c r="CEN31" s="65"/>
      <c r="CEO31" s="65"/>
      <c r="CEP31" s="65"/>
      <c r="CEQ31" s="65"/>
      <c r="CER31" s="65"/>
      <c r="CES31" s="65"/>
      <c r="CET31" s="65"/>
      <c r="CEU31" s="65"/>
      <c r="CEV31" s="65"/>
      <c r="CEW31" s="65"/>
      <c r="CEX31" s="65"/>
      <c r="CEY31" s="65"/>
      <c r="CEZ31" s="65"/>
      <c r="CFA31" s="65"/>
      <c r="CFB31" s="65"/>
      <c r="CFC31" s="65"/>
      <c r="CFD31" s="65"/>
      <c r="CFE31" s="65"/>
      <c r="CFF31" s="65"/>
      <c r="CFG31" s="65"/>
      <c r="CFH31" s="65"/>
      <c r="CFI31" s="65"/>
      <c r="CFJ31" s="65"/>
      <c r="CFK31" s="65"/>
      <c r="CFL31" s="65"/>
      <c r="CFM31" s="65"/>
      <c r="CFN31" s="65"/>
      <c r="CFO31" s="65"/>
      <c r="CFP31" s="65"/>
      <c r="CFQ31" s="65"/>
      <c r="CFR31" s="65"/>
      <c r="CFS31" s="65"/>
      <c r="CFT31" s="65"/>
      <c r="CFU31" s="65"/>
      <c r="CFV31" s="65"/>
      <c r="CFW31" s="65"/>
      <c r="CFX31" s="65"/>
      <c r="CFY31" s="65"/>
      <c r="CFZ31" s="65"/>
      <c r="CGA31" s="65"/>
      <c r="CGB31" s="65"/>
      <c r="CGC31" s="65"/>
      <c r="CGD31" s="65"/>
      <c r="CGE31" s="65"/>
      <c r="CGF31" s="65"/>
      <c r="CGG31" s="65"/>
      <c r="CGH31" s="65"/>
      <c r="CGI31" s="65"/>
      <c r="CGJ31" s="65"/>
      <c r="CGK31" s="65"/>
      <c r="CGL31" s="65"/>
      <c r="CGM31" s="65"/>
      <c r="CGN31" s="65"/>
      <c r="CGO31" s="65"/>
      <c r="CGP31" s="65"/>
      <c r="CGQ31" s="65"/>
      <c r="CGR31" s="65"/>
      <c r="CGS31" s="65"/>
      <c r="CGT31" s="65"/>
      <c r="CGU31" s="65"/>
      <c r="CGV31" s="65"/>
      <c r="CGW31" s="65"/>
      <c r="CGX31" s="65"/>
      <c r="CGY31" s="65"/>
      <c r="CGZ31" s="65"/>
      <c r="CHA31" s="65"/>
      <c r="CHB31" s="65"/>
      <c r="CHC31" s="65"/>
      <c r="CHD31" s="65"/>
      <c r="CHE31" s="65"/>
      <c r="CHF31" s="65"/>
      <c r="CHG31" s="65"/>
      <c r="CHH31" s="65"/>
      <c r="CHI31" s="65"/>
      <c r="CHJ31" s="65"/>
      <c r="CHK31" s="65"/>
      <c r="CHL31" s="65"/>
      <c r="CHM31" s="65"/>
      <c r="CHN31" s="65"/>
      <c r="CHO31" s="65"/>
      <c r="CHP31" s="65"/>
      <c r="CHQ31" s="65"/>
      <c r="CHR31" s="65"/>
      <c r="CHS31" s="65"/>
      <c r="CHT31" s="65"/>
      <c r="CHU31" s="65"/>
      <c r="CHV31" s="65"/>
      <c r="CHW31" s="65"/>
      <c r="CHX31" s="65"/>
      <c r="CHY31" s="65"/>
      <c r="CHZ31" s="65"/>
      <c r="CIA31" s="65"/>
      <c r="CIB31" s="65"/>
      <c r="CIC31" s="65"/>
      <c r="CID31" s="65"/>
      <c r="CIE31" s="65"/>
      <c r="CIF31" s="65"/>
      <c r="CIG31" s="65"/>
      <c r="CIH31" s="65"/>
      <c r="CII31" s="65"/>
      <c r="CIJ31" s="65"/>
      <c r="CIK31" s="65"/>
      <c r="CIL31" s="65"/>
      <c r="CIM31" s="65"/>
      <c r="CIN31" s="65"/>
      <c r="CIO31" s="65"/>
      <c r="CIP31" s="65"/>
      <c r="CIQ31" s="65"/>
      <c r="CIR31" s="65"/>
      <c r="CIS31" s="65"/>
      <c r="CIT31" s="65"/>
      <c r="CIU31" s="65"/>
      <c r="CIV31" s="65"/>
      <c r="CIW31" s="65"/>
      <c r="CIX31" s="65"/>
      <c r="CIY31" s="65"/>
      <c r="CIZ31" s="65"/>
      <c r="CJA31" s="65"/>
      <c r="CJB31" s="65"/>
      <c r="CJC31" s="65"/>
      <c r="CJD31" s="65"/>
      <c r="CJE31" s="65"/>
      <c r="CJF31" s="65"/>
      <c r="CJG31" s="65"/>
      <c r="CJH31" s="65"/>
      <c r="CJI31" s="65"/>
      <c r="CJJ31" s="65"/>
      <c r="CJK31" s="65"/>
      <c r="CJL31" s="65"/>
      <c r="CJM31" s="65"/>
      <c r="CJN31" s="65"/>
      <c r="CJO31" s="65"/>
      <c r="CJP31" s="65"/>
      <c r="CJQ31" s="65"/>
      <c r="CJR31" s="65"/>
      <c r="CJS31" s="65"/>
      <c r="CJT31" s="65"/>
      <c r="CJU31" s="65"/>
      <c r="CJV31" s="65"/>
      <c r="CJW31" s="65"/>
      <c r="CJX31" s="65"/>
      <c r="CJY31" s="65"/>
      <c r="CJZ31" s="65"/>
      <c r="CKA31" s="65"/>
      <c r="CKB31" s="65"/>
      <c r="CKC31" s="65"/>
      <c r="CKD31" s="65"/>
      <c r="CKE31" s="65"/>
      <c r="CKF31" s="65"/>
      <c r="CKG31" s="65"/>
      <c r="CKH31" s="65"/>
      <c r="CKI31" s="65"/>
      <c r="CKJ31" s="65"/>
      <c r="CKK31" s="65"/>
      <c r="CKL31" s="65"/>
      <c r="CKM31" s="65"/>
      <c r="CKN31" s="65"/>
      <c r="CKO31" s="65"/>
      <c r="CKP31" s="65"/>
      <c r="CKQ31" s="65"/>
      <c r="CKR31" s="65"/>
      <c r="CKS31" s="65"/>
      <c r="CKT31" s="65"/>
      <c r="CKU31" s="65"/>
      <c r="CKV31" s="65"/>
      <c r="CKW31" s="65"/>
      <c r="CKX31" s="65"/>
      <c r="CKY31" s="65"/>
      <c r="CKZ31" s="65"/>
      <c r="CLA31" s="65"/>
      <c r="CLB31" s="65"/>
      <c r="CLC31" s="65"/>
      <c r="CLD31" s="65"/>
      <c r="CLE31" s="65"/>
      <c r="CLF31" s="65"/>
      <c r="CLG31" s="65"/>
      <c r="CLH31" s="65"/>
      <c r="CLI31" s="65"/>
      <c r="CLJ31" s="65"/>
      <c r="CLK31" s="65"/>
      <c r="CLL31" s="65"/>
      <c r="CLM31" s="65"/>
      <c r="CLN31" s="65"/>
      <c r="CLO31" s="65"/>
      <c r="CLP31" s="65"/>
      <c r="CLQ31" s="65"/>
      <c r="CLR31" s="65"/>
      <c r="CLS31" s="65"/>
      <c r="CLT31" s="65"/>
      <c r="CLU31" s="65"/>
      <c r="CLV31" s="65"/>
      <c r="CLW31" s="65"/>
      <c r="CLX31" s="65"/>
      <c r="CLY31" s="65"/>
      <c r="CLZ31" s="65"/>
      <c r="CMA31" s="65"/>
      <c r="CMB31" s="65"/>
      <c r="CMC31" s="65"/>
      <c r="CMD31" s="65"/>
      <c r="CME31" s="65"/>
      <c r="CMF31" s="65"/>
      <c r="CMG31" s="65"/>
      <c r="CMH31" s="65"/>
      <c r="CMI31" s="65"/>
      <c r="CMJ31" s="65"/>
      <c r="CMK31" s="65"/>
      <c r="CML31" s="65"/>
      <c r="CMM31" s="65"/>
      <c r="CMN31" s="65"/>
      <c r="CMO31" s="65"/>
      <c r="CMP31" s="65"/>
      <c r="CMQ31" s="65"/>
      <c r="CMR31" s="65"/>
      <c r="CMS31" s="65"/>
      <c r="CMT31" s="65"/>
      <c r="CMU31" s="65"/>
      <c r="CMV31" s="65"/>
      <c r="CMW31" s="65"/>
      <c r="CMX31" s="65"/>
      <c r="CMY31" s="65"/>
      <c r="CMZ31" s="65"/>
      <c r="CNA31" s="65"/>
      <c r="CNB31" s="65"/>
      <c r="CNC31" s="65"/>
      <c r="CND31" s="65"/>
      <c r="CNE31" s="65"/>
      <c r="CNF31" s="65"/>
      <c r="CNG31" s="65"/>
      <c r="CNH31" s="65"/>
      <c r="CNI31" s="65"/>
      <c r="CNJ31" s="65"/>
      <c r="CNK31" s="65"/>
      <c r="CNL31" s="65"/>
      <c r="CNM31" s="65"/>
      <c r="CNN31" s="65"/>
      <c r="CNO31" s="65"/>
      <c r="CNP31" s="65"/>
      <c r="CNQ31" s="65"/>
      <c r="CNR31" s="65"/>
      <c r="CNS31" s="65"/>
      <c r="CNT31" s="65"/>
      <c r="CNU31" s="65"/>
      <c r="CNV31" s="65"/>
      <c r="CNW31" s="65"/>
      <c r="CNX31" s="65"/>
      <c r="CNY31" s="65"/>
      <c r="CNZ31" s="65"/>
      <c r="COA31" s="65"/>
      <c r="COB31" s="65"/>
      <c r="COC31" s="65"/>
      <c r="COD31" s="65"/>
      <c r="COE31" s="65"/>
      <c r="COF31" s="65"/>
      <c r="COG31" s="65"/>
      <c r="COH31" s="65"/>
      <c r="COI31" s="65"/>
      <c r="COJ31" s="65"/>
      <c r="COK31" s="65"/>
      <c r="COL31" s="65"/>
      <c r="COM31" s="65"/>
      <c r="CON31" s="65"/>
      <c r="COO31" s="65"/>
      <c r="COP31" s="65"/>
      <c r="COQ31" s="65"/>
      <c r="COR31" s="65"/>
      <c r="COS31" s="65"/>
      <c r="COT31" s="65"/>
      <c r="COU31" s="65"/>
      <c r="COV31" s="65"/>
      <c r="COW31" s="65"/>
      <c r="COX31" s="65"/>
      <c r="COY31" s="65"/>
      <c r="COZ31" s="65"/>
      <c r="CPA31" s="65"/>
      <c r="CPB31" s="65"/>
      <c r="CPC31" s="65"/>
      <c r="CPD31" s="65"/>
      <c r="CPE31" s="65"/>
      <c r="CPF31" s="65"/>
      <c r="CPG31" s="65"/>
      <c r="CPH31" s="65"/>
      <c r="CPI31" s="65"/>
      <c r="CPJ31" s="65"/>
      <c r="CPK31" s="65"/>
      <c r="CPL31" s="65"/>
      <c r="CPM31" s="65"/>
      <c r="CPN31" s="65"/>
      <c r="CPO31" s="65"/>
      <c r="CPP31" s="65"/>
      <c r="CPQ31" s="65"/>
      <c r="CPR31" s="65"/>
      <c r="CPS31" s="65"/>
      <c r="CPT31" s="65"/>
      <c r="CPU31" s="65"/>
      <c r="CPV31" s="65"/>
      <c r="CPW31" s="65"/>
      <c r="CPX31" s="65"/>
      <c r="CPY31" s="65"/>
      <c r="CPZ31" s="65"/>
      <c r="CQA31" s="65"/>
      <c r="CQB31" s="65"/>
      <c r="CQC31" s="65"/>
      <c r="CQD31" s="65"/>
      <c r="CQE31" s="65"/>
      <c r="CQF31" s="65"/>
      <c r="CQG31" s="65"/>
      <c r="CQH31" s="65"/>
      <c r="CQI31" s="65"/>
      <c r="CQJ31" s="65"/>
      <c r="CQK31" s="65"/>
      <c r="CQL31" s="65"/>
      <c r="CQM31" s="65"/>
      <c r="CQN31" s="65"/>
      <c r="CQO31" s="65"/>
      <c r="CQP31" s="65"/>
      <c r="CQQ31" s="65"/>
      <c r="CQR31" s="65"/>
      <c r="CQS31" s="65"/>
      <c r="CQT31" s="65"/>
      <c r="CQU31" s="65"/>
      <c r="CQV31" s="65"/>
      <c r="CQW31" s="65"/>
      <c r="CQX31" s="65"/>
      <c r="CQY31" s="65"/>
      <c r="CQZ31" s="65"/>
      <c r="CRA31" s="65"/>
      <c r="CRB31" s="65"/>
      <c r="CRC31" s="65"/>
      <c r="CRD31" s="65"/>
      <c r="CRE31" s="65"/>
      <c r="CRF31" s="65"/>
      <c r="CRG31" s="65"/>
      <c r="CRH31" s="65"/>
      <c r="CRI31" s="65"/>
      <c r="CRJ31" s="65"/>
      <c r="CRK31" s="65"/>
      <c r="CRL31" s="65"/>
      <c r="CRM31" s="65"/>
      <c r="CRN31" s="65"/>
      <c r="CRO31" s="65"/>
      <c r="CRP31" s="65"/>
      <c r="CRQ31" s="65"/>
      <c r="CRR31" s="65"/>
      <c r="CRS31" s="65"/>
      <c r="CRT31" s="65"/>
      <c r="CRU31" s="65"/>
      <c r="CRV31" s="65"/>
      <c r="CRW31" s="65"/>
      <c r="CRX31" s="65"/>
      <c r="CRY31" s="65"/>
      <c r="CRZ31" s="65"/>
      <c r="CSA31" s="65"/>
      <c r="CSB31" s="65"/>
      <c r="CSC31" s="65"/>
      <c r="CSD31" s="65"/>
      <c r="CSE31" s="65"/>
      <c r="CSF31" s="65"/>
      <c r="CSG31" s="65"/>
      <c r="CSH31" s="65"/>
      <c r="CSI31" s="65"/>
      <c r="CSJ31" s="65"/>
      <c r="CSK31" s="65"/>
      <c r="CSL31" s="65"/>
      <c r="CSM31" s="65"/>
      <c r="CSN31" s="65"/>
      <c r="CSO31" s="65"/>
      <c r="CSP31" s="65"/>
      <c r="CSQ31" s="65"/>
      <c r="CSR31" s="65"/>
      <c r="CSS31" s="65"/>
      <c r="CST31" s="65"/>
      <c r="CSU31" s="65"/>
      <c r="CSV31" s="65"/>
      <c r="CSW31" s="65"/>
      <c r="CSX31" s="65"/>
      <c r="CSY31" s="65"/>
      <c r="CSZ31" s="65"/>
      <c r="CTA31" s="65"/>
      <c r="CTB31" s="65"/>
      <c r="CTC31" s="65"/>
      <c r="CTD31" s="65"/>
      <c r="CTE31" s="65"/>
      <c r="CTF31" s="65"/>
      <c r="CTG31" s="65"/>
      <c r="CTH31" s="65"/>
      <c r="CTI31" s="65"/>
      <c r="CTJ31" s="65"/>
      <c r="CTK31" s="65"/>
      <c r="CTL31" s="65"/>
      <c r="CTM31" s="65"/>
      <c r="CTN31" s="65"/>
      <c r="CTO31" s="65"/>
      <c r="CTP31" s="65"/>
      <c r="CTQ31" s="65"/>
      <c r="CTR31" s="65"/>
      <c r="CTS31" s="65"/>
      <c r="CTT31" s="65"/>
      <c r="CTU31" s="65"/>
      <c r="CTV31" s="65"/>
      <c r="CTW31" s="65"/>
      <c r="CTX31" s="65"/>
      <c r="CTY31" s="65"/>
      <c r="CTZ31" s="65"/>
      <c r="CUA31" s="65"/>
      <c r="CUB31" s="65"/>
      <c r="CUC31" s="65"/>
      <c r="CUD31" s="65"/>
      <c r="CUE31" s="65"/>
      <c r="CUF31" s="65"/>
      <c r="CUG31" s="65"/>
      <c r="CUH31" s="65"/>
      <c r="CUI31" s="65"/>
      <c r="CUJ31" s="65"/>
      <c r="CUK31" s="65"/>
      <c r="CUL31" s="65"/>
      <c r="CUM31" s="65"/>
      <c r="CUN31" s="65"/>
      <c r="CUO31" s="65"/>
      <c r="CUP31" s="65"/>
      <c r="CUQ31" s="65"/>
      <c r="CUR31" s="65"/>
      <c r="CUS31" s="65"/>
      <c r="CUT31" s="65"/>
      <c r="CUU31" s="65"/>
      <c r="CUV31" s="65"/>
      <c r="CUW31" s="65"/>
      <c r="CUX31" s="65"/>
      <c r="CUY31" s="65"/>
      <c r="CUZ31" s="65"/>
      <c r="CVA31" s="65"/>
      <c r="CVB31" s="65"/>
      <c r="CVC31" s="65"/>
      <c r="CVD31" s="65"/>
      <c r="CVE31" s="65"/>
      <c r="CVF31" s="65"/>
      <c r="CVG31" s="65"/>
      <c r="CVH31" s="65"/>
      <c r="CVI31" s="65"/>
      <c r="CVJ31" s="65"/>
      <c r="CVK31" s="65"/>
      <c r="CVL31" s="65"/>
      <c r="CVM31" s="65"/>
      <c r="CVN31" s="65"/>
      <c r="CVO31" s="65"/>
      <c r="CVP31" s="65"/>
      <c r="CVQ31" s="65"/>
      <c r="CVR31" s="65"/>
      <c r="CVS31" s="65"/>
      <c r="CVT31" s="65"/>
      <c r="CVU31" s="65"/>
      <c r="CVV31" s="65"/>
      <c r="CVW31" s="65"/>
      <c r="CVX31" s="65"/>
      <c r="CVY31" s="65"/>
      <c r="CVZ31" s="65"/>
      <c r="CWA31" s="65"/>
      <c r="CWB31" s="65"/>
      <c r="CWC31" s="65"/>
      <c r="CWD31" s="65"/>
      <c r="CWE31" s="65"/>
      <c r="CWF31" s="65"/>
      <c r="CWG31" s="65"/>
      <c r="CWH31" s="65"/>
      <c r="CWI31" s="65"/>
      <c r="CWJ31" s="65"/>
      <c r="CWK31" s="65"/>
      <c r="CWL31" s="65"/>
      <c r="CWM31" s="65"/>
      <c r="CWN31" s="65"/>
      <c r="CWO31" s="65"/>
      <c r="CWP31" s="65"/>
      <c r="CWQ31" s="65"/>
      <c r="CWR31" s="65"/>
      <c r="CWS31" s="65"/>
      <c r="CWT31" s="65"/>
      <c r="CWU31" s="65"/>
      <c r="CWV31" s="65"/>
      <c r="CWW31" s="65"/>
      <c r="CWX31" s="65"/>
      <c r="CWY31" s="65"/>
      <c r="CWZ31" s="65"/>
      <c r="CXA31" s="65"/>
      <c r="CXB31" s="65"/>
      <c r="CXC31" s="65"/>
      <c r="CXD31" s="65"/>
      <c r="CXE31" s="65"/>
      <c r="CXF31" s="65"/>
      <c r="CXG31" s="65"/>
      <c r="CXH31" s="65"/>
      <c r="CXI31" s="65"/>
      <c r="CXJ31" s="65"/>
      <c r="CXK31" s="65"/>
      <c r="CXL31" s="65"/>
      <c r="CXM31" s="65"/>
      <c r="CXN31" s="65"/>
      <c r="CXO31" s="65"/>
      <c r="CXP31" s="65"/>
      <c r="CXQ31" s="65"/>
      <c r="CXR31" s="65"/>
      <c r="CXS31" s="65"/>
      <c r="CXT31" s="65"/>
      <c r="CXU31" s="65"/>
      <c r="CXV31" s="65"/>
      <c r="CXW31" s="65"/>
      <c r="CXX31" s="65"/>
      <c r="CXY31" s="65"/>
      <c r="CXZ31" s="65"/>
      <c r="CYA31" s="65"/>
      <c r="CYB31" s="65"/>
      <c r="CYC31" s="65"/>
      <c r="CYD31" s="65"/>
      <c r="CYE31" s="65"/>
      <c r="CYF31" s="65"/>
      <c r="CYG31" s="65"/>
      <c r="CYH31" s="65"/>
      <c r="CYI31" s="65"/>
      <c r="CYJ31" s="65"/>
      <c r="CYK31" s="65"/>
      <c r="CYL31" s="65"/>
      <c r="CYM31" s="65"/>
      <c r="CYN31" s="65"/>
      <c r="CYO31" s="65"/>
      <c r="CYP31" s="65"/>
      <c r="CYQ31" s="65"/>
      <c r="CYR31" s="65"/>
      <c r="CYS31" s="65"/>
      <c r="CYT31" s="65"/>
      <c r="CYU31" s="65"/>
      <c r="CYV31" s="65"/>
      <c r="CYW31" s="65"/>
      <c r="CYX31" s="65"/>
      <c r="CYY31" s="65"/>
      <c r="CYZ31" s="65"/>
      <c r="CZA31" s="65"/>
      <c r="CZB31" s="65"/>
      <c r="CZC31" s="65"/>
      <c r="CZD31" s="65"/>
      <c r="CZE31" s="65"/>
      <c r="CZF31" s="65"/>
      <c r="CZG31" s="65"/>
      <c r="CZH31" s="65"/>
      <c r="CZI31" s="65"/>
      <c r="CZJ31" s="65"/>
      <c r="CZK31" s="65"/>
      <c r="CZL31" s="65"/>
      <c r="CZM31" s="65"/>
      <c r="CZN31" s="65"/>
      <c r="CZO31" s="65"/>
      <c r="CZP31" s="65"/>
      <c r="CZQ31" s="65"/>
      <c r="CZR31" s="65"/>
      <c r="CZS31" s="65"/>
      <c r="CZT31" s="65"/>
      <c r="CZU31" s="65"/>
      <c r="CZV31" s="65"/>
      <c r="CZW31" s="65"/>
      <c r="CZX31" s="65"/>
      <c r="CZY31" s="65"/>
      <c r="CZZ31" s="65"/>
      <c r="DAA31" s="65"/>
      <c r="DAB31" s="65"/>
      <c r="DAC31" s="65"/>
      <c r="DAD31" s="65"/>
      <c r="DAE31" s="65"/>
      <c r="DAF31" s="65"/>
      <c r="DAG31" s="65"/>
      <c r="DAH31" s="65"/>
      <c r="DAI31" s="65"/>
      <c r="DAJ31" s="65"/>
      <c r="DAK31" s="65"/>
      <c r="DAL31" s="65"/>
      <c r="DAM31" s="65"/>
      <c r="DAN31" s="65"/>
      <c r="DAO31" s="65"/>
      <c r="DAP31" s="65"/>
      <c r="DAQ31" s="65"/>
      <c r="DAR31" s="65"/>
      <c r="DAS31" s="65"/>
      <c r="DAT31" s="65"/>
      <c r="DAU31" s="65"/>
      <c r="DAV31" s="65"/>
      <c r="DAW31" s="65"/>
      <c r="DAX31" s="65"/>
      <c r="DAY31" s="65"/>
      <c r="DAZ31" s="65"/>
      <c r="DBA31" s="65"/>
      <c r="DBB31" s="65"/>
      <c r="DBC31" s="65"/>
      <c r="DBD31" s="65"/>
      <c r="DBE31" s="65"/>
      <c r="DBF31" s="65"/>
      <c r="DBG31" s="65"/>
      <c r="DBH31" s="65"/>
      <c r="DBI31" s="65"/>
      <c r="DBJ31" s="65"/>
      <c r="DBK31" s="65"/>
      <c r="DBL31" s="65"/>
      <c r="DBM31" s="65"/>
      <c r="DBN31" s="65"/>
      <c r="DBO31" s="65"/>
      <c r="DBP31" s="65"/>
      <c r="DBQ31" s="65"/>
      <c r="DBR31" s="65"/>
      <c r="DBS31" s="65"/>
      <c r="DBT31" s="65"/>
      <c r="DBU31" s="65"/>
      <c r="DBV31" s="65"/>
      <c r="DBW31" s="65"/>
      <c r="DBX31" s="65"/>
      <c r="DBY31" s="65"/>
      <c r="DBZ31" s="65"/>
      <c r="DCA31" s="65"/>
      <c r="DCB31" s="65"/>
      <c r="DCC31" s="65"/>
      <c r="DCD31" s="65"/>
      <c r="DCE31" s="65"/>
      <c r="DCF31" s="65"/>
      <c r="DCG31" s="65"/>
      <c r="DCH31" s="65"/>
      <c r="DCI31" s="65"/>
      <c r="DCJ31" s="65"/>
      <c r="DCK31" s="65"/>
      <c r="DCL31" s="65"/>
      <c r="DCM31" s="65"/>
      <c r="DCN31" s="65"/>
      <c r="DCO31" s="65"/>
      <c r="DCP31" s="65"/>
      <c r="DCQ31" s="65"/>
      <c r="DCR31" s="65"/>
      <c r="DCS31" s="65"/>
      <c r="DCT31" s="65"/>
      <c r="DCU31" s="65"/>
      <c r="DCV31" s="65"/>
      <c r="DCW31" s="65"/>
      <c r="DCX31" s="65"/>
      <c r="DCY31" s="65"/>
      <c r="DCZ31" s="65"/>
      <c r="DDA31" s="65"/>
      <c r="DDB31" s="65"/>
      <c r="DDC31" s="65"/>
      <c r="DDD31" s="65"/>
      <c r="DDE31" s="65"/>
      <c r="DDF31" s="65"/>
      <c r="DDG31" s="65"/>
      <c r="DDH31" s="65"/>
      <c r="DDI31" s="65"/>
      <c r="DDJ31" s="65"/>
      <c r="DDK31" s="65"/>
      <c r="DDL31" s="65"/>
      <c r="DDM31" s="65"/>
      <c r="DDN31" s="65"/>
      <c r="DDO31" s="65"/>
      <c r="DDP31" s="65"/>
      <c r="DDQ31" s="65"/>
      <c r="DDR31" s="65"/>
      <c r="DDS31" s="65"/>
      <c r="DDT31" s="65"/>
      <c r="DDU31" s="65"/>
      <c r="DDV31" s="65"/>
      <c r="DDW31" s="65"/>
      <c r="DDX31" s="65"/>
      <c r="DDY31" s="65"/>
      <c r="DDZ31" s="65"/>
      <c r="DEA31" s="65"/>
      <c r="DEB31" s="65"/>
      <c r="DEC31" s="65"/>
      <c r="DED31" s="65"/>
      <c r="DEE31" s="65"/>
      <c r="DEF31" s="65"/>
      <c r="DEG31" s="65"/>
      <c r="DEH31" s="65"/>
      <c r="DEI31" s="65"/>
      <c r="DEJ31" s="65"/>
      <c r="DEK31" s="65"/>
      <c r="DEL31" s="65"/>
      <c r="DEM31" s="65"/>
      <c r="DEN31" s="65"/>
      <c r="DEO31" s="65"/>
      <c r="DEP31" s="65"/>
      <c r="DEQ31" s="65"/>
      <c r="DER31" s="65"/>
      <c r="DES31" s="65"/>
      <c r="DET31" s="65"/>
      <c r="DEU31" s="65"/>
      <c r="DEV31" s="65"/>
      <c r="DEW31" s="65"/>
      <c r="DEX31" s="65"/>
      <c r="DEY31" s="65"/>
      <c r="DEZ31" s="65"/>
      <c r="DFA31" s="65"/>
      <c r="DFB31" s="65"/>
      <c r="DFC31" s="65"/>
      <c r="DFD31" s="65"/>
      <c r="DFE31" s="65"/>
      <c r="DFF31" s="65"/>
      <c r="DFG31" s="65"/>
      <c r="DFH31" s="65"/>
      <c r="DFI31" s="65"/>
      <c r="DFJ31" s="65"/>
      <c r="DFK31" s="65"/>
      <c r="DFL31" s="65"/>
      <c r="DFM31" s="65"/>
      <c r="DFN31" s="65"/>
      <c r="DFO31" s="65"/>
      <c r="DFP31" s="65"/>
      <c r="DFQ31" s="65"/>
      <c r="DFR31" s="65"/>
      <c r="DFS31" s="65"/>
      <c r="DFT31" s="65"/>
      <c r="DFU31" s="65"/>
      <c r="DFV31" s="65"/>
      <c r="DFW31" s="65"/>
      <c r="DFX31" s="65"/>
      <c r="DFY31" s="65"/>
      <c r="DFZ31" s="65"/>
      <c r="DGA31" s="65"/>
      <c r="DGB31" s="65"/>
      <c r="DGC31" s="65"/>
      <c r="DGD31" s="65"/>
      <c r="DGE31" s="65"/>
      <c r="DGF31" s="65"/>
      <c r="DGG31" s="65"/>
      <c r="DGH31" s="65"/>
      <c r="DGI31" s="65"/>
      <c r="DGJ31" s="65"/>
      <c r="DGK31" s="65"/>
      <c r="DGL31" s="65"/>
      <c r="DGM31" s="65"/>
      <c r="DGN31" s="65"/>
      <c r="DGO31" s="65"/>
      <c r="DGP31" s="65"/>
      <c r="DGQ31" s="65"/>
      <c r="DGR31" s="65"/>
      <c r="DGS31" s="65"/>
      <c r="DGT31" s="65"/>
      <c r="DGU31" s="65"/>
      <c r="DGV31" s="65"/>
      <c r="DGW31" s="65"/>
      <c r="DGX31" s="65"/>
      <c r="DGY31" s="65"/>
      <c r="DGZ31" s="65"/>
      <c r="DHA31" s="65"/>
      <c r="DHB31" s="65"/>
      <c r="DHC31" s="65"/>
      <c r="DHD31" s="65"/>
      <c r="DHE31" s="65"/>
      <c r="DHF31" s="65"/>
      <c r="DHG31" s="65"/>
      <c r="DHH31" s="65"/>
      <c r="DHI31" s="65"/>
      <c r="DHJ31" s="65"/>
      <c r="DHK31" s="65"/>
      <c r="DHL31" s="65"/>
      <c r="DHM31" s="65"/>
      <c r="DHN31" s="65"/>
      <c r="DHO31" s="65"/>
      <c r="DHP31" s="65"/>
      <c r="DHQ31" s="65"/>
      <c r="DHR31" s="65"/>
      <c r="DHS31" s="65"/>
      <c r="DHT31" s="65"/>
      <c r="DHU31" s="65"/>
      <c r="DHV31" s="65"/>
      <c r="DHW31" s="65"/>
      <c r="DHX31" s="65"/>
      <c r="DHY31" s="65"/>
      <c r="DHZ31" s="65"/>
      <c r="DIA31" s="65"/>
      <c r="DIB31" s="65"/>
      <c r="DIC31" s="65"/>
      <c r="DID31" s="65"/>
      <c r="DIE31" s="65"/>
      <c r="DIF31" s="65"/>
      <c r="DIG31" s="65"/>
      <c r="DIH31" s="65"/>
      <c r="DII31" s="65"/>
      <c r="DIJ31" s="65"/>
      <c r="DIK31" s="65"/>
      <c r="DIL31" s="65"/>
      <c r="DIM31" s="65"/>
      <c r="DIN31" s="65"/>
      <c r="DIO31" s="65"/>
      <c r="DIP31" s="65"/>
      <c r="DIQ31" s="65"/>
      <c r="DIR31" s="65"/>
      <c r="DIS31" s="65"/>
      <c r="DIT31" s="65"/>
      <c r="DIU31" s="65"/>
      <c r="DIV31" s="65"/>
      <c r="DIW31" s="65"/>
      <c r="DIX31" s="65"/>
      <c r="DIY31" s="65"/>
      <c r="DIZ31" s="65"/>
      <c r="DJA31" s="65"/>
      <c r="DJB31" s="65"/>
      <c r="DJC31" s="65"/>
      <c r="DJD31" s="65"/>
      <c r="DJE31" s="65"/>
      <c r="DJF31" s="65"/>
      <c r="DJG31" s="65"/>
      <c r="DJH31" s="65"/>
      <c r="DJI31" s="65"/>
      <c r="DJJ31" s="65"/>
      <c r="DJK31" s="65"/>
      <c r="DJL31" s="65"/>
      <c r="DJM31" s="65"/>
      <c r="DJN31" s="65"/>
      <c r="DJO31" s="65"/>
      <c r="DJP31" s="65"/>
      <c r="DJQ31" s="65"/>
      <c r="DJR31" s="65"/>
      <c r="DJS31" s="65"/>
      <c r="DJT31" s="65"/>
      <c r="DJU31" s="65"/>
      <c r="DJV31" s="65"/>
      <c r="DJW31" s="65"/>
      <c r="DJX31" s="65"/>
      <c r="DJY31" s="65"/>
      <c r="DJZ31" s="65"/>
      <c r="DKA31" s="65"/>
      <c r="DKB31" s="65"/>
      <c r="DKC31" s="65"/>
      <c r="DKD31" s="65"/>
      <c r="DKE31" s="65"/>
      <c r="DKF31" s="65"/>
      <c r="DKG31" s="65"/>
      <c r="DKH31" s="65"/>
      <c r="DKI31" s="65"/>
      <c r="DKJ31" s="65"/>
      <c r="DKK31" s="65"/>
      <c r="DKL31" s="65"/>
      <c r="DKM31" s="65"/>
      <c r="DKN31" s="65"/>
      <c r="DKO31" s="65"/>
      <c r="DKP31" s="65"/>
      <c r="DKQ31" s="65"/>
      <c r="DKR31" s="65"/>
      <c r="DKS31" s="65"/>
      <c r="DKT31" s="65"/>
      <c r="DKU31" s="65"/>
      <c r="DKV31" s="65"/>
      <c r="DKW31" s="65"/>
      <c r="DKX31" s="65"/>
      <c r="DKY31" s="65"/>
      <c r="DKZ31" s="65"/>
      <c r="DLA31" s="65"/>
      <c r="DLB31" s="65"/>
      <c r="DLC31" s="65"/>
      <c r="DLD31" s="65"/>
      <c r="DLE31" s="65"/>
      <c r="DLF31" s="65"/>
      <c r="DLG31" s="65"/>
      <c r="DLH31" s="65"/>
      <c r="DLI31" s="65"/>
      <c r="DLJ31" s="65"/>
      <c r="DLK31" s="65"/>
      <c r="DLL31" s="65"/>
      <c r="DLM31" s="65"/>
      <c r="DLN31" s="65"/>
      <c r="DLO31" s="65"/>
      <c r="DLP31" s="65"/>
      <c r="DLQ31" s="65"/>
      <c r="DLR31" s="65"/>
      <c r="DLS31" s="65"/>
      <c r="DLT31" s="65"/>
      <c r="DLU31" s="65"/>
      <c r="DLV31" s="65"/>
      <c r="DLW31" s="65"/>
      <c r="DLX31" s="65"/>
      <c r="DLY31" s="65"/>
      <c r="DLZ31" s="65"/>
      <c r="DMA31" s="65"/>
      <c r="DMB31" s="65"/>
      <c r="DMC31" s="65"/>
      <c r="DMD31" s="65"/>
      <c r="DME31" s="65"/>
      <c r="DMF31" s="65"/>
      <c r="DMG31" s="65"/>
      <c r="DMH31" s="65"/>
      <c r="DMI31" s="65"/>
      <c r="DMJ31" s="65"/>
      <c r="DMK31" s="65"/>
      <c r="DML31" s="65"/>
      <c r="DMM31" s="65"/>
      <c r="DMN31" s="65"/>
      <c r="DMO31" s="65"/>
      <c r="DMP31" s="65"/>
      <c r="DMQ31" s="65"/>
      <c r="DMR31" s="65"/>
      <c r="DMS31" s="65"/>
      <c r="DMT31" s="65"/>
      <c r="DMU31" s="65"/>
      <c r="DMV31" s="65"/>
      <c r="DMW31" s="65"/>
      <c r="DMX31" s="65"/>
      <c r="DMY31" s="65"/>
      <c r="DMZ31" s="65"/>
      <c r="DNA31" s="65"/>
      <c r="DNB31" s="65"/>
      <c r="DNC31" s="65"/>
      <c r="DND31" s="65"/>
      <c r="DNE31" s="65"/>
      <c r="DNF31" s="65"/>
      <c r="DNG31" s="65"/>
      <c r="DNH31" s="65"/>
      <c r="DNI31" s="65"/>
      <c r="DNJ31" s="65"/>
      <c r="DNK31" s="65"/>
      <c r="DNL31" s="65"/>
      <c r="DNM31" s="65"/>
      <c r="DNN31" s="65"/>
      <c r="DNO31" s="65"/>
      <c r="DNP31" s="65"/>
      <c r="DNQ31" s="65"/>
      <c r="DNR31" s="65"/>
      <c r="DNS31" s="65"/>
      <c r="DNT31" s="65"/>
      <c r="DNU31" s="65"/>
      <c r="DNV31" s="65"/>
      <c r="DNW31" s="65"/>
      <c r="DNX31" s="65"/>
      <c r="DNY31" s="65"/>
      <c r="DNZ31" s="65"/>
      <c r="DOA31" s="65"/>
      <c r="DOB31" s="65"/>
      <c r="DOC31" s="65"/>
      <c r="DOD31" s="65"/>
      <c r="DOE31" s="65"/>
      <c r="DOF31" s="65"/>
      <c r="DOG31" s="65"/>
      <c r="DOH31" s="65"/>
      <c r="DOI31" s="65"/>
      <c r="DOJ31" s="65"/>
      <c r="DOK31" s="65"/>
      <c r="DOL31" s="65"/>
      <c r="DOM31" s="65"/>
      <c r="DON31" s="65"/>
      <c r="DOO31" s="65"/>
      <c r="DOP31" s="65"/>
      <c r="DOQ31" s="65"/>
      <c r="DOR31" s="65"/>
      <c r="DOS31" s="65"/>
      <c r="DOT31" s="65"/>
      <c r="DOU31" s="65"/>
      <c r="DOV31" s="65"/>
      <c r="DOW31" s="65"/>
      <c r="DOX31" s="65"/>
      <c r="DOY31" s="65"/>
      <c r="DOZ31" s="65"/>
      <c r="DPA31" s="65"/>
      <c r="DPB31" s="65"/>
      <c r="DPC31" s="65"/>
      <c r="DPD31" s="65"/>
      <c r="DPE31" s="65"/>
      <c r="DPF31" s="65"/>
      <c r="DPG31" s="65"/>
      <c r="DPH31" s="65"/>
      <c r="DPI31" s="65"/>
      <c r="DPJ31" s="65"/>
      <c r="DPK31" s="65"/>
      <c r="DPL31" s="65"/>
      <c r="DPM31" s="65"/>
      <c r="DPN31" s="65"/>
      <c r="DPO31" s="65"/>
      <c r="DPP31" s="65"/>
      <c r="DPQ31" s="65"/>
      <c r="DPR31" s="65"/>
      <c r="DPS31" s="65"/>
      <c r="DPT31" s="65"/>
      <c r="DPU31" s="65"/>
      <c r="DPV31" s="65"/>
      <c r="DPW31" s="65"/>
      <c r="DPX31" s="65"/>
      <c r="DPY31" s="65"/>
      <c r="DPZ31" s="65"/>
      <c r="DQA31" s="65"/>
      <c r="DQB31" s="65"/>
      <c r="DQC31" s="65"/>
      <c r="DQD31" s="65"/>
      <c r="DQE31" s="65"/>
      <c r="DQF31" s="65"/>
      <c r="DQG31" s="65"/>
      <c r="DQH31" s="65"/>
      <c r="DQI31" s="65"/>
      <c r="DQJ31" s="65"/>
      <c r="DQK31" s="65"/>
      <c r="DQL31" s="65"/>
      <c r="DQM31" s="65"/>
      <c r="DQN31" s="65"/>
      <c r="DQO31" s="65"/>
      <c r="DQP31" s="65"/>
      <c r="DQQ31" s="65"/>
      <c r="DQR31" s="65"/>
      <c r="DQS31" s="65"/>
      <c r="DQT31" s="65"/>
      <c r="DQU31" s="65"/>
      <c r="DQV31" s="65"/>
      <c r="DQW31" s="65"/>
      <c r="DQX31" s="65"/>
      <c r="DQY31" s="65"/>
      <c r="DQZ31" s="65"/>
      <c r="DRA31" s="65"/>
      <c r="DRB31" s="65"/>
      <c r="DRC31" s="65"/>
      <c r="DRD31" s="65"/>
      <c r="DRE31" s="65"/>
      <c r="DRF31" s="65"/>
      <c r="DRG31" s="65"/>
      <c r="DRH31" s="65"/>
      <c r="DRI31" s="65"/>
      <c r="DRJ31" s="65"/>
      <c r="DRK31" s="65"/>
      <c r="DRL31" s="65"/>
      <c r="DRM31" s="65"/>
      <c r="DRN31" s="65"/>
      <c r="DRO31" s="65"/>
      <c r="DRP31" s="65"/>
      <c r="DRQ31" s="65"/>
      <c r="DRR31" s="65"/>
      <c r="DRS31" s="65"/>
      <c r="DRT31" s="65"/>
      <c r="DRU31" s="65"/>
      <c r="DRV31" s="65"/>
      <c r="DRW31" s="65"/>
      <c r="DRX31" s="65"/>
      <c r="DRY31" s="65"/>
      <c r="DRZ31" s="65"/>
      <c r="DSA31" s="65"/>
      <c r="DSB31" s="65"/>
      <c r="DSC31" s="65"/>
      <c r="DSD31" s="65"/>
      <c r="DSE31" s="65"/>
      <c r="DSF31" s="65"/>
      <c r="DSG31" s="65"/>
      <c r="DSH31" s="65"/>
      <c r="DSI31" s="65"/>
      <c r="DSJ31" s="65"/>
      <c r="DSK31" s="65"/>
      <c r="DSL31" s="65"/>
      <c r="DSM31" s="65"/>
      <c r="DSN31" s="65"/>
      <c r="DSO31" s="65"/>
      <c r="DSP31" s="65"/>
      <c r="DSQ31" s="65"/>
      <c r="DSR31" s="65"/>
      <c r="DSS31" s="65"/>
      <c r="DST31" s="65"/>
      <c r="DSU31" s="65"/>
      <c r="DSV31" s="65"/>
      <c r="DSW31" s="65"/>
      <c r="DSX31" s="65"/>
      <c r="DSY31" s="65"/>
      <c r="DSZ31" s="65"/>
      <c r="DTA31" s="65"/>
      <c r="DTB31" s="65"/>
      <c r="DTC31" s="65"/>
      <c r="DTD31" s="65"/>
      <c r="DTE31" s="65"/>
      <c r="DTF31" s="65"/>
      <c r="DTG31" s="65"/>
      <c r="DTH31" s="65"/>
      <c r="DTI31" s="65"/>
      <c r="DTJ31" s="65"/>
      <c r="DTK31" s="65"/>
      <c r="DTL31" s="65"/>
      <c r="DTM31" s="65"/>
      <c r="DTN31" s="65"/>
      <c r="DTO31" s="65"/>
      <c r="DTP31" s="65"/>
      <c r="DTQ31" s="65"/>
      <c r="DTR31" s="65"/>
      <c r="DTS31" s="65"/>
      <c r="DTT31" s="65"/>
      <c r="DTU31" s="65"/>
      <c r="DTV31" s="65"/>
      <c r="DTW31" s="65"/>
      <c r="DTX31" s="65"/>
      <c r="DTY31" s="65"/>
      <c r="DTZ31" s="65"/>
      <c r="DUA31" s="65"/>
      <c r="DUB31" s="65"/>
      <c r="DUC31" s="65"/>
      <c r="DUD31" s="65"/>
      <c r="DUE31" s="65"/>
      <c r="DUF31" s="65"/>
      <c r="DUG31" s="65"/>
      <c r="DUH31" s="65"/>
      <c r="DUI31" s="65"/>
      <c r="DUJ31" s="65"/>
      <c r="DUK31" s="65"/>
      <c r="DUL31" s="65"/>
      <c r="DUM31" s="65"/>
      <c r="DUN31" s="65"/>
      <c r="DUO31" s="65"/>
      <c r="DUP31" s="65"/>
      <c r="DUQ31" s="65"/>
      <c r="DUR31" s="65"/>
      <c r="DUS31" s="65"/>
      <c r="DUT31" s="65"/>
      <c r="DUU31" s="65"/>
      <c r="DUV31" s="65"/>
      <c r="DUW31" s="65"/>
      <c r="DUX31" s="65"/>
      <c r="DUY31" s="65"/>
      <c r="DUZ31" s="65"/>
      <c r="DVA31" s="65"/>
      <c r="DVB31" s="65"/>
      <c r="DVC31" s="65"/>
      <c r="DVD31" s="65"/>
      <c r="DVE31" s="65"/>
      <c r="DVF31" s="65"/>
      <c r="DVG31" s="65"/>
      <c r="DVH31" s="65"/>
      <c r="DVI31" s="65"/>
      <c r="DVJ31" s="65"/>
      <c r="DVK31" s="65"/>
      <c r="DVL31" s="65"/>
      <c r="DVM31" s="65"/>
      <c r="DVN31" s="65"/>
      <c r="DVO31" s="65"/>
      <c r="DVP31" s="65"/>
      <c r="DVQ31" s="65"/>
      <c r="DVR31" s="65"/>
      <c r="DVS31" s="65"/>
      <c r="DVT31" s="65"/>
      <c r="DVU31" s="65"/>
      <c r="DVV31" s="65"/>
      <c r="DVW31" s="65"/>
      <c r="DVX31" s="65"/>
      <c r="DVY31" s="65"/>
      <c r="DVZ31" s="65"/>
      <c r="DWA31" s="65"/>
      <c r="DWB31" s="65"/>
      <c r="DWC31" s="65"/>
      <c r="DWD31" s="65"/>
      <c r="DWE31" s="65"/>
      <c r="DWF31" s="65"/>
      <c r="DWG31" s="65"/>
      <c r="DWH31" s="65"/>
      <c r="DWI31" s="65"/>
      <c r="DWJ31" s="65"/>
      <c r="DWK31" s="65"/>
      <c r="DWL31" s="65"/>
      <c r="DWM31" s="65"/>
      <c r="DWN31" s="65"/>
      <c r="DWO31" s="65"/>
      <c r="DWP31" s="65"/>
      <c r="DWQ31" s="65"/>
      <c r="DWR31" s="65"/>
      <c r="DWS31" s="65"/>
      <c r="DWT31" s="65"/>
      <c r="DWU31" s="65"/>
      <c r="DWV31" s="65"/>
      <c r="DWW31" s="65"/>
      <c r="DWX31" s="65"/>
      <c r="DWY31" s="65"/>
      <c r="DWZ31" s="65"/>
      <c r="DXA31" s="65"/>
      <c r="DXB31" s="65"/>
      <c r="DXC31" s="65"/>
      <c r="DXD31" s="65"/>
      <c r="DXE31" s="65"/>
      <c r="DXF31" s="65"/>
      <c r="DXG31" s="65"/>
      <c r="DXH31" s="65"/>
      <c r="DXI31" s="65"/>
      <c r="DXJ31" s="65"/>
      <c r="DXK31" s="65"/>
      <c r="DXL31" s="65"/>
      <c r="DXM31" s="65"/>
      <c r="DXN31" s="65"/>
      <c r="DXO31" s="65"/>
      <c r="DXP31" s="65"/>
      <c r="DXQ31" s="65"/>
      <c r="DXR31" s="65"/>
      <c r="DXS31" s="65"/>
      <c r="DXT31" s="65"/>
      <c r="DXU31" s="65"/>
      <c r="DXV31" s="65"/>
      <c r="DXW31" s="65"/>
      <c r="DXX31" s="65"/>
      <c r="DXY31" s="65"/>
      <c r="DXZ31" s="65"/>
      <c r="DYA31" s="65"/>
      <c r="DYB31" s="65"/>
      <c r="DYC31" s="65"/>
      <c r="DYD31" s="65"/>
      <c r="DYE31" s="65"/>
      <c r="DYF31" s="65"/>
      <c r="DYG31" s="65"/>
      <c r="DYH31" s="65"/>
      <c r="DYI31" s="65"/>
      <c r="DYJ31" s="65"/>
      <c r="DYK31" s="65"/>
      <c r="DYL31" s="65"/>
      <c r="DYM31" s="65"/>
      <c r="DYN31" s="65"/>
      <c r="DYO31" s="65"/>
      <c r="DYP31" s="65"/>
      <c r="DYQ31" s="65"/>
      <c r="DYR31" s="65"/>
      <c r="DYS31" s="65"/>
      <c r="DYT31" s="65"/>
      <c r="DYU31" s="65"/>
      <c r="DYV31" s="65"/>
      <c r="DYW31" s="65"/>
      <c r="DYX31" s="65"/>
      <c r="DYY31" s="65"/>
      <c r="DYZ31" s="65"/>
      <c r="DZA31" s="65"/>
      <c r="DZB31" s="65"/>
      <c r="DZC31" s="65"/>
      <c r="DZD31" s="65"/>
      <c r="DZE31" s="65"/>
      <c r="DZF31" s="65"/>
      <c r="DZG31" s="65"/>
      <c r="DZH31" s="65"/>
      <c r="DZI31" s="65"/>
      <c r="DZJ31" s="65"/>
      <c r="DZK31" s="65"/>
      <c r="DZL31" s="65"/>
      <c r="DZM31" s="65"/>
      <c r="DZN31" s="65"/>
      <c r="DZO31" s="65"/>
      <c r="DZP31" s="65"/>
      <c r="DZQ31" s="65"/>
      <c r="DZR31" s="65"/>
      <c r="DZS31" s="65"/>
      <c r="DZT31" s="65"/>
      <c r="DZU31" s="65"/>
      <c r="DZV31" s="65"/>
      <c r="DZW31" s="65"/>
      <c r="DZX31" s="65"/>
      <c r="DZY31" s="65"/>
      <c r="DZZ31" s="65"/>
      <c r="EAA31" s="65"/>
      <c r="EAB31" s="65"/>
      <c r="EAC31" s="65"/>
      <c r="EAD31" s="65"/>
      <c r="EAE31" s="65"/>
      <c r="EAF31" s="65"/>
      <c r="EAG31" s="65"/>
      <c r="EAH31" s="65"/>
      <c r="EAI31" s="65"/>
      <c r="EAJ31" s="65"/>
      <c r="EAK31" s="65"/>
      <c r="EAL31" s="65"/>
      <c r="EAM31" s="65"/>
      <c r="EAN31" s="65"/>
      <c r="EAO31" s="65"/>
      <c r="EAP31" s="65"/>
      <c r="EAQ31" s="65"/>
      <c r="EAR31" s="65"/>
      <c r="EAS31" s="65"/>
      <c r="EAT31" s="65"/>
      <c r="EAU31" s="65"/>
      <c r="EAV31" s="65"/>
      <c r="EAW31" s="65"/>
      <c r="EAX31" s="65"/>
      <c r="EAY31" s="65"/>
      <c r="EAZ31" s="65"/>
      <c r="EBA31" s="65"/>
      <c r="EBB31" s="65"/>
      <c r="EBC31" s="65"/>
      <c r="EBD31" s="65"/>
      <c r="EBE31" s="65"/>
      <c r="EBF31" s="65"/>
      <c r="EBG31" s="65"/>
      <c r="EBH31" s="65"/>
      <c r="EBI31" s="65"/>
      <c r="EBJ31" s="65"/>
      <c r="EBK31" s="65"/>
      <c r="EBL31" s="65"/>
      <c r="EBM31" s="65"/>
      <c r="EBN31" s="65"/>
      <c r="EBO31" s="65"/>
      <c r="EBP31" s="65"/>
      <c r="EBQ31" s="65"/>
      <c r="EBR31" s="65"/>
      <c r="EBS31" s="65"/>
      <c r="EBT31" s="65"/>
      <c r="EBU31" s="65"/>
      <c r="EBV31" s="65"/>
      <c r="EBW31" s="65"/>
      <c r="EBX31" s="65"/>
      <c r="EBY31" s="65"/>
      <c r="EBZ31" s="65"/>
      <c r="ECA31" s="65"/>
      <c r="ECB31" s="65"/>
      <c r="ECC31" s="65"/>
      <c r="ECD31" s="65"/>
      <c r="ECE31" s="65"/>
      <c r="ECF31" s="65"/>
      <c r="ECG31" s="65"/>
      <c r="ECH31" s="65"/>
      <c r="ECI31" s="65"/>
      <c r="ECJ31" s="65"/>
      <c r="ECK31" s="65"/>
      <c r="ECL31" s="65"/>
      <c r="ECM31" s="65"/>
      <c r="ECN31" s="65"/>
      <c r="ECO31" s="65"/>
      <c r="ECP31" s="65"/>
      <c r="ECQ31" s="65"/>
      <c r="ECR31" s="65"/>
      <c r="ECS31" s="65"/>
      <c r="ECT31" s="65"/>
      <c r="ECU31" s="65"/>
      <c r="ECV31" s="65"/>
      <c r="ECW31" s="65"/>
      <c r="ECX31" s="65"/>
      <c r="ECY31" s="65"/>
      <c r="ECZ31" s="65"/>
      <c r="EDA31" s="65"/>
      <c r="EDB31" s="65"/>
      <c r="EDC31" s="65"/>
      <c r="EDD31" s="65"/>
      <c r="EDE31" s="65"/>
      <c r="EDF31" s="65"/>
      <c r="EDG31" s="65"/>
      <c r="EDH31" s="65"/>
      <c r="EDI31" s="65"/>
      <c r="EDJ31" s="65"/>
      <c r="EDK31" s="65"/>
      <c r="EDL31" s="65"/>
      <c r="EDM31" s="65"/>
      <c r="EDN31" s="65"/>
      <c r="EDO31" s="65"/>
      <c r="EDP31" s="65"/>
      <c r="EDQ31" s="65"/>
      <c r="EDR31" s="65"/>
      <c r="EDS31" s="65"/>
      <c r="EDT31" s="65"/>
      <c r="EDU31" s="65"/>
      <c r="EDV31" s="65"/>
      <c r="EDW31" s="65"/>
      <c r="EDX31" s="65"/>
      <c r="EDY31" s="65"/>
      <c r="EDZ31" s="65"/>
      <c r="EEA31" s="65"/>
      <c r="EEB31" s="65"/>
      <c r="EEC31" s="65"/>
      <c r="EED31" s="65"/>
      <c r="EEE31" s="65"/>
      <c r="EEF31" s="65"/>
      <c r="EEG31" s="65"/>
      <c r="EEH31" s="65"/>
      <c r="EEI31" s="65"/>
      <c r="EEJ31" s="65"/>
      <c r="EEK31" s="65"/>
      <c r="EEL31" s="65"/>
      <c r="EEM31" s="65"/>
      <c r="EEN31" s="65"/>
      <c r="EEO31" s="65"/>
      <c r="EEP31" s="65"/>
      <c r="EEQ31" s="65"/>
      <c r="EER31" s="65"/>
      <c r="EES31" s="65"/>
      <c r="EET31" s="65"/>
      <c r="EEU31" s="65"/>
      <c r="EEV31" s="65"/>
      <c r="EEW31" s="65"/>
      <c r="EEX31" s="65"/>
      <c r="EEY31" s="65"/>
      <c r="EEZ31" s="65"/>
      <c r="EFA31" s="65"/>
      <c r="EFB31" s="65"/>
      <c r="EFC31" s="65"/>
      <c r="EFD31" s="65"/>
      <c r="EFE31" s="65"/>
      <c r="EFF31" s="65"/>
      <c r="EFG31" s="65"/>
      <c r="EFH31" s="65"/>
      <c r="EFI31" s="65"/>
      <c r="EFJ31" s="65"/>
      <c r="EFK31" s="65"/>
      <c r="EFL31" s="65"/>
      <c r="EFM31" s="65"/>
      <c r="EFN31" s="65"/>
      <c r="EFO31" s="65"/>
      <c r="EFP31" s="65"/>
      <c r="EFQ31" s="65"/>
      <c r="EFR31" s="65"/>
      <c r="EFS31" s="65"/>
      <c r="EFT31" s="65"/>
      <c r="EFU31" s="65"/>
      <c r="EFV31" s="65"/>
      <c r="EFW31" s="65"/>
      <c r="EFX31" s="65"/>
      <c r="EFY31" s="65"/>
      <c r="EFZ31" s="65"/>
      <c r="EGA31" s="65"/>
      <c r="EGB31" s="65"/>
      <c r="EGC31" s="65"/>
      <c r="EGD31" s="65"/>
      <c r="EGE31" s="65"/>
      <c r="EGF31" s="65"/>
      <c r="EGG31" s="65"/>
      <c r="EGH31" s="65"/>
      <c r="EGI31" s="65"/>
      <c r="EGJ31" s="65"/>
      <c r="EGK31" s="65"/>
      <c r="EGL31" s="65"/>
      <c r="EGM31" s="65"/>
      <c r="EGN31" s="65"/>
      <c r="EGO31" s="65"/>
      <c r="EGP31" s="65"/>
      <c r="EGQ31" s="65"/>
      <c r="EGR31" s="65"/>
      <c r="EGS31" s="65"/>
      <c r="EGT31" s="65"/>
      <c r="EGU31" s="65"/>
      <c r="EGV31" s="65"/>
      <c r="EGW31" s="65"/>
      <c r="EGX31" s="65"/>
      <c r="EGY31" s="65"/>
      <c r="EGZ31" s="65"/>
      <c r="EHA31" s="65"/>
      <c r="EHB31" s="65"/>
      <c r="EHC31" s="65"/>
      <c r="EHD31" s="65"/>
      <c r="EHE31" s="65"/>
      <c r="EHF31" s="65"/>
      <c r="EHG31" s="65"/>
      <c r="EHH31" s="65"/>
      <c r="EHI31" s="65"/>
      <c r="EHJ31" s="65"/>
      <c r="EHK31" s="65"/>
      <c r="EHL31" s="65"/>
      <c r="EHM31" s="65"/>
      <c r="EHN31" s="65"/>
      <c r="EHO31" s="65"/>
      <c r="EHP31" s="65"/>
      <c r="EHQ31" s="65"/>
      <c r="EHR31" s="65"/>
      <c r="EHS31" s="65"/>
      <c r="EHT31" s="65"/>
      <c r="EHU31" s="65"/>
      <c r="EHV31" s="65"/>
      <c r="EHW31" s="65"/>
      <c r="EHX31" s="65"/>
      <c r="EHY31" s="65"/>
      <c r="EHZ31" s="65"/>
      <c r="EIA31" s="65"/>
      <c r="EIB31" s="65"/>
      <c r="EIC31" s="65"/>
      <c r="EID31" s="65"/>
      <c r="EIE31" s="65"/>
      <c r="EIF31" s="65"/>
      <c r="EIG31" s="65"/>
      <c r="EIH31" s="65"/>
      <c r="EII31" s="65"/>
      <c r="EIJ31" s="65"/>
      <c r="EIK31" s="65"/>
      <c r="EIL31" s="65"/>
      <c r="EIM31" s="65"/>
      <c r="EIN31" s="65"/>
      <c r="EIO31" s="65"/>
      <c r="EIP31" s="65"/>
      <c r="EIQ31" s="65"/>
      <c r="EIR31" s="65"/>
      <c r="EIS31" s="65"/>
      <c r="EIT31" s="65"/>
      <c r="EIU31" s="65"/>
      <c r="EIV31" s="65"/>
      <c r="EIW31" s="65"/>
      <c r="EIX31" s="65"/>
      <c r="EIY31" s="65"/>
      <c r="EIZ31" s="65"/>
      <c r="EJA31" s="65"/>
      <c r="EJB31" s="65"/>
      <c r="EJC31" s="65"/>
      <c r="EJD31" s="65"/>
      <c r="EJE31" s="65"/>
      <c r="EJF31" s="65"/>
      <c r="EJG31" s="65"/>
      <c r="EJH31" s="65"/>
      <c r="EJI31" s="65"/>
      <c r="EJJ31" s="65"/>
      <c r="EJK31" s="65"/>
      <c r="EJL31" s="65"/>
      <c r="EJM31" s="65"/>
      <c r="EJN31" s="65"/>
      <c r="EJO31" s="65"/>
      <c r="EJP31" s="65"/>
      <c r="EJQ31" s="65"/>
      <c r="EJR31" s="65"/>
      <c r="EJS31" s="65"/>
      <c r="EJT31" s="65"/>
      <c r="EJU31" s="65"/>
      <c r="EJV31" s="65"/>
      <c r="EJW31" s="65"/>
      <c r="EJX31" s="65"/>
      <c r="EJY31" s="65"/>
      <c r="EJZ31" s="65"/>
      <c r="EKA31" s="65"/>
      <c r="EKB31" s="65"/>
      <c r="EKC31" s="65"/>
      <c r="EKD31" s="65"/>
      <c r="EKE31" s="65"/>
      <c r="EKF31" s="65"/>
      <c r="EKG31" s="65"/>
      <c r="EKH31" s="65"/>
      <c r="EKI31" s="65"/>
      <c r="EKJ31" s="65"/>
      <c r="EKK31" s="65"/>
      <c r="EKL31" s="65"/>
      <c r="EKM31" s="65"/>
      <c r="EKN31" s="65"/>
      <c r="EKO31" s="65"/>
      <c r="EKP31" s="65"/>
      <c r="EKQ31" s="65"/>
      <c r="EKR31" s="65"/>
      <c r="EKS31" s="65"/>
      <c r="EKT31" s="65"/>
      <c r="EKU31" s="65"/>
      <c r="EKV31" s="65"/>
      <c r="EKW31" s="65"/>
      <c r="EKX31" s="65"/>
      <c r="EKY31" s="65"/>
      <c r="EKZ31" s="65"/>
      <c r="ELA31" s="65"/>
      <c r="ELB31" s="65"/>
      <c r="ELC31" s="65"/>
      <c r="ELD31" s="65"/>
      <c r="ELE31" s="65"/>
      <c r="ELF31" s="65"/>
      <c r="ELG31" s="65"/>
      <c r="ELH31" s="65"/>
      <c r="ELI31" s="65"/>
      <c r="ELJ31" s="65"/>
      <c r="ELK31" s="65"/>
      <c r="ELL31" s="65"/>
      <c r="ELM31" s="65"/>
      <c r="ELN31" s="65"/>
      <c r="ELO31" s="65"/>
      <c r="ELP31" s="65"/>
      <c r="ELQ31" s="65"/>
      <c r="ELR31" s="65"/>
      <c r="ELS31" s="65"/>
      <c r="ELT31" s="65"/>
      <c r="ELU31" s="65"/>
      <c r="ELV31" s="65"/>
      <c r="ELW31" s="65"/>
      <c r="ELX31" s="65"/>
      <c r="ELY31" s="65"/>
      <c r="ELZ31" s="65"/>
      <c r="EMA31" s="65"/>
      <c r="EMB31" s="65"/>
      <c r="EMC31" s="65"/>
      <c r="EMD31" s="65"/>
      <c r="EME31" s="65"/>
      <c r="EMF31" s="65"/>
      <c r="EMG31" s="65"/>
      <c r="EMH31" s="65"/>
      <c r="EMI31" s="65"/>
      <c r="EMJ31" s="65"/>
      <c r="EMK31" s="65"/>
      <c r="EML31" s="65"/>
      <c r="EMM31" s="65"/>
      <c r="EMN31" s="65"/>
      <c r="EMO31" s="65"/>
      <c r="EMP31" s="65"/>
      <c r="EMQ31" s="65"/>
      <c r="EMR31" s="65"/>
      <c r="EMS31" s="65"/>
      <c r="EMT31" s="65"/>
      <c r="EMU31" s="65"/>
      <c r="EMV31" s="65"/>
      <c r="EMW31" s="65"/>
      <c r="EMX31" s="65"/>
      <c r="EMY31" s="65"/>
      <c r="EMZ31" s="65"/>
      <c r="ENA31" s="65"/>
      <c r="ENB31" s="65"/>
      <c r="ENC31" s="65"/>
      <c r="END31" s="65"/>
      <c r="ENE31" s="65"/>
      <c r="ENF31" s="65"/>
      <c r="ENG31" s="65"/>
      <c r="ENH31" s="65"/>
      <c r="ENI31" s="65"/>
      <c r="ENJ31" s="65"/>
      <c r="ENK31" s="65"/>
      <c r="ENL31" s="65"/>
      <c r="ENM31" s="65"/>
      <c r="ENN31" s="65"/>
      <c r="ENO31" s="65"/>
      <c r="ENP31" s="65"/>
      <c r="ENQ31" s="65"/>
      <c r="ENR31" s="65"/>
      <c r="ENS31" s="65"/>
      <c r="ENT31" s="65"/>
      <c r="ENU31" s="65"/>
      <c r="ENV31" s="65"/>
      <c r="ENW31" s="65"/>
      <c r="ENX31" s="65"/>
      <c r="ENY31" s="65"/>
      <c r="ENZ31" s="65"/>
      <c r="EOA31" s="65"/>
      <c r="EOB31" s="65"/>
      <c r="EOC31" s="65"/>
      <c r="EOD31" s="65"/>
      <c r="EOE31" s="65"/>
      <c r="EOF31" s="65"/>
      <c r="EOG31" s="65"/>
      <c r="EOH31" s="65"/>
      <c r="EOI31" s="65"/>
      <c r="EOJ31" s="65"/>
      <c r="EOK31" s="65"/>
      <c r="EOL31" s="65"/>
      <c r="EOM31" s="65"/>
      <c r="EON31" s="65"/>
      <c r="EOO31" s="65"/>
      <c r="EOP31" s="65"/>
      <c r="EOQ31" s="65"/>
      <c r="EOR31" s="65"/>
      <c r="EOS31" s="65"/>
      <c r="EOT31" s="65"/>
      <c r="EOU31" s="65"/>
      <c r="EOV31" s="65"/>
      <c r="EOW31" s="65"/>
      <c r="EOX31" s="65"/>
      <c r="EOY31" s="65"/>
      <c r="EOZ31" s="65"/>
      <c r="EPA31" s="65"/>
      <c r="EPB31" s="65"/>
      <c r="EPC31" s="65"/>
      <c r="EPD31" s="65"/>
      <c r="EPE31" s="65"/>
      <c r="EPF31" s="65"/>
      <c r="EPG31" s="65"/>
      <c r="EPH31" s="65"/>
      <c r="EPI31" s="65"/>
      <c r="EPJ31" s="65"/>
      <c r="EPK31" s="65"/>
      <c r="EPL31" s="65"/>
      <c r="EPM31" s="65"/>
      <c r="EPN31" s="65"/>
      <c r="EPO31" s="65"/>
      <c r="EPP31" s="65"/>
      <c r="EPQ31" s="65"/>
      <c r="EPR31" s="65"/>
      <c r="EPS31" s="65"/>
      <c r="EPT31" s="65"/>
      <c r="EPU31" s="65"/>
      <c r="EPV31" s="65"/>
      <c r="EPW31" s="65"/>
      <c r="EPX31" s="65"/>
      <c r="EPY31" s="65"/>
      <c r="EPZ31" s="65"/>
      <c r="EQA31" s="65"/>
      <c r="EQB31" s="65"/>
      <c r="EQC31" s="65"/>
      <c r="EQD31" s="65"/>
      <c r="EQE31" s="65"/>
      <c r="EQF31" s="65"/>
      <c r="EQG31" s="65"/>
      <c r="EQH31" s="65"/>
      <c r="EQI31" s="65"/>
      <c r="EQJ31" s="65"/>
      <c r="EQK31" s="65"/>
      <c r="EQL31" s="65"/>
      <c r="EQM31" s="65"/>
      <c r="EQN31" s="65"/>
      <c r="EQO31" s="65"/>
      <c r="EQP31" s="65"/>
      <c r="EQQ31" s="65"/>
      <c r="EQR31" s="65"/>
      <c r="EQS31" s="65"/>
      <c r="EQT31" s="65"/>
      <c r="EQU31" s="65"/>
      <c r="EQV31" s="65"/>
      <c r="EQW31" s="65"/>
      <c r="EQX31" s="65"/>
      <c r="EQY31" s="65"/>
      <c r="EQZ31" s="65"/>
      <c r="ERA31" s="65"/>
      <c r="ERB31" s="65"/>
      <c r="ERC31" s="65"/>
      <c r="ERD31" s="65"/>
      <c r="ERE31" s="65"/>
      <c r="ERF31" s="65"/>
      <c r="ERG31" s="65"/>
      <c r="ERH31" s="65"/>
      <c r="ERI31" s="65"/>
      <c r="ERJ31" s="65"/>
      <c r="ERK31" s="65"/>
      <c r="ERL31" s="65"/>
      <c r="ERM31" s="65"/>
      <c r="ERN31" s="65"/>
      <c r="ERO31" s="65"/>
      <c r="ERP31" s="65"/>
      <c r="ERQ31" s="65"/>
      <c r="ERR31" s="65"/>
      <c r="ERS31" s="65"/>
      <c r="ERT31" s="65"/>
      <c r="ERU31" s="65"/>
      <c r="ERV31" s="65"/>
      <c r="ERW31" s="65"/>
      <c r="ERX31" s="65"/>
      <c r="ERY31" s="65"/>
      <c r="ERZ31" s="65"/>
      <c r="ESA31" s="65"/>
      <c r="ESB31" s="65"/>
      <c r="ESC31" s="65"/>
      <c r="ESD31" s="65"/>
      <c r="ESE31" s="65"/>
      <c r="ESF31" s="65"/>
      <c r="ESG31" s="65"/>
      <c r="ESH31" s="65"/>
      <c r="ESI31" s="65"/>
      <c r="ESJ31" s="65"/>
      <c r="ESK31" s="65"/>
      <c r="ESL31" s="65"/>
      <c r="ESM31" s="65"/>
      <c r="ESN31" s="65"/>
      <c r="ESO31" s="65"/>
      <c r="ESP31" s="65"/>
      <c r="ESQ31" s="65"/>
      <c r="ESR31" s="65"/>
      <c r="ESS31" s="65"/>
      <c r="EST31" s="65"/>
      <c r="ESU31" s="65"/>
      <c r="ESV31" s="65"/>
      <c r="ESW31" s="65"/>
      <c r="ESX31" s="65"/>
      <c r="ESY31" s="65"/>
      <c r="ESZ31" s="65"/>
      <c r="ETA31" s="65"/>
      <c r="ETB31" s="65"/>
      <c r="ETC31" s="65"/>
      <c r="ETD31" s="65"/>
      <c r="ETE31" s="65"/>
      <c r="ETF31" s="65"/>
      <c r="ETG31" s="65"/>
      <c r="ETH31" s="65"/>
      <c r="ETI31" s="65"/>
      <c r="ETJ31" s="65"/>
      <c r="ETK31" s="65"/>
      <c r="ETL31" s="65"/>
      <c r="ETM31" s="65"/>
      <c r="ETN31" s="65"/>
      <c r="ETO31" s="65"/>
      <c r="ETP31" s="65"/>
      <c r="ETQ31" s="65"/>
      <c r="ETR31" s="65"/>
      <c r="ETS31" s="65"/>
      <c r="ETT31" s="65"/>
      <c r="ETU31" s="65"/>
      <c r="ETV31" s="65"/>
      <c r="ETW31" s="65"/>
      <c r="ETX31" s="65"/>
      <c r="ETY31" s="65"/>
      <c r="ETZ31" s="65"/>
      <c r="EUA31" s="65"/>
      <c r="EUB31" s="65"/>
      <c r="EUC31" s="65"/>
      <c r="EUD31" s="65"/>
      <c r="EUE31" s="65"/>
      <c r="EUF31" s="65"/>
      <c r="EUG31" s="65"/>
      <c r="EUH31" s="65"/>
      <c r="EUI31" s="65"/>
      <c r="EUJ31" s="65"/>
      <c r="EUK31" s="65"/>
      <c r="EUL31" s="65"/>
      <c r="EUM31" s="65"/>
      <c r="EUN31" s="65"/>
      <c r="EUO31" s="65"/>
      <c r="EUP31" s="65"/>
      <c r="EUQ31" s="65"/>
      <c r="EUR31" s="65"/>
      <c r="EUS31" s="65"/>
      <c r="EUT31" s="65"/>
      <c r="EUU31" s="65"/>
      <c r="EUV31" s="65"/>
      <c r="EUW31" s="65"/>
      <c r="EUX31" s="65"/>
      <c r="EUY31" s="65"/>
      <c r="EUZ31" s="65"/>
      <c r="EVA31" s="65"/>
      <c r="EVB31" s="65"/>
      <c r="EVC31" s="65"/>
      <c r="EVD31" s="65"/>
      <c r="EVE31" s="65"/>
      <c r="EVF31" s="65"/>
      <c r="EVG31" s="65"/>
      <c r="EVH31" s="65"/>
      <c r="EVI31" s="65"/>
      <c r="EVJ31" s="65"/>
      <c r="EVK31" s="65"/>
      <c r="EVL31" s="65"/>
      <c r="EVM31" s="65"/>
      <c r="EVN31" s="65"/>
      <c r="EVO31" s="65"/>
      <c r="EVP31" s="65"/>
      <c r="EVQ31" s="65"/>
      <c r="EVR31" s="65"/>
      <c r="EVS31" s="65"/>
      <c r="EVT31" s="65"/>
      <c r="EVU31" s="65"/>
      <c r="EVV31" s="65"/>
      <c r="EVW31" s="65"/>
      <c r="EVX31" s="65"/>
      <c r="EVY31" s="65"/>
      <c r="EVZ31" s="65"/>
      <c r="EWA31" s="65"/>
      <c r="EWB31" s="65"/>
      <c r="EWC31" s="65"/>
      <c r="EWD31" s="65"/>
      <c r="EWE31" s="65"/>
      <c r="EWF31" s="65"/>
      <c r="EWG31" s="65"/>
      <c r="EWH31" s="65"/>
      <c r="EWI31" s="65"/>
      <c r="EWJ31" s="65"/>
      <c r="EWK31" s="65"/>
      <c r="EWL31" s="65"/>
      <c r="EWM31" s="65"/>
      <c r="EWN31" s="65"/>
      <c r="EWO31" s="65"/>
      <c r="EWP31" s="65"/>
      <c r="EWQ31" s="65"/>
      <c r="EWR31" s="65"/>
      <c r="EWS31" s="65"/>
      <c r="EWT31" s="65"/>
      <c r="EWU31" s="65"/>
      <c r="EWV31" s="65"/>
      <c r="EWW31" s="65"/>
      <c r="EWX31" s="65"/>
      <c r="EWY31" s="65"/>
      <c r="EWZ31" s="65"/>
      <c r="EXA31" s="65"/>
      <c r="EXB31" s="65"/>
      <c r="EXC31" s="65"/>
      <c r="EXD31" s="65"/>
      <c r="EXE31" s="65"/>
      <c r="EXF31" s="65"/>
      <c r="EXG31" s="65"/>
      <c r="EXH31" s="65"/>
      <c r="EXI31" s="65"/>
      <c r="EXJ31" s="65"/>
      <c r="EXK31" s="65"/>
      <c r="EXL31" s="65"/>
      <c r="EXM31" s="65"/>
      <c r="EXN31" s="65"/>
      <c r="EXO31" s="65"/>
      <c r="EXP31" s="65"/>
      <c r="EXQ31" s="65"/>
      <c r="EXR31" s="65"/>
      <c r="EXS31" s="65"/>
      <c r="EXT31" s="65"/>
      <c r="EXU31" s="65"/>
      <c r="EXV31" s="65"/>
      <c r="EXW31" s="65"/>
      <c r="EXX31" s="65"/>
      <c r="EXY31" s="65"/>
      <c r="EXZ31" s="65"/>
      <c r="EYA31" s="65"/>
      <c r="EYB31" s="65"/>
      <c r="EYC31" s="65"/>
      <c r="EYD31" s="65"/>
      <c r="EYE31" s="65"/>
      <c r="EYF31" s="65"/>
      <c r="EYG31" s="65"/>
      <c r="EYH31" s="65"/>
      <c r="EYI31" s="65"/>
      <c r="EYJ31" s="65"/>
      <c r="EYK31" s="65"/>
      <c r="EYL31" s="65"/>
      <c r="EYM31" s="65"/>
      <c r="EYN31" s="65"/>
      <c r="EYO31" s="65"/>
      <c r="EYP31" s="65"/>
      <c r="EYQ31" s="65"/>
      <c r="EYR31" s="65"/>
      <c r="EYS31" s="65"/>
      <c r="EYT31" s="65"/>
      <c r="EYU31" s="65"/>
      <c r="EYV31" s="65"/>
      <c r="EYW31" s="65"/>
      <c r="EYX31" s="65"/>
      <c r="EYY31" s="65"/>
      <c r="EYZ31" s="65"/>
      <c r="EZA31" s="65"/>
      <c r="EZB31" s="65"/>
      <c r="EZC31" s="65"/>
      <c r="EZD31" s="65"/>
      <c r="EZE31" s="65"/>
      <c r="EZF31" s="65"/>
      <c r="EZG31" s="65"/>
      <c r="EZH31" s="65"/>
      <c r="EZI31" s="65"/>
      <c r="EZJ31" s="65"/>
      <c r="EZK31" s="65"/>
      <c r="EZL31" s="65"/>
      <c r="EZM31" s="65"/>
      <c r="EZN31" s="65"/>
      <c r="EZO31" s="65"/>
      <c r="EZP31" s="65"/>
      <c r="EZQ31" s="65"/>
      <c r="EZR31" s="65"/>
      <c r="EZS31" s="65"/>
      <c r="EZT31" s="65"/>
      <c r="EZU31" s="65"/>
      <c r="EZV31" s="65"/>
      <c r="EZW31" s="65"/>
      <c r="EZX31" s="65"/>
      <c r="EZY31" s="65"/>
      <c r="EZZ31" s="65"/>
      <c r="FAA31" s="65"/>
      <c r="FAB31" s="65"/>
      <c r="FAC31" s="65"/>
      <c r="FAD31" s="65"/>
      <c r="FAE31" s="65"/>
      <c r="FAF31" s="65"/>
      <c r="FAG31" s="65"/>
      <c r="FAH31" s="65"/>
      <c r="FAI31" s="65"/>
      <c r="FAJ31" s="65"/>
      <c r="FAK31" s="65"/>
      <c r="FAL31" s="65"/>
      <c r="FAM31" s="65"/>
      <c r="FAN31" s="65"/>
      <c r="FAO31" s="65"/>
      <c r="FAP31" s="65"/>
      <c r="FAQ31" s="65"/>
      <c r="FAR31" s="65"/>
      <c r="FAS31" s="65"/>
      <c r="FAT31" s="65"/>
      <c r="FAU31" s="65"/>
      <c r="FAV31" s="65"/>
      <c r="FAW31" s="65"/>
      <c r="FAX31" s="65"/>
      <c r="FAY31" s="65"/>
      <c r="FAZ31" s="65"/>
      <c r="FBA31" s="65"/>
      <c r="FBB31" s="65"/>
      <c r="FBC31" s="65"/>
      <c r="FBD31" s="65"/>
      <c r="FBE31" s="65"/>
      <c r="FBF31" s="65"/>
      <c r="FBG31" s="65"/>
      <c r="FBH31" s="65"/>
      <c r="FBI31" s="65"/>
      <c r="FBJ31" s="65"/>
      <c r="FBK31" s="65"/>
      <c r="FBL31" s="65"/>
      <c r="FBM31" s="65"/>
      <c r="FBN31" s="65"/>
      <c r="FBO31" s="65"/>
      <c r="FBP31" s="65"/>
      <c r="FBQ31" s="65"/>
      <c r="FBR31" s="65"/>
      <c r="FBS31" s="65"/>
      <c r="FBT31" s="65"/>
      <c r="FBU31" s="65"/>
      <c r="FBV31" s="65"/>
      <c r="FBW31" s="65"/>
      <c r="FBX31" s="65"/>
      <c r="FBY31" s="65"/>
      <c r="FBZ31" s="65"/>
      <c r="FCA31" s="65"/>
      <c r="FCB31" s="65"/>
      <c r="FCC31" s="65"/>
      <c r="FCD31" s="65"/>
      <c r="FCE31" s="65"/>
      <c r="FCF31" s="65"/>
      <c r="FCG31" s="65"/>
      <c r="FCH31" s="65"/>
      <c r="FCI31" s="65"/>
      <c r="FCJ31" s="65"/>
      <c r="FCK31" s="65"/>
      <c r="FCL31" s="65"/>
      <c r="FCM31" s="65"/>
      <c r="FCN31" s="65"/>
      <c r="FCO31" s="65"/>
      <c r="FCP31" s="65"/>
      <c r="FCQ31" s="65"/>
      <c r="FCR31" s="65"/>
      <c r="FCS31" s="65"/>
      <c r="FCT31" s="65"/>
      <c r="FCU31" s="65"/>
      <c r="FCV31" s="65"/>
      <c r="FCW31" s="65"/>
      <c r="FCX31" s="65"/>
      <c r="FCY31" s="65"/>
      <c r="FCZ31" s="65"/>
      <c r="FDA31" s="65"/>
      <c r="FDB31" s="65"/>
      <c r="FDC31" s="65"/>
      <c r="FDD31" s="65"/>
      <c r="FDE31" s="65"/>
      <c r="FDF31" s="65"/>
      <c r="FDG31" s="65"/>
      <c r="FDH31" s="65"/>
      <c r="FDI31" s="65"/>
      <c r="FDJ31" s="65"/>
      <c r="FDK31" s="65"/>
      <c r="FDL31" s="65"/>
      <c r="FDM31" s="65"/>
      <c r="FDN31" s="65"/>
      <c r="FDO31" s="65"/>
      <c r="FDP31" s="65"/>
      <c r="FDQ31" s="65"/>
      <c r="FDR31" s="65"/>
      <c r="FDS31" s="65"/>
      <c r="FDT31" s="65"/>
      <c r="FDU31" s="65"/>
      <c r="FDV31" s="65"/>
      <c r="FDW31" s="65"/>
      <c r="FDX31" s="65"/>
      <c r="FDY31" s="65"/>
      <c r="FDZ31" s="65"/>
      <c r="FEA31" s="65"/>
      <c r="FEB31" s="65"/>
      <c r="FEC31" s="65"/>
      <c r="FED31" s="65"/>
      <c r="FEE31" s="65"/>
      <c r="FEF31" s="65"/>
      <c r="FEG31" s="65"/>
      <c r="FEH31" s="65"/>
      <c r="FEI31" s="65"/>
      <c r="FEJ31" s="65"/>
      <c r="FEK31" s="65"/>
      <c r="FEL31" s="65"/>
      <c r="FEM31" s="65"/>
      <c r="FEN31" s="65"/>
      <c r="FEO31" s="65"/>
      <c r="FEP31" s="65"/>
      <c r="FEQ31" s="65"/>
      <c r="FER31" s="65"/>
      <c r="FES31" s="65"/>
      <c r="FET31" s="65"/>
      <c r="FEU31" s="65"/>
      <c r="FEV31" s="65"/>
      <c r="FEW31" s="65"/>
      <c r="FEX31" s="65"/>
      <c r="FEY31" s="65"/>
      <c r="FEZ31" s="65"/>
      <c r="FFA31" s="65"/>
      <c r="FFB31" s="65"/>
      <c r="FFC31" s="65"/>
      <c r="FFD31" s="65"/>
      <c r="FFE31" s="65"/>
      <c r="FFF31" s="65"/>
      <c r="FFG31" s="65"/>
      <c r="FFH31" s="65"/>
      <c r="FFI31" s="65"/>
      <c r="FFJ31" s="65"/>
      <c r="FFK31" s="65"/>
      <c r="FFL31" s="65"/>
      <c r="FFM31" s="65"/>
      <c r="FFN31" s="65"/>
      <c r="FFO31" s="65"/>
      <c r="FFP31" s="65"/>
      <c r="FFQ31" s="65"/>
      <c r="FFR31" s="65"/>
      <c r="FFS31" s="65"/>
      <c r="FFT31" s="65"/>
      <c r="FFU31" s="65"/>
      <c r="FFV31" s="65"/>
      <c r="FFW31" s="65"/>
      <c r="FFX31" s="65"/>
      <c r="FFY31" s="65"/>
      <c r="FFZ31" s="65"/>
      <c r="FGA31" s="65"/>
      <c r="FGB31" s="65"/>
      <c r="FGC31" s="65"/>
      <c r="FGD31" s="65"/>
      <c r="FGE31" s="65"/>
      <c r="FGF31" s="65"/>
      <c r="FGG31" s="65"/>
      <c r="FGH31" s="65"/>
      <c r="FGI31" s="65"/>
      <c r="FGJ31" s="65"/>
      <c r="FGK31" s="65"/>
      <c r="FGL31" s="65"/>
      <c r="FGM31" s="65"/>
      <c r="FGN31" s="65"/>
      <c r="FGO31" s="65"/>
      <c r="FGP31" s="65"/>
      <c r="FGQ31" s="65"/>
      <c r="FGR31" s="65"/>
      <c r="FGS31" s="65"/>
      <c r="FGT31" s="65"/>
      <c r="FGU31" s="65"/>
      <c r="FGV31" s="65"/>
      <c r="FGW31" s="65"/>
      <c r="FGX31" s="65"/>
      <c r="FGY31" s="65"/>
      <c r="FGZ31" s="65"/>
      <c r="FHA31" s="65"/>
      <c r="FHB31" s="65"/>
      <c r="FHC31" s="65"/>
      <c r="FHD31" s="65"/>
      <c r="FHE31" s="65"/>
      <c r="FHF31" s="65"/>
      <c r="FHG31" s="65"/>
      <c r="FHH31" s="65"/>
      <c r="FHI31" s="65"/>
      <c r="FHJ31" s="65"/>
      <c r="FHK31" s="65"/>
      <c r="FHL31" s="65"/>
      <c r="FHM31" s="65"/>
      <c r="FHN31" s="65"/>
      <c r="FHO31" s="65"/>
      <c r="FHP31" s="65"/>
      <c r="FHQ31" s="65"/>
      <c r="FHR31" s="65"/>
      <c r="FHS31" s="65"/>
      <c r="FHT31" s="65"/>
      <c r="FHU31" s="65"/>
      <c r="FHV31" s="65"/>
      <c r="FHW31" s="65"/>
      <c r="FHX31" s="65"/>
      <c r="FHY31" s="65"/>
      <c r="FHZ31" s="65"/>
      <c r="FIA31" s="65"/>
      <c r="FIB31" s="65"/>
      <c r="FIC31" s="65"/>
      <c r="FID31" s="65"/>
      <c r="FIE31" s="65"/>
      <c r="FIF31" s="65"/>
      <c r="FIG31" s="65"/>
      <c r="FIH31" s="65"/>
      <c r="FII31" s="65"/>
      <c r="FIJ31" s="65"/>
      <c r="FIK31" s="65"/>
      <c r="FIL31" s="65"/>
      <c r="FIM31" s="65"/>
      <c r="FIN31" s="65"/>
      <c r="FIO31" s="65"/>
      <c r="FIP31" s="65"/>
      <c r="FIQ31" s="65"/>
      <c r="FIR31" s="65"/>
      <c r="FIS31" s="65"/>
      <c r="FIT31" s="65"/>
      <c r="FIU31" s="65"/>
      <c r="FIV31" s="65"/>
      <c r="FIW31" s="65"/>
      <c r="FIX31" s="65"/>
      <c r="FIY31" s="65"/>
      <c r="FIZ31" s="65"/>
      <c r="FJA31" s="65"/>
      <c r="FJB31" s="65"/>
      <c r="FJC31" s="65"/>
      <c r="FJD31" s="65"/>
      <c r="FJE31" s="65"/>
      <c r="FJF31" s="65"/>
      <c r="FJG31" s="65"/>
      <c r="FJH31" s="65"/>
      <c r="FJI31" s="65"/>
      <c r="FJJ31" s="65"/>
      <c r="FJK31" s="65"/>
      <c r="FJL31" s="65"/>
      <c r="FJM31" s="65"/>
      <c r="FJN31" s="65"/>
      <c r="FJO31" s="65"/>
      <c r="FJP31" s="65"/>
      <c r="FJQ31" s="65"/>
      <c r="FJR31" s="65"/>
      <c r="FJS31" s="65"/>
      <c r="FJT31" s="65"/>
      <c r="FJU31" s="65"/>
      <c r="FJV31" s="65"/>
      <c r="FJW31" s="65"/>
      <c r="FJX31" s="65"/>
      <c r="FJY31" s="65"/>
      <c r="FJZ31" s="65"/>
      <c r="FKA31" s="65"/>
      <c r="FKB31" s="65"/>
      <c r="FKC31" s="65"/>
      <c r="FKD31" s="65"/>
      <c r="FKE31" s="65"/>
      <c r="FKF31" s="65"/>
      <c r="FKG31" s="65"/>
      <c r="FKH31" s="65"/>
      <c r="FKI31" s="65"/>
      <c r="FKJ31" s="65"/>
      <c r="FKK31" s="65"/>
      <c r="FKL31" s="65"/>
      <c r="FKM31" s="65"/>
      <c r="FKN31" s="65"/>
      <c r="FKO31" s="65"/>
      <c r="FKP31" s="65"/>
      <c r="FKQ31" s="65"/>
      <c r="FKR31" s="65"/>
      <c r="FKS31" s="65"/>
      <c r="FKT31" s="65"/>
      <c r="FKU31" s="65"/>
      <c r="FKV31" s="65"/>
      <c r="FKW31" s="65"/>
      <c r="FKX31" s="65"/>
      <c r="FKY31" s="65"/>
      <c r="FKZ31" s="65"/>
      <c r="FLA31" s="65"/>
      <c r="FLB31" s="65"/>
      <c r="FLC31" s="65"/>
      <c r="FLD31" s="65"/>
      <c r="FLE31" s="65"/>
      <c r="FLF31" s="65"/>
      <c r="FLG31" s="65"/>
      <c r="FLH31" s="65"/>
      <c r="FLI31" s="65"/>
      <c r="FLJ31" s="65"/>
      <c r="FLK31" s="65"/>
      <c r="FLL31" s="65"/>
      <c r="FLM31" s="65"/>
      <c r="FLN31" s="65"/>
      <c r="FLO31" s="65"/>
      <c r="FLP31" s="65"/>
      <c r="FLQ31" s="65"/>
      <c r="FLR31" s="65"/>
      <c r="FLS31" s="65"/>
      <c r="FLT31" s="65"/>
      <c r="FLU31" s="65"/>
      <c r="FLV31" s="65"/>
      <c r="FLW31" s="65"/>
      <c r="FLX31" s="65"/>
      <c r="FLY31" s="65"/>
      <c r="FLZ31" s="65"/>
      <c r="FMA31" s="65"/>
      <c r="FMB31" s="65"/>
      <c r="FMC31" s="65"/>
      <c r="FMD31" s="65"/>
      <c r="FME31" s="65"/>
      <c r="FMF31" s="65"/>
      <c r="FMG31" s="65"/>
      <c r="FMH31" s="65"/>
      <c r="FMI31" s="65"/>
      <c r="FMJ31" s="65"/>
      <c r="FMK31" s="65"/>
      <c r="FML31" s="65"/>
      <c r="FMM31" s="65"/>
      <c r="FMN31" s="65"/>
      <c r="FMO31" s="65"/>
      <c r="FMP31" s="65"/>
      <c r="FMQ31" s="65"/>
      <c r="FMR31" s="65"/>
      <c r="FMS31" s="65"/>
      <c r="FMT31" s="65"/>
      <c r="FMU31" s="65"/>
      <c r="FMV31" s="65"/>
      <c r="FMW31" s="65"/>
      <c r="FMX31" s="65"/>
      <c r="FMY31" s="65"/>
      <c r="FMZ31" s="65"/>
      <c r="FNA31" s="65"/>
      <c r="FNB31" s="65"/>
      <c r="FNC31" s="65"/>
      <c r="FND31" s="65"/>
      <c r="FNE31" s="65"/>
      <c r="FNF31" s="65"/>
      <c r="FNG31" s="65"/>
      <c r="FNH31" s="65"/>
      <c r="FNI31" s="65"/>
      <c r="FNJ31" s="65"/>
      <c r="FNK31" s="65"/>
      <c r="FNL31" s="65"/>
      <c r="FNM31" s="65"/>
      <c r="FNN31" s="65"/>
      <c r="FNO31" s="65"/>
      <c r="FNP31" s="65"/>
      <c r="FNQ31" s="65"/>
      <c r="FNR31" s="65"/>
      <c r="FNS31" s="65"/>
      <c r="FNT31" s="65"/>
      <c r="FNU31" s="65"/>
      <c r="FNV31" s="65"/>
      <c r="FNW31" s="65"/>
      <c r="FNX31" s="65"/>
      <c r="FNY31" s="65"/>
      <c r="FNZ31" s="65"/>
      <c r="FOA31" s="65"/>
      <c r="FOB31" s="65"/>
      <c r="FOC31" s="65"/>
      <c r="FOD31" s="65"/>
      <c r="FOE31" s="65"/>
      <c r="FOF31" s="65"/>
      <c r="FOG31" s="65"/>
      <c r="FOH31" s="65"/>
      <c r="FOI31" s="65"/>
      <c r="FOJ31" s="65"/>
      <c r="FOK31" s="65"/>
      <c r="FOL31" s="65"/>
      <c r="FOM31" s="65"/>
      <c r="FON31" s="65"/>
      <c r="FOO31" s="65"/>
      <c r="FOP31" s="65"/>
      <c r="FOQ31" s="65"/>
      <c r="FOR31" s="65"/>
      <c r="FOS31" s="65"/>
      <c r="FOT31" s="65"/>
      <c r="FOU31" s="65"/>
      <c r="FOV31" s="65"/>
      <c r="FOW31" s="65"/>
      <c r="FOX31" s="65"/>
      <c r="FOY31" s="65"/>
      <c r="FOZ31" s="65"/>
      <c r="FPA31" s="65"/>
      <c r="FPB31" s="65"/>
      <c r="FPC31" s="65"/>
      <c r="FPD31" s="65"/>
      <c r="FPE31" s="65"/>
      <c r="FPF31" s="65"/>
      <c r="FPG31" s="65"/>
      <c r="FPH31" s="65"/>
      <c r="FPI31" s="65"/>
      <c r="FPJ31" s="65"/>
      <c r="FPK31" s="65"/>
      <c r="FPL31" s="65"/>
      <c r="FPM31" s="65"/>
      <c r="FPN31" s="65"/>
      <c r="FPO31" s="65"/>
      <c r="FPP31" s="65"/>
      <c r="FPQ31" s="65"/>
      <c r="FPR31" s="65"/>
      <c r="FPS31" s="65"/>
      <c r="FPT31" s="65"/>
      <c r="FPU31" s="65"/>
      <c r="FPV31" s="65"/>
      <c r="FPW31" s="65"/>
      <c r="FPX31" s="65"/>
      <c r="FPY31" s="65"/>
      <c r="FPZ31" s="65"/>
      <c r="FQA31" s="65"/>
      <c r="FQB31" s="65"/>
      <c r="FQC31" s="65"/>
      <c r="FQD31" s="65"/>
      <c r="FQE31" s="65"/>
      <c r="FQF31" s="65"/>
      <c r="FQG31" s="65"/>
      <c r="FQH31" s="65"/>
      <c r="FQI31" s="65"/>
      <c r="FQJ31" s="65"/>
      <c r="FQK31" s="65"/>
      <c r="FQL31" s="65"/>
      <c r="FQM31" s="65"/>
      <c r="FQN31" s="65"/>
      <c r="FQO31" s="65"/>
      <c r="FQP31" s="65"/>
      <c r="FQQ31" s="65"/>
      <c r="FQR31" s="65"/>
      <c r="FQS31" s="65"/>
      <c r="FQT31" s="65"/>
      <c r="FQU31" s="65"/>
      <c r="FQV31" s="65"/>
      <c r="FQW31" s="65"/>
      <c r="FQX31" s="65"/>
      <c r="FQY31" s="65"/>
      <c r="FQZ31" s="65"/>
      <c r="FRA31" s="65"/>
      <c r="FRB31" s="65"/>
      <c r="FRC31" s="65"/>
      <c r="FRD31" s="65"/>
      <c r="FRE31" s="65"/>
      <c r="FRF31" s="65"/>
      <c r="FRG31" s="65"/>
      <c r="FRH31" s="65"/>
      <c r="FRI31" s="65"/>
      <c r="FRJ31" s="65"/>
      <c r="FRK31" s="65"/>
      <c r="FRL31" s="65"/>
      <c r="FRM31" s="65"/>
      <c r="FRN31" s="65"/>
      <c r="FRO31" s="65"/>
      <c r="FRP31" s="65"/>
      <c r="FRQ31" s="65"/>
      <c r="FRR31" s="65"/>
      <c r="FRS31" s="65"/>
      <c r="FRT31" s="65"/>
      <c r="FRU31" s="65"/>
      <c r="FRV31" s="65"/>
      <c r="FRW31" s="65"/>
      <c r="FRX31" s="65"/>
      <c r="FRY31" s="65"/>
      <c r="FRZ31" s="65"/>
      <c r="FSA31" s="65"/>
      <c r="FSB31" s="65"/>
      <c r="FSC31" s="65"/>
      <c r="FSD31" s="65"/>
      <c r="FSE31" s="65"/>
      <c r="FSF31" s="65"/>
      <c r="FSG31" s="65"/>
      <c r="FSH31" s="65"/>
      <c r="FSI31" s="65"/>
      <c r="FSJ31" s="65"/>
      <c r="FSK31" s="65"/>
      <c r="FSL31" s="65"/>
      <c r="FSM31" s="65"/>
      <c r="FSN31" s="65"/>
      <c r="FSO31" s="65"/>
      <c r="FSP31" s="65"/>
      <c r="FSQ31" s="65"/>
      <c r="FSR31" s="65"/>
      <c r="FSS31" s="65"/>
      <c r="FST31" s="65"/>
      <c r="FSU31" s="65"/>
      <c r="FSV31" s="65"/>
      <c r="FSW31" s="65"/>
      <c r="FSX31" s="65"/>
      <c r="FSY31" s="65"/>
      <c r="FSZ31" s="65"/>
      <c r="FTA31" s="65"/>
      <c r="FTB31" s="65"/>
      <c r="FTC31" s="65"/>
      <c r="FTD31" s="65"/>
      <c r="FTE31" s="65"/>
      <c r="FTF31" s="65"/>
      <c r="FTG31" s="65"/>
      <c r="FTH31" s="65"/>
      <c r="FTI31" s="65"/>
      <c r="FTJ31" s="65"/>
      <c r="FTK31" s="65"/>
      <c r="FTL31" s="65"/>
      <c r="FTM31" s="65"/>
      <c r="FTN31" s="65"/>
      <c r="FTO31" s="65"/>
      <c r="FTP31" s="65"/>
      <c r="FTQ31" s="65"/>
      <c r="FTR31" s="65"/>
      <c r="FTS31" s="65"/>
      <c r="FTT31" s="65"/>
      <c r="FTU31" s="65"/>
      <c r="FTV31" s="65"/>
      <c r="FTW31" s="65"/>
      <c r="FTX31" s="65"/>
      <c r="FTY31" s="65"/>
      <c r="FTZ31" s="65"/>
      <c r="FUA31" s="65"/>
      <c r="FUB31" s="65"/>
      <c r="FUC31" s="65"/>
      <c r="FUD31" s="65"/>
      <c r="FUE31" s="65"/>
      <c r="FUF31" s="65"/>
      <c r="FUG31" s="65"/>
      <c r="FUH31" s="65"/>
      <c r="FUI31" s="65"/>
      <c r="FUJ31" s="65"/>
      <c r="FUK31" s="65"/>
      <c r="FUL31" s="65"/>
      <c r="FUM31" s="65"/>
      <c r="FUN31" s="65"/>
      <c r="FUO31" s="65"/>
      <c r="FUP31" s="65"/>
      <c r="FUQ31" s="65"/>
      <c r="FUR31" s="65"/>
      <c r="FUS31" s="65"/>
      <c r="FUT31" s="65"/>
      <c r="FUU31" s="65"/>
      <c r="FUV31" s="65"/>
      <c r="FUW31" s="65"/>
      <c r="FUX31" s="65"/>
      <c r="FUY31" s="65"/>
      <c r="FUZ31" s="65"/>
      <c r="FVA31" s="65"/>
      <c r="FVB31" s="65"/>
      <c r="FVC31" s="65"/>
      <c r="FVD31" s="65"/>
      <c r="FVE31" s="65"/>
      <c r="FVF31" s="65"/>
      <c r="FVG31" s="65"/>
      <c r="FVH31" s="65"/>
      <c r="FVI31" s="65"/>
      <c r="FVJ31" s="65"/>
      <c r="FVK31" s="65"/>
      <c r="FVL31" s="65"/>
      <c r="FVM31" s="65"/>
      <c r="FVN31" s="65"/>
      <c r="FVO31" s="65"/>
      <c r="FVP31" s="65"/>
      <c r="FVQ31" s="65"/>
      <c r="FVR31" s="65"/>
      <c r="FVS31" s="65"/>
      <c r="FVT31" s="65"/>
      <c r="FVU31" s="65"/>
      <c r="FVV31" s="65"/>
      <c r="FVW31" s="65"/>
      <c r="FVX31" s="65"/>
      <c r="FVY31" s="65"/>
      <c r="FVZ31" s="65"/>
      <c r="FWA31" s="65"/>
      <c r="FWB31" s="65"/>
      <c r="FWC31" s="65"/>
      <c r="FWD31" s="65"/>
      <c r="FWE31" s="65"/>
      <c r="FWF31" s="65"/>
      <c r="FWG31" s="65"/>
      <c r="FWH31" s="65"/>
      <c r="FWI31" s="65"/>
      <c r="FWJ31" s="65"/>
      <c r="FWK31" s="65"/>
      <c r="FWL31" s="65"/>
      <c r="FWM31" s="65"/>
      <c r="FWN31" s="65"/>
      <c r="FWO31" s="65"/>
      <c r="FWP31" s="65"/>
      <c r="FWQ31" s="65"/>
      <c r="FWR31" s="65"/>
      <c r="FWS31" s="65"/>
      <c r="FWT31" s="65"/>
      <c r="FWU31" s="65"/>
      <c r="FWV31" s="65"/>
      <c r="FWW31" s="65"/>
      <c r="FWX31" s="65"/>
      <c r="FWY31" s="65"/>
      <c r="FWZ31" s="65"/>
      <c r="FXA31" s="65"/>
      <c r="FXB31" s="65"/>
      <c r="FXC31" s="65"/>
      <c r="FXD31" s="65"/>
      <c r="FXE31" s="65"/>
      <c r="FXF31" s="65"/>
      <c r="FXG31" s="65"/>
      <c r="FXH31" s="65"/>
      <c r="FXI31" s="65"/>
      <c r="FXJ31" s="65"/>
      <c r="FXK31" s="65"/>
      <c r="FXL31" s="65"/>
      <c r="FXM31" s="65"/>
      <c r="FXN31" s="65"/>
      <c r="FXO31" s="65"/>
      <c r="FXP31" s="65"/>
      <c r="FXQ31" s="65"/>
      <c r="FXR31" s="65"/>
      <c r="FXS31" s="65"/>
      <c r="FXT31" s="65"/>
      <c r="FXU31" s="65"/>
      <c r="FXV31" s="65"/>
      <c r="FXW31" s="65"/>
      <c r="FXX31" s="65"/>
      <c r="FXY31" s="65"/>
      <c r="FXZ31" s="65"/>
      <c r="FYA31" s="65"/>
      <c r="FYB31" s="65"/>
      <c r="FYC31" s="65"/>
      <c r="FYD31" s="65"/>
      <c r="FYE31" s="65"/>
      <c r="FYF31" s="65"/>
      <c r="FYG31" s="65"/>
      <c r="FYH31" s="65"/>
      <c r="FYI31" s="65"/>
      <c r="FYJ31" s="65"/>
      <c r="FYK31" s="65"/>
      <c r="FYL31" s="65"/>
      <c r="FYM31" s="65"/>
      <c r="FYN31" s="65"/>
      <c r="FYO31" s="65"/>
      <c r="FYP31" s="65"/>
      <c r="FYQ31" s="65"/>
      <c r="FYR31" s="65"/>
      <c r="FYS31" s="65"/>
      <c r="FYT31" s="65"/>
      <c r="FYU31" s="65"/>
      <c r="FYV31" s="65"/>
      <c r="FYW31" s="65"/>
      <c r="FYX31" s="65"/>
      <c r="FYY31" s="65"/>
      <c r="FYZ31" s="65"/>
      <c r="FZA31" s="65"/>
      <c r="FZB31" s="65"/>
      <c r="FZC31" s="65"/>
      <c r="FZD31" s="65"/>
      <c r="FZE31" s="65"/>
      <c r="FZF31" s="65"/>
      <c r="FZG31" s="65"/>
      <c r="FZH31" s="65"/>
      <c r="FZI31" s="65"/>
      <c r="FZJ31" s="65"/>
      <c r="FZK31" s="65"/>
      <c r="FZL31" s="65"/>
      <c r="FZM31" s="65"/>
      <c r="FZN31" s="65"/>
      <c r="FZO31" s="65"/>
      <c r="FZP31" s="65"/>
      <c r="FZQ31" s="65"/>
      <c r="FZR31" s="65"/>
      <c r="FZS31" s="65"/>
      <c r="FZT31" s="65"/>
      <c r="FZU31" s="65"/>
      <c r="FZV31" s="65"/>
      <c r="FZW31" s="65"/>
      <c r="FZX31" s="65"/>
      <c r="FZY31" s="65"/>
      <c r="FZZ31" s="65"/>
      <c r="GAA31" s="65"/>
      <c r="GAB31" s="65"/>
      <c r="GAC31" s="65"/>
      <c r="GAD31" s="65"/>
      <c r="GAE31" s="65"/>
      <c r="GAF31" s="65"/>
      <c r="GAG31" s="65"/>
      <c r="GAH31" s="65"/>
      <c r="GAI31" s="65"/>
      <c r="GAJ31" s="65"/>
      <c r="GAK31" s="65"/>
      <c r="GAL31" s="65"/>
      <c r="GAM31" s="65"/>
      <c r="GAN31" s="65"/>
      <c r="GAO31" s="65"/>
      <c r="GAP31" s="65"/>
      <c r="GAQ31" s="65"/>
      <c r="GAR31" s="65"/>
      <c r="GAS31" s="65"/>
      <c r="GAT31" s="65"/>
      <c r="GAU31" s="65"/>
      <c r="GAV31" s="65"/>
      <c r="GAW31" s="65"/>
      <c r="GAX31" s="65"/>
      <c r="GAY31" s="65"/>
      <c r="GAZ31" s="65"/>
      <c r="GBA31" s="65"/>
      <c r="GBB31" s="65"/>
      <c r="GBC31" s="65"/>
      <c r="GBD31" s="65"/>
      <c r="GBE31" s="65"/>
      <c r="GBF31" s="65"/>
      <c r="GBG31" s="65"/>
      <c r="GBH31" s="65"/>
      <c r="GBI31" s="65"/>
      <c r="GBJ31" s="65"/>
      <c r="GBK31" s="65"/>
      <c r="GBL31" s="65"/>
      <c r="GBM31" s="65"/>
      <c r="GBN31" s="65"/>
      <c r="GBO31" s="65"/>
      <c r="GBP31" s="65"/>
      <c r="GBQ31" s="65"/>
      <c r="GBR31" s="65"/>
      <c r="GBS31" s="65"/>
      <c r="GBT31" s="65"/>
      <c r="GBU31" s="65"/>
      <c r="GBV31" s="65"/>
      <c r="GBW31" s="65"/>
      <c r="GBX31" s="65"/>
      <c r="GBY31" s="65"/>
      <c r="GBZ31" s="65"/>
      <c r="GCA31" s="65"/>
      <c r="GCB31" s="65"/>
      <c r="GCC31" s="65"/>
      <c r="GCD31" s="65"/>
      <c r="GCE31" s="65"/>
      <c r="GCF31" s="65"/>
      <c r="GCG31" s="65"/>
      <c r="GCH31" s="65"/>
      <c r="GCI31" s="65"/>
      <c r="GCJ31" s="65"/>
      <c r="GCK31" s="65"/>
      <c r="GCL31" s="65"/>
      <c r="GCM31" s="65"/>
      <c r="GCN31" s="65"/>
      <c r="GCO31" s="65"/>
      <c r="GCP31" s="65"/>
      <c r="GCQ31" s="65"/>
      <c r="GCR31" s="65"/>
      <c r="GCS31" s="65"/>
      <c r="GCT31" s="65"/>
      <c r="GCU31" s="65"/>
      <c r="GCV31" s="65"/>
      <c r="GCW31" s="65"/>
      <c r="GCX31" s="65"/>
      <c r="GCY31" s="65"/>
      <c r="GCZ31" s="65"/>
      <c r="GDA31" s="65"/>
      <c r="GDB31" s="65"/>
      <c r="GDC31" s="65"/>
      <c r="GDD31" s="65"/>
      <c r="GDE31" s="65"/>
      <c r="GDF31" s="65"/>
      <c r="GDG31" s="65"/>
      <c r="GDH31" s="65"/>
      <c r="GDI31" s="65"/>
      <c r="GDJ31" s="65"/>
      <c r="GDK31" s="65"/>
      <c r="GDL31" s="65"/>
      <c r="GDM31" s="65"/>
      <c r="GDN31" s="65"/>
      <c r="GDO31" s="65"/>
      <c r="GDP31" s="65"/>
      <c r="GDQ31" s="65"/>
      <c r="GDR31" s="65"/>
      <c r="GDS31" s="65"/>
      <c r="GDT31" s="65"/>
      <c r="GDU31" s="65"/>
      <c r="GDV31" s="65"/>
      <c r="GDW31" s="65"/>
      <c r="GDX31" s="65"/>
      <c r="GDY31" s="65"/>
      <c r="GDZ31" s="65"/>
      <c r="GEA31" s="65"/>
      <c r="GEB31" s="65"/>
      <c r="GEC31" s="65"/>
      <c r="GED31" s="65"/>
      <c r="GEE31" s="65"/>
      <c r="GEF31" s="65"/>
      <c r="GEG31" s="65"/>
      <c r="GEH31" s="65"/>
      <c r="GEI31" s="65"/>
      <c r="GEJ31" s="65"/>
      <c r="GEK31" s="65"/>
      <c r="GEL31" s="65"/>
      <c r="GEM31" s="65"/>
      <c r="GEN31" s="65"/>
      <c r="GEO31" s="65"/>
      <c r="GEP31" s="65"/>
      <c r="GEQ31" s="65"/>
      <c r="GER31" s="65"/>
      <c r="GES31" s="65"/>
      <c r="GET31" s="65"/>
      <c r="GEU31" s="65"/>
      <c r="GEV31" s="65"/>
      <c r="GEW31" s="65"/>
      <c r="GEX31" s="65"/>
      <c r="GEY31" s="65"/>
      <c r="GEZ31" s="65"/>
      <c r="GFA31" s="65"/>
      <c r="GFB31" s="65"/>
      <c r="GFC31" s="65"/>
      <c r="GFD31" s="65"/>
      <c r="GFE31" s="65"/>
      <c r="GFF31" s="65"/>
      <c r="GFG31" s="65"/>
      <c r="GFH31" s="65"/>
      <c r="GFI31" s="65"/>
      <c r="GFJ31" s="65"/>
      <c r="GFK31" s="65"/>
      <c r="GFL31" s="65"/>
      <c r="GFM31" s="65"/>
      <c r="GFN31" s="65"/>
      <c r="GFO31" s="65"/>
      <c r="GFP31" s="65"/>
      <c r="GFQ31" s="65"/>
      <c r="GFR31" s="65"/>
      <c r="GFS31" s="65"/>
      <c r="GFT31" s="65"/>
      <c r="GFU31" s="65"/>
      <c r="GFV31" s="65"/>
      <c r="GFW31" s="65"/>
      <c r="GFX31" s="65"/>
      <c r="GFY31" s="65"/>
      <c r="GFZ31" s="65"/>
      <c r="GGA31" s="65"/>
      <c r="GGB31" s="65"/>
      <c r="GGC31" s="65"/>
      <c r="GGD31" s="65"/>
      <c r="GGE31" s="65"/>
      <c r="GGF31" s="65"/>
      <c r="GGG31" s="65"/>
      <c r="GGH31" s="65"/>
      <c r="GGI31" s="65"/>
      <c r="GGJ31" s="65"/>
      <c r="GGK31" s="65"/>
      <c r="GGL31" s="65"/>
      <c r="GGM31" s="65"/>
      <c r="GGN31" s="65"/>
      <c r="GGO31" s="65"/>
      <c r="GGP31" s="65"/>
      <c r="GGQ31" s="65"/>
      <c r="GGR31" s="65"/>
      <c r="GGS31" s="65"/>
      <c r="GGT31" s="65"/>
      <c r="GGU31" s="65"/>
      <c r="GGV31" s="65"/>
      <c r="GGW31" s="65"/>
      <c r="GGX31" s="65"/>
      <c r="GGY31" s="65"/>
      <c r="GGZ31" s="65"/>
      <c r="GHA31" s="65"/>
      <c r="GHB31" s="65"/>
      <c r="GHC31" s="65"/>
      <c r="GHD31" s="65"/>
      <c r="GHE31" s="65"/>
      <c r="GHF31" s="65"/>
      <c r="GHG31" s="65"/>
      <c r="GHH31" s="65"/>
      <c r="GHI31" s="65"/>
      <c r="GHJ31" s="65"/>
      <c r="GHK31" s="65"/>
      <c r="GHL31" s="65"/>
      <c r="GHM31" s="65"/>
      <c r="GHN31" s="65"/>
      <c r="GHO31" s="65"/>
      <c r="GHP31" s="65"/>
      <c r="GHQ31" s="65"/>
      <c r="GHR31" s="65"/>
      <c r="GHS31" s="65"/>
      <c r="GHT31" s="65"/>
      <c r="GHU31" s="65"/>
      <c r="GHV31" s="65"/>
      <c r="GHW31" s="65"/>
      <c r="GHX31" s="65"/>
      <c r="GHY31" s="65"/>
      <c r="GHZ31" s="65"/>
      <c r="GIA31" s="65"/>
      <c r="GIB31" s="65"/>
      <c r="GIC31" s="65"/>
      <c r="GID31" s="65"/>
      <c r="GIE31" s="65"/>
      <c r="GIF31" s="65"/>
      <c r="GIG31" s="65"/>
      <c r="GIH31" s="65"/>
      <c r="GII31" s="65"/>
      <c r="GIJ31" s="65"/>
      <c r="GIK31" s="65"/>
      <c r="GIL31" s="65"/>
      <c r="GIM31" s="65"/>
      <c r="GIN31" s="65"/>
      <c r="GIO31" s="65"/>
      <c r="GIP31" s="65"/>
      <c r="GIQ31" s="65"/>
      <c r="GIR31" s="65"/>
      <c r="GIS31" s="65"/>
      <c r="GIT31" s="65"/>
      <c r="GIU31" s="65"/>
      <c r="GIV31" s="65"/>
      <c r="GIW31" s="65"/>
      <c r="GIX31" s="65"/>
      <c r="GIY31" s="65"/>
      <c r="GIZ31" s="65"/>
      <c r="GJA31" s="65"/>
      <c r="GJB31" s="65"/>
      <c r="GJC31" s="65"/>
      <c r="GJD31" s="65"/>
      <c r="GJE31" s="65"/>
      <c r="GJF31" s="65"/>
      <c r="GJG31" s="65"/>
      <c r="GJH31" s="65"/>
      <c r="GJI31" s="65"/>
      <c r="GJJ31" s="65"/>
      <c r="GJK31" s="65"/>
      <c r="GJL31" s="65"/>
      <c r="GJM31" s="65"/>
      <c r="GJN31" s="65"/>
      <c r="GJO31" s="65"/>
      <c r="GJP31" s="65"/>
      <c r="GJQ31" s="65"/>
      <c r="GJR31" s="65"/>
      <c r="GJS31" s="65"/>
      <c r="GJT31" s="65"/>
      <c r="GJU31" s="65"/>
      <c r="GJV31" s="65"/>
      <c r="GJW31" s="65"/>
      <c r="GJX31" s="65"/>
      <c r="GJY31" s="65"/>
      <c r="GJZ31" s="65"/>
      <c r="GKA31" s="65"/>
      <c r="GKB31" s="65"/>
      <c r="GKC31" s="65"/>
      <c r="GKD31" s="65"/>
      <c r="GKE31" s="65"/>
      <c r="GKF31" s="65"/>
      <c r="GKG31" s="65"/>
      <c r="GKH31" s="65"/>
      <c r="GKI31" s="65"/>
      <c r="GKJ31" s="65"/>
      <c r="GKK31" s="65"/>
      <c r="GKL31" s="65"/>
      <c r="GKM31" s="65"/>
      <c r="GKN31" s="65"/>
      <c r="GKO31" s="65"/>
      <c r="GKP31" s="65"/>
      <c r="GKQ31" s="65"/>
      <c r="GKR31" s="65"/>
      <c r="GKS31" s="65"/>
      <c r="GKT31" s="65"/>
      <c r="GKU31" s="65"/>
      <c r="GKV31" s="65"/>
      <c r="GKW31" s="65"/>
      <c r="GKX31" s="65"/>
      <c r="GKY31" s="65"/>
      <c r="GKZ31" s="65"/>
      <c r="GLA31" s="65"/>
      <c r="GLB31" s="65"/>
      <c r="GLC31" s="65"/>
      <c r="GLD31" s="65"/>
      <c r="GLE31" s="65"/>
      <c r="GLF31" s="65"/>
      <c r="GLG31" s="65"/>
      <c r="GLH31" s="65"/>
      <c r="GLI31" s="65"/>
      <c r="GLJ31" s="65"/>
      <c r="GLK31" s="65"/>
      <c r="GLL31" s="65"/>
      <c r="GLM31" s="65"/>
      <c r="GLN31" s="65"/>
      <c r="GLO31" s="65"/>
      <c r="GLP31" s="65"/>
      <c r="GLQ31" s="65"/>
      <c r="GLR31" s="65"/>
      <c r="GLS31" s="65"/>
      <c r="GLT31" s="65"/>
      <c r="GLU31" s="65"/>
      <c r="GLV31" s="65"/>
      <c r="GLW31" s="65"/>
      <c r="GLX31" s="65"/>
      <c r="GLY31" s="65"/>
      <c r="GLZ31" s="65"/>
      <c r="GMA31" s="65"/>
      <c r="GMB31" s="65"/>
      <c r="GMC31" s="65"/>
      <c r="GMD31" s="65"/>
      <c r="GME31" s="65"/>
      <c r="GMF31" s="65"/>
      <c r="GMG31" s="65"/>
      <c r="GMH31" s="65"/>
      <c r="GMI31" s="65"/>
      <c r="GMJ31" s="65"/>
      <c r="GMK31" s="65"/>
      <c r="GML31" s="65"/>
      <c r="GMM31" s="65"/>
      <c r="GMN31" s="65"/>
      <c r="GMO31" s="65"/>
      <c r="GMP31" s="65"/>
      <c r="GMQ31" s="65"/>
      <c r="GMR31" s="65"/>
      <c r="GMS31" s="65"/>
      <c r="GMT31" s="65"/>
      <c r="GMU31" s="65"/>
      <c r="GMV31" s="65"/>
      <c r="GMW31" s="65"/>
      <c r="GMX31" s="65"/>
      <c r="GMY31" s="65"/>
      <c r="GMZ31" s="65"/>
      <c r="GNA31" s="65"/>
      <c r="GNB31" s="65"/>
      <c r="GNC31" s="65"/>
      <c r="GND31" s="65"/>
      <c r="GNE31" s="65"/>
      <c r="GNF31" s="65"/>
      <c r="GNG31" s="65"/>
      <c r="GNH31" s="65"/>
      <c r="GNI31" s="65"/>
      <c r="GNJ31" s="65"/>
      <c r="GNK31" s="65"/>
      <c r="GNL31" s="65"/>
      <c r="GNM31" s="65"/>
      <c r="GNN31" s="65"/>
      <c r="GNO31" s="65"/>
      <c r="GNP31" s="65"/>
      <c r="GNQ31" s="65"/>
      <c r="GNR31" s="65"/>
      <c r="GNS31" s="65"/>
      <c r="GNT31" s="65"/>
      <c r="GNU31" s="65"/>
      <c r="GNV31" s="65"/>
      <c r="GNW31" s="65"/>
      <c r="GNX31" s="65"/>
      <c r="GNY31" s="65"/>
      <c r="GNZ31" s="65"/>
      <c r="GOA31" s="65"/>
      <c r="GOB31" s="65"/>
      <c r="GOC31" s="65"/>
      <c r="GOD31" s="65"/>
      <c r="GOE31" s="65"/>
      <c r="GOF31" s="65"/>
      <c r="GOG31" s="65"/>
      <c r="GOH31" s="65"/>
      <c r="GOI31" s="65"/>
      <c r="GOJ31" s="65"/>
      <c r="GOK31" s="65"/>
      <c r="GOL31" s="65"/>
      <c r="GOM31" s="65"/>
      <c r="GON31" s="65"/>
      <c r="GOO31" s="65"/>
      <c r="GOP31" s="65"/>
      <c r="GOQ31" s="65"/>
      <c r="GOR31" s="65"/>
      <c r="GOS31" s="65"/>
      <c r="GOT31" s="65"/>
      <c r="GOU31" s="65"/>
      <c r="GOV31" s="65"/>
      <c r="GOW31" s="65"/>
      <c r="GOX31" s="65"/>
      <c r="GOY31" s="65"/>
      <c r="GOZ31" s="65"/>
      <c r="GPA31" s="65"/>
      <c r="GPB31" s="65"/>
      <c r="GPC31" s="65"/>
      <c r="GPD31" s="65"/>
      <c r="GPE31" s="65"/>
      <c r="GPF31" s="65"/>
      <c r="GPG31" s="65"/>
      <c r="GPH31" s="65"/>
      <c r="GPI31" s="65"/>
      <c r="GPJ31" s="65"/>
      <c r="GPK31" s="65"/>
      <c r="GPL31" s="65"/>
      <c r="GPM31" s="65"/>
      <c r="GPN31" s="65"/>
      <c r="GPO31" s="65"/>
      <c r="GPP31" s="65"/>
      <c r="GPQ31" s="65"/>
      <c r="GPR31" s="65"/>
      <c r="GPS31" s="65"/>
      <c r="GPT31" s="65"/>
      <c r="GPU31" s="65"/>
      <c r="GPV31" s="65"/>
      <c r="GPW31" s="65"/>
      <c r="GPX31" s="65"/>
      <c r="GPY31" s="65"/>
      <c r="GPZ31" s="65"/>
      <c r="GQA31" s="65"/>
      <c r="GQB31" s="65"/>
      <c r="GQC31" s="65"/>
      <c r="GQD31" s="65"/>
      <c r="GQE31" s="65"/>
      <c r="GQF31" s="65"/>
      <c r="GQG31" s="65"/>
      <c r="GQH31" s="65"/>
      <c r="GQI31" s="65"/>
      <c r="GQJ31" s="65"/>
      <c r="GQK31" s="65"/>
      <c r="GQL31" s="65"/>
      <c r="GQM31" s="65"/>
      <c r="GQN31" s="65"/>
      <c r="GQO31" s="65"/>
      <c r="GQP31" s="65"/>
      <c r="GQQ31" s="65"/>
      <c r="GQR31" s="65"/>
      <c r="GQS31" s="65"/>
      <c r="GQT31" s="65"/>
      <c r="GQU31" s="65"/>
      <c r="GQV31" s="65"/>
      <c r="GQW31" s="65"/>
      <c r="GQX31" s="65"/>
      <c r="GQY31" s="65"/>
      <c r="GQZ31" s="65"/>
      <c r="GRA31" s="65"/>
      <c r="GRB31" s="65"/>
      <c r="GRC31" s="65"/>
      <c r="GRD31" s="65"/>
      <c r="GRE31" s="65"/>
      <c r="GRF31" s="65"/>
      <c r="GRG31" s="65"/>
      <c r="GRH31" s="65"/>
      <c r="GRI31" s="65"/>
      <c r="GRJ31" s="65"/>
      <c r="GRK31" s="65"/>
      <c r="GRL31" s="65"/>
      <c r="GRM31" s="65"/>
      <c r="GRN31" s="65"/>
      <c r="GRO31" s="65"/>
      <c r="GRP31" s="65"/>
      <c r="GRQ31" s="65"/>
      <c r="GRR31" s="65"/>
      <c r="GRS31" s="65"/>
      <c r="GRT31" s="65"/>
      <c r="GRU31" s="65"/>
      <c r="GRV31" s="65"/>
      <c r="GRW31" s="65"/>
      <c r="GRX31" s="65"/>
      <c r="GRY31" s="65"/>
      <c r="GRZ31" s="65"/>
      <c r="GSA31" s="65"/>
      <c r="GSB31" s="65"/>
      <c r="GSC31" s="65"/>
      <c r="GSD31" s="65"/>
      <c r="GSE31" s="65"/>
      <c r="GSF31" s="65"/>
      <c r="GSG31" s="65"/>
      <c r="GSH31" s="65"/>
      <c r="GSI31" s="65"/>
      <c r="GSJ31" s="65"/>
      <c r="GSK31" s="65"/>
      <c r="GSL31" s="65"/>
      <c r="GSM31" s="65"/>
      <c r="GSN31" s="65"/>
      <c r="GSO31" s="65"/>
      <c r="GSP31" s="65"/>
      <c r="GSQ31" s="65"/>
      <c r="GSR31" s="65"/>
      <c r="GSS31" s="65"/>
      <c r="GST31" s="65"/>
      <c r="GSU31" s="65"/>
      <c r="GSV31" s="65"/>
      <c r="GSW31" s="65"/>
      <c r="GSX31" s="65"/>
      <c r="GSY31" s="65"/>
      <c r="GSZ31" s="65"/>
      <c r="GTA31" s="65"/>
      <c r="GTB31" s="65"/>
      <c r="GTC31" s="65"/>
      <c r="GTD31" s="65"/>
      <c r="GTE31" s="65"/>
      <c r="GTF31" s="65"/>
      <c r="GTG31" s="65"/>
      <c r="GTH31" s="65"/>
      <c r="GTI31" s="65"/>
      <c r="GTJ31" s="65"/>
      <c r="GTK31" s="65"/>
      <c r="GTL31" s="65"/>
      <c r="GTM31" s="65"/>
      <c r="GTN31" s="65"/>
      <c r="GTO31" s="65"/>
      <c r="GTP31" s="65"/>
      <c r="GTQ31" s="65"/>
      <c r="GTR31" s="65"/>
      <c r="GTS31" s="65"/>
      <c r="GTT31" s="65"/>
      <c r="GTU31" s="65"/>
      <c r="GTV31" s="65"/>
      <c r="GTW31" s="65"/>
      <c r="GTX31" s="65"/>
      <c r="GTY31" s="65"/>
      <c r="GTZ31" s="65"/>
      <c r="GUA31" s="65"/>
      <c r="GUB31" s="65"/>
      <c r="GUC31" s="65"/>
      <c r="GUD31" s="65"/>
      <c r="GUE31" s="65"/>
      <c r="GUF31" s="65"/>
      <c r="GUG31" s="65"/>
      <c r="GUH31" s="65"/>
      <c r="GUI31" s="65"/>
      <c r="GUJ31" s="65"/>
      <c r="GUK31" s="65"/>
      <c r="GUL31" s="65"/>
      <c r="GUM31" s="65"/>
      <c r="GUN31" s="65"/>
      <c r="GUO31" s="65"/>
      <c r="GUP31" s="65"/>
      <c r="GUQ31" s="65"/>
      <c r="GUR31" s="65"/>
      <c r="GUS31" s="65"/>
      <c r="GUT31" s="65"/>
      <c r="GUU31" s="65"/>
      <c r="GUV31" s="65"/>
      <c r="GUW31" s="65"/>
      <c r="GUX31" s="65"/>
      <c r="GUY31" s="65"/>
      <c r="GUZ31" s="65"/>
      <c r="GVA31" s="65"/>
      <c r="GVB31" s="65"/>
      <c r="GVC31" s="65"/>
      <c r="GVD31" s="65"/>
      <c r="GVE31" s="65"/>
      <c r="GVF31" s="65"/>
      <c r="GVG31" s="65"/>
      <c r="GVH31" s="65"/>
      <c r="GVI31" s="65"/>
      <c r="GVJ31" s="65"/>
      <c r="GVK31" s="65"/>
      <c r="GVL31" s="65"/>
      <c r="GVM31" s="65"/>
      <c r="GVN31" s="65"/>
      <c r="GVO31" s="65"/>
      <c r="GVP31" s="65"/>
      <c r="GVQ31" s="65"/>
      <c r="GVR31" s="65"/>
      <c r="GVS31" s="65"/>
      <c r="GVT31" s="65"/>
      <c r="GVU31" s="65"/>
      <c r="GVV31" s="65"/>
      <c r="GVW31" s="65"/>
      <c r="GVX31" s="65"/>
      <c r="GVY31" s="65"/>
      <c r="GVZ31" s="65"/>
      <c r="GWA31" s="65"/>
      <c r="GWB31" s="65"/>
      <c r="GWC31" s="65"/>
      <c r="GWD31" s="65"/>
      <c r="GWE31" s="65"/>
      <c r="GWF31" s="65"/>
      <c r="GWG31" s="65"/>
      <c r="GWH31" s="65"/>
      <c r="GWI31" s="65"/>
      <c r="GWJ31" s="65"/>
      <c r="GWK31" s="65"/>
      <c r="GWL31" s="65"/>
      <c r="GWM31" s="65"/>
      <c r="GWN31" s="65"/>
      <c r="GWO31" s="65"/>
      <c r="GWP31" s="65"/>
      <c r="GWQ31" s="65"/>
      <c r="GWR31" s="65"/>
      <c r="GWS31" s="65"/>
      <c r="GWT31" s="65"/>
      <c r="GWU31" s="65"/>
      <c r="GWV31" s="65"/>
      <c r="GWW31" s="65"/>
      <c r="GWX31" s="65"/>
      <c r="GWY31" s="65"/>
      <c r="GWZ31" s="65"/>
      <c r="GXA31" s="65"/>
      <c r="GXB31" s="65"/>
      <c r="GXC31" s="65"/>
      <c r="GXD31" s="65"/>
      <c r="GXE31" s="65"/>
      <c r="GXF31" s="65"/>
      <c r="GXG31" s="65"/>
      <c r="GXH31" s="65"/>
      <c r="GXI31" s="65"/>
      <c r="GXJ31" s="65"/>
      <c r="GXK31" s="65"/>
      <c r="GXL31" s="65"/>
      <c r="GXM31" s="65"/>
      <c r="GXN31" s="65"/>
      <c r="GXO31" s="65"/>
      <c r="GXP31" s="65"/>
      <c r="GXQ31" s="65"/>
      <c r="GXR31" s="65"/>
      <c r="GXS31" s="65"/>
      <c r="GXT31" s="65"/>
      <c r="GXU31" s="65"/>
      <c r="GXV31" s="65"/>
      <c r="GXW31" s="65"/>
      <c r="GXX31" s="65"/>
      <c r="GXY31" s="65"/>
      <c r="GXZ31" s="65"/>
      <c r="GYA31" s="65"/>
      <c r="GYB31" s="65"/>
      <c r="GYC31" s="65"/>
      <c r="GYD31" s="65"/>
      <c r="GYE31" s="65"/>
      <c r="GYF31" s="65"/>
      <c r="GYG31" s="65"/>
      <c r="GYH31" s="65"/>
      <c r="GYI31" s="65"/>
      <c r="GYJ31" s="65"/>
      <c r="GYK31" s="65"/>
      <c r="GYL31" s="65"/>
      <c r="GYM31" s="65"/>
      <c r="GYN31" s="65"/>
      <c r="GYO31" s="65"/>
      <c r="GYP31" s="65"/>
      <c r="GYQ31" s="65"/>
      <c r="GYR31" s="65"/>
      <c r="GYS31" s="65"/>
      <c r="GYT31" s="65"/>
      <c r="GYU31" s="65"/>
      <c r="GYV31" s="65"/>
      <c r="GYW31" s="65"/>
      <c r="GYX31" s="65"/>
      <c r="GYY31" s="65"/>
      <c r="GYZ31" s="65"/>
      <c r="GZA31" s="65"/>
      <c r="GZB31" s="65"/>
      <c r="GZC31" s="65"/>
      <c r="GZD31" s="65"/>
      <c r="GZE31" s="65"/>
      <c r="GZF31" s="65"/>
      <c r="GZG31" s="65"/>
      <c r="GZH31" s="65"/>
      <c r="GZI31" s="65"/>
      <c r="GZJ31" s="65"/>
      <c r="GZK31" s="65"/>
      <c r="GZL31" s="65"/>
      <c r="GZM31" s="65"/>
      <c r="GZN31" s="65"/>
      <c r="GZO31" s="65"/>
      <c r="GZP31" s="65"/>
      <c r="GZQ31" s="65"/>
      <c r="GZR31" s="65"/>
      <c r="GZS31" s="65"/>
      <c r="GZT31" s="65"/>
      <c r="GZU31" s="65"/>
      <c r="GZV31" s="65"/>
      <c r="GZW31" s="65"/>
      <c r="GZX31" s="65"/>
      <c r="GZY31" s="65"/>
      <c r="GZZ31" s="65"/>
      <c r="HAA31" s="65"/>
      <c r="HAB31" s="65"/>
      <c r="HAC31" s="65"/>
      <c r="HAD31" s="65"/>
      <c r="HAE31" s="65"/>
      <c r="HAF31" s="65"/>
      <c r="HAG31" s="65"/>
      <c r="HAH31" s="65"/>
      <c r="HAI31" s="65"/>
      <c r="HAJ31" s="65"/>
      <c r="HAK31" s="65"/>
      <c r="HAL31" s="65"/>
      <c r="HAM31" s="65"/>
      <c r="HAN31" s="65"/>
      <c r="HAO31" s="65"/>
      <c r="HAP31" s="65"/>
      <c r="HAQ31" s="65"/>
      <c r="HAR31" s="65"/>
      <c r="HAS31" s="65"/>
      <c r="HAT31" s="65"/>
      <c r="HAU31" s="65"/>
      <c r="HAV31" s="65"/>
      <c r="HAW31" s="65"/>
      <c r="HAX31" s="65"/>
      <c r="HAY31" s="65"/>
      <c r="HAZ31" s="65"/>
      <c r="HBA31" s="65"/>
      <c r="HBB31" s="65"/>
      <c r="HBC31" s="65"/>
      <c r="HBD31" s="65"/>
      <c r="HBE31" s="65"/>
      <c r="HBF31" s="65"/>
      <c r="HBG31" s="65"/>
      <c r="HBH31" s="65"/>
      <c r="HBI31" s="65"/>
      <c r="HBJ31" s="65"/>
      <c r="HBK31" s="65"/>
      <c r="HBL31" s="65"/>
      <c r="HBM31" s="65"/>
      <c r="HBN31" s="65"/>
      <c r="HBO31" s="65"/>
      <c r="HBP31" s="65"/>
      <c r="HBQ31" s="65"/>
      <c r="HBR31" s="65"/>
      <c r="HBS31" s="65"/>
      <c r="HBT31" s="65"/>
      <c r="HBU31" s="65"/>
      <c r="HBV31" s="65"/>
      <c r="HBW31" s="65"/>
      <c r="HBX31" s="65"/>
      <c r="HBY31" s="65"/>
      <c r="HBZ31" s="65"/>
      <c r="HCA31" s="65"/>
      <c r="HCB31" s="65"/>
      <c r="HCC31" s="65"/>
      <c r="HCD31" s="65"/>
      <c r="HCE31" s="65"/>
      <c r="HCF31" s="65"/>
      <c r="HCG31" s="65"/>
      <c r="HCH31" s="65"/>
      <c r="HCI31" s="65"/>
      <c r="HCJ31" s="65"/>
      <c r="HCK31" s="65"/>
      <c r="HCL31" s="65"/>
      <c r="HCM31" s="65"/>
      <c r="HCN31" s="65"/>
      <c r="HCO31" s="65"/>
      <c r="HCP31" s="65"/>
      <c r="HCQ31" s="65"/>
      <c r="HCR31" s="65"/>
      <c r="HCS31" s="65"/>
      <c r="HCT31" s="65"/>
      <c r="HCU31" s="65"/>
      <c r="HCV31" s="65"/>
      <c r="HCW31" s="65"/>
      <c r="HCX31" s="65"/>
      <c r="HCY31" s="65"/>
      <c r="HCZ31" s="65"/>
      <c r="HDA31" s="65"/>
      <c r="HDB31" s="65"/>
      <c r="HDC31" s="65"/>
      <c r="HDD31" s="65"/>
      <c r="HDE31" s="65"/>
      <c r="HDF31" s="65"/>
      <c r="HDG31" s="65"/>
      <c r="HDH31" s="65"/>
      <c r="HDI31" s="65"/>
      <c r="HDJ31" s="65"/>
      <c r="HDK31" s="65"/>
      <c r="HDL31" s="65"/>
      <c r="HDM31" s="65"/>
      <c r="HDN31" s="65"/>
      <c r="HDO31" s="65"/>
      <c r="HDP31" s="65"/>
      <c r="HDQ31" s="65"/>
      <c r="HDR31" s="65"/>
      <c r="HDS31" s="65"/>
      <c r="HDT31" s="65"/>
      <c r="HDU31" s="65"/>
      <c r="HDV31" s="65"/>
      <c r="HDW31" s="65"/>
      <c r="HDX31" s="65"/>
      <c r="HDY31" s="65"/>
      <c r="HDZ31" s="65"/>
      <c r="HEA31" s="65"/>
      <c r="HEB31" s="65"/>
      <c r="HEC31" s="65"/>
      <c r="HED31" s="65"/>
      <c r="HEE31" s="65"/>
      <c r="HEF31" s="65"/>
      <c r="HEG31" s="65"/>
      <c r="HEH31" s="65"/>
      <c r="HEI31" s="65"/>
      <c r="HEJ31" s="65"/>
      <c r="HEK31" s="65"/>
      <c r="HEL31" s="65"/>
      <c r="HEM31" s="65"/>
      <c r="HEN31" s="65"/>
      <c r="HEO31" s="65"/>
      <c r="HEP31" s="65"/>
      <c r="HEQ31" s="65"/>
      <c r="HER31" s="65"/>
      <c r="HES31" s="65"/>
      <c r="HET31" s="65"/>
      <c r="HEU31" s="65"/>
      <c r="HEV31" s="65"/>
      <c r="HEW31" s="65"/>
      <c r="HEX31" s="65"/>
      <c r="HEY31" s="65"/>
      <c r="HEZ31" s="65"/>
      <c r="HFA31" s="65"/>
      <c r="HFB31" s="65"/>
      <c r="HFC31" s="65"/>
      <c r="HFD31" s="65"/>
      <c r="HFE31" s="65"/>
      <c r="HFF31" s="65"/>
      <c r="HFG31" s="65"/>
      <c r="HFH31" s="65"/>
      <c r="HFI31" s="65"/>
      <c r="HFJ31" s="65"/>
      <c r="HFK31" s="65"/>
      <c r="HFL31" s="65"/>
      <c r="HFM31" s="65"/>
      <c r="HFN31" s="65"/>
      <c r="HFO31" s="65"/>
      <c r="HFP31" s="65"/>
      <c r="HFQ31" s="65"/>
      <c r="HFR31" s="65"/>
      <c r="HFS31" s="65"/>
      <c r="HFT31" s="65"/>
      <c r="HFU31" s="65"/>
      <c r="HFV31" s="65"/>
      <c r="HFW31" s="65"/>
      <c r="HFX31" s="65"/>
      <c r="HFY31" s="65"/>
      <c r="HFZ31" s="65"/>
      <c r="HGA31" s="65"/>
      <c r="HGB31" s="65"/>
      <c r="HGC31" s="65"/>
      <c r="HGD31" s="65"/>
      <c r="HGE31" s="65"/>
      <c r="HGF31" s="65"/>
      <c r="HGG31" s="65"/>
      <c r="HGH31" s="65"/>
      <c r="HGI31" s="65"/>
      <c r="HGJ31" s="65"/>
      <c r="HGK31" s="65"/>
      <c r="HGL31" s="65"/>
      <c r="HGM31" s="65"/>
      <c r="HGN31" s="65"/>
      <c r="HGO31" s="65"/>
      <c r="HGP31" s="65"/>
      <c r="HGQ31" s="65"/>
      <c r="HGR31" s="65"/>
      <c r="HGS31" s="65"/>
      <c r="HGT31" s="65"/>
      <c r="HGU31" s="65"/>
      <c r="HGV31" s="65"/>
      <c r="HGW31" s="65"/>
      <c r="HGX31" s="65"/>
      <c r="HGY31" s="65"/>
      <c r="HGZ31" s="65"/>
      <c r="HHA31" s="65"/>
      <c r="HHB31" s="65"/>
      <c r="HHC31" s="65"/>
      <c r="HHD31" s="65"/>
      <c r="HHE31" s="65"/>
      <c r="HHF31" s="65"/>
      <c r="HHG31" s="65"/>
      <c r="HHH31" s="65"/>
      <c r="HHI31" s="65"/>
      <c r="HHJ31" s="65"/>
      <c r="HHK31" s="65"/>
      <c r="HHL31" s="65"/>
      <c r="HHM31" s="65"/>
      <c r="HHN31" s="65"/>
      <c r="HHO31" s="65"/>
      <c r="HHP31" s="65"/>
      <c r="HHQ31" s="65"/>
      <c r="HHR31" s="65"/>
      <c r="HHS31" s="65"/>
      <c r="HHT31" s="65"/>
      <c r="HHU31" s="65"/>
      <c r="HHV31" s="65"/>
      <c r="HHW31" s="65"/>
      <c r="HHX31" s="65"/>
      <c r="HHY31" s="65"/>
      <c r="HHZ31" s="65"/>
      <c r="HIA31" s="65"/>
      <c r="HIB31" s="65"/>
      <c r="HIC31" s="65"/>
      <c r="HID31" s="65"/>
      <c r="HIE31" s="65"/>
      <c r="HIF31" s="65"/>
      <c r="HIG31" s="65"/>
      <c r="HIH31" s="65"/>
      <c r="HII31" s="65"/>
      <c r="HIJ31" s="65"/>
      <c r="HIK31" s="65"/>
      <c r="HIL31" s="65"/>
      <c r="HIM31" s="65"/>
      <c r="HIN31" s="65"/>
      <c r="HIO31" s="65"/>
      <c r="HIP31" s="65"/>
      <c r="HIQ31" s="65"/>
      <c r="HIR31" s="65"/>
      <c r="HIS31" s="65"/>
      <c r="HIT31" s="65"/>
      <c r="HIU31" s="65"/>
      <c r="HIV31" s="65"/>
      <c r="HIW31" s="65"/>
      <c r="HIX31" s="65"/>
      <c r="HIY31" s="65"/>
      <c r="HIZ31" s="65"/>
      <c r="HJA31" s="65"/>
      <c r="HJB31" s="65"/>
      <c r="HJC31" s="65"/>
      <c r="HJD31" s="65"/>
      <c r="HJE31" s="65"/>
      <c r="HJF31" s="65"/>
      <c r="HJG31" s="65"/>
      <c r="HJH31" s="65"/>
      <c r="HJI31" s="65"/>
      <c r="HJJ31" s="65"/>
      <c r="HJK31" s="65"/>
      <c r="HJL31" s="65"/>
      <c r="HJM31" s="65"/>
      <c r="HJN31" s="65"/>
      <c r="HJO31" s="65"/>
      <c r="HJP31" s="65"/>
      <c r="HJQ31" s="65"/>
      <c r="HJR31" s="65"/>
      <c r="HJS31" s="65"/>
      <c r="HJT31" s="65"/>
      <c r="HJU31" s="65"/>
      <c r="HJV31" s="65"/>
      <c r="HJW31" s="65"/>
      <c r="HJX31" s="65"/>
      <c r="HJY31" s="65"/>
      <c r="HJZ31" s="65"/>
      <c r="HKA31" s="65"/>
      <c r="HKB31" s="65"/>
      <c r="HKC31" s="65"/>
      <c r="HKD31" s="65"/>
      <c r="HKE31" s="65"/>
      <c r="HKF31" s="65"/>
      <c r="HKG31" s="65"/>
      <c r="HKH31" s="65"/>
      <c r="HKI31" s="65"/>
      <c r="HKJ31" s="65"/>
      <c r="HKK31" s="65"/>
      <c r="HKL31" s="65"/>
      <c r="HKM31" s="65"/>
      <c r="HKN31" s="65"/>
      <c r="HKO31" s="65"/>
      <c r="HKP31" s="65"/>
      <c r="HKQ31" s="65"/>
      <c r="HKR31" s="65"/>
      <c r="HKS31" s="65"/>
      <c r="HKT31" s="65"/>
      <c r="HKU31" s="65"/>
      <c r="HKV31" s="65"/>
      <c r="HKW31" s="65"/>
      <c r="HKX31" s="65"/>
      <c r="HKY31" s="65"/>
      <c r="HKZ31" s="65"/>
      <c r="HLA31" s="65"/>
      <c r="HLB31" s="65"/>
      <c r="HLC31" s="65"/>
      <c r="HLD31" s="65"/>
      <c r="HLE31" s="65"/>
      <c r="HLF31" s="65"/>
      <c r="HLG31" s="65"/>
      <c r="HLH31" s="65"/>
      <c r="HLI31" s="65"/>
      <c r="HLJ31" s="65"/>
      <c r="HLK31" s="65"/>
      <c r="HLL31" s="65"/>
      <c r="HLM31" s="65"/>
      <c r="HLN31" s="65"/>
      <c r="HLO31" s="65"/>
      <c r="HLP31" s="65"/>
      <c r="HLQ31" s="65"/>
      <c r="HLR31" s="65"/>
      <c r="HLS31" s="65"/>
      <c r="HLT31" s="65"/>
      <c r="HLU31" s="65"/>
      <c r="HLV31" s="65"/>
      <c r="HLW31" s="65"/>
      <c r="HLX31" s="65"/>
      <c r="HLY31" s="65"/>
      <c r="HLZ31" s="65"/>
      <c r="HMA31" s="65"/>
      <c r="HMB31" s="65"/>
      <c r="HMC31" s="65"/>
      <c r="HMD31" s="65"/>
      <c r="HME31" s="65"/>
      <c r="HMF31" s="65"/>
      <c r="HMG31" s="65"/>
      <c r="HMH31" s="65"/>
      <c r="HMI31" s="65"/>
      <c r="HMJ31" s="65"/>
      <c r="HMK31" s="65"/>
      <c r="HML31" s="65"/>
      <c r="HMM31" s="65"/>
      <c r="HMN31" s="65"/>
      <c r="HMO31" s="65"/>
      <c r="HMP31" s="65"/>
      <c r="HMQ31" s="65"/>
      <c r="HMR31" s="65"/>
      <c r="HMS31" s="65"/>
      <c r="HMT31" s="65"/>
      <c r="HMU31" s="65"/>
      <c r="HMV31" s="65"/>
      <c r="HMW31" s="65"/>
      <c r="HMX31" s="65"/>
      <c r="HMY31" s="65"/>
      <c r="HMZ31" s="65"/>
      <c r="HNA31" s="65"/>
      <c r="HNB31" s="65"/>
      <c r="HNC31" s="65"/>
      <c r="HND31" s="65"/>
      <c r="HNE31" s="65"/>
      <c r="HNF31" s="65"/>
      <c r="HNG31" s="65"/>
      <c r="HNH31" s="65"/>
      <c r="HNI31" s="65"/>
      <c r="HNJ31" s="65"/>
      <c r="HNK31" s="65"/>
      <c r="HNL31" s="65"/>
      <c r="HNM31" s="65"/>
      <c r="HNN31" s="65"/>
      <c r="HNO31" s="65"/>
      <c r="HNP31" s="65"/>
      <c r="HNQ31" s="65"/>
      <c r="HNR31" s="65"/>
      <c r="HNS31" s="65"/>
      <c r="HNT31" s="65"/>
      <c r="HNU31" s="65"/>
      <c r="HNV31" s="65"/>
      <c r="HNW31" s="65"/>
      <c r="HNX31" s="65"/>
      <c r="HNY31" s="65"/>
      <c r="HNZ31" s="65"/>
      <c r="HOA31" s="65"/>
      <c r="HOB31" s="65"/>
      <c r="HOC31" s="65"/>
      <c r="HOD31" s="65"/>
      <c r="HOE31" s="65"/>
      <c r="HOF31" s="65"/>
      <c r="HOG31" s="65"/>
      <c r="HOH31" s="65"/>
      <c r="HOI31" s="65"/>
      <c r="HOJ31" s="65"/>
      <c r="HOK31" s="65"/>
      <c r="HOL31" s="65"/>
      <c r="HOM31" s="65"/>
      <c r="HON31" s="65"/>
      <c r="HOO31" s="65"/>
      <c r="HOP31" s="65"/>
      <c r="HOQ31" s="65"/>
      <c r="HOR31" s="65"/>
      <c r="HOS31" s="65"/>
      <c r="HOT31" s="65"/>
      <c r="HOU31" s="65"/>
      <c r="HOV31" s="65"/>
      <c r="HOW31" s="65"/>
      <c r="HOX31" s="65"/>
      <c r="HOY31" s="65"/>
      <c r="HOZ31" s="65"/>
      <c r="HPA31" s="65"/>
      <c r="HPB31" s="65"/>
      <c r="HPC31" s="65"/>
      <c r="HPD31" s="65"/>
      <c r="HPE31" s="65"/>
      <c r="HPF31" s="65"/>
      <c r="HPG31" s="65"/>
      <c r="HPH31" s="65"/>
      <c r="HPI31" s="65"/>
      <c r="HPJ31" s="65"/>
      <c r="HPK31" s="65"/>
      <c r="HPL31" s="65"/>
      <c r="HPM31" s="65"/>
      <c r="HPN31" s="65"/>
      <c r="HPO31" s="65"/>
      <c r="HPP31" s="65"/>
      <c r="HPQ31" s="65"/>
      <c r="HPR31" s="65"/>
      <c r="HPS31" s="65"/>
      <c r="HPT31" s="65"/>
      <c r="HPU31" s="65"/>
      <c r="HPV31" s="65"/>
      <c r="HPW31" s="65"/>
      <c r="HPX31" s="65"/>
      <c r="HPY31" s="65"/>
      <c r="HPZ31" s="65"/>
      <c r="HQA31" s="65"/>
      <c r="HQB31" s="65"/>
      <c r="HQC31" s="65"/>
      <c r="HQD31" s="65"/>
      <c r="HQE31" s="65"/>
      <c r="HQF31" s="65"/>
      <c r="HQG31" s="65"/>
      <c r="HQH31" s="65"/>
      <c r="HQI31" s="65"/>
      <c r="HQJ31" s="65"/>
      <c r="HQK31" s="65"/>
      <c r="HQL31" s="65"/>
      <c r="HQM31" s="65"/>
      <c r="HQN31" s="65"/>
      <c r="HQO31" s="65"/>
      <c r="HQP31" s="65"/>
      <c r="HQQ31" s="65"/>
      <c r="HQR31" s="65"/>
      <c r="HQS31" s="65"/>
      <c r="HQT31" s="65"/>
      <c r="HQU31" s="65"/>
      <c r="HQV31" s="65"/>
      <c r="HQW31" s="65"/>
      <c r="HQX31" s="65"/>
      <c r="HQY31" s="65"/>
      <c r="HQZ31" s="65"/>
      <c r="HRA31" s="65"/>
      <c r="HRB31" s="65"/>
      <c r="HRC31" s="65"/>
      <c r="HRD31" s="65"/>
      <c r="HRE31" s="65"/>
      <c r="HRF31" s="65"/>
      <c r="HRG31" s="65"/>
      <c r="HRH31" s="65"/>
      <c r="HRI31" s="65"/>
      <c r="HRJ31" s="65"/>
      <c r="HRK31" s="65"/>
      <c r="HRL31" s="65"/>
      <c r="HRM31" s="65"/>
      <c r="HRN31" s="65"/>
      <c r="HRO31" s="65"/>
      <c r="HRP31" s="65"/>
      <c r="HRQ31" s="65"/>
      <c r="HRR31" s="65"/>
      <c r="HRS31" s="65"/>
      <c r="HRT31" s="65"/>
      <c r="HRU31" s="65"/>
      <c r="HRV31" s="65"/>
      <c r="HRW31" s="65"/>
      <c r="HRX31" s="65"/>
      <c r="HRY31" s="65"/>
      <c r="HRZ31" s="65"/>
      <c r="HSA31" s="65"/>
      <c r="HSB31" s="65"/>
      <c r="HSC31" s="65"/>
      <c r="HSD31" s="65"/>
      <c r="HSE31" s="65"/>
      <c r="HSF31" s="65"/>
      <c r="HSG31" s="65"/>
      <c r="HSH31" s="65"/>
      <c r="HSI31" s="65"/>
      <c r="HSJ31" s="65"/>
      <c r="HSK31" s="65"/>
      <c r="HSL31" s="65"/>
      <c r="HSM31" s="65"/>
      <c r="HSN31" s="65"/>
      <c r="HSO31" s="65"/>
      <c r="HSP31" s="65"/>
      <c r="HSQ31" s="65"/>
      <c r="HSR31" s="65"/>
      <c r="HSS31" s="65"/>
      <c r="HST31" s="65"/>
      <c r="HSU31" s="65"/>
      <c r="HSV31" s="65"/>
      <c r="HSW31" s="65"/>
      <c r="HSX31" s="65"/>
      <c r="HSY31" s="65"/>
      <c r="HSZ31" s="65"/>
      <c r="HTA31" s="65"/>
      <c r="HTB31" s="65"/>
      <c r="HTC31" s="65"/>
      <c r="HTD31" s="65"/>
      <c r="HTE31" s="65"/>
      <c r="HTF31" s="65"/>
      <c r="HTG31" s="65"/>
      <c r="HTH31" s="65"/>
      <c r="HTI31" s="65"/>
      <c r="HTJ31" s="65"/>
      <c r="HTK31" s="65"/>
      <c r="HTL31" s="65"/>
      <c r="HTM31" s="65"/>
      <c r="HTN31" s="65"/>
      <c r="HTO31" s="65"/>
      <c r="HTP31" s="65"/>
      <c r="HTQ31" s="65"/>
      <c r="HTR31" s="65"/>
      <c r="HTS31" s="65"/>
      <c r="HTT31" s="65"/>
      <c r="HTU31" s="65"/>
      <c r="HTV31" s="65"/>
      <c r="HTW31" s="65"/>
      <c r="HTX31" s="65"/>
      <c r="HTY31" s="65"/>
      <c r="HTZ31" s="65"/>
      <c r="HUA31" s="65"/>
      <c r="HUB31" s="65"/>
      <c r="HUC31" s="65"/>
      <c r="HUD31" s="65"/>
      <c r="HUE31" s="65"/>
      <c r="HUF31" s="65"/>
      <c r="HUG31" s="65"/>
      <c r="HUH31" s="65"/>
      <c r="HUI31" s="65"/>
      <c r="HUJ31" s="65"/>
      <c r="HUK31" s="65"/>
      <c r="HUL31" s="65"/>
      <c r="HUM31" s="65"/>
      <c r="HUN31" s="65"/>
      <c r="HUO31" s="65"/>
      <c r="HUP31" s="65"/>
      <c r="HUQ31" s="65"/>
      <c r="HUR31" s="65"/>
      <c r="HUS31" s="65"/>
      <c r="HUT31" s="65"/>
      <c r="HUU31" s="65"/>
      <c r="HUV31" s="65"/>
      <c r="HUW31" s="65"/>
      <c r="HUX31" s="65"/>
      <c r="HUY31" s="65"/>
      <c r="HUZ31" s="65"/>
      <c r="HVA31" s="65"/>
      <c r="HVB31" s="65"/>
      <c r="HVC31" s="65"/>
      <c r="HVD31" s="65"/>
      <c r="HVE31" s="65"/>
      <c r="HVF31" s="65"/>
      <c r="HVG31" s="65"/>
      <c r="HVH31" s="65"/>
      <c r="HVI31" s="65"/>
      <c r="HVJ31" s="65"/>
      <c r="HVK31" s="65"/>
      <c r="HVL31" s="65"/>
      <c r="HVM31" s="65"/>
      <c r="HVN31" s="65"/>
      <c r="HVO31" s="65"/>
      <c r="HVP31" s="65"/>
      <c r="HVQ31" s="65"/>
      <c r="HVR31" s="65"/>
      <c r="HVS31" s="65"/>
      <c r="HVT31" s="65"/>
      <c r="HVU31" s="65"/>
      <c r="HVV31" s="65"/>
      <c r="HVW31" s="65"/>
      <c r="HVX31" s="65"/>
      <c r="HVY31" s="65"/>
      <c r="HVZ31" s="65"/>
      <c r="HWA31" s="65"/>
      <c r="HWB31" s="65"/>
      <c r="HWC31" s="65"/>
      <c r="HWD31" s="65"/>
      <c r="HWE31" s="65"/>
      <c r="HWF31" s="65"/>
      <c r="HWG31" s="65"/>
      <c r="HWH31" s="65"/>
      <c r="HWI31" s="65"/>
      <c r="HWJ31" s="65"/>
      <c r="HWK31" s="65"/>
      <c r="HWL31" s="65"/>
      <c r="HWM31" s="65"/>
      <c r="HWN31" s="65"/>
      <c r="HWO31" s="65"/>
      <c r="HWP31" s="65"/>
      <c r="HWQ31" s="65"/>
      <c r="HWR31" s="65"/>
      <c r="HWS31" s="65"/>
      <c r="HWT31" s="65"/>
      <c r="HWU31" s="65"/>
      <c r="HWV31" s="65"/>
      <c r="HWW31" s="65"/>
      <c r="HWX31" s="65"/>
      <c r="HWY31" s="65"/>
      <c r="HWZ31" s="65"/>
      <c r="HXA31" s="65"/>
      <c r="HXB31" s="65"/>
      <c r="HXC31" s="65"/>
      <c r="HXD31" s="65"/>
      <c r="HXE31" s="65"/>
      <c r="HXF31" s="65"/>
      <c r="HXG31" s="65"/>
      <c r="HXH31" s="65"/>
      <c r="HXI31" s="65"/>
      <c r="HXJ31" s="65"/>
      <c r="HXK31" s="65"/>
      <c r="HXL31" s="65"/>
      <c r="HXM31" s="65"/>
      <c r="HXN31" s="65"/>
      <c r="HXO31" s="65"/>
      <c r="HXP31" s="65"/>
      <c r="HXQ31" s="65"/>
      <c r="HXR31" s="65"/>
      <c r="HXS31" s="65"/>
      <c r="HXT31" s="65"/>
      <c r="HXU31" s="65"/>
      <c r="HXV31" s="65"/>
      <c r="HXW31" s="65"/>
      <c r="HXX31" s="65"/>
      <c r="HXY31" s="65"/>
      <c r="HXZ31" s="65"/>
      <c r="HYA31" s="65"/>
      <c r="HYB31" s="65"/>
      <c r="HYC31" s="65"/>
      <c r="HYD31" s="65"/>
      <c r="HYE31" s="65"/>
      <c r="HYF31" s="65"/>
      <c r="HYG31" s="65"/>
      <c r="HYH31" s="65"/>
      <c r="HYI31" s="65"/>
      <c r="HYJ31" s="65"/>
      <c r="HYK31" s="65"/>
      <c r="HYL31" s="65"/>
      <c r="HYM31" s="65"/>
      <c r="HYN31" s="65"/>
      <c r="HYO31" s="65"/>
      <c r="HYP31" s="65"/>
      <c r="HYQ31" s="65"/>
      <c r="HYR31" s="65"/>
      <c r="HYS31" s="65"/>
      <c r="HYT31" s="65"/>
      <c r="HYU31" s="65"/>
      <c r="HYV31" s="65"/>
      <c r="HYW31" s="65"/>
      <c r="HYX31" s="65"/>
      <c r="HYY31" s="65"/>
      <c r="HYZ31" s="65"/>
      <c r="HZA31" s="65"/>
      <c r="HZB31" s="65"/>
      <c r="HZC31" s="65"/>
      <c r="HZD31" s="65"/>
      <c r="HZE31" s="65"/>
      <c r="HZF31" s="65"/>
      <c r="HZG31" s="65"/>
      <c r="HZH31" s="65"/>
      <c r="HZI31" s="65"/>
      <c r="HZJ31" s="65"/>
      <c r="HZK31" s="65"/>
      <c r="HZL31" s="65"/>
      <c r="HZM31" s="65"/>
      <c r="HZN31" s="65"/>
      <c r="HZO31" s="65"/>
      <c r="HZP31" s="65"/>
      <c r="HZQ31" s="65"/>
      <c r="HZR31" s="65"/>
      <c r="HZS31" s="65"/>
      <c r="HZT31" s="65"/>
      <c r="HZU31" s="65"/>
      <c r="HZV31" s="65"/>
      <c r="HZW31" s="65"/>
      <c r="HZX31" s="65"/>
      <c r="HZY31" s="65"/>
      <c r="HZZ31" s="65"/>
      <c r="IAA31" s="65"/>
      <c r="IAB31" s="65"/>
      <c r="IAC31" s="65"/>
      <c r="IAD31" s="65"/>
      <c r="IAE31" s="65"/>
      <c r="IAF31" s="65"/>
      <c r="IAG31" s="65"/>
      <c r="IAH31" s="65"/>
      <c r="IAI31" s="65"/>
      <c r="IAJ31" s="65"/>
      <c r="IAK31" s="65"/>
      <c r="IAL31" s="65"/>
      <c r="IAM31" s="65"/>
      <c r="IAN31" s="65"/>
      <c r="IAO31" s="65"/>
      <c r="IAP31" s="65"/>
      <c r="IAQ31" s="65"/>
      <c r="IAR31" s="65"/>
      <c r="IAS31" s="65"/>
      <c r="IAT31" s="65"/>
      <c r="IAU31" s="65"/>
      <c r="IAV31" s="65"/>
      <c r="IAW31" s="65"/>
      <c r="IAX31" s="65"/>
      <c r="IAY31" s="65"/>
      <c r="IAZ31" s="65"/>
      <c r="IBA31" s="65"/>
      <c r="IBB31" s="65"/>
      <c r="IBC31" s="65"/>
      <c r="IBD31" s="65"/>
      <c r="IBE31" s="65"/>
      <c r="IBF31" s="65"/>
      <c r="IBG31" s="65"/>
      <c r="IBH31" s="65"/>
      <c r="IBI31" s="65"/>
      <c r="IBJ31" s="65"/>
      <c r="IBK31" s="65"/>
      <c r="IBL31" s="65"/>
      <c r="IBM31" s="65"/>
      <c r="IBN31" s="65"/>
      <c r="IBO31" s="65"/>
      <c r="IBP31" s="65"/>
      <c r="IBQ31" s="65"/>
      <c r="IBR31" s="65"/>
      <c r="IBS31" s="65"/>
      <c r="IBT31" s="65"/>
      <c r="IBU31" s="65"/>
      <c r="IBV31" s="65"/>
      <c r="IBW31" s="65"/>
      <c r="IBX31" s="65"/>
      <c r="IBY31" s="65"/>
      <c r="IBZ31" s="65"/>
      <c r="ICA31" s="65"/>
      <c r="ICB31" s="65"/>
      <c r="ICC31" s="65"/>
      <c r="ICD31" s="65"/>
      <c r="ICE31" s="65"/>
      <c r="ICF31" s="65"/>
      <c r="ICG31" s="65"/>
      <c r="ICH31" s="65"/>
      <c r="ICI31" s="65"/>
      <c r="ICJ31" s="65"/>
      <c r="ICK31" s="65"/>
      <c r="ICL31" s="65"/>
      <c r="ICM31" s="65"/>
      <c r="ICN31" s="65"/>
      <c r="ICO31" s="65"/>
      <c r="ICP31" s="65"/>
      <c r="ICQ31" s="65"/>
      <c r="ICR31" s="65"/>
      <c r="ICS31" s="65"/>
      <c r="ICT31" s="65"/>
      <c r="ICU31" s="65"/>
      <c r="ICV31" s="65"/>
      <c r="ICW31" s="65"/>
      <c r="ICX31" s="65"/>
      <c r="ICY31" s="65"/>
      <c r="ICZ31" s="65"/>
      <c r="IDA31" s="65"/>
      <c r="IDB31" s="65"/>
      <c r="IDC31" s="65"/>
      <c r="IDD31" s="65"/>
      <c r="IDE31" s="65"/>
      <c r="IDF31" s="65"/>
      <c r="IDG31" s="65"/>
      <c r="IDH31" s="65"/>
      <c r="IDI31" s="65"/>
      <c r="IDJ31" s="65"/>
      <c r="IDK31" s="65"/>
      <c r="IDL31" s="65"/>
      <c r="IDM31" s="65"/>
      <c r="IDN31" s="65"/>
      <c r="IDO31" s="65"/>
      <c r="IDP31" s="65"/>
      <c r="IDQ31" s="65"/>
      <c r="IDR31" s="65"/>
      <c r="IDS31" s="65"/>
      <c r="IDT31" s="65"/>
      <c r="IDU31" s="65"/>
      <c r="IDV31" s="65"/>
      <c r="IDW31" s="65"/>
      <c r="IDX31" s="65"/>
      <c r="IDY31" s="65"/>
      <c r="IDZ31" s="65"/>
      <c r="IEA31" s="65"/>
      <c r="IEB31" s="65"/>
      <c r="IEC31" s="65"/>
      <c r="IED31" s="65"/>
      <c r="IEE31" s="65"/>
      <c r="IEF31" s="65"/>
      <c r="IEG31" s="65"/>
      <c r="IEH31" s="65"/>
      <c r="IEI31" s="65"/>
      <c r="IEJ31" s="65"/>
      <c r="IEK31" s="65"/>
      <c r="IEL31" s="65"/>
      <c r="IEM31" s="65"/>
      <c r="IEN31" s="65"/>
      <c r="IEO31" s="65"/>
      <c r="IEP31" s="65"/>
      <c r="IEQ31" s="65"/>
      <c r="IER31" s="65"/>
      <c r="IES31" s="65"/>
      <c r="IET31" s="65"/>
      <c r="IEU31" s="65"/>
      <c r="IEV31" s="65"/>
      <c r="IEW31" s="65"/>
      <c r="IEX31" s="65"/>
      <c r="IEY31" s="65"/>
      <c r="IEZ31" s="65"/>
      <c r="IFA31" s="65"/>
      <c r="IFB31" s="65"/>
      <c r="IFC31" s="65"/>
      <c r="IFD31" s="65"/>
      <c r="IFE31" s="65"/>
      <c r="IFF31" s="65"/>
      <c r="IFG31" s="65"/>
      <c r="IFH31" s="65"/>
      <c r="IFI31" s="65"/>
      <c r="IFJ31" s="65"/>
      <c r="IFK31" s="65"/>
      <c r="IFL31" s="65"/>
      <c r="IFM31" s="65"/>
      <c r="IFN31" s="65"/>
      <c r="IFO31" s="65"/>
      <c r="IFP31" s="65"/>
      <c r="IFQ31" s="65"/>
      <c r="IFR31" s="65"/>
      <c r="IFS31" s="65"/>
      <c r="IFT31" s="65"/>
      <c r="IFU31" s="65"/>
      <c r="IFV31" s="65"/>
      <c r="IFW31" s="65"/>
      <c r="IFX31" s="65"/>
      <c r="IFY31" s="65"/>
      <c r="IFZ31" s="65"/>
      <c r="IGA31" s="65"/>
      <c r="IGB31" s="65"/>
      <c r="IGC31" s="65"/>
      <c r="IGD31" s="65"/>
      <c r="IGE31" s="65"/>
      <c r="IGF31" s="65"/>
      <c r="IGG31" s="65"/>
      <c r="IGH31" s="65"/>
      <c r="IGI31" s="65"/>
      <c r="IGJ31" s="65"/>
      <c r="IGK31" s="65"/>
      <c r="IGL31" s="65"/>
      <c r="IGM31" s="65"/>
      <c r="IGN31" s="65"/>
      <c r="IGO31" s="65"/>
      <c r="IGP31" s="65"/>
      <c r="IGQ31" s="65"/>
      <c r="IGR31" s="65"/>
      <c r="IGS31" s="65"/>
      <c r="IGT31" s="65"/>
      <c r="IGU31" s="65"/>
      <c r="IGV31" s="65"/>
      <c r="IGW31" s="65"/>
      <c r="IGX31" s="65"/>
      <c r="IGY31" s="65"/>
      <c r="IGZ31" s="65"/>
      <c r="IHA31" s="65"/>
      <c r="IHB31" s="65"/>
      <c r="IHC31" s="65"/>
      <c r="IHD31" s="65"/>
      <c r="IHE31" s="65"/>
      <c r="IHF31" s="65"/>
      <c r="IHG31" s="65"/>
      <c r="IHH31" s="65"/>
      <c r="IHI31" s="65"/>
      <c r="IHJ31" s="65"/>
      <c r="IHK31" s="65"/>
      <c r="IHL31" s="65"/>
      <c r="IHM31" s="65"/>
      <c r="IHN31" s="65"/>
      <c r="IHO31" s="65"/>
      <c r="IHP31" s="65"/>
      <c r="IHQ31" s="65"/>
      <c r="IHR31" s="65"/>
      <c r="IHS31" s="65"/>
      <c r="IHT31" s="65"/>
      <c r="IHU31" s="65"/>
      <c r="IHV31" s="65"/>
      <c r="IHW31" s="65"/>
      <c r="IHX31" s="65"/>
      <c r="IHY31" s="65"/>
      <c r="IHZ31" s="65"/>
      <c r="IIA31" s="65"/>
      <c r="IIB31" s="65"/>
      <c r="IIC31" s="65"/>
      <c r="IID31" s="65"/>
      <c r="IIE31" s="65"/>
      <c r="IIF31" s="65"/>
      <c r="IIG31" s="65"/>
      <c r="IIH31" s="65"/>
      <c r="III31" s="65"/>
      <c r="IIJ31" s="65"/>
      <c r="IIK31" s="65"/>
      <c r="IIL31" s="65"/>
      <c r="IIM31" s="65"/>
      <c r="IIN31" s="65"/>
      <c r="IIO31" s="65"/>
      <c r="IIP31" s="65"/>
      <c r="IIQ31" s="65"/>
      <c r="IIR31" s="65"/>
      <c r="IIS31" s="65"/>
      <c r="IIT31" s="65"/>
      <c r="IIU31" s="65"/>
      <c r="IIV31" s="65"/>
      <c r="IIW31" s="65"/>
      <c r="IIX31" s="65"/>
      <c r="IIY31" s="65"/>
      <c r="IIZ31" s="65"/>
      <c r="IJA31" s="65"/>
      <c r="IJB31" s="65"/>
      <c r="IJC31" s="65"/>
      <c r="IJD31" s="65"/>
      <c r="IJE31" s="65"/>
      <c r="IJF31" s="65"/>
      <c r="IJG31" s="65"/>
      <c r="IJH31" s="65"/>
      <c r="IJI31" s="65"/>
      <c r="IJJ31" s="65"/>
      <c r="IJK31" s="65"/>
      <c r="IJL31" s="65"/>
      <c r="IJM31" s="65"/>
      <c r="IJN31" s="65"/>
      <c r="IJO31" s="65"/>
      <c r="IJP31" s="65"/>
      <c r="IJQ31" s="65"/>
      <c r="IJR31" s="65"/>
      <c r="IJS31" s="65"/>
      <c r="IJT31" s="65"/>
      <c r="IJU31" s="65"/>
      <c r="IJV31" s="65"/>
      <c r="IJW31" s="65"/>
      <c r="IJX31" s="65"/>
      <c r="IJY31" s="65"/>
      <c r="IJZ31" s="65"/>
      <c r="IKA31" s="65"/>
      <c r="IKB31" s="65"/>
      <c r="IKC31" s="65"/>
      <c r="IKD31" s="65"/>
      <c r="IKE31" s="65"/>
      <c r="IKF31" s="65"/>
      <c r="IKG31" s="65"/>
      <c r="IKH31" s="65"/>
      <c r="IKI31" s="65"/>
      <c r="IKJ31" s="65"/>
      <c r="IKK31" s="65"/>
      <c r="IKL31" s="65"/>
      <c r="IKM31" s="65"/>
      <c r="IKN31" s="65"/>
      <c r="IKO31" s="65"/>
      <c r="IKP31" s="65"/>
      <c r="IKQ31" s="65"/>
      <c r="IKR31" s="65"/>
      <c r="IKS31" s="65"/>
      <c r="IKT31" s="65"/>
      <c r="IKU31" s="65"/>
      <c r="IKV31" s="65"/>
      <c r="IKW31" s="65"/>
      <c r="IKX31" s="65"/>
      <c r="IKY31" s="65"/>
      <c r="IKZ31" s="65"/>
      <c r="ILA31" s="65"/>
      <c r="ILB31" s="65"/>
      <c r="ILC31" s="65"/>
      <c r="ILD31" s="65"/>
      <c r="ILE31" s="65"/>
      <c r="ILF31" s="65"/>
      <c r="ILG31" s="65"/>
      <c r="ILH31" s="65"/>
      <c r="ILI31" s="65"/>
      <c r="ILJ31" s="65"/>
      <c r="ILK31" s="65"/>
      <c r="ILL31" s="65"/>
      <c r="ILM31" s="65"/>
      <c r="ILN31" s="65"/>
      <c r="ILO31" s="65"/>
      <c r="ILP31" s="65"/>
      <c r="ILQ31" s="65"/>
      <c r="ILR31" s="65"/>
      <c r="ILS31" s="65"/>
      <c r="ILT31" s="65"/>
      <c r="ILU31" s="65"/>
      <c r="ILV31" s="65"/>
      <c r="ILW31" s="65"/>
      <c r="ILX31" s="65"/>
      <c r="ILY31" s="65"/>
      <c r="ILZ31" s="65"/>
      <c r="IMA31" s="65"/>
      <c r="IMB31" s="65"/>
      <c r="IMC31" s="65"/>
      <c r="IMD31" s="65"/>
      <c r="IME31" s="65"/>
      <c r="IMF31" s="65"/>
      <c r="IMG31" s="65"/>
      <c r="IMH31" s="65"/>
      <c r="IMI31" s="65"/>
      <c r="IMJ31" s="65"/>
      <c r="IMK31" s="65"/>
      <c r="IML31" s="65"/>
      <c r="IMM31" s="65"/>
      <c r="IMN31" s="65"/>
      <c r="IMO31" s="65"/>
      <c r="IMP31" s="65"/>
      <c r="IMQ31" s="65"/>
      <c r="IMR31" s="65"/>
      <c r="IMS31" s="65"/>
      <c r="IMT31" s="65"/>
      <c r="IMU31" s="65"/>
      <c r="IMV31" s="65"/>
      <c r="IMW31" s="65"/>
      <c r="IMX31" s="65"/>
      <c r="IMY31" s="65"/>
      <c r="IMZ31" s="65"/>
      <c r="INA31" s="65"/>
      <c r="INB31" s="65"/>
      <c r="INC31" s="65"/>
      <c r="IND31" s="65"/>
      <c r="INE31" s="65"/>
      <c r="INF31" s="65"/>
      <c r="ING31" s="65"/>
      <c r="INH31" s="65"/>
      <c r="INI31" s="65"/>
      <c r="INJ31" s="65"/>
      <c r="INK31" s="65"/>
      <c r="INL31" s="65"/>
      <c r="INM31" s="65"/>
      <c r="INN31" s="65"/>
      <c r="INO31" s="65"/>
      <c r="INP31" s="65"/>
      <c r="INQ31" s="65"/>
      <c r="INR31" s="65"/>
      <c r="INS31" s="65"/>
      <c r="INT31" s="65"/>
      <c r="INU31" s="65"/>
      <c r="INV31" s="65"/>
      <c r="INW31" s="65"/>
      <c r="INX31" s="65"/>
      <c r="INY31" s="65"/>
      <c r="INZ31" s="65"/>
      <c r="IOA31" s="65"/>
      <c r="IOB31" s="65"/>
      <c r="IOC31" s="65"/>
      <c r="IOD31" s="65"/>
      <c r="IOE31" s="65"/>
      <c r="IOF31" s="65"/>
      <c r="IOG31" s="65"/>
      <c r="IOH31" s="65"/>
      <c r="IOI31" s="65"/>
      <c r="IOJ31" s="65"/>
      <c r="IOK31" s="65"/>
      <c r="IOL31" s="65"/>
      <c r="IOM31" s="65"/>
      <c r="ION31" s="65"/>
      <c r="IOO31" s="65"/>
      <c r="IOP31" s="65"/>
      <c r="IOQ31" s="65"/>
      <c r="IOR31" s="65"/>
      <c r="IOS31" s="65"/>
      <c r="IOT31" s="65"/>
      <c r="IOU31" s="65"/>
      <c r="IOV31" s="65"/>
      <c r="IOW31" s="65"/>
      <c r="IOX31" s="65"/>
      <c r="IOY31" s="65"/>
      <c r="IOZ31" s="65"/>
      <c r="IPA31" s="65"/>
      <c r="IPB31" s="65"/>
      <c r="IPC31" s="65"/>
      <c r="IPD31" s="65"/>
      <c r="IPE31" s="65"/>
      <c r="IPF31" s="65"/>
      <c r="IPG31" s="65"/>
      <c r="IPH31" s="65"/>
      <c r="IPI31" s="65"/>
      <c r="IPJ31" s="65"/>
      <c r="IPK31" s="65"/>
      <c r="IPL31" s="65"/>
      <c r="IPM31" s="65"/>
      <c r="IPN31" s="65"/>
      <c r="IPO31" s="65"/>
      <c r="IPP31" s="65"/>
      <c r="IPQ31" s="65"/>
      <c r="IPR31" s="65"/>
      <c r="IPS31" s="65"/>
      <c r="IPT31" s="65"/>
      <c r="IPU31" s="65"/>
      <c r="IPV31" s="65"/>
      <c r="IPW31" s="65"/>
      <c r="IPX31" s="65"/>
      <c r="IPY31" s="65"/>
      <c r="IPZ31" s="65"/>
      <c r="IQA31" s="65"/>
      <c r="IQB31" s="65"/>
      <c r="IQC31" s="65"/>
      <c r="IQD31" s="65"/>
      <c r="IQE31" s="65"/>
      <c r="IQF31" s="65"/>
      <c r="IQG31" s="65"/>
      <c r="IQH31" s="65"/>
      <c r="IQI31" s="65"/>
      <c r="IQJ31" s="65"/>
      <c r="IQK31" s="65"/>
      <c r="IQL31" s="65"/>
      <c r="IQM31" s="65"/>
      <c r="IQN31" s="65"/>
      <c r="IQO31" s="65"/>
      <c r="IQP31" s="65"/>
      <c r="IQQ31" s="65"/>
      <c r="IQR31" s="65"/>
      <c r="IQS31" s="65"/>
      <c r="IQT31" s="65"/>
      <c r="IQU31" s="65"/>
      <c r="IQV31" s="65"/>
      <c r="IQW31" s="65"/>
      <c r="IQX31" s="65"/>
      <c r="IQY31" s="65"/>
      <c r="IQZ31" s="65"/>
      <c r="IRA31" s="65"/>
      <c r="IRB31" s="65"/>
      <c r="IRC31" s="65"/>
      <c r="IRD31" s="65"/>
      <c r="IRE31" s="65"/>
      <c r="IRF31" s="65"/>
      <c r="IRG31" s="65"/>
      <c r="IRH31" s="65"/>
      <c r="IRI31" s="65"/>
      <c r="IRJ31" s="65"/>
      <c r="IRK31" s="65"/>
      <c r="IRL31" s="65"/>
      <c r="IRM31" s="65"/>
      <c r="IRN31" s="65"/>
      <c r="IRO31" s="65"/>
      <c r="IRP31" s="65"/>
      <c r="IRQ31" s="65"/>
      <c r="IRR31" s="65"/>
      <c r="IRS31" s="65"/>
      <c r="IRT31" s="65"/>
      <c r="IRU31" s="65"/>
      <c r="IRV31" s="65"/>
      <c r="IRW31" s="65"/>
      <c r="IRX31" s="65"/>
      <c r="IRY31" s="65"/>
      <c r="IRZ31" s="65"/>
      <c r="ISA31" s="65"/>
      <c r="ISB31" s="65"/>
      <c r="ISC31" s="65"/>
      <c r="ISD31" s="65"/>
      <c r="ISE31" s="65"/>
      <c r="ISF31" s="65"/>
      <c r="ISG31" s="65"/>
      <c r="ISH31" s="65"/>
      <c r="ISI31" s="65"/>
      <c r="ISJ31" s="65"/>
      <c r="ISK31" s="65"/>
      <c r="ISL31" s="65"/>
      <c r="ISM31" s="65"/>
      <c r="ISN31" s="65"/>
      <c r="ISO31" s="65"/>
      <c r="ISP31" s="65"/>
      <c r="ISQ31" s="65"/>
      <c r="ISR31" s="65"/>
      <c r="ISS31" s="65"/>
      <c r="IST31" s="65"/>
      <c r="ISU31" s="65"/>
      <c r="ISV31" s="65"/>
      <c r="ISW31" s="65"/>
      <c r="ISX31" s="65"/>
      <c r="ISY31" s="65"/>
      <c r="ISZ31" s="65"/>
      <c r="ITA31" s="65"/>
      <c r="ITB31" s="65"/>
      <c r="ITC31" s="65"/>
      <c r="ITD31" s="65"/>
      <c r="ITE31" s="65"/>
      <c r="ITF31" s="65"/>
      <c r="ITG31" s="65"/>
      <c r="ITH31" s="65"/>
      <c r="ITI31" s="65"/>
      <c r="ITJ31" s="65"/>
      <c r="ITK31" s="65"/>
      <c r="ITL31" s="65"/>
      <c r="ITM31" s="65"/>
      <c r="ITN31" s="65"/>
      <c r="ITO31" s="65"/>
      <c r="ITP31" s="65"/>
      <c r="ITQ31" s="65"/>
      <c r="ITR31" s="65"/>
      <c r="ITS31" s="65"/>
      <c r="ITT31" s="65"/>
      <c r="ITU31" s="65"/>
      <c r="ITV31" s="65"/>
      <c r="ITW31" s="65"/>
      <c r="ITX31" s="65"/>
      <c r="ITY31" s="65"/>
      <c r="ITZ31" s="65"/>
      <c r="IUA31" s="65"/>
      <c r="IUB31" s="65"/>
      <c r="IUC31" s="65"/>
      <c r="IUD31" s="65"/>
      <c r="IUE31" s="65"/>
      <c r="IUF31" s="65"/>
      <c r="IUG31" s="65"/>
      <c r="IUH31" s="65"/>
      <c r="IUI31" s="65"/>
      <c r="IUJ31" s="65"/>
      <c r="IUK31" s="65"/>
      <c r="IUL31" s="65"/>
      <c r="IUM31" s="65"/>
      <c r="IUN31" s="65"/>
      <c r="IUO31" s="65"/>
      <c r="IUP31" s="65"/>
      <c r="IUQ31" s="65"/>
      <c r="IUR31" s="65"/>
      <c r="IUS31" s="65"/>
      <c r="IUT31" s="65"/>
      <c r="IUU31" s="65"/>
      <c r="IUV31" s="65"/>
      <c r="IUW31" s="65"/>
      <c r="IUX31" s="65"/>
      <c r="IUY31" s="65"/>
      <c r="IUZ31" s="65"/>
      <c r="IVA31" s="65"/>
      <c r="IVB31" s="65"/>
      <c r="IVC31" s="65"/>
      <c r="IVD31" s="65"/>
      <c r="IVE31" s="65"/>
      <c r="IVF31" s="65"/>
      <c r="IVG31" s="65"/>
      <c r="IVH31" s="65"/>
      <c r="IVI31" s="65"/>
      <c r="IVJ31" s="65"/>
      <c r="IVK31" s="65"/>
      <c r="IVL31" s="65"/>
      <c r="IVM31" s="65"/>
      <c r="IVN31" s="65"/>
      <c r="IVO31" s="65"/>
      <c r="IVP31" s="65"/>
      <c r="IVQ31" s="65"/>
      <c r="IVR31" s="65"/>
      <c r="IVS31" s="65"/>
      <c r="IVT31" s="65"/>
      <c r="IVU31" s="65"/>
      <c r="IVV31" s="65"/>
      <c r="IVW31" s="65"/>
      <c r="IVX31" s="65"/>
      <c r="IVY31" s="65"/>
      <c r="IVZ31" s="65"/>
      <c r="IWA31" s="65"/>
      <c r="IWB31" s="65"/>
      <c r="IWC31" s="65"/>
      <c r="IWD31" s="65"/>
      <c r="IWE31" s="65"/>
      <c r="IWF31" s="65"/>
      <c r="IWG31" s="65"/>
      <c r="IWH31" s="65"/>
      <c r="IWI31" s="65"/>
      <c r="IWJ31" s="65"/>
      <c r="IWK31" s="65"/>
      <c r="IWL31" s="65"/>
      <c r="IWM31" s="65"/>
      <c r="IWN31" s="65"/>
      <c r="IWO31" s="65"/>
      <c r="IWP31" s="65"/>
      <c r="IWQ31" s="65"/>
      <c r="IWR31" s="65"/>
      <c r="IWS31" s="65"/>
      <c r="IWT31" s="65"/>
      <c r="IWU31" s="65"/>
      <c r="IWV31" s="65"/>
      <c r="IWW31" s="65"/>
      <c r="IWX31" s="65"/>
      <c r="IWY31" s="65"/>
      <c r="IWZ31" s="65"/>
      <c r="IXA31" s="65"/>
      <c r="IXB31" s="65"/>
      <c r="IXC31" s="65"/>
      <c r="IXD31" s="65"/>
      <c r="IXE31" s="65"/>
      <c r="IXF31" s="65"/>
      <c r="IXG31" s="65"/>
      <c r="IXH31" s="65"/>
      <c r="IXI31" s="65"/>
      <c r="IXJ31" s="65"/>
      <c r="IXK31" s="65"/>
      <c r="IXL31" s="65"/>
      <c r="IXM31" s="65"/>
      <c r="IXN31" s="65"/>
      <c r="IXO31" s="65"/>
      <c r="IXP31" s="65"/>
      <c r="IXQ31" s="65"/>
      <c r="IXR31" s="65"/>
      <c r="IXS31" s="65"/>
      <c r="IXT31" s="65"/>
      <c r="IXU31" s="65"/>
      <c r="IXV31" s="65"/>
      <c r="IXW31" s="65"/>
      <c r="IXX31" s="65"/>
      <c r="IXY31" s="65"/>
      <c r="IXZ31" s="65"/>
      <c r="IYA31" s="65"/>
      <c r="IYB31" s="65"/>
      <c r="IYC31" s="65"/>
      <c r="IYD31" s="65"/>
      <c r="IYE31" s="65"/>
      <c r="IYF31" s="65"/>
      <c r="IYG31" s="65"/>
      <c r="IYH31" s="65"/>
      <c r="IYI31" s="65"/>
      <c r="IYJ31" s="65"/>
      <c r="IYK31" s="65"/>
      <c r="IYL31" s="65"/>
      <c r="IYM31" s="65"/>
      <c r="IYN31" s="65"/>
      <c r="IYO31" s="65"/>
      <c r="IYP31" s="65"/>
      <c r="IYQ31" s="65"/>
      <c r="IYR31" s="65"/>
      <c r="IYS31" s="65"/>
      <c r="IYT31" s="65"/>
      <c r="IYU31" s="65"/>
      <c r="IYV31" s="65"/>
      <c r="IYW31" s="65"/>
      <c r="IYX31" s="65"/>
      <c r="IYY31" s="65"/>
      <c r="IYZ31" s="65"/>
      <c r="IZA31" s="65"/>
      <c r="IZB31" s="65"/>
      <c r="IZC31" s="65"/>
      <c r="IZD31" s="65"/>
      <c r="IZE31" s="65"/>
      <c r="IZF31" s="65"/>
      <c r="IZG31" s="65"/>
      <c r="IZH31" s="65"/>
      <c r="IZI31" s="65"/>
      <c r="IZJ31" s="65"/>
      <c r="IZK31" s="65"/>
      <c r="IZL31" s="65"/>
      <c r="IZM31" s="65"/>
      <c r="IZN31" s="65"/>
      <c r="IZO31" s="65"/>
      <c r="IZP31" s="65"/>
      <c r="IZQ31" s="65"/>
      <c r="IZR31" s="65"/>
      <c r="IZS31" s="65"/>
      <c r="IZT31" s="65"/>
      <c r="IZU31" s="65"/>
      <c r="IZV31" s="65"/>
      <c r="IZW31" s="65"/>
      <c r="IZX31" s="65"/>
      <c r="IZY31" s="65"/>
      <c r="IZZ31" s="65"/>
      <c r="JAA31" s="65"/>
      <c r="JAB31" s="65"/>
      <c r="JAC31" s="65"/>
      <c r="JAD31" s="65"/>
      <c r="JAE31" s="65"/>
      <c r="JAF31" s="65"/>
      <c r="JAG31" s="65"/>
      <c r="JAH31" s="65"/>
      <c r="JAI31" s="65"/>
      <c r="JAJ31" s="65"/>
      <c r="JAK31" s="65"/>
      <c r="JAL31" s="65"/>
      <c r="JAM31" s="65"/>
      <c r="JAN31" s="65"/>
      <c r="JAO31" s="65"/>
      <c r="JAP31" s="65"/>
      <c r="JAQ31" s="65"/>
      <c r="JAR31" s="65"/>
      <c r="JAS31" s="65"/>
      <c r="JAT31" s="65"/>
      <c r="JAU31" s="65"/>
      <c r="JAV31" s="65"/>
      <c r="JAW31" s="65"/>
      <c r="JAX31" s="65"/>
      <c r="JAY31" s="65"/>
      <c r="JAZ31" s="65"/>
      <c r="JBA31" s="65"/>
      <c r="JBB31" s="65"/>
      <c r="JBC31" s="65"/>
      <c r="JBD31" s="65"/>
      <c r="JBE31" s="65"/>
      <c r="JBF31" s="65"/>
      <c r="JBG31" s="65"/>
      <c r="JBH31" s="65"/>
      <c r="JBI31" s="65"/>
      <c r="JBJ31" s="65"/>
      <c r="JBK31" s="65"/>
      <c r="JBL31" s="65"/>
      <c r="JBM31" s="65"/>
      <c r="JBN31" s="65"/>
      <c r="JBO31" s="65"/>
      <c r="JBP31" s="65"/>
      <c r="JBQ31" s="65"/>
      <c r="JBR31" s="65"/>
      <c r="JBS31" s="65"/>
      <c r="JBT31" s="65"/>
      <c r="JBU31" s="65"/>
      <c r="JBV31" s="65"/>
      <c r="JBW31" s="65"/>
      <c r="JBX31" s="65"/>
      <c r="JBY31" s="65"/>
      <c r="JBZ31" s="65"/>
      <c r="JCA31" s="65"/>
      <c r="JCB31" s="65"/>
      <c r="JCC31" s="65"/>
      <c r="JCD31" s="65"/>
      <c r="JCE31" s="65"/>
      <c r="JCF31" s="65"/>
      <c r="JCG31" s="65"/>
      <c r="JCH31" s="65"/>
      <c r="JCI31" s="65"/>
      <c r="JCJ31" s="65"/>
      <c r="JCK31" s="65"/>
      <c r="JCL31" s="65"/>
      <c r="JCM31" s="65"/>
      <c r="JCN31" s="65"/>
      <c r="JCO31" s="65"/>
      <c r="JCP31" s="65"/>
      <c r="JCQ31" s="65"/>
      <c r="JCR31" s="65"/>
      <c r="JCS31" s="65"/>
      <c r="JCT31" s="65"/>
      <c r="JCU31" s="65"/>
      <c r="JCV31" s="65"/>
      <c r="JCW31" s="65"/>
      <c r="JCX31" s="65"/>
      <c r="JCY31" s="65"/>
      <c r="JCZ31" s="65"/>
      <c r="JDA31" s="65"/>
      <c r="JDB31" s="65"/>
      <c r="JDC31" s="65"/>
      <c r="JDD31" s="65"/>
      <c r="JDE31" s="65"/>
      <c r="JDF31" s="65"/>
      <c r="JDG31" s="65"/>
      <c r="JDH31" s="65"/>
      <c r="JDI31" s="65"/>
      <c r="JDJ31" s="65"/>
      <c r="JDK31" s="65"/>
      <c r="JDL31" s="65"/>
      <c r="JDM31" s="65"/>
      <c r="JDN31" s="65"/>
      <c r="JDO31" s="65"/>
      <c r="JDP31" s="65"/>
      <c r="JDQ31" s="65"/>
      <c r="JDR31" s="65"/>
      <c r="JDS31" s="65"/>
      <c r="JDT31" s="65"/>
      <c r="JDU31" s="65"/>
      <c r="JDV31" s="65"/>
      <c r="JDW31" s="65"/>
      <c r="JDX31" s="65"/>
      <c r="JDY31" s="65"/>
      <c r="JDZ31" s="65"/>
      <c r="JEA31" s="65"/>
      <c r="JEB31" s="65"/>
      <c r="JEC31" s="65"/>
      <c r="JED31" s="65"/>
      <c r="JEE31" s="65"/>
      <c r="JEF31" s="65"/>
      <c r="JEG31" s="65"/>
      <c r="JEH31" s="65"/>
      <c r="JEI31" s="65"/>
      <c r="JEJ31" s="65"/>
      <c r="JEK31" s="65"/>
      <c r="JEL31" s="65"/>
      <c r="JEM31" s="65"/>
      <c r="JEN31" s="65"/>
      <c r="JEO31" s="65"/>
      <c r="JEP31" s="65"/>
      <c r="JEQ31" s="65"/>
      <c r="JER31" s="65"/>
      <c r="JES31" s="65"/>
      <c r="JET31" s="65"/>
      <c r="JEU31" s="65"/>
      <c r="JEV31" s="65"/>
      <c r="JEW31" s="65"/>
      <c r="JEX31" s="65"/>
      <c r="JEY31" s="65"/>
      <c r="JEZ31" s="65"/>
      <c r="JFA31" s="65"/>
      <c r="JFB31" s="65"/>
      <c r="JFC31" s="65"/>
      <c r="JFD31" s="65"/>
      <c r="JFE31" s="65"/>
      <c r="JFF31" s="65"/>
      <c r="JFG31" s="65"/>
      <c r="JFH31" s="65"/>
      <c r="JFI31" s="65"/>
      <c r="JFJ31" s="65"/>
      <c r="JFK31" s="65"/>
      <c r="JFL31" s="65"/>
      <c r="JFM31" s="65"/>
      <c r="JFN31" s="65"/>
      <c r="JFO31" s="65"/>
      <c r="JFP31" s="65"/>
      <c r="JFQ31" s="65"/>
      <c r="JFR31" s="65"/>
      <c r="JFS31" s="65"/>
      <c r="JFT31" s="65"/>
      <c r="JFU31" s="65"/>
      <c r="JFV31" s="65"/>
      <c r="JFW31" s="65"/>
      <c r="JFX31" s="65"/>
      <c r="JFY31" s="65"/>
      <c r="JFZ31" s="65"/>
      <c r="JGA31" s="65"/>
      <c r="JGB31" s="65"/>
      <c r="JGC31" s="65"/>
      <c r="JGD31" s="65"/>
      <c r="JGE31" s="65"/>
      <c r="JGF31" s="65"/>
      <c r="JGG31" s="65"/>
      <c r="JGH31" s="65"/>
      <c r="JGI31" s="65"/>
      <c r="JGJ31" s="65"/>
      <c r="JGK31" s="65"/>
      <c r="JGL31" s="65"/>
      <c r="JGM31" s="65"/>
      <c r="JGN31" s="65"/>
      <c r="JGO31" s="65"/>
      <c r="JGP31" s="65"/>
      <c r="JGQ31" s="65"/>
      <c r="JGR31" s="65"/>
      <c r="JGS31" s="65"/>
      <c r="JGT31" s="65"/>
      <c r="JGU31" s="65"/>
      <c r="JGV31" s="65"/>
      <c r="JGW31" s="65"/>
      <c r="JGX31" s="65"/>
      <c r="JGY31" s="65"/>
      <c r="JGZ31" s="65"/>
      <c r="JHA31" s="65"/>
      <c r="JHB31" s="65"/>
      <c r="JHC31" s="65"/>
      <c r="JHD31" s="65"/>
      <c r="JHE31" s="65"/>
      <c r="JHF31" s="65"/>
      <c r="JHG31" s="65"/>
      <c r="JHH31" s="65"/>
      <c r="JHI31" s="65"/>
      <c r="JHJ31" s="65"/>
      <c r="JHK31" s="65"/>
      <c r="JHL31" s="65"/>
      <c r="JHM31" s="65"/>
      <c r="JHN31" s="65"/>
      <c r="JHO31" s="65"/>
      <c r="JHP31" s="65"/>
      <c r="JHQ31" s="65"/>
      <c r="JHR31" s="65"/>
      <c r="JHS31" s="65"/>
      <c r="JHT31" s="65"/>
      <c r="JHU31" s="65"/>
      <c r="JHV31" s="65"/>
      <c r="JHW31" s="65"/>
      <c r="JHX31" s="65"/>
      <c r="JHY31" s="65"/>
      <c r="JHZ31" s="65"/>
      <c r="JIA31" s="65"/>
      <c r="JIB31" s="65"/>
      <c r="JIC31" s="65"/>
      <c r="JID31" s="65"/>
      <c r="JIE31" s="65"/>
      <c r="JIF31" s="65"/>
      <c r="JIG31" s="65"/>
      <c r="JIH31" s="65"/>
      <c r="JII31" s="65"/>
      <c r="JIJ31" s="65"/>
      <c r="JIK31" s="65"/>
      <c r="JIL31" s="65"/>
      <c r="JIM31" s="65"/>
      <c r="JIN31" s="65"/>
      <c r="JIO31" s="65"/>
      <c r="JIP31" s="65"/>
      <c r="JIQ31" s="65"/>
      <c r="JIR31" s="65"/>
      <c r="JIS31" s="65"/>
      <c r="JIT31" s="65"/>
      <c r="JIU31" s="65"/>
      <c r="JIV31" s="65"/>
      <c r="JIW31" s="65"/>
      <c r="JIX31" s="65"/>
      <c r="JIY31" s="65"/>
      <c r="JIZ31" s="65"/>
      <c r="JJA31" s="65"/>
      <c r="JJB31" s="65"/>
      <c r="JJC31" s="65"/>
      <c r="JJD31" s="65"/>
      <c r="JJE31" s="65"/>
      <c r="JJF31" s="65"/>
      <c r="JJG31" s="65"/>
      <c r="JJH31" s="65"/>
      <c r="JJI31" s="65"/>
      <c r="JJJ31" s="65"/>
      <c r="JJK31" s="65"/>
      <c r="JJL31" s="65"/>
      <c r="JJM31" s="65"/>
      <c r="JJN31" s="65"/>
      <c r="JJO31" s="65"/>
      <c r="JJP31" s="65"/>
      <c r="JJQ31" s="65"/>
      <c r="JJR31" s="65"/>
      <c r="JJS31" s="65"/>
      <c r="JJT31" s="65"/>
      <c r="JJU31" s="65"/>
      <c r="JJV31" s="65"/>
      <c r="JJW31" s="65"/>
      <c r="JJX31" s="65"/>
      <c r="JJY31" s="65"/>
      <c r="JJZ31" s="65"/>
      <c r="JKA31" s="65"/>
      <c r="JKB31" s="65"/>
      <c r="JKC31" s="65"/>
      <c r="JKD31" s="65"/>
      <c r="JKE31" s="65"/>
      <c r="JKF31" s="65"/>
      <c r="JKG31" s="65"/>
      <c r="JKH31" s="65"/>
      <c r="JKI31" s="65"/>
      <c r="JKJ31" s="65"/>
      <c r="JKK31" s="65"/>
      <c r="JKL31" s="65"/>
      <c r="JKM31" s="65"/>
      <c r="JKN31" s="65"/>
      <c r="JKO31" s="65"/>
      <c r="JKP31" s="65"/>
      <c r="JKQ31" s="65"/>
      <c r="JKR31" s="65"/>
      <c r="JKS31" s="65"/>
      <c r="JKT31" s="65"/>
      <c r="JKU31" s="65"/>
      <c r="JKV31" s="65"/>
      <c r="JKW31" s="65"/>
      <c r="JKX31" s="65"/>
      <c r="JKY31" s="65"/>
      <c r="JKZ31" s="65"/>
      <c r="JLA31" s="65"/>
      <c r="JLB31" s="65"/>
      <c r="JLC31" s="65"/>
      <c r="JLD31" s="65"/>
      <c r="JLE31" s="65"/>
      <c r="JLF31" s="65"/>
      <c r="JLG31" s="65"/>
      <c r="JLH31" s="65"/>
      <c r="JLI31" s="65"/>
      <c r="JLJ31" s="65"/>
      <c r="JLK31" s="65"/>
      <c r="JLL31" s="65"/>
      <c r="JLM31" s="65"/>
      <c r="JLN31" s="65"/>
      <c r="JLO31" s="65"/>
      <c r="JLP31" s="65"/>
      <c r="JLQ31" s="65"/>
      <c r="JLR31" s="65"/>
      <c r="JLS31" s="65"/>
      <c r="JLT31" s="65"/>
      <c r="JLU31" s="65"/>
      <c r="JLV31" s="65"/>
      <c r="JLW31" s="65"/>
      <c r="JLX31" s="65"/>
      <c r="JLY31" s="65"/>
      <c r="JLZ31" s="65"/>
      <c r="JMA31" s="65"/>
      <c r="JMB31" s="65"/>
      <c r="JMC31" s="65"/>
      <c r="JMD31" s="65"/>
      <c r="JME31" s="65"/>
      <c r="JMF31" s="65"/>
      <c r="JMG31" s="65"/>
      <c r="JMH31" s="65"/>
      <c r="JMI31" s="65"/>
      <c r="JMJ31" s="65"/>
      <c r="JMK31" s="65"/>
      <c r="JML31" s="65"/>
      <c r="JMM31" s="65"/>
      <c r="JMN31" s="65"/>
      <c r="JMO31" s="65"/>
      <c r="JMP31" s="65"/>
      <c r="JMQ31" s="65"/>
      <c r="JMR31" s="65"/>
      <c r="JMS31" s="65"/>
      <c r="JMT31" s="65"/>
      <c r="JMU31" s="65"/>
      <c r="JMV31" s="65"/>
      <c r="JMW31" s="65"/>
      <c r="JMX31" s="65"/>
      <c r="JMY31" s="65"/>
      <c r="JMZ31" s="65"/>
      <c r="JNA31" s="65"/>
      <c r="JNB31" s="65"/>
      <c r="JNC31" s="65"/>
      <c r="JND31" s="65"/>
      <c r="JNE31" s="65"/>
      <c r="JNF31" s="65"/>
      <c r="JNG31" s="65"/>
      <c r="JNH31" s="65"/>
      <c r="JNI31" s="65"/>
      <c r="JNJ31" s="65"/>
      <c r="JNK31" s="65"/>
      <c r="JNL31" s="65"/>
      <c r="JNM31" s="65"/>
      <c r="JNN31" s="65"/>
      <c r="JNO31" s="65"/>
      <c r="JNP31" s="65"/>
      <c r="JNQ31" s="65"/>
      <c r="JNR31" s="65"/>
      <c r="JNS31" s="65"/>
      <c r="JNT31" s="65"/>
      <c r="JNU31" s="65"/>
      <c r="JNV31" s="65"/>
      <c r="JNW31" s="65"/>
      <c r="JNX31" s="65"/>
      <c r="JNY31" s="65"/>
      <c r="JNZ31" s="65"/>
      <c r="JOA31" s="65"/>
      <c r="JOB31" s="65"/>
      <c r="JOC31" s="65"/>
      <c r="JOD31" s="65"/>
      <c r="JOE31" s="65"/>
      <c r="JOF31" s="65"/>
      <c r="JOG31" s="65"/>
      <c r="JOH31" s="65"/>
      <c r="JOI31" s="65"/>
      <c r="JOJ31" s="65"/>
      <c r="JOK31" s="65"/>
      <c r="JOL31" s="65"/>
      <c r="JOM31" s="65"/>
      <c r="JON31" s="65"/>
      <c r="JOO31" s="65"/>
      <c r="JOP31" s="65"/>
      <c r="JOQ31" s="65"/>
      <c r="JOR31" s="65"/>
      <c r="JOS31" s="65"/>
      <c r="JOT31" s="65"/>
      <c r="JOU31" s="65"/>
      <c r="JOV31" s="65"/>
      <c r="JOW31" s="65"/>
      <c r="JOX31" s="65"/>
      <c r="JOY31" s="65"/>
      <c r="JOZ31" s="65"/>
      <c r="JPA31" s="65"/>
      <c r="JPB31" s="65"/>
      <c r="JPC31" s="65"/>
      <c r="JPD31" s="65"/>
      <c r="JPE31" s="65"/>
      <c r="JPF31" s="65"/>
      <c r="JPG31" s="65"/>
      <c r="JPH31" s="65"/>
      <c r="JPI31" s="65"/>
      <c r="JPJ31" s="65"/>
      <c r="JPK31" s="65"/>
      <c r="JPL31" s="65"/>
      <c r="JPM31" s="65"/>
      <c r="JPN31" s="65"/>
      <c r="JPO31" s="65"/>
      <c r="JPP31" s="65"/>
      <c r="JPQ31" s="65"/>
      <c r="JPR31" s="65"/>
      <c r="JPS31" s="65"/>
      <c r="JPT31" s="65"/>
      <c r="JPU31" s="65"/>
      <c r="JPV31" s="65"/>
      <c r="JPW31" s="65"/>
      <c r="JPX31" s="65"/>
      <c r="JPY31" s="65"/>
      <c r="JPZ31" s="65"/>
      <c r="JQA31" s="65"/>
      <c r="JQB31" s="65"/>
      <c r="JQC31" s="65"/>
      <c r="JQD31" s="65"/>
      <c r="JQE31" s="65"/>
      <c r="JQF31" s="65"/>
      <c r="JQG31" s="65"/>
      <c r="JQH31" s="65"/>
      <c r="JQI31" s="65"/>
      <c r="JQJ31" s="65"/>
      <c r="JQK31" s="65"/>
      <c r="JQL31" s="65"/>
      <c r="JQM31" s="65"/>
      <c r="JQN31" s="65"/>
      <c r="JQO31" s="65"/>
      <c r="JQP31" s="65"/>
      <c r="JQQ31" s="65"/>
      <c r="JQR31" s="65"/>
      <c r="JQS31" s="65"/>
      <c r="JQT31" s="65"/>
      <c r="JQU31" s="65"/>
      <c r="JQV31" s="65"/>
      <c r="JQW31" s="65"/>
      <c r="JQX31" s="65"/>
      <c r="JQY31" s="65"/>
      <c r="JQZ31" s="65"/>
      <c r="JRA31" s="65"/>
      <c r="JRB31" s="65"/>
      <c r="JRC31" s="65"/>
      <c r="JRD31" s="65"/>
      <c r="JRE31" s="65"/>
      <c r="JRF31" s="65"/>
      <c r="JRG31" s="65"/>
      <c r="JRH31" s="65"/>
      <c r="JRI31" s="65"/>
      <c r="JRJ31" s="65"/>
      <c r="JRK31" s="65"/>
      <c r="JRL31" s="65"/>
      <c r="JRM31" s="65"/>
      <c r="JRN31" s="65"/>
      <c r="JRO31" s="65"/>
      <c r="JRP31" s="65"/>
      <c r="JRQ31" s="65"/>
      <c r="JRR31" s="65"/>
      <c r="JRS31" s="65"/>
      <c r="JRT31" s="65"/>
      <c r="JRU31" s="65"/>
      <c r="JRV31" s="65"/>
      <c r="JRW31" s="65"/>
      <c r="JRX31" s="65"/>
      <c r="JRY31" s="65"/>
      <c r="JRZ31" s="65"/>
      <c r="JSA31" s="65"/>
      <c r="JSB31" s="65"/>
      <c r="JSC31" s="65"/>
      <c r="JSD31" s="65"/>
      <c r="JSE31" s="65"/>
      <c r="JSF31" s="65"/>
      <c r="JSG31" s="65"/>
      <c r="JSH31" s="65"/>
      <c r="JSI31" s="65"/>
      <c r="JSJ31" s="65"/>
      <c r="JSK31" s="65"/>
      <c r="JSL31" s="65"/>
      <c r="JSM31" s="65"/>
      <c r="JSN31" s="65"/>
      <c r="JSO31" s="65"/>
      <c r="JSP31" s="65"/>
      <c r="JSQ31" s="65"/>
      <c r="JSR31" s="65"/>
      <c r="JSS31" s="65"/>
      <c r="JST31" s="65"/>
      <c r="JSU31" s="65"/>
      <c r="JSV31" s="65"/>
      <c r="JSW31" s="65"/>
      <c r="JSX31" s="65"/>
      <c r="JSY31" s="65"/>
      <c r="JSZ31" s="65"/>
      <c r="JTA31" s="65"/>
      <c r="JTB31" s="65"/>
      <c r="JTC31" s="65"/>
      <c r="JTD31" s="65"/>
      <c r="JTE31" s="65"/>
      <c r="JTF31" s="65"/>
      <c r="JTG31" s="65"/>
      <c r="JTH31" s="65"/>
      <c r="JTI31" s="65"/>
      <c r="JTJ31" s="65"/>
      <c r="JTK31" s="65"/>
      <c r="JTL31" s="65"/>
      <c r="JTM31" s="65"/>
      <c r="JTN31" s="65"/>
      <c r="JTO31" s="65"/>
      <c r="JTP31" s="65"/>
      <c r="JTQ31" s="65"/>
      <c r="JTR31" s="65"/>
      <c r="JTS31" s="65"/>
      <c r="JTT31" s="65"/>
      <c r="JTU31" s="65"/>
      <c r="JTV31" s="65"/>
      <c r="JTW31" s="65"/>
      <c r="JTX31" s="65"/>
      <c r="JTY31" s="65"/>
      <c r="JTZ31" s="65"/>
      <c r="JUA31" s="65"/>
      <c r="JUB31" s="65"/>
      <c r="JUC31" s="65"/>
      <c r="JUD31" s="65"/>
      <c r="JUE31" s="65"/>
      <c r="JUF31" s="65"/>
      <c r="JUG31" s="65"/>
      <c r="JUH31" s="65"/>
      <c r="JUI31" s="65"/>
      <c r="JUJ31" s="65"/>
      <c r="JUK31" s="65"/>
      <c r="JUL31" s="65"/>
      <c r="JUM31" s="65"/>
      <c r="JUN31" s="65"/>
      <c r="JUO31" s="65"/>
      <c r="JUP31" s="65"/>
      <c r="JUQ31" s="65"/>
      <c r="JUR31" s="65"/>
      <c r="JUS31" s="65"/>
      <c r="JUT31" s="65"/>
      <c r="JUU31" s="65"/>
      <c r="JUV31" s="65"/>
      <c r="JUW31" s="65"/>
      <c r="JUX31" s="65"/>
      <c r="JUY31" s="65"/>
      <c r="JUZ31" s="65"/>
      <c r="JVA31" s="65"/>
      <c r="JVB31" s="65"/>
      <c r="JVC31" s="65"/>
      <c r="JVD31" s="65"/>
      <c r="JVE31" s="65"/>
      <c r="JVF31" s="65"/>
      <c r="JVG31" s="65"/>
      <c r="JVH31" s="65"/>
      <c r="JVI31" s="65"/>
      <c r="JVJ31" s="65"/>
      <c r="JVK31" s="65"/>
      <c r="JVL31" s="65"/>
      <c r="JVM31" s="65"/>
      <c r="JVN31" s="65"/>
      <c r="JVO31" s="65"/>
      <c r="JVP31" s="65"/>
      <c r="JVQ31" s="65"/>
      <c r="JVR31" s="65"/>
      <c r="JVS31" s="65"/>
      <c r="JVT31" s="65"/>
      <c r="JVU31" s="65"/>
      <c r="JVV31" s="65"/>
      <c r="JVW31" s="65"/>
      <c r="JVX31" s="65"/>
      <c r="JVY31" s="65"/>
      <c r="JVZ31" s="65"/>
      <c r="JWA31" s="65"/>
      <c r="JWB31" s="65"/>
      <c r="JWC31" s="65"/>
      <c r="JWD31" s="65"/>
      <c r="JWE31" s="65"/>
      <c r="JWF31" s="65"/>
      <c r="JWG31" s="65"/>
      <c r="JWH31" s="65"/>
      <c r="JWI31" s="65"/>
      <c r="JWJ31" s="65"/>
      <c r="JWK31" s="65"/>
      <c r="JWL31" s="65"/>
      <c r="JWM31" s="65"/>
      <c r="JWN31" s="65"/>
      <c r="JWO31" s="65"/>
      <c r="JWP31" s="65"/>
      <c r="JWQ31" s="65"/>
      <c r="JWR31" s="65"/>
      <c r="JWS31" s="65"/>
      <c r="JWT31" s="65"/>
      <c r="JWU31" s="65"/>
      <c r="JWV31" s="65"/>
      <c r="JWW31" s="65"/>
      <c r="JWX31" s="65"/>
      <c r="JWY31" s="65"/>
      <c r="JWZ31" s="65"/>
      <c r="JXA31" s="65"/>
      <c r="JXB31" s="65"/>
      <c r="JXC31" s="65"/>
      <c r="JXD31" s="65"/>
      <c r="JXE31" s="65"/>
      <c r="JXF31" s="65"/>
      <c r="JXG31" s="65"/>
      <c r="JXH31" s="65"/>
      <c r="JXI31" s="65"/>
      <c r="JXJ31" s="65"/>
      <c r="JXK31" s="65"/>
      <c r="JXL31" s="65"/>
      <c r="JXM31" s="65"/>
      <c r="JXN31" s="65"/>
      <c r="JXO31" s="65"/>
      <c r="JXP31" s="65"/>
      <c r="JXQ31" s="65"/>
      <c r="JXR31" s="65"/>
      <c r="JXS31" s="65"/>
      <c r="JXT31" s="65"/>
      <c r="JXU31" s="65"/>
      <c r="JXV31" s="65"/>
      <c r="JXW31" s="65"/>
      <c r="JXX31" s="65"/>
      <c r="JXY31" s="65"/>
      <c r="JXZ31" s="65"/>
      <c r="JYA31" s="65"/>
      <c r="JYB31" s="65"/>
      <c r="JYC31" s="65"/>
      <c r="JYD31" s="65"/>
      <c r="JYE31" s="65"/>
      <c r="JYF31" s="65"/>
      <c r="JYG31" s="65"/>
      <c r="JYH31" s="65"/>
      <c r="JYI31" s="65"/>
      <c r="JYJ31" s="65"/>
      <c r="JYK31" s="65"/>
      <c r="JYL31" s="65"/>
      <c r="JYM31" s="65"/>
      <c r="JYN31" s="65"/>
      <c r="JYO31" s="65"/>
      <c r="JYP31" s="65"/>
      <c r="JYQ31" s="65"/>
      <c r="JYR31" s="65"/>
      <c r="JYS31" s="65"/>
      <c r="JYT31" s="65"/>
      <c r="JYU31" s="65"/>
      <c r="JYV31" s="65"/>
      <c r="JYW31" s="65"/>
      <c r="JYX31" s="65"/>
      <c r="JYY31" s="65"/>
      <c r="JYZ31" s="65"/>
      <c r="JZA31" s="65"/>
      <c r="JZB31" s="65"/>
      <c r="JZC31" s="65"/>
      <c r="JZD31" s="65"/>
      <c r="JZE31" s="65"/>
      <c r="JZF31" s="65"/>
      <c r="JZG31" s="65"/>
      <c r="JZH31" s="65"/>
      <c r="JZI31" s="65"/>
      <c r="JZJ31" s="65"/>
      <c r="JZK31" s="65"/>
      <c r="JZL31" s="65"/>
      <c r="JZM31" s="65"/>
      <c r="JZN31" s="65"/>
      <c r="JZO31" s="65"/>
      <c r="JZP31" s="65"/>
      <c r="JZQ31" s="65"/>
      <c r="JZR31" s="65"/>
      <c r="JZS31" s="65"/>
      <c r="JZT31" s="65"/>
      <c r="JZU31" s="65"/>
      <c r="JZV31" s="65"/>
      <c r="JZW31" s="65"/>
      <c r="JZX31" s="65"/>
      <c r="JZY31" s="65"/>
      <c r="JZZ31" s="65"/>
      <c r="KAA31" s="65"/>
      <c r="KAB31" s="65"/>
      <c r="KAC31" s="65"/>
      <c r="KAD31" s="65"/>
      <c r="KAE31" s="65"/>
      <c r="KAF31" s="65"/>
      <c r="KAG31" s="65"/>
      <c r="KAH31" s="65"/>
      <c r="KAI31" s="65"/>
      <c r="KAJ31" s="65"/>
      <c r="KAK31" s="65"/>
      <c r="KAL31" s="65"/>
      <c r="KAM31" s="65"/>
      <c r="KAN31" s="65"/>
      <c r="KAO31" s="65"/>
      <c r="KAP31" s="65"/>
      <c r="KAQ31" s="65"/>
      <c r="KAR31" s="65"/>
      <c r="KAS31" s="65"/>
      <c r="KAT31" s="65"/>
      <c r="KAU31" s="65"/>
      <c r="KAV31" s="65"/>
      <c r="KAW31" s="65"/>
      <c r="KAX31" s="65"/>
      <c r="KAY31" s="65"/>
      <c r="KAZ31" s="65"/>
      <c r="KBA31" s="65"/>
      <c r="KBB31" s="65"/>
      <c r="KBC31" s="65"/>
      <c r="KBD31" s="65"/>
      <c r="KBE31" s="65"/>
      <c r="KBF31" s="65"/>
      <c r="KBG31" s="65"/>
      <c r="KBH31" s="65"/>
      <c r="KBI31" s="65"/>
      <c r="KBJ31" s="65"/>
      <c r="KBK31" s="65"/>
      <c r="KBL31" s="65"/>
      <c r="KBM31" s="65"/>
      <c r="KBN31" s="65"/>
      <c r="KBO31" s="65"/>
      <c r="KBP31" s="65"/>
      <c r="KBQ31" s="65"/>
      <c r="KBR31" s="65"/>
      <c r="KBS31" s="65"/>
      <c r="KBT31" s="65"/>
      <c r="KBU31" s="65"/>
      <c r="KBV31" s="65"/>
      <c r="KBW31" s="65"/>
      <c r="KBX31" s="65"/>
      <c r="KBY31" s="65"/>
      <c r="KBZ31" s="65"/>
      <c r="KCA31" s="65"/>
      <c r="KCB31" s="65"/>
      <c r="KCC31" s="65"/>
      <c r="KCD31" s="65"/>
      <c r="KCE31" s="65"/>
      <c r="KCF31" s="65"/>
      <c r="KCG31" s="65"/>
      <c r="KCH31" s="65"/>
      <c r="KCI31" s="65"/>
      <c r="KCJ31" s="65"/>
      <c r="KCK31" s="65"/>
      <c r="KCL31" s="65"/>
      <c r="KCM31" s="65"/>
      <c r="KCN31" s="65"/>
      <c r="KCO31" s="65"/>
      <c r="KCP31" s="65"/>
      <c r="KCQ31" s="65"/>
      <c r="KCR31" s="65"/>
      <c r="KCS31" s="65"/>
      <c r="KCT31" s="65"/>
      <c r="KCU31" s="65"/>
      <c r="KCV31" s="65"/>
      <c r="KCW31" s="65"/>
      <c r="KCX31" s="65"/>
      <c r="KCY31" s="65"/>
      <c r="KCZ31" s="65"/>
      <c r="KDA31" s="65"/>
      <c r="KDB31" s="65"/>
      <c r="KDC31" s="65"/>
      <c r="KDD31" s="65"/>
      <c r="KDE31" s="65"/>
      <c r="KDF31" s="65"/>
      <c r="KDG31" s="65"/>
      <c r="KDH31" s="65"/>
      <c r="KDI31" s="65"/>
      <c r="KDJ31" s="65"/>
      <c r="KDK31" s="65"/>
      <c r="KDL31" s="65"/>
      <c r="KDM31" s="65"/>
      <c r="KDN31" s="65"/>
      <c r="KDO31" s="65"/>
      <c r="KDP31" s="65"/>
      <c r="KDQ31" s="65"/>
      <c r="KDR31" s="65"/>
      <c r="KDS31" s="65"/>
      <c r="KDT31" s="65"/>
      <c r="KDU31" s="65"/>
      <c r="KDV31" s="65"/>
      <c r="KDW31" s="65"/>
      <c r="KDX31" s="65"/>
      <c r="KDY31" s="65"/>
      <c r="KDZ31" s="65"/>
      <c r="KEA31" s="65"/>
      <c r="KEB31" s="65"/>
      <c r="KEC31" s="65"/>
      <c r="KED31" s="65"/>
      <c r="KEE31" s="65"/>
      <c r="KEF31" s="65"/>
      <c r="KEG31" s="65"/>
      <c r="KEH31" s="65"/>
      <c r="KEI31" s="65"/>
      <c r="KEJ31" s="65"/>
      <c r="KEK31" s="65"/>
      <c r="KEL31" s="65"/>
      <c r="KEM31" s="65"/>
      <c r="KEN31" s="65"/>
      <c r="KEO31" s="65"/>
      <c r="KEP31" s="65"/>
      <c r="KEQ31" s="65"/>
      <c r="KER31" s="65"/>
      <c r="KES31" s="65"/>
      <c r="KET31" s="65"/>
      <c r="KEU31" s="65"/>
      <c r="KEV31" s="65"/>
      <c r="KEW31" s="65"/>
      <c r="KEX31" s="65"/>
      <c r="KEY31" s="65"/>
      <c r="KEZ31" s="65"/>
      <c r="KFA31" s="65"/>
      <c r="KFB31" s="65"/>
      <c r="KFC31" s="65"/>
      <c r="KFD31" s="65"/>
      <c r="KFE31" s="65"/>
      <c r="KFF31" s="65"/>
      <c r="KFG31" s="65"/>
      <c r="KFH31" s="65"/>
      <c r="KFI31" s="65"/>
      <c r="KFJ31" s="65"/>
      <c r="KFK31" s="65"/>
      <c r="KFL31" s="65"/>
      <c r="KFM31" s="65"/>
      <c r="KFN31" s="65"/>
      <c r="KFO31" s="65"/>
      <c r="KFP31" s="65"/>
      <c r="KFQ31" s="65"/>
      <c r="KFR31" s="65"/>
      <c r="KFS31" s="65"/>
      <c r="KFT31" s="65"/>
      <c r="KFU31" s="65"/>
      <c r="KFV31" s="65"/>
      <c r="KFW31" s="65"/>
      <c r="KFX31" s="65"/>
      <c r="KFY31" s="65"/>
      <c r="KFZ31" s="65"/>
      <c r="KGA31" s="65"/>
      <c r="KGB31" s="65"/>
      <c r="KGC31" s="65"/>
      <c r="KGD31" s="65"/>
      <c r="KGE31" s="65"/>
      <c r="KGF31" s="65"/>
      <c r="KGG31" s="65"/>
      <c r="KGH31" s="65"/>
      <c r="KGI31" s="65"/>
      <c r="KGJ31" s="65"/>
      <c r="KGK31" s="65"/>
      <c r="KGL31" s="65"/>
      <c r="KGM31" s="65"/>
      <c r="KGN31" s="65"/>
      <c r="KGO31" s="65"/>
      <c r="KGP31" s="65"/>
      <c r="KGQ31" s="65"/>
      <c r="KGR31" s="65"/>
      <c r="KGS31" s="65"/>
      <c r="KGT31" s="65"/>
      <c r="KGU31" s="65"/>
      <c r="KGV31" s="65"/>
      <c r="KGW31" s="65"/>
      <c r="KGX31" s="65"/>
      <c r="KGY31" s="65"/>
      <c r="KGZ31" s="65"/>
      <c r="KHA31" s="65"/>
      <c r="KHB31" s="65"/>
      <c r="KHC31" s="65"/>
      <c r="KHD31" s="65"/>
      <c r="KHE31" s="65"/>
      <c r="KHF31" s="65"/>
      <c r="KHG31" s="65"/>
      <c r="KHH31" s="65"/>
      <c r="KHI31" s="65"/>
      <c r="KHJ31" s="65"/>
      <c r="KHK31" s="65"/>
      <c r="KHL31" s="65"/>
      <c r="KHM31" s="65"/>
      <c r="KHN31" s="65"/>
      <c r="KHO31" s="65"/>
      <c r="KHP31" s="65"/>
      <c r="KHQ31" s="65"/>
      <c r="KHR31" s="65"/>
      <c r="KHS31" s="65"/>
      <c r="KHT31" s="65"/>
      <c r="KHU31" s="65"/>
      <c r="KHV31" s="65"/>
      <c r="KHW31" s="65"/>
      <c r="KHX31" s="65"/>
      <c r="KHY31" s="65"/>
      <c r="KHZ31" s="65"/>
      <c r="KIA31" s="65"/>
      <c r="KIB31" s="65"/>
      <c r="KIC31" s="65"/>
      <c r="KID31" s="65"/>
      <c r="KIE31" s="65"/>
      <c r="KIF31" s="65"/>
      <c r="KIG31" s="65"/>
      <c r="KIH31" s="65"/>
      <c r="KII31" s="65"/>
      <c r="KIJ31" s="65"/>
      <c r="KIK31" s="65"/>
      <c r="KIL31" s="65"/>
      <c r="KIM31" s="65"/>
      <c r="KIN31" s="65"/>
      <c r="KIO31" s="65"/>
      <c r="KIP31" s="65"/>
      <c r="KIQ31" s="65"/>
      <c r="KIR31" s="65"/>
      <c r="KIS31" s="65"/>
      <c r="KIT31" s="65"/>
      <c r="KIU31" s="65"/>
      <c r="KIV31" s="65"/>
      <c r="KIW31" s="65"/>
      <c r="KIX31" s="65"/>
      <c r="KIY31" s="65"/>
      <c r="KIZ31" s="65"/>
      <c r="KJA31" s="65"/>
      <c r="KJB31" s="65"/>
      <c r="KJC31" s="65"/>
      <c r="KJD31" s="65"/>
      <c r="KJE31" s="65"/>
      <c r="KJF31" s="65"/>
      <c r="KJG31" s="65"/>
      <c r="KJH31" s="65"/>
      <c r="KJI31" s="65"/>
      <c r="KJJ31" s="65"/>
      <c r="KJK31" s="65"/>
      <c r="KJL31" s="65"/>
      <c r="KJM31" s="65"/>
      <c r="KJN31" s="65"/>
      <c r="KJO31" s="65"/>
      <c r="KJP31" s="65"/>
      <c r="KJQ31" s="65"/>
      <c r="KJR31" s="65"/>
      <c r="KJS31" s="65"/>
      <c r="KJT31" s="65"/>
      <c r="KJU31" s="65"/>
      <c r="KJV31" s="65"/>
      <c r="KJW31" s="65"/>
      <c r="KJX31" s="65"/>
      <c r="KJY31" s="65"/>
      <c r="KJZ31" s="65"/>
      <c r="KKA31" s="65"/>
      <c r="KKB31" s="65"/>
      <c r="KKC31" s="65"/>
      <c r="KKD31" s="65"/>
      <c r="KKE31" s="65"/>
      <c r="KKF31" s="65"/>
      <c r="KKG31" s="65"/>
      <c r="KKH31" s="65"/>
      <c r="KKI31" s="65"/>
      <c r="KKJ31" s="65"/>
      <c r="KKK31" s="65"/>
      <c r="KKL31" s="65"/>
      <c r="KKM31" s="65"/>
      <c r="KKN31" s="65"/>
      <c r="KKO31" s="65"/>
      <c r="KKP31" s="65"/>
      <c r="KKQ31" s="65"/>
      <c r="KKR31" s="65"/>
      <c r="KKS31" s="65"/>
      <c r="KKT31" s="65"/>
      <c r="KKU31" s="65"/>
      <c r="KKV31" s="65"/>
      <c r="KKW31" s="65"/>
      <c r="KKX31" s="65"/>
      <c r="KKY31" s="65"/>
      <c r="KKZ31" s="65"/>
      <c r="KLA31" s="65"/>
      <c r="KLB31" s="65"/>
      <c r="KLC31" s="65"/>
      <c r="KLD31" s="65"/>
      <c r="KLE31" s="65"/>
      <c r="KLF31" s="65"/>
      <c r="KLG31" s="65"/>
      <c r="KLH31" s="65"/>
      <c r="KLI31" s="65"/>
      <c r="KLJ31" s="65"/>
      <c r="KLK31" s="65"/>
      <c r="KLL31" s="65"/>
      <c r="KLM31" s="65"/>
      <c r="KLN31" s="65"/>
      <c r="KLO31" s="65"/>
      <c r="KLP31" s="65"/>
      <c r="KLQ31" s="65"/>
      <c r="KLR31" s="65"/>
      <c r="KLS31" s="65"/>
      <c r="KLT31" s="65"/>
      <c r="KLU31" s="65"/>
      <c r="KLV31" s="65"/>
      <c r="KLW31" s="65"/>
      <c r="KLX31" s="65"/>
      <c r="KLY31" s="65"/>
      <c r="KLZ31" s="65"/>
      <c r="KMA31" s="65"/>
      <c r="KMB31" s="65"/>
      <c r="KMC31" s="65"/>
      <c r="KMD31" s="65"/>
      <c r="KME31" s="65"/>
      <c r="KMF31" s="65"/>
      <c r="KMG31" s="65"/>
      <c r="KMH31" s="65"/>
      <c r="KMI31" s="65"/>
      <c r="KMJ31" s="65"/>
      <c r="KMK31" s="65"/>
      <c r="KML31" s="65"/>
      <c r="KMM31" s="65"/>
      <c r="KMN31" s="65"/>
      <c r="KMO31" s="65"/>
      <c r="KMP31" s="65"/>
      <c r="KMQ31" s="65"/>
      <c r="KMR31" s="65"/>
      <c r="KMS31" s="65"/>
      <c r="KMT31" s="65"/>
      <c r="KMU31" s="65"/>
      <c r="KMV31" s="65"/>
      <c r="KMW31" s="65"/>
      <c r="KMX31" s="65"/>
      <c r="KMY31" s="65"/>
      <c r="KMZ31" s="65"/>
      <c r="KNA31" s="65"/>
      <c r="KNB31" s="65"/>
      <c r="KNC31" s="65"/>
      <c r="KND31" s="65"/>
      <c r="KNE31" s="65"/>
      <c r="KNF31" s="65"/>
      <c r="KNG31" s="65"/>
      <c r="KNH31" s="65"/>
      <c r="KNI31" s="65"/>
      <c r="KNJ31" s="65"/>
      <c r="KNK31" s="65"/>
      <c r="KNL31" s="65"/>
      <c r="KNM31" s="65"/>
      <c r="KNN31" s="65"/>
      <c r="KNO31" s="65"/>
      <c r="KNP31" s="65"/>
      <c r="KNQ31" s="65"/>
      <c r="KNR31" s="65"/>
      <c r="KNS31" s="65"/>
      <c r="KNT31" s="65"/>
      <c r="KNU31" s="65"/>
      <c r="KNV31" s="65"/>
      <c r="KNW31" s="65"/>
      <c r="KNX31" s="65"/>
      <c r="KNY31" s="65"/>
      <c r="KNZ31" s="65"/>
      <c r="KOA31" s="65"/>
      <c r="KOB31" s="65"/>
      <c r="KOC31" s="65"/>
      <c r="KOD31" s="65"/>
      <c r="KOE31" s="65"/>
      <c r="KOF31" s="65"/>
      <c r="KOG31" s="65"/>
      <c r="KOH31" s="65"/>
      <c r="KOI31" s="65"/>
      <c r="KOJ31" s="65"/>
      <c r="KOK31" s="65"/>
      <c r="KOL31" s="65"/>
      <c r="KOM31" s="65"/>
      <c r="KON31" s="65"/>
      <c r="KOO31" s="65"/>
      <c r="KOP31" s="65"/>
      <c r="KOQ31" s="65"/>
      <c r="KOR31" s="65"/>
      <c r="KOS31" s="65"/>
      <c r="KOT31" s="65"/>
      <c r="KOU31" s="65"/>
      <c r="KOV31" s="65"/>
      <c r="KOW31" s="65"/>
      <c r="KOX31" s="65"/>
      <c r="KOY31" s="65"/>
      <c r="KOZ31" s="65"/>
      <c r="KPA31" s="65"/>
      <c r="KPB31" s="65"/>
      <c r="KPC31" s="65"/>
      <c r="KPD31" s="65"/>
      <c r="KPE31" s="65"/>
      <c r="KPF31" s="65"/>
      <c r="KPG31" s="65"/>
      <c r="KPH31" s="65"/>
      <c r="KPI31" s="65"/>
      <c r="KPJ31" s="65"/>
      <c r="KPK31" s="65"/>
      <c r="KPL31" s="65"/>
      <c r="KPM31" s="65"/>
      <c r="KPN31" s="65"/>
      <c r="KPO31" s="65"/>
      <c r="KPP31" s="65"/>
      <c r="KPQ31" s="65"/>
      <c r="KPR31" s="65"/>
      <c r="KPS31" s="65"/>
      <c r="KPT31" s="65"/>
      <c r="KPU31" s="65"/>
      <c r="KPV31" s="65"/>
      <c r="KPW31" s="65"/>
      <c r="KPX31" s="65"/>
      <c r="KPY31" s="65"/>
      <c r="KPZ31" s="65"/>
      <c r="KQA31" s="65"/>
      <c r="KQB31" s="65"/>
      <c r="KQC31" s="65"/>
      <c r="KQD31" s="65"/>
      <c r="KQE31" s="65"/>
      <c r="KQF31" s="65"/>
      <c r="KQG31" s="65"/>
      <c r="KQH31" s="65"/>
      <c r="KQI31" s="65"/>
      <c r="KQJ31" s="65"/>
      <c r="KQK31" s="65"/>
      <c r="KQL31" s="65"/>
      <c r="KQM31" s="65"/>
      <c r="KQN31" s="65"/>
      <c r="KQO31" s="65"/>
      <c r="KQP31" s="65"/>
      <c r="KQQ31" s="65"/>
      <c r="KQR31" s="65"/>
      <c r="KQS31" s="65"/>
      <c r="KQT31" s="65"/>
      <c r="KQU31" s="65"/>
      <c r="KQV31" s="65"/>
      <c r="KQW31" s="65"/>
      <c r="KQX31" s="65"/>
      <c r="KQY31" s="65"/>
      <c r="KQZ31" s="65"/>
      <c r="KRA31" s="65"/>
      <c r="KRB31" s="65"/>
      <c r="KRC31" s="65"/>
      <c r="KRD31" s="65"/>
      <c r="KRE31" s="65"/>
      <c r="KRF31" s="65"/>
      <c r="KRG31" s="65"/>
      <c r="KRH31" s="65"/>
      <c r="KRI31" s="65"/>
      <c r="KRJ31" s="65"/>
      <c r="KRK31" s="65"/>
      <c r="KRL31" s="65"/>
      <c r="KRM31" s="65"/>
      <c r="KRN31" s="65"/>
      <c r="KRO31" s="65"/>
      <c r="KRP31" s="65"/>
      <c r="KRQ31" s="65"/>
      <c r="KRR31" s="65"/>
      <c r="KRS31" s="65"/>
      <c r="KRT31" s="65"/>
      <c r="KRU31" s="65"/>
      <c r="KRV31" s="65"/>
      <c r="KRW31" s="65"/>
      <c r="KRX31" s="65"/>
      <c r="KRY31" s="65"/>
      <c r="KRZ31" s="65"/>
      <c r="KSA31" s="65"/>
      <c r="KSB31" s="65"/>
      <c r="KSC31" s="65"/>
      <c r="KSD31" s="65"/>
      <c r="KSE31" s="65"/>
      <c r="KSF31" s="65"/>
      <c r="KSG31" s="65"/>
      <c r="KSH31" s="65"/>
      <c r="KSI31" s="65"/>
      <c r="KSJ31" s="65"/>
      <c r="KSK31" s="65"/>
      <c r="KSL31" s="65"/>
      <c r="KSM31" s="65"/>
      <c r="KSN31" s="65"/>
      <c r="KSO31" s="65"/>
      <c r="KSP31" s="65"/>
      <c r="KSQ31" s="65"/>
      <c r="KSR31" s="65"/>
      <c r="KSS31" s="65"/>
      <c r="KST31" s="65"/>
      <c r="KSU31" s="65"/>
      <c r="KSV31" s="65"/>
      <c r="KSW31" s="65"/>
      <c r="KSX31" s="65"/>
      <c r="KSY31" s="65"/>
      <c r="KSZ31" s="65"/>
      <c r="KTA31" s="65"/>
      <c r="KTB31" s="65"/>
      <c r="KTC31" s="65"/>
      <c r="KTD31" s="65"/>
      <c r="KTE31" s="65"/>
      <c r="KTF31" s="65"/>
      <c r="KTG31" s="65"/>
      <c r="KTH31" s="65"/>
      <c r="KTI31" s="65"/>
      <c r="KTJ31" s="65"/>
      <c r="KTK31" s="65"/>
      <c r="KTL31" s="65"/>
      <c r="KTM31" s="65"/>
      <c r="KTN31" s="65"/>
      <c r="KTO31" s="65"/>
      <c r="KTP31" s="65"/>
      <c r="KTQ31" s="65"/>
      <c r="KTR31" s="65"/>
      <c r="KTS31" s="65"/>
      <c r="KTT31" s="65"/>
      <c r="KTU31" s="65"/>
      <c r="KTV31" s="65"/>
      <c r="KTW31" s="65"/>
      <c r="KTX31" s="65"/>
      <c r="KTY31" s="65"/>
      <c r="KTZ31" s="65"/>
      <c r="KUA31" s="65"/>
      <c r="KUB31" s="65"/>
      <c r="KUC31" s="65"/>
      <c r="KUD31" s="65"/>
      <c r="KUE31" s="65"/>
      <c r="KUF31" s="65"/>
      <c r="KUG31" s="65"/>
      <c r="KUH31" s="65"/>
      <c r="KUI31" s="65"/>
      <c r="KUJ31" s="65"/>
      <c r="KUK31" s="65"/>
      <c r="KUL31" s="65"/>
      <c r="KUM31" s="65"/>
      <c r="KUN31" s="65"/>
      <c r="KUO31" s="65"/>
      <c r="KUP31" s="65"/>
      <c r="KUQ31" s="65"/>
      <c r="KUR31" s="65"/>
      <c r="KUS31" s="65"/>
      <c r="KUT31" s="65"/>
      <c r="KUU31" s="65"/>
      <c r="KUV31" s="65"/>
      <c r="KUW31" s="65"/>
      <c r="KUX31" s="65"/>
      <c r="KUY31" s="65"/>
      <c r="KUZ31" s="65"/>
      <c r="KVA31" s="65"/>
      <c r="KVB31" s="65"/>
      <c r="KVC31" s="65"/>
      <c r="KVD31" s="65"/>
      <c r="KVE31" s="65"/>
      <c r="KVF31" s="65"/>
      <c r="KVG31" s="65"/>
      <c r="KVH31" s="65"/>
      <c r="KVI31" s="65"/>
      <c r="KVJ31" s="65"/>
      <c r="KVK31" s="65"/>
      <c r="KVL31" s="65"/>
      <c r="KVM31" s="65"/>
      <c r="KVN31" s="65"/>
      <c r="KVO31" s="65"/>
      <c r="KVP31" s="65"/>
      <c r="KVQ31" s="65"/>
      <c r="KVR31" s="65"/>
      <c r="KVS31" s="65"/>
      <c r="KVT31" s="65"/>
      <c r="KVU31" s="65"/>
      <c r="KVV31" s="65"/>
      <c r="KVW31" s="65"/>
      <c r="KVX31" s="65"/>
      <c r="KVY31" s="65"/>
      <c r="KVZ31" s="65"/>
      <c r="KWA31" s="65"/>
      <c r="KWB31" s="65"/>
      <c r="KWC31" s="65"/>
      <c r="KWD31" s="65"/>
      <c r="KWE31" s="65"/>
      <c r="KWF31" s="65"/>
      <c r="KWG31" s="65"/>
      <c r="KWH31" s="65"/>
      <c r="KWI31" s="65"/>
      <c r="KWJ31" s="65"/>
      <c r="KWK31" s="65"/>
      <c r="KWL31" s="65"/>
      <c r="KWM31" s="65"/>
      <c r="KWN31" s="65"/>
      <c r="KWO31" s="65"/>
      <c r="KWP31" s="65"/>
      <c r="KWQ31" s="65"/>
      <c r="KWR31" s="65"/>
      <c r="KWS31" s="65"/>
      <c r="KWT31" s="65"/>
      <c r="KWU31" s="65"/>
      <c r="KWV31" s="65"/>
      <c r="KWW31" s="65"/>
      <c r="KWX31" s="65"/>
      <c r="KWY31" s="65"/>
      <c r="KWZ31" s="65"/>
      <c r="KXA31" s="65"/>
      <c r="KXB31" s="65"/>
      <c r="KXC31" s="65"/>
      <c r="KXD31" s="65"/>
      <c r="KXE31" s="65"/>
      <c r="KXF31" s="65"/>
      <c r="KXG31" s="65"/>
      <c r="KXH31" s="65"/>
      <c r="KXI31" s="65"/>
      <c r="KXJ31" s="65"/>
      <c r="KXK31" s="65"/>
      <c r="KXL31" s="65"/>
      <c r="KXM31" s="65"/>
      <c r="KXN31" s="65"/>
      <c r="KXO31" s="65"/>
      <c r="KXP31" s="65"/>
      <c r="KXQ31" s="65"/>
      <c r="KXR31" s="65"/>
      <c r="KXS31" s="65"/>
      <c r="KXT31" s="65"/>
      <c r="KXU31" s="65"/>
      <c r="KXV31" s="65"/>
      <c r="KXW31" s="65"/>
      <c r="KXX31" s="65"/>
      <c r="KXY31" s="65"/>
      <c r="KXZ31" s="65"/>
      <c r="KYA31" s="65"/>
      <c r="KYB31" s="65"/>
      <c r="KYC31" s="65"/>
      <c r="KYD31" s="65"/>
      <c r="KYE31" s="65"/>
      <c r="KYF31" s="65"/>
      <c r="KYG31" s="65"/>
      <c r="KYH31" s="65"/>
      <c r="KYI31" s="65"/>
      <c r="KYJ31" s="65"/>
      <c r="KYK31" s="65"/>
      <c r="KYL31" s="65"/>
      <c r="KYM31" s="65"/>
      <c r="KYN31" s="65"/>
      <c r="KYO31" s="65"/>
      <c r="KYP31" s="65"/>
      <c r="KYQ31" s="65"/>
      <c r="KYR31" s="65"/>
      <c r="KYS31" s="65"/>
      <c r="KYT31" s="65"/>
      <c r="KYU31" s="65"/>
      <c r="KYV31" s="65"/>
      <c r="KYW31" s="65"/>
      <c r="KYX31" s="65"/>
      <c r="KYY31" s="65"/>
      <c r="KYZ31" s="65"/>
      <c r="KZA31" s="65"/>
      <c r="KZB31" s="65"/>
      <c r="KZC31" s="65"/>
      <c r="KZD31" s="65"/>
      <c r="KZE31" s="65"/>
      <c r="KZF31" s="65"/>
      <c r="KZG31" s="65"/>
      <c r="KZH31" s="65"/>
      <c r="KZI31" s="65"/>
      <c r="KZJ31" s="65"/>
      <c r="KZK31" s="65"/>
      <c r="KZL31" s="65"/>
      <c r="KZM31" s="65"/>
      <c r="KZN31" s="65"/>
      <c r="KZO31" s="65"/>
      <c r="KZP31" s="65"/>
      <c r="KZQ31" s="65"/>
      <c r="KZR31" s="65"/>
      <c r="KZS31" s="65"/>
      <c r="KZT31" s="65"/>
      <c r="KZU31" s="65"/>
      <c r="KZV31" s="65"/>
      <c r="KZW31" s="65"/>
      <c r="KZX31" s="65"/>
      <c r="KZY31" s="65"/>
      <c r="KZZ31" s="65"/>
      <c r="LAA31" s="65"/>
      <c r="LAB31" s="65"/>
      <c r="LAC31" s="65"/>
      <c r="LAD31" s="65"/>
      <c r="LAE31" s="65"/>
      <c r="LAF31" s="65"/>
      <c r="LAG31" s="65"/>
      <c r="LAH31" s="65"/>
      <c r="LAI31" s="65"/>
      <c r="LAJ31" s="65"/>
      <c r="LAK31" s="65"/>
      <c r="LAL31" s="65"/>
      <c r="LAM31" s="65"/>
      <c r="LAN31" s="65"/>
      <c r="LAO31" s="65"/>
      <c r="LAP31" s="65"/>
      <c r="LAQ31" s="65"/>
      <c r="LAR31" s="65"/>
      <c r="LAS31" s="65"/>
      <c r="LAT31" s="65"/>
      <c r="LAU31" s="65"/>
      <c r="LAV31" s="65"/>
      <c r="LAW31" s="65"/>
      <c r="LAX31" s="65"/>
      <c r="LAY31" s="65"/>
      <c r="LAZ31" s="65"/>
      <c r="LBA31" s="65"/>
      <c r="LBB31" s="65"/>
      <c r="LBC31" s="65"/>
      <c r="LBD31" s="65"/>
      <c r="LBE31" s="65"/>
      <c r="LBF31" s="65"/>
      <c r="LBG31" s="65"/>
      <c r="LBH31" s="65"/>
      <c r="LBI31" s="65"/>
      <c r="LBJ31" s="65"/>
      <c r="LBK31" s="65"/>
      <c r="LBL31" s="65"/>
      <c r="LBM31" s="65"/>
      <c r="LBN31" s="65"/>
      <c r="LBO31" s="65"/>
      <c r="LBP31" s="65"/>
      <c r="LBQ31" s="65"/>
      <c r="LBR31" s="65"/>
      <c r="LBS31" s="65"/>
      <c r="LBT31" s="65"/>
      <c r="LBU31" s="65"/>
      <c r="LBV31" s="65"/>
      <c r="LBW31" s="65"/>
      <c r="LBX31" s="65"/>
      <c r="LBY31" s="65"/>
      <c r="LBZ31" s="65"/>
      <c r="LCA31" s="65"/>
      <c r="LCB31" s="65"/>
      <c r="LCC31" s="65"/>
      <c r="LCD31" s="65"/>
      <c r="LCE31" s="65"/>
      <c r="LCF31" s="65"/>
      <c r="LCG31" s="65"/>
      <c r="LCH31" s="65"/>
      <c r="LCI31" s="65"/>
      <c r="LCJ31" s="65"/>
      <c r="LCK31" s="65"/>
      <c r="LCL31" s="65"/>
      <c r="LCM31" s="65"/>
      <c r="LCN31" s="65"/>
      <c r="LCO31" s="65"/>
      <c r="LCP31" s="65"/>
      <c r="LCQ31" s="65"/>
      <c r="LCR31" s="65"/>
      <c r="LCS31" s="65"/>
      <c r="LCT31" s="65"/>
      <c r="LCU31" s="65"/>
      <c r="LCV31" s="65"/>
      <c r="LCW31" s="65"/>
      <c r="LCX31" s="65"/>
      <c r="LCY31" s="65"/>
      <c r="LCZ31" s="65"/>
      <c r="LDA31" s="65"/>
      <c r="LDB31" s="65"/>
      <c r="LDC31" s="65"/>
      <c r="LDD31" s="65"/>
      <c r="LDE31" s="65"/>
      <c r="LDF31" s="65"/>
      <c r="LDG31" s="65"/>
      <c r="LDH31" s="65"/>
      <c r="LDI31" s="65"/>
      <c r="LDJ31" s="65"/>
      <c r="LDK31" s="65"/>
      <c r="LDL31" s="65"/>
      <c r="LDM31" s="65"/>
      <c r="LDN31" s="65"/>
      <c r="LDO31" s="65"/>
      <c r="LDP31" s="65"/>
      <c r="LDQ31" s="65"/>
      <c r="LDR31" s="65"/>
      <c r="LDS31" s="65"/>
      <c r="LDT31" s="65"/>
      <c r="LDU31" s="65"/>
      <c r="LDV31" s="65"/>
      <c r="LDW31" s="65"/>
      <c r="LDX31" s="65"/>
      <c r="LDY31" s="65"/>
      <c r="LDZ31" s="65"/>
      <c r="LEA31" s="65"/>
      <c r="LEB31" s="65"/>
      <c r="LEC31" s="65"/>
      <c r="LED31" s="65"/>
      <c r="LEE31" s="65"/>
      <c r="LEF31" s="65"/>
      <c r="LEG31" s="65"/>
      <c r="LEH31" s="65"/>
      <c r="LEI31" s="65"/>
      <c r="LEJ31" s="65"/>
      <c r="LEK31" s="65"/>
      <c r="LEL31" s="65"/>
      <c r="LEM31" s="65"/>
      <c r="LEN31" s="65"/>
      <c r="LEO31" s="65"/>
      <c r="LEP31" s="65"/>
      <c r="LEQ31" s="65"/>
      <c r="LER31" s="65"/>
      <c r="LES31" s="65"/>
      <c r="LET31" s="65"/>
      <c r="LEU31" s="65"/>
      <c r="LEV31" s="65"/>
      <c r="LEW31" s="65"/>
      <c r="LEX31" s="65"/>
      <c r="LEY31" s="65"/>
      <c r="LEZ31" s="65"/>
      <c r="LFA31" s="65"/>
      <c r="LFB31" s="65"/>
      <c r="LFC31" s="65"/>
      <c r="LFD31" s="65"/>
      <c r="LFE31" s="65"/>
      <c r="LFF31" s="65"/>
      <c r="LFG31" s="65"/>
      <c r="LFH31" s="65"/>
      <c r="LFI31" s="65"/>
      <c r="LFJ31" s="65"/>
      <c r="LFK31" s="65"/>
      <c r="LFL31" s="65"/>
      <c r="LFM31" s="65"/>
      <c r="LFN31" s="65"/>
      <c r="LFO31" s="65"/>
      <c r="LFP31" s="65"/>
      <c r="LFQ31" s="65"/>
      <c r="LFR31" s="65"/>
      <c r="LFS31" s="65"/>
      <c r="LFT31" s="65"/>
      <c r="LFU31" s="65"/>
      <c r="LFV31" s="65"/>
      <c r="LFW31" s="65"/>
      <c r="LFX31" s="65"/>
      <c r="LFY31" s="65"/>
      <c r="LFZ31" s="65"/>
      <c r="LGA31" s="65"/>
      <c r="LGB31" s="65"/>
      <c r="LGC31" s="65"/>
      <c r="LGD31" s="65"/>
      <c r="LGE31" s="65"/>
      <c r="LGF31" s="65"/>
      <c r="LGG31" s="65"/>
      <c r="LGH31" s="65"/>
      <c r="LGI31" s="65"/>
      <c r="LGJ31" s="65"/>
      <c r="LGK31" s="65"/>
      <c r="LGL31" s="65"/>
      <c r="LGM31" s="65"/>
      <c r="LGN31" s="65"/>
      <c r="LGO31" s="65"/>
      <c r="LGP31" s="65"/>
      <c r="LGQ31" s="65"/>
      <c r="LGR31" s="65"/>
      <c r="LGS31" s="65"/>
      <c r="LGT31" s="65"/>
      <c r="LGU31" s="65"/>
      <c r="LGV31" s="65"/>
      <c r="LGW31" s="65"/>
      <c r="LGX31" s="65"/>
      <c r="LGY31" s="65"/>
      <c r="LGZ31" s="65"/>
      <c r="LHA31" s="65"/>
      <c r="LHB31" s="65"/>
      <c r="LHC31" s="65"/>
      <c r="LHD31" s="65"/>
      <c r="LHE31" s="65"/>
      <c r="LHF31" s="65"/>
      <c r="LHG31" s="65"/>
      <c r="LHH31" s="65"/>
      <c r="LHI31" s="65"/>
      <c r="LHJ31" s="65"/>
      <c r="LHK31" s="65"/>
      <c r="LHL31" s="65"/>
      <c r="LHM31" s="65"/>
      <c r="LHN31" s="65"/>
      <c r="LHO31" s="65"/>
      <c r="LHP31" s="65"/>
      <c r="LHQ31" s="65"/>
      <c r="LHR31" s="65"/>
      <c r="LHS31" s="65"/>
      <c r="LHT31" s="65"/>
      <c r="LHU31" s="65"/>
      <c r="LHV31" s="65"/>
      <c r="LHW31" s="65"/>
      <c r="LHX31" s="65"/>
      <c r="LHY31" s="65"/>
      <c r="LHZ31" s="65"/>
      <c r="LIA31" s="65"/>
      <c r="LIB31" s="65"/>
      <c r="LIC31" s="65"/>
      <c r="LID31" s="65"/>
      <c r="LIE31" s="65"/>
      <c r="LIF31" s="65"/>
      <c r="LIG31" s="65"/>
      <c r="LIH31" s="65"/>
      <c r="LII31" s="65"/>
      <c r="LIJ31" s="65"/>
      <c r="LIK31" s="65"/>
      <c r="LIL31" s="65"/>
      <c r="LIM31" s="65"/>
      <c r="LIN31" s="65"/>
      <c r="LIO31" s="65"/>
      <c r="LIP31" s="65"/>
      <c r="LIQ31" s="65"/>
      <c r="LIR31" s="65"/>
      <c r="LIS31" s="65"/>
      <c r="LIT31" s="65"/>
      <c r="LIU31" s="65"/>
      <c r="LIV31" s="65"/>
      <c r="LIW31" s="65"/>
      <c r="LIX31" s="65"/>
      <c r="LIY31" s="65"/>
      <c r="LIZ31" s="65"/>
      <c r="LJA31" s="65"/>
      <c r="LJB31" s="65"/>
      <c r="LJC31" s="65"/>
      <c r="LJD31" s="65"/>
      <c r="LJE31" s="65"/>
      <c r="LJF31" s="65"/>
      <c r="LJG31" s="65"/>
      <c r="LJH31" s="65"/>
      <c r="LJI31" s="65"/>
      <c r="LJJ31" s="65"/>
      <c r="LJK31" s="65"/>
      <c r="LJL31" s="65"/>
      <c r="LJM31" s="65"/>
      <c r="LJN31" s="65"/>
      <c r="LJO31" s="65"/>
      <c r="LJP31" s="65"/>
      <c r="LJQ31" s="65"/>
      <c r="LJR31" s="65"/>
      <c r="LJS31" s="65"/>
      <c r="LJT31" s="65"/>
      <c r="LJU31" s="65"/>
      <c r="LJV31" s="65"/>
      <c r="LJW31" s="65"/>
      <c r="LJX31" s="65"/>
      <c r="LJY31" s="65"/>
      <c r="LJZ31" s="65"/>
      <c r="LKA31" s="65"/>
      <c r="LKB31" s="65"/>
      <c r="LKC31" s="65"/>
      <c r="LKD31" s="65"/>
      <c r="LKE31" s="65"/>
      <c r="LKF31" s="65"/>
      <c r="LKG31" s="65"/>
      <c r="LKH31" s="65"/>
      <c r="LKI31" s="65"/>
      <c r="LKJ31" s="65"/>
      <c r="LKK31" s="65"/>
      <c r="LKL31" s="65"/>
      <c r="LKM31" s="65"/>
      <c r="LKN31" s="65"/>
      <c r="LKO31" s="65"/>
      <c r="LKP31" s="65"/>
      <c r="LKQ31" s="65"/>
      <c r="LKR31" s="65"/>
      <c r="LKS31" s="65"/>
      <c r="LKT31" s="65"/>
      <c r="LKU31" s="65"/>
      <c r="LKV31" s="65"/>
      <c r="LKW31" s="65"/>
      <c r="LKX31" s="65"/>
      <c r="LKY31" s="65"/>
      <c r="LKZ31" s="65"/>
      <c r="LLA31" s="65"/>
      <c r="LLB31" s="65"/>
      <c r="LLC31" s="65"/>
      <c r="LLD31" s="65"/>
      <c r="LLE31" s="65"/>
      <c r="LLF31" s="65"/>
      <c r="LLG31" s="65"/>
      <c r="LLH31" s="65"/>
      <c r="LLI31" s="65"/>
      <c r="LLJ31" s="65"/>
      <c r="LLK31" s="65"/>
      <c r="LLL31" s="65"/>
      <c r="LLM31" s="65"/>
      <c r="LLN31" s="65"/>
      <c r="LLO31" s="65"/>
      <c r="LLP31" s="65"/>
      <c r="LLQ31" s="65"/>
      <c r="LLR31" s="65"/>
      <c r="LLS31" s="65"/>
      <c r="LLT31" s="65"/>
      <c r="LLU31" s="65"/>
      <c r="LLV31" s="65"/>
      <c r="LLW31" s="65"/>
      <c r="LLX31" s="65"/>
      <c r="LLY31" s="65"/>
      <c r="LLZ31" s="65"/>
      <c r="LMA31" s="65"/>
      <c r="LMB31" s="65"/>
      <c r="LMC31" s="65"/>
      <c r="LMD31" s="65"/>
      <c r="LME31" s="65"/>
      <c r="LMF31" s="65"/>
      <c r="LMG31" s="65"/>
      <c r="LMH31" s="65"/>
      <c r="LMI31" s="65"/>
      <c r="LMJ31" s="65"/>
      <c r="LMK31" s="65"/>
      <c r="LML31" s="65"/>
      <c r="LMM31" s="65"/>
      <c r="LMN31" s="65"/>
      <c r="LMO31" s="65"/>
      <c r="LMP31" s="65"/>
      <c r="LMQ31" s="65"/>
      <c r="LMR31" s="65"/>
      <c r="LMS31" s="65"/>
      <c r="LMT31" s="65"/>
      <c r="LMU31" s="65"/>
      <c r="LMV31" s="65"/>
      <c r="LMW31" s="65"/>
      <c r="LMX31" s="65"/>
      <c r="LMY31" s="65"/>
      <c r="LMZ31" s="65"/>
      <c r="LNA31" s="65"/>
      <c r="LNB31" s="65"/>
      <c r="LNC31" s="65"/>
      <c r="LND31" s="65"/>
      <c r="LNE31" s="65"/>
      <c r="LNF31" s="65"/>
      <c r="LNG31" s="65"/>
      <c r="LNH31" s="65"/>
      <c r="LNI31" s="65"/>
      <c r="LNJ31" s="65"/>
      <c r="LNK31" s="65"/>
      <c r="LNL31" s="65"/>
      <c r="LNM31" s="65"/>
      <c r="LNN31" s="65"/>
      <c r="LNO31" s="65"/>
      <c r="LNP31" s="65"/>
      <c r="LNQ31" s="65"/>
      <c r="LNR31" s="65"/>
      <c r="LNS31" s="65"/>
      <c r="LNT31" s="65"/>
      <c r="LNU31" s="65"/>
      <c r="LNV31" s="65"/>
      <c r="LNW31" s="65"/>
      <c r="LNX31" s="65"/>
      <c r="LNY31" s="65"/>
      <c r="LNZ31" s="65"/>
      <c r="LOA31" s="65"/>
      <c r="LOB31" s="65"/>
      <c r="LOC31" s="65"/>
      <c r="LOD31" s="65"/>
      <c r="LOE31" s="65"/>
      <c r="LOF31" s="65"/>
      <c r="LOG31" s="65"/>
      <c r="LOH31" s="65"/>
      <c r="LOI31" s="65"/>
      <c r="LOJ31" s="65"/>
      <c r="LOK31" s="65"/>
      <c r="LOL31" s="65"/>
      <c r="LOM31" s="65"/>
      <c r="LON31" s="65"/>
      <c r="LOO31" s="65"/>
      <c r="LOP31" s="65"/>
      <c r="LOQ31" s="65"/>
      <c r="LOR31" s="65"/>
      <c r="LOS31" s="65"/>
      <c r="LOT31" s="65"/>
      <c r="LOU31" s="65"/>
      <c r="LOV31" s="65"/>
      <c r="LOW31" s="65"/>
      <c r="LOX31" s="65"/>
      <c r="LOY31" s="65"/>
      <c r="LOZ31" s="65"/>
      <c r="LPA31" s="65"/>
      <c r="LPB31" s="65"/>
      <c r="LPC31" s="65"/>
      <c r="LPD31" s="65"/>
      <c r="LPE31" s="65"/>
      <c r="LPF31" s="65"/>
      <c r="LPG31" s="65"/>
      <c r="LPH31" s="65"/>
      <c r="LPI31" s="65"/>
      <c r="LPJ31" s="65"/>
      <c r="LPK31" s="65"/>
      <c r="LPL31" s="65"/>
      <c r="LPM31" s="65"/>
      <c r="LPN31" s="65"/>
      <c r="LPO31" s="65"/>
      <c r="LPP31" s="65"/>
      <c r="LPQ31" s="65"/>
      <c r="LPR31" s="65"/>
      <c r="LPS31" s="65"/>
      <c r="LPT31" s="65"/>
      <c r="LPU31" s="65"/>
      <c r="LPV31" s="65"/>
      <c r="LPW31" s="65"/>
      <c r="LPX31" s="65"/>
      <c r="LPY31" s="65"/>
      <c r="LPZ31" s="65"/>
      <c r="LQA31" s="65"/>
      <c r="LQB31" s="65"/>
      <c r="LQC31" s="65"/>
      <c r="LQD31" s="65"/>
      <c r="LQE31" s="65"/>
      <c r="LQF31" s="65"/>
      <c r="LQG31" s="65"/>
      <c r="LQH31" s="65"/>
      <c r="LQI31" s="65"/>
      <c r="LQJ31" s="65"/>
      <c r="LQK31" s="65"/>
      <c r="LQL31" s="65"/>
      <c r="LQM31" s="65"/>
      <c r="LQN31" s="65"/>
      <c r="LQO31" s="65"/>
      <c r="LQP31" s="65"/>
      <c r="LQQ31" s="65"/>
      <c r="LQR31" s="65"/>
      <c r="LQS31" s="65"/>
      <c r="LQT31" s="65"/>
      <c r="LQU31" s="65"/>
      <c r="LQV31" s="65"/>
      <c r="LQW31" s="65"/>
      <c r="LQX31" s="65"/>
      <c r="LQY31" s="65"/>
      <c r="LQZ31" s="65"/>
      <c r="LRA31" s="65"/>
      <c r="LRB31" s="65"/>
      <c r="LRC31" s="65"/>
      <c r="LRD31" s="65"/>
      <c r="LRE31" s="65"/>
      <c r="LRF31" s="65"/>
      <c r="LRG31" s="65"/>
      <c r="LRH31" s="65"/>
      <c r="LRI31" s="65"/>
      <c r="LRJ31" s="65"/>
      <c r="LRK31" s="65"/>
      <c r="LRL31" s="65"/>
      <c r="LRM31" s="65"/>
      <c r="LRN31" s="65"/>
      <c r="LRO31" s="65"/>
      <c r="LRP31" s="65"/>
      <c r="LRQ31" s="65"/>
      <c r="LRR31" s="65"/>
      <c r="LRS31" s="65"/>
      <c r="LRT31" s="65"/>
      <c r="LRU31" s="65"/>
      <c r="LRV31" s="65"/>
      <c r="LRW31" s="65"/>
      <c r="LRX31" s="65"/>
      <c r="LRY31" s="65"/>
      <c r="LRZ31" s="65"/>
      <c r="LSA31" s="65"/>
      <c r="LSB31" s="65"/>
      <c r="LSC31" s="65"/>
      <c r="LSD31" s="65"/>
      <c r="LSE31" s="65"/>
      <c r="LSF31" s="65"/>
      <c r="LSG31" s="65"/>
      <c r="LSH31" s="65"/>
      <c r="LSI31" s="65"/>
      <c r="LSJ31" s="65"/>
      <c r="LSK31" s="65"/>
      <c r="LSL31" s="65"/>
      <c r="LSM31" s="65"/>
      <c r="LSN31" s="65"/>
      <c r="LSO31" s="65"/>
      <c r="LSP31" s="65"/>
      <c r="LSQ31" s="65"/>
      <c r="LSR31" s="65"/>
      <c r="LSS31" s="65"/>
      <c r="LST31" s="65"/>
      <c r="LSU31" s="65"/>
      <c r="LSV31" s="65"/>
      <c r="LSW31" s="65"/>
      <c r="LSX31" s="65"/>
      <c r="LSY31" s="65"/>
      <c r="LSZ31" s="65"/>
      <c r="LTA31" s="65"/>
      <c r="LTB31" s="65"/>
      <c r="LTC31" s="65"/>
      <c r="LTD31" s="65"/>
      <c r="LTE31" s="65"/>
      <c r="LTF31" s="65"/>
      <c r="LTG31" s="65"/>
      <c r="LTH31" s="65"/>
      <c r="LTI31" s="65"/>
      <c r="LTJ31" s="65"/>
      <c r="LTK31" s="65"/>
      <c r="LTL31" s="65"/>
      <c r="LTM31" s="65"/>
      <c r="LTN31" s="65"/>
      <c r="LTO31" s="65"/>
      <c r="LTP31" s="65"/>
      <c r="LTQ31" s="65"/>
      <c r="LTR31" s="65"/>
      <c r="LTS31" s="65"/>
      <c r="LTT31" s="65"/>
      <c r="LTU31" s="65"/>
      <c r="LTV31" s="65"/>
      <c r="LTW31" s="65"/>
      <c r="LTX31" s="65"/>
      <c r="LTY31" s="65"/>
      <c r="LTZ31" s="65"/>
      <c r="LUA31" s="65"/>
      <c r="LUB31" s="65"/>
      <c r="LUC31" s="65"/>
      <c r="LUD31" s="65"/>
      <c r="LUE31" s="65"/>
      <c r="LUF31" s="65"/>
      <c r="LUG31" s="65"/>
      <c r="LUH31" s="65"/>
      <c r="LUI31" s="65"/>
      <c r="LUJ31" s="65"/>
      <c r="LUK31" s="65"/>
      <c r="LUL31" s="65"/>
      <c r="LUM31" s="65"/>
      <c r="LUN31" s="65"/>
      <c r="LUO31" s="65"/>
      <c r="LUP31" s="65"/>
      <c r="LUQ31" s="65"/>
      <c r="LUR31" s="65"/>
      <c r="LUS31" s="65"/>
      <c r="LUT31" s="65"/>
      <c r="LUU31" s="65"/>
      <c r="LUV31" s="65"/>
      <c r="LUW31" s="65"/>
      <c r="LUX31" s="65"/>
      <c r="LUY31" s="65"/>
      <c r="LUZ31" s="65"/>
      <c r="LVA31" s="65"/>
      <c r="LVB31" s="65"/>
      <c r="LVC31" s="65"/>
      <c r="LVD31" s="65"/>
      <c r="LVE31" s="65"/>
      <c r="LVF31" s="65"/>
      <c r="LVG31" s="65"/>
      <c r="LVH31" s="65"/>
      <c r="LVI31" s="65"/>
      <c r="LVJ31" s="65"/>
      <c r="LVK31" s="65"/>
      <c r="LVL31" s="65"/>
      <c r="LVM31" s="65"/>
      <c r="LVN31" s="65"/>
      <c r="LVO31" s="65"/>
      <c r="LVP31" s="65"/>
      <c r="LVQ31" s="65"/>
      <c r="LVR31" s="65"/>
      <c r="LVS31" s="65"/>
      <c r="LVT31" s="65"/>
      <c r="LVU31" s="65"/>
      <c r="LVV31" s="65"/>
      <c r="LVW31" s="65"/>
      <c r="LVX31" s="65"/>
      <c r="LVY31" s="65"/>
      <c r="LVZ31" s="65"/>
      <c r="LWA31" s="65"/>
      <c r="LWB31" s="65"/>
      <c r="LWC31" s="65"/>
      <c r="LWD31" s="65"/>
      <c r="LWE31" s="65"/>
      <c r="LWF31" s="65"/>
      <c r="LWG31" s="65"/>
      <c r="LWH31" s="65"/>
      <c r="LWI31" s="65"/>
      <c r="LWJ31" s="65"/>
      <c r="LWK31" s="65"/>
      <c r="LWL31" s="65"/>
      <c r="LWM31" s="65"/>
      <c r="LWN31" s="65"/>
      <c r="LWO31" s="65"/>
      <c r="LWP31" s="65"/>
      <c r="LWQ31" s="65"/>
      <c r="LWR31" s="65"/>
      <c r="LWS31" s="65"/>
      <c r="LWT31" s="65"/>
      <c r="LWU31" s="65"/>
      <c r="LWV31" s="65"/>
      <c r="LWW31" s="65"/>
      <c r="LWX31" s="65"/>
      <c r="LWY31" s="65"/>
      <c r="LWZ31" s="65"/>
      <c r="LXA31" s="65"/>
      <c r="LXB31" s="65"/>
      <c r="LXC31" s="65"/>
      <c r="LXD31" s="65"/>
      <c r="LXE31" s="65"/>
      <c r="LXF31" s="65"/>
      <c r="LXG31" s="65"/>
      <c r="LXH31" s="65"/>
      <c r="LXI31" s="65"/>
      <c r="LXJ31" s="65"/>
      <c r="LXK31" s="65"/>
      <c r="LXL31" s="65"/>
      <c r="LXM31" s="65"/>
      <c r="LXN31" s="65"/>
      <c r="LXO31" s="65"/>
      <c r="LXP31" s="65"/>
      <c r="LXQ31" s="65"/>
      <c r="LXR31" s="65"/>
      <c r="LXS31" s="65"/>
      <c r="LXT31" s="65"/>
      <c r="LXU31" s="65"/>
      <c r="LXV31" s="65"/>
      <c r="LXW31" s="65"/>
      <c r="LXX31" s="65"/>
      <c r="LXY31" s="65"/>
      <c r="LXZ31" s="65"/>
      <c r="LYA31" s="65"/>
      <c r="LYB31" s="65"/>
      <c r="LYC31" s="65"/>
      <c r="LYD31" s="65"/>
      <c r="LYE31" s="65"/>
      <c r="LYF31" s="65"/>
      <c r="LYG31" s="65"/>
      <c r="LYH31" s="65"/>
      <c r="LYI31" s="65"/>
      <c r="LYJ31" s="65"/>
      <c r="LYK31" s="65"/>
      <c r="LYL31" s="65"/>
      <c r="LYM31" s="65"/>
      <c r="LYN31" s="65"/>
      <c r="LYO31" s="65"/>
      <c r="LYP31" s="65"/>
      <c r="LYQ31" s="65"/>
      <c r="LYR31" s="65"/>
      <c r="LYS31" s="65"/>
      <c r="LYT31" s="65"/>
      <c r="LYU31" s="65"/>
      <c r="LYV31" s="65"/>
      <c r="LYW31" s="65"/>
      <c r="LYX31" s="65"/>
      <c r="LYY31" s="65"/>
      <c r="LYZ31" s="65"/>
      <c r="LZA31" s="65"/>
      <c r="LZB31" s="65"/>
      <c r="LZC31" s="65"/>
      <c r="LZD31" s="65"/>
      <c r="LZE31" s="65"/>
      <c r="LZF31" s="65"/>
      <c r="LZG31" s="65"/>
      <c r="LZH31" s="65"/>
      <c r="LZI31" s="65"/>
      <c r="LZJ31" s="65"/>
      <c r="LZK31" s="65"/>
      <c r="LZL31" s="65"/>
      <c r="LZM31" s="65"/>
      <c r="LZN31" s="65"/>
      <c r="LZO31" s="65"/>
      <c r="LZP31" s="65"/>
      <c r="LZQ31" s="65"/>
      <c r="LZR31" s="65"/>
      <c r="LZS31" s="65"/>
      <c r="LZT31" s="65"/>
      <c r="LZU31" s="65"/>
      <c r="LZV31" s="65"/>
      <c r="LZW31" s="65"/>
      <c r="LZX31" s="65"/>
      <c r="LZY31" s="65"/>
      <c r="LZZ31" s="65"/>
      <c r="MAA31" s="65"/>
      <c r="MAB31" s="65"/>
      <c r="MAC31" s="65"/>
      <c r="MAD31" s="65"/>
      <c r="MAE31" s="65"/>
      <c r="MAF31" s="65"/>
      <c r="MAG31" s="65"/>
      <c r="MAH31" s="65"/>
      <c r="MAI31" s="65"/>
      <c r="MAJ31" s="65"/>
      <c r="MAK31" s="65"/>
      <c r="MAL31" s="65"/>
      <c r="MAM31" s="65"/>
      <c r="MAN31" s="65"/>
      <c r="MAO31" s="65"/>
      <c r="MAP31" s="65"/>
      <c r="MAQ31" s="65"/>
      <c r="MAR31" s="65"/>
      <c r="MAS31" s="65"/>
      <c r="MAT31" s="65"/>
      <c r="MAU31" s="65"/>
      <c r="MAV31" s="65"/>
      <c r="MAW31" s="65"/>
      <c r="MAX31" s="65"/>
      <c r="MAY31" s="65"/>
      <c r="MAZ31" s="65"/>
      <c r="MBA31" s="65"/>
      <c r="MBB31" s="65"/>
      <c r="MBC31" s="65"/>
      <c r="MBD31" s="65"/>
      <c r="MBE31" s="65"/>
      <c r="MBF31" s="65"/>
      <c r="MBG31" s="65"/>
      <c r="MBH31" s="65"/>
      <c r="MBI31" s="65"/>
      <c r="MBJ31" s="65"/>
      <c r="MBK31" s="65"/>
      <c r="MBL31" s="65"/>
      <c r="MBM31" s="65"/>
      <c r="MBN31" s="65"/>
      <c r="MBO31" s="65"/>
      <c r="MBP31" s="65"/>
      <c r="MBQ31" s="65"/>
      <c r="MBR31" s="65"/>
      <c r="MBS31" s="65"/>
      <c r="MBT31" s="65"/>
      <c r="MBU31" s="65"/>
      <c r="MBV31" s="65"/>
      <c r="MBW31" s="65"/>
      <c r="MBX31" s="65"/>
      <c r="MBY31" s="65"/>
      <c r="MBZ31" s="65"/>
      <c r="MCA31" s="65"/>
      <c r="MCB31" s="65"/>
      <c r="MCC31" s="65"/>
      <c r="MCD31" s="65"/>
      <c r="MCE31" s="65"/>
      <c r="MCF31" s="65"/>
      <c r="MCG31" s="65"/>
      <c r="MCH31" s="65"/>
      <c r="MCI31" s="65"/>
      <c r="MCJ31" s="65"/>
      <c r="MCK31" s="65"/>
      <c r="MCL31" s="65"/>
      <c r="MCM31" s="65"/>
      <c r="MCN31" s="65"/>
      <c r="MCO31" s="65"/>
      <c r="MCP31" s="65"/>
      <c r="MCQ31" s="65"/>
      <c r="MCR31" s="65"/>
      <c r="MCS31" s="65"/>
      <c r="MCT31" s="65"/>
      <c r="MCU31" s="65"/>
      <c r="MCV31" s="65"/>
      <c r="MCW31" s="65"/>
      <c r="MCX31" s="65"/>
      <c r="MCY31" s="65"/>
      <c r="MCZ31" s="65"/>
      <c r="MDA31" s="65"/>
      <c r="MDB31" s="65"/>
      <c r="MDC31" s="65"/>
      <c r="MDD31" s="65"/>
      <c r="MDE31" s="65"/>
      <c r="MDF31" s="65"/>
      <c r="MDG31" s="65"/>
      <c r="MDH31" s="65"/>
      <c r="MDI31" s="65"/>
      <c r="MDJ31" s="65"/>
      <c r="MDK31" s="65"/>
      <c r="MDL31" s="65"/>
      <c r="MDM31" s="65"/>
      <c r="MDN31" s="65"/>
      <c r="MDO31" s="65"/>
      <c r="MDP31" s="65"/>
      <c r="MDQ31" s="65"/>
      <c r="MDR31" s="65"/>
      <c r="MDS31" s="65"/>
      <c r="MDT31" s="65"/>
      <c r="MDU31" s="65"/>
      <c r="MDV31" s="65"/>
      <c r="MDW31" s="65"/>
      <c r="MDX31" s="65"/>
      <c r="MDY31" s="65"/>
      <c r="MDZ31" s="65"/>
      <c r="MEA31" s="65"/>
      <c r="MEB31" s="65"/>
      <c r="MEC31" s="65"/>
      <c r="MED31" s="65"/>
      <c r="MEE31" s="65"/>
      <c r="MEF31" s="65"/>
      <c r="MEG31" s="65"/>
      <c r="MEH31" s="65"/>
      <c r="MEI31" s="65"/>
      <c r="MEJ31" s="65"/>
      <c r="MEK31" s="65"/>
      <c r="MEL31" s="65"/>
      <c r="MEM31" s="65"/>
      <c r="MEN31" s="65"/>
      <c r="MEO31" s="65"/>
      <c r="MEP31" s="65"/>
      <c r="MEQ31" s="65"/>
      <c r="MER31" s="65"/>
      <c r="MES31" s="65"/>
      <c r="MET31" s="65"/>
      <c r="MEU31" s="65"/>
      <c r="MEV31" s="65"/>
      <c r="MEW31" s="65"/>
      <c r="MEX31" s="65"/>
      <c r="MEY31" s="65"/>
      <c r="MEZ31" s="65"/>
      <c r="MFA31" s="65"/>
      <c r="MFB31" s="65"/>
      <c r="MFC31" s="65"/>
      <c r="MFD31" s="65"/>
      <c r="MFE31" s="65"/>
      <c r="MFF31" s="65"/>
      <c r="MFG31" s="65"/>
      <c r="MFH31" s="65"/>
      <c r="MFI31" s="65"/>
      <c r="MFJ31" s="65"/>
      <c r="MFK31" s="65"/>
      <c r="MFL31" s="65"/>
      <c r="MFM31" s="65"/>
      <c r="MFN31" s="65"/>
      <c r="MFO31" s="65"/>
      <c r="MFP31" s="65"/>
      <c r="MFQ31" s="65"/>
      <c r="MFR31" s="65"/>
      <c r="MFS31" s="65"/>
      <c r="MFT31" s="65"/>
      <c r="MFU31" s="65"/>
      <c r="MFV31" s="65"/>
      <c r="MFW31" s="65"/>
      <c r="MFX31" s="65"/>
      <c r="MFY31" s="65"/>
      <c r="MFZ31" s="65"/>
      <c r="MGA31" s="65"/>
      <c r="MGB31" s="65"/>
      <c r="MGC31" s="65"/>
      <c r="MGD31" s="65"/>
      <c r="MGE31" s="65"/>
      <c r="MGF31" s="65"/>
      <c r="MGG31" s="65"/>
      <c r="MGH31" s="65"/>
      <c r="MGI31" s="65"/>
      <c r="MGJ31" s="65"/>
      <c r="MGK31" s="65"/>
      <c r="MGL31" s="65"/>
      <c r="MGM31" s="65"/>
      <c r="MGN31" s="65"/>
      <c r="MGO31" s="65"/>
      <c r="MGP31" s="65"/>
      <c r="MGQ31" s="65"/>
      <c r="MGR31" s="65"/>
      <c r="MGS31" s="65"/>
      <c r="MGT31" s="65"/>
      <c r="MGU31" s="65"/>
      <c r="MGV31" s="65"/>
      <c r="MGW31" s="65"/>
      <c r="MGX31" s="65"/>
      <c r="MGY31" s="65"/>
      <c r="MGZ31" s="65"/>
      <c r="MHA31" s="65"/>
      <c r="MHB31" s="65"/>
      <c r="MHC31" s="65"/>
      <c r="MHD31" s="65"/>
      <c r="MHE31" s="65"/>
      <c r="MHF31" s="65"/>
      <c r="MHG31" s="65"/>
      <c r="MHH31" s="65"/>
      <c r="MHI31" s="65"/>
      <c r="MHJ31" s="65"/>
      <c r="MHK31" s="65"/>
      <c r="MHL31" s="65"/>
      <c r="MHM31" s="65"/>
      <c r="MHN31" s="65"/>
      <c r="MHO31" s="65"/>
      <c r="MHP31" s="65"/>
      <c r="MHQ31" s="65"/>
      <c r="MHR31" s="65"/>
      <c r="MHS31" s="65"/>
      <c r="MHT31" s="65"/>
      <c r="MHU31" s="65"/>
      <c r="MHV31" s="65"/>
      <c r="MHW31" s="65"/>
      <c r="MHX31" s="65"/>
      <c r="MHY31" s="65"/>
      <c r="MHZ31" s="65"/>
      <c r="MIA31" s="65"/>
      <c r="MIB31" s="65"/>
      <c r="MIC31" s="65"/>
      <c r="MID31" s="65"/>
      <c r="MIE31" s="65"/>
      <c r="MIF31" s="65"/>
      <c r="MIG31" s="65"/>
      <c r="MIH31" s="65"/>
      <c r="MII31" s="65"/>
      <c r="MIJ31" s="65"/>
      <c r="MIK31" s="65"/>
      <c r="MIL31" s="65"/>
      <c r="MIM31" s="65"/>
      <c r="MIN31" s="65"/>
      <c r="MIO31" s="65"/>
      <c r="MIP31" s="65"/>
      <c r="MIQ31" s="65"/>
      <c r="MIR31" s="65"/>
      <c r="MIS31" s="65"/>
      <c r="MIT31" s="65"/>
      <c r="MIU31" s="65"/>
      <c r="MIV31" s="65"/>
      <c r="MIW31" s="65"/>
      <c r="MIX31" s="65"/>
      <c r="MIY31" s="65"/>
      <c r="MIZ31" s="65"/>
      <c r="MJA31" s="65"/>
      <c r="MJB31" s="65"/>
      <c r="MJC31" s="65"/>
      <c r="MJD31" s="65"/>
      <c r="MJE31" s="65"/>
      <c r="MJF31" s="65"/>
      <c r="MJG31" s="65"/>
      <c r="MJH31" s="65"/>
      <c r="MJI31" s="65"/>
      <c r="MJJ31" s="65"/>
      <c r="MJK31" s="65"/>
      <c r="MJL31" s="65"/>
      <c r="MJM31" s="65"/>
      <c r="MJN31" s="65"/>
      <c r="MJO31" s="65"/>
      <c r="MJP31" s="65"/>
      <c r="MJQ31" s="65"/>
      <c r="MJR31" s="65"/>
      <c r="MJS31" s="65"/>
      <c r="MJT31" s="65"/>
      <c r="MJU31" s="65"/>
      <c r="MJV31" s="65"/>
      <c r="MJW31" s="65"/>
      <c r="MJX31" s="65"/>
      <c r="MJY31" s="65"/>
      <c r="MJZ31" s="65"/>
      <c r="MKA31" s="65"/>
      <c r="MKB31" s="65"/>
      <c r="MKC31" s="65"/>
      <c r="MKD31" s="65"/>
      <c r="MKE31" s="65"/>
      <c r="MKF31" s="65"/>
      <c r="MKG31" s="65"/>
      <c r="MKH31" s="65"/>
      <c r="MKI31" s="65"/>
      <c r="MKJ31" s="65"/>
      <c r="MKK31" s="65"/>
      <c r="MKL31" s="65"/>
      <c r="MKM31" s="65"/>
      <c r="MKN31" s="65"/>
      <c r="MKO31" s="65"/>
      <c r="MKP31" s="65"/>
      <c r="MKQ31" s="65"/>
      <c r="MKR31" s="65"/>
      <c r="MKS31" s="65"/>
      <c r="MKT31" s="65"/>
      <c r="MKU31" s="65"/>
      <c r="MKV31" s="65"/>
      <c r="MKW31" s="65"/>
      <c r="MKX31" s="65"/>
      <c r="MKY31" s="65"/>
      <c r="MKZ31" s="65"/>
      <c r="MLA31" s="65"/>
      <c r="MLB31" s="65"/>
      <c r="MLC31" s="65"/>
      <c r="MLD31" s="65"/>
      <c r="MLE31" s="65"/>
      <c r="MLF31" s="65"/>
      <c r="MLG31" s="65"/>
      <c r="MLH31" s="65"/>
      <c r="MLI31" s="65"/>
      <c r="MLJ31" s="65"/>
      <c r="MLK31" s="65"/>
      <c r="MLL31" s="65"/>
      <c r="MLM31" s="65"/>
      <c r="MLN31" s="65"/>
      <c r="MLO31" s="65"/>
      <c r="MLP31" s="65"/>
      <c r="MLQ31" s="65"/>
      <c r="MLR31" s="65"/>
      <c r="MLS31" s="65"/>
      <c r="MLT31" s="65"/>
      <c r="MLU31" s="65"/>
      <c r="MLV31" s="65"/>
      <c r="MLW31" s="65"/>
      <c r="MLX31" s="65"/>
      <c r="MLY31" s="65"/>
      <c r="MLZ31" s="65"/>
      <c r="MMA31" s="65"/>
      <c r="MMB31" s="65"/>
      <c r="MMC31" s="65"/>
      <c r="MMD31" s="65"/>
      <c r="MME31" s="65"/>
      <c r="MMF31" s="65"/>
      <c r="MMG31" s="65"/>
      <c r="MMH31" s="65"/>
      <c r="MMI31" s="65"/>
      <c r="MMJ31" s="65"/>
      <c r="MMK31" s="65"/>
      <c r="MML31" s="65"/>
      <c r="MMM31" s="65"/>
      <c r="MMN31" s="65"/>
      <c r="MMO31" s="65"/>
      <c r="MMP31" s="65"/>
      <c r="MMQ31" s="65"/>
      <c r="MMR31" s="65"/>
      <c r="MMS31" s="65"/>
      <c r="MMT31" s="65"/>
      <c r="MMU31" s="65"/>
      <c r="MMV31" s="65"/>
      <c r="MMW31" s="65"/>
      <c r="MMX31" s="65"/>
      <c r="MMY31" s="65"/>
      <c r="MMZ31" s="65"/>
      <c r="MNA31" s="65"/>
      <c r="MNB31" s="65"/>
      <c r="MNC31" s="65"/>
      <c r="MND31" s="65"/>
      <c r="MNE31" s="65"/>
      <c r="MNF31" s="65"/>
      <c r="MNG31" s="65"/>
      <c r="MNH31" s="65"/>
      <c r="MNI31" s="65"/>
      <c r="MNJ31" s="65"/>
      <c r="MNK31" s="65"/>
      <c r="MNL31" s="65"/>
      <c r="MNM31" s="65"/>
      <c r="MNN31" s="65"/>
      <c r="MNO31" s="65"/>
      <c r="MNP31" s="65"/>
      <c r="MNQ31" s="65"/>
      <c r="MNR31" s="65"/>
      <c r="MNS31" s="65"/>
      <c r="MNT31" s="65"/>
      <c r="MNU31" s="65"/>
      <c r="MNV31" s="65"/>
      <c r="MNW31" s="65"/>
      <c r="MNX31" s="65"/>
      <c r="MNY31" s="65"/>
      <c r="MNZ31" s="65"/>
      <c r="MOA31" s="65"/>
      <c r="MOB31" s="65"/>
      <c r="MOC31" s="65"/>
      <c r="MOD31" s="65"/>
      <c r="MOE31" s="65"/>
      <c r="MOF31" s="65"/>
      <c r="MOG31" s="65"/>
      <c r="MOH31" s="65"/>
      <c r="MOI31" s="65"/>
      <c r="MOJ31" s="65"/>
      <c r="MOK31" s="65"/>
      <c r="MOL31" s="65"/>
      <c r="MOM31" s="65"/>
      <c r="MON31" s="65"/>
      <c r="MOO31" s="65"/>
      <c r="MOP31" s="65"/>
      <c r="MOQ31" s="65"/>
      <c r="MOR31" s="65"/>
      <c r="MOS31" s="65"/>
      <c r="MOT31" s="65"/>
      <c r="MOU31" s="65"/>
      <c r="MOV31" s="65"/>
      <c r="MOW31" s="65"/>
      <c r="MOX31" s="65"/>
      <c r="MOY31" s="65"/>
      <c r="MOZ31" s="65"/>
      <c r="MPA31" s="65"/>
      <c r="MPB31" s="65"/>
      <c r="MPC31" s="65"/>
      <c r="MPD31" s="65"/>
      <c r="MPE31" s="65"/>
      <c r="MPF31" s="65"/>
      <c r="MPG31" s="65"/>
      <c r="MPH31" s="65"/>
      <c r="MPI31" s="65"/>
      <c r="MPJ31" s="65"/>
      <c r="MPK31" s="65"/>
      <c r="MPL31" s="65"/>
      <c r="MPM31" s="65"/>
      <c r="MPN31" s="65"/>
      <c r="MPO31" s="65"/>
      <c r="MPP31" s="65"/>
      <c r="MPQ31" s="65"/>
      <c r="MPR31" s="65"/>
      <c r="MPS31" s="65"/>
      <c r="MPT31" s="65"/>
      <c r="MPU31" s="65"/>
      <c r="MPV31" s="65"/>
      <c r="MPW31" s="65"/>
      <c r="MPX31" s="65"/>
      <c r="MPY31" s="65"/>
      <c r="MPZ31" s="65"/>
      <c r="MQA31" s="65"/>
      <c r="MQB31" s="65"/>
      <c r="MQC31" s="65"/>
      <c r="MQD31" s="65"/>
      <c r="MQE31" s="65"/>
      <c r="MQF31" s="65"/>
      <c r="MQG31" s="65"/>
      <c r="MQH31" s="65"/>
      <c r="MQI31" s="65"/>
      <c r="MQJ31" s="65"/>
      <c r="MQK31" s="65"/>
      <c r="MQL31" s="65"/>
      <c r="MQM31" s="65"/>
      <c r="MQN31" s="65"/>
      <c r="MQO31" s="65"/>
      <c r="MQP31" s="65"/>
      <c r="MQQ31" s="65"/>
      <c r="MQR31" s="65"/>
      <c r="MQS31" s="65"/>
      <c r="MQT31" s="65"/>
      <c r="MQU31" s="65"/>
      <c r="MQV31" s="65"/>
      <c r="MQW31" s="65"/>
      <c r="MQX31" s="65"/>
      <c r="MQY31" s="65"/>
      <c r="MQZ31" s="65"/>
      <c r="MRA31" s="65"/>
      <c r="MRB31" s="65"/>
      <c r="MRC31" s="65"/>
      <c r="MRD31" s="65"/>
      <c r="MRE31" s="65"/>
      <c r="MRF31" s="65"/>
      <c r="MRG31" s="65"/>
      <c r="MRH31" s="65"/>
      <c r="MRI31" s="65"/>
      <c r="MRJ31" s="65"/>
      <c r="MRK31" s="65"/>
      <c r="MRL31" s="65"/>
      <c r="MRM31" s="65"/>
      <c r="MRN31" s="65"/>
      <c r="MRO31" s="65"/>
      <c r="MRP31" s="65"/>
      <c r="MRQ31" s="65"/>
      <c r="MRR31" s="65"/>
      <c r="MRS31" s="65"/>
      <c r="MRT31" s="65"/>
      <c r="MRU31" s="65"/>
      <c r="MRV31" s="65"/>
      <c r="MRW31" s="65"/>
      <c r="MRX31" s="65"/>
      <c r="MRY31" s="65"/>
      <c r="MRZ31" s="65"/>
      <c r="MSA31" s="65"/>
      <c r="MSB31" s="65"/>
      <c r="MSC31" s="65"/>
      <c r="MSD31" s="65"/>
      <c r="MSE31" s="65"/>
      <c r="MSF31" s="65"/>
      <c r="MSG31" s="65"/>
      <c r="MSH31" s="65"/>
      <c r="MSI31" s="65"/>
      <c r="MSJ31" s="65"/>
      <c r="MSK31" s="65"/>
      <c r="MSL31" s="65"/>
      <c r="MSM31" s="65"/>
      <c r="MSN31" s="65"/>
      <c r="MSO31" s="65"/>
      <c r="MSP31" s="65"/>
      <c r="MSQ31" s="65"/>
      <c r="MSR31" s="65"/>
      <c r="MSS31" s="65"/>
      <c r="MST31" s="65"/>
      <c r="MSU31" s="65"/>
      <c r="MSV31" s="65"/>
      <c r="MSW31" s="65"/>
      <c r="MSX31" s="65"/>
      <c r="MSY31" s="65"/>
      <c r="MSZ31" s="65"/>
      <c r="MTA31" s="65"/>
      <c r="MTB31" s="65"/>
      <c r="MTC31" s="65"/>
      <c r="MTD31" s="65"/>
      <c r="MTE31" s="65"/>
      <c r="MTF31" s="65"/>
      <c r="MTG31" s="65"/>
      <c r="MTH31" s="65"/>
      <c r="MTI31" s="65"/>
      <c r="MTJ31" s="65"/>
      <c r="MTK31" s="65"/>
      <c r="MTL31" s="65"/>
      <c r="MTM31" s="65"/>
      <c r="MTN31" s="65"/>
      <c r="MTO31" s="65"/>
      <c r="MTP31" s="65"/>
      <c r="MTQ31" s="65"/>
      <c r="MTR31" s="65"/>
      <c r="MTS31" s="65"/>
      <c r="MTT31" s="65"/>
      <c r="MTU31" s="65"/>
      <c r="MTV31" s="65"/>
      <c r="MTW31" s="65"/>
      <c r="MTX31" s="65"/>
      <c r="MTY31" s="65"/>
      <c r="MTZ31" s="65"/>
      <c r="MUA31" s="65"/>
      <c r="MUB31" s="65"/>
      <c r="MUC31" s="65"/>
      <c r="MUD31" s="65"/>
      <c r="MUE31" s="65"/>
      <c r="MUF31" s="65"/>
      <c r="MUG31" s="65"/>
      <c r="MUH31" s="65"/>
      <c r="MUI31" s="65"/>
      <c r="MUJ31" s="65"/>
      <c r="MUK31" s="65"/>
      <c r="MUL31" s="65"/>
      <c r="MUM31" s="65"/>
      <c r="MUN31" s="65"/>
      <c r="MUO31" s="65"/>
      <c r="MUP31" s="65"/>
      <c r="MUQ31" s="65"/>
      <c r="MUR31" s="65"/>
      <c r="MUS31" s="65"/>
      <c r="MUT31" s="65"/>
      <c r="MUU31" s="65"/>
      <c r="MUV31" s="65"/>
      <c r="MUW31" s="65"/>
      <c r="MUX31" s="65"/>
      <c r="MUY31" s="65"/>
      <c r="MUZ31" s="65"/>
      <c r="MVA31" s="65"/>
      <c r="MVB31" s="65"/>
      <c r="MVC31" s="65"/>
      <c r="MVD31" s="65"/>
      <c r="MVE31" s="65"/>
      <c r="MVF31" s="65"/>
      <c r="MVG31" s="65"/>
      <c r="MVH31" s="65"/>
      <c r="MVI31" s="65"/>
      <c r="MVJ31" s="65"/>
      <c r="MVK31" s="65"/>
      <c r="MVL31" s="65"/>
      <c r="MVM31" s="65"/>
      <c r="MVN31" s="65"/>
      <c r="MVO31" s="65"/>
      <c r="MVP31" s="65"/>
      <c r="MVQ31" s="65"/>
      <c r="MVR31" s="65"/>
      <c r="MVS31" s="65"/>
      <c r="MVT31" s="65"/>
      <c r="MVU31" s="65"/>
      <c r="MVV31" s="65"/>
      <c r="MVW31" s="65"/>
      <c r="MVX31" s="65"/>
      <c r="MVY31" s="65"/>
      <c r="MVZ31" s="65"/>
      <c r="MWA31" s="65"/>
      <c r="MWB31" s="65"/>
      <c r="MWC31" s="65"/>
      <c r="MWD31" s="65"/>
      <c r="MWE31" s="65"/>
      <c r="MWF31" s="65"/>
      <c r="MWG31" s="65"/>
      <c r="MWH31" s="65"/>
      <c r="MWI31" s="65"/>
      <c r="MWJ31" s="65"/>
      <c r="MWK31" s="65"/>
      <c r="MWL31" s="65"/>
      <c r="MWM31" s="65"/>
      <c r="MWN31" s="65"/>
      <c r="MWO31" s="65"/>
      <c r="MWP31" s="65"/>
      <c r="MWQ31" s="65"/>
      <c r="MWR31" s="65"/>
      <c r="MWS31" s="65"/>
      <c r="MWT31" s="65"/>
      <c r="MWU31" s="65"/>
      <c r="MWV31" s="65"/>
      <c r="MWW31" s="65"/>
      <c r="MWX31" s="65"/>
      <c r="MWY31" s="65"/>
      <c r="MWZ31" s="65"/>
      <c r="MXA31" s="65"/>
      <c r="MXB31" s="65"/>
      <c r="MXC31" s="65"/>
      <c r="MXD31" s="65"/>
      <c r="MXE31" s="65"/>
      <c r="MXF31" s="65"/>
      <c r="MXG31" s="65"/>
      <c r="MXH31" s="65"/>
      <c r="MXI31" s="65"/>
      <c r="MXJ31" s="65"/>
      <c r="MXK31" s="65"/>
      <c r="MXL31" s="65"/>
      <c r="MXM31" s="65"/>
      <c r="MXN31" s="65"/>
      <c r="MXO31" s="65"/>
      <c r="MXP31" s="65"/>
      <c r="MXQ31" s="65"/>
      <c r="MXR31" s="65"/>
      <c r="MXS31" s="65"/>
      <c r="MXT31" s="65"/>
      <c r="MXU31" s="65"/>
      <c r="MXV31" s="65"/>
      <c r="MXW31" s="65"/>
      <c r="MXX31" s="65"/>
      <c r="MXY31" s="65"/>
      <c r="MXZ31" s="65"/>
      <c r="MYA31" s="65"/>
      <c r="MYB31" s="65"/>
      <c r="MYC31" s="65"/>
      <c r="MYD31" s="65"/>
      <c r="MYE31" s="65"/>
      <c r="MYF31" s="65"/>
      <c r="MYG31" s="65"/>
      <c r="MYH31" s="65"/>
      <c r="MYI31" s="65"/>
      <c r="MYJ31" s="65"/>
      <c r="MYK31" s="65"/>
      <c r="MYL31" s="65"/>
      <c r="MYM31" s="65"/>
      <c r="MYN31" s="65"/>
      <c r="MYO31" s="65"/>
      <c r="MYP31" s="65"/>
      <c r="MYQ31" s="65"/>
      <c r="MYR31" s="65"/>
      <c r="MYS31" s="65"/>
      <c r="MYT31" s="65"/>
      <c r="MYU31" s="65"/>
      <c r="MYV31" s="65"/>
      <c r="MYW31" s="65"/>
      <c r="MYX31" s="65"/>
      <c r="MYY31" s="65"/>
      <c r="MYZ31" s="65"/>
      <c r="MZA31" s="65"/>
      <c r="MZB31" s="65"/>
      <c r="MZC31" s="65"/>
      <c r="MZD31" s="65"/>
      <c r="MZE31" s="65"/>
      <c r="MZF31" s="65"/>
      <c r="MZG31" s="65"/>
      <c r="MZH31" s="65"/>
      <c r="MZI31" s="65"/>
      <c r="MZJ31" s="65"/>
      <c r="MZK31" s="65"/>
      <c r="MZL31" s="65"/>
      <c r="MZM31" s="65"/>
      <c r="MZN31" s="65"/>
      <c r="MZO31" s="65"/>
      <c r="MZP31" s="65"/>
      <c r="MZQ31" s="65"/>
      <c r="MZR31" s="65"/>
      <c r="MZS31" s="65"/>
      <c r="MZT31" s="65"/>
      <c r="MZU31" s="65"/>
      <c r="MZV31" s="65"/>
      <c r="MZW31" s="65"/>
      <c r="MZX31" s="65"/>
      <c r="MZY31" s="65"/>
      <c r="MZZ31" s="65"/>
      <c r="NAA31" s="65"/>
      <c r="NAB31" s="65"/>
      <c r="NAC31" s="65"/>
      <c r="NAD31" s="65"/>
      <c r="NAE31" s="65"/>
      <c r="NAF31" s="65"/>
      <c r="NAG31" s="65"/>
      <c r="NAH31" s="65"/>
      <c r="NAI31" s="65"/>
      <c r="NAJ31" s="65"/>
      <c r="NAK31" s="65"/>
      <c r="NAL31" s="65"/>
      <c r="NAM31" s="65"/>
      <c r="NAN31" s="65"/>
      <c r="NAO31" s="65"/>
      <c r="NAP31" s="65"/>
      <c r="NAQ31" s="65"/>
      <c r="NAR31" s="65"/>
      <c r="NAS31" s="65"/>
      <c r="NAT31" s="65"/>
      <c r="NAU31" s="65"/>
      <c r="NAV31" s="65"/>
      <c r="NAW31" s="65"/>
      <c r="NAX31" s="65"/>
      <c r="NAY31" s="65"/>
      <c r="NAZ31" s="65"/>
      <c r="NBA31" s="65"/>
      <c r="NBB31" s="65"/>
      <c r="NBC31" s="65"/>
      <c r="NBD31" s="65"/>
      <c r="NBE31" s="65"/>
      <c r="NBF31" s="65"/>
      <c r="NBG31" s="65"/>
      <c r="NBH31" s="65"/>
      <c r="NBI31" s="65"/>
      <c r="NBJ31" s="65"/>
      <c r="NBK31" s="65"/>
      <c r="NBL31" s="65"/>
      <c r="NBM31" s="65"/>
      <c r="NBN31" s="65"/>
      <c r="NBO31" s="65"/>
      <c r="NBP31" s="65"/>
      <c r="NBQ31" s="65"/>
      <c r="NBR31" s="65"/>
      <c r="NBS31" s="65"/>
      <c r="NBT31" s="65"/>
      <c r="NBU31" s="65"/>
      <c r="NBV31" s="65"/>
      <c r="NBW31" s="65"/>
      <c r="NBX31" s="65"/>
      <c r="NBY31" s="65"/>
      <c r="NBZ31" s="65"/>
      <c r="NCA31" s="65"/>
      <c r="NCB31" s="65"/>
      <c r="NCC31" s="65"/>
      <c r="NCD31" s="65"/>
      <c r="NCE31" s="65"/>
      <c r="NCF31" s="65"/>
      <c r="NCG31" s="65"/>
      <c r="NCH31" s="65"/>
      <c r="NCI31" s="65"/>
      <c r="NCJ31" s="65"/>
      <c r="NCK31" s="65"/>
      <c r="NCL31" s="65"/>
      <c r="NCM31" s="65"/>
      <c r="NCN31" s="65"/>
      <c r="NCO31" s="65"/>
      <c r="NCP31" s="65"/>
      <c r="NCQ31" s="65"/>
      <c r="NCR31" s="65"/>
      <c r="NCS31" s="65"/>
      <c r="NCT31" s="65"/>
      <c r="NCU31" s="65"/>
      <c r="NCV31" s="65"/>
      <c r="NCW31" s="65"/>
      <c r="NCX31" s="65"/>
      <c r="NCY31" s="65"/>
      <c r="NCZ31" s="65"/>
      <c r="NDA31" s="65"/>
      <c r="NDB31" s="65"/>
      <c r="NDC31" s="65"/>
      <c r="NDD31" s="65"/>
      <c r="NDE31" s="65"/>
      <c r="NDF31" s="65"/>
      <c r="NDG31" s="65"/>
      <c r="NDH31" s="65"/>
      <c r="NDI31" s="65"/>
      <c r="NDJ31" s="65"/>
      <c r="NDK31" s="65"/>
      <c r="NDL31" s="65"/>
      <c r="NDM31" s="65"/>
      <c r="NDN31" s="65"/>
      <c r="NDO31" s="65"/>
      <c r="NDP31" s="65"/>
      <c r="NDQ31" s="65"/>
      <c r="NDR31" s="65"/>
      <c r="NDS31" s="65"/>
      <c r="NDT31" s="65"/>
      <c r="NDU31" s="65"/>
      <c r="NDV31" s="65"/>
      <c r="NDW31" s="65"/>
      <c r="NDX31" s="65"/>
      <c r="NDY31" s="65"/>
      <c r="NDZ31" s="65"/>
      <c r="NEA31" s="65"/>
      <c r="NEB31" s="65"/>
      <c r="NEC31" s="65"/>
      <c r="NED31" s="65"/>
      <c r="NEE31" s="65"/>
      <c r="NEF31" s="65"/>
      <c r="NEG31" s="65"/>
      <c r="NEH31" s="65"/>
      <c r="NEI31" s="65"/>
      <c r="NEJ31" s="65"/>
      <c r="NEK31" s="65"/>
      <c r="NEL31" s="65"/>
      <c r="NEM31" s="65"/>
      <c r="NEN31" s="65"/>
      <c r="NEO31" s="65"/>
      <c r="NEP31" s="65"/>
      <c r="NEQ31" s="65"/>
      <c r="NER31" s="65"/>
      <c r="NES31" s="65"/>
      <c r="NET31" s="65"/>
      <c r="NEU31" s="65"/>
      <c r="NEV31" s="65"/>
      <c r="NEW31" s="65"/>
      <c r="NEX31" s="65"/>
      <c r="NEY31" s="65"/>
      <c r="NEZ31" s="65"/>
      <c r="NFA31" s="65"/>
      <c r="NFB31" s="65"/>
      <c r="NFC31" s="65"/>
      <c r="NFD31" s="65"/>
      <c r="NFE31" s="65"/>
      <c r="NFF31" s="65"/>
      <c r="NFG31" s="65"/>
      <c r="NFH31" s="65"/>
      <c r="NFI31" s="65"/>
      <c r="NFJ31" s="65"/>
      <c r="NFK31" s="65"/>
      <c r="NFL31" s="65"/>
      <c r="NFM31" s="65"/>
      <c r="NFN31" s="65"/>
      <c r="NFO31" s="65"/>
      <c r="NFP31" s="65"/>
      <c r="NFQ31" s="65"/>
      <c r="NFR31" s="65"/>
      <c r="NFS31" s="65"/>
      <c r="NFT31" s="65"/>
      <c r="NFU31" s="65"/>
      <c r="NFV31" s="65"/>
      <c r="NFW31" s="65"/>
      <c r="NFX31" s="65"/>
      <c r="NFY31" s="65"/>
      <c r="NFZ31" s="65"/>
      <c r="NGA31" s="65"/>
      <c r="NGB31" s="65"/>
      <c r="NGC31" s="65"/>
      <c r="NGD31" s="65"/>
      <c r="NGE31" s="65"/>
      <c r="NGF31" s="65"/>
      <c r="NGG31" s="65"/>
      <c r="NGH31" s="65"/>
      <c r="NGI31" s="65"/>
      <c r="NGJ31" s="65"/>
      <c r="NGK31" s="65"/>
      <c r="NGL31" s="65"/>
      <c r="NGM31" s="65"/>
      <c r="NGN31" s="65"/>
      <c r="NGO31" s="65"/>
      <c r="NGP31" s="65"/>
      <c r="NGQ31" s="65"/>
      <c r="NGR31" s="65"/>
      <c r="NGS31" s="65"/>
      <c r="NGT31" s="65"/>
      <c r="NGU31" s="65"/>
      <c r="NGV31" s="65"/>
      <c r="NGW31" s="65"/>
      <c r="NGX31" s="65"/>
      <c r="NGY31" s="65"/>
      <c r="NGZ31" s="65"/>
      <c r="NHA31" s="65"/>
      <c r="NHB31" s="65"/>
      <c r="NHC31" s="65"/>
      <c r="NHD31" s="65"/>
      <c r="NHE31" s="65"/>
      <c r="NHF31" s="65"/>
      <c r="NHG31" s="65"/>
      <c r="NHH31" s="65"/>
      <c r="NHI31" s="65"/>
      <c r="NHJ31" s="65"/>
      <c r="NHK31" s="65"/>
      <c r="NHL31" s="65"/>
      <c r="NHM31" s="65"/>
      <c r="NHN31" s="65"/>
      <c r="NHO31" s="65"/>
      <c r="NHP31" s="65"/>
      <c r="NHQ31" s="65"/>
      <c r="NHR31" s="65"/>
      <c r="NHS31" s="65"/>
      <c r="NHT31" s="65"/>
      <c r="NHU31" s="65"/>
      <c r="NHV31" s="65"/>
      <c r="NHW31" s="65"/>
      <c r="NHX31" s="65"/>
      <c r="NHY31" s="65"/>
      <c r="NHZ31" s="65"/>
      <c r="NIA31" s="65"/>
      <c r="NIB31" s="65"/>
      <c r="NIC31" s="65"/>
      <c r="NID31" s="65"/>
      <c r="NIE31" s="65"/>
      <c r="NIF31" s="65"/>
      <c r="NIG31" s="65"/>
      <c r="NIH31" s="65"/>
      <c r="NII31" s="65"/>
      <c r="NIJ31" s="65"/>
      <c r="NIK31" s="65"/>
      <c r="NIL31" s="65"/>
      <c r="NIM31" s="65"/>
      <c r="NIN31" s="65"/>
      <c r="NIO31" s="65"/>
      <c r="NIP31" s="65"/>
      <c r="NIQ31" s="65"/>
      <c r="NIR31" s="65"/>
      <c r="NIS31" s="65"/>
      <c r="NIT31" s="65"/>
      <c r="NIU31" s="65"/>
      <c r="NIV31" s="65"/>
      <c r="NIW31" s="65"/>
      <c r="NIX31" s="65"/>
      <c r="NIY31" s="65"/>
      <c r="NIZ31" s="65"/>
      <c r="NJA31" s="65"/>
      <c r="NJB31" s="65"/>
      <c r="NJC31" s="65"/>
      <c r="NJD31" s="65"/>
      <c r="NJE31" s="65"/>
      <c r="NJF31" s="65"/>
      <c r="NJG31" s="65"/>
      <c r="NJH31" s="65"/>
      <c r="NJI31" s="65"/>
      <c r="NJJ31" s="65"/>
      <c r="NJK31" s="65"/>
      <c r="NJL31" s="65"/>
      <c r="NJM31" s="65"/>
      <c r="NJN31" s="65"/>
      <c r="NJO31" s="65"/>
      <c r="NJP31" s="65"/>
      <c r="NJQ31" s="65"/>
      <c r="NJR31" s="65"/>
      <c r="NJS31" s="65"/>
      <c r="NJT31" s="65"/>
      <c r="NJU31" s="65"/>
      <c r="NJV31" s="65"/>
      <c r="NJW31" s="65"/>
      <c r="NJX31" s="65"/>
      <c r="NJY31" s="65"/>
      <c r="NJZ31" s="65"/>
      <c r="NKA31" s="65"/>
      <c r="NKB31" s="65"/>
      <c r="NKC31" s="65"/>
      <c r="NKD31" s="65"/>
      <c r="NKE31" s="65"/>
      <c r="NKF31" s="65"/>
      <c r="NKG31" s="65"/>
      <c r="NKH31" s="65"/>
      <c r="NKI31" s="65"/>
      <c r="NKJ31" s="65"/>
      <c r="NKK31" s="65"/>
      <c r="NKL31" s="65"/>
      <c r="NKM31" s="65"/>
      <c r="NKN31" s="65"/>
      <c r="NKO31" s="65"/>
      <c r="NKP31" s="65"/>
      <c r="NKQ31" s="65"/>
      <c r="NKR31" s="65"/>
      <c r="NKS31" s="65"/>
      <c r="NKT31" s="65"/>
      <c r="NKU31" s="65"/>
      <c r="NKV31" s="65"/>
      <c r="NKW31" s="65"/>
      <c r="NKX31" s="65"/>
      <c r="NKY31" s="65"/>
      <c r="NKZ31" s="65"/>
      <c r="NLA31" s="65"/>
      <c r="NLB31" s="65"/>
      <c r="NLC31" s="65"/>
      <c r="NLD31" s="65"/>
      <c r="NLE31" s="65"/>
      <c r="NLF31" s="65"/>
      <c r="NLG31" s="65"/>
      <c r="NLH31" s="65"/>
      <c r="NLI31" s="65"/>
      <c r="NLJ31" s="65"/>
      <c r="NLK31" s="65"/>
      <c r="NLL31" s="65"/>
      <c r="NLM31" s="65"/>
      <c r="NLN31" s="65"/>
      <c r="NLO31" s="65"/>
      <c r="NLP31" s="65"/>
      <c r="NLQ31" s="65"/>
      <c r="NLR31" s="65"/>
      <c r="NLS31" s="65"/>
      <c r="NLT31" s="65"/>
      <c r="NLU31" s="65"/>
      <c r="NLV31" s="65"/>
      <c r="NLW31" s="65"/>
      <c r="NLX31" s="65"/>
      <c r="NLY31" s="65"/>
      <c r="NLZ31" s="65"/>
      <c r="NMA31" s="65"/>
      <c r="NMB31" s="65"/>
      <c r="NMC31" s="65"/>
      <c r="NMD31" s="65"/>
      <c r="NME31" s="65"/>
      <c r="NMF31" s="65"/>
      <c r="NMG31" s="65"/>
      <c r="NMH31" s="65"/>
      <c r="NMI31" s="65"/>
      <c r="NMJ31" s="65"/>
      <c r="NMK31" s="65"/>
      <c r="NML31" s="65"/>
      <c r="NMM31" s="65"/>
      <c r="NMN31" s="65"/>
      <c r="NMO31" s="65"/>
      <c r="NMP31" s="65"/>
      <c r="NMQ31" s="65"/>
      <c r="NMR31" s="65"/>
      <c r="NMS31" s="65"/>
      <c r="NMT31" s="65"/>
      <c r="NMU31" s="65"/>
      <c r="NMV31" s="65"/>
      <c r="NMW31" s="65"/>
      <c r="NMX31" s="65"/>
      <c r="NMY31" s="65"/>
      <c r="NMZ31" s="65"/>
      <c r="NNA31" s="65"/>
      <c r="NNB31" s="65"/>
      <c r="NNC31" s="65"/>
      <c r="NND31" s="65"/>
      <c r="NNE31" s="65"/>
      <c r="NNF31" s="65"/>
      <c r="NNG31" s="65"/>
      <c r="NNH31" s="65"/>
      <c r="NNI31" s="65"/>
      <c r="NNJ31" s="65"/>
      <c r="NNK31" s="65"/>
      <c r="NNL31" s="65"/>
      <c r="NNM31" s="65"/>
      <c r="NNN31" s="65"/>
      <c r="NNO31" s="65"/>
      <c r="NNP31" s="65"/>
      <c r="NNQ31" s="65"/>
      <c r="NNR31" s="65"/>
      <c r="NNS31" s="65"/>
      <c r="NNT31" s="65"/>
      <c r="NNU31" s="65"/>
      <c r="NNV31" s="65"/>
      <c r="NNW31" s="65"/>
      <c r="NNX31" s="65"/>
      <c r="NNY31" s="65"/>
      <c r="NNZ31" s="65"/>
      <c r="NOA31" s="65"/>
      <c r="NOB31" s="65"/>
      <c r="NOC31" s="65"/>
      <c r="NOD31" s="65"/>
      <c r="NOE31" s="65"/>
      <c r="NOF31" s="65"/>
      <c r="NOG31" s="65"/>
      <c r="NOH31" s="65"/>
      <c r="NOI31" s="65"/>
      <c r="NOJ31" s="65"/>
      <c r="NOK31" s="65"/>
      <c r="NOL31" s="65"/>
      <c r="NOM31" s="65"/>
      <c r="NON31" s="65"/>
      <c r="NOO31" s="65"/>
      <c r="NOP31" s="65"/>
      <c r="NOQ31" s="65"/>
      <c r="NOR31" s="65"/>
      <c r="NOS31" s="65"/>
      <c r="NOT31" s="65"/>
      <c r="NOU31" s="65"/>
      <c r="NOV31" s="65"/>
      <c r="NOW31" s="65"/>
      <c r="NOX31" s="65"/>
      <c r="NOY31" s="65"/>
      <c r="NOZ31" s="65"/>
      <c r="NPA31" s="65"/>
      <c r="NPB31" s="65"/>
      <c r="NPC31" s="65"/>
      <c r="NPD31" s="65"/>
      <c r="NPE31" s="65"/>
      <c r="NPF31" s="65"/>
      <c r="NPG31" s="65"/>
      <c r="NPH31" s="65"/>
      <c r="NPI31" s="65"/>
      <c r="NPJ31" s="65"/>
      <c r="NPK31" s="65"/>
      <c r="NPL31" s="65"/>
      <c r="NPM31" s="65"/>
      <c r="NPN31" s="65"/>
      <c r="NPO31" s="65"/>
      <c r="NPP31" s="65"/>
      <c r="NPQ31" s="65"/>
      <c r="NPR31" s="65"/>
      <c r="NPS31" s="65"/>
      <c r="NPT31" s="65"/>
      <c r="NPU31" s="65"/>
      <c r="NPV31" s="65"/>
      <c r="NPW31" s="65"/>
      <c r="NPX31" s="65"/>
      <c r="NPY31" s="65"/>
      <c r="NPZ31" s="65"/>
      <c r="NQA31" s="65"/>
      <c r="NQB31" s="65"/>
      <c r="NQC31" s="65"/>
      <c r="NQD31" s="65"/>
      <c r="NQE31" s="65"/>
      <c r="NQF31" s="65"/>
      <c r="NQG31" s="65"/>
      <c r="NQH31" s="65"/>
      <c r="NQI31" s="65"/>
      <c r="NQJ31" s="65"/>
      <c r="NQK31" s="65"/>
      <c r="NQL31" s="65"/>
      <c r="NQM31" s="65"/>
      <c r="NQN31" s="65"/>
      <c r="NQO31" s="65"/>
      <c r="NQP31" s="65"/>
      <c r="NQQ31" s="65"/>
      <c r="NQR31" s="65"/>
      <c r="NQS31" s="65"/>
      <c r="NQT31" s="65"/>
      <c r="NQU31" s="65"/>
      <c r="NQV31" s="65"/>
      <c r="NQW31" s="65"/>
      <c r="NQX31" s="65"/>
      <c r="NQY31" s="65"/>
      <c r="NQZ31" s="65"/>
      <c r="NRA31" s="65"/>
      <c r="NRB31" s="65"/>
      <c r="NRC31" s="65"/>
      <c r="NRD31" s="65"/>
      <c r="NRE31" s="65"/>
      <c r="NRF31" s="65"/>
      <c r="NRG31" s="65"/>
      <c r="NRH31" s="65"/>
      <c r="NRI31" s="65"/>
      <c r="NRJ31" s="65"/>
      <c r="NRK31" s="65"/>
      <c r="NRL31" s="65"/>
      <c r="NRM31" s="65"/>
      <c r="NRN31" s="65"/>
      <c r="NRO31" s="65"/>
      <c r="NRP31" s="65"/>
      <c r="NRQ31" s="65"/>
      <c r="NRR31" s="65"/>
      <c r="NRS31" s="65"/>
      <c r="NRT31" s="65"/>
      <c r="NRU31" s="65"/>
      <c r="NRV31" s="65"/>
      <c r="NRW31" s="65"/>
      <c r="NRX31" s="65"/>
      <c r="NRY31" s="65"/>
      <c r="NRZ31" s="65"/>
      <c r="NSA31" s="65"/>
      <c r="NSB31" s="65"/>
      <c r="NSC31" s="65"/>
      <c r="NSD31" s="65"/>
      <c r="NSE31" s="65"/>
      <c r="NSF31" s="65"/>
      <c r="NSG31" s="65"/>
      <c r="NSH31" s="65"/>
      <c r="NSI31" s="65"/>
      <c r="NSJ31" s="65"/>
      <c r="NSK31" s="65"/>
      <c r="NSL31" s="65"/>
      <c r="NSM31" s="65"/>
      <c r="NSN31" s="65"/>
      <c r="NSO31" s="65"/>
      <c r="NSP31" s="65"/>
      <c r="NSQ31" s="65"/>
      <c r="NSR31" s="65"/>
      <c r="NSS31" s="65"/>
      <c r="NST31" s="65"/>
      <c r="NSU31" s="65"/>
      <c r="NSV31" s="65"/>
      <c r="NSW31" s="65"/>
      <c r="NSX31" s="65"/>
      <c r="NSY31" s="65"/>
      <c r="NSZ31" s="65"/>
      <c r="NTA31" s="65"/>
      <c r="NTB31" s="65"/>
      <c r="NTC31" s="65"/>
      <c r="NTD31" s="65"/>
      <c r="NTE31" s="65"/>
      <c r="NTF31" s="65"/>
      <c r="NTG31" s="65"/>
      <c r="NTH31" s="65"/>
      <c r="NTI31" s="65"/>
      <c r="NTJ31" s="65"/>
      <c r="NTK31" s="65"/>
      <c r="NTL31" s="65"/>
      <c r="NTM31" s="65"/>
      <c r="NTN31" s="65"/>
      <c r="NTO31" s="65"/>
      <c r="NTP31" s="65"/>
      <c r="NTQ31" s="65"/>
      <c r="NTR31" s="65"/>
      <c r="NTS31" s="65"/>
      <c r="NTT31" s="65"/>
      <c r="NTU31" s="65"/>
      <c r="NTV31" s="65"/>
      <c r="NTW31" s="65"/>
      <c r="NTX31" s="65"/>
      <c r="NTY31" s="65"/>
      <c r="NTZ31" s="65"/>
      <c r="NUA31" s="65"/>
      <c r="NUB31" s="65"/>
      <c r="NUC31" s="65"/>
      <c r="NUD31" s="65"/>
      <c r="NUE31" s="65"/>
      <c r="NUF31" s="65"/>
      <c r="NUG31" s="65"/>
      <c r="NUH31" s="65"/>
      <c r="NUI31" s="65"/>
      <c r="NUJ31" s="65"/>
      <c r="NUK31" s="65"/>
      <c r="NUL31" s="65"/>
      <c r="NUM31" s="65"/>
      <c r="NUN31" s="65"/>
      <c r="NUO31" s="65"/>
      <c r="NUP31" s="65"/>
      <c r="NUQ31" s="65"/>
      <c r="NUR31" s="65"/>
      <c r="NUS31" s="65"/>
      <c r="NUT31" s="65"/>
      <c r="NUU31" s="65"/>
      <c r="NUV31" s="65"/>
      <c r="NUW31" s="65"/>
      <c r="NUX31" s="65"/>
      <c r="NUY31" s="65"/>
      <c r="NUZ31" s="65"/>
      <c r="NVA31" s="65"/>
      <c r="NVB31" s="65"/>
      <c r="NVC31" s="65"/>
      <c r="NVD31" s="65"/>
      <c r="NVE31" s="65"/>
      <c r="NVF31" s="65"/>
      <c r="NVG31" s="65"/>
      <c r="NVH31" s="65"/>
      <c r="NVI31" s="65"/>
      <c r="NVJ31" s="65"/>
      <c r="NVK31" s="65"/>
      <c r="NVL31" s="65"/>
      <c r="NVM31" s="65"/>
      <c r="NVN31" s="65"/>
      <c r="NVO31" s="65"/>
      <c r="NVP31" s="65"/>
      <c r="NVQ31" s="65"/>
      <c r="NVR31" s="65"/>
      <c r="NVS31" s="65"/>
      <c r="NVT31" s="65"/>
      <c r="NVU31" s="65"/>
      <c r="NVV31" s="65"/>
      <c r="NVW31" s="65"/>
      <c r="NVX31" s="65"/>
      <c r="NVY31" s="65"/>
      <c r="NVZ31" s="65"/>
      <c r="NWA31" s="65"/>
      <c r="NWB31" s="65"/>
      <c r="NWC31" s="65"/>
      <c r="NWD31" s="65"/>
      <c r="NWE31" s="65"/>
      <c r="NWF31" s="65"/>
      <c r="NWG31" s="65"/>
      <c r="NWH31" s="65"/>
      <c r="NWI31" s="65"/>
      <c r="NWJ31" s="65"/>
      <c r="NWK31" s="65"/>
      <c r="NWL31" s="65"/>
      <c r="NWM31" s="65"/>
      <c r="NWN31" s="65"/>
      <c r="NWO31" s="65"/>
      <c r="NWP31" s="65"/>
      <c r="NWQ31" s="65"/>
      <c r="NWR31" s="65"/>
      <c r="NWS31" s="65"/>
      <c r="NWT31" s="65"/>
      <c r="NWU31" s="65"/>
      <c r="NWV31" s="65"/>
      <c r="NWW31" s="65"/>
      <c r="NWX31" s="65"/>
      <c r="NWY31" s="65"/>
      <c r="NWZ31" s="65"/>
      <c r="NXA31" s="65"/>
      <c r="NXB31" s="65"/>
      <c r="NXC31" s="65"/>
      <c r="NXD31" s="65"/>
      <c r="NXE31" s="65"/>
      <c r="NXF31" s="65"/>
      <c r="NXG31" s="65"/>
      <c r="NXH31" s="65"/>
      <c r="NXI31" s="65"/>
      <c r="NXJ31" s="65"/>
      <c r="NXK31" s="65"/>
      <c r="NXL31" s="65"/>
      <c r="NXM31" s="65"/>
      <c r="NXN31" s="65"/>
      <c r="NXO31" s="65"/>
      <c r="NXP31" s="65"/>
      <c r="NXQ31" s="65"/>
      <c r="NXR31" s="65"/>
      <c r="NXS31" s="65"/>
      <c r="NXT31" s="65"/>
      <c r="NXU31" s="65"/>
      <c r="NXV31" s="65"/>
      <c r="NXW31" s="65"/>
      <c r="NXX31" s="65"/>
      <c r="NXY31" s="65"/>
      <c r="NXZ31" s="65"/>
      <c r="NYA31" s="65"/>
      <c r="NYB31" s="65"/>
      <c r="NYC31" s="65"/>
      <c r="NYD31" s="65"/>
      <c r="NYE31" s="65"/>
      <c r="NYF31" s="65"/>
      <c r="NYG31" s="65"/>
      <c r="NYH31" s="65"/>
      <c r="NYI31" s="65"/>
      <c r="NYJ31" s="65"/>
      <c r="NYK31" s="65"/>
      <c r="NYL31" s="65"/>
      <c r="NYM31" s="65"/>
      <c r="NYN31" s="65"/>
      <c r="NYO31" s="65"/>
      <c r="NYP31" s="65"/>
      <c r="NYQ31" s="65"/>
      <c r="NYR31" s="65"/>
      <c r="NYS31" s="65"/>
      <c r="NYT31" s="65"/>
      <c r="NYU31" s="65"/>
      <c r="NYV31" s="65"/>
      <c r="NYW31" s="65"/>
      <c r="NYX31" s="65"/>
      <c r="NYY31" s="65"/>
      <c r="NYZ31" s="65"/>
      <c r="NZA31" s="65"/>
      <c r="NZB31" s="65"/>
      <c r="NZC31" s="65"/>
      <c r="NZD31" s="65"/>
      <c r="NZE31" s="65"/>
      <c r="NZF31" s="65"/>
      <c r="NZG31" s="65"/>
      <c r="NZH31" s="65"/>
      <c r="NZI31" s="65"/>
      <c r="NZJ31" s="65"/>
      <c r="NZK31" s="65"/>
      <c r="NZL31" s="65"/>
      <c r="NZM31" s="65"/>
      <c r="NZN31" s="65"/>
      <c r="NZO31" s="65"/>
      <c r="NZP31" s="65"/>
      <c r="NZQ31" s="65"/>
      <c r="NZR31" s="65"/>
      <c r="NZS31" s="65"/>
      <c r="NZT31" s="65"/>
      <c r="NZU31" s="65"/>
      <c r="NZV31" s="65"/>
      <c r="NZW31" s="65"/>
      <c r="NZX31" s="65"/>
      <c r="NZY31" s="65"/>
      <c r="NZZ31" s="65"/>
      <c r="OAA31" s="65"/>
      <c r="OAB31" s="65"/>
      <c r="OAC31" s="65"/>
      <c r="OAD31" s="65"/>
      <c r="OAE31" s="65"/>
      <c r="OAF31" s="65"/>
      <c r="OAG31" s="65"/>
      <c r="OAH31" s="65"/>
      <c r="OAI31" s="65"/>
      <c r="OAJ31" s="65"/>
      <c r="OAK31" s="65"/>
      <c r="OAL31" s="65"/>
      <c r="OAM31" s="65"/>
      <c r="OAN31" s="65"/>
      <c r="OAO31" s="65"/>
      <c r="OAP31" s="65"/>
      <c r="OAQ31" s="65"/>
      <c r="OAR31" s="65"/>
      <c r="OAS31" s="65"/>
      <c r="OAT31" s="65"/>
      <c r="OAU31" s="65"/>
      <c r="OAV31" s="65"/>
      <c r="OAW31" s="65"/>
      <c r="OAX31" s="65"/>
      <c r="OAY31" s="65"/>
      <c r="OAZ31" s="65"/>
      <c r="OBA31" s="65"/>
      <c r="OBB31" s="65"/>
      <c r="OBC31" s="65"/>
      <c r="OBD31" s="65"/>
      <c r="OBE31" s="65"/>
      <c r="OBF31" s="65"/>
      <c r="OBG31" s="65"/>
      <c r="OBH31" s="65"/>
      <c r="OBI31" s="65"/>
      <c r="OBJ31" s="65"/>
      <c r="OBK31" s="65"/>
      <c r="OBL31" s="65"/>
      <c r="OBM31" s="65"/>
      <c r="OBN31" s="65"/>
      <c r="OBO31" s="65"/>
      <c r="OBP31" s="65"/>
      <c r="OBQ31" s="65"/>
      <c r="OBR31" s="65"/>
      <c r="OBS31" s="65"/>
      <c r="OBT31" s="65"/>
      <c r="OBU31" s="65"/>
      <c r="OBV31" s="65"/>
      <c r="OBW31" s="65"/>
      <c r="OBX31" s="65"/>
      <c r="OBY31" s="65"/>
      <c r="OBZ31" s="65"/>
      <c r="OCA31" s="65"/>
      <c r="OCB31" s="65"/>
      <c r="OCC31" s="65"/>
      <c r="OCD31" s="65"/>
      <c r="OCE31" s="65"/>
      <c r="OCF31" s="65"/>
      <c r="OCG31" s="65"/>
      <c r="OCH31" s="65"/>
      <c r="OCI31" s="65"/>
      <c r="OCJ31" s="65"/>
      <c r="OCK31" s="65"/>
      <c r="OCL31" s="65"/>
      <c r="OCM31" s="65"/>
      <c r="OCN31" s="65"/>
      <c r="OCO31" s="65"/>
      <c r="OCP31" s="65"/>
      <c r="OCQ31" s="65"/>
      <c r="OCR31" s="65"/>
      <c r="OCS31" s="65"/>
      <c r="OCT31" s="65"/>
      <c r="OCU31" s="65"/>
      <c r="OCV31" s="65"/>
      <c r="OCW31" s="65"/>
      <c r="OCX31" s="65"/>
      <c r="OCY31" s="65"/>
      <c r="OCZ31" s="65"/>
      <c r="ODA31" s="65"/>
      <c r="ODB31" s="65"/>
      <c r="ODC31" s="65"/>
      <c r="ODD31" s="65"/>
      <c r="ODE31" s="65"/>
      <c r="ODF31" s="65"/>
      <c r="ODG31" s="65"/>
      <c r="ODH31" s="65"/>
      <c r="ODI31" s="65"/>
      <c r="ODJ31" s="65"/>
      <c r="ODK31" s="65"/>
      <c r="ODL31" s="65"/>
      <c r="ODM31" s="65"/>
      <c r="ODN31" s="65"/>
      <c r="ODO31" s="65"/>
      <c r="ODP31" s="65"/>
      <c r="ODQ31" s="65"/>
      <c r="ODR31" s="65"/>
      <c r="ODS31" s="65"/>
      <c r="ODT31" s="65"/>
      <c r="ODU31" s="65"/>
      <c r="ODV31" s="65"/>
      <c r="ODW31" s="65"/>
      <c r="ODX31" s="65"/>
      <c r="ODY31" s="65"/>
      <c r="ODZ31" s="65"/>
      <c r="OEA31" s="65"/>
      <c r="OEB31" s="65"/>
      <c r="OEC31" s="65"/>
      <c r="OED31" s="65"/>
      <c r="OEE31" s="65"/>
      <c r="OEF31" s="65"/>
      <c r="OEG31" s="65"/>
      <c r="OEH31" s="65"/>
      <c r="OEI31" s="65"/>
      <c r="OEJ31" s="65"/>
      <c r="OEK31" s="65"/>
      <c r="OEL31" s="65"/>
      <c r="OEM31" s="65"/>
      <c r="OEN31" s="65"/>
      <c r="OEO31" s="65"/>
      <c r="OEP31" s="65"/>
      <c r="OEQ31" s="65"/>
      <c r="OER31" s="65"/>
      <c r="OES31" s="65"/>
      <c r="OET31" s="65"/>
      <c r="OEU31" s="65"/>
      <c r="OEV31" s="65"/>
      <c r="OEW31" s="65"/>
      <c r="OEX31" s="65"/>
      <c r="OEY31" s="65"/>
      <c r="OEZ31" s="65"/>
      <c r="OFA31" s="65"/>
      <c r="OFB31" s="65"/>
      <c r="OFC31" s="65"/>
      <c r="OFD31" s="65"/>
      <c r="OFE31" s="65"/>
      <c r="OFF31" s="65"/>
      <c r="OFG31" s="65"/>
      <c r="OFH31" s="65"/>
      <c r="OFI31" s="65"/>
      <c r="OFJ31" s="65"/>
      <c r="OFK31" s="65"/>
      <c r="OFL31" s="65"/>
      <c r="OFM31" s="65"/>
      <c r="OFN31" s="65"/>
      <c r="OFO31" s="65"/>
      <c r="OFP31" s="65"/>
      <c r="OFQ31" s="65"/>
      <c r="OFR31" s="65"/>
      <c r="OFS31" s="65"/>
      <c r="OFT31" s="65"/>
      <c r="OFU31" s="65"/>
      <c r="OFV31" s="65"/>
      <c r="OFW31" s="65"/>
      <c r="OFX31" s="65"/>
      <c r="OFY31" s="65"/>
      <c r="OFZ31" s="65"/>
      <c r="OGA31" s="65"/>
      <c r="OGB31" s="65"/>
      <c r="OGC31" s="65"/>
      <c r="OGD31" s="65"/>
      <c r="OGE31" s="65"/>
      <c r="OGF31" s="65"/>
      <c r="OGG31" s="65"/>
      <c r="OGH31" s="65"/>
      <c r="OGI31" s="65"/>
      <c r="OGJ31" s="65"/>
      <c r="OGK31" s="65"/>
      <c r="OGL31" s="65"/>
      <c r="OGM31" s="65"/>
      <c r="OGN31" s="65"/>
      <c r="OGO31" s="65"/>
      <c r="OGP31" s="65"/>
      <c r="OGQ31" s="65"/>
      <c r="OGR31" s="65"/>
      <c r="OGS31" s="65"/>
      <c r="OGT31" s="65"/>
      <c r="OGU31" s="65"/>
      <c r="OGV31" s="65"/>
      <c r="OGW31" s="65"/>
      <c r="OGX31" s="65"/>
      <c r="OGY31" s="65"/>
      <c r="OGZ31" s="65"/>
      <c r="OHA31" s="65"/>
      <c r="OHB31" s="65"/>
      <c r="OHC31" s="65"/>
      <c r="OHD31" s="65"/>
      <c r="OHE31" s="65"/>
      <c r="OHF31" s="65"/>
      <c r="OHG31" s="65"/>
      <c r="OHH31" s="65"/>
      <c r="OHI31" s="65"/>
      <c r="OHJ31" s="65"/>
      <c r="OHK31" s="65"/>
      <c r="OHL31" s="65"/>
      <c r="OHM31" s="65"/>
      <c r="OHN31" s="65"/>
      <c r="OHO31" s="65"/>
      <c r="OHP31" s="65"/>
      <c r="OHQ31" s="65"/>
      <c r="OHR31" s="65"/>
      <c r="OHS31" s="65"/>
      <c r="OHT31" s="65"/>
      <c r="OHU31" s="65"/>
      <c r="OHV31" s="65"/>
      <c r="OHW31" s="65"/>
      <c r="OHX31" s="65"/>
      <c r="OHY31" s="65"/>
      <c r="OHZ31" s="65"/>
      <c r="OIA31" s="65"/>
      <c r="OIB31" s="65"/>
      <c r="OIC31" s="65"/>
      <c r="OID31" s="65"/>
      <c r="OIE31" s="65"/>
      <c r="OIF31" s="65"/>
      <c r="OIG31" s="65"/>
      <c r="OIH31" s="65"/>
      <c r="OII31" s="65"/>
      <c r="OIJ31" s="65"/>
      <c r="OIK31" s="65"/>
      <c r="OIL31" s="65"/>
      <c r="OIM31" s="65"/>
      <c r="OIN31" s="65"/>
      <c r="OIO31" s="65"/>
      <c r="OIP31" s="65"/>
      <c r="OIQ31" s="65"/>
      <c r="OIR31" s="65"/>
      <c r="OIS31" s="65"/>
      <c r="OIT31" s="65"/>
      <c r="OIU31" s="65"/>
      <c r="OIV31" s="65"/>
      <c r="OIW31" s="65"/>
      <c r="OIX31" s="65"/>
      <c r="OIY31" s="65"/>
      <c r="OIZ31" s="65"/>
      <c r="OJA31" s="65"/>
      <c r="OJB31" s="65"/>
      <c r="OJC31" s="65"/>
      <c r="OJD31" s="65"/>
      <c r="OJE31" s="65"/>
      <c r="OJF31" s="65"/>
      <c r="OJG31" s="65"/>
      <c r="OJH31" s="65"/>
      <c r="OJI31" s="65"/>
      <c r="OJJ31" s="65"/>
      <c r="OJK31" s="65"/>
      <c r="OJL31" s="65"/>
      <c r="OJM31" s="65"/>
      <c r="OJN31" s="65"/>
      <c r="OJO31" s="65"/>
      <c r="OJP31" s="65"/>
      <c r="OJQ31" s="65"/>
      <c r="OJR31" s="65"/>
      <c r="OJS31" s="65"/>
      <c r="OJT31" s="65"/>
      <c r="OJU31" s="65"/>
      <c r="OJV31" s="65"/>
      <c r="OJW31" s="65"/>
      <c r="OJX31" s="65"/>
      <c r="OJY31" s="65"/>
      <c r="OJZ31" s="65"/>
      <c r="OKA31" s="65"/>
      <c r="OKB31" s="65"/>
      <c r="OKC31" s="65"/>
      <c r="OKD31" s="65"/>
      <c r="OKE31" s="65"/>
      <c r="OKF31" s="65"/>
      <c r="OKG31" s="65"/>
      <c r="OKH31" s="65"/>
      <c r="OKI31" s="65"/>
      <c r="OKJ31" s="65"/>
      <c r="OKK31" s="65"/>
      <c r="OKL31" s="65"/>
      <c r="OKM31" s="65"/>
      <c r="OKN31" s="65"/>
      <c r="OKO31" s="65"/>
      <c r="OKP31" s="65"/>
      <c r="OKQ31" s="65"/>
      <c r="OKR31" s="65"/>
      <c r="OKS31" s="65"/>
      <c r="OKT31" s="65"/>
      <c r="OKU31" s="65"/>
      <c r="OKV31" s="65"/>
      <c r="OKW31" s="65"/>
      <c r="OKX31" s="65"/>
      <c r="OKY31" s="65"/>
      <c r="OKZ31" s="65"/>
      <c r="OLA31" s="65"/>
      <c r="OLB31" s="65"/>
      <c r="OLC31" s="65"/>
      <c r="OLD31" s="65"/>
      <c r="OLE31" s="65"/>
      <c r="OLF31" s="65"/>
      <c r="OLG31" s="65"/>
      <c r="OLH31" s="65"/>
      <c r="OLI31" s="65"/>
      <c r="OLJ31" s="65"/>
      <c r="OLK31" s="65"/>
      <c r="OLL31" s="65"/>
      <c r="OLM31" s="65"/>
      <c r="OLN31" s="65"/>
      <c r="OLO31" s="65"/>
      <c r="OLP31" s="65"/>
      <c r="OLQ31" s="65"/>
      <c r="OLR31" s="65"/>
      <c r="OLS31" s="65"/>
      <c r="OLT31" s="65"/>
      <c r="OLU31" s="65"/>
      <c r="OLV31" s="65"/>
      <c r="OLW31" s="65"/>
      <c r="OLX31" s="65"/>
      <c r="OLY31" s="65"/>
      <c r="OLZ31" s="65"/>
      <c r="OMA31" s="65"/>
      <c r="OMB31" s="65"/>
      <c r="OMC31" s="65"/>
      <c r="OMD31" s="65"/>
      <c r="OME31" s="65"/>
      <c r="OMF31" s="65"/>
      <c r="OMG31" s="65"/>
      <c r="OMH31" s="65"/>
      <c r="OMI31" s="65"/>
      <c r="OMJ31" s="65"/>
      <c r="OMK31" s="65"/>
      <c r="OML31" s="65"/>
      <c r="OMM31" s="65"/>
      <c r="OMN31" s="65"/>
      <c r="OMO31" s="65"/>
      <c r="OMP31" s="65"/>
      <c r="OMQ31" s="65"/>
      <c r="OMR31" s="65"/>
      <c r="OMS31" s="65"/>
      <c r="OMT31" s="65"/>
      <c r="OMU31" s="65"/>
      <c r="OMV31" s="65"/>
      <c r="OMW31" s="65"/>
      <c r="OMX31" s="65"/>
      <c r="OMY31" s="65"/>
      <c r="OMZ31" s="65"/>
      <c r="ONA31" s="65"/>
      <c r="ONB31" s="65"/>
      <c r="ONC31" s="65"/>
      <c r="OND31" s="65"/>
      <c r="ONE31" s="65"/>
      <c r="ONF31" s="65"/>
      <c r="ONG31" s="65"/>
      <c r="ONH31" s="65"/>
      <c r="ONI31" s="65"/>
      <c r="ONJ31" s="65"/>
      <c r="ONK31" s="65"/>
      <c r="ONL31" s="65"/>
      <c r="ONM31" s="65"/>
      <c r="ONN31" s="65"/>
      <c r="ONO31" s="65"/>
      <c r="ONP31" s="65"/>
      <c r="ONQ31" s="65"/>
      <c r="ONR31" s="65"/>
      <c r="ONS31" s="65"/>
      <c r="ONT31" s="65"/>
      <c r="ONU31" s="65"/>
      <c r="ONV31" s="65"/>
      <c r="ONW31" s="65"/>
      <c r="ONX31" s="65"/>
      <c r="ONY31" s="65"/>
      <c r="ONZ31" s="65"/>
      <c r="OOA31" s="65"/>
      <c r="OOB31" s="65"/>
      <c r="OOC31" s="65"/>
      <c r="OOD31" s="65"/>
      <c r="OOE31" s="65"/>
      <c r="OOF31" s="65"/>
      <c r="OOG31" s="65"/>
      <c r="OOH31" s="65"/>
      <c r="OOI31" s="65"/>
      <c r="OOJ31" s="65"/>
      <c r="OOK31" s="65"/>
      <c r="OOL31" s="65"/>
      <c r="OOM31" s="65"/>
      <c r="OON31" s="65"/>
      <c r="OOO31" s="65"/>
      <c r="OOP31" s="65"/>
      <c r="OOQ31" s="65"/>
      <c r="OOR31" s="65"/>
      <c r="OOS31" s="65"/>
      <c r="OOT31" s="65"/>
      <c r="OOU31" s="65"/>
      <c r="OOV31" s="65"/>
      <c r="OOW31" s="65"/>
      <c r="OOX31" s="65"/>
      <c r="OOY31" s="65"/>
      <c r="OOZ31" s="65"/>
      <c r="OPA31" s="65"/>
      <c r="OPB31" s="65"/>
      <c r="OPC31" s="65"/>
      <c r="OPD31" s="65"/>
      <c r="OPE31" s="65"/>
      <c r="OPF31" s="65"/>
      <c r="OPG31" s="65"/>
      <c r="OPH31" s="65"/>
      <c r="OPI31" s="65"/>
      <c r="OPJ31" s="65"/>
      <c r="OPK31" s="65"/>
      <c r="OPL31" s="65"/>
      <c r="OPM31" s="65"/>
      <c r="OPN31" s="65"/>
      <c r="OPO31" s="65"/>
      <c r="OPP31" s="65"/>
      <c r="OPQ31" s="65"/>
      <c r="OPR31" s="65"/>
      <c r="OPS31" s="65"/>
      <c r="OPT31" s="65"/>
      <c r="OPU31" s="65"/>
      <c r="OPV31" s="65"/>
      <c r="OPW31" s="65"/>
      <c r="OPX31" s="65"/>
      <c r="OPY31" s="65"/>
      <c r="OPZ31" s="65"/>
      <c r="OQA31" s="65"/>
      <c r="OQB31" s="65"/>
      <c r="OQC31" s="65"/>
      <c r="OQD31" s="65"/>
      <c r="OQE31" s="65"/>
      <c r="OQF31" s="65"/>
      <c r="OQG31" s="65"/>
      <c r="OQH31" s="65"/>
      <c r="OQI31" s="65"/>
      <c r="OQJ31" s="65"/>
      <c r="OQK31" s="65"/>
      <c r="OQL31" s="65"/>
      <c r="OQM31" s="65"/>
      <c r="OQN31" s="65"/>
      <c r="OQO31" s="65"/>
      <c r="OQP31" s="65"/>
      <c r="OQQ31" s="65"/>
      <c r="OQR31" s="65"/>
      <c r="OQS31" s="65"/>
      <c r="OQT31" s="65"/>
      <c r="OQU31" s="65"/>
      <c r="OQV31" s="65"/>
      <c r="OQW31" s="65"/>
      <c r="OQX31" s="65"/>
      <c r="OQY31" s="65"/>
      <c r="OQZ31" s="65"/>
      <c r="ORA31" s="65"/>
      <c r="ORB31" s="65"/>
      <c r="ORC31" s="65"/>
      <c r="ORD31" s="65"/>
      <c r="ORE31" s="65"/>
      <c r="ORF31" s="65"/>
      <c r="ORG31" s="65"/>
      <c r="ORH31" s="65"/>
      <c r="ORI31" s="65"/>
      <c r="ORJ31" s="65"/>
      <c r="ORK31" s="65"/>
      <c r="ORL31" s="65"/>
      <c r="ORM31" s="65"/>
      <c r="ORN31" s="65"/>
      <c r="ORO31" s="65"/>
      <c r="ORP31" s="65"/>
      <c r="ORQ31" s="65"/>
      <c r="ORR31" s="65"/>
      <c r="ORS31" s="65"/>
      <c r="ORT31" s="65"/>
      <c r="ORU31" s="65"/>
      <c r="ORV31" s="65"/>
      <c r="ORW31" s="65"/>
      <c r="ORX31" s="65"/>
      <c r="ORY31" s="65"/>
      <c r="ORZ31" s="65"/>
      <c r="OSA31" s="65"/>
      <c r="OSB31" s="65"/>
      <c r="OSC31" s="65"/>
      <c r="OSD31" s="65"/>
      <c r="OSE31" s="65"/>
      <c r="OSF31" s="65"/>
      <c r="OSG31" s="65"/>
      <c r="OSH31" s="65"/>
      <c r="OSI31" s="65"/>
      <c r="OSJ31" s="65"/>
      <c r="OSK31" s="65"/>
      <c r="OSL31" s="65"/>
      <c r="OSM31" s="65"/>
      <c r="OSN31" s="65"/>
      <c r="OSO31" s="65"/>
      <c r="OSP31" s="65"/>
      <c r="OSQ31" s="65"/>
      <c r="OSR31" s="65"/>
      <c r="OSS31" s="65"/>
      <c r="OST31" s="65"/>
      <c r="OSU31" s="65"/>
      <c r="OSV31" s="65"/>
      <c r="OSW31" s="65"/>
      <c r="OSX31" s="65"/>
      <c r="OSY31" s="65"/>
      <c r="OSZ31" s="65"/>
      <c r="OTA31" s="65"/>
      <c r="OTB31" s="65"/>
      <c r="OTC31" s="65"/>
      <c r="OTD31" s="65"/>
      <c r="OTE31" s="65"/>
      <c r="OTF31" s="65"/>
      <c r="OTG31" s="65"/>
      <c r="OTH31" s="65"/>
      <c r="OTI31" s="65"/>
      <c r="OTJ31" s="65"/>
      <c r="OTK31" s="65"/>
      <c r="OTL31" s="65"/>
      <c r="OTM31" s="65"/>
      <c r="OTN31" s="65"/>
      <c r="OTO31" s="65"/>
      <c r="OTP31" s="65"/>
      <c r="OTQ31" s="65"/>
      <c r="OTR31" s="65"/>
      <c r="OTS31" s="65"/>
      <c r="OTT31" s="65"/>
      <c r="OTU31" s="65"/>
      <c r="OTV31" s="65"/>
      <c r="OTW31" s="65"/>
      <c r="OTX31" s="65"/>
      <c r="OTY31" s="65"/>
      <c r="OTZ31" s="65"/>
      <c r="OUA31" s="65"/>
      <c r="OUB31" s="65"/>
      <c r="OUC31" s="65"/>
      <c r="OUD31" s="65"/>
      <c r="OUE31" s="65"/>
      <c r="OUF31" s="65"/>
      <c r="OUG31" s="65"/>
      <c r="OUH31" s="65"/>
      <c r="OUI31" s="65"/>
      <c r="OUJ31" s="65"/>
      <c r="OUK31" s="65"/>
      <c r="OUL31" s="65"/>
      <c r="OUM31" s="65"/>
      <c r="OUN31" s="65"/>
      <c r="OUO31" s="65"/>
      <c r="OUP31" s="65"/>
      <c r="OUQ31" s="65"/>
      <c r="OUR31" s="65"/>
      <c r="OUS31" s="65"/>
      <c r="OUT31" s="65"/>
      <c r="OUU31" s="65"/>
      <c r="OUV31" s="65"/>
      <c r="OUW31" s="65"/>
      <c r="OUX31" s="65"/>
      <c r="OUY31" s="65"/>
      <c r="OUZ31" s="65"/>
      <c r="OVA31" s="65"/>
      <c r="OVB31" s="65"/>
      <c r="OVC31" s="65"/>
      <c r="OVD31" s="65"/>
      <c r="OVE31" s="65"/>
      <c r="OVF31" s="65"/>
      <c r="OVG31" s="65"/>
      <c r="OVH31" s="65"/>
      <c r="OVI31" s="65"/>
      <c r="OVJ31" s="65"/>
      <c r="OVK31" s="65"/>
      <c r="OVL31" s="65"/>
      <c r="OVM31" s="65"/>
      <c r="OVN31" s="65"/>
      <c r="OVO31" s="65"/>
      <c r="OVP31" s="65"/>
      <c r="OVQ31" s="65"/>
      <c r="OVR31" s="65"/>
      <c r="OVS31" s="65"/>
      <c r="OVT31" s="65"/>
      <c r="OVU31" s="65"/>
      <c r="OVV31" s="65"/>
      <c r="OVW31" s="65"/>
      <c r="OVX31" s="65"/>
      <c r="OVY31" s="65"/>
      <c r="OVZ31" s="65"/>
      <c r="OWA31" s="65"/>
      <c r="OWB31" s="65"/>
      <c r="OWC31" s="65"/>
      <c r="OWD31" s="65"/>
      <c r="OWE31" s="65"/>
      <c r="OWF31" s="65"/>
      <c r="OWG31" s="65"/>
      <c r="OWH31" s="65"/>
      <c r="OWI31" s="65"/>
      <c r="OWJ31" s="65"/>
      <c r="OWK31" s="65"/>
      <c r="OWL31" s="65"/>
      <c r="OWM31" s="65"/>
      <c r="OWN31" s="65"/>
      <c r="OWO31" s="65"/>
      <c r="OWP31" s="65"/>
      <c r="OWQ31" s="65"/>
      <c r="OWR31" s="65"/>
      <c r="OWS31" s="65"/>
      <c r="OWT31" s="65"/>
      <c r="OWU31" s="65"/>
      <c r="OWV31" s="65"/>
      <c r="OWW31" s="65"/>
      <c r="OWX31" s="65"/>
      <c r="OWY31" s="65"/>
      <c r="OWZ31" s="65"/>
      <c r="OXA31" s="65"/>
      <c r="OXB31" s="65"/>
      <c r="OXC31" s="65"/>
      <c r="OXD31" s="65"/>
      <c r="OXE31" s="65"/>
      <c r="OXF31" s="65"/>
      <c r="OXG31" s="65"/>
      <c r="OXH31" s="65"/>
      <c r="OXI31" s="65"/>
      <c r="OXJ31" s="65"/>
      <c r="OXK31" s="65"/>
      <c r="OXL31" s="65"/>
      <c r="OXM31" s="65"/>
      <c r="OXN31" s="65"/>
      <c r="OXO31" s="65"/>
      <c r="OXP31" s="65"/>
      <c r="OXQ31" s="65"/>
      <c r="OXR31" s="65"/>
      <c r="OXS31" s="65"/>
      <c r="OXT31" s="65"/>
      <c r="OXU31" s="65"/>
      <c r="OXV31" s="65"/>
      <c r="OXW31" s="65"/>
      <c r="OXX31" s="65"/>
      <c r="OXY31" s="65"/>
      <c r="OXZ31" s="65"/>
      <c r="OYA31" s="65"/>
      <c r="OYB31" s="65"/>
      <c r="OYC31" s="65"/>
      <c r="OYD31" s="65"/>
      <c r="OYE31" s="65"/>
      <c r="OYF31" s="65"/>
      <c r="OYG31" s="65"/>
      <c r="OYH31" s="65"/>
      <c r="OYI31" s="65"/>
      <c r="OYJ31" s="65"/>
      <c r="OYK31" s="65"/>
      <c r="OYL31" s="65"/>
      <c r="OYM31" s="65"/>
      <c r="OYN31" s="65"/>
      <c r="OYO31" s="65"/>
      <c r="OYP31" s="65"/>
      <c r="OYQ31" s="65"/>
      <c r="OYR31" s="65"/>
      <c r="OYS31" s="65"/>
      <c r="OYT31" s="65"/>
      <c r="OYU31" s="65"/>
      <c r="OYV31" s="65"/>
      <c r="OYW31" s="65"/>
      <c r="OYX31" s="65"/>
      <c r="OYY31" s="65"/>
      <c r="OYZ31" s="65"/>
      <c r="OZA31" s="65"/>
      <c r="OZB31" s="65"/>
      <c r="OZC31" s="65"/>
      <c r="OZD31" s="65"/>
      <c r="OZE31" s="65"/>
      <c r="OZF31" s="65"/>
      <c r="OZG31" s="65"/>
      <c r="OZH31" s="65"/>
      <c r="OZI31" s="65"/>
      <c r="OZJ31" s="65"/>
      <c r="OZK31" s="65"/>
      <c r="OZL31" s="65"/>
      <c r="OZM31" s="65"/>
      <c r="OZN31" s="65"/>
      <c r="OZO31" s="65"/>
      <c r="OZP31" s="65"/>
      <c r="OZQ31" s="65"/>
      <c r="OZR31" s="65"/>
      <c r="OZS31" s="65"/>
      <c r="OZT31" s="65"/>
      <c r="OZU31" s="65"/>
      <c r="OZV31" s="65"/>
      <c r="OZW31" s="65"/>
      <c r="OZX31" s="65"/>
      <c r="OZY31" s="65"/>
      <c r="OZZ31" s="65"/>
      <c r="PAA31" s="65"/>
      <c r="PAB31" s="65"/>
      <c r="PAC31" s="65"/>
      <c r="PAD31" s="65"/>
      <c r="PAE31" s="65"/>
      <c r="PAF31" s="65"/>
      <c r="PAG31" s="65"/>
      <c r="PAH31" s="65"/>
      <c r="PAI31" s="65"/>
      <c r="PAJ31" s="65"/>
      <c r="PAK31" s="65"/>
      <c r="PAL31" s="65"/>
      <c r="PAM31" s="65"/>
      <c r="PAN31" s="65"/>
      <c r="PAO31" s="65"/>
      <c r="PAP31" s="65"/>
      <c r="PAQ31" s="65"/>
      <c r="PAR31" s="65"/>
      <c r="PAS31" s="65"/>
      <c r="PAT31" s="65"/>
      <c r="PAU31" s="65"/>
      <c r="PAV31" s="65"/>
      <c r="PAW31" s="65"/>
      <c r="PAX31" s="65"/>
      <c r="PAY31" s="65"/>
      <c r="PAZ31" s="65"/>
      <c r="PBA31" s="65"/>
      <c r="PBB31" s="65"/>
      <c r="PBC31" s="65"/>
      <c r="PBD31" s="65"/>
      <c r="PBE31" s="65"/>
      <c r="PBF31" s="65"/>
      <c r="PBG31" s="65"/>
      <c r="PBH31" s="65"/>
      <c r="PBI31" s="65"/>
      <c r="PBJ31" s="65"/>
      <c r="PBK31" s="65"/>
      <c r="PBL31" s="65"/>
      <c r="PBM31" s="65"/>
      <c r="PBN31" s="65"/>
      <c r="PBO31" s="65"/>
      <c r="PBP31" s="65"/>
      <c r="PBQ31" s="65"/>
      <c r="PBR31" s="65"/>
      <c r="PBS31" s="65"/>
      <c r="PBT31" s="65"/>
      <c r="PBU31" s="65"/>
      <c r="PBV31" s="65"/>
      <c r="PBW31" s="65"/>
      <c r="PBX31" s="65"/>
      <c r="PBY31" s="65"/>
      <c r="PBZ31" s="65"/>
      <c r="PCA31" s="65"/>
      <c r="PCB31" s="65"/>
      <c r="PCC31" s="65"/>
      <c r="PCD31" s="65"/>
      <c r="PCE31" s="65"/>
      <c r="PCF31" s="65"/>
      <c r="PCG31" s="65"/>
      <c r="PCH31" s="65"/>
      <c r="PCI31" s="65"/>
      <c r="PCJ31" s="65"/>
      <c r="PCK31" s="65"/>
      <c r="PCL31" s="65"/>
      <c r="PCM31" s="65"/>
      <c r="PCN31" s="65"/>
      <c r="PCO31" s="65"/>
      <c r="PCP31" s="65"/>
      <c r="PCQ31" s="65"/>
      <c r="PCR31" s="65"/>
      <c r="PCS31" s="65"/>
      <c r="PCT31" s="65"/>
      <c r="PCU31" s="65"/>
      <c r="PCV31" s="65"/>
      <c r="PCW31" s="65"/>
      <c r="PCX31" s="65"/>
      <c r="PCY31" s="65"/>
      <c r="PCZ31" s="65"/>
      <c r="PDA31" s="65"/>
      <c r="PDB31" s="65"/>
      <c r="PDC31" s="65"/>
      <c r="PDD31" s="65"/>
      <c r="PDE31" s="65"/>
      <c r="PDF31" s="65"/>
      <c r="PDG31" s="65"/>
      <c r="PDH31" s="65"/>
      <c r="PDI31" s="65"/>
      <c r="PDJ31" s="65"/>
      <c r="PDK31" s="65"/>
      <c r="PDL31" s="65"/>
      <c r="PDM31" s="65"/>
      <c r="PDN31" s="65"/>
      <c r="PDO31" s="65"/>
      <c r="PDP31" s="65"/>
      <c r="PDQ31" s="65"/>
      <c r="PDR31" s="65"/>
      <c r="PDS31" s="65"/>
      <c r="PDT31" s="65"/>
      <c r="PDU31" s="65"/>
      <c r="PDV31" s="65"/>
      <c r="PDW31" s="65"/>
      <c r="PDX31" s="65"/>
      <c r="PDY31" s="65"/>
      <c r="PDZ31" s="65"/>
      <c r="PEA31" s="65"/>
      <c r="PEB31" s="65"/>
      <c r="PEC31" s="65"/>
      <c r="PED31" s="65"/>
      <c r="PEE31" s="65"/>
      <c r="PEF31" s="65"/>
      <c r="PEG31" s="65"/>
      <c r="PEH31" s="65"/>
      <c r="PEI31" s="65"/>
      <c r="PEJ31" s="65"/>
      <c r="PEK31" s="65"/>
      <c r="PEL31" s="65"/>
      <c r="PEM31" s="65"/>
      <c r="PEN31" s="65"/>
      <c r="PEO31" s="65"/>
      <c r="PEP31" s="65"/>
      <c r="PEQ31" s="65"/>
      <c r="PER31" s="65"/>
      <c r="PES31" s="65"/>
      <c r="PET31" s="65"/>
      <c r="PEU31" s="65"/>
      <c r="PEV31" s="65"/>
      <c r="PEW31" s="65"/>
      <c r="PEX31" s="65"/>
      <c r="PEY31" s="65"/>
      <c r="PEZ31" s="65"/>
      <c r="PFA31" s="65"/>
      <c r="PFB31" s="65"/>
      <c r="PFC31" s="65"/>
      <c r="PFD31" s="65"/>
      <c r="PFE31" s="65"/>
      <c r="PFF31" s="65"/>
      <c r="PFG31" s="65"/>
      <c r="PFH31" s="65"/>
      <c r="PFI31" s="65"/>
      <c r="PFJ31" s="65"/>
      <c r="PFK31" s="65"/>
      <c r="PFL31" s="65"/>
      <c r="PFM31" s="65"/>
      <c r="PFN31" s="65"/>
      <c r="PFO31" s="65"/>
      <c r="PFP31" s="65"/>
      <c r="PFQ31" s="65"/>
      <c r="PFR31" s="65"/>
      <c r="PFS31" s="65"/>
      <c r="PFT31" s="65"/>
      <c r="PFU31" s="65"/>
      <c r="PFV31" s="65"/>
      <c r="PFW31" s="65"/>
      <c r="PFX31" s="65"/>
      <c r="PFY31" s="65"/>
      <c r="PFZ31" s="65"/>
      <c r="PGA31" s="65"/>
      <c r="PGB31" s="65"/>
      <c r="PGC31" s="65"/>
      <c r="PGD31" s="65"/>
      <c r="PGE31" s="65"/>
      <c r="PGF31" s="65"/>
      <c r="PGG31" s="65"/>
      <c r="PGH31" s="65"/>
      <c r="PGI31" s="65"/>
      <c r="PGJ31" s="65"/>
      <c r="PGK31" s="65"/>
      <c r="PGL31" s="65"/>
      <c r="PGM31" s="65"/>
      <c r="PGN31" s="65"/>
      <c r="PGO31" s="65"/>
      <c r="PGP31" s="65"/>
      <c r="PGQ31" s="65"/>
      <c r="PGR31" s="65"/>
      <c r="PGS31" s="65"/>
      <c r="PGT31" s="65"/>
      <c r="PGU31" s="65"/>
      <c r="PGV31" s="65"/>
      <c r="PGW31" s="65"/>
      <c r="PGX31" s="65"/>
      <c r="PGY31" s="65"/>
      <c r="PGZ31" s="65"/>
      <c r="PHA31" s="65"/>
      <c r="PHB31" s="65"/>
      <c r="PHC31" s="65"/>
      <c r="PHD31" s="65"/>
      <c r="PHE31" s="65"/>
      <c r="PHF31" s="65"/>
      <c r="PHG31" s="65"/>
      <c r="PHH31" s="65"/>
      <c r="PHI31" s="65"/>
      <c r="PHJ31" s="65"/>
      <c r="PHK31" s="65"/>
      <c r="PHL31" s="65"/>
      <c r="PHM31" s="65"/>
      <c r="PHN31" s="65"/>
      <c r="PHO31" s="65"/>
      <c r="PHP31" s="65"/>
      <c r="PHQ31" s="65"/>
      <c r="PHR31" s="65"/>
      <c r="PHS31" s="65"/>
      <c r="PHT31" s="65"/>
      <c r="PHU31" s="65"/>
      <c r="PHV31" s="65"/>
      <c r="PHW31" s="65"/>
      <c r="PHX31" s="65"/>
      <c r="PHY31" s="65"/>
      <c r="PHZ31" s="65"/>
      <c r="PIA31" s="65"/>
      <c r="PIB31" s="65"/>
      <c r="PIC31" s="65"/>
      <c r="PID31" s="65"/>
      <c r="PIE31" s="65"/>
      <c r="PIF31" s="65"/>
      <c r="PIG31" s="65"/>
      <c r="PIH31" s="65"/>
      <c r="PII31" s="65"/>
      <c r="PIJ31" s="65"/>
      <c r="PIK31" s="65"/>
      <c r="PIL31" s="65"/>
      <c r="PIM31" s="65"/>
      <c r="PIN31" s="65"/>
      <c r="PIO31" s="65"/>
      <c r="PIP31" s="65"/>
      <c r="PIQ31" s="65"/>
      <c r="PIR31" s="65"/>
      <c r="PIS31" s="65"/>
      <c r="PIT31" s="65"/>
      <c r="PIU31" s="65"/>
      <c r="PIV31" s="65"/>
      <c r="PIW31" s="65"/>
      <c r="PIX31" s="65"/>
      <c r="PIY31" s="65"/>
      <c r="PIZ31" s="65"/>
      <c r="PJA31" s="65"/>
      <c r="PJB31" s="65"/>
      <c r="PJC31" s="65"/>
      <c r="PJD31" s="65"/>
      <c r="PJE31" s="65"/>
      <c r="PJF31" s="65"/>
      <c r="PJG31" s="65"/>
      <c r="PJH31" s="65"/>
      <c r="PJI31" s="65"/>
      <c r="PJJ31" s="65"/>
      <c r="PJK31" s="65"/>
      <c r="PJL31" s="65"/>
      <c r="PJM31" s="65"/>
      <c r="PJN31" s="65"/>
      <c r="PJO31" s="65"/>
      <c r="PJP31" s="65"/>
      <c r="PJQ31" s="65"/>
      <c r="PJR31" s="65"/>
      <c r="PJS31" s="65"/>
      <c r="PJT31" s="65"/>
      <c r="PJU31" s="65"/>
      <c r="PJV31" s="65"/>
      <c r="PJW31" s="65"/>
      <c r="PJX31" s="65"/>
      <c r="PJY31" s="65"/>
      <c r="PJZ31" s="65"/>
      <c r="PKA31" s="65"/>
      <c r="PKB31" s="65"/>
      <c r="PKC31" s="65"/>
      <c r="PKD31" s="65"/>
      <c r="PKE31" s="65"/>
      <c r="PKF31" s="65"/>
      <c r="PKG31" s="65"/>
      <c r="PKH31" s="65"/>
      <c r="PKI31" s="65"/>
      <c r="PKJ31" s="65"/>
      <c r="PKK31" s="65"/>
      <c r="PKL31" s="65"/>
      <c r="PKM31" s="65"/>
      <c r="PKN31" s="65"/>
      <c r="PKO31" s="65"/>
      <c r="PKP31" s="65"/>
      <c r="PKQ31" s="65"/>
      <c r="PKR31" s="65"/>
      <c r="PKS31" s="65"/>
      <c r="PKT31" s="65"/>
      <c r="PKU31" s="65"/>
      <c r="PKV31" s="65"/>
      <c r="PKW31" s="65"/>
      <c r="PKX31" s="65"/>
      <c r="PKY31" s="65"/>
      <c r="PKZ31" s="65"/>
      <c r="PLA31" s="65"/>
      <c r="PLB31" s="65"/>
      <c r="PLC31" s="65"/>
      <c r="PLD31" s="65"/>
      <c r="PLE31" s="65"/>
      <c r="PLF31" s="65"/>
      <c r="PLG31" s="65"/>
      <c r="PLH31" s="65"/>
      <c r="PLI31" s="65"/>
      <c r="PLJ31" s="65"/>
      <c r="PLK31" s="65"/>
      <c r="PLL31" s="65"/>
      <c r="PLM31" s="65"/>
      <c r="PLN31" s="65"/>
      <c r="PLO31" s="65"/>
      <c r="PLP31" s="65"/>
      <c r="PLQ31" s="65"/>
      <c r="PLR31" s="65"/>
      <c r="PLS31" s="65"/>
      <c r="PLT31" s="65"/>
      <c r="PLU31" s="65"/>
      <c r="PLV31" s="65"/>
      <c r="PLW31" s="65"/>
      <c r="PLX31" s="65"/>
      <c r="PLY31" s="65"/>
      <c r="PLZ31" s="65"/>
      <c r="PMA31" s="65"/>
      <c r="PMB31" s="65"/>
      <c r="PMC31" s="65"/>
      <c r="PMD31" s="65"/>
      <c r="PME31" s="65"/>
      <c r="PMF31" s="65"/>
      <c r="PMG31" s="65"/>
      <c r="PMH31" s="65"/>
      <c r="PMI31" s="65"/>
      <c r="PMJ31" s="65"/>
      <c r="PMK31" s="65"/>
      <c r="PML31" s="65"/>
      <c r="PMM31" s="65"/>
      <c r="PMN31" s="65"/>
      <c r="PMO31" s="65"/>
      <c r="PMP31" s="65"/>
      <c r="PMQ31" s="65"/>
      <c r="PMR31" s="65"/>
      <c r="PMS31" s="65"/>
      <c r="PMT31" s="65"/>
      <c r="PMU31" s="65"/>
      <c r="PMV31" s="65"/>
      <c r="PMW31" s="65"/>
      <c r="PMX31" s="65"/>
      <c r="PMY31" s="65"/>
      <c r="PMZ31" s="65"/>
      <c r="PNA31" s="65"/>
      <c r="PNB31" s="65"/>
      <c r="PNC31" s="65"/>
      <c r="PND31" s="65"/>
      <c r="PNE31" s="65"/>
      <c r="PNF31" s="65"/>
      <c r="PNG31" s="65"/>
      <c r="PNH31" s="65"/>
      <c r="PNI31" s="65"/>
      <c r="PNJ31" s="65"/>
      <c r="PNK31" s="65"/>
      <c r="PNL31" s="65"/>
      <c r="PNM31" s="65"/>
      <c r="PNN31" s="65"/>
      <c r="PNO31" s="65"/>
      <c r="PNP31" s="65"/>
      <c r="PNQ31" s="65"/>
      <c r="PNR31" s="65"/>
      <c r="PNS31" s="65"/>
      <c r="PNT31" s="65"/>
      <c r="PNU31" s="65"/>
      <c r="PNV31" s="65"/>
      <c r="PNW31" s="65"/>
      <c r="PNX31" s="65"/>
      <c r="PNY31" s="65"/>
      <c r="PNZ31" s="65"/>
      <c r="POA31" s="65"/>
      <c r="POB31" s="65"/>
      <c r="POC31" s="65"/>
      <c r="POD31" s="65"/>
      <c r="POE31" s="65"/>
      <c r="POF31" s="65"/>
      <c r="POG31" s="65"/>
      <c r="POH31" s="65"/>
      <c r="POI31" s="65"/>
      <c r="POJ31" s="65"/>
      <c r="POK31" s="65"/>
      <c r="POL31" s="65"/>
      <c r="POM31" s="65"/>
      <c r="PON31" s="65"/>
      <c r="POO31" s="65"/>
      <c r="POP31" s="65"/>
      <c r="POQ31" s="65"/>
      <c r="POR31" s="65"/>
      <c r="POS31" s="65"/>
      <c r="POT31" s="65"/>
      <c r="POU31" s="65"/>
      <c r="POV31" s="65"/>
      <c r="POW31" s="65"/>
      <c r="POX31" s="65"/>
      <c r="POY31" s="65"/>
      <c r="POZ31" s="65"/>
      <c r="PPA31" s="65"/>
      <c r="PPB31" s="65"/>
      <c r="PPC31" s="65"/>
      <c r="PPD31" s="65"/>
      <c r="PPE31" s="65"/>
      <c r="PPF31" s="65"/>
      <c r="PPG31" s="65"/>
      <c r="PPH31" s="65"/>
      <c r="PPI31" s="65"/>
      <c r="PPJ31" s="65"/>
      <c r="PPK31" s="65"/>
      <c r="PPL31" s="65"/>
      <c r="PPM31" s="65"/>
      <c r="PPN31" s="65"/>
      <c r="PPO31" s="65"/>
      <c r="PPP31" s="65"/>
      <c r="PPQ31" s="65"/>
      <c r="PPR31" s="65"/>
      <c r="PPS31" s="65"/>
      <c r="PPT31" s="65"/>
      <c r="PPU31" s="65"/>
      <c r="PPV31" s="65"/>
      <c r="PPW31" s="65"/>
      <c r="PPX31" s="65"/>
      <c r="PPY31" s="65"/>
      <c r="PPZ31" s="65"/>
      <c r="PQA31" s="65"/>
      <c r="PQB31" s="65"/>
      <c r="PQC31" s="65"/>
      <c r="PQD31" s="65"/>
      <c r="PQE31" s="65"/>
      <c r="PQF31" s="65"/>
      <c r="PQG31" s="65"/>
      <c r="PQH31" s="65"/>
      <c r="PQI31" s="65"/>
      <c r="PQJ31" s="65"/>
      <c r="PQK31" s="65"/>
      <c r="PQL31" s="65"/>
      <c r="PQM31" s="65"/>
      <c r="PQN31" s="65"/>
      <c r="PQO31" s="65"/>
      <c r="PQP31" s="65"/>
      <c r="PQQ31" s="65"/>
      <c r="PQR31" s="65"/>
      <c r="PQS31" s="65"/>
      <c r="PQT31" s="65"/>
      <c r="PQU31" s="65"/>
      <c r="PQV31" s="65"/>
      <c r="PQW31" s="65"/>
      <c r="PQX31" s="65"/>
      <c r="PQY31" s="65"/>
      <c r="PQZ31" s="65"/>
      <c r="PRA31" s="65"/>
      <c r="PRB31" s="65"/>
      <c r="PRC31" s="65"/>
      <c r="PRD31" s="65"/>
      <c r="PRE31" s="65"/>
      <c r="PRF31" s="65"/>
      <c r="PRG31" s="65"/>
      <c r="PRH31" s="65"/>
      <c r="PRI31" s="65"/>
      <c r="PRJ31" s="65"/>
      <c r="PRK31" s="65"/>
      <c r="PRL31" s="65"/>
      <c r="PRM31" s="65"/>
      <c r="PRN31" s="65"/>
      <c r="PRO31" s="65"/>
      <c r="PRP31" s="65"/>
      <c r="PRQ31" s="65"/>
      <c r="PRR31" s="65"/>
      <c r="PRS31" s="65"/>
      <c r="PRT31" s="65"/>
      <c r="PRU31" s="65"/>
      <c r="PRV31" s="65"/>
      <c r="PRW31" s="65"/>
      <c r="PRX31" s="65"/>
      <c r="PRY31" s="65"/>
      <c r="PRZ31" s="65"/>
      <c r="PSA31" s="65"/>
      <c r="PSB31" s="65"/>
      <c r="PSC31" s="65"/>
      <c r="PSD31" s="65"/>
      <c r="PSE31" s="65"/>
      <c r="PSF31" s="65"/>
      <c r="PSG31" s="65"/>
      <c r="PSH31" s="65"/>
      <c r="PSI31" s="65"/>
      <c r="PSJ31" s="65"/>
      <c r="PSK31" s="65"/>
      <c r="PSL31" s="65"/>
      <c r="PSM31" s="65"/>
      <c r="PSN31" s="65"/>
      <c r="PSO31" s="65"/>
      <c r="PSP31" s="65"/>
      <c r="PSQ31" s="65"/>
      <c r="PSR31" s="65"/>
      <c r="PSS31" s="65"/>
      <c r="PST31" s="65"/>
      <c r="PSU31" s="65"/>
      <c r="PSV31" s="65"/>
      <c r="PSW31" s="65"/>
      <c r="PSX31" s="65"/>
      <c r="PSY31" s="65"/>
      <c r="PSZ31" s="65"/>
      <c r="PTA31" s="65"/>
      <c r="PTB31" s="65"/>
      <c r="PTC31" s="65"/>
      <c r="PTD31" s="65"/>
      <c r="PTE31" s="65"/>
      <c r="PTF31" s="65"/>
      <c r="PTG31" s="65"/>
      <c r="PTH31" s="65"/>
      <c r="PTI31" s="65"/>
      <c r="PTJ31" s="65"/>
      <c r="PTK31" s="65"/>
      <c r="PTL31" s="65"/>
      <c r="PTM31" s="65"/>
      <c r="PTN31" s="65"/>
      <c r="PTO31" s="65"/>
      <c r="PTP31" s="65"/>
      <c r="PTQ31" s="65"/>
      <c r="PTR31" s="65"/>
      <c r="PTS31" s="65"/>
      <c r="PTT31" s="65"/>
      <c r="PTU31" s="65"/>
      <c r="PTV31" s="65"/>
      <c r="PTW31" s="65"/>
      <c r="PTX31" s="65"/>
      <c r="PTY31" s="65"/>
      <c r="PTZ31" s="65"/>
      <c r="PUA31" s="65"/>
      <c r="PUB31" s="65"/>
      <c r="PUC31" s="65"/>
      <c r="PUD31" s="65"/>
      <c r="PUE31" s="65"/>
      <c r="PUF31" s="65"/>
      <c r="PUG31" s="65"/>
      <c r="PUH31" s="65"/>
      <c r="PUI31" s="65"/>
      <c r="PUJ31" s="65"/>
      <c r="PUK31" s="65"/>
      <c r="PUL31" s="65"/>
      <c r="PUM31" s="65"/>
      <c r="PUN31" s="65"/>
      <c r="PUO31" s="65"/>
      <c r="PUP31" s="65"/>
      <c r="PUQ31" s="65"/>
      <c r="PUR31" s="65"/>
      <c r="PUS31" s="65"/>
      <c r="PUT31" s="65"/>
      <c r="PUU31" s="65"/>
      <c r="PUV31" s="65"/>
      <c r="PUW31" s="65"/>
      <c r="PUX31" s="65"/>
      <c r="PUY31" s="65"/>
      <c r="PUZ31" s="65"/>
      <c r="PVA31" s="65"/>
      <c r="PVB31" s="65"/>
      <c r="PVC31" s="65"/>
      <c r="PVD31" s="65"/>
      <c r="PVE31" s="65"/>
      <c r="PVF31" s="65"/>
      <c r="PVG31" s="65"/>
      <c r="PVH31" s="65"/>
      <c r="PVI31" s="65"/>
      <c r="PVJ31" s="65"/>
      <c r="PVK31" s="65"/>
      <c r="PVL31" s="65"/>
      <c r="PVM31" s="65"/>
      <c r="PVN31" s="65"/>
      <c r="PVO31" s="65"/>
      <c r="PVP31" s="65"/>
      <c r="PVQ31" s="65"/>
      <c r="PVR31" s="65"/>
      <c r="PVS31" s="65"/>
      <c r="PVT31" s="65"/>
      <c r="PVU31" s="65"/>
      <c r="PVV31" s="65"/>
      <c r="PVW31" s="65"/>
      <c r="PVX31" s="65"/>
      <c r="PVY31" s="65"/>
      <c r="PVZ31" s="65"/>
      <c r="PWA31" s="65"/>
      <c r="PWB31" s="65"/>
      <c r="PWC31" s="65"/>
      <c r="PWD31" s="65"/>
      <c r="PWE31" s="65"/>
      <c r="PWF31" s="65"/>
      <c r="PWG31" s="65"/>
      <c r="PWH31" s="65"/>
      <c r="PWI31" s="65"/>
      <c r="PWJ31" s="65"/>
      <c r="PWK31" s="65"/>
      <c r="PWL31" s="65"/>
      <c r="PWM31" s="65"/>
      <c r="PWN31" s="65"/>
      <c r="PWO31" s="65"/>
      <c r="PWP31" s="65"/>
      <c r="PWQ31" s="65"/>
      <c r="PWR31" s="65"/>
      <c r="PWS31" s="65"/>
      <c r="PWT31" s="65"/>
      <c r="PWU31" s="65"/>
      <c r="PWV31" s="65"/>
      <c r="PWW31" s="65"/>
      <c r="PWX31" s="65"/>
      <c r="PWY31" s="65"/>
      <c r="PWZ31" s="65"/>
      <c r="PXA31" s="65"/>
      <c r="PXB31" s="65"/>
      <c r="PXC31" s="65"/>
      <c r="PXD31" s="65"/>
      <c r="PXE31" s="65"/>
      <c r="PXF31" s="65"/>
      <c r="PXG31" s="65"/>
      <c r="PXH31" s="65"/>
      <c r="PXI31" s="65"/>
      <c r="PXJ31" s="65"/>
      <c r="PXK31" s="65"/>
      <c r="PXL31" s="65"/>
      <c r="PXM31" s="65"/>
      <c r="PXN31" s="65"/>
      <c r="PXO31" s="65"/>
      <c r="PXP31" s="65"/>
      <c r="PXQ31" s="65"/>
      <c r="PXR31" s="65"/>
      <c r="PXS31" s="65"/>
      <c r="PXT31" s="65"/>
      <c r="PXU31" s="65"/>
      <c r="PXV31" s="65"/>
      <c r="PXW31" s="65"/>
      <c r="PXX31" s="65"/>
      <c r="PXY31" s="65"/>
      <c r="PXZ31" s="65"/>
      <c r="PYA31" s="65"/>
      <c r="PYB31" s="65"/>
      <c r="PYC31" s="65"/>
      <c r="PYD31" s="65"/>
      <c r="PYE31" s="65"/>
      <c r="PYF31" s="65"/>
      <c r="PYG31" s="65"/>
      <c r="PYH31" s="65"/>
      <c r="PYI31" s="65"/>
      <c r="PYJ31" s="65"/>
      <c r="PYK31" s="65"/>
      <c r="PYL31" s="65"/>
      <c r="PYM31" s="65"/>
      <c r="PYN31" s="65"/>
      <c r="PYO31" s="65"/>
      <c r="PYP31" s="65"/>
      <c r="PYQ31" s="65"/>
      <c r="PYR31" s="65"/>
      <c r="PYS31" s="65"/>
      <c r="PYT31" s="65"/>
      <c r="PYU31" s="65"/>
      <c r="PYV31" s="65"/>
      <c r="PYW31" s="65"/>
      <c r="PYX31" s="65"/>
      <c r="PYY31" s="65"/>
      <c r="PYZ31" s="65"/>
      <c r="PZA31" s="65"/>
      <c r="PZB31" s="65"/>
      <c r="PZC31" s="65"/>
      <c r="PZD31" s="65"/>
      <c r="PZE31" s="65"/>
      <c r="PZF31" s="65"/>
      <c r="PZG31" s="65"/>
      <c r="PZH31" s="65"/>
      <c r="PZI31" s="65"/>
      <c r="PZJ31" s="65"/>
      <c r="PZK31" s="65"/>
      <c r="PZL31" s="65"/>
      <c r="PZM31" s="65"/>
      <c r="PZN31" s="65"/>
      <c r="PZO31" s="65"/>
      <c r="PZP31" s="65"/>
      <c r="PZQ31" s="65"/>
      <c r="PZR31" s="65"/>
      <c r="PZS31" s="65"/>
      <c r="PZT31" s="65"/>
      <c r="PZU31" s="65"/>
      <c r="PZV31" s="65"/>
      <c r="PZW31" s="65"/>
      <c r="PZX31" s="65"/>
      <c r="PZY31" s="65"/>
      <c r="PZZ31" s="65"/>
      <c r="QAA31" s="65"/>
      <c r="QAB31" s="65"/>
      <c r="QAC31" s="65"/>
      <c r="QAD31" s="65"/>
      <c r="QAE31" s="65"/>
      <c r="QAF31" s="65"/>
      <c r="QAG31" s="65"/>
      <c r="QAH31" s="65"/>
      <c r="QAI31" s="65"/>
      <c r="QAJ31" s="65"/>
      <c r="QAK31" s="65"/>
      <c r="QAL31" s="65"/>
      <c r="QAM31" s="65"/>
      <c r="QAN31" s="65"/>
      <c r="QAO31" s="65"/>
      <c r="QAP31" s="65"/>
      <c r="QAQ31" s="65"/>
      <c r="QAR31" s="65"/>
      <c r="QAS31" s="65"/>
      <c r="QAT31" s="65"/>
      <c r="QAU31" s="65"/>
      <c r="QAV31" s="65"/>
      <c r="QAW31" s="65"/>
      <c r="QAX31" s="65"/>
      <c r="QAY31" s="65"/>
      <c r="QAZ31" s="65"/>
      <c r="QBA31" s="65"/>
      <c r="QBB31" s="65"/>
      <c r="QBC31" s="65"/>
      <c r="QBD31" s="65"/>
      <c r="QBE31" s="65"/>
      <c r="QBF31" s="65"/>
      <c r="QBG31" s="65"/>
      <c r="QBH31" s="65"/>
      <c r="QBI31" s="65"/>
      <c r="QBJ31" s="65"/>
      <c r="QBK31" s="65"/>
      <c r="QBL31" s="65"/>
      <c r="QBM31" s="65"/>
      <c r="QBN31" s="65"/>
      <c r="QBO31" s="65"/>
      <c r="QBP31" s="65"/>
      <c r="QBQ31" s="65"/>
      <c r="QBR31" s="65"/>
      <c r="QBS31" s="65"/>
      <c r="QBT31" s="65"/>
      <c r="QBU31" s="65"/>
      <c r="QBV31" s="65"/>
      <c r="QBW31" s="65"/>
      <c r="QBX31" s="65"/>
      <c r="QBY31" s="65"/>
      <c r="QBZ31" s="65"/>
      <c r="QCA31" s="65"/>
      <c r="QCB31" s="65"/>
      <c r="QCC31" s="65"/>
      <c r="QCD31" s="65"/>
      <c r="QCE31" s="65"/>
      <c r="QCF31" s="65"/>
      <c r="QCG31" s="65"/>
      <c r="QCH31" s="65"/>
      <c r="QCI31" s="65"/>
      <c r="QCJ31" s="65"/>
      <c r="QCK31" s="65"/>
      <c r="QCL31" s="65"/>
      <c r="QCM31" s="65"/>
      <c r="QCN31" s="65"/>
      <c r="QCO31" s="65"/>
      <c r="QCP31" s="65"/>
      <c r="QCQ31" s="65"/>
      <c r="QCR31" s="65"/>
      <c r="QCS31" s="65"/>
      <c r="QCT31" s="65"/>
      <c r="QCU31" s="65"/>
      <c r="QCV31" s="65"/>
      <c r="QCW31" s="65"/>
      <c r="QCX31" s="65"/>
      <c r="QCY31" s="65"/>
      <c r="QCZ31" s="65"/>
      <c r="QDA31" s="65"/>
      <c r="QDB31" s="65"/>
      <c r="QDC31" s="65"/>
      <c r="QDD31" s="65"/>
      <c r="QDE31" s="65"/>
      <c r="QDF31" s="65"/>
      <c r="QDG31" s="65"/>
      <c r="QDH31" s="65"/>
      <c r="QDI31" s="65"/>
      <c r="QDJ31" s="65"/>
      <c r="QDK31" s="65"/>
      <c r="QDL31" s="65"/>
      <c r="QDM31" s="65"/>
      <c r="QDN31" s="65"/>
      <c r="QDO31" s="65"/>
      <c r="QDP31" s="65"/>
      <c r="QDQ31" s="65"/>
      <c r="QDR31" s="65"/>
      <c r="QDS31" s="65"/>
      <c r="QDT31" s="65"/>
      <c r="QDU31" s="65"/>
      <c r="QDV31" s="65"/>
      <c r="QDW31" s="65"/>
      <c r="QDX31" s="65"/>
      <c r="QDY31" s="65"/>
      <c r="QDZ31" s="65"/>
      <c r="QEA31" s="65"/>
      <c r="QEB31" s="65"/>
      <c r="QEC31" s="65"/>
      <c r="QED31" s="65"/>
      <c r="QEE31" s="65"/>
      <c r="QEF31" s="65"/>
      <c r="QEG31" s="65"/>
      <c r="QEH31" s="65"/>
      <c r="QEI31" s="65"/>
      <c r="QEJ31" s="65"/>
      <c r="QEK31" s="65"/>
      <c r="QEL31" s="65"/>
      <c r="QEM31" s="65"/>
      <c r="QEN31" s="65"/>
      <c r="QEO31" s="65"/>
      <c r="QEP31" s="65"/>
      <c r="QEQ31" s="65"/>
      <c r="QER31" s="65"/>
      <c r="QES31" s="65"/>
      <c r="QET31" s="65"/>
      <c r="QEU31" s="65"/>
      <c r="QEV31" s="65"/>
      <c r="QEW31" s="65"/>
      <c r="QEX31" s="65"/>
      <c r="QEY31" s="65"/>
      <c r="QEZ31" s="65"/>
      <c r="QFA31" s="65"/>
      <c r="QFB31" s="65"/>
      <c r="QFC31" s="65"/>
      <c r="QFD31" s="65"/>
      <c r="QFE31" s="65"/>
      <c r="QFF31" s="65"/>
      <c r="QFG31" s="65"/>
      <c r="QFH31" s="65"/>
      <c r="QFI31" s="65"/>
      <c r="QFJ31" s="65"/>
      <c r="QFK31" s="65"/>
      <c r="QFL31" s="65"/>
      <c r="QFM31" s="65"/>
      <c r="QFN31" s="65"/>
      <c r="QFO31" s="65"/>
      <c r="QFP31" s="65"/>
      <c r="QFQ31" s="65"/>
      <c r="QFR31" s="65"/>
      <c r="QFS31" s="65"/>
      <c r="QFT31" s="65"/>
      <c r="QFU31" s="65"/>
      <c r="QFV31" s="65"/>
      <c r="QFW31" s="65"/>
      <c r="QFX31" s="65"/>
      <c r="QFY31" s="65"/>
      <c r="QFZ31" s="65"/>
      <c r="QGA31" s="65"/>
      <c r="QGB31" s="65"/>
      <c r="QGC31" s="65"/>
      <c r="QGD31" s="65"/>
      <c r="QGE31" s="65"/>
      <c r="QGF31" s="65"/>
      <c r="QGG31" s="65"/>
      <c r="QGH31" s="65"/>
      <c r="QGI31" s="65"/>
      <c r="QGJ31" s="65"/>
      <c r="QGK31" s="65"/>
      <c r="QGL31" s="65"/>
      <c r="QGM31" s="65"/>
      <c r="QGN31" s="65"/>
      <c r="QGO31" s="65"/>
      <c r="QGP31" s="65"/>
      <c r="QGQ31" s="65"/>
      <c r="QGR31" s="65"/>
      <c r="QGS31" s="65"/>
      <c r="QGT31" s="65"/>
      <c r="QGU31" s="65"/>
      <c r="QGV31" s="65"/>
      <c r="QGW31" s="65"/>
      <c r="QGX31" s="65"/>
      <c r="QGY31" s="65"/>
      <c r="QGZ31" s="65"/>
      <c r="QHA31" s="65"/>
      <c r="QHB31" s="65"/>
      <c r="QHC31" s="65"/>
      <c r="QHD31" s="65"/>
      <c r="QHE31" s="65"/>
      <c r="QHF31" s="65"/>
      <c r="QHG31" s="65"/>
      <c r="QHH31" s="65"/>
      <c r="QHI31" s="65"/>
      <c r="QHJ31" s="65"/>
      <c r="QHK31" s="65"/>
      <c r="QHL31" s="65"/>
      <c r="QHM31" s="65"/>
      <c r="QHN31" s="65"/>
      <c r="QHO31" s="65"/>
      <c r="QHP31" s="65"/>
      <c r="QHQ31" s="65"/>
      <c r="QHR31" s="65"/>
      <c r="QHS31" s="65"/>
      <c r="QHT31" s="65"/>
      <c r="QHU31" s="65"/>
      <c r="QHV31" s="65"/>
      <c r="QHW31" s="65"/>
      <c r="QHX31" s="65"/>
      <c r="QHY31" s="65"/>
      <c r="QHZ31" s="65"/>
      <c r="QIA31" s="65"/>
      <c r="QIB31" s="65"/>
      <c r="QIC31" s="65"/>
      <c r="QID31" s="65"/>
      <c r="QIE31" s="65"/>
      <c r="QIF31" s="65"/>
      <c r="QIG31" s="65"/>
      <c r="QIH31" s="65"/>
      <c r="QII31" s="65"/>
      <c r="QIJ31" s="65"/>
      <c r="QIK31" s="65"/>
      <c r="QIL31" s="65"/>
      <c r="QIM31" s="65"/>
      <c r="QIN31" s="65"/>
      <c r="QIO31" s="65"/>
      <c r="QIP31" s="65"/>
      <c r="QIQ31" s="65"/>
      <c r="QIR31" s="65"/>
      <c r="QIS31" s="65"/>
      <c r="QIT31" s="65"/>
      <c r="QIU31" s="65"/>
      <c r="QIV31" s="65"/>
      <c r="QIW31" s="65"/>
      <c r="QIX31" s="65"/>
      <c r="QIY31" s="65"/>
      <c r="QIZ31" s="65"/>
      <c r="QJA31" s="65"/>
      <c r="QJB31" s="65"/>
      <c r="QJC31" s="65"/>
      <c r="QJD31" s="65"/>
      <c r="QJE31" s="65"/>
      <c r="QJF31" s="65"/>
      <c r="QJG31" s="65"/>
      <c r="QJH31" s="65"/>
      <c r="QJI31" s="65"/>
      <c r="QJJ31" s="65"/>
      <c r="QJK31" s="65"/>
      <c r="QJL31" s="65"/>
      <c r="QJM31" s="65"/>
      <c r="QJN31" s="65"/>
      <c r="QJO31" s="65"/>
      <c r="QJP31" s="65"/>
      <c r="QJQ31" s="65"/>
      <c r="QJR31" s="65"/>
      <c r="QJS31" s="65"/>
      <c r="QJT31" s="65"/>
      <c r="QJU31" s="65"/>
      <c r="QJV31" s="65"/>
      <c r="QJW31" s="65"/>
      <c r="QJX31" s="65"/>
      <c r="QJY31" s="65"/>
      <c r="QJZ31" s="65"/>
      <c r="QKA31" s="65"/>
      <c r="QKB31" s="65"/>
      <c r="QKC31" s="65"/>
      <c r="QKD31" s="65"/>
      <c r="QKE31" s="65"/>
      <c r="QKF31" s="65"/>
      <c r="QKG31" s="65"/>
      <c r="QKH31" s="65"/>
      <c r="QKI31" s="65"/>
      <c r="QKJ31" s="65"/>
      <c r="QKK31" s="65"/>
      <c r="QKL31" s="65"/>
      <c r="QKM31" s="65"/>
      <c r="QKN31" s="65"/>
      <c r="QKO31" s="65"/>
      <c r="QKP31" s="65"/>
      <c r="QKQ31" s="65"/>
      <c r="QKR31" s="65"/>
      <c r="QKS31" s="65"/>
      <c r="QKT31" s="65"/>
      <c r="QKU31" s="65"/>
      <c r="QKV31" s="65"/>
      <c r="QKW31" s="65"/>
      <c r="QKX31" s="65"/>
      <c r="QKY31" s="65"/>
      <c r="QKZ31" s="65"/>
      <c r="QLA31" s="65"/>
      <c r="QLB31" s="65"/>
      <c r="QLC31" s="65"/>
      <c r="QLD31" s="65"/>
      <c r="QLE31" s="65"/>
      <c r="QLF31" s="65"/>
      <c r="QLG31" s="65"/>
      <c r="QLH31" s="65"/>
      <c r="QLI31" s="65"/>
      <c r="QLJ31" s="65"/>
      <c r="QLK31" s="65"/>
      <c r="QLL31" s="65"/>
      <c r="QLM31" s="65"/>
      <c r="QLN31" s="65"/>
      <c r="QLO31" s="65"/>
      <c r="QLP31" s="65"/>
      <c r="QLQ31" s="65"/>
      <c r="QLR31" s="65"/>
      <c r="QLS31" s="65"/>
      <c r="QLT31" s="65"/>
      <c r="QLU31" s="65"/>
      <c r="QLV31" s="65"/>
      <c r="QLW31" s="65"/>
      <c r="QLX31" s="65"/>
      <c r="QLY31" s="65"/>
      <c r="QLZ31" s="65"/>
      <c r="QMA31" s="65"/>
      <c r="QMB31" s="65"/>
      <c r="QMC31" s="65"/>
      <c r="QMD31" s="65"/>
      <c r="QME31" s="65"/>
      <c r="QMF31" s="65"/>
      <c r="QMG31" s="65"/>
      <c r="QMH31" s="65"/>
      <c r="QMI31" s="65"/>
      <c r="QMJ31" s="65"/>
      <c r="QMK31" s="65"/>
      <c r="QML31" s="65"/>
      <c r="QMM31" s="65"/>
      <c r="QMN31" s="65"/>
      <c r="QMO31" s="65"/>
      <c r="QMP31" s="65"/>
      <c r="QMQ31" s="65"/>
      <c r="QMR31" s="65"/>
      <c r="QMS31" s="65"/>
      <c r="QMT31" s="65"/>
      <c r="QMU31" s="65"/>
      <c r="QMV31" s="65"/>
      <c r="QMW31" s="65"/>
      <c r="QMX31" s="65"/>
      <c r="QMY31" s="65"/>
      <c r="QMZ31" s="65"/>
      <c r="QNA31" s="65"/>
      <c r="QNB31" s="65"/>
      <c r="QNC31" s="65"/>
      <c r="QND31" s="65"/>
      <c r="QNE31" s="65"/>
      <c r="QNF31" s="65"/>
      <c r="QNG31" s="65"/>
      <c r="QNH31" s="65"/>
      <c r="QNI31" s="65"/>
      <c r="QNJ31" s="65"/>
      <c r="QNK31" s="65"/>
      <c r="QNL31" s="65"/>
      <c r="QNM31" s="65"/>
      <c r="QNN31" s="65"/>
      <c r="QNO31" s="65"/>
      <c r="QNP31" s="65"/>
      <c r="QNQ31" s="65"/>
      <c r="QNR31" s="65"/>
      <c r="QNS31" s="65"/>
      <c r="QNT31" s="65"/>
      <c r="QNU31" s="65"/>
      <c r="QNV31" s="65"/>
      <c r="QNW31" s="65"/>
      <c r="QNX31" s="65"/>
      <c r="QNY31" s="65"/>
      <c r="QNZ31" s="65"/>
      <c r="QOA31" s="65"/>
      <c r="QOB31" s="65"/>
      <c r="QOC31" s="65"/>
      <c r="QOD31" s="65"/>
      <c r="QOE31" s="65"/>
      <c r="QOF31" s="65"/>
      <c r="QOG31" s="65"/>
      <c r="QOH31" s="65"/>
      <c r="QOI31" s="65"/>
      <c r="QOJ31" s="65"/>
      <c r="QOK31" s="65"/>
      <c r="QOL31" s="65"/>
      <c r="QOM31" s="65"/>
      <c r="QON31" s="65"/>
      <c r="QOO31" s="65"/>
      <c r="QOP31" s="65"/>
      <c r="QOQ31" s="65"/>
      <c r="QOR31" s="65"/>
      <c r="QOS31" s="65"/>
      <c r="QOT31" s="65"/>
      <c r="QOU31" s="65"/>
      <c r="QOV31" s="65"/>
      <c r="QOW31" s="65"/>
      <c r="QOX31" s="65"/>
      <c r="QOY31" s="65"/>
      <c r="QOZ31" s="65"/>
      <c r="QPA31" s="65"/>
      <c r="QPB31" s="65"/>
      <c r="QPC31" s="65"/>
      <c r="QPD31" s="65"/>
      <c r="QPE31" s="65"/>
      <c r="QPF31" s="65"/>
      <c r="QPG31" s="65"/>
      <c r="QPH31" s="65"/>
      <c r="QPI31" s="65"/>
      <c r="QPJ31" s="65"/>
      <c r="QPK31" s="65"/>
      <c r="QPL31" s="65"/>
      <c r="QPM31" s="65"/>
      <c r="QPN31" s="65"/>
      <c r="QPO31" s="65"/>
      <c r="QPP31" s="65"/>
      <c r="QPQ31" s="65"/>
      <c r="QPR31" s="65"/>
      <c r="QPS31" s="65"/>
      <c r="QPT31" s="65"/>
      <c r="QPU31" s="65"/>
      <c r="QPV31" s="65"/>
      <c r="QPW31" s="65"/>
      <c r="QPX31" s="65"/>
      <c r="QPY31" s="65"/>
      <c r="QPZ31" s="65"/>
      <c r="QQA31" s="65"/>
      <c r="QQB31" s="65"/>
      <c r="QQC31" s="65"/>
      <c r="QQD31" s="65"/>
      <c r="QQE31" s="65"/>
      <c r="QQF31" s="65"/>
      <c r="QQG31" s="65"/>
      <c r="QQH31" s="65"/>
      <c r="QQI31" s="65"/>
      <c r="QQJ31" s="65"/>
      <c r="QQK31" s="65"/>
      <c r="QQL31" s="65"/>
      <c r="QQM31" s="65"/>
      <c r="QQN31" s="65"/>
      <c r="QQO31" s="65"/>
      <c r="QQP31" s="65"/>
      <c r="QQQ31" s="65"/>
      <c r="QQR31" s="65"/>
      <c r="QQS31" s="65"/>
      <c r="QQT31" s="65"/>
      <c r="QQU31" s="65"/>
      <c r="QQV31" s="65"/>
      <c r="QQW31" s="65"/>
      <c r="QQX31" s="65"/>
      <c r="QQY31" s="65"/>
      <c r="QQZ31" s="65"/>
      <c r="QRA31" s="65"/>
      <c r="QRB31" s="65"/>
      <c r="QRC31" s="65"/>
      <c r="QRD31" s="65"/>
      <c r="QRE31" s="65"/>
      <c r="QRF31" s="65"/>
      <c r="QRG31" s="65"/>
      <c r="QRH31" s="65"/>
      <c r="QRI31" s="65"/>
      <c r="QRJ31" s="65"/>
      <c r="QRK31" s="65"/>
      <c r="QRL31" s="65"/>
      <c r="QRM31" s="65"/>
      <c r="QRN31" s="65"/>
      <c r="QRO31" s="65"/>
      <c r="QRP31" s="65"/>
      <c r="QRQ31" s="65"/>
      <c r="QRR31" s="65"/>
      <c r="QRS31" s="65"/>
      <c r="QRT31" s="65"/>
      <c r="QRU31" s="65"/>
      <c r="QRV31" s="65"/>
      <c r="QRW31" s="65"/>
      <c r="QRX31" s="65"/>
      <c r="QRY31" s="65"/>
      <c r="QRZ31" s="65"/>
      <c r="QSA31" s="65"/>
      <c r="QSB31" s="65"/>
      <c r="QSC31" s="65"/>
      <c r="QSD31" s="65"/>
      <c r="QSE31" s="65"/>
      <c r="QSF31" s="65"/>
      <c r="QSG31" s="65"/>
      <c r="QSH31" s="65"/>
      <c r="QSI31" s="65"/>
      <c r="QSJ31" s="65"/>
      <c r="QSK31" s="65"/>
      <c r="QSL31" s="65"/>
      <c r="QSM31" s="65"/>
      <c r="QSN31" s="65"/>
      <c r="QSO31" s="65"/>
      <c r="QSP31" s="65"/>
      <c r="QSQ31" s="65"/>
      <c r="QSR31" s="65"/>
      <c r="QSS31" s="65"/>
      <c r="QST31" s="65"/>
      <c r="QSU31" s="65"/>
      <c r="QSV31" s="65"/>
      <c r="QSW31" s="65"/>
      <c r="QSX31" s="65"/>
      <c r="QSY31" s="65"/>
      <c r="QSZ31" s="65"/>
      <c r="QTA31" s="65"/>
      <c r="QTB31" s="65"/>
      <c r="QTC31" s="65"/>
      <c r="QTD31" s="65"/>
      <c r="QTE31" s="65"/>
      <c r="QTF31" s="65"/>
      <c r="QTG31" s="65"/>
      <c r="QTH31" s="65"/>
      <c r="QTI31" s="65"/>
      <c r="QTJ31" s="65"/>
      <c r="QTK31" s="65"/>
      <c r="QTL31" s="65"/>
      <c r="QTM31" s="65"/>
      <c r="QTN31" s="65"/>
      <c r="QTO31" s="65"/>
      <c r="QTP31" s="65"/>
      <c r="QTQ31" s="65"/>
      <c r="QTR31" s="65"/>
      <c r="QTS31" s="65"/>
      <c r="QTT31" s="65"/>
      <c r="QTU31" s="65"/>
      <c r="QTV31" s="65"/>
      <c r="QTW31" s="65"/>
      <c r="QTX31" s="65"/>
      <c r="QTY31" s="65"/>
      <c r="QTZ31" s="65"/>
      <c r="QUA31" s="65"/>
      <c r="QUB31" s="65"/>
      <c r="QUC31" s="65"/>
      <c r="QUD31" s="65"/>
      <c r="QUE31" s="65"/>
      <c r="QUF31" s="65"/>
      <c r="QUG31" s="65"/>
      <c r="QUH31" s="65"/>
      <c r="QUI31" s="65"/>
      <c r="QUJ31" s="65"/>
      <c r="QUK31" s="65"/>
      <c r="QUL31" s="65"/>
      <c r="QUM31" s="65"/>
      <c r="QUN31" s="65"/>
      <c r="QUO31" s="65"/>
      <c r="QUP31" s="65"/>
      <c r="QUQ31" s="65"/>
      <c r="QUR31" s="65"/>
      <c r="QUS31" s="65"/>
      <c r="QUT31" s="65"/>
      <c r="QUU31" s="65"/>
      <c r="QUV31" s="65"/>
      <c r="QUW31" s="65"/>
      <c r="QUX31" s="65"/>
      <c r="QUY31" s="65"/>
      <c r="QUZ31" s="65"/>
      <c r="QVA31" s="65"/>
      <c r="QVB31" s="65"/>
      <c r="QVC31" s="65"/>
      <c r="QVD31" s="65"/>
      <c r="QVE31" s="65"/>
      <c r="QVF31" s="65"/>
      <c r="QVG31" s="65"/>
      <c r="QVH31" s="65"/>
      <c r="QVI31" s="65"/>
      <c r="QVJ31" s="65"/>
      <c r="QVK31" s="65"/>
      <c r="QVL31" s="65"/>
      <c r="QVM31" s="65"/>
      <c r="QVN31" s="65"/>
      <c r="QVO31" s="65"/>
      <c r="QVP31" s="65"/>
      <c r="QVQ31" s="65"/>
      <c r="QVR31" s="65"/>
      <c r="QVS31" s="65"/>
      <c r="QVT31" s="65"/>
      <c r="QVU31" s="65"/>
      <c r="QVV31" s="65"/>
      <c r="QVW31" s="65"/>
      <c r="QVX31" s="65"/>
      <c r="QVY31" s="65"/>
      <c r="QVZ31" s="65"/>
      <c r="QWA31" s="65"/>
      <c r="QWB31" s="65"/>
      <c r="QWC31" s="65"/>
      <c r="QWD31" s="65"/>
      <c r="QWE31" s="65"/>
      <c r="QWF31" s="65"/>
      <c r="QWG31" s="65"/>
      <c r="QWH31" s="65"/>
      <c r="QWI31" s="65"/>
      <c r="QWJ31" s="65"/>
      <c r="QWK31" s="65"/>
      <c r="QWL31" s="65"/>
      <c r="QWM31" s="65"/>
      <c r="QWN31" s="65"/>
      <c r="QWO31" s="65"/>
      <c r="QWP31" s="65"/>
      <c r="QWQ31" s="65"/>
      <c r="QWR31" s="65"/>
      <c r="QWS31" s="65"/>
      <c r="QWT31" s="65"/>
      <c r="QWU31" s="65"/>
      <c r="QWV31" s="65"/>
      <c r="QWW31" s="65"/>
      <c r="QWX31" s="65"/>
      <c r="QWY31" s="65"/>
      <c r="QWZ31" s="65"/>
      <c r="QXA31" s="65"/>
      <c r="QXB31" s="65"/>
      <c r="QXC31" s="65"/>
      <c r="QXD31" s="65"/>
      <c r="QXE31" s="65"/>
      <c r="QXF31" s="65"/>
      <c r="QXG31" s="65"/>
      <c r="QXH31" s="65"/>
      <c r="QXI31" s="65"/>
      <c r="QXJ31" s="65"/>
      <c r="QXK31" s="65"/>
      <c r="QXL31" s="65"/>
      <c r="QXM31" s="65"/>
      <c r="QXN31" s="65"/>
      <c r="QXO31" s="65"/>
      <c r="QXP31" s="65"/>
      <c r="QXQ31" s="65"/>
      <c r="QXR31" s="65"/>
      <c r="QXS31" s="65"/>
      <c r="QXT31" s="65"/>
      <c r="QXU31" s="65"/>
      <c r="QXV31" s="65"/>
      <c r="QXW31" s="65"/>
      <c r="QXX31" s="65"/>
      <c r="QXY31" s="65"/>
      <c r="QXZ31" s="65"/>
      <c r="QYA31" s="65"/>
      <c r="QYB31" s="65"/>
      <c r="QYC31" s="65"/>
      <c r="QYD31" s="65"/>
      <c r="QYE31" s="65"/>
      <c r="QYF31" s="65"/>
      <c r="QYG31" s="65"/>
      <c r="QYH31" s="65"/>
      <c r="QYI31" s="65"/>
      <c r="QYJ31" s="65"/>
      <c r="QYK31" s="65"/>
      <c r="QYL31" s="65"/>
      <c r="QYM31" s="65"/>
      <c r="QYN31" s="65"/>
      <c r="QYO31" s="65"/>
      <c r="QYP31" s="65"/>
      <c r="QYQ31" s="65"/>
      <c r="QYR31" s="65"/>
      <c r="QYS31" s="65"/>
      <c r="QYT31" s="65"/>
      <c r="QYU31" s="65"/>
      <c r="QYV31" s="65"/>
      <c r="QYW31" s="65"/>
      <c r="QYX31" s="65"/>
      <c r="QYY31" s="65"/>
      <c r="QYZ31" s="65"/>
      <c r="QZA31" s="65"/>
      <c r="QZB31" s="65"/>
      <c r="QZC31" s="65"/>
      <c r="QZD31" s="65"/>
      <c r="QZE31" s="65"/>
      <c r="QZF31" s="65"/>
      <c r="QZG31" s="65"/>
      <c r="QZH31" s="65"/>
      <c r="QZI31" s="65"/>
      <c r="QZJ31" s="65"/>
      <c r="QZK31" s="65"/>
      <c r="QZL31" s="65"/>
      <c r="QZM31" s="65"/>
      <c r="QZN31" s="65"/>
      <c r="QZO31" s="65"/>
      <c r="QZP31" s="65"/>
      <c r="QZQ31" s="65"/>
      <c r="QZR31" s="65"/>
      <c r="QZS31" s="65"/>
      <c r="QZT31" s="65"/>
      <c r="QZU31" s="65"/>
      <c r="QZV31" s="65"/>
      <c r="QZW31" s="65"/>
      <c r="QZX31" s="65"/>
      <c r="QZY31" s="65"/>
      <c r="QZZ31" s="65"/>
      <c r="RAA31" s="65"/>
      <c r="RAB31" s="65"/>
      <c r="RAC31" s="65"/>
      <c r="RAD31" s="65"/>
      <c r="RAE31" s="65"/>
      <c r="RAF31" s="65"/>
      <c r="RAG31" s="65"/>
      <c r="RAH31" s="65"/>
      <c r="RAI31" s="65"/>
      <c r="RAJ31" s="65"/>
      <c r="RAK31" s="65"/>
      <c r="RAL31" s="65"/>
      <c r="RAM31" s="65"/>
      <c r="RAN31" s="65"/>
      <c r="RAO31" s="65"/>
      <c r="RAP31" s="65"/>
      <c r="RAQ31" s="65"/>
      <c r="RAR31" s="65"/>
      <c r="RAS31" s="65"/>
      <c r="RAT31" s="65"/>
      <c r="RAU31" s="65"/>
      <c r="RAV31" s="65"/>
      <c r="RAW31" s="65"/>
      <c r="RAX31" s="65"/>
      <c r="RAY31" s="65"/>
      <c r="RAZ31" s="65"/>
      <c r="RBA31" s="65"/>
      <c r="RBB31" s="65"/>
      <c r="RBC31" s="65"/>
      <c r="RBD31" s="65"/>
      <c r="RBE31" s="65"/>
      <c r="RBF31" s="65"/>
      <c r="RBG31" s="65"/>
      <c r="RBH31" s="65"/>
      <c r="RBI31" s="65"/>
      <c r="RBJ31" s="65"/>
      <c r="RBK31" s="65"/>
      <c r="RBL31" s="65"/>
      <c r="RBM31" s="65"/>
      <c r="RBN31" s="65"/>
      <c r="RBO31" s="65"/>
      <c r="RBP31" s="65"/>
      <c r="RBQ31" s="65"/>
      <c r="RBR31" s="65"/>
      <c r="RBS31" s="65"/>
      <c r="RBT31" s="65"/>
      <c r="RBU31" s="65"/>
      <c r="RBV31" s="65"/>
      <c r="RBW31" s="65"/>
      <c r="RBX31" s="65"/>
      <c r="RBY31" s="65"/>
      <c r="RBZ31" s="65"/>
      <c r="RCA31" s="65"/>
      <c r="RCB31" s="65"/>
      <c r="RCC31" s="65"/>
      <c r="RCD31" s="65"/>
      <c r="RCE31" s="65"/>
      <c r="RCF31" s="65"/>
      <c r="RCG31" s="65"/>
      <c r="RCH31" s="65"/>
      <c r="RCI31" s="65"/>
      <c r="RCJ31" s="65"/>
      <c r="RCK31" s="65"/>
      <c r="RCL31" s="65"/>
      <c r="RCM31" s="65"/>
      <c r="RCN31" s="65"/>
      <c r="RCO31" s="65"/>
      <c r="RCP31" s="65"/>
      <c r="RCQ31" s="65"/>
      <c r="RCR31" s="65"/>
      <c r="RCS31" s="65"/>
      <c r="RCT31" s="65"/>
      <c r="RCU31" s="65"/>
      <c r="RCV31" s="65"/>
      <c r="RCW31" s="65"/>
      <c r="RCX31" s="65"/>
      <c r="RCY31" s="65"/>
      <c r="RCZ31" s="65"/>
      <c r="RDA31" s="65"/>
      <c r="RDB31" s="65"/>
      <c r="RDC31" s="65"/>
      <c r="RDD31" s="65"/>
      <c r="RDE31" s="65"/>
      <c r="RDF31" s="65"/>
      <c r="RDG31" s="65"/>
      <c r="RDH31" s="65"/>
      <c r="RDI31" s="65"/>
      <c r="RDJ31" s="65"/>
      <c r="RDK31" s="65"/>
      <c r="RDL31" s="65"/>
      <c r="RDM31" s="65"/>
      <c r="RDN31" s="65"/>
      <c r="RDO31" s="65"/>
      <c r="RDP31" s="65"/>
      <c r="RDQ31" s="65"/>
      <c r="RDR31" s="65"/>
      <c r="RDS31" s="65"/>
      <c r="RDT31" s="65"/>
      <c r="RDU31" s="65"/>
      <c r="RDV31" s="65"/>
      <c r="RDW31" s="65"/>
      <c r="RDX31" s="65"/>
      <c r="RDY31" s="65"/>
      <c r="RDZ31" s="65"/>
      <c r="REA31" s="65"/>
      <c r="REB31" s="65"/>
      <c r="REC31" s="65"/>
      <c r="RED31" s="65"/>
      <c r="REE31" s="65"/>
      <c r="REF31" s="65"/>
      <c r="REG31" s="65"/>
      <c r="REH31" s="65"/>
      <c r="REI31" s="65"/>
      <c r="REJ31" s="65"/>
      <c r="REK31" s="65"/>
      <c r="REL31" s="65"/>
      <c r="REM31" s="65"/>
      <c r="REN31" s="65"/>
      <c r="REO31" s="65"/>
      <c r="REP31" s="65"/>
      <c r="REQ31" s="65"/>
      <c r="RER31" s="65"/>
      <c r="RES31" s="65"/>
      <c r="RET31" s="65"/>
      <c r="REU31" s="65"/>
      <c r="REV31" s="65"/>
      <c r="REW31" s="65"/>
      <c r="REX31" s="65"/>
      <c r="REY31" s="65"/>
      <c r="REZ31" s="65"/>
      <c r="RFA31" s="65"/>
      <c r="RFB31" s="65"/>
      <c r="RFC31" s="65"/>
      <c r="RFD31" s="65"/>
      <c r="RFE31" s="65"/>
      <c r="RFF31" s="65"/>
      <c r="RFG31" s="65"/>
      <c r="RFH31" s="65"/>
      <c r="RFI31" s="65"/>
      <c r="RFJ31" s="65"/>
      <c r="RFK31" s="65"/>
      <c r="RFL31" s="65"/>
      <c r="RFM31" s="65"/>
      <c r="RFN31" s="65"/>
      <c r="RFO31" s="65"/>
      <c r="RFP31" s="65"/>
      <c r="RFQ31" s="65"/>
      <c r="RFR31" s="65"/>
      <c r="RFS31" s="65"/>
      <c r="RFT31" s="65"/>
      <c r="RFU31" s="65"/>
      <c r="RFV31" s="65"/>
      <c r="RFW31" s="65"/>
      <c r="RFX31" s="65"/>
      <c r="RFY31" s="65"/>
      <c r="RFZ31" s="65"/>
      <c r="RGA31" s="65"/>
      <c r="RGB31" s="65"/>
      <c r="RGC31" s="65"/>
      <c r="RGD31" s="65"/>
      <c r="RGE31" s="65"/>
      <c r="RGF31" s="65"/>
      <c r="RGG31" s="65"/>
      <c r="RGH31" s="65"/>
      <c r="RGI31" s="65"/>
      <c r="RGJ31" s="65"/>
      <c r="RGK31" s="65"/>
      <c r="RGL31" s="65"/>
      <c r="RGM31" s="65"/>
      <c r="RGN31" s="65"/>
      <c r="RGO31" s="65"/>
      <c r="RGP31" s="65"/>
      <c r="RGQ31" s="65"/>
      <c r="RGR31" s="65"/>
      <c r="RGS31" s="65"/>
      <c r="RGT31" s="65"/>
      <c r="RGU31" s="65"/>
      <c r="RGV31" s="65"/>
      <c r="RGW31" s="65"/>
      <c r="RGX31" s="65"/>
      <c r="RGY31" s="65"/>
      <c r="RGZ31" s="65"/>
      <c r="RHA31" s="65"/>
      <c r="RHB31" s="65"/>
      <c r="RHC31" s="65"/>
      <c r="RHD31" s="65"/>
      <c r="RHE31" s="65"/>
      <c r="RHF31" s="65"/>
      <c r="RHG31" s="65"/>
      <c r="RHH31" s="65"/>
      <c r="RHI31" s="65"/>
      <c r="RHJ31" s="65"/>
      <c r="RHK31" s="65"/>
      <c r="RHL31" s="65"/>
      <c r="RHM31" s="65"/>
      <c r="RHN31" s="65"/>
      <c r="RHO31" s="65"/>
      <c r="RHP31" s="65"/>
      <c r="RHQ31" s="65"/>
      <c r="RHR31" s="65"/>
      <c r="RHS31" s="65"/>
      <c r="RHT31" s="65"/>
      <c r="RHU31" s="65"/>
      <c r="RHV31" s="65"/>
      <c r="RHW31" s="65"/>
      <c r="RHX31" s="65"/>
      <c r="RHY31" s="65"/>
      <c r="RHZ31" s="65"/>
      <c r="RIA31" s="65"/>
      <c r="RIB31" s="65"/>
      <c r="RIC31" s="65"/>
      <c r="RID31" s="65"/>
      <c r="RIE31" s="65"/>
      <c r="RIF31" s="65"/>
      <c r="RIG31" s="65"/>
      <c r="RIH31" s="65"/>
      <c r="RII31" s="65"/>
      <c r="RIJ31" s="65"/>
      <c r="RIK31" s="65"/>
      <c r="RIL31" s="65"/>
      <c r="RIM31" s="65"/>
      <c r="RIN31" s="65"/>
      <c r="RIO31" s="65"/>
      <c r="RIP31" s="65"/>
      <c r="RIQ31" s="65"/>
      <c r="RIR31" s="65"/>
      <c r="RIS31" s="65"/>
      <c r="RIT31" s="65"/>
      <c r="RIU31" s="65"/>
      <c r="RIV31" s="65"/>
      <c r="RIW31" s="65"/>
      <c r="RIX31" s="65"/>
      <c r="RIY31" s="65"/>
      <c r="RIZ31" s="65"/>
      <c r="RJA31" s="65"/>
      <c r="RJB31" s="65"/>
      <c r="RJC31" s="65"/>
      <c r="RJD31" s="65"/>
      <c r="RJE31" s="65"/>
      <c r="RJF31" s="65"/>
      <c r="RJG31" s="65"/>
      <c r="RJH31" s="65"/>
      <c r="RJI31" s="65"/>
      <c r="RJJ31" s="65"/>
      <c r="RJK31" s="65"/>
      <c r="RJL31" s="65"/>
      <c r="RJM31" s="65"/>
      <c r="RJN31" s="65"/>
      <c r="RJO31" s="65"/>
      <c r="RJP31" s="65"/>
      <c r="RJQ31" s="65"/>
      <c r="RJR31" s="65"/>
      <c r="RJS31" s="65"/>
      <c r="RJT31" s="65"/>
      <c r="RJU31" s="65"/>
      <c r="RJV31" s="65"/>
      <c r="RJW31" s="65"/>
      <c r="RJX31" s="65"/>
      <c r="RJY31" s="65"/>
      <c r="RJZ31" s="65"/>
      <c r="RKA31" s="65"/>
      <c r="RKB31" s="65"/>
      <c r="RKC31" s="65"/>
      <c r="RKD31" s="65"/>
      <c r="RKE31" s="65"/>
      <c r="RKF31" s="65"/>
      <c r="RKG31" s="65"/>
      <c r="RKH31" s="65"/>
      <c r="RKI31" s="65"/>
      <c r="RKJ31" s="65"/>
      <c r="RKK31" s="65"/>
      <c r="RKL31" s="65"/>
      <c r="RKM31" s="65"/>
      <c r="RKN31" s="65"/>
      <c r="RKO31" s="65"/>
      <c r="RKP31" s="65"/>
      <c r="RKQ31" s="65"/>
      <c r="RKR31" s="65"/>
      <c r="RKS31" s="65"/>
      <c r="RKT31" s="65"/>
      <c r="RKU31" s="65"/>
      <c r="RKV31" s="65"/>
      <c r="RKW31" s="65"/>
      <c r="RKX31" s="65"/>
      <c r="RKY31" s="65"/>
      <c r="RKZ31" s="65"/>
      <c r="RLA31" s="65"/>
      <c r="RLB31" s="65"/>
      <c r="RLC31" s="65"/>
      <c r="RLD31" s="65"/>
      <c r="RLE31" s="65"/>
      <c r="RLF31" s="65"/>
      <c r="RLG31" s="65"/>
      <c r="RLH31" s="65"/>
      <c r="RLI31" s="65"/>
      <c r="RLJ31" s="65"/>
      <c r="RLK31" s="65"/>
      <c r="RLL31" s="65"/>
      <c r="RLM31" s="65"/>
      <c r="RLN31" s="65"/>
      <c r="RLO31" s="65"/>
      <c r="RLP31" s="65"/>
      <c r="RLQ31" s="65"/>
      <c r="RLR31" s="65"/>
      <c r="RLS31" s="65"/>
      <c r="RLT31" s="65"/>
      <c r="RLU31" s="65"/>
      <c r="RLV31" s="65"/>
      <c r="RLW31" s="65"/>
      <c r="RLX31" s="65"/>
      <c r="RLY31" s="65"/>
      <c r="RLZ31" s="65"/>
      <c r="RMA31" s="65"/>
      <c r="RMB31" s="65"/>
      <c r="RMC31" s="65"/>
      <c r="RMD31" s="65"/>
      <c r="RME31" s="65"/>
      <c r="RMF31" s="65"/>
      <c r="RMG31" s="65"/>
      <c r="RMH31" s="65"/>
      <c r="RMI31" s="65"/>
      <c r="RMJ31" s="65"/>
      <c r="RMK31" s="65"/>
      <c r="RML31" s="65"/>
      <c r="RMM31" s="65"/>
      <c r="RMN31" s="65"/>
      <c r="RMO31" s="65"/>
      <c r="RMP31" s="65"/>
      <c r="RMQ31" s="65"/>
      <c r="RMR31" s="65"/>
      <c r="RMS31" s="65"/>
      <c r="RMT31" s="65"/>
      <c r="RMU31" s="65"/>
      <c r="RMV31" s="65"/>
      <c r="RMW31" s="65"/>
      <c r="RMX31" s="65"/>
      <c r="RMY31" s="65"/>
      <c r="RMZ31" s="65"/>
      <c r="RNA31" s="65"/>
      <c r="RNB31" s="65"/>
      <c r="RNC31" s="65"/>
      <c r="RND31" s="65"/>
      <c r="RNE31" s="65"/>
      <c r="RNF31" s="65"/>
      <c r="RNG31" s="65"/>
      <c r="RNH31" s="65"/>
      <c r="RNI31" s="65"/>
      <c r="RNJ31" s="65"/>
      <c r="RNK31" s="65"/>
      <c r="RNL31" s="65"/>
      <c r="RNM31" s="65"/>
      <c r="RNN31" s="65"/>
      <c r="RNO31" s="65"/>
      <c r="RNP31" s="65"/>
      <c r="RNQ31" s="65"/>
      <c r="RNR31" s="65"/>
      <c r="RNS31" s="65"/>
      <c r="RNT31" s="65"/>
      <c r="RNU31" s="65"/>
      <c r="RNV31" s="65"/>
      <c r="RNW31" s="65"/>
      <c r="RNX31" s="65"/>
      <c r="RNY31" s="65"/>
      <c r="RNZ31" s="65"/>
      <c r="ROA31" s="65"/>
      <c r="ROB31" s="65"/>
      <c r="ROC31" s="65"/>
      <c r="ROD31" s="65"/>
      <c r="ROE31" s="65"/>
      <c r="ROF31" s="65"/>
      <c r="ROG31" s="65"/>
      <c r="ROH31" s="65"/>
      <c r="ROI31" s="65"/>
      <c r="ROJ31" s="65"/>
      <c r="ROK31" s="65"/>
      <c r="ROL31" s="65"/>
      <c r="ROM31" s="65"/>
      <c r="RON31" s="65"/>
      <c r="ROO31" s="65"/>
      <c r="ROP31" s="65"/>
      <c r="ROQ31" s="65"/>
      <c r="ROR31" s="65"/>
      <c r="ROS31" s="65"/>
      <c r="ROT31" s="65"/>
      <c r="ROU31" s="65"/>
      <c r="ROV31" s="65"/>
      <c r="ROW31" s="65"/>
      <c r="ROX31" s="65"/>
      <c r="ROY31" s="65"/>
      <c r="ROZ31" s="65"/>
      <c r="RPA31" s="65"/>
      <c r="RPB31" s="65"/>
      <c r="RPC31" s="65"/>
      <c r="RPD31" s="65"/>
      <c r="RPE31" s="65"/>
      <c r="RPF31" s="65"/>
      <c r="RPG31" s="65"/>
      <c r="RPH31" s="65"/>
      <c r="RPI31" s="65"/>
      <c r="RPJ31" s="65"/>
      <c r="RPK31" s="65"/>
      <c r="RPL31" s="65"/>
      <c r="RPM31" s="65"/>
      <c r="RPN31" s="65"/>
      <c r="RPO31" s="65"/>
      <c r="RPP31" s="65"/>
      <c r="RPQ31" s="65"/>
      <c r="RPR31" s="65"/>
      <c r="RPS31" s="65"/>
      <c r="RPT31" s="65"/>
      <c r="RPU31" s="65"/>
      <c r="RPV31" s="65"/>
      <c r="RPW31" s="65"/>
      <c r="RPX31" s="65"/>
      <c r="RPY31" s="65"/>
      <c r="RPZ31" s="65"/>
      <c r="RQA31" s="65"/>
      <c r="RQB31" s="65"/>
      <c r="RQC31" s="65"/>
      <c r="RQD31" s="65"/>
      <c r="RQE31" s="65"/>
      <c r="RQF31" s="65"/>
      <c r="RQG31" s="65"/>
      <c r="RQH31" s="65"/>
      <c r="RQI31" s="65"/>
      <c r="RQJ31" s="65"/>
      <c r="RQK31" s="65"/>
      <c r="RQL31" s="65"/>
      <c r="RQM31" s="65"/>
      <c r="RQN31" s="65"/>
      <c r="RQO31" s="65"/>
      <c r="RQP31" s="65"/>
      <c r="RQQ31" s="65"/>
      <c r="RQR31" s="65"/>
      <c r="RQS31" s="65"/>
      <c r="RQT31" s="65"/>
      <c r="RQU31" s="65"/>
      <c r="RQV31" s="65"/>
      <c r="RQW31" s="65"/>
      <c r="RQX31" s="65"/>
      <c r="RQY31" s="65"/>
      <c r="RQZ31" s="65"/>
      <c r="RRA31" s="65"/>
      <c r="RRB31" s="65"/>
      <c r="RRC31" s="65"/>
      <c r="RRD31" s="65"/>
      <c r="RRE31" s="65"/>
      <c r="RRF31" s="65"/>
      <c r="RRG31" s="65"/>
      <c r="RRH31" s="65"/>
      <c r="RRI31" s="65"/>
      <c r="RRJ31" s="65"/>
      <c r="RRK31" s="65"/>
      <c r="RRL31" s="65"/>
      <c r="RRM31" s="65"/>
      <c r="RRN31" s="65"/>
      <c r="RRO31" s="65"/>
      <c r="RRP31" s="65"/>
      <c r="RRQ31" s="65"/>
      <c r="RRR31" s="65"/>
      <c r="RRS31" s="65"/>
      <c r="RRT31" s="65"/>
      <c r="RRU31" s="65"/>
      <c r="RRV31" s="65"/>
      <c r="RRW31" s="65"/>
      <c r="RRX31" s="65"/>
      <c r="RRY31" s="65"/>
      <c r="RRZ31" s="65"/>
      <c r="RSA31" s="65"/>
      <c r="RSB31" s="65"/>
      <c r="RSC31" s="65"/>
      <c r="RSD31" s="65"/>
      <c r="RSE31" s="65"/>
      <c r="RSF31" s="65"/>
      <c r="RSG31" s="65"/>
      <c r="RSH31" s="65"/>
      <c r="RSI31" s="65"/>
      <c r="RSJ31" s="65"/>
      <c r="RSK31" s="65"/>
      <c r="RSL31" s="65"/>
      <c r="RSM31" s="65"/>
      <c r="RSN31" s="65"/>
      <c r="RSO31" s="65"/>
      <c r="RSP31" s="65"/>
      <c r="RSQ31" s="65"/>
      <c r="RSR31" s="65"/>
      <c r="RSS31" s="65"/>
      <c r="RST31" s="65"/>
      <c r="RSU31" s="65"/>
      <c r="RSV31" s="65"/>
      <c r="RSW31" s="65"/>
      <c r="RSX31" s="65"/>
      <c r="RSY31" s="65"/>
      <c r="RSZ31" s="65"/>
      <c r="RTA31" s="65"/>
      <c r="RTB31" s="65"/>
      <c r="RTC31" s="65"/>
      <c r="RTD31" s="65"/>
      <c r="RTE31" s="65"/>
      <c r="RTF31" s="65"/>
      <c r="RTG31" s="65"/>
      <c r="RTH31" s="65"/>
      <c r="RTI31" s="65"/>
      <c r="RTJ31" s="65"/>
      <c r="RTK31" s="65"/>
      <c r="RTL31" s="65"/>
      <c r="RTM31" s="65"/>
      <c r="RTN31" s="65"/>
      <c r="RTO31" s="65"/>
      <c r="RTP31" s="65"/>
      <c r="RTQ31" s="65"/>
      <c r="RTR31" s="65"/>
      <c r="RTS31" s="65"/>
      <c r="RTT31" s="65"/>
      <c r="RTU31" s="65"/>
      <c r="RTV31" s="65"/>
      <c r="RTW31" s="65"/>
      <c r="RTX31" s="65"/>
      <c r="RTY31" s="65"/>
      <c r="RTZ31" s="65"/>
      <c r="RUA31" s="65"/>
      <c r="RUB31" s="65"/>
      <c r="RUC31" s="65"/>
      <c r="RUD31" s="65"/>
      <c r="RUE31" s="65"/>
      <c r="RUF31" s="65"/>
      <c r="RUG31" s="65"/>
      <c r="RUH31" s="65"/>
      <c r="RUI31" s="65"/>
      <c r="RUJ31" s="65"/>
      <c r="RUK31" s="65"/>
      <c r="RUL31" s="65"/>
      <c r="RUM31" s="65"/>
      <c r="RUN31" s="65"/>
      <c r="RUO31" s="65"/>
      <c r="RUP31" s="65"/>
      <c r="RUQ31" s="65"/>
      <c r="RUR31" s="65"/>
      <c r="RUS31" s="65"/>
      <c r="RUT31" s="65"/>
      <c r="RUU31" s="65"/>
      <c r="RUV31" s="65"/>
      <c r="RUW31" s="65"/>
      <c r="RUX31" s="65"/>
      <c r="RUY31" s="65"/>
      <c r="RUZ31" s="65"/>
      <c r="RVA31" s="65"/>
      <c r="RVB31" s="65"/>
      <c r="RVC31" s="65"/>
      <c r="RVD31" s="65"/>
      <c r="RVE31" s="65"/>
      <c r="RVF31" s="65"/>
      <c r="RVG31" s="65"/>
      <c r="RVH31" s="65"/>
      <c r="RVI31" s="65"/>
      <c r="RVJ31" s="65"/>
      <c r="RVK31" s="65"/>
      <c r="RVL31" s="65"/>
      <c r="RVM31" s="65"/>
      <c r="RVN31" s="65"/>
      <c r="RVO31" s="65"/>
      <c r="RVP31" s="65"/>
      <c r="RVQ31" s="65"/>
      <c r="RVR31" s="65"/>
      <c r="RVS31" s="65"/>
      <c r="RVT31" s="65"/>
      <c r="RVU31" s="65"/>
      <c r="RVV31" s="65"/>
      <c r="RVW31" s="65"/>
      <c r="RVX31" s="65"/>
      <c r="RVY31" s="65"/>
      <c r="RVZ31" s="65"/>
      <c r="RWA31" s="65"/>
      <c r="RWB31" s="65"/>
      <c r="RWC31" s="65"/>
      <c r="RWD31" s="65"/>
      <c r="RWE31" s="65"/>
      <c r="RWF31" s="65"/>
      <c r="RWG31" s="65"/>
      <c r="RWH31" s="65"/>
      <c r="RWI31" s="65"/>
      <c r="RWJ31" s="65"/>
      <c r="RWK31" s="65"/>
      <c r="RWL31" s="65"/>
      <c r="RWM31" s="65"/>
      <c r="RWN31" s="65"/>
      <c r="RWO31" s="65"/>
      <c r="RWP31" s="65"/>
      <c r="RWQ31" s="65"/>
      <c r="RWR31" s="65"/>
      <c r="RWS31" s="65"/>
      <c r="RWT31" s="65"/>
      <c r="RWU31" s="65"/>
      <c r="RWV31" s="65"/>
      <c r="RWW31" s="65"/>
      <c r="RWX31" s="65"/>
      <c r="RWY31" s="65"/>
      <c r="RWZ31" s="65"/>
      <c r="RXA31" s="65"/>
      <c r="RXB31" s="65"/>
      <c r="RXC31" s="65"/>
      <c r="RXD31" s="65"/>
      <c r="RXE31" s="65"/>
      <c r="RXF31" s="65"/>
      <c r="RXG31" s="65"/>
      <c r="RXH31" s="65"/>
      <c r="RXI31" s="65"/>
      <c r="RXJ31" s="65"/>
      <c r="RXK31" s="65"/>
      <c r="RXL31" s="65"/>
      <c r="RXM31" s="65"/>
      <c r="RXN31" s="65"/>
      <c r="RXO31" s="65"/>
      <c r="RXP31" s="65"/>
      <c r="RXQ31" s="65"/>
      <c r="RXR31" s="65"/>
      <c r="RXS31" s="65"/>
      <c r="RXT31" s="65"/>
      <c r="RXU31" s="65"/>
      <c r="RXV31" s="65"/>
      <c r="RXW31" s="65"/>
      <c r="RXX31" s="65"/>
      <c r="RXY31" s="65"/>
      <c r="RXZ31" s="65"/>
      <c r="RYA31" s="65"/>
      <c r="RYB31" s="65"/>
      <c r="RYC31" s="65"/>
      <c r="RYD31" s="65"/>
      <c r="RYE31" s="65"/>
      <c r="RYF31" s="65"/>
      <c r="RYG31" s="65"/>
      <c r="RYH31" s="65"/>
      <c r="RYI31" s="65"/>
      <c r="RYJ31" s="65"/>
      <c r="RYK31" s="65"/>
      <c r="RYL31" s="65"/>
      <c r="RYM31" s="65"/>
      <c r="RYN31" s="65"/>
      <c r="RYO31" s="65"/>
      <c r="RYP31" s="65"/>
      <c r="RYQ31" s="65"/>
      <c r="RYR31" s="65"/>
      <c r="RYS31" s="65"/>
      <c r="RYT31" s="65"/>
      <c r="RYU31" s="65"/>
      <c r="RYV31" s="65"/>
      <c r="RYW31" s="65"/>
      <c r="RYX31" s="65"/>
      <c r="RYY31" s="65"/>
      <c r="RYZ31" s="65"/>
      <c r="RZA31" s="65"/>
      <c r="RZB31" s="65"/>
      <c r="RZC31" s="65"/>
      <c r="RZD31" s="65"/>
      <c r="RZE31" s="65"/>
      <c r="RZF31" s="65"/>
      <c r="RZG31" s="65"/>
      <c r="RZH31" s="65"/>
      <c r="RZI31" s="65"/>
      <c r="RZJ31" s="65"/>
      <c r="RZK31" s="65"/>
      <c r="RZL31" s="65"/>
      <c r="RZM31" s="65"/>
      <c r="RZN31" s="65"/>
      <c r="RZO31" s="65"/>
      <c r="RZP31" s="65"/>
      <c r="RZQ31" s="65"/>
      <c r="RZR31" s="65"/>
      <c r="RZS31" s="65"/>
      <c r="RZT31" s="65"/>
      <c r="RZU31" s="65"/>
      <c r="RZV31" s="65"/>
      <c r="RZW31" s="65"/>
      <c r="RZX31" s="65"/>
      <c r="RZY31" s="65"/>
      <c r="RZZ31" s="65"/>
      <c r="SAA31" s="65"/>
      <c r="SAB31" s="65"/>
      <c r="SAC31" s="65"/>
      <c r="SAD31" s="65"/>
      <c r="SAE31" s="65"/>
      <c r="SAF31" s="65"/>
      <c r="SAG31" s="65"/>
      <c r="SAH31" s="65"/>
      <c r="SAI31" s="65"/>
      <c r="SAJ31" s="65"/>
      <c r="SAK31" s="65"/>
      <c r="SAL31" s="65"/>
      <c r="SAM31" s="65"/>
      <c r="SAN31" s="65"/>
      <c r="SAO31" s="65"/>
      <c r="SAP31" s="65"/>
      <c r="SAQ31" s="65"/>
      <c r="SAR31" s="65"/>
      <c r="SAS31" s="65"/>
      <c r="SAT31" s="65"/>
      <c r="SAU31" s="65"/>
      <c r="SAV31" s="65"/>
      <c r="SAW31" s="65"/>
      <c r="SAX31" s="65"/>
      <c r="SAY31" s="65"/>
      <c r="SAZ31" s="65"/>
      <c r="SBA31" s="65"/>
      <c r="SBB31" s="65"/>
      <c r="SBC31" s="65"/>
      <c r="SBD31" s="65"/>
      <c r="SBE31" s="65"/>
      <c r="SBF31" s="65"/>
      <c r="SBG31" s="65"/>
      <c r="SBH31" s="65"/>
      <c r="SBI31" s="65"/>
      <c r="SBJ31" s="65"/>
      <c r="SBK31" s="65"/>
      <c r="SBL31" s="65"/>
      <c r="SBM31" s="65"/>
      <c r="SBN31" s="65"/>
      <c r="SBO31" s="65"/>
      <c r="SBP31" s="65"/>
      <c r="SBQ31" s="65"/>
      <c r="SBR31" s="65"/>
      <c r="SBS31" s="65"/>
      <c r="SBT31" s="65"/>
      <c r="SBU31" s="65"/>
      <c r="SBV31" s="65"/>
      <c r="SBW31" s="65"/>
      <c r="SBX31" s="65"/>
      <c r="SBY31" s="65"/>
      <c r="SBZ31" s="65"/>
      <c r="SCA31" s="65"/>
      <c r="SCB31" s="65"/>
      <c r="SCC31" s="65"/>
      <c r="SCD31" s="65"/>
      <c r="SCE31" s="65"/>
      <c r="SCF31" s="65"/>
      <c r="SCG31" s="65"/>
      <c r="SCH31" s="65"/>
      <c r="SCI31" s="65"/>
      <c r="SCJ31" s="65"/>
      <c r="SCK31" s="65"/>
      <c r="SCL31" s="65"/>
      <c r="SCM31" s="65"/>
      <c r="SCN31" s="65"/>
      <c r="SCO31" s="65"/>
      <c r="SCP31" s="65"/>
      <c r="SCQ31" s="65"/>
      <c r="SCR31" s="65"/>
      <c r="SCS31" s="65"/>
      <c r="SCT31" s="65"/>
      <c r="SCU31" s="65"/>
      <c r="SCV31" s="65"/>
      <c r="SCW31" s="65"/>
      <c r="SCX31" s="65"/>
      <c r="SCY31" s="65"/>
      <c r="SCZ31" s="65"/>
      <c r="SDA31" s="65"/>
      <c r="SDB31" s="65"/>
      <c r="SDC31" s="65"/>
      <c r="SDD31" s="65"/>
      <c r="SDE31" s="65"/>
      <c r="SDF31" s="65"/>
      <c r="SDG31" s="65"/>
      <c r="SDH31" s="65"/>
      <c r="SDI31" s="65"/>
      <c r="SDJ31" s="65"/>
      <c r="SDK31" s="65"/>
      <c r="SDL31" s="65"/>
      <c r="SDM31" s="65"/>
      <c r="SDN31" s="65"/>
      <c r="SDO31" s="65"/>
      <c r="SDP31" s="65"/>
      <c r="SDQ31" s="65"/>
      <c r="SDR31" s="65"/>
      <c r="SDS31" s="65"/>
      <c r="SDT31" s="65"/>
      <c r="SDU31" s="65"/>
      <c r="SDV31" s="65"/>
      <c r="SDW31" s="65"/>
      <c r="SDX31" s="65"/>
      <c r="SDY31" s="65"/>
      <c r="SDZ31" s="65"/>
      <c r="SEA31" s="65"/>
      <c r="SEB31" s="65"/>
      <c r="SEC31" s="65"/>
      <c r="SED31" s="65"/>
      <c r="SEE31" s="65"/>
      <c r="SEF31" s="65"/>
      <c r="SEG31" s="65"/>
      <c r="SEH31" s="65"/>
      <c r="SEI31" s="65"/>
      <c r="SEJ31" s="65"/>
      <c r="SEK31" s="65"/>
      <c r="SEL31" s="65"/>
      <c r="SEM31" s="65"/>
      <c r="SEN31" s="65"/>
      <c r="SEO31" s="65"/>
      <c r="SEP31" s="65"/>
      <c r="SEQ31" s="65"/>
      <c r="SER31" s="65"/>
      <c r="SES31" s="65"/>
      <c r="SET31" s="65"/>
      <c r="SEU31" s="65"/>
      <c r="SEV31" s="65"/>
      <c r="SEW31" s="65"/>
      <c r="SEX31" s="65"/>
      <c r="SEY31" s="65"/>
      <c r="SEZ31" s="65"/>
      <c r="SFA31" s="65"/>
      <c r="SFB31" s="65"/>
      <c r="SFC31" s="65"/>
      <c r="SFD31" s="65"/>
      <c r="SFE31" s="65"/>
      <c r="SFF31" s="65"/>
      <c r="SFG31" s="65"/>
      <c r="SFH31" s="65"/>
      <c r="SFI31" s="65"/>
      <c r="SFJ31" s="65"/>
      <c r="SFK31" s="65"/>
      <c r="SFL31" s="65"/>
      <c r="SFM31" s="65"/>
      <c r="SFN31" s="65"/>
      <c r="SFO31" s="65"/>
      <c r="SFP31" s="65"/>
      <c r="SFQ31" s="65"/>
      <c r="SFR31" s="65"/>
      <c r="SFS31" s="65"/>
      <c r="SFT31" s="65"/>
      <c r="SFU31" s="65"/>
      <c r="SFV31" s="65"/>
      <c r="SFW31" s="65"/>
      <c r="SFX31" s="65"/>
      <c r="SFY31" s="65"/>
      <c r="SFZ31" s="65"/>
      <c r="SGA31" s="65"/>
      <c r="SGB31" s="65"/>
      <c r="SGC31" s="65"/>
      <c r="SGD31" s="65"/>
      <c r="SGE31" s="65"/>
      <c r="SGF31" s="65"/>
      <c r="SGG31" s="65"/>
      <c r="SGH31" s="65"/>
      <c r="SGI31" s="65"/>
      <c r="SGJ31" s="65"/>
      <c r="SGK31" s="65"/>
      <c r="SGL31" s="65"/>
      <c r="SGM31" s="65"/>
      <c r="SGN31" s="65"/>
      <c r="SGO31" s="65"/>
      <c r="SGP31" s="65"/>
      <c r="SGQ31" s="65"/>
      <c r="SGR31" s="65"/>
      <c r="SGS31" s="65"/>
      <c r="SGT31" s="65"/>
      <c r="SGU31" s="65"/>
      <c r="SGV31" s="65"/>
      <c r="SGW31" s="65"/>
      <c r="SGX31" s="65"/>
      <c r="SGY31" s="65"/>
      <c r="SGZ31" s="65"/>
      <c r="SHA31" s="65"/>
      <c r="SHB31" s="65"/>
      <c r="SHC31" s="65"/>
      <c r="SHD31" s="65"/>
      <c r="SHE31" s="65"/>
      <c r="SHF31" s="65"/>
      <c r="SHG31" s="65"/>
      <c r="SHH31" s="65"/>
      <c r="SHI31" s="65"/>
      <c r="SHJ31" s="65"/>
      <c r="SHK31" s="65"/>
      <c r="SHL31" s="65"/>
      <c r="SHM31" s="65"/>
      <c r="SHN31" s="65"/>
      <c r="SHO31" s="65"/>
      <c r="SHP31" s="65"/>
      <c r="SHQ31" s="65"/>
      <c r="SHR31" s="65"/>
      <c r="SHS31" s="65"/>
      <c r="SHT31" s="65"/>
      <c r="SHU31" s="65"/>
      <c r="SHV31" s="65"/>
      <c r="SHW31" s="65"/>
      <c r="SHX31" s="65"/>
      <c r="SHY31" s="65"/>
      <c r="SHZ31" s="65"/>
      <c r="SIA31" s="65"/>
      <c r="SIB31" s="65"/>
      <c r="SIC31" s="65"/>
      <c r="SID31" s="65"/>
      <c r="SIE31" s="65"/>
      <c r="SIF31" s="65"/>
      <c r="SIG31" s="65"/>
      <c r="SIH31" s="65"/>
      <c r="SII31" s="65"/>
      <c r="SIJ31" s="65"/>
      <c r="SIK31" s="65"/>
      <c r="SIL31" s="65"/>
      <c r="SIM31" s="65"/>
      <c r="SIN31" s="65"/>
      <c r="SIO31" s="65"/>
      <c r="SIP31" s="65"/>
      <c r="SIQ31" s="65"/>
      <c r="SIR31" s="65"/>
      <c r="SIS31" s="65"/>
      <c r="SIT31" s="65"/>
      <c r="SIU31" s="65"/>
      <c r="SIV31" s="65"/>
      <c r="SIW31" s="65"/>
      <c r="SIX31" s="65"/>
      <c r="SIY31" s="65"/>
      <c r="SIZ31" s="65"/>
      <c r="SJA31" s="65"/>
      <c r="SJB31" s="65"/>
      <c r="SJC31" s="65"/>
      <c r="SJD31" s="65"/>
      <c r="SJE31" s="65"/>
      <c r="SJF31" s="65"/>
      <c r="SJG31" s="65"/>
      <c r="SJH31" s="65"/>
      <c r="SJI31" s="65"/>
      <c r="SJJ31" s="65"/>
      <c r="SJK31" s="65"/>
      <c r="SJL31" s="65"/>
      <c r="SJM31" s="65"/>
      <c r="SJN31" s="65"/>
      <c r="SJO31" s="65"/>
      <c r="SJP31" s="65"/>
      <c r="SJQ31" s="65"/>
      <c r="SJR31" s="65"/>
      <c r="SJS31" s="65"/>
      <c r="SJT31" s="65"/>
      <c r="SJU31" s="65"/>
      <c r="SJV31" s="65"/>
      <c r="SJW31" s="65"/>
      <c r="SJX31" s="65"/>
      <c r="SJY31" s="65"/>
      <c r="SJZ31" s="65"/>
      <c r="SKA31" s="65"/>
      <c r="SKB31" s="65"/>
      <c r="SKC31" s="65"/>
      <c r="SKD31" s="65"/>
      <c r="SKE31" s="65"/>
      <c r="SKF31" s="65"/>
      <c r="SKG31" s="65"/>
      <c r="SKH31" s="65"/>
      <c r="SKI31" s="65"/>
      <c r="SKJ31" s="65"/>
      <c r="SKK31" s="65"/>
      <c r="SKL31" s="65"/>
      <c r="SKM31" s="65"/>
      <c r="SKN31" s="65"/>
      <c r="SKO31" s="65"/>
      <c r="SKP31" s="65"/>
      <c r="SKQ31" s="65"/>
      <c r="SKR31" s="65"/>
      <c r="SKS31" s="65"/>
      <c r="SKT31" s="65"/>
      <c r="SKU31" s="65"/>
      <c r="SKV31" s="65"/>
      <c r="SKW31" s="65"/>
      <c r="SKX31" s="65"/>
      <c r="SKY31" s="65"/>
      <c r="SKZ31" s="65"/>
      <c r="SLA31" s="65"/>
      <c r="SLB31" s="65"/>
      <c r="SLC31" s="65"/>
      <c r="SLD31" s="65"/>
      <c r="SLE31" s="65"/>
      <c r="SLF31" s="65"/>
      <c r="SLG31" s="65"/>
      <c r="SLH31" s="65"/>
      <c r="SLI31" s="65"/>
      <c r="SLJ31" s="65"/>
      <c r="SLK31" s="65"/>
      <c r="SLL31" s="65"/>
      <c r="SLM31" s="65"/>
      <c r="SLN31" s="65"/>
      <c r="SLO31" s="65"/>
      <c r="SLP31" s="65"/>
      <c r="SLQ31" s="65"/>
      <c r="SLR31" s="65"/>
      <c r="SLS31" s="65"/>
      <c r="SLT31" s="65"/>
      <c r="SLU31" s="65"/>
      <c r="SLV31" s="65"/>
      <c r="SLW31" s="65"/>
      <c r="SLX31" s="65"/>
      <c r="SLY31" s="65"/>
      <c r="SLZ31" s="65"/>
      <c r="SMA31" s="65"/>
      <c r="SMB31" s="65"/>
      <c r="SMC31" s="65"/>
      <c r="SMD31" s="65"/>
      <c r="SME31" s="65"/>
      <c r="SMF31" s="65"/>
      <c r="SMG31" s="65"/>
      <c r="SMH31" s="65"/>
      <c r="SMI31" s="65"/>
      <c r="SMJ31" s="65"/>
      <c r="SMK31" s="65"/>
      <c r="SML31" s="65"/>
      <c r="SMM31" s="65"/>
      <c r="SMN31" s="65"/>
      <c r="SMO31" s="65"/>
      <c r="SMP31" s="65"/>
      <c r="SMQ31" s="65"/>
      <c r="SMR31" s="65"/>
      <c r="SMS31" s="65"/>
      <c r="SMT31" s="65"/>
      <c r="SMU31" s="65"/>
      <c r="SMV31" s="65"/>
      <c r="SMW31" s="65"/>
      <c r="SMX31" s="65"/>
      <c r="SMY31" s="65"/>
      <c r="SMZ31" s="65"/>
      <c r="SNA31" s="65"/>
      <c r="SNB31" s="65"/>
      <c r="SNC31" s="65"/>
      <c r="SND31" s="65"/>
      <c r="SNE31" s="65"/>
      <c r="SNF31" s="65"/>
      <c r="SNG31" s="65"/>
      <c r="SNH31" s="65"/>
      <c r="SNI31" s="65"/>
      <c r="SNJ31" s="65"/>
      <c r="SNK31" s="65"/>
      <c r="SNL31" s="65"/>
      <c r="SNM31" s="65"/>
      <c r="SNN31" s="65"/>
      <c r="SNO31" s="65"/>
      <c r="SNP31" s="65"/>
      <c r="SNQ31" s="65"/>
      <c r="SNR31" s="65"/>
      <c r="SNS31" s="65"/>
      <c r="SNT31" s="65"/>
      <c r="SNU31" s="65"/>
      <c r="SNV31" s="65"/>
      <c r="SNW31" s="65"/>
      <c r="SNX31" s="65"/>
      <c r="SNY31" s="65"/>
      <c r="SNZ31" s="65"/>
      <c r="SOA31" s="65"/>
      <c r="SOB31" s="65"/>
      <c r="SOC31" s="65"/>
      <c r="SOD31" s="65"/>
      <c r="SOE31" s="65"/>
      <c r="SOF31" s="65"/>
      <c r="SOG31" s="65"/>
      <c r="SOH31" s="65"/>
      <c r="SOI31" s="65"/>
      <c r="SOJ31" s="65"/>
      <c r="SOK31" s="65"/>
      <c r="SOL31" s="65"/>
      <c r="SOM31" s="65"/>
      <c r="SON31" s="65"/>
      <c r="SOO31" s="65"/>
      <c r="SOP31" s="65"/>
      <c r="SOQ31" s="65"/>
      <c r="SOR31" s="65"/>
      <c r="SOS31" s="65"/>
      <c r="SOT31" s="65"/>
      <c r="SOU31" s="65"/>
      <c r="SOV31" s="65"/>
      <c r="SOW31" s="65"/>
      <c r="SOX31" s="65"/>
      <c r="SOY31" s="65"/>
      <c r="SOZ31" s="65"/>
      <c r="SPA31" s="65"/>
      <c r="SPB31" s="65"/>
      <c r="SPC31" s="65"/>
      <c r="SPD31" s="65"/>
      <c r="SPE31" s="65"/>
      <c r="SPF31" s="65"/>
      <c r="SPG31" s="65"/>
      <c r="SPH31" s="65"/>
      <c r="SPI31" s="65"/>
      <c r="SPJ31" s="65"/>
      <c r="SPK31" s="65"/>
      <c r="SPL31" s="65"/>
      <c r="SPM31" s="65"/>
      <c r="SPN31" s="65"/>
      <c r="SPO31" s="65"/>
      <c r="SPP31" s="65"/>
      <c r="SPQ31" s="65"/>
      <c r="SPR31" s="65"/>
      <c r="SPS31" s="65"/>
      <c r="SPT31" s="65"/>
      <c r="SPU31" s="65"/>
      <c r="SPV31" s="65"/>
      <c r="SPW31" s="65"/>
      <c r="SPX31" s="65"/>
      <c r="SPY31" s="65"/>
      <c r="SPZ31" s="65"/>
      <c r="SQA31" s="65"/>
      <c r="SQB31" s="65"/>
      <c r="SQC31" s="65"/>
      <c r="SQD31" s="65"/>
      <c r="SQE31" s="65"/>
      <c r="SQF31" s="65"/>
      <c r="SQG31" s="65"/>
      <c r="SQH31" s="65"/>
      <c r="SQI31" s="65"/>
      <c r="SQJ31" s="65"/>
      <c r="SQK31" s="65"/>
      <c r="SQL31" s="65"/>
      <c r="SQM31" s="65"/>
      <c r="SQN31" s="65"/>
      <c r="SQO31" s="65"/>
      <c r="SQP31" s="65"/>
      <c r="SQQ31" s="65"/>
      <c r="SQR31" s="65"/>
      <c r="SQS31" s="65"/>
      <c r="SQT31" s="65"/>
      <c r="SQU31" s="65"/>
      <c r="SQV31" s="65"/>
      <c r="SQW31" s="65"/>
      <c r="SQX31" s="65"/>
      <c r="SQY31" s="65"/>
      <c r="SQZ31" s="65"/>
      <c r="SRA31" s="65"/>
      <c r="SRB31" s="65"/>
      <c r="SRC31" s="65"/>
      <c r="SRD31" s="65"/>
      <c r="SRE31" s="65"/>
      <c r="SRF31" s="65"/>
      <c r="SRG31" s="65"/>
      <c r="SRH31" s="65"/>
      <c r="SRI31" s="65"/>
      <c r="SRJ31" s="65"/>
      <c r="SRK31" s="65"/>
      <c r="SRL31" s="65"/>
      <c r="SRM31" s="65"/>
      <c r="SRN31" s="65"/>
      <c r="SRO31" s="65"/>
      <c r="SRP31" s="65"/>
      <c r="SRQ31" s="65"/>
      <c r="SRR31" s="65"/>
      <c r="SRS31" s="65"/>
      <c r="SRT31" s="65"/>
      <c r="SRU31" s="65"/>
      <c r="SRV31" s="65"/>
      <c r="SRW31" s="65"/>
      <c r="SRX31" s="65"/>
      <c r="SRY31" s="65"/>
      <c r="SRZ31" s="65"/>
      <c r="SSA31" s="65"/>
      <c r="SSB31" s="65"/>
      <c r="SSC31" s="65"/>
      <c r="SSD31" s="65"/>
      <c r="SSE31" s="65"/>
      <c r="SSF31" s="65"/>
      <c r="SSG31" s="65"/>
      <c r="SSH31" s="65"/>
      <c r="SSI31" s="65"/>
      <c r="SSJ31" s="65"/>
      <c r="SSK31" s="65"/>
      <c r="SSL31" s="65"/>
      <c r="SSM31" s="65"/>
      <c r="SSN31" s="65"/>
      <c r="SSO31" s="65"/>
      <c r="SSP31" s="65"/>
      <c r="SSQ31" s="65"/>
      <c r="SSR31" s="65"/>
      <c r="SSS31" s="65"/>
      <c r="SST31" s="65"/>
      <c r="SSU31" s="65"/>
      <c r="SSV31" s="65"/>
      <c r="SSW31" s="65"/>
      <c r="SSX31" s="65"/>
      <c r="SSY31" s="65"/>
      <c r="SSZ31" s="65"/>
      <c r="STA31" s="65"/>
      <c r="STB31" s="65"/>
      <c r="STC31" s="65"/>
      <c r="STD31" s="65"/>
      <c r="STE31" s="65"/>
      <c r="STF31" s="65"/>
      <c r="STG31" s="65"/>
      <c r="STH31" s="65"/>
      <c r="STI31" s="65"/>
      <c r="STJ31" s="65"/>
      <c r="STK31" s="65"/>
      <c r="STL31" s="65"/>
      <c r="STM31" s="65"/>
      <c r="STN31" s="65"/>
      <c r="STO31" s="65"/>
      <c r="STP31" s="65"/>
      <c r="STQ31" s="65"/>
      <c r="STR31" s="65"/>
      <c r="STS31" s="65"/>
      <c r="STT31" s="65"/>
      <c r="STU31" s="65"/>
      <c r="STV31" s="65"/>
      <c r="STW31" s="65"/>
      <c r="STX31" s="65"/>
      <c r="STY31" s="65"/>
      <c r="STZ31" s="65"/>
      <c r="SUA31" s="65"/>
      <c r="SUB31" s="65"/>
      <c r="SUC31" s="65"/>
      <c r="SUD31" s="65"/>
      <c r="SUE31" s="65"/>
      <c r="SUF31" s="65"/>
      <c r="SUG31" s="65"/>
      <c r="SUH31" s="65"/>
      <c r="SUI31" s="65"/>
      <c r="SUJ31" s="65"/>
      <c r="SUK31" s="65"/>
      <c r="SUL31" s="65"/>
      <c r="SUM31" s="65"/>
      <c r="SUN31" s="65"/>
      <c r="SUO31" s="65"/>
      <c r="SUP31" s="65"/>
      <c r="SUQ31" s="65"/>
      <c r="SUR31" s="65"/>
      <c r="SUS31" s="65"/>
      <c r="SUT31" s="65"/>
      <c r="SUU31" s="65"/>
      <c r="SUV31" s="65"/>
      <c r="SUW31" s="65"/>
      <c r="SUX31" s="65"/>
      <c r="SUY31" s="65"/>
      <c r="SUZ31" s="65"/>
      <c r="SVA31" s="65"/>
      <c r="SVB31" s="65"/>
      <c r="SVC31" s="65"/>
      <c r="SVD31" s="65"/>
      <c r="SVE31" s="65"/>
      <c r="SVF31" s="65"/>
      <c r="SVG31" s="65"/>
      <c r="SVH31" s="65"/>
      <c r="SVI31" s="65"/>
      <c r="SVJ31" s="65"/>
      <c r="SVK31" s="65"/>
      <c r="SVL31" s="65"/>
      <c r="SVM31" s="65"/>
      <c r="SVN31" s="65"/>
      <c r="SVO31" s="65"/>
      <c r="SVP31" s="65"/>
      <c r="SVQ31" s="65"/>
      <c r="SVR31" s="65"/>
      <c r="SVS31" s="65"/>
      <c r="SVT31" s="65"/>
      <c r="SVU31" s="65"/>
      <c r="SVV31" s="65"/>
      <c r="SVW31" s="65"/>
      <c r="SVX31" s="65"/>
      <c r="SVY31" s="65"/>
      <c r="SVZ31" s="65"/>
      <c r="SWA31" s="65"/>
      <c r="SWB31" s="65"/>
      <c r="SWC31" s="65"/>
      <c r="SWD31" s="65"/>
      <c r="SWE31" s="65"/>
      <c r="SWF31" s="65"/>
      <c r="SWG31" s="65"/>
      <c r="SWH31" s="65"/>
      <c r="SWI31" s="65"/>
      <c r="SWJ31" s="65"/>
      <c r="SWK31" s="65"/>
      <c r="SWL31" s="65"/>
      <c r="SWM31" s="65"/>
      <c r="SWN31" s="65"/>
      <c r="SWO31" s="65"/>
      <c r="SWP31" s="65"/>
      <c r="SWQ31" s="65"/>
      <c r="SWR31" s="65"/>
      <c r="SWS31" s="65"/>
      <c r="SWT31" s="65"/>
      <c r="SWU31" s="65"/>
      <c r="SWV31" s="65"/>
      <c r="SWW31" s="65"/>
      <c r="SWX31" s="65"/>
      <c r="SWY31" s="65"/>
      <c r="SWZ31" s="65"/>
      <c r="SXA31" s="65"/>
      <c r="SXB31" s="65"/>
      <c r="SXC31" s="65"/>
      <c r="SXD31" s="65"/>
      <c r="SXE31" s="65"/>
      <c r="SXF31" s="65"/>
      <c r="SXG31" s="65"/>
      <c r="SXH31" s="65"/>
      <c r="SXI31" s="65"/>
      <c r="SXJ31" s="65"/>
      <c r="SXK31" s="65"/>
      <c r="SXL31" s="65"/>
      <c r="SXM31" s="65"/>
      <c r="SXN31" s="65"/>
      <c r="SXO31" s="65"/>
      <c r="SXP31" s="65"/>
      <c r="SXQ31" s="65"/>
      <c r="SXR31" s="65"/>
      <c r="SXS31" s="65"/>
      <c r="SXT31" s="65"/>
      <c r="SXU31" s="65"/>
      <c r="SXV31" s="65"/>
      <c r="SXW31" s="65"/>
      <c r="SXX31" s="65"/>
      <c r="SXY31" s="65"/>
      <c r="SXZ31" s="65"/>
      <c r="SYA31" s="65"/>
      <c r="SYB31" s="65"/>
      <c r="SYC31" s="65"/>
      <c r="SYD31" s="65"/>
      <c r="SYE31" s="65"/>
      <c r="SYF31" s="65"/>
      <c r="SYG31" s="65"/>
      <c r="SYH31" s="65"/>
      <c r="SYI31" s="65"/>
      <c r="SYJ31" s="65"/>
      <c r="SYK31" s="65"/>
      <c r="SYL31" s="65"/>
      <c r="SYM31" s="65"/>
      <c r="SYN31" s="65"/>
      <c r="SYO31" s="65"/>
      <c r="SYP31" s="65"/>
      <c r="SYQ31" s="65"/>
      <c r="SYR31" s="65"/>
      <c r="SYS31" s="65"/>
      <c r="SYT31" s="65"/>
      <c r="SYU31" s="65"/>
      <c r="SYV31" s="65"/>
      <c r="SYW31" s="65"/>
      <c r="SYX31" s="65"/>
      <c r="SYY31" s="65"/>
      <c r="SYZ31" s="65"/>
      <c r="SZA31" s="65"/>
      <c r="SZB31" s="65"/>
      <c r="SZC31" s="65"/>
      <c r="SZD31" s="65"/>
      <c r="SZE31" s="65"/>
      <c r="SZF31" s="65"/>
      <c r="SZG31" s="65"/>
      <c r="SZH31" s="65"/>
      <c r="SZI31" s="65"/>
      <c r="SZJ31" s="65"/>
      <c r="SZK31" s="65"/>
      <c r="SZL31" s="65"/>
      <c r="SZM31" s="65"/>
      <c r="SZN31" s="65"/>
      <c r="SZO31" s="65"/>
      <c r="SZP31" s="65"/>
      <c r="SZQ31" s="65"/>
      <c r="SZR31" s="65"/>
      <c r="SZS31" s="65"/>
      <c r="SZT31" s="65"/>
      <c r="SZU31" s="65"/>
      <c r="SZV31" s="65"/>
      <c r="SZW31" s="65"/>
      <c r="SZX31" s="65"/>
      <c r="SZY31" s="65"/>
      <c r="SZZ31" s="65"/>
      <c r="TAA31" s="65"/>
      <c r="TAB31" s="65"/>
      <c r="TAC31" s="65"/>
      <c r="TAD31" s="65"/>
      <c r="TAE31" s="65"/>
      <c r="TAF31" s="65"/>
      <c r="TAG31" s="65"/>
      <c r="TAH31" s="65"/>
      <c r="TAI31" s="65"/>
      <c r="TAJ31" s="65"/>
      <c r="TAK31" s="65"/>
      <c r="TAL31" s="65"/>
      <c r="TAM31" s="65"/>
      <c r="TAN31" s="65"/>
      <c r="TAO31" s="65"/>
      <c r="TAP31" s="65"/>
      <c r="TAQ31" s="65"/>
      <c r="TAR31" s="65"/>
      <c r="TAS31" s="65"/>
      <c r="TAT31" s="65"/>
      <c r="TAU31" s="65"/>
      <c r="TAV31" s="65"/>
      <c r="TAW31" s="65"/>
      <c r="TAX31" s="65"/>
      <c r="TAY31" s="65"/>
      <c r="TAZ31" s="65"/>
      <c r="TBA31" s="65"/>
      <c r="TBB31" s="65"/>
      <c r="TBC31" s="65"/>
      <c r="TBD31" s="65"/>
      <c r="TBE31" s="65"/>
      <c r="TBF31" s="65"/>
      <c r="TBG31" s="65"/>
      <c r="TBH31" s="65"/>
      <c r="TBI31" s="65"/>
      <c r="TBJ31" s="65"/>
      <c r="TBK31" s="65"/>
      <c r="TBL31" s="65"/>
      <c r="TBM31" s="65"/>
      <c r="TBN31" s="65"/>
      <c r="TBO31" s="65"/>
      <c r="TBP31" s="65"/>
      <c r="TBQ31" s="65"/>
      <c r="TBR31" s="65"/>
      <c r="TBS31" s="65"/>
      <c r="TBT31" s="65"/>
      <c r="TBU31" s="65"/>
      <c r="TBV31" s="65"/>
      <c r="TBW31" s="65"/>
      <c r="TBX31" s="65"/>
      <c r="TBY31" s="65"/>
      <c r="TBZ31" s="65"/>
      <c r="TCA31" s="65"/>
      <c r="TCB31" s="65"/>
      <c r="TCC31" s="65"/>
      <c r="TCD31" s="65"/>
      <c r="TCE31" s="65"/>
      <c r="TCF31" s="65"/>
      <c r="TCG31" s="65"/>
      <c r="TCH31" s="65"/>
      <c r="TCI31" s="65"/>
      <c r="TCJ31" s="65"/>
      <c r="TCK31" s="65"/>
      <c r="TCL31" s="65"/>
      <c r="TCM31" s="65"/>
      <c r="TCN31" s="65"/>
      <c r="TCO31" s="65"/>
      <c r="TCP31" s="65"/>
      <c r="TCQ31" s="65"/>
      <c r="TCR31" s="65"/>
      <c r="TCS31" s="65"/>
      <c r="TCT31" s="65"/>
      <c r="TCU31" s="65"/>
      <c r="TCV31" s="65"/>
      <c r="TCW31" s="65"/>
      <c r="TCX31" s="65"/>
      <c r="TCY31" s="65"/>
      <c r="TCZ31" s="65"/>
      <c r="TDA31" s="65"/>
      <c r="TDB31" s="65"/>
      <c r="TDC31" s="65"/>
      <c r="TDD31" s="65"/>
      <c r="TDE31" s="65"/>
      <c r="TDF31" s="65"/>
      <c r="TDG31" s="65"/>
      <c r="TDH31" s="65"/>
      <c r="TDI31" s="65"/>
      <c r="TDJ31" s="65"/>
      <c r="TDK31" s="65"/>
      <c r="TDL31" s="65"/>
      <c r="TDM31" s="65"/>
      <c r="TDN31" s="65"/>
      <c r="TDO31" s="65"/>
      <c r="TDP31" s="65"/>
      <c r="TDQ31" s="65"/>
      <c r="TDR31" s="65"/>
      <c r="TDS31" s="65"/>
      <c r="TDT31" s="65"/>
      <c r="TDU31" s="65"/>
      <c r="TDV31" s="65"/>
      <c r="TDW31" s="65"/>
      <c r="TDX31" s="65"/>
      <c r="TDY31" s="65"/>
      <c r="TDZ31" s="65"/>
      <c r="TEA31" s="65"/>
      <c r="TEB31" s="65"/>
      <c r="TEC31" s="65"/>
      <c r="TED31" s="65"/>
      <c r="TEE31" s="65"/>
      <c r="TEF31" s="65"/>
      <c r="TEG31" s="65"/>
      <c r="TEH31" s="65"/>
      <c r="TEI31" s="65"/>
      <c r="TEJ31" s="65"/>
      <c r="TEK31" s="65"/>
      <c r="TEL31" s="65"/>
      <c r="TEM31" s="65"/>
      <c r="TEN31" s="65"/>
      <c r="TEO31" s="65"/>
      <c r="TEP31" s="65"/>
      <c r="TEQ31" s="65"/>
      <c r="TER31" s="65"/>
      <c r="TES31" s="65"/>
      <c r="TET31" s="65"/>
      <c r="TEU31" s="65"/>
      <c r="TEV31" s="65"/>
      <c r="TEW31" s="65"/>
      <c r="TEX31" s="65"/>
      <c r="TEY31" s="65"/>
      <c r="TEZ31" s="65"/>
      <c r="TFA31" s="65"/>
      <c r="TFB31" s="65"/>
      <c r="TFC31" s="65"/>
      <c r="TFD31" s="65"/>
      <c r="TFE31" s="65"/>
      <c r="TFF31" s="65"/>
      <c r="TFG31" s="65"/>
      <c r="TFH31" s="65"/>
      <c r="TFI31" s="65"/>
      <c r="TFJ31" s="65"/>
      <c r="TFK31" s="65"/>
      <c r="TFL31" s="65"/>
      <c r="TFM31" s="65"/>
      <c r="TFN31" s="65"/>
      <c r="TFO31" s="65"/>
      <c r="TFP31" s="65"/>
      <c r="TFQ31" s="65"/>
      <c r="TFR31" s="65"/>
      <c r="TFS31" s="65"/>
      <c r="TFT31" s="65"/>
      <c r="TFU31" s="65"/>
      <c r="TFV31" s="65"/>
      <c r="TFW31" s="65"/>
      <c r="TFX31" s="65"/>
      <c r="TFY31" s="65"/>
      <c r="TFZ31" s="65"/>
      <c r="TGA31" s="65"/>
      <c r="TGB31" s="65"/>
      <c r="TGC31" s="65"/>
      <c r="TGD31" s="65"/>
      <c r="TGE31" s="65"/>
      <c r="TGF31" s="65"/>
      <c r="TGG31" s="65"/>
      <c r="TGH31" s="65"/>
      <c r="TGI31" s="65"/>
      <c r="TGJ31" s="65"/>
      <c r="TGK31" s="65"/>
      <c r="TGL31" s="65"/>
      <c r="TGM31" s="65"/>
      <c r="TGN31" s="65"/>
      <c r="TGO31" s="65"/>
      <c r="TGP31" s="65"/>
      <c r="TGQ31" s="65"/>
      <c r="TGR31" s="65"/>
      <c r="TGS31" s="65"/>
      <c r="TGT31" s="65"/>
      <c r="TGU31" s="65"/>
      <c r="TGV31" s="65"/>
      <c r="TGW31" s="65"/>
      <c r="TGX31" s="65"/>
      <c r="TGY31" s="65"/>
      <c r="TGZ31" s="65"/>
      <c r="THA31" s="65"/>
      <c r="THB31" s="65"/>
      <c r="THC31" s="65"/>
      <c r="THD31" s="65"/>
      <c r="THE31" s="65"/>
      <c r="THF31" s="65"/>
      <c r="THG31" s="65"/>
      <c r="THH31" s="65"/>
      <c r="THI31" s="65"/>
      <c r="THJ31" s="65"/>
      <c r="THK31" s="65"/>
      <c r="THL31" s="65"/>
      <c r="THM31" s="65"/>
      <c r="THN31" s="65"/>
      <c r="THO31" s="65"/>
      <c r="THP31" s="65"/>
      <c r="THQ31" s="65"/>
      <c r="THR31" s="65"/>
      <c r="THS31" s="65"/>
      <c r="THT31" s="65"/>
      <c r="THU31" s="65"/>
      <c r="THV31" s="65"/>
      <c r="THW31" s="65"/>
      <c r="THX31" s="65"/>
      <c r="THY31" s="65"/>
      <c r="THZ31" s="65"/>
      <c r="TIA31" s="65"/>
      <c r="TIB31" s="65"/>
      <c r="TIC31" s="65"/>
      <c r="TID31" s="65"/>
      <c r="TIE31" s="65"/>
      <c r="TIF31" s="65"/>
      <c r="TIG31" s="65"/>
      <c r="TIH31" s="65"/>
      <c r="TII31" s="65"/>
      <c r="TIJ31" s="65"/>
      <c r="TIK31" s="65"/>
      <c r="TIL31" s="65"/>
      <c r="TIM31" s="65"/>
      <c r="TIN31" s="65"/>
      <c r="TIO31" s="65"/>
      <c r="TIP31" s="65"/>
      <c r="TIQ31" s="65"/>
      <c r="TIR31" s="65"/>
      <c r="TIS31" s="65"/>
      <c r="TIT31" s="65"/>
      <c r="TIU31" s="65"/>
      <c r="TIV31" s="65"/>
      <c r="TIW31" s="65"/>
      <c r="TIX31" s="65"/>
      <c r="TIY31" s="65"/>
      <c r="TIZ31" s="65"/>
      <c r="TJA31" s="65"/>
      <c r="TJB31" s="65"/>
      <c r="TJC31" s="65"/>
      <c r="TJD31" s="65"/>
      <c r="TJE31" s="65"/>
      <c r="TJF31" s="65"/>
      <c r="TJG31" s="65"/>
      <c r="TJH31" s="65"/>
      <c r="TJI31" s="65"/>
      <c r="TJJ31" s="65"/>
      <c r="TJK31" s="65"/>
      <c r="TJL31" s="65"/>
      <c r="TJM31" s="65"/>
      <c r="TJN31" s="65"/>
      <c r="TJO31" s="65"/>
      <c r="TJP31" s="65"/>
      <c r="TJQ31" s="65"/>
      <c r="TJR31" s="65"/>
      <c r="TJS31" s="65"/>
      <c r="TJT31" s="65"/>
      <c r="TJU31" s="65"/>
      <c r="TJV31" s="65"/>
      <c r="TJW31" s="65"/>
      <c r="TJX31" s="65"/>
      <c r="TJY31" s="65"/>
      <c r="TJZ31" s="65"/>
      <c r="TKA31" s="65"/>
      <c r="TKB31" s="65"/>
      <c r="TKC31" s="65"/>
      <c r="TKD31" s="65"/>
      <c r="TKE31" s="65"/>
      <c r="TKF31" s="65"/>
      <c r="TKG31" s="65"/>
      <c r="TKH31" s="65"/>
      <c r="TKI31" s="65"/>
      <c r="TKJ31" s="65"/>
      <c r="TKK31" s="65"/>
      <c r="TKL31" s="65"/>
      <c r="TKM31" s="65"/>
      <c r="TKN31" s="65"/>
      <c r="TKO31" s="65"/>
      <c r="TKP31" s="65"/>
      <c r="TKQ31" s="65"/>
      <c r="TKR31" s="65"/>
      <c r="TKS31" s="65"/>
      <c r="TKT31" s="65"/>
      <c r="TKU31" s="65"/>
      <c r="TKV31" s="65"/>
      <c r="TKW31" s="65"/>
      <c r="TKX31" s="65"/>
      <c r="TKY31" s="65"/>
      <c r="TKZ31" s="65"/>
      <c r="TLA31" s="65"/>
      <c r="TLB31" s="65"/>
      <c r="TLC31" s="65"/>
      <c r="TLD31" s="65"/>
      <c r="TLE31" s="65"/>
      <c r="TLF31" s="65"/>
      <c r="TLG31" s="65"/>
      <c r="TLH31" s="65"/>
      <c r="TLI31" s="65"/>
      <c r="TLJ31" s="65"/>
      <c r="TLK31" s="65"/>
      <c r="TLL31" s="65"/>
      <c r="TLM31" s="65"/>
      <c r="TLN31" s="65"/>
      <c r="TLO31" s="65"/>
      <c r="TLP31" s="65"/>
      <c r="TLQ31" s="65"/>
      <c r="TLR31" s="65"/>
      <c r="TLS31" s="65"/>
      <c r="TLT31" s="65"/>
      <c r="TLU31" s="65"/>
      <c r="TLV31" s="65"/>
      <c r="TLW31" s="65"/>
      <c r="TLX31" s="65"/>
      <c r="TLY31" s="65"/>
      <c r="TLZ31" s="65"/>
      <c r="TMA31" s="65"/>
      <c r="TMB31" s="65"/>
      <c r="TMC31" s="65"/>
      <c r="TMD31" s="65"/>
      <c r="TME31" s="65"/>
      <c r="TMF31" s="65"/>
      <c r="TMG31" s="65"/>
      <c r="TMH31" s="65"/>
      <c r="TMI31" s="65"/>
      <c r="TMJ31" s="65"/>
      <c r="TMK31" s="65"/>
      <c r="TML31" s="65"/>
      <c r="TMM31" s="65"/>
      <c r="TMN31" s="65"/>
      <c r="TMO31" s="65"/>
      <c r="TMP31" s="65"/>
      <c r="TMQ31" s="65"/>
      <c r="TMR31" s="65"/>
      <c r="TMS31" s="65"/>
      <c r="TMT31" s="65"/>
      <c r="TMU31" s="65"/>
      <c r="TMV31" s="65"/>
      <c r="TMW31" s="65"/>
      <c r="TMX31" s="65"/>
      <c r="TMY31" s="65"/>
      <c r="TMZ31" s="65"/>
      <c r="TNA31" s="65"/>
      <c r="TNB31" s="65"/>
      <c r="TNC31" s="65"/>
      <c r="TND31" s="65"/>
      <c r="TNE31" s="65"/>
      <c r="TNF31" s="65"/>
      <c r="TNG31" s="65"/>
      <c r="TNH31" s="65"/>
      <c r="TNI31" s="65"/>
      <c r="TNJ31" s="65"/>
      <c r="TNK31" s="65"/>
      <c r="TNL31" s="65"/>
      <c r="TNM31" s="65"/>
      <c r="TNN31" s="65"/>
      <c r="TNO31" s="65"/>
      <c r="TNP31" s="65"/>
      <c r="TNQ31" s="65"/>
      <c r="TNR31" s="65"/>
      <c r="TNS31" s="65"/>
      <c r="TNT31" s="65"/>
      <c r="TNU31" s="65"/>
      <c r="TNV31" s="65"/>
      <c r="TNW31" s="65"/>
      <c r="TNX31" s="65"/>
      <c r="TNY31" s="65"/>
      <c r="TNZ31" s="65"/>
      <c r="TOA31" s="65"/>
      <c r="TOB31" s="65"/>
      <c r="TOC31" s="65"/>
      <c r="TOD31" s="65"/>
      <c r="TOE31" s="65"/>
      <c r="TOF31" s="65"/>
      <c r="TOG31" s="65"/>
      <c r="TOH31" s="65"/>
      <c r="TOI31" s="65"/>
      <c r="TOJ31" s="65"/>
      <c r="TOK31" s="65"/>
      <c r="TOL31" s="65"/>
      <c r="TOM31" s="65"/>
      <c r="TON31" s="65"/>
      <c r="TOO31" s="65"/>
      <c r="TOP31" s="65"/>
      <c r="TOQ31" s="65"/>
      <c r="TOR31" s="65"/>
      <c r="TOS31" s="65"/>
      <c r="TOT31" s="65"/>
      <c r="TOU31" s="65"/>
      <c r="TOV31" s="65"/>
      <c r="TOW31" s="65"/>
      <c r="TOX31" s="65"/>
      <c r="TOY31" s="65"/>
      <c r="TOZ31" s="65"/>
      <c r="TPA31" s="65"/>
      <c r="TPB31" s="65"/>
      <c r="TPC31" s="65"/>
      <c r="TPD31" s="65"/>
      <c r="TPE31" s="65"/>
      <c r="TPF31" s="65"/>
      <c r="TPG31" s="65"/>
      <c r="TPH31" s="65"/>
      <c r="TPI31" s="65"/>
      <c r="TPJ31" s="65"/>
      <c r="TPK31" s="65"/>
      <c r="TPL31" s="65"/>
      <c r="TPM31" s="65"/>
      <c r="TPN31" s="65"/>
      <c r="TPO31" s="65"/>
      <c r="TPP31" s="65"/>
      <c r="TPQ31" s="65"/>
      <c r="TPR31" s="65"/>
      <c r="TPS31" s="65"/>
      <c r="TPT31" s="65"/>
      <c r="TPU31" s="65"/>
      <c r="TPV31" s="65"/>
      <c r="TPW31" s="65"/>
      <c r="TPX31" s="65"/>
      <c r="TPY31" s="65"/>
      <c r="TPZ31" s="65"/>
      <c r="TQA31" s="65"/>
      <c r="TQB31" s="65"/>
      <c r="TQC31" s="65"/>
      <c r="TQD31" s="65"/>
      <c r="TQE31" s="65"/>
      <c r="TQF31" s="65"/>
      <c r="TQG31" s="65"/>
      <c r="TQH31" s="65"/>
      <c r="TQI31" s="65"/>
      <c r="TQJ31" s="65"/>
      <c r="TQK31" s="65"/>
      <c r="TQL31" s="65"/>
      <c r="TQM31" s="65"/>
      <c r="TQN31" s="65"/>
      <c r="TQO31" s="65"/>
      <c r="TQP31" s="65"/>
      <c r="TQQ31" s="65"/>
      <c r="TQR31" s="65"/>
      <c r="TQS31" s="65"/>
      <c r="TQT31" s="65"/>
      <c r="TQU31" s="65"/>
      <c r="TQV31" s="65"/>
      <c r="TQW31" s="65"/>
      <c r="TQX31" s="65"/>
      <c r="TQY31" s="65"/>
      <c r="TQZ31" s="65"/>
      <c r="TRA31" s="65"/>
      <c r="TRB31" s="65"/>
      <c r="TRC31" s="65"/>
      <c r="TRD31" s="65"/>
      <c r="TRE31" s="65"/>
      <c r="TRF31" s="65"/>
      <c r="TRG31" s="65"/>
      <c r="TRH31" s="65"/>
      <c r="TRI31" s="65"/>
      <c r="TRJ31" s="65"/>
      <c r="TRK31" s="65"/>
      <c r="TRL31" s="65"/>
      <c r="TRM31" s="65"/>
      <c r="TRN31" s="65"/>
      <c r="TRO31" s="65"/>
      <c r="TRP31" s="65"/>
      <c r="TRQ31" s="65"/>
      <c r="TRR31" s="65"/>
      <c r="TRS31" s="65"/>
      <c r="TRT31" s="65"/>
      <c r="TRU31" s="65"/>
      <c r="TRV31" s="65"/>
      <c r="TRW31" s="65"/>
      <c r="TRX31" s="65"/>
      <c r="TRY31" s="65"/>
      <c r="TRZ31" s="65"/>
      <c r="TSA31" s="65"/>
      <c r="TSB31" s="65"/>
      <c r="TSC31" s="65"/>
      <c r="TSD31" s="65"/>
      <c r="TSE31" s="65"/>
      <c r="TSF31" s="65"/>
      <c r="TSG31" s="65"/>
      <c r="TSH31" s="65"/>
      <c r="TSI31" s="65"/>
      <c r="TSJ31" s="65"/>
      <c r="TSK31" s="65"/>
      <c r="TSL31" s="65"/>
      <c r="TSM31" s="65"/>
      <c r="TSN31" s="65"/>
      <c r="TSO31" s="65"/>
      <c r="TSP31" s="65"/>
      <c r="TSQ31" s="65"/>
      <c r="TSR31" s="65"/>
      <c r="TSS31" s="65"/>
      <c r="TST31" s="65"/>
      <c r="TSU31" s="65"/>
      <c r="TSV31" s="65"/>
      <c r="TSW31" s="65"/>
      <c r="TSX31" s="65"/>
      <c r="TSY31" s="65"/>
      <c r="TSZ31" s="65"/>
      <c r="TTA31" s="65"/>
      <c r="TTB31" s="65"/>
      <c r="TTC31" s="65"/>
      <c r="TTD31" s="65"/>
      <c r="TTE31" s="65"/>
      <c r="TTF31" s="65"/>
      <c r="TTG31" s="65"/>
      <c r="TTH31" s="65"/>
      <c r="TTI31" s="65"/>
      <c r="TTJ31" s="65"/>
      <c r="TTK31" s="65"/>
      <c r="TTL31" s="65"/>
      <c r="TTM31" s="65"/>
      <c r="TTN31" s="65"/>
      <c r="TTO31" s="65"/>
      <c r="TTP31" s="65"/>
      <c r="TTQ31" s="65"/>
      <c r="TTR31" s="65"/>
      <c r="TTS31" s="65"/>
      <c r="TTT31" s="65"/>
      <c r="TTU31" s="65"/>
      <c r="TTV31" s="65"/>
      <c r="TTW31" s="65"/>
      <c r="TTX31" s="65"/>
      <c r="TTY31" s="65"/>
      <c r="TTZ31" s="65"/>
      <c r="TUA31" s="65"/>
      <c r="TUB31" s="65"/>
      <c r="TUC31" s="65"/>
      <c r="TUD31" s="65"/>
      <c r="TUE31" s="65"/>
      <c r="TUF31" s="65"/>
      <c r="TUG31" s="65"/>
      <c r="TUH31" s="65"/>
      <c r="TUI31" s="65"/>
      <c r="TUJ31" s="65"/>
      <c r="TUK31" s="65"/>
      <c r="TUL31" s="65"/>
      <c r="TUM31" s="65"/>
      <c r="TUN31" s="65"/>
      <c r="TUO31" s="65"/>
      <c r="TUP31" s="65"/>
      <c r="TUQ31" s="65"/>
      <c r="TUR31" s="65"/>
      <c r="TUS31" s="65"/>
      <c r="TUT31" s="65"/>
      <c r="TUU31" s="65"/>
      <c r="TUV31" s="65"/>
      <c r="TUW31" s="65"/>
      <c r="TUX31" s="65"/>
      <c r="TUY31" s="65"/>
      <c r="TUZ31" s="65"/>
      <c r="TVA31" s="65"/>
      <c r="TVB31" s="65"/>
      <c r="TVC31" s="65"/>
      <c r="TVD31" s="65"/>
      <c r="TVE31" s="65"/>
      <c r="TVF31" s="65"/>
      <c r="TVG31" s="65"/>
      <c r="TVH31" s="65"/>
      <c r="TVI31" s="65"/>
      <c r="TVJ31" s="65"/>
      <c r="TVK31" s="65"/>
      <c r="TVL31" s="65"/>
      <c r="TVM31" s="65"/>
      <c r="TVN31" s="65"/>
      <c r="TVO31" s="65"/>
      <c r="TVP31" s="65"/>
      <c r="TVQ31" s="65"/>
      <c r="TVR31" s="65"/>
      <c r="TVS31" s="65"/>
      <c r="TVT31" s="65"/>
      <c r="TVU31" s="65"/>
      <c r="TVV31" s="65"/>
      <c r="TVW31" s="65"/>
      <c r="TVX31" s="65"/>
      <c r="TVY31" s="65"/>
      <c r="TVZ31" s="65"/>
      <c r="TWA31" s="65"/>
      <c r="TWB31" s="65"/>
      <c r="TWC31" s="65"/>
      <c r="TWD31" s="65"/>
      <c r="TWE31" s="65"/>
      <c r="TWF31" s="65"/>
      <c r="TWG31" s="65"/>
      <c r="TWH31" s="65"/>
      <c r="TWI31" s="65"/>
      <c r="TWJ31" s="65"/>
      <c r="TWK31" s="65"/>
      <c r="TWL31" s="65"/>
      <c r="TWM31" s="65"/>
      <c r="TWN31" s="65"/>
      <c r="TWO31" s="65"/>
      <c r="TWP31" s="65"/>
      <c r="TWQ31" s="65"/>
      <c r="TWR31" s="65"/>
      <c r="TWS31" s="65"/>
      <c r="TWT31" s="65"/>
      <c r="TWU31" s="65"/>
      <c r="TWV31" s="65"/>
      <c r="TWW31" s="65"/>
      <c r="TWX31" s="65"/>
      <c r="TWY31" s="65"/>
      <c r="TWZ31" s="65"/>
      <c r="TXA31" s="65"/>
      <c r="TXB31" s="65"/>
      <c r="TXC31" s="65"/>
      <c r="TXD31" s="65"/>
      <c r="TXE31" s="65"/>
      <c r="TXF31" s="65"/>
      <c r="TXG31" s="65"/>
      <c r="TXH31" s="65"/>
      <c r="TXI31" s="65"/>
      <c r="TXJ31" s="65"/>
      <c r="TXK31" s="65"/>
      <c r="TXL31" s="65"/>
      <c r="TXM31" s="65"/>
      <c r="TXN31" s="65"/>
      <c r="TXO31" s="65"/>
      <c r="TXP31" s="65"/>
      <c r="TXQ31" s="65"/>
      <c r="TXR31" s="65"/>
      <c r="TXS31" s="65"/>
      <c r="TXT31" s="65"/>
      <c r="TXU31" s="65"/>
      <c r="TXV31" s="65"/>
      <c r="TXW31" s="65"/>
      <c r="TXX31" s="65"/>
      <c r="TXY31" s="65"/>
      <c r="TXZ31" s="65"/>
      <c r="TYA31" s="65"/>
      <c r="TYB31" s="65"/>
      <c r="TYC31" s="65"/>
      <c r="TYD31" s="65"/>
      <c r="TYE31" s="65"/>
      <c r="TYF31" s="65"/>
      <c r="TYG31" s="65"/>
      <c r="TYH31" s="65"/>
      <c r="TYI31" s="65"/>
      <c r="TYJ31" s="65"/>
      <c r="TYK31" s="65"/>
      <c r="TYL31" s="65"/>
      <c r="TYM31" s="65"/>
      <c r="TYN31" s="65"/>
      <c r="TYO31" s="65"/>
      <c r="TYP31" s="65"/>
      <c r="TYQ31" s="65"/>
      <c r="TYR31" s="65"/>
      <c r="TYS31" s="65"/>
      <c r="TYT31" s="65"/>
      <c r="TYU31" s="65"/>
      <c r="TYV31" s="65"/>
      <c r="TYW31" s="65"/>
      <c r="TYX31" s="65"/>
      <c r="TYY31" s="65"/>
      <c r="TYZ31" s="65"/>
      <c r="TZA31" s="65"/>
      <c r="TZB31" s="65"/>
      <c r="TZC31" s="65"/>
      <c r="TZD31" s="65"/>
      <c r="TZE31" s="65"/>
      <c r="TZF31" s="65"/>
      <c r="TZG31" s="65"/>
      <c r="TZH31" s="65"/>
      <c r="TZI31" s="65"/>
      <c r="TZJ31" s="65"/>
      <c r="TZK31" s="65"/>
      <c r="TZL31" s="65"/>
      <c r="TZM31" s="65"/>
      <c r="TZN31" s="65"/>
      <c r="TZO31" s="65"/>
      <c r="TZP31" s="65"/>
      <c r="TZQ31" s="65"/>
      <c r="TZR31" s="65"/>
      <c r="TZS31" s="65"/>
      <c r="TZT31" s="65"/>
      <c r="TZU31" s="65"/>
      <c r="TZV31" s="65"/>
      <c r="TZW31" s="65"/>
      <c r="TZX31" s="65"/>
      <c r="TZY31" s="65"/>
      <c r="TZZ31" s="65"/>
      <c r="UAA31" s="65"/>
      <c r="UAB31" s="65"/>
      <c r="UAC31" s="65"/>
      <c r="UAD31" s="65"/>
      <c r="UAE31" s="65"/>
      <c r="UAF31" s="65"/>
      <c r="UAG31" s="65"/>
      <c r="UAH31" s="65"/>
      <c r="UAI31" s="65"/>
      <c r="UAJ31" s="65"/>
      <c r="UAK31" s="65"/>
      <c r="UAL31" s="65"/>
      <c r="UAM31" s="65"/>
      <c r="UAN31" s="65"/>
      <c r="UAO31" s="65"/>
      <c r="UAP31" s="65"/>
      <c r="UAQ31" s="65"/>
      <c r="UAR31" s="65"/>
      <c r="UAS31" s="65"/>
      <c r="UAT31" s="65"/>
      <c r="UAU31" s="65"/>
      <c r="UAV31" s="65"/>
      <c r="UAW31" s="65"/>
      <c r="UAX31" s="65"/>
      <c r="UAY31" s="65"/>
      <c r="UAZ31" s="65"/>
      <c r="UBA31" s="65"/>
      <c r="UBB31" s="65"/>
      <c r="UBC31" s="65"/>
      <c r="UBD31" s="65"/>
      <c r="UBE31" s="65"/>
      <c r="UBF31" s="65"/>
      <c r="UBG31" s="65"/>
      <c r="UBH31" s="65"/>
      <c r="UBI31" s="65"/>
      <c r="UBJ31" s="65"/>
      <c r="UBK31" s="65"/>
      <c r="UBL31" s="65"/>
      <c r="UBM31" s="65"/>
      <c r="UBN31" s="65"/>
      <c r="UBO31" s="65"/>
      <c r="UBP31" s="65"/>
      <c r="UBQ31" s="65"/>
      <c r="UBR31" s="65"/>
      <c r="UBS31" s="65"/>
      <c r="UBT31" s="65"/>
      <c r="UBU31" s="65"/>
      <c r="UBV31" s="65"/>
      <c r="UBW31" s="65"/>
      <c r="UBX31" s="65"/>
      <c r="UBY31" s="65"/>
      <c r="UBZ31" s="65"/>
      <c r="UCA31" s="65"/>
      <c r="UCB31" s="65"/>
      <c r="UCC31" s="65"/>
      <c r="UCD31" s="65"/>
      <c r="UCE31" s="65"/>
      <c r="UCF31" s="65"/>
      <c r="UCG31" s="65"/>
      <c r="UCH31" s="65"/>
      <c r="UCI31" s="65"/>
      <c r="UCJ31" s="65"/>
      <c r="UCK31" s="65"/>
      <c r="UCL31" s="65"/>
      <c r="UCM31" s="65"/>
      <c r="UCN31" s="65"/>
      <c r="UCO31" s="65"/>
      <c r="UCP31" s="65"/>
      <c r="UCQ31" s="65"/>
      <c r="UCR31" s="65"/>
      <c r="UCS31" s="65"/>
      <c r="UCT31" s="65"/>
      <c r="UCU31" s="65"/>
      <c r="UCV31" s="65"/>
      <c r="UCW31" s="65"/>
      <c r="UCX31" s="65"/>
      <c r="UCY31" s="65"/>
      <c r="UCZ31" s="65"/>
      <c r="UDA31" s="65"/>
      <c r="UDB31" s="65"/>
      <c r="UDC31" s="65"/>
      <c r="UDD31" s="65"/>
      <c r="UDE31" s="65"/>
      <c r="UDF31" s="65"/>
      <c r="UDG31" s="65"/>
      <c r="UDH31" s="65"/>
      <c r="UDI31" s="65"/>
      <c r="UDJ31" s="65"/>
      <c r="UDK31" s="65"/>
      <c r="UDL31" s="65"/>
      <c r="UDM31" s="65"/>
      <c r="UDN31" s="65"/>
      <c r="UDO31" s="65"/>
      <c r="UDP31" s="65"/>
      <c r="UDQ31" s="65"/>
      <c r="UDR31" s="65"/>
      <c r="UDS31" s="65"/>
      <c r="UDT31" s="65"/>
      <c r="UDU31" s="65"/>
      <c r="UDV31" s="65"/>
      <c r="UDW31" s="65"/>
      <c r="UDX31" s="65"/>
      <c r="UDY31" s="65"/>
      <c r="UDZ31" s="65"/>
      <c r="UEA31" s="65"/>
      <c r="UEB31" s="65"/>
      <c r="UEC31" s="65"/>
      <c r="UED31" s="65"/>
      <c r="UEE31" s="65"/>
      <c r="UEF31" s="65"/>
      <c r="UEG31" s="65"/>
      <c r="UEH31" s="65"/>
      <c r="UEI31" s="65"/>
      <c r="UEJ31" s="65"/>
      <c r="UEK31" s="65"/>
      <c r="UEL31" s="65"/>
      <c r="UEM31" s="65"/>
      <c r="UEN31" s="65"/>
      <c r="UEO31" s="65"/>
      <c r="UEP31" s="65"/>
      <c r="UEQ31" s="65"/>
      <c r="UER31" s="65"/>
      <c r="UES31" s="65"/>
      <c r="UET31" s="65"/>
      <c r="UEU31" s="65"/>
      <c r="UEV31" s="65"/>
      <c r="UEW31" s="65"/>
      <c r="UEX31" s="65"/>
      <c r="UEY31" s="65"/>
      <c r="UEZ31" s="65"/>
      <c r="UFA31" s="65"/>
      <c r="UFB31" s="65"/>
      <c r="UFC31" s="65"/>
      <c r="UFD31" s="65"/>
      <c r="UFE31" s="65"/>
      <c r="UFF31" s="65"/>
      <c r="UFG31" s="65"/>
      <c r="UFH31" s="65"/>
      <c r="UFI31" s="65"/>
      <c r="UFJ31" s="65"/>
      <c r="UFK31" s="65"/>
      <c r="UFL31" s="65"/>
      <c r="UFM31" s="65"/>
      <c r="UFN31" s="65"/>
      <c r="UFO31" s="65"/>
      <c r="UFP31" s="65"/>
      <c r="UFQ31" s="65"/>
      <c r="UFR31" s="65"/>
      <c r="UFS31" s="65"/>
      <c r="UFT31" s="65"/>
      <c r="UFU31" s="65"/>
      <c r="UFV31" s="65"/>
      <c r="UFW31" s="65"/>
      <c r="UFX31" s="65"/>
      <c r="UFY31" s="65"/>
      <c r="UFZ31" s="65"/>
      <c r="UGA31" s="65"/>
      <c r="UGB31" s="65"/>
      <c r="UGC31" s="65"/>
      <c r="UGD31" s="65"/>
      <c r="UGE31" s="65"/>
      <c r="UGF31" s="65"/>
      <c r="UGG31" s="65"/>
      <c r="UGH31" s="65"/>
      <c r="UGI31" s="65"/>
      <c r="UGJ31" s="65"/>
      <c r="UGK31" s="65"/>
      <c r="UGL31" s="65"/>
      <c r="UGM31" s="65"/>
      <c r="UGN31" s="65"/>
      <c r="UGO31" s="65"/>
      <c r="UGP31" s="65"/>
      <c r="UGQ31" s="65"/>
      <c r="UGR31" s="65"/>
      <c r="UGS31" s="65"/>
      <c r="UGT31" s="65"/>
      <c r="UGU31" s="65"/>
      <c r="UGV31" s="65"/>
      <c r="UGW31" s="65"/>
      <c r="UGX31" s="65"/>
      <c r="UGY31" s="65"/>
      <c r="UGZ31" s="65"/>
      <c r="UHA31" s="65"/>
      <c r="UHB31" s="65"/>
      <c r="UHC31" s="65"/>
      <c r="UHD31" s="65"/>
      <c r="UHE31" s="65"/>
      <c r="UHF31" s="65"/>
      <c r="UHG31" s="65"/>
      <c r="UHH31" s="65"/>
      <c r="UHI31" s="65"/>
      <c r="UHJ31" s="65"/>
      <c r="UHK31" s="65"/>
      <c r="UHL31" s="65"/>
      <c r="UHM31" s="65"/>
      <c r="UHN31" s="65"/>
      <c r="UHO31" s="65"/>
      <c r="UHP31" s="65"/>
      <c r="UHQ31" s="65"/>
      <c r="UHR31" s="65"/>
      <c r="UHS31" s="65"/>
      <c r="UHT31" s="65"/>
      <c r="UHU31" s="65"/>
      <c r="UHV31" s="65"/>
      <c r="UHW31" s="65"/>
      <c r="UHX31" s="65"/>
      <c r="UHY31" s="65"/>
      <c r="UHZ31" s="65"/>
      <c r="UIA31" s="65"/>
      <c r="UIB31" s="65"/>
      <c r="UIC31" s="65"/>
      <c r="UID31" s="65"/>
      <c r="UIE31" s="65"/>
      <c r="UIF31" s="65"/>
      <c r="UIG31" s="65"/>
      <c r="UIH31" s="65"/>
      <c r="UII31" s="65"/>
      <c r="UIJ31" s="65"/>
      <c r="UIK31" s="65"/>
      <c r="UIL31" s="65"/>
      <c r="UIM31" s="65"/>
      <c r="UIN31" s="65"/>
      <c r="UIO31" s="65"/>
      <c r="UIP31" s="65"/>
      <c r="UIQ31" s="65"/>
      <c r="UIR31" s="65"/>
      <c r="UIS31" s="65"/>
      <c r="UIT31" s="65"/>
      <c r="UIU31" s="65"/>
      <c r="UIV31" s="65"/>
      <c r="UIW31" s="65"/>
      <c r="UIX31" s="65"/>
      <c r="UIY31" s="65"/>
      <c r="UIZ31" s="65"/>
      <c r="UJA31" s="65"/>
      <c r="UJB31" s="65"/>
      <c r="UJC31" s="65"/>
      <c r="UJD31" s="65"/>
      <c r="UJE31" s="65"/>
      <c r="UJF31" s="65"/>
      <c r="UJG31" s="65"/>
      <c r="UJH31" s="65"/>
      <c r="UJI31" s="65"/>
      <c r="UJJ31" s="65"/>
      <c r="UJK31" s="65"/>
      <c r="UJL31" s="65"/>
      <c r="UJM31" s="65"/>
      <c r="UJN31" s="65"/>
      <c r="UJO31" s="65"/>
      <c r="UJP31" s="65"/>
      <c r="UJQ31" s="65"/>
      <c r="UJR31" s="65"/>
      <c r="UJS31" s="65"/>
      <c r="UJT31" s="65"/>
      <c r="UJU31" s="65"/>
      <c r="UJV31" s="65"/>
      <c r="UJW31" s="65"/>
      <c r="UJX31" s="65"/>
      <c r="UJY31" s="65"/>
      <c r="UJZ31" s="65"/>
      <c r="UKA31" s="65"/>
      <c r="UKB31" s="65"/>
      <c r="UKC31" s="65"/>
      <c r="UKD31" s="65"/>
      <c r="UKE31" s="65"/>
      <c r="UKF31" s="65"/>
      <c r="UKG31" s="65"/>
      <c r="UKH31" s="65"/>
      <c r="UKI31" s="65"/>
      <c r="UKJ31" s="65"/>
      <c r="UKK31" s="65"/>
      <c r="UKL31" s="65"/>
      <c r="UKM31" s="65"/>
      <c r="UKN31" s="65"/>
      <c r="UKO31" s="65"/>
      <c r="UKP31" s="65"/>
      <c r="UKQ31" s="65"/>
      <c r="UKR31" s="65"/>
      <c r="UKS31" s="65"/>
      <c r="UKT31" s="65"/>
      <c r="UKU31" s="65"/>
      <c r="UKV31" s="65"/>
      <c r="UKW31" s="65"/>
      <c r="UKX31" s="65"/>
      <c r="UKY31" s="65"/>
      <c r="UKZ31" s="65"/>
      <c r="ULA31" s="65"/>
      <c r="ULB31" s="65"/>
      <c r="ULC31" s="65"/>
      <c r="ULD31" s="65"/>
      <c r="ULE31" s="65"/>
      <c r="ULF31" s="65"/>
      <c r="ULG31" s="65"/>
      <c r="ULH31" s="65"/>
      <c r="ULI31" s="65"/>
      <c r="ULJ31" s="65"/>
      <c r="ULK31" s="65"/>
      <c r="ULL31" s="65"/>
      <c r="ULM31" s="65"/>
      <c r="ULN31" s="65"/>
      <c r="ULO31" s="65"/>
      <c r="ULP31" s="65"/>
      <c r="ULQ31" s="65"/>
      <c r="ULR31" s="65"/>
      <c r="ULS31" s="65"/>
      <c r="ULT31" s="65"/>
      <c r="ULU31" s="65"/>
      <c r="ULV31" s="65"/>
      <c r="ULW31" s="65"/>
      <c r="ULX31" s="65"/>
      <c r="ULY31" s="65"/>
      <c r="ULZ31" s="65"/>
      <c r="UMA31" s="65"/>
      <c r="UMB31" s="65"/>
      <c r="UMC31" s="65"/>
      <c r="UMD31" s="65"/>
      <c r="UME31" s="65"/>
      <c r="UMF31" s="65"/>
      <c r="UMG31" s="65"/>
      <c r="UMH31" s="65"/>
      <c r="UMI31" s="65"/>
      <c r="UMJ31" s="65"/>
      <c r="UMK31" s="65"/>
      <c r="UML31" s="65"/>
      <c r="UMM31" s="65"/>
      <c r="UMN31" s="65"/>
      <c r="UMO31" s="65"/>
      <c r="UMP31" s="65"/>
      <c r="UMQ31" s="65"/>
      <c r="UMR31" s="65"/>
      <c r="UMS31" s="65"/>
      <c r="UMT31" s="65"/>
      <c r="UMU31" s="65"/>
      <c r="UMV31" s="65"/>
      <c r="UMW31" s="65"/>
      <c r="UMX31" s="65"/>
      <c r="UMY31" s="65"/>
      <c r="UMZ31" s="65"/>
      <c r="UNA31" s="65"/>
      <c r="UNB31" s="65"/>
      <c r="UNC31" s="65"/>
      <c r="UND31" s="65"/>
      <c r="UNE31" s="65"/>
      <c r="UNF31" s="65"/>
      <c r="UNG31" s="65"/>
      <c r="UNH31" s="65"/>
      <c r="UNI31" s="65"/>
      <c r="UNJ31" s="65"/>
      <c r="UNK31" s="65"/>
      <c r="UNL31" s="65"/>
      <c r="UNM31" s="65"/>
      <c r="UNN31" s="65"/>
      <c r="UNO31" s="65"/>
      <c r="UNP31" s="65"/>
      <c r="UNQ31" s="65"/>
      <c r="UNR31" s="65"/>
      <c r="UNS31" s="65"/>
      <c r="UNT31" s="65"/>
      <c r="UNU31" s="65"/>
      <c r="UNV31" s="65"/>
      <c r="UNW31" s="65"/>
      <c r="UNX31" s="65"/>
      <c r="UNY31" s="65"/>
      <c r="UNZ31" s="65"/>
      <c r="UOA31" s="65"/>
      <c r="UOB31" s="65"/>
      <c r="UOC31" s="65"/>
      <c r="UOD31" s="65"/>
      <c r="UOE31" s="65"/>
      <c r="UOF31" s="65"/>
      <c r="UOG31" s="65"/>
      <c r="UOH31" s="65"/>
      <c r="UOI31" s="65"/>
      <c r="UOJ31" s="65"/>
      <c r="UOK31" s="65"/>
      <c r="UOL31" s="65"/>
      <c r="UOM31" s="65"/>
      <c r="UON31" s="65"/>
      <c r="UOO31" s="65"/>
      <c r="UOP31" s="65"/>
      <c r="UOQ31" s="65"/>
      <c r="UOR31" s="65"/>
      <c r="UOS31" s="65"/>
      <c r="UOT31" s="65"/>
      <c r="UOU31" s="65"/>
      <c r="UOV31" s="65"/>
      <c r="UOW31" s="65"/>
      <c r="UOX31" s="65"/>
      <c r="UOY31" s="65"/>
      <c r="UOZ31" s="65"/>
      <c r="UPA31" s="65"/>
      <c r="UPB31" s="65"/>
      <c r="UPC31" s="65"/>
      <c r="UPD31" s="65"/>
      <c r="UPE31" s="65"/>
      <c r="UPF31" s="65"/>
      <c r="UPG31" s="65"/>
      <c r="UPH31" s="65"/>
      <c r="UPI31" s="65"/>
      <c r="UPJ31" s="65"/>
      <c r="UPK31" s="65"/>
      <c r="UPL31" s="65"/>
      <c r="UPM31" s="65"/>
      <c r="UPN31" s="65"/>
      <c r="UPO31" s="65"/>
      <c r="UPP31" s="65"/>
      <c r="UPQ31" s="65"/>
      <c r="UPR31" s="65"/>
      <c r="UPS31" s="65"/>
      <c r="UPT31" s="65"/>
      <c r="UPU31" s="65"/>
      <c r="UPV31" s="65"/>
      <c r="UPW31" s="65"/>
      <c r="UPX31" s="65"/>
      <c r="UPY31" s="65"/>
      <c r="UPZ31" s="65"/>
      <c r="UQA31" s="65"/>
      <c r="UQB31" s="65"/>
      <c r="UQC31" s="65"/>
      <c r="UQD31" s="65"/>
      <c r="UQE31" s="65"/>
      <c r="UQF31" s="65"/>
      <c r="UQG31" s="65"/>
      <c r="UQH31" s="65"/>
      <c r="UQI31" s="65"/>
      <c r="UQJ31" s="65"/>
      <c r="UQK31" s="65"/>
      <c r="UQL31" s="65"/>
      <c r="UQM31" s="65"/>
      <c r="UQN31" s="65"/>
      <c r="UQO31" s="65"/>
      <c r="UQP31" s="65"/>
      <c r="UQQ31" s="65"/>
      <c r="UQR31" s="65"/>
      <c r="UQS31" s="65"/>
      <c r="UQT31" s="65"/>
      <c r="UQU31" s="65"/>
      <c r="UQV31" s="65"/>
      <c r="UQW31" s="65"/>
      <c r="UQX31" s="65"/>
      <c r="UQY31" s="65"/>
      <c r="UQZ31" s="65"/>
      <c r="URA31" s="65"/>
      <c r="URB31" s="65"/>
      <c r="URC31" s="65"/>
      <c r="URD31" s="65"/>
      <c r="URE31" s="65"/>
      <c r="URF31" s="65"/>
      <c r="URG31" s="65"/>
      <c r="URH31" s="65"/>
      <c r="URI31" s="65"/>
      <c r="URJ31" s="65"/>
      <c r="URK31" s="65"/>
      <c r="URL31" s="65"/>
      <c r="URM31" s="65"/>
      <c r="URN31" s="65"/>
      <c r="URO31" s="65"/>
      <c r="URP31" s="65"/>
      <c r="URQ31" s="65"/>
      <c r="URR31" s="65"/>
      <c r="URS31" s="65"/>
      <c r="URT31" s="65"/>
      <c r="URU31" s="65"/>
      <c r="URV31" s="65"/>
      <c r="URW31" s="65"/>
      <c r="URX31" s="65"/>
      <c r="URY31" s="65"/>
      <c r="URZ31" s="65"/>
      <c r="USA31" s="65"/>
      <c r="USB31" s="65"/>
      <c r="USC31" s="65"/>
      <c r="USD31" s="65"/>
      <c r="USE31" s="65"/>
      <c r="USF31" s="65"/>
      <c r="USG31" s="65"/>
      <c r="USH31" s="65"/>
      <c r="USI31" s="65"/>
      <c r="USJ31" s="65"/>
      <c r="USK31" s="65"/>
      <c r="USL31" s="65"/>
      <c r="USM31" s="65"/>
      <c r="USN31" s="65"/>
      <c r="USO31" s="65"/>
      <c r="USP31" s="65"/>
      <c r="USQ31" s="65"/>
      <c r="USR31" s="65"/>
      <c r="USS31" s="65"/>
      <c r="UST31" s="65"/>
      <c r="USU31" s="65"/>
      <c r="USV31" s="65"/>
      <c r="USW31" s="65"/>
      <c r="USX31" s="65"/>
      <c r="USY31" s="65"/>
      <c r="USZ31" s="65"/>
      <c r="UTA31" s="65"/>
      <c r="UTB31" s="65"/>
      <c r="UTC31" s="65"/>
      <c r="UTD31" s="65"/>
      <c r="UTE31" s="65"/>
      <c r="UTF31" s="65"/>
      <c r="UTG31" s="65"/>
      <c r="UTH31" s="65"/>
      <c r="UTI31" s="65"/>
      <c r="UTJ31" s="65"/>
      <c r="UTK31" s="65"/>
      <c r="UTL31" s="65"/>
      <c r="UTM31" s="65"/>
      <c r="UTN31" s="65"/>
      <c r="UTO31" s="65"/>
      <c r="UTP31" s="65"/>
      <c r="UTQ31" s="65"/>
      <c r="UTR31" s="65"/>
      <c r="UTS31" s="65"/>
      <c r="UTT31" s="65"/>
      <c r="UTU31" s="65"/>
      <c r="UTV31" s="65"/>
      <c r="UTW31" s="65"/>
      <c r="UTX31" s="65"/>
      <c r="UTY31" s="65"/>
      <c r="UTZ31" s="65"/>
      <c r="UUA31" s="65"/>
      <c r="UUB31" s="65"/>
      <c r="UUC31" s="65"/>
      <c r="UUD31" s="65"/>
      <c r="UUE31" s="65"/>
      <c r="UUF31" s="65"/>
      <c r="UUG31" s="65"/>
      <c r="UUH31" s="65"/>
      <c r="UUI31" s="65"/>
      <c r="UUJ31" s="65"/>
      <c r="UUK31" s="65"/>
      <c r="UUL31" s="65"/>
      <c r="UUM31" s="65"/>
      <c r="UUN31" s="65"/>
      <c r="UUO31" s="65"/>
      <c r="UUP31" s="65"/>
      <c r="UUQ31" s="65"/>
      <c r="UUR31" s="65"/>
      <c r="UUS31" s="65"/>
      <c r="UUT31" s="65"/>
      <c r="UUU31" s="65"/>
      <c r="UUV31" s="65"/>
      <c r="UUW31" s="65"/>
      <c r="UUX31" s="65"/>
      <c r="UUY31" s="65"/>
      <c r="UUZ31" s="65"/>
      <c r="UVA31" s="65"/>
      <c r="UVB31" s="65"/>
      <c r="UVC31" s="65"/>
      <c r="UVD31" s="65"/>
      <c r="UVE31" s="65"/>
      <c r="UVF31" s="65"/>
      <c r="UVG31" s="65"/>
      <c r="UVH31" s="65"/>
      <c r="UVI31" s="65"/>
      <c r="UVJ31" s="65"/>
      <c r="UVK31" s="65"/>
      <c r="UVL31" s="65"/>
      <c r="UVM31" s="65"/>
      <c r="UVN31" s="65"/>
      <c r="UVO31" s="65"/>
      <c r="UVP31" s="65"/>
      <c r="UVQ31" s="65"/>
      <c r="UVR31" s="65"/>
      <c r="UVS31" s="65"/>
      <c r="UVT31" s="65"/>
      <c r="UVU31" s="65"/>
      <c r="UVV31" s="65"/>
      <c r="UVW31" s="65"/>
      <c r="UVX31" s="65"/>
      <c r="UVY31" s="65"/>
      <c r="UVZ31" s="65"/>
      <c r="UWA31" s="65"/>
      <c r="UWB31" s="65"/>
      <c r="UWC31" s="65"/>
      <c r="UWD31" s="65"/>
      <c r="UWE31" s="65"/>
      <c r="UWF31" s="65"/>
      <c r="UWG31" s="65"/>
      <c r="UWH31" s="65"/>
      <c r="UWI31" s="65"/>
      <c r="UWJ31" s="65"/>
      <c r="UWK31" s="65"/>
      <c r="UWL31" s="65"/>
      <c r="UWM31" s="65"/>
      <c r="UWN31" s="65"/>
      <c r="UWO31" s="65"/>
      <c r="UWP31" s="65"/>
      <c r="UWQ31" s="65"/>
      <c r="UWR31" s="65"/>
      <c r="UWS31" s="65"/>
      <c r="UWT31" s="65"/>
      <c r="UWU31" s="65"/>
      <c r="UWV31" s="65"/>
      <c r="UWW31" s="65"/>
      <c r="UWX31" s="65"/>
      <c r="UWY31" s="65"/>
      <c r="UWZ31" s="65"/>
      <c r="UXA31" s="65"/>
      <c r="UXB31" s="65"/>
      <c r="UXC31" s="65"/>
      <c r="UXD31" s="65"/>
      <c r="UXE31" s="65"/>
      <c r="UXF31" s="65"/>
      <c r="UXG31" s="65"/>
      <c r="UXH31" s="65"/>
      <c r="UXI31" s="65"/>
      <c r="UXJ31" s="65"/>
      <c r="UXK31" s="65"/>
      <c r="UXL31" s="65"/>
      <c r="UXM31" s="65"/>
      <c r="UXN31" s="65"/>
      <c r="UXO31" s="65"/>
      <c r="UXP31" s="65"/>
      <c r="UXQ31" s="65"/>
      <c r="UXR31" s="65"/>
      <c r="UXS31" s="65"/>
      <c r="UXT31" s="65"/>
      <c r="UXU31" s="65"/>
      <c r="UXV31" s="65"/>
      <c r="UXW31" s="65"/>
      <c r="UXX31" s="65"/>
      <c r="UXY31" s="65"/>
      <c r="UXZ31" s="65"/>
      <c r="UYA31" s="65"/>
      <c r="UYB31" s="65"/>
      <c r="UYC31" s="65"/>
      <c r="UYD31" s="65"/>
      <c r="UYE31" s="65"/>
      <c r="UYF31" s="65"/>
      <c r="UYG31" s="65"/>
      <c r="UYH31" s="65"/>
      <c r="UYI31" s="65"/>
      <c r="UYJ31" s="65"/>
      <c r="UYK31" s="65"/>
      <c r="UYL31" s="65"/>
      <c r="UYM31" s="65"/>
      <c r="UYN31" s="65"/>
      <c r="UYO31" s="65"/>
      <c r="UYP31" s="65"/>
      <c r="UYQ31" s="65"/>
      <c r="UYR31" s="65"/>
      <c r="UYS31" s="65"/>
      <c r="UYT31" s="65"/>
      <c r="UYU31" s="65"/>
      <c r="UYV31" s="65"/>
      <c r="UYW31" s="65"/>
      <c r="UYX31" s="65"/>
      <c r="UYY31" s="65"/>
      <c r="UYZ31" s="65"/>
      <c r="UZA31" s="65"/>
      <c r="UZB31" s="65"/>
      <c r="UZC31" s="65"/>
      <c r="UZD31" s="65"/>
      <c r="UZE31" s="65"/>
      <c r="UZF31" s="65"/>
      <c r="UZG31" s="65"/>
      <c r="UZH31" s="65"/>
      <c r="UZI31" s="65"/>
      <c r="UZJ31" s="65"/>
      <c r="UZK31" s="65"/>
      <c r="UZL31" s="65"/>
      <c r="UZM31" s="65"/>
      <c r="UZN31" s="65"/>
      <c r="UZO31" s="65"/>
      <c r="UZP31" s="65"/>
      <c r="UZQ31" s="65"/>
      <c r="UZR31" s="65"/>
      <c r="UZS31" s="65"/>
      <c r="UZT31" s="65"/>
      <c r="UZU31" s="65"/>
      <c r="UZV31" s="65"/>
      <c r="UZW31" s="65"/>
      <c r="UZX31" s="65"/>
      <c r="UZY31" s="65"/>
      <c r="UZZ31" s="65"/>
      <c r="VAA31" s="65"/>
      <c r="VAB31" s="65"/>
      <c r="VAC31" s="65"/>
      <c r="VAD31" s="65"/>
      <c r="VAE31" s="65"/>
      <c r="VAF31" s="65"/>
      <c r="VAG31" s="65"/>
      <c r="VAH31" s="65"/>
      <c r="VAI31" s="65"/>
      <c r="VAJ31" s="65"/>
      <c r="VAK31" s="65"/>
      <c r="VAL31" s="65"/>
      <c r="VAM31" s="65"/>
      <c r="VAN31" s="65"/>
      <c r="VAO31" s="65"/>
      <c r="VAP31" s="65"/>
      <c r="VAQ31" s="65"/>
      <c r="VAR31" s="65"/>
      <c r="VAS31" s="65"/>
      <c r="VAT31" s="65"/>
      <c r="VAU31" s="65"/>
      <c r="VAV31" s="65"/>
      <c r="VAW31" s="65"/>
      <c r="VAX31" s="65"/>
      <c r="VAY31" s="65"/>
      <c r="VAZ31" s="65"/>
      <c r="VBA31" s="65"/>
      <c r="VBB31" s="65"/>
      <c r="VBC31" s="65"/>
      <c r="VBD31" s="65"/>
      <c r="VBE31" s="65"/>
      <c r="VBF31" s="65"/>
      <c r="VBG31" s="65"/>
      <c r="VBH31" s="65"/>
      <c r="VBI31" s="65"/>
      <c r="VBJ31" s="65"/>
      <c r="VBK31" s="65"/>
      <c r="VBL31" s="65"/>
      <c r="VBM31" s="65"/>
      <c r="VBN31" s="65"/>
      <c r="VBO31" s="65"/>
      <c r="VBP31" s="65"/>
      <c r="VBQ31" s="65"/>
      <c r="VBR31" s="65"/>
      <c r="VBS31" s="65"/>
      <c r="VBT31" s="65"/>
      <c r="VBU31" s="65"/>
      <c r="VBV31" s="65"/>
      <c r="VBW31" s="65"/>
      <c r="VBX31" s="65"/>
      <c r="VBY31" s="65"/>
      <c r="VBZ31" s="65"/>
      <c r="VCA31" s="65"/>
      <c r="VCB31" s="65"/>
      <c r="VCC31" s="65"/>
      <c r="VCD31" s="65"/>
      <c r="VCE31" s="65"/>
      <c r="VCF31" s="65"/>
      <c r="VCG31" s="65"/>
      <c r="VCH31" s="65"/>
      <c r="VCI31" s="65"/>
      <c r="VCJ31" s="65"/>
      <c r="VCK31" s="65"/>
      <c r="VCL31" s="65"/>
      <c r="VCM31" s="65"/>
      <c r="VCN31" s="65"/>
      <c r="VCO31" s="65"/>
      <c r="VCP31" s="65"/>
      <c r="VCQ31" s="65"/>
      <c r="VCR31" s="65"/>
      <c r="VCS31" s="65"/>
      <c r="VCT31" s="65"/>
      <c r="VCU31" s="65"/>
      <c r="VCV31" s="65"/>
      <c r="VCW31" s="65"/>
      <c r="VCX31" s="65"/>
      <c r="VCY31" s="65"/>
      <c r="VCZ31" s="65"/>
      <c r="VDA31" s="65"/>
      <c r="VDB31" s="65"/>
      <c r="VDC31" s="65"/>
      <c r="VDD31" s="65"/>
      <c r="VDE31" s="65"/>
      <c r="VDF31" s="65"/>
      <c r="VDG31" s="65"/>
      <c r="VDH31" s="65"/>
      <c r="VDI31" s="65"/>
      <c r="VDJ31" s="65"/>
      <c r="VDK31" s="65"/>
      <c r="VDL31" s="65"/>
      <c r="VDM31" s="65"/>
      <c r="VDN31" s="65"/>
      <c r="VDO31" s="65"/>
      <c r="VDP31" s="65"/>
      <c r="VDQ31" s="65"/>
      <c r="VDR31" s="65"/>
      <c r="VDS31" s="65"/>
      <c r="VDT31" s="65"/>
      <c r="VDU31" s="65"/>
      <c r="VDV31" s="65"/>
      <c r="VDW31" s="65"/>
      <c r="VDX31" s="65"/>
      <c r="VDY31" s="65"/>
      <c r="VDZ31" s="65"/>
      <c r="VEA31" s="65"/>
      <c r="VEB31" s="65"/>
      <c r="VEC31" s="65"/>
      <c r="VED31" s="65"/>
      <c r="VEE31" s="65"/>
      <c r="VEF31" s="65"/>
      <c r="VEG31" s="65"/>
      <c r="VEH31" s="65"/>
      <c r="VEI31" s="65"/>
      <c r="VEJ31" s="65"/>
      <c r="VEK31" s="65"/>
      <c r="VEL31" s="65"/>
      <c r="VEM31" s="65"/>
      <c r="VEN31" s="65"/>
      <c r="VEO31" s="65"/>
      <c r="VEP31" s="65"/>
      <c r="VEQ31" s="65"/>
      <c r="VER31" s="65"/>
      <c r="VES31" s="65"/>
      <c r="VET31" s="65"/>
      <c r="VEU31" s="65"/>
      <c r="VEV31" s="65"/>
      <c r="VEW31" s="65"/>
      <c r="VEX31" s="65"/>
      <c r="VEY31" s="65"/>
      <c r="VEZ31" s="65"/>
      <c r="VFA31" s="65"/>
      <c r="VFB31" s="65"/>
      <c r="VFC31" s="65"/>
      <c r="VFD31" s="65"/>
      <c r="VFE31" s="65"/>
      <c r="VFF31" s="65"/>
      <c r="VFG31" s="65"/>
      <c r="VFH31" s="65"/>
      <c r="VFI31" s="65"/>
      <c r="VFJ31" s="65"/>
      <c r="VFK31" s="65"/>
      <c r="VFL31" s="65"/>
      <c r="VFM31" s="65"/>
      <c r="VFN31" s="65"/>
      <c r="VFO31" s="65"/>
      <c r="VFP31" s="65"/>
      <c r="VFQ31" s="65"/>
      <c r="VFR31" s="65"/>
      <c r="VFS31" s="65"/>
      <c r="VFT31" s="65"/>
      <c r="VFU31" s="65"/>
      <c r="VFV31" s="65"/>
      <c r="VFW31" s="65"/>
      <c r="VFX31" s="65"/>
      <c r="VFY31" s="65"/>
      <c r="VFZ31" s="65"/>
      <c r="VGA31" s="65"/>
      <c r="VGB31" s="65"/>
      <c r="VGC31" s="65"/>
      <c r="VGD31" s="65"/>
      <c r="VGE31" s="65"/>
      <c r="VGF31" s="65"/>
      <c r="VGG31" s="65"/>
      <c r="VGH31" s="65"/>
      <c r="VGI31" s="65"/>
    </row>
    <row r="32" spans="1:15111" x14ac:dyDescent="0.25">
      <c r="C32" s="15"/>
      <c r="D32" s="14" t="s">
        <v>75</v>
      </c>
      <c r="E32" s="261"/>
      <c r="F32" s="20" t="s">
        <v>14</v>
      </c>
      <c r="G32" s="33">
        <f>G33+G34</f>
        <v>0</v>
      </c>
      <c r="H32" s="33">
        <f t="shared" ref="H32:AJ32" si="11">H33+H34</f>
        <v>0</v>
      </c>
      <c r="I32" s="33">
        <f t="shared" si="11"/>
        <v>0</v>
      </c>
      <c r="J32" s="33">
        <f t="shared" si="11"/>
        <v>0</v>
      </c>
      <c r="K32" s="33">
        <f t="shared" si="11"/>
        <v>0</v>
      </c>
      <c r="L32" s="33">
        <f t="shared" si="11"/>
        <v>0</v>
      </c>
      <c r="M32" s="33">
        <f t="shared" ref="M32:N32" si="12">M33+M34</f>
        <v>0</v>
      </c>
      <c r="N32" s="33">
        <f t="shared" si="12"/>
        <v>0</v>
      </c>
      <c r="O32" s="33">
        <f t="shared" si="11"/>
        <v>0</v>
      </c>
      <c r="P32" s="33">
        <f t="shared" si="11"/>
        <v>0</v>
      </c>
      <c r="Q32" s="33">
        <f t="shared" si="11"/>
        <v>0</v>
      </c>
      <c r="R32" s="33">
        <f t="shared" si="11"/>
        <v>0</v>
      </c>
      <c r="S32" s="33">
        <f t="shared" ref="S32" si="13">S33+S34</f>
        <v>0</v>
      </c>
      <c r="T32" s="33">
        <f t="shared" si="11"/>
        <v>0</v>
      </c>
      <c r="U32" s="33">
        <f t="shared" si="11"/>
        <v>0</v>
      </c>
      <c r="V32" s="33">
        <f t="shared" si="11"/>
        <v>0</v>
      </c>
      <c r="W32" s="33">
        <f t="shared" si="11"/>
        <v>0</v>
      </c>
      <c r="X32" s="33">
        <f t="shared" si="11"/>
        <v>0</v>
      </c>
      <c r="Y32" s="33">
        <f t="shared" si="11"/>
        <v>0</v>
      </c>
      <c r="Z32" s="33">
        <f t="shared" si="11"/>
        <v>0</v>
      </c>
      <c r="AA32" s="33">
        <f t="shared" si="11"/>
        <v>0</v>
      </c>
      <c r="AB32" s="33">
        <f t="shared" si="11"/>
        <v>0</v>
      </c>
      <c r="AC32" s="33">
        <f t="shared" si="11"/>
        <v>0</v>
      </c>
      <c r="AD32" s="33">
        <f t="shared" si="11"/>
        <v>0</v>
      </c>
      <c r="AE32" s="33">
        <f t="shared" si="11"/>
        <v>0</v>
      </c>
      <c r="AF32" s="33">
        <f t="shared" si="11"/>
        <v>0</v>
      </c>
      <c r="AG32" s="33">
        <f t="shared" si="11"/>
        <v>0</v>
      </c>
      <c r="AH32" s="33">
        <f t="shared" si="11"/>
        <v>0</v>
      </c>
      <c r="AI32" s="33">
        <f t="shared" si="11"/>
        <v>0</v>
      </c>
      <c r="AJ32" s="33">
        <f t="shared" si="11"/>
        <v>0</v>
      </c>
      <c r="AK32" s="33">
        <f>AK33+AK34</f>
        <v>0</v>
      </c>
      <c r="AM32" s="57">
        <f>SUM(G32:AJ32)</f>
        <v>0</v>
      </c>
      <c r="AP32" s="3"/>
    </row>
    <row r="33" spans="1:15063" x14ac:dyDescent="0.25">
      <c r="C33" s="15"/>
      <c r="D33" s="67" t="s">
        <v>106</v>
      </c>
      <c r="E33" s="261"/>
      <c r="F33" s="68" t="s">
        <v>14</v>
      </c>
      <c r="G33" s="276">
        <v>0</v>
      </c>
      <c r="H33" s="276">
        <v>0</v>
      </c>
      <c r="I33" s="276">
        <v>0</v>
      </c>
      <c r="J33" s="276">
        <v>0</v>
      </c>
      <c r="K33" s="276">
        <v>0</v>
      </c>
      <c r="L33" s="276">
        <v>0</v>
      </c>
      <c r="M33" s="276">
        <v>0</v>
      </c>
      <c r="N33" s="276">
        <v>0</v>
      </c>
      <c r="O33" s="276">
        <v>0</v>
      </c>
      <c r="P33" s="276">
        <v>0</v>
      </c>
      <c r="Q33" s="276">
        <v>0</v>
      </c>
      <c r="R33" s="276">
        <v>0</v>
      </c>
      <c r="S33" s="276">
        <v>0</v>
      </c>
      <c r="T33" s="276">
        <v>0</v>
      </c>
      <c r="U33" s="276">
        <v>0</v>
      </c>
      <c r="V33" s="276">
        <v>0</v>
      </c>
      <c r="W33" s="276">
        <v>0</v>
      </c>
      <c r="X33" s="276">
        <v>0</v>
      </c>
      <c r="Y33" s="276">
        <v>0</v>
      </c>
      <c r="Z33" s="276">
        <v>0</v>
      </c>
      <c r="AA33" s="276">
        <v>0</v>
      </c>
      <c r="AB33" s="276">
        <v>0</v>
      </c>
      <c r="AC33" s="276">
        <v>0</v>
      </c>
      <c r="AD33" s="276">
        <v>0</v>
      </c>
      <c r="AE33" s="276">
        <v>0</v>
      </c>
      <c r="AF33" s="276">
        <v>0</v>
      </c>
      <c r="AG33" s="276">
        <v>0</v>
      </c>
      <c r="AH33" s="276">
        <v>0</v>
      </c>
      <c r="AI33" s="276">
        <v>0</v>
      </c>
      <c r="AJ33" s="276">
        <v>0</v>
      </c>
      <c r="AK33" s="276">
        <v>0</v>
      </c>
      <c r="AM33" s="60">
        <f>SUM(G33:AJ33)</f>
        <v>0</v>
      </c>
    </row>
    <row r="34" spans="1:15063" x14ac:dyDescent="0.25">
      <c r="C34" s="15"/>
      <c r="D34" s="67" t="s">
        <v>73</v>
      </c>
      <c r="E34" s="261"/>
      <c r="F34" s="68" t="s">
        <v>14</v>
      </c>
      <c r="G34" s="276">
        <v>0</v>
      </c>
      <c r="H34" s="276">
        <v>0</v>
      </c>
      <c r="I34" s="276">
        <v>0</v>
      </c>
      <c r="J34" s="276">
        <v>0</v>
      </c>
      <c r="K34" s="276">
        <v>0</v>
      </c>
      <c r="L34" s="276">
        <v>0</v>
      </c>
      <c r="M34" s="276">
        <v>0</v>
      </c>
      <c r="N34" s="276">
        <v>0</v>
      </c>
      <c r="O34" s="276">
        <v>0</v>
      </c>
      <c r="P34" s="276">
        <v>0</v>
      </c>
      <c r="Q34" s="276">
        <v>0</v>
      </c>
      <c r="R34" s="276">
        <v>0</v>
      </c>
      <c r="S34" s="276">
        <v>0</v>
      </c>
      <c r="T34" s="276">
        <v>0</v>
      </c>
      <c r="U34" s="276">
        <v>0</v>
      </c>
      <c r="V34" s="276">
        <v>0</v>
      </c>
      <c r="W34" s="276">
        <v>0</v>
      </c>
      <c r="X34" s="276">
        <v>0</v>
      </c>
      <c r="Y34" s="276">
        <v>0</v>
      </c>
      <c r="Z34" s="276">
        <v>0</v>
      </c>
      <c r="AA34" s="276">
        <v>0</v>
      </c>
      <c r="AB34" s="276">
        <v>0</v>
      </c>
      <c r="AC34" s="276">
        <v>0</v>
      </c>
      <c r="AD34" s="276">
        <v>0</v>
      </c>
      <c r="AE34" s="276">
        <v>0</v>
      </c>
      <c r="AF34" s="276">
        <v>0</v>
      </c>
      <c r="AG34" s="276">
        <v>0</v>
      </c>
      <c r="AH34" s="276">
        <v>0</v>
      </c>
      <c r="AI34" s="276">
        <v>0</v>
      </c>
      <c r="AJ34" s="276">
        <v>0</v>
      </c>
      <c r="AK34" s="276">
        <v>0</v>
      </c>
      <c r="AM34" s="60">
        <f>SUM(G34:AJ34)</f>
        <v>0</v>
      </c>
    </row>
    <row r="35" spans="1:15063" x14ac:dyDescent="0.25">
      <c r="C35" s="15"/>
      <c r="D35" s="236" t="s">
        <v>108</v>
      </c>
      <c r="E35" s="239"/>
      <c r="F35" s="238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279"/>
      <c r="AM35" s="69" t="s">
        <v>109</v>
      </c>
    </row>
    <row r="36" spans="1:15063" s="76" customFormat="1" x14ac:dyDescent="0.2">
      <c r="A36" s="16"/>
      <c r="B36" s="16"/>
      <c r="C36" s="17"/>
      <c r="D36" s="11" t="s">
        <v>71</v>
      </c>
      <c r="E36" s="262"/>
      <c r="F36" s="12" t="s">
        <v>14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/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>
        <v>0</v>
      </c>
      <c r="AL36" s="16"/>
      <c r="AM36" s="57">
        <f>SUM(G36:AJ36)</f>
        <v>0</v>
      </c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48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6"/>
      <c r="AIM36" s="16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  <c r="VBO36" s="16"/>
      <c r="VBP36" s="16"/>
      <c r="VBQ36" s="16"/>
      <c r="VBR36" s="16"/>
      <c r="VBS36" s="16"/>
      <c r="VBT36" s="16"/>
      <c r="VBU36" s="16"/>
      <c r="VBV36" s="16"/>
      <c r="VBW36" s="16"/>
      <c r="VBX36" s="16"/>
      <c r="VBY36" s="16"/>
      <c r="VBZ36" s="16"/>
      <c r="VCA36" s="16"/>
      <c r="VCB36" s="16"/>
      <c r="VCC36" s="16"/>
      <c r="VCD36" s="16"/>
      <c r="VCE36" s="16"/>
      <c r="VCF36" s="16"/>
      <c r="VCG36" s="16"/>
      <c r="VCH36" s="16"/>
      <c r="VCI36" s="16"/>
      <c r="VCJ36" s="16"/>
      <c r="VCK36" s="16"/>
      <c r="VCL36" s="16"/>
      <c r="VCM36" s="16"/>
      <c r="VCN36" s="16"/>
      <c r="VCO36" s="16"/>
      <c r="VCP36" s="16"/>
      <c r="VCQ36" s="16"/>
      <c r="VCR36" s="16"/>
      <c r="VCS36" s="16"/>
      <c r="VCT36" s="16"/>
      <c r="VCU36" s="16"/>
      <c r="VCV36" s="16"/>
      <c r="VCW36" s="16"/>
      <c r="VCX36" s="16"/>
      <c r="VCY36" s="16"/>
      <c r="VCZ36" s="16"/>
      <c r="VDA36" s="16"/>
      <c r="VDB36" s="16"/>
      <c r="VDC36" s="16"/>
      <c r="VDD36" s="16"/>
      <c r="VDE36" s="16"/>
      <c r="VDF36" s="16"/>
      <c r="VDG36" s="16"/>
      <c r="VDH36" s="16"/>
      <c r="VDI36" s="16"/>
      <c r="VDJ36" s="16"/>
      <c r="VDK36" s="16"/>
      <c r="VDL36" s="16"/>
      <c r="VDM36" s="16"/>
      <c r="VDN36" s="16"/>
      <c r="VDO36" s="16"/>
      <c r="VDP36" s="16"/>
      <c r="VDQ36" s="16"/>
      <c r="VDR36" s="16"/>
      <c r="VDS36" s="16"/>
      <c r="VDT36" s="16"/>
      <c r="VDU36" s="16"/>
      <c r="VDV36" s="16"/>
      <c r="VDW36" s="16"/>
      <c r="VDX36" s="16"/>
      <c r="VDY36" s="16"/>
      <c r="VDZ36" s="16"/>
      <c r="VEA36" s="16"/>
      <c r="VEB36" s="16"/>
      <c r="VEC36" s="16"/>
      <c r="VED36" s="16"/>
      <c r="VEE36" s="16"/>
      <c r="VEF36" s="16"/>
      <c r="VEG36" s="16"/>
      <c r="VEH36" s="16"/>
      <c r="VEI36" s="16"/>
      <c r="VEJ36" s="16"/>
      <c r="VEK36" s="16"/>
      <c r="VEL36" s="16"/>
      <c r="VEM36" s="16"/>
      <c r="VEN36" s="16"/>
      <c r="VEO36" s="16"/>
      <c r="VEP36" s="16"/>
      <c r="VEQ36" s="16"/>
      <c r="VER36" s="16"/>
      <c r="VES36" s="16"/>
      <c r="VET36" s="16"/>
      <c r="VEU36" s="16"/>
      <c r="VEV36" s="16"/>
      <c r="VEW36" s="16"/>
      <c r="VEX36" s="16"/>
      <c r="VEY36" s="16"/>
      <c r="VEZ36" s="16"/>
      <c r="VFA36" s="16"/>
      <c r="VFB36" s="16"/>
      <c r="VFC36" s="16"/>
      <c r="VFD36" s="16"/>
      <c r="VFE36" s="16"/>
      <c r="VFF36" s="16"/>
      <c r="VFG36" s="16"/>
      <c r="VFH36" s="16"/>
      <c r="VFI36" s="16"/>
      <c r="VFJ36" s="16"/>
      <c r="VFK36" s="16"/>
      <c r="VFL36" s="16"/>
      <c r="VFM36" s="16"/>
      <c r="VFN36" s="16"/>
      <c r="VFO36" s="16"/>
      <c r="VFP36" s="16"/>
      <c r="VFQ36" s="16"/>
      <c r="VFR36" s="16"/>
      <c r="VFS36" s="16"/>
      <c r="VFT36" s="16"/>
      <c r="VFU36" s="16"/>
      <c r="VFV36" s="16"/>
      <c r="VFW36" s="16"/>
      <c r="VFX36" s="16"/>
      <c r="VFY36" s="16"/>
      <c r="VFZ36" s="16"/>
      <c r="VGA36" s="16"/>
      <c r="VGB36" s="16"/>
      <c r="VGC36" s="16"/>
      <c r="VGD36" s="16"/>
      <c r="VGE36" s="16"/>
      <c r="VGF36" s="16"/>
      <c r="VGG36" s="16"/>
      <c r="VGH36" s="16"/>
      <c r="VGI36" s="16"/>
    </row>
    <row r="37" spans="1:15063" s="1" customFormat="1" x14ac:dyDescent="0.25">
      <c r="C37" s="15"/>
      <c r="D37" s="14" t="s">
        <v>70</v>
      </c>
      <c r="E37" s="261"/>
      <c r="F37" s="20" t="s">
        <v>14</v>
      </c>
      <c r="G37" s="33">
        <f>G38+G39</f>
        <v>0</v>
      </c>
      <c r="H37" s="33">
        <f t="shared" ref="H37:AJ37" si="14">H38+H39</f>
        <v>0</v>
      </c>
      <c r="I37" s="33">
        <f t="shared" si="14"/>
        <v>0</v>
      </c>
      <c r="J37" s="33">
        <f t="shared" si="14"/>
        <v>0</v>
      </c>
      <c r="K37" s="33">
        <f t="shared" si="14"/>
        <v>0</v>
      </c>
      <c r="L37" s="33">
        <f t="shared" si="14"/>
        <v>0</v>
      </c>
      <c r="M37" s="33">
        <f t="shared" ref="M37:N37" si="15">M38+M39</f>
        <v>0</v>
      </c>
      <c r="N37" s="33">
        <f t="shared" si="15"/>
        <v>0</v>
      </c>
      <c r="O37" s="33">
        <f t="shared" si="14"/>
        <v>0</v>
      </c>
      <c r="P37" s="33">
        <f t="shared" si="14"/>
        <v>0</v>
      </c>
      <c r="Q37" s="33">
        <f t="shared" si="14"/>
        <v>0</v>
      </c>
      <c r="R37" s="33">
        <f t="shared" si="14"/>
        <v>0</v>
      </c>
      <c r="S37" s="33">
        <f t="shared" ref="S37" si="16">S38+S39</f>
        <v>0</v>
      </c>
      <c r="T37" s="33">
        <f t="shared" si="14"/>
        <v>0</v>
      </c>
      <c r="U37" s="33">
        <f t="shared" si="14"/>
        <v>0</v>
      </c>
      <c r="V37" s="33">
        <f t="shared" si="14"/>
        <v>0</v>
      </c>
      <c r="W37" s="33">
        <f t="shared" si="14"/>
        <v>0</v>
      </c>
      <c r="X37" s="33">
        <f t="shared" si="14"/>
        <v>0</v>
      </c>
      <c r="Y37" s="33">
        <f t="shared" si="14"/>
        <v>40950</v>
      </c>
      <c r="Z37" s="33">
        <f t="shared" si="14"/>
        <v>0</v>
      </c>
      <c r="AA37" s="33">
        <f t="shared" si="14"/>
        <v>0</v>
      </c>
      <c r="AB37" s="33">
        <f t="shared" si="14"/>
        <v>0</v>
      </c>
      <c r="AC37" s="33">
        <f t="shared" si="14"/>
        <v>0</v>
      </c>
      <c r="AD37" s="33">
        <f t="shared" si="14"/>
        <v>0</v>
      </c>
      <c r="AE37" s="33">
        <f t="shared" si="14"/>
        <v>0</v>
      </c>
      <c r="AF37" s="33">
        <f t="shared" si="14"/>
        <v>0</v>
      </c>
      <c r="AG37" s="33">
        <f t="shared" si="14"/>
        <v>0</v>
      </c>
      <c r="AH37" s="33">
        <f t="shared" si="14"/>
        <v>0</v>
      </c>
      <c r="AI37" s="33">
        <f t="shared" si="14"/>
        <v>0</v>
      </c>
      <c r="AJ37" s="33">
        <f t="shared" si="14"/>
        <v>0</v>
      </c>
      <c r="AK37" s="33">
        <f>AK38+AK39</f>
        <v>0</v>
      </c>
      <c r="AM37" s="57">
        <f>SUM(G37:AJ37)</f>
        <v>40950</v>
      </c>
      <c r="CT37" s="146"/>
    </row>
    <row r="38" spans="1:15063" s="1" customFormat="1" x14ac:dyDescent="0.25">
      <c r="C38" s="15"/>
      <c r="D38" s="67" t="s">
        <v>110</v>
      </c>
      <c r="E38" s="261"/>
      <c r="F38" s="68" t="s">
        <v>14</v>
      </c>
      <c r="G38" s="276">
        <v>0</v>
      </c>
      <c r="H38" s="276">
        <v>0</v>
      </c>
      <c r="I38" s="276">
        <v>0</v>
      </c>
      <c r="J38" s="276">
        <v>0</v>
      </c>
      <c r="K38" s="276">
        <v>0</v>
      </c>
      <c r="L38" s="276">
        <v>0</v>
      </c>
      <c r="M38" s="276">
        <v>0</v>
      </c>
      <c r="N38" s="276">
        <v>0</v>
      </c>
      <c r="O38" s="276">
        <v>0</v>
      </c>
      <c r="P38" s="276">
        <v>0</v>
      </c>
      <c r="Q38" s="276">
        <v>0</v>
      </c>
      <c r="R38" s="276">
        <v>0</v>
      </c>
      <c r="S38" s="276">
        <v>0</v>
      </c>
      <c r="T38" s="276">
        <v>0</v>
      </c>
      <c r="U38" s="276">
        <v>0</v>
      </c>
      <c r="V38" s="276">
        <v>0</v>
      </c>
      <c r="W38" s="276">
        <v>0</v>
      </c>
      <c r="X38" s="276">
        <v>0</v>
      </c>
      <c r="Y38" s="276">
        <v>30800</v>
      </c>
      <c r="Z38" s="276">
        <v>0</v>
      </c>
      <c r="AA38" s="276">
        <v>0</v>
      </c>
      <c r="AB38" s="276">
        <v>0</v>
      </c>
      <c r="AC38" s="276">
        <v>0</v>
      </c>
      <c r="AD38" s="276">
        <v>0</v>
      </c>
      <c r="AE38" s="276">
        <v>0</v>
      </c>
      <c r="AF38" s="276">
        <v>0</v>
      </c>
      <c r="AG38" s="276">
        <v>0</v>
      </c>
      <c r="AH38" s="276">
        <v>0</v>
      </c>
      <c r="AI38" s="276">
        <v>0</v>
      </c>
      <c r="AJ38" s="276">
        <v>0</v>
      </c>
      <c r="AK38" s="276"/>
      <c r="AM38" s="60">
        <f>SUM(G38:AJ38)</f>
        <v>30800</v>
      </c>
      <c r="CT38" s="146"/>
    </row>
    <row r="39" spans="1:15063" s="1" customFormat="1" x14ac:dyDescent="0.25">
      <c r="C39" s="15"/>
      <c r="D39" s="58" t="s">
        <v>73</v>
      </c>
      <c r="E39" s="261"/>
      <c r="F39" s="68" t="s">
        <v>14</v>
      </c>
      <c r="G39" s="277">
        <v>0</v>
      </c>
      <c r="H39" s="277">
        <v>0</v>
      </c>
      <c r="I39" s="277">
        <v>0</v>
      </c>
      <c r="J39" s="277">
        <v>0</v>
      </c>
      <c r="K39" s="277">
        <v>0</v>
      </c>
      <c r="L39" s="277">
        <v>0</v>
      </c>
      <c r="M39" s="277">
        <v>0</v>
      </c>
      <c r="N39" s="277">
        <v>0</v>
      </c>
      <c r="O39" s="277">
        <v>0</v>
      </c>
      <c r="P39" s="277">
        <v>0</v>
      </c>
      <c r="Q39" s="277">
        <v>0</v>
      </c>
      <c r="R39" s="277">
        <v>0</v>
      </c>
      <c r="S39" s="277">
        <v>0</v>
      </c>
      <c r="T39" s="277">
        <v>0</v>
      </c>
      <c r="U39" s="277">
        <v>0</v>
      </c>
      <c r="V39" s="277">
        <v>0</v>
      </c>
      <c r="W39" s="277">
        <v>0</v>
      </c>
      <c r="X39" s="277">
        <v>0</v>
      </c>
      <c r="Y39" s="277">
        <v>10150</v>
      </c>
      <c r="Z39" s="277">
        <v>0</v>
      </c>
      <c r="AA39" s="277">
        <v>0</v>
      </c>
      <c r="AB39" s="277">
        <v>0</v>
      </c>
      <c r="AC39" s="277">
        <v>0</v>
      </c>
      <c r="AD39" s="277">
        <v>0</v>
      </c>
      <c r="AE39" s="277">
        <v>0</v>
      </c>
      <c r="AF39" s="277">
        <v>0</v>
      </c>
      <c r="AG39" s="277">
        <v>0</v>
      </c>
      <c r="AH39" s="277">
        <v>0</v>
      </c>
      <c r="AI39" s="277">
        <v>0</v>
      </c>
      <c r="AJ39" s="277">
        <v>0</v>
      </c>
      <c r="AK39" s="276"/>
      <c r="AM39" s="60">
        <f>SUM(G39:AJ39)</f>
        <v>10150</v>
      </c>
      <c r="CT39" s="146"/>
    </row>
    <row r="40" spans="1:15063" s="73" customFormat="1" x14ac:dyDescent="0.25">
      <c r="A40" s="65"/>
      <c r="B40" s="65"/>
      <c r="C40" s="71"/>
      <c r="D40" s="236" t="s">
        <v>648</v>
      </c>
      <c r="E40" s="313"/>
      <c r="F40" s="95"/>
      <c r="G40" s="278"/>
      <c r="H40" s="278"/>
      <c r="I40" s="278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  <c r="AB40" s="278"/>
      <c r="AC40" s="278"/>
      <c r="AD40" s="278"/>
      <c r="AE40" s="278"/>
      <c r="AF40" s="278"/>
      <c r="AG40" s="278"/>
      <c r="AH40" s="278"/>
      <c r="AI40" s="278"/>
      <c r="AJ40" s="278"/>
      <c r="AK40" s="97"/>
      <c r="AL40" s="65"/>
      <c r="AM40" s="69" t="s">
        <v>111</v>
      </c>
      <c r="AN40" s="65"/>
      <c r="AO40" s="65"/>
      <c r="AP40" s="376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147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ED40" s="65"/>
      <c r="EE40" s="65"/>
      <c r="EF40" s="65"/>
      <c r="EG40" s="65"/>
      <c r="EH40" s="65"/>
      <c r="EI40" s="65"/>
      <c r="EJ40" s="65"/>
      <c r="EK40" s="65"/>
      <c r="EL40" s="65"/>
      <c r="EM40" s="65"/>
      <c r="EN40" s="65"/>
      <c r="EO40" s="65"/>
      <c r="EP40" s="65"/>
      <c r="EQ40" s="65"/>
      <c r="ER40" s="65"/>
      <c r="ES40" s="65"/>
      <c r="ET40" s="65"/>
      <c r="EU40" s="65"/>
      <c r="EV40" s="65"/>
      <c r="EW40" s="65"/>
      <c r="EX40" s="65"/>
      <c r="EY40" s="65"/>
      <c r="EZ40" s="65"/>
      <c r="FA40" s="65"/>
      <c r="FB40" s="65"/>
      <c r="FC40" s="65"/>
      <c r="FD40" s="65"/>
      <c r="FE40" s="65"/>
      <c r="FF40" s="65"/>
      <c r="FG40" s="65"/>
      <c r="FH40" s="65"/>
      <c r="FI40" s="65"/>
      <c r="FJ40" s="65"/>
      <c r="FK40" s="65"/>
      <c r="FL40" s="65"/>
      <c r="FM40" s="65"/>
      <c r="FN40" s="65"/>
      <c r="FO40" s="65"/>
      <c r="FP40" s="65"/>
      <c r="FQ40" s="65"/>
      <c r="FR40" s="65"/>
      <c r="FS40" s="65"/>
      <c r="FT40" s="65"/>
      <c r="FU40" s="65"/>
      <c r="FV40" s="65"/>
      <c r="FW40" s="65"/>
      <c r="FX40" s="65"/>
      <c r="FY40" s="65"/>
      <c r="FZ40" s="65"/>
      <c r="GA40" s="65"/>
      <c r="GB40" s="65"/>
      <c r="GC40" s="65"/>
      <c r="GD40" s="65"/>
      <c r="GE40" s="65"/>
      <c r="GF40" s="65"/>
      <c r="GG40" s="65"/>
      <c r="GH40" s="65"/>
      <c r="GI40" s="65"/>
      <c r="GJ40" s="65"/>
      <c r="GK40" s="65"/>
      <c r="GL40" s="65"/>
      <c r="GM40" s="65"/>
      <c r="GN40" s="65"/>
      <c r="GO40" s="65"/>
      <c r="GP40" s="65"/>
      <c r="GQ40" s="65"/>
      <c r="GR40" s="65"/>
      <c r="GS40" s="65"/>
      <c r="GT40" s="65"/>
      <c r="GU40" s="65"/>
      <c r="GV40" s="65"/>
      <c r="GW40" s="65"/>
      <c r="GX40" s="65"/>
      <c r="GY40" s="65"/>
      <c r="GZ40" s="65"/>
      <c r="HA40" s="65"/>
      <c r="HB40" s="65"/>
      <c r="HC40" s="65"/>
      <c r="HD40" s="65"/>
      <c r="HE40" s="65"/>
      <c r="HF40" s="65"/>
      <c r="HG40" s="65"/>
      <c r="HH40" s="65"/>
      <c r="HI40" s="65"/>
      <c r="HJ40" s="65"/>
      <c r="HK40" s="65"/>
      <c r="HL40" s="65"/>
      <c r="HM40" s="65"/>
      <c r="HN40" s="65"/>
      <c r="HO40" s="65"/>
      <c r="HP40" s="65"/>
      <c r="HQ40" s="65"/>
      <c r="HR40" s="65"/>
      <c r="HS40" s="65"/>
      <c r="HT40" s="65"/>
      <c r="HU40" s="65"/>
      <c r="HV40" s="65"/>
      <c r="HW40" s="65"/>
      <c r="HX40" s="65"/>
      <c r="HY40" s="65"/>
      <c r="HZ40" s="65"/>
      <c r="IA40" s="65"/>
      <c r="IB40" s="65"/>
      <c r="IC40" s="65"/>
      <c r="ID40" s="65"/>
      <c r="IE40" s="65"/>
      <c r="IF40" s="65"/>
      <c r="IG40" s="65"/>
      <c r="IH40" s="65"/>
      <c r="II40" s="65"/>
      <c r="IJ40" s="65"/>
      <c r="IK40" s="65"/>
      <c r="IL40" s="65"/>
      <c r="IM40" s="65"/>
      <c r="IN40" s="65"/>
      <c r="IO40" s="65"/>
      <c r="IP40" s="65"/>
      <c r="IQ40" s="65"/>
      <c r="IR40" s="65"/>
      <c r="IS40" s="65"/>
      <c r="IT40" s="65"/>
      <c r="IU40" s="65"/>
      <c r="IV40" s="65"/>
      <c r="IW40" s="65"/>
      <c r="IX40" s="65"/>
      <c r="IY40" s="65"/>
      <c r="IZ40" s="65"/>
      <c r="JA40" s="65"/>
      <c r="JB40" s="65"/>
      <c r="JC40" s="65"/>
      <c r="JD40" s="65"/>
      <c r="JE40" s="65"/>
      <c r="JF40" s="65"/>
      <c r="JG40" s="65"/>
      <c r="JH40" s="65"/>
      <c r="JI40" s="65"/>
      <c r="JJ40" s="65"/>
      <c r="JK40" s="65"/>
      <c r="JL40" s="65"/>
      <c r="JM40" s="65"/>
      <c r="JN40" s="65"/>
      <c r="JO40" s="65"/>
      <c r="JP40" s="65"/>
      <c r="JQ40" s="65"/>
      <c r="JR40" s="65"/>
      <c r="JS40" s="65"/>
      <c r="JT40" s="65"/>
      <c r="JU40" s="65"/>
      <c r="JV40" s="65"/>
      <c r="JW40" s="65"/>
      <c r="JX40" s="65"/>
      <c r="JY40" s="65"/>
      <c r="JZ40" s="65"/>
      <c r="KA40" s="65"/>
      <c r="KB40" s="65"/>
      <c r="KC40" s="65"/>
      <c r="KD40" s="65"/>
      <c r="KE40" s="65"/>
      <c r="KF40" s="65"/>
      <c r="KG40" s="65"/>
      <c r="KH40" s="65"/>
      <c r="KI40" s="65"/>
      <c r="KJ40" s="65"/>
      <c r="KK40" s="65"/>
      <c r="KL40" s="65"/>
      <c r="KM40" s="65"/>
      <c r="KN40" s="65"/>
      <c r="KO40" s="65"/>
      <c r="KP40" s="65"/>
      <c r="KQ40" s="65"/>
      <c r="KR40" s="65"/>
      <c r="KS40" s="65"/>
      <c r="KT40" s="65"/>
      <c r="KU40" s="65"/>
      <c r="KV40" s="65"/>
      <c r="KW40" s="65"/>
      <c r="KX40" s="65"/>
      <c r="KY40" s="65"/>
      <c r="KZ40" s="65"/>
      <c r="LA40" s="65"/>
      <c r="LB40" s="65"/>
      <c r="LC40" s="65"/>
      <c r="LD40" s="65"/>
      <c r="LE40" s="65"/>
      <c r="LF40" s="65"/>
      <c r="LG40" s="65"/>
      <c r="LH40" s="65"/>
      <c r="LI40" s="65"/>
      <c r="LJ40" s="65"/>
      <c r="LK40" s="65"/>
      <c r="LL40" s="65"/>
      <c r="LM40" s="65"/>
      <c r="LN40" s="65"/>
      <c r="LO40" s="65"/>
      <c r="LP40" s="65"/>
      <c r="LQ40" s="65"/>
      <c r="LR40" s="65"/>
      <c r="LS40" s="65"/>
      <c r="LT40" s="65"/>
      <c r="LU40" s="65"/>
      <c r="LV40" s="65"/>
      <c r="LW40" s="65"/>
      <c r="LX40" s="65"/>
      <c r="LY40" s="65"/>
      <c r="LZ40" s="65"/>
      <c r="MA40" s="65"/>
      <c r="MB40" s="65"/>
      <c r="MC40" s="65"/>
      <c r="MD40" s="65"/>
      <c r="ME40" s="65"/>
      <c r="MF40" s="65"/>
      <c r="MG40" s="65"/>
      <c r="MH40" s="65"/>
      <c r="MI40" s="65"/>
      <c r="MJ40" s="65"/>
      <c r="MK40" s="65"/>
      <c r="ML40" s="65"/>
      <c r="MM40" s="65"/>
      <c r="MN40" s="65"/>
      <c r="MO40" s="65"/>
      <c r="MP40" s="65"/>
      <c r="MQ40" s="65"/>
      <c r="MR40" s="65"/>
      <c r="MS40" s="65"/>
      <c r="MT40" s="65"/>
      <c r="MU40" s="65"/>
      <c r="MV40" s="65"/>
      <c r="MW40" s="65"/>
      <c r="MX40" s="65"/>
      <c r="MY40" s="65"/>
      <c r="MZ40" s="65"/>
      <c r="NA40" s="65"/>
      <c r="NB40" s="65"/>
      <c r="NC40" s="65"/>
      <c r="ND40" s="65"/>
      <c r="NE40" s="65"/>
      <c r="NF40" s="65"/>
      <c r="NG40" s="65"/>
      <c r="NH40" s="65"/>
      <c r="NI40" s="65"/>
      <c r="NJ40" s="65"/>
      <c r="NK40" s="65"/>
      <c r="NL40" s="65"/>
      <c r="NM40" s="65"/>
      <c r="NN40" s="65"/>
      <c r="NO40" s="65"/>
      <c r="NP40" s="65"/>
      <c r="NQ40" s="65"/>
      <c r="NR40" s="65"/>
      <c r="NS40" s="65"/>
      <c r="NT40" s="65"/>
      <c r="NU40" s="65"/>
      <c r="NV40" s="65"/>
      <c r="NW40" s="65"/>
      <c r="NX40" s="65"/>
      <c r="NY40" s="65"/>
      <c r="NZ40" s="65"/>
      <c r="OA40" s="65"/>
      <c r="OB40" s="65"/>
      <c r="OC40" s="65"/>
      <c r="OD40" s="65"/>
      <c r="OE40" s="65"/>
      <c r="OF40" s="65"/>
      <c r="OG40" s="65"/>
      <c r="OH40" s="65"/>
      <c r="OI40" s="65"/>
      <c r="OJ40" s="65"/>
      <c r="OK40" s="65"/>
      <c r="OL40" s="65"/>
      <c r="OM40" s="65"/>
      <c r="ON40" s="65"/>
      <c r="OO40" s="65"/>
      <c r="OP40" s="65"/>
      <c r="OQ40" s="65"/>
      <c r="OR40" s="65"/>
      <c r="OS40" s="65"/>
      <c r="OT40" s="65"/>
      <c r="OU40" s="65"/>
      <c r="OV40" s="65"/>
      <c r="OW40" s="65"/>
      <c r="OX40" s="65"/>
      <c r="OY40" s="65"/>
      <c r="OZ40" s="65"/>
      <c r="PA40" s="65"/>
      <c r="PB40" s="65"/>
      <c r="PC40" s="65"/>
      <c r="PD40" s="65"/>
      <c r="PE40" s="65"/>
      <c r="PF40" s="65"/>
      <c r="PG40" s="65"/>
      <c r="PH40" s="65"/>
      <c r="PI40" s="65"/>
      <c r="PJ40" s="65"/>
      <c r="PK40" s="65"/>
      <c r="PL40" s="65"/>
      <c r="PM40" s="65"/>
      <c r="PN40" s="65"/>
      <c r="PO40" s="65"/>
      <c r="PP40" s="65"/>
      <c r="PQ40" s="65"/>
      <c r="PR40" s="65"/>
      <c r="PS40" s="65"/>
      <c r="PT40" s="65"/>
      <c r="PU40" s="65"/>
      <c r="PV40" s="65"/>
      <c r="PW40" s="65"/>
      <c r="PX40" s="65"/>
      <c r="PY40" s="65"/>
      <c r="PZ40" s="65"/>
      <c r="QA40" s="65"/>
      <c r="QB40" s="65"/>
      <c r="QC40" s="65"/>
      <c r="QD40" s="65"/>
      <c r="QE40" s="65"/>
      <c r="QF40" s="65"/>
      <c r="QG40" s="65"/>
      <c r="QH40" s="65"/>
      <c r="QI40" s="65"/>
      <c r="QJ40" s="65"/>
      <c r="QK40" s="65"/>
      <c r="QL40" s="65"/>
      <c r="QM40" s="65"/>
      <c r="QN40" s="65"/>
      <c r="QO40" s="65"/>
      <c r="QP40" s="65"/>
      <c r="QQ40" s="65"/>
      <c r="QR40" s="65"/>
      <c r="QS40" s="65"/>
      <c r="QT40" s="65"/>
      <c r="QU40" s="65"/>
      <c r="QV40" s="65"/>
      <c r="QW40" s="65"/>
      <c r="QX40" s="65"/>
      <c r="QY40" s="65"/>
      <c r="QZ40" s="65"/>
      <c r="RA40" s="65"/>
      <c r="RB40" s="65"/>
      <c r="RC40" s="65"/>
      <c r="RD40" s="65"/>
      <c r="RE40" s="65"/>
      <c r="RF40" s="65"/>
      <c r="RG40" s="65"/>
      <c r="RH40" s="65"/>
      <c r="RI40" s="65"/>
      <c r="RJ40" s="65"/>
      <c r="RK40" s="65"/>
      <c r="RL40" s="65"/>
      <c r="RM40" s="65"/>
      <c r="RN40" s="65"/>
      <c r="RO40" s="65"/>
      <c r="RP40" s="65"/>
      <c r="RQ40" s="65"/>
      <c r="RR40" s="65"/>
      <c r="RS40" s="65"/>
      <c r="RT40" s="65"/>
      <c r="RU40" s="65"/>
      <c r="RV40" s="65"/>
      <c r="RW40" s="65"/>
      <c r="RX40" s="65"/>
      <c r="RY40" s="65"/>
      <c r="RZ40" s="65"/>
      <c r="SA40" s="65"/>
      <c r="SB40" s="65"/>
      <c r="SC40" s="65"/>
      <c r="SD40" s="65"/>
      <c r="SE40" s="65"/>
      <c r="SF40" s="65"/>
      <c r="SG40" s="65"/>
      <c r="SH40" s="65"/>
      <c r="SI40" s="65"/>
      <c r="SJ40" s="65"/>
      <c r="SK40" s="65"/>
      <c r="SL40" s="65"/>
      <c r="SM40" s="65"/>
      <c r="SN40" s="65"/>
      <c r="SO40" s="65"/>
      <c r="SP40" s="65"/>
      <c r="SQ40" s="65"/>
      <c r="SR40" s="65"/>
      <c r="SS40" s="65"/>
      <c r="ST40" s="65"/>
      <c r="SU40" s="65"/>
      <c r="SV40" s="65"/>
      <c r="SW40" s="65"/>
      <c r="SX40" s="65"/>
      <c r="SY40" s="65"/>
      <c r="SZ40" s="65"/>
      <c r="TA40" s="65"/>
      <c r="TB40" s="65"/>
      <c r="TC40" s="65"/>
      <c r="TD40" s="65"/>
      <c r="TE40" s="65"/>
      <c r="TF40" s="65"/>
      <c r="TG40" s="65"/>
      <c r="TH40" s="65"/>
      <c r="TI40" s="65"/>
      <c r="TJ40" s="65"/>
      <c r="TK40" s="65"/>
      <c r="TL40" s="65"/>
      <c r="TM40" s="65"/>
      <c r="TN40" s="65"/>
      <c r="TO40" s="65"/>
      <c r="TP40" s="65"/>
      <c r="TQ40" s="65"/>
      <c r="TR40" s="65"/>
      <c r="TS40" s="65"/>
      <c r="TT40" s="65"/>
      <c r="TU40" s="65"/>
      <c r="TV40" s="65"/>
      <c r="TW40" s="65"/>
      <c r="TX40" s="65"/>
      <c r="TY40" s="65"/>
      <c r="TZ40" s="65"/>
      <c r="UA40" s="65"/>
      <c r="UB40" s="65"/>
      <c r="UC40" s="65"/>
      <c r="UD40" s="65"/>
      <c r="UE40" s="65"/>
      <c r="UF40" s="65"/>
      <c r="UG40" s="65"/>
      <c r="UH40" s="65"/>
      <c r="UI40" s="65"/>
      <c r="UJ40" s="65"/>
      <c r="UK40" s="65"/>
      <c r="UL40" s="65"/>
      <c r="UM40" s="65"/>
      <c r="UN40" s="65"/>
      <c r="UO40" s="65"/>
      <c r="UP40" s="65"/>
      <c r="UQ40" s="65"/>
      <c r="UR40" s="65"/>
      <c r="US40" s="65"/>
      <c r="UT40" s="65"/>
      <c r="UU40" s="65"/>
      <c r="UV40" s="65"/>
      <c r="UW40" s="65"/>
      <c r="UX40" s="65"/>
      <c r="UY40" s="65"/>
      <c r="UZ40" s="65"/>
      <c r="VA40" s="65"/>
      <c r="VB40" s="65"/>
      <c r="VC40" s="65"/>
      <c r="VD40" s="65"/>
      <c r="VE40" s="65"/>
      <c r="VF40" s="65"/>
      <c r="VG40" s="65"/>
      <c r="VH40" s="65"/>
      <c r="VI40" s="65"/>
      <c r="VJ40" s="65"/>
      <c r="VK40" s="65"/>
      <c r="VL40" s="65"/>
      <c r="VM40" s="65"/>
      <c r="VN40" s="65"/>
      <c r="VO40" s="65"/>
      <c r="VP40" s="65"/>
      <c r="VQ40" s="65"/>
      <c r="VR40" s="65"/>
      <c r="VS40" s="65"/>
      <c r="VT40" s="65"/>
      <c r="VU40" s="65"/>
      <c r="VV40" s="65"/>
      <c r="VW40" s="65"/>
      <c r="VX40" s="65"/>
      <c r="VY40" s="65"/>
      <c r="VZ40" s="65"/>
      <c r="WA40" s="65"/>
      <c r="WB40" s="65"/>
      <c r="WC40" s="65"/>
      <c r="WD40" s="65"/>
      <c r="WE40" s="65"/>
      <c r="WF40" s="65"/>
      <c r="WG40" s="65"/>
      <c r="WH40" s="65"/>
      <c r="WI40" s="65"/>
      <c r="WJ40" s="65"/>
      <c r="WK40" s="65"/>
      <c r="WL40" s="65"/>
      <c r="WM40" s="65"/>
      <c r="WN40" s="65"/>
      <c r="WO40" s="65"/>
      <c r="WP40" s="65"/>
      <c r="WQ40" s="65"/>
      <c r="WR40" s="65"/>
      <c r="WS40" s="65"/>
      <c r="WT40" s="65"/>
      <c r="WU40" s="65"/>
      <c r="WV40" s="65"/>
      <c r="WW40" s="65"/>
      <c r="WX40" s="65"/>
      <c r="WY40" s="65"/>
      <c r="WZ40" s="65"/>
      <c r="XA40" s="65"/>
      <c r="XB40" s="65"/>
      <c r="XC40" s="65"/>
      <c r="XD40" s="65"/>
      <c r="XE40" s="65"/>
      <c r="XF40" s="65"/>
      <c r="XG40" s="65"/>
      <c r="XH40" s="65"/>
      <c r="XI40" s="65"/>
      <c r="XJ40" s="65"/>
      <c r="XK40" s="65"/>
      <c r="XL40" s="65"/>
      <c r="XM40" s="65"/>
      <c r="XN40" s="65"/>
      <c r="XO40" s="65"/>
      <c r="XP40" s="65"/>
      <c r="XQ40" s="65"/>
      <c r="XR40" s="65"/>
      <c r="XS40" s="65"/>
      <c r="XT40" s="65"/>
      <c r="XU40" s="65"/>
      <c r="XV40" s="65"/>
      <c r="XW40" s="65"/>
      <c r="XX40" s="65"/>
      <c r="XY40" s="65"/>
      <c r="XZ40" s="65"/>
      <c r="YA40" s="65"/>
      <c r="YB40" s="65"/>
      <c r="YC40" s="65"/>
      <c r="YD40" s="65"/>
      <c r="YE40" s="65"/>
      <c r="YF40" s="65"/>
      <c r="YG40" s="65"/>
      <c r="YH40" s="65"/>
      <c r="YI40" s="65"/>
      <c r="YJ40" s="65"/>
      <c r="YK40" s="65"/>
      <c r="YL40" s="65"/>
      <c r="YM40" s="65"/>
      <c r="YN40" s="65"/>
      <c r="YO40" s="65"/>
      <c r="YP40" s="65"/>
      <c r="YQ40" s="65"/>
      <c r="YR40" s="65"/>
      <c r="YS40" s="65"/>
      <c r="YT40" s="65"/>
      <c r="YU40" s="65"/>
      <c r="YV40" s="65"/>
      <c r="YW40" s="65"/>
      <c r="YX40" s="65"/>
      <c r="YY40" s="65"/>
      <c r="YZ40" s="65"/>
      <c r="ZA40" s="65"/>
      <c r="ZB40" s="65"/>
      <c r="ZC40" s="65"/>
      <c r="ZD40" s="65"/>
      <c r="ZE40" s="65"/>
      <c r="ZF40" s="65"/>
      <c r="ZG40" s="65"/>
      <c r="ZH40" s="65"/>
      <c r="ZI40" s="65"/>
      <c r="ZJ40" s="65"/>
      <c r="ZK40" s="65"/>
      <c r="ZL40" s="65"/>
      <c r="ZM40" s="65"/>
      <c r="ZN40" s="65"/>
      <c r="ZO40" s="65"/>
      <c r="ZP40" s="65"/>
      <c r="ZQ40" s="65"/>
      <c r="ZR40" s="65"/>
      <c r="ZS40" s="65"/>
      <c r="ZT40" s="65"/>
      <c r="ZU40" s="65"/>
      <c r="ZV40" s="65"/>
      <c r="ZW40" s="65"/>
      <c r="ZX40" s="65"/>
      <c r="ZY40" s="65"/>
      <c r="ZZ40" s="65"/>
      <c r="AAA40" s="65"/>
      <c r="AAB40" s="65"/>
      <c r="AAC40" s="65"/>
      <c r="AAD40" s="65"/>
      <c r="AAE40" s="65"/>
      <c r="AAF40" s="65"/>
      <c r="AAG40" s="65"/>
      <c r="AAH40" s="65"/>
      <c r="AAI40" s="65"/>
      <c r="AAJ40" s="65"/>
      <c r="AAK40" s="65"/>
      <c r="AAL40" s="65"/>
      <c r="AAM40" s="65"/>
      <c r="AAN40" s="65"/>
      <c r="AAO40" s="65"/>
      <c r="AAP40" s="65"/>
      <c r="AAQ40" s="65"/>
      <c r="AAR40" s="65"/>
      <c r="AAS40" s="65"/>
      <c r="AAT40" s="65"/>
      <c r="AAU40" s="65"/>
      <c r="AAV40" s="65"/>
      <c r="AAW40" s="65"/>
      <c r="AAX40" s="65"/>
      <c r="AAY40" s="65"/>
      <c r="AAZ40" s="65"/>
      <c r="ABA40" s="65"/>
      <c r="ABB40" s="65"/>
      <c r="ABC40" s="65"/>
      <c r="ABD40" s="65"/>
      <c r="ABE40" s="65"/>
      <c r="ABF40" s="65"/>
      <c r="ABG40" s="65"/>
      <c r="ABH40" s="65"/>
      <c r="ABI40" s="65"/>
      <c r="ABJ40" s="65"/>
      <c r="ABK40" s="65"/>
      <c r="ABL40" s="65"/>
      <c r="ABM40" s="65"/>
      <c r="ABN40" s="65"/>
      <c r="ABO40" s="65"/>
      <c r="ABP40" s="65"/>
      <c r="ABQ40" s="65"/>
      <c r="ABR40" s="65"/>
      <c r="ABS40" s="65"/>
      <c r="ABT40" s="65"/>
      <c r="ABU40" s="65"/>
      <c r="ABV40" s="65"/>
      <c r="ABW40" s="65"/>
      <c r="ABX40" s="65"/>
      <c r="ABY40" s="65"/>
      <c r="ABZ40" s="65"/>
      <c r="ACA40" s="65"/>
      <c r="ACB40" s="65"/>
      <c r="ACC40" s="65"/>
      <c r="ACD40" s="65"/>
      <c r="ACE40" s="65"/>
      <c r="ACF40" s="65"/>
      <c r="ACG40" s="65"/>
      <c r="ACH40" s="65"/>
      <c r="ACI40" s="65"/>
      <c r="ACJ40" s="65"/>
      <c r="ACK40" s="65"/>
      <c r="ACL40" s="65"/>
      <c r="ACM40" s="65"/>
      <c r="ACN40" s="65"/>
      <c r="ACO40" s="65"/>
      <c r="ACP40" s="65"/>
      <c r="ACQ40" s="65"/>
      <c r="ACR40" s="65"/>
      <c r="ACS40" s="65"/>
      <c r="ACT40" s="65"/>
      <c r="ACU40" s="65"/>
      <c r="ACV40" s="65"/>
      <c r="ACW40" s="65"/>
      <c r="ACX40" s="65"/>
      <c r="ACY40" s="65"/>
      <c r="ACZ40" s="65"/>
      <c r="ADA40" s="65"/>
      <c r="ADB40" s="65"/>
      <c r="ADC40" s="65"/>
      <c r="ADD40" s="65"/>
      <c r="ADE40" s="65"/>
      <c r="ADF40" s="65"/>
      <c r="ADG40" s="65"/>
      <c r="ADH40" s="65"/>
      <c r="ADI40" s="65"/>
      <c r="ADJ40" s="65"/>
      <c r="ADK40" s="65"/>
      <c r="ADL40" s="65"/>
      <c r="ADM40" s="65"/>
      <c r="ADN40" s="65"/>
      <c r="ADO40" s="65"/>
      <c r="ADP40" s="65"/>
      <c r="ADQ40" s="65"/>
      <c r="ADR40" s="65"/>
      <c r="ADS40" s="65"/>
      <c r="ADT40" s="65"/>
      <c r="ADU40" s="65"/>
      <c r="ADV40" s="65"/>
      <c r="ADW40" s="65"/>
      <c r="ADX40" s="65"/>
      <c r="ADY40" s="65"/>
      <c r="ADZ40" s="65"/>
      <c r="AEA40" s="65"/>
      <c r="AEB40" s="65"/>
      <c r="AEC40" s="65"/>
      <c r="AED40" s="65"/>
      <c r="AEE40" s="65"/>
      <c r="AEF40" s="65"/>
      <c r="AEG40" s="65"/>
      <c r="AEH40" s="65"/>
      <c r="AEI40" s="65"/>
      <c r="AEJ40" s="65"/>
      <c r="AEK40" s="65"/>
      <c r="AEL40" s="65"/>
      <c r="AEM40" s="65"/>
      <c r="AEN40" s="65"/>
      <c r="AEO40" s="65"/>
      <c r="AEP40" s="65"/>
      <c r="AEQ40" s="65"/>
      <c r="AER40" s="65"/>
      <c r="AES40" s="65"/>
      <c r="AET40" s="65"/>
      <c r="AEU40" s="65"/>
      <c r="AEV40" s="65"/>
      <c r="AEW40" s="65"/>
      <c r="AEX40" s="65"/>
      <c r="AEY40" s="65"/>
      <c r="AEZ40" s="65"/>
      <c r="AFA40" s="65"/>
      <c r="AFB40" s="65"/>
      <c r="AFC40" s="65"/>
      <c r="AFD40" s="65"/>
      <c r="AFE40" s="65"/>
      <c r="AFF40" s="65"/>
      <c r="AFG40" s="65"/>
      <c r="AFH40" s="65"/>
      <c r="AFI40" s="65"/>
      <c r="AFJ40" s="65"/>
      <c r="AFK40" s="65"/>
      <c r="AFL40" s="65"/>
      <c r="AFM40" s="65"/>
      <c r="AFN40" s="65"/>
      <c r="AFO40" s="65"/>
      <c r="AFP40" s="65"/>
      <c r="AFQ40" s="65"/>
      <c r="AFR40" s="65"/>
      <c r="AFS40" s="65"/>
      <c r="AFT40" s="65"/>
      <c r="AFU40" s="65"/>
      <c r="AFV40" s="65"/>
      <c r="AFW40" s="65"/>
      <c r="AFX40" s="65"/>
      <c r="AFY40" s="65"/>
      <c r="AFZ40" s="65"/>
      <c r="AGA40" s="65"/>
      <c r="AGB40" s="65"/>
      <c r="AGC40" s="65"/>
      <c r="AGD40" s="65"/>
      <c r="AGE40" s="65"/>
      <c r="AGF40" s="65"/>
      <c r="AGG40" s="65"/>
      <c r="AGH40" s="65"/>
      <c r="AGI40" s="65"/>
      <c r="AGJ40" s="65"/>
      <c r="AGK40" s="65"/>
      <c r="AGL40" s="65"/>
      <c r="AGM40" s="65"/>
      <c r="AGN40" s="65"/>
      <c r="AGO40" s="65"/>
      <c r="AGP40" s="65"/>
      <c r="AGQ40" s="65"/>
      <c r="AGR40" s="65"/>
      <c r="AGS40" s="65"/>
      <c r="AGT40" s="65"/>
      <c r="AGU40" s="65"/>
      <c r="AGV40" s="65"/>
      <c r="AGW40" s="65"/>
      <c r="AGX40" s="65"/>
      <c r="AGY40" s="65"/>
      <c r="AGZ40" s="65"/>
      <c r="AHA40" s="65"/>
      <c r="AHB40" s="65"/>
      <c r="AHC40" s="65"/>
      <c r="AHD40" s="65"/>
      <c r="AHE40" s="65"/>
      <c r="AHF40" s="65"/>
      <c r="AHG40" s="65"/>
      <c r="AHH40" s="65"/>
      <c r="AHI40" s="65"/>
      <c r="AHJ40" s="65"/>
      <c r="AHK40" s="65"/>
      <c r="AHL40" s="65"/>
      <c r="AHM40" s="65"/>
      <c r="AHN40" s="65"/>
      <c r="AHO40" s="65"/>
      <c r="AHP40" s="65"/>
      <c r="AHQ40" s="65"/>
      <c r="AHR40" s="65"/>
      <c r="AHS40" s="65"/>
      <c r="AHT40" s="65"/>
      <c r="AHU40" s="65"/>
      <c r="AHV40" s="65"/>
      <c r="AHW40" s="65"/>
      <c r="AHX40" s="65"/>
      <c r="AHY40" s="65"/>
      <c r="AHZ40" s="65"/>
      <c r="AIA40" s="65"/>
      <c r="AIB40" s="65"/>
      <c r="AIC40" s="65"/>
      <c r="AID40" s="65"/>
      <c r="AIE40" s="65"/>
      <c r="AIF40" s="65"/>
      <c r="AIG40" s="65"/>
      <c r="AIH40" s="65"/>
      <c r="AII40" s="65"/>
      <c r="AIJ40" s="65"/>
      <c r="AIK40" s="65"/>
      <c r="AIL40" s="65"/>
      <c r="AIM40" s="65"/>
      <c r="AIN40" s="65"/>
      <c r="AIO40" s="65"/>
      <c r="AIP40" s="65"/>
      <c r="AIQ40" s="65"/>
      <c r="AIR40" s="65"/>
      <c r="AIS40" s="65"/>
      <c r="AIT40" s="65"/>
      <c r="AIU40" s="65"/>
      <c r="AIV40" s="65"/>
      <c r="AIW40" s="65"/>
      <c r="AIX40" s="65"/>
      <c r="AIY40" s="65"/>
      <c r="AIZ40" s="65"/>
      <c r="AJA40" s="65"/>
      <c r="AJB40" s="65"/>
      <c r="AJC40" s="65"/>
      <c r="AJD40" s="65"/>
      <c r="AJE40" s="65"/>
      <c r="AJF40" s="65"/>
      <c r="AJG40" s="65"/>
      <c r="AJH40" s="65"/>
      <c r="AJI40" s="65"/>
      <c r="AJJ40" s="65"/>
      <c r="AJK40" s="65"/>
      <c r="AJL40" s="65"/>
      <c r="AJM40" s="65"/>
      <c r="AJN40" s="65"/>
      <c r="AJO40" s="65"/>
      <c r="AJP40" s="65"/>
      <c r="AJQ40" s="65"/>
      <c r="AJR40" s="65"/>
      <c r="AJS40" s="65"/>
      <c r="AJT40" s="65"/>
      <c r="AJU40" s="65"/>
      <c r="AJV40" s="65"/>
      <c r="AJW40" s="65"/>
      <c r="AJX40" s="65"/>
      <c r="AJY40" s="65"/>
      <c r="AJZ40" s="65"/>
      <c r="AKA40" s="65"/>
      <c r="AKB40" s="65"/>
      <c r="AKC40" s="65"/>
      <c r="AKD40" s="65"/>
      <c r="AKE40" s="65"/>
      <c r="AKF40" s="65"/>
      <c r="AKG40" s="65"/>
      <c r="AKH40" s="65"/>
      <c r="AKI40" s="65"/>
      <c r="AKJ40" s="65"/>
      <c r="AKK40" s="65"/>
      <c r="AKL40" s="65"/>
      <c r="AKM40" s="65"/>
      <c r="AKN40" s="65"/>
      <c r="AKO40" s="65"/>
      <c r="AKP40" s="65"/>
      <c r="AKQ40" s="65"/>
      <c r="AKR40" s="65"/>
      <c r="AKS40" s="65"/>
      <c r="AKT40" s="65"/>
      <c r="AKU40" s="65"/>
      <c r="AKV40" s="65"/>
      <c r="AKW40" s="65"/>
      <c r="AKX40" s="65"/>
      <c r="AKY40" s="65"/>
      <c r="AKZ40" s="65"/>
      <c r="ALA40" s="65"/>
      <c r="ALB40" s="65"/>
      <c r="ALC40" s="65"/>
      <c r="ALD40" s="65"/>
      <c r="ALE40" s="65"/>
      <c r="ALF40" s="65"/>
      <c r="ALG40" s="65"/>
      <c r="ALH40" s="65"/>
      <c r="ALI40" s="65"/>
      <c r="ALJ40" s="65"/>
      <c r="ALK40" s="65"/>
      <c r="ALL40" s="65"/>
      <c r="ALM40" s="65"/>
      <c r="ALN40" s="65"/>
      <c r="ALO40" s="65"/>
      <c r="ALP40" s="65"/>
      <c r="ALQ40" s="65"/>
      <c r="ALR40" s="65"/>
      <c r="ALS40" s="65"/>
      <c r="ALT40" s="65"/>
      <c r="ALU40" s="65"/>
      <c r="ALV40" s="65"/>
      <c r="ALW40" s="65"/>
      <c r="ALX40" s="65"/>
      <c r="ALY40" s="65"/>
      <c r="ALZ40" s="65"/>
      <c r="AMA40" s="65"/>
      <c r="AMB40" s="65"/>
      <c r="AMC40" s="65"/>
      <c r="AMD40" s="65"/>
      <c r="AME40" s="65"/>
      <c r="AMF40" s="65"/>
      <c r="AMG40" s="65"/>
      <c r="AMH40" s="65"/>
      <c r="AMI40" s="65"/>
      <c r="AMJ40" s="65"/>
      <c r="AMK40" s="65"/>
      <c r="AML40" s="65"/>
      <c r="AMM40" s="65"/>
      <c r="AMN40" s="65"/>
      <c r="AMO40" s="65"/>
      <c r="AMP40" s="65"/>
      <c r="AMQ40" s="65"/>
      <c r="AMR40" s="65"/>
      <c r="AMS40" s="65"/>
      <c r="AMT40" s="65"/>
      <c r="AMU40" s="65"/>
      <c r="AMV40" s="65"/>
      <c r="AMW40" s="65"/>
      <c r="AMX40" s="65"/>
      <c r="AMY40" s="65"/>
      <c r="AMZ40" s="65"/>
      <c r="ANA40" s="65"/>
      <c r="ANB40" s="65"/>
      <c r="ANC40" s="65"/>
      <c r="AND40" s="65"/>
      <c r="ANE40" s="65"/>
      <c r="ANF40" s="65"/>
      <c r="ANG40" s="65"/>
      <c r="ANH40" s="65"/>
      <c r="ANI40" s="65"/>
      <c r="ANJ40" s="65"/>
      <c r="ANK40" s="65"/>
      <c r="ANL40" s="65"/>
      <c r="ANM40" s="65"/>
      <c r="ANN40" s="65"/>
      <c r="ANO40" s="65"/>
      <c r="ANP40" s="65"/>
      <c r="ANQ40" s="65"/>
      <c r="ANR40" s="65"/>
      <c r="ANS40" s="65"/>
      <c r="ANT40" s="65"/>
      <c r="ANU40" s="65"/>
      <c r="ANV40" s="65"/>
      <c r="ANW40" s="65"/>
      <c r="ANX40" s="65"/>
      <c r="ANY40" s="65"/>
      <c r="ANZ40" s="65"/>
      <c r="AOA40" s="65"/>
      <c r="AOB40" s="65"/>
      <c r="AOC40" s="65"/>
      <c r="AOD40" s="65"/>
      <c r="AOE40" s="65"/>
      <c r="AOF40" s="65"/>
      <c r="AOG40" s="65"/>
      <c r="AOH40" s="65"/>
      <c r="AOI40" s="65"/>
      <c r="AOJ40" s="65"/>
      <c r="AOK40" s="65"/>
      <c r="AOL40" s="65"/>
      <c r="AOM40" s="65"/>
      <c r="AON40" s="65"/>
      <c r="AOO40" s="65"/>
      <c r="AOP40" s="65"/>
      <c r="AOQ40" s="65"/>
      <c r="AOR40" s="65"/>
      <c r="AOS40" s="65"/>
      <c r="AOT40" s="65"/>
      <c r="AOU40" s="65"/>
      <c r="AOV40" s="65"/>
      <c r="AOW40" s="65"/>
      <c r="AOX40" s="65"/>
      <c r="AOY40" s="65"/>
      <c r="AOZ40" s="65"/>
      <c r="APA40" s="65"/>
      <c r="APB40" s="65"/>
      <c r="APC40" s="65"/>
      <c r="APD40" s="65"/>
      <c r="APE40" s="65"/>
      <c r="APF40" s="65"/>
      <c r="APG40" s="65"/>
      <c r="APH40" s="65"/>
      <c r="API40" s="65"/>
      <c r="APJ40" s="65"/>
      <c r="APK40" s="65"/>
      <c r="APL40" s="65"/>
      <c r="APM40" s="65"/>
      <c r="APN40" s="65"/>
      <c r="APO40" s="65"/>
      <c r="APP40" s="65"/>
      <c r="APQ40" s="65"/>
      <c r="APR40" s="65"/>
      <c r="APS40" s="65"/>
      <c r="APT40" s="65"/>
      <c r="APU40" s="65"/>
      <c r="APV40" s="65"/>
      <c r="APW40" s="65"/>
      <c r="APX40" s="65"/>
      <c r="APY40" s="65"/>
      <c r="APZ40" s="65"/>
      <c r="AQA40" s="65"/>
      <c r="AQB40" s="65"/>
      <c r="AQC40" s="65"/>
      <c r="AQD40" s="65"/>
      <c r="AQE40" s="65"/>
      <c r="AQF40" s="65"/>
      <c r="AQG40" s="65"/>
      <c r="AQH40" s="65"/>
      <c r="AQI40" s="65"/>
      <c r="AQJ40" s="65"/>
      <c r="AQK40" s="65"/>
      <c r="AQL40" s="65"/>
      <c r="AQM40" s="65"/>
      <c r="AQN40" s="65"/>
      <c r="AQO40" s="65"/>
      <c r="AQP40" s="65"/>
      <c r="AQQ40" s="65"/>
      <c r="AQR40" s="65"/>
      <c r="AQS40" s="65"/>
      <c r="AQT40" s="65"/>
      <c r="AQU40" s="65"/>
      <c r="AQV40" s="65"/>
      <c r="AQW40" s="65"/>
      <c r="AQX40" s="65"/>
      <c r="AQY40" s="65"/>
      <c r="AQZ40" s="65"/>
      <c r="ARA40" s="65"/>
      <c r="ARB40" s="65"/>
      <c r="ARC40" s="65"/>
      <c r="ARD40" s="65"/>
      <c r="ARE40" s="65"/>
      <c r="ARF40" s="65"/>
      <c r="ARG40" s="65"/>
      <c r="ARH40" s="65"/>
      <c r="ARI40" s="65"/>
      <c r="ARJ40" s="65"/>
      <c r="ARK40" s="65"/>
      <c r="ARL40" s="65"/>
      <c r="ARM40" s="65"/>
      <c r="ARN40" s="65"/>
      <c r="ARO40" s="65"/>
      <c r="ARP40" s="65"/>
      <c r="ARQ40" s="65"/>
      <c r="ARR40" s="65"/>
      <c r="ARS40" s="65"/>
      <c r="ART40" s="65"/>
      <c r="ARU40" s="65"/>
      <c r="ARV40" s="65"/>
      <c r="ARW40" s="65"/>
      <c r="ARX40" s="65"/>
      <c r="ARY40" s="65"/>
      <c r="ARZ40" s="65"/>
      <c r="ASA40" s="65"/>
      <c r="ASB40" s="65"/>
      <c r="ASC40" s="65"/>
      <c r="ASD40" s="65"/>
      <c r="ASE40" s="65"/>
      <c r="ASF40" s="65"/>
      <c r="ASG40" s="65"/>
      <c r="ASH40" s="65"/>
      <c r="ASI40" s="65"/>
      <c r="ASJ40" s="65"/>
      <c r="ASK40" s="65"/>
      <c r="ASL40" s="65"/>
      <c r="ASM40" s="65"/>
      <c r="ASN40" s="65"/>
      <c r="ASO40" s="65"/>
      <c r="ASP40" s="65"/>
      <c r="ASQ40" s="65"/>
      <c r="ASR40" s="65"/>
      <c r="ASS40" s="65"/>
      <c r="AST40" s="65"/>
      <c r="ASU40" s="65"/>
      <c r="ASV40" s="65"/>
      <c r="ASW40" s="65"/>
      <c r="ASX40" s="65"/>
      <c r="ASY40" s="65"/>
      <c r="ASZ40" s="65"/>
      <c r="ATA40" s="65"/>
      <c r="ATB40" s="65"/>
      <c r="ATC40" s="65"/>
      <c r="ATD40" s="65"/>
      <c r="ATE40" s="65"/>
      <c r="ATF40" s="65"/>
      <c r="ATG40" s="65"/>
      <c r="ATH40" s="65"/>
      <c r="ATI40" s="65"/>
      <c r="ATJ40" s="65"/>
      <c r="ATK40" s="65"/>
      <c r="ATL40" s="65"/>
      <c r="ATM40" s="65"/>
      <c r="ATN40" s="65"/>
      <c r="ATO40" s="65"/>
      <c r="ATP40" s="65"/>
      <c r="ATQ40" s="65"/>
      <c r="ATR40" s="65"/>
      <c r="ATS40" s="65"/>
      <c r="ATT40" s="65"/>
      <c r="ATU40" s="65"/>
      <c r="ATV40" s="65"/>
      <c r="ATW40" s="65"/>
      <c r="ATX40" s="65"/>
      <c r="ATY40" s="65"/>
      <c r="ATZ40" s="65"/>
      <c r="AUA40" s="65"/>
      <c r="AUB40" s="65"/>
      <c r="AUC40" s="65"/>
      <c r="AUD40" s="65"/>
      <c r="AUE40" s="65"/>
      <c r="AUF40" s="65"/>
      <c r="AUG40" s="65"/>
      <c r="AUH40" s="65"/>
      <c r="AUI40" s="65"/>
      <c r="AUJ40" s="65"/>
      <c r="AUK40" s="65"/>
      <c r="AUL40" s="65"/>
      <c r="AUM40" s="65"/>
      <c r="AUN40" s="65"/>
      <c r="AUO40" s="65"/>
      <c r="AUP40" s="65"/>
      <c r="AUQ40" s="65"/>
      <c r="AUR40" s="65"/>
      <c r="AUS40" s="65"/>
      <c r="AUT40" s="65"/>
      <c r="AUU40" s="65"/>
      <c r="AUV40" s="65"/>
      <c r="AUW40" s="65"/>
      <c r="AUX40" s="65"/>
      <c r="AUY40" s="65"/>
      <c r="AUZ40" s="65"/>
      <c r="AVA40" s="65"/>
      <c r="AVB40" s="65"/>
      <c r="AVC40" s="65"/>
      <c r="AVD40" s="65"/>
      <c r="AVE40" s="65"/>
      <c r="AVF40" s="65"/>
      <c r="AVG40" s="65"/>
      <c r="AVH40" s="65"/>
      <c r="AVI40" s="65"/>
      <c r="AVJ40" s="65"/>
      <c r="AVK40" s="65"/>
      <c r="AVL40" s="65"/>
      <c r="AVM40" s="65"/>
      <c r="AVN40" s="65"/>
      <c r="AVO40" s="65"/>
      <c r="AVP40" s="65"/>
      <c r="AVQ40" s="65"/>
      <c r="AVR40" s="65"/>
      <c r="AVS40" s="65"/>
      <c r="AVT40" s="65"/>
      <c r="AVU40" s="65"/>
      <c r="AVV40" s="65"/>
      <c r="AVW40" s="65"/>
      <c r="AVX40" s="65"/>
      <c r="AVY40" s="65"/>
      <c r="AVZ40" s="65"/>
      <c r="AWA40" s="65"/>
      <c r="AWB40" s="65"/>
      <c r="AWC40" s="65"/>
      <c r="AWD40" s="65"/>
      <c r="AWE40" s="65"/>
      <c r="AWF40" s="65"/>
      <c r="AWG40" s="65"/>
      <c r="AWH40" s="65"/>
      <c r="AWI40" s="65"/>
      <c r="AWJ40" s="65"/>
      <c r="AWK40" s="65"/>
      <c r="AWL40" s="65"/>
      <c r="AWM40" s="65"/>
      <c r="AWN40" s="65"/>
      <c r="AWO40" s="65"/>
      <c r="AWP40" s="65"/>
      <c r="AWQ40" s="65"/>
      <c r="AWR40" s="65"/>
      <c r="AWS40" s="65"/>
      <c r="AWT40" s="65"/>
      <c r="AWU40" s="65"/>
      <c r="AWV40" s="65"/>
      <c r="AWW40" s="65"/>
      <c r="AWX40" s="65"/>
      <c r="AWY40" s="65"/>
      <c r="AWZ40" s="65"/>
      <c r="AXA40" s="65"/>
      <c r="AXB40" s="65"/>
      <c r="AXC40" s="65"/>
      <c r="AXD40" s="65"/>
      <c r="AXE40" s="65"/>
      <c r="AXF40" s="65"/>
      <c r="AXG40" s="65"/>
      <c r="AXH40" s="65"/>
      <c r="AXI40" s="65"/>
      <c r="AXJ40" s="65"/>
      <c r="AXK40" s="65"/>
      <c r="AXL40" s="65"/>
      <c r="AXM40" s="65"/>
      <c r="AXN40" s="65"/>
      <c r="AXO40" s="65"/>
      <c r="AXP40" s="65"/>
      <c r="AXQ40" s="65"/>
      <c r="AXR40" s="65"/>
      <c r="AXS40" s="65"/>
      <c r="AXT40" s="65"/>
      <c r="AXU40" s="65"/>
      <c r="AXV40" s="65"/>
      <c r="AXW40" s="65"/>
      <c r="AXX40" s="65"/>
      <c r="AXY40" s="65"/>
      <c r="AXZ40" s="65"/>
      <c r="AYA40" s="65"/>
      <c r="AYB40" s="65"/>
      <c r="AYC40" s="65"/>
      <c r="AYD40" s="65"/>
      <c r="AYE40" s="65"/>
      <c r="AYF40" s="65"/>
      <c r="AYG40" s="65"/>
      <c r="AYH40" s="65"/>
      <c r="AYI40" s="65"/>
      <c r="AYJ40" s="65"/>
      <c r="AYK40" s="65"/>
      <c r="AYL40" s="65"/>
      <c r="AYM40" s="65"/>
      <c r="AYN40" s="65"/>
      <c r="AYO40" s="65"/>
      <c r="AYP40" s="65"/>
      <c r="AYQ40" s="65"/>
      <c r="AYR40" s="65"/>
      <c r="AYS40" s="65"/>
      <c r="AYT40" s="65"/>
      <c r="AYU40" s="65"/>
      <c r="AYV40" s="65"/>
      <c r="AYW40" s="65"/>
      <c r="AYX40" s="65"/>
      <c r="AYY40" s="65"/>
      <c r="AYZ40" s="65"/>
      <c r="AZA40" s="65"/>
      <c r="AZB40" s="65"/>
      <c r="AZC40" s="65"/>
      <c r="AZD40" s="65"/>
      <c r="AZE40" s="65"/>
      <c r="AZF40" s="65"/>
      <c r="AZG40" s="65"/>
      <c r="AZH40" s="65"/>
      <c r="AZI40" s="65"/>
      <c r="AZJ40" s="65"/>
      <c r="AZK40" s="65"/>
      <c r="AZL40" s="65"/>
      <c r="AZM40" s="65"/>
      <c r="AZN40" s="65"/>
      <c r="AZO40" s="65"/>
      <c r="AZP40" s="65"/>
      <c r="AZQ40" s="65"/>
      <c r="AZR40" s="65"/>
      <c r="AZS40" s="65"/>
      <c r="AZT40" s="65"/>
      <c r="AZU40" s="65"/>
      <c r="AZV40" s="65"/>
      <c r="AZW40" s="65"/>
      <c r="AZX40" s="65"/>
      <c r="AZY40" s="65"/>
      <c r="AZZ40" s="65"/>
      <c r="BAA40" s="65"/>
      <c r="BAB40" s="65"/>
      <c r="BAC40" s="65"/>
      <c r="BAD40" s="65"/>
      <c r="BAE40" s="65"/>
      <c r="BAF40" s="65"/>
      <c r="BAG40" s="65"/>
      <c r="BAH40" s="65"/>
      <c r="BAI40" s="65"/>
      <c r="BAJ40" s="65"/>
      <c r="BAK40" s="65"/>
      <c r="BAL40" s="65"/>
      <c r="BAM40" s="65"/>
      <c r="BAN40" s="65"/>
      <c r="BAO40" s="65"/>
      <c r="BAP40" s="65"/>
      <c r="BAQ40" s="65"/>
      <c r="BAR40" s="65"/>
      <c r="BAS40" s="65"/>
      <c r="BAT40" s="65"/>
      <c r="BAU40" s="65"/>
      <c r="BAV40" s="65"/>
      <c r="BAW40" s="65"/>
      <c r="BAX40" s="65"/>
      <c r="BAY40" s="65"/>
      <c r="BAZ40" s="65"/>
      <c r="BBA40" s="65"/>
      <c r="BBB40" s="65"/>
      <c r="BBC40" s="65"/>
      <c r="BBD40" s="65"/>
      <c r="BBE40" s="65"/>
      <c r="BBF40" s="65"/>
      <c r="BBG40" s="65"/>
      <c r="BBH40" s="65"/>
      <c r="BBI40" s="65"/>
      <c r="BBJ40" s="65"/>
      <c r="BBK40" s="65"/>
      <c r="BBL40" s="65"/>
      <c r="BBM40" s="65"/>
      <c r="BBN40" s="65"/>
      <c r="BBO40" s="65"/>
      <c r="BBP40" s="65"/>
      <c r="BBQ40" s="65"/>
      <c r="BBR40" s="65"/>
      <c r="BBS40" s="65"/>
      <c r="BBT40" s="65"/>
      <c r="BBU40" s="65"/>
      <c r="BBV40" s="65"/>
      <c r="BBW40" s="65"/>
      <c r="BBX40" s="65"/>
      <c r="BBY40" s="65"/>
      <c r="BBZ40" s="65"/>
      <c r="BCA40" s="65"/>
      <c r="BCB40" s="65"/>
      <c r="BCC40" s="65"/>
      <c r="BCD40" s="65"/>
      <c r="BCE40" s="65"/>
      <c r="BCF40" s="65"/>
      <c r="BCG40" s="65"/>
      <c r="BCH40" s="65"/>
      <c r="BCI40" s="65"/>
      <c r="BCJ40" s="65"/>
      <c r="BCK40" s="65"/>
      <c r="BCL40" s="65"/>
      <c r="BCM40" s="65"/>
      <c r="BCN40" s="65"/>
      <c r="BCO40" s="65"/>
      <c r="BCP40" s="65"/>
      <c r="BCQ40" s="65"/>
      <c r="BCR40" s="65"/>
      <c r="BCS40" s="65"/>
      <c r="BCT40" s="65"/>
      <c r="BCU40" s="65"/>
      <c r="BCV40" s="65"/>
      <c r="BCW40" s="65"/>
      <c r="BCX40" s="65"/>
      <c r="BCY40" s="65"/>
      <c r="BCZ40" s="65"/>
      <c r="BDA40" s="65"/>
      <c r="BDB40" s="65"/>
      <c r="BDC40" s="65"/>
      <c r="BDD40" s="65"/>
      <c r="BDE40" s="65"/>
      <c r="BDF40" s="65"/>
      <c r="BDG40" s="65"/>
      <c r="BDH40" s="65"/>
      <c r="BDI40" s="65"/>
      <c r="BDJ40" s="65"/>
      <c r="BDK40" s="65"/>
      <c r="BDL40" s="65"/>
      <c r="BDM40" s="65"/>
      <c r="BDN40" s="65"/>
      <c r="BDO40" s="65"/>
      <c r="BDP40" s="65"/>
      <c r="BDQ40" s="65"/>
      <c r="BDR40" s="65"/>
      <c r="BDS40" s="65"/>
      <c r="BDT40" s="65"/>
      <c r="BDU40" s="65"/>
      <c r="BDV40" s="65"/>
      <c r="BDW40" s="65"/>
      <c r="BDX40" s="65"/>
      <c r="BDY40" s="65"/>
      <c r="BDZ40" s="65"/>
      <c r="BEA40" s="65"/>
      <c r="BEB40" s="65"/>
      <c r="BEC40" s="65"/>
      <c r="BED40" s="65"/>
      <c r="BEE40" s="65"/>
      <c r="BEF40" s="65"/>
      <c r="BEG40" s="65"/>
      <c r="BEH40" s="65"/>
      <c r="BEI40" s="65"/>
      <c r="BEJ40" s="65"/>
      <c r="BEK40" s="65"/>
      <c r="BEL40" s="65"/>
      <c r="BEM40" s="65"/>
      <c r="BEN40" s="65"/>
      <c r="BEO40" s="65"/>
      <c r="BEP40" s="65"/>
      <c r="BEQ40" s="65"/>
      <c r="BER40" s="65"/>
      <c r="BES40" s="65"/>
      <c r="BET40" s="65"/>
      <c r="BEU40" s="65"/>
      <c r="BEV40" s="65"/>
      <c r="BEW40" s="65"/>
      <c r="BEX40" s="65"/>
      <c r="BEY40" s="65"/>
      <c r="BEZ40" s="65"/>
      <c r="BFA40" s="65"/>
      <c r="BFB40" s="65"/>
      <c r="BFC40" s="65"/>
      <c r="BFD40" s="65"/>
      <c r="BFE40" s="65"/>
      <c r="BFF40" s="65"/>
      <c r="BFG40" s="65"/>
      <c r="BFH40" s="65"/>
      <c r="BFI40" s="65"/>
      <c r="BFJ40" s="65"/>
      <c r="BFK40" s="65"/>
      <c r="BFL40" s="65"/>
      <c r="BFM40" s="65"/>
      <c r="BFN40" s="65"/>
      <c r="BFO40" s="65"/>
      <c r="BFP40" s="65"/>
      <c r="BFQ40" s="65"/>
      <c r="BFR40" s="65"/>
      <c r="BFS40" s="65"/>
      <c r="BFT40" s="65"/>
      <c r="BFU40" s="65"/>
      <c r="BFV40" s="65"/>
      <c r="BFW40" s="65"/>
      <c r="BFX40" s="65"/>
      <c r="BFY40" s="65"/>
      <c r="BFZ40" s="65"/>
      <c r="BGA40" s="65"/>
      <c r="BGB40" s="65"/>
      <c r="BGC40" s="65"/>
      <c r="BGD40" s="65"/>
      <c r="BGE40" s="65"/>
      <c r="BGF40" s="65"/>
      <c r="BGG40" s="65"/>
      <c r="BGH40" s="65"/>
      <c r="BGI40" s="65"/>
      <c r="BGJ40" s="65"/>
      <c r="BGK40" s="65"/>
      <c r="BGL40" s="65"/>
      <c r="BGM40" s="65"/>
      <c r="BGN40" s="65"/>
      <c r="BGO40" s="65"/>
      <c r="BGP40" s="65"/>
      <c r="BGQ40" s="65"/>
      <c r="BGR40" s="65"/>
      <c r="BGS40" s="65"/>
      <c r="BGT40" s="65"/>
      <c r="BGU40" s="65"/>
      <c r="BGV40" s="65"/>
      <c r="BGW40" s="65"/>
      <c r="BGX40" s="65"/>
      <c r="BGY40" s="65"/>
      <c r="BGZ40" s="65"/>
      <c r="BHA40" s="65"/>
      <c r="BHB40" s="65"/>
      <c r="BHC40" s="65"/>
      <c r="BHD40" s="65"/>
      <c r="BHE40" s="65"/>
      <c r="BHF40" s="65"/>
      <c r="BHG40" s="65"/>
      <c r="BHH40" s="65"/>
      <c r="BHI40" s="65"/>
      <c r="BHJ40" s="65"/>
      <c r="BHK40" s="65"/>
      <c r="BHL40" s="65"/>
      <c r="BHM40" s="65"/>
      <c r="BHN40" s="65"/>
      <c r="BHO40" s="65"/>
      <c r="BHP40" s="65"/>
      <c r="BHQ40" s="65"/>
      <c r="BHR40" s="65"/>
      <c r="BHS40" s="65"/>
      <c r="BHT40" s="65"/>
      <c r="BHU40" s="65"/>
      <c r="BHV40" s="65"/>
      <c r="BHW40" s="65"/>
      <c r="BHX40" s="65"/>
      <c r="BHY40" s="65"/>
      <c r="BHZ40" s="65"/>
      <c r="BIA40" s="65"/>
      <c r="BIB40" s="65"/>
      <c r="BIC40" s="65"/>
      <c r="BID40" s="65"/>
      <c r="BIE40" s="65"/>
      <c r="BIF40" s="65"/>
      <c r="BIG40" s="65"/>
      <c r="BIH40" s="65"/>
      <c r="BII40" s="65"/>
      <c r="BIJ40" s="65"/>
      <c r="BIK40" s="65"/>
      <c r="BIL40" s="65"/>
      <c r="BIM40" s="65"/>
      <c r="BIN40" s="65"/>
      <c r="BIO40" s="65"/>
      <c r="BIP40" s="65"/>
      <c r="BIQ40" s="65"/>
      <c r="BIR40" s="65"/>
      <c r="BIS40" s="65"/>
      <c r="BIT40" s="65"/>
      <c r="BIU40" s="65"/>
      <c r="BIV40" s="65"/>
      <c r="BIW40" s="65"/>
      <c r="BIX40" s="65"/>
      <c r="BIY40" s="65"/>
      <c r="BIZ40" s="65"/>
      <c r="BJA40" s="65"/>
      <c r="BJB40" s="65"/>
      <c r="BJC40" s="65"/>
      <c r="BJD40" s="65"/>
      <c r="BJE40" s="65"/>
      <c r="BJF40" s="65"/>
      <c r="BJG40" s="65"/>
      <c r="BJH40" s="65"/>
      <c r="BJI40" s="65"/>
      <c r="BJJ40" s="65"/>
      <c r="BJK40" s="65"/>
      <c r="BJL40" s="65"/>
      <c r="BJM40" s="65"/>
      <c r="BJN40" s="65"/>
      <c r="BJO40" s="65"/>
      <c r="BJP40" s="65"/>
      <c r="BJQ40" s="65"/>
      <c r="BJR40" s="65"/>
      <c r="BJS40" s="65"/>
      <c r="BJT40" s="65"/>
      <c r="BJU40" s="65"/>
      <c r="BJV40" s="65"/>
      <c r="BJW40" s="65"/>
      <c r="BJX40" s="65"/>
      <c r="BJY40" s="65"/>
      <c r="BJZ40" s="65"/>
      <c r="BKA40" s="65"/>
      <c r="BKB40" s="65"/>
      <c r="BKC40" s="65"/>
      <c r="BKD40" s="65"/>
      <c r="BKE40" s="65"/>
      <c r="BKF40" s="65"/>
      <c r="BKG40" s="65"/>
      <c r="BKH40" s="65"/>
      <c r="BKI40" s="65"/>
      <c r="BKJ40" s="65"/>
      <c r="BKK40" s="65"/>
      <c r="BKL40" s="65"/>
      <c r="BKM40" s="65"/>
      <c r="BKN40" s="65"/>
      <c r="BKO40" s="65"/>
      <c r="BKP40" s="65"/>
      <c r="BKQ40" s="65"/>
      <c r="BKR40" s="65"/>
      <c r="BKS40" s="65"/>
      <c r="BKT40" s="65"/>
      <c r="BKU40" s="65"/>
      <c r="BKV40" s="65"/>
      <c r="BKW40" s="65"/>
      <c r="BKX40" s="65"/>
      <c r="BKY40" s="65"/>
      <c r="BKZ40" s="65"/>
      <c r="BLA40" s="65"/>
      <c r="BLB40" s="65"/>
      <c r="BLC40" s="65"/>
      <c r="BLD40" s="65"/>
      <c r="BLE40" s="65"/>
      <c r="BLF40" s="65"/>
      <c r="BLG40" s="65"/>
      <c r="BLH40" s="65"/>
      <c r="BLI40" s="65"/>
      <c r="BLJ40" s="65"/>
      <c r="BLK40" s="65"/>
      <c r="BLL40" s="65"/>
      <c r="BLM40" s="65"/>
      <c r="BLN40" s="65"/>
      <c r="BLO40" s="65"/>
      <c r="BLP40" s="65"/>
      <c r="BLQ40" s="65"/>
      <c r="BLR40" s="65"/>
      <c r="BLS40" s="65"/>
      <c r="BLT40" s="65"/>
      <c r="BLU40" s="65"/>
      <c r="BLV40" s="65"/>
      <c r="BLW40" s="65"/>
      <c r="BLX40" s="65"/>
      <c r="BLY40" s="65"/>
      <c r="BLZ40" s="65"/>
      <c r="BMA40" s="65"/>
      <c r="BMB40" s="65"/>
      <c r="BMC40" s="65"/>
      <c r="BMD40" s="65"/>
      <c r="BME40" s="65"/>
      <c r="BMF40" s="65"/>
      <c r="BMG40" s="65"/>
      <c r="BMH40" s="65"/>
      <c r="BMI40" s="65"/>
      <c r="BMJ40" s="65"/>
      <c r="BMK40" s="65"/>
      <c r="BML40" s="65"/>
      <c r="BMM40" s="65"/>
      <c r="BMN40" s="65"/>
      <c r="BMO40" s="65"/>
      <c r="BMP40" s="65"/>
      <c r="BMQ40" s="65"/>
      <c r="BMR40" s="65"/>
      <c r="BMS40" s="65"/>
      <c r="BMT40" s="65"/>
      <c r="BMU40" s="65"/>
      <c r="BMV40" s="65"/>
      <c r="BMW40" s="65"/>
      <c r="BMX40" s="65"/>
      <c r="BMY40" s="65"/>
      <c r="BMZ40" s="65"/>
      <c r="BNA40" s="65"/>
      <c r="BNB40" s="65"/>
      <c r="BNC40" s="65"/>
      <c r="BND40" s="65"/>
      <c r="BNE40" s="65"/>
      <c r="BNF40" s="65"/>
      <c r="BNG40" s="65"/>
      <c r="BNH40" s="65"/>
      <c r="BNI40" s="65"/>
      <c r="BNJ40" s="65"/>
      <c r="BNK40" s="65"/>
      <c r="BNL40" s="65"/>
      <c r="BNM40" s="65"/>
      <c r="BNN40" s="65"/>
      <c r="BNO40" s="65"/>
      <c r="BNP40" s="65"/>
      <c r="BNQ40" s="65"/>
      <c r="BNR40" s="65"/>
      <c r="BNS40" s="65"/>
      <c r="BNT40" s="65"/>
      <c r="BNU40" s="65"/>
      <c r="BNV40" s="65"/>
      <c r="BNW40" s="65"/>
      <c r="BNX40" s="65"/>
      <c r="BNY40" s="65"/>
      <c r="BNZ40" s="65"/>
      <c r="BOA40" s="65"/>
      <c r="BOB40" s="65"/>
      <c r="BOC40" s="65"/>
      <c r="BOD40" s="65"/>
      <c r="BOE40" s="65"/>
      <c r="BOF40" s="65"/>
      <c r="BOG40" s="65"/>
      <c r="BOH40" s="65"/>
      <c r="BOI40" s="65"/>
      <c r="BOJ40" s="65"/>
      <c r="BOK40" s="65"/>
      <c r="BOL40" s="65"/>
      <c r="BOM40" s="65"/>
      <c r="BON40" s="65"/>
      <c r="BOO40" s="65"/>
      <c r="BOP40" s="65"/>
      <c r="BOQ40" s="65"/>
      <c r="BOR40" s="65"/>
      <c r="BOS40" s="65"/>
      <c r="BOT40" s="65"/>
      <c r="BOU40" s="65"/>
      <c r="BOV40" s="65"/>
      <c r="BOW40" s="65"/>
      <c r="BOX40" s="65"/>
      <c r="BOY40" s="65"/>
      <c r="BOZ40" s="65"/>
      <c r="BPA40" s="65"/>
      <c r="BPB40" s="65"/>
      <c r="BPC40" s="65"/>
      <c r="BPD40" s="65"/>
      <c r="BPE40" s="65"/>
      <c r="BPF40" s="65"/>
      <c r="BPG40" s="65"/>
      <c r="BPH40" s="65"/>
      <c r="BPI40" s="65"/>
      <c r="BPJ40" s="65"/>
      <c r="BPK40" s="65"/>
      <c r="BPL40" s="65"/>
      <c r="BPM40" s="65"/>
      <c r="BPN40" s="65"/>
      <c r="BPO40" s="65"/>
      <c r="BPP40" s="65"/>
      <c r="BPQ40" s="65"/>
      <c r="BPR40" s="65"/>
      <c r="BPS40" s="65"/>
      <c r="BPT40" s="65"/>
      <c r="BPU40" s="65"/>
      <c r="BPV40" s="65"/>
      <c r="BPW40" s="65"/>
      <c r="BPX40" s="65"/>
      <c r="BPY40" s="65"/>
      <c r="BPZ40" s="65"/>
      <c r="BQA40" s="65"/>
      <c r="BQB40" s="65"/>
      <c r="BQC40" s="65"/>
      <c r="BQD40" s="65"/>
      <c r="BQE40" s="65"/>
      <c r="BQF40" s="65"/>
      <c r="BQG40" s="65"/>
      <c r="BQH40" s="65"/>
      <c r="BQI40" s="65"/>
      <c r="BQJ40" s="65"/>
      <c r="BQK40" s="65"/>
      <c r="BQL40" s="65"/>
      <c r="BQM40" s="65"/>
      <c r="BQN40" s="65"/>
      <c r="BQO40" s="65"/>
      <c r="BQP40" s="65"/>
      <c r="BQQ40" s="65"/>
      <c r="BQR40" s="65"/>
      <c r="BQS40" s="65"/>
      <c r="BQT40" s="65"/>
      <c r="BQU40" s="65"/>
      <c r="BQV40" s="65"/>
      <c r="BQW40" s="65"/>
      <c r="BQX40" s="65"/>
      <c r="BQY40" s="65"/>
      <c r="BQZ40" s="65"/>
      <c r="BRA40" s="65"/>
      <c r="BRB40" s="65"/>
      <c r="BRC40" s="65"/>
      <c r="BRD40" s="65"/>
      <c r="BRE40" s="65"/>
      <c r="BRF40" s="65"/>
      <c r="BRG40" s="65"/>
      <c r="BRH40" s="65"/>
      <c r="BRI40" s="65"/>
      <c r="BRJ40" s="65"/>
      <c r="BRK40" s="65"/>
      <c r="BRL40" s="65"/>
      <c r="BRM40" s="65"/>
      <c r="BRN40" s="65"/>
      <c r="BRO40" s="65"/>
      <c r="BRP40" s="65"/>
      <c r="BRQ40" s="65"/>
      <c r="BRR40" s="65"/>
      <c r="BRS40" s="65"/>
      <c r="BRT40" s="65"/>
      <c r="BRU40" s="65"/>
      <c r="BRV40" s="65"/>
      <c r="BRW40" s="65"/>
      <c r="BRX40" s="65"/>
      <c r="BRY40" s="65"/>
      <c r="BRZ40" s="65"/>
      <c r="BSA40" s="65"/>
      <c r="BSB40" s="65"/>
      <c r="BSC40" s="65"/>
      <c r="BSD40" s="65"/>
      <c r="BSE40" s="65"/>
      <c r="BSF40" s="65"/>
      <c r="BSG40" s="65"/>
      <c r="BSH40" s="65"/>
      <c r="BSI40" s="65"/>
      <c r="BSJ40" s="65"/>
      <c r="BSK40" s="65"/>
      <c r="BSL40" s="65"/>
      <c r="BSM40" s="65"/>
      <c r="BSN40" s="65"/>
      <c r="BSO40" s="65"/>
      <c r="BSP40" s="65"/>
      <c r="BSQ40" s="65"/>
      <c r="BSR40" s="65"/>
      <c r="BSS40" s="65"/>
      <c r="BST40" s="65"/>
      <c r="BSU40" s="65"/>
      <c r="BSV40" s="65"/>
      <c r="BSW40" s="65"/>
      <c r="BSX40" s="65"/>
      <c r="BSY40" s="65"/>
      <c r="BSZ40" s="65"/>
      <c r="BTA40" s="65"/>
      <c r="BTB40" s="65"/>
      <c r="BTC40" s="65"/>
      <c r="BTD40" s="65"/>
      <c r="BTE40" s="65"/>
      <c r="BTF40" s="65"/>
      <c r="BTG40" s="65"/>
      <c r="BTH40" s="65"/>
      <c r="BTI40" s="65"/>
      <c r="BTJ40" s="65"/>
      <c r="BTK40" s="65"/>
      <c r="BTL40" s="65"/>
      <c r="BTM40" s="65"/>
      <c r="BTN40" s="65"/>
      <c r="BTO40" s="65"/>
      <c r="BTP40" s="65"/>
      <c r="BTQ40" s="65"/>
      <c r="BTR40" s="65"/>
      <c r="BTS40" s="65"/>
      <c r="BTT40" s="65"/>
      <c r="BTU40" s="65"/>
      <c r="BTV40" s="65"/>
      <c r="BTW40" s="65"/>
      <c r="BTX40" s="65"/>
      <c r="BTY40" s="65"/>
      <c r="BTZ40" s="65"/>
      <c r="BUA40" s="65"/>
      <c r="BUB40" s="65"/>
      <c r="BUC40" s="65"/>
      <c r="BUD40" s="65"/>
      <c r="BUE40" s="65"/>
      <c r="BUF40" s="65"/>
      <c r="BUG40" s="65"/>
      <c r="BUH40" s="65"/>
      <c r="BUI40" s="65"/>
      <c r="BUJ40" s="65"/>
      <c r="BUK40" s="65"/>
      <c r="BUL40" s="65"/>
      <c r="BUM40" s="65"/>
      <c r="BUN40" s="65"/>
      <c r="BUO40" s="65"/>
      <c r="BUP40" s="65"/>
      <c r="BUQ40" s="65"/>
      <c r="BUR40" s="65"/>
      <c r="BUS40" s="65"/>
      <c r="BUT40" s="65"/>
      <c r="BUU40" s="65"/>
      <c r="BUV40" s="65"/>
      <c r="BUW40" s="65"/>
      <c r="BUX40" s="65"/>
      <c r="BUY40" s="65"/>
      <c r="BUZ40" s="65"/>
      <c r="BVA40" s="65"/>
      <c r="BVB40" s="65"/>
      <c r="BVC40" s="65"/>
      <c r="BVD40" s="65"/>
      <c r="BVE40" s="65"/>
      <c r="BVF40" s="65"/>
      <c r="BVG40" s="65"/>
      <c r="BVH40" s="65"/>
      <c r="BVI40" s="65"/>
      <c r="BVJ40" s="65"/>
      <c r="BVK40" s="65"/>
      <c r="BVL40" s="65"/>
      <c r="BVM40" s="65"/>
      <c r="BVN40" s="65"/>
      <c r="BVO40" s="65"/>
      <c r="BVP40" s="65"/>
      <c r="BVQ40" s="65"/>
      <c r="BVR40" s="65"/>
      <c r="BVS40" s="65"/>
      <c r="BVT40" s="65"/>
      <c r="BVU40" s="65"/>
      <c r="BVV40" s="65"/>
      <c r="BVW40" s="65"/>
      <c r="BVX40" s="65"/>
      <c r="BVY40" s="65"/>
      <c r="BVZ40" s="65"/>
      <c r="BWA40" s="65"/>
      <c r="BWB40" s="65"/>
      <c r="BWC40" s="65"/>
      <c r="BWD40" s="65"/>
      <c r="BWE40" s="65"/>
      <c r="BWF40" s="65"/>
      <c r="BWG40" s="65"/>
      <c r="BWH40" s="65"/>
      <c r="BWI40" s="65"/>
      <c r="BWJ40" s="65"/>
      <c r="BWK40" s="65"/>
      <c r="BWL40" s="65"/>
      <c r="BWM40" s="65"/>
      <c r="BWN40" s="65"/>
      <c r="BWO40" s="65"/>
      <c r="BWP40" s="65"/>
      <c r="BWQ40" s="65"/>
      <c r="BWR40" s="65"/>
      <c r="BWS40" s="65"/>
      <c r="BWT40" s="65"/>
      <c r="BWU40" s="65"/>
      <c r="BWV40" s="65"/>
      <c r="BWW40" s="65"/>
      <c r="BWX40" s="65"/>
      <c r="BWY40" s="65"/>
      <c r="BWZ40" s="65"/>
      <c r="BXA40" s="65"/>
      <c r="BXB40" s="65"/>
      <c r="BXC40" s="65"/>
      <c r="BXD40" s="65"/>
      <c r="BXE40" s="65"/>
      <c r="BXF40" s="65"/>
      <c r="BXG40" s="65"/>
      <c r="BXH40" s="65"/>
      <c r="BXI40" s="65"/>
      <c r="BXJ40" s="65"/>
      <c r="BXK40" s="65"/>
      <c r="BXL40" s="65"/>
      <c r="BXM40" s="65"/>
      <c r="BXN40" s="65"/>
      <c r="BXO40" s="65"/>
      <c r="BXP40" s="65"/>
      <c r="BXQ40" s="65"/>
      <c r="BXR40" s="65"/>
      <c r="BXS40" s="65"/>
      <c r="BXT40" s="65"/>
      <c r="BXU40" s="65"/>
      <c r="BXV40" s="65"/>
      <c r="BXW40" s="65"/>
      <c r="BXX40" s="65"/>
      <c r="BXY40" s="65"/>
      <c r="BXZ40" s="65"/>
      <c r="BYA40" s="65"/>
      <c r="BYB40" s="65"/>
      <c r="BYC40" s="65"/>
      <c r="BYD40" s="65"/>
      <c r="BYE40" s="65"/>
      <c r="BYF40" s="65"/>
      <c r="BYG40" s="65"/>
      <c r="BYH40" s="65"/>
      <c r="BYI40" s="65"/>
      <c r="BYJ40" s="65"/>
      <c r="BYK40" s="65"/>
      <c r="BYL40" s="65"/>
      <c r="BYM40" s="65"/>
      <c r="BYN40" s="65"/>
      <c r="BYO40" s="65"/>
      <c r="BYP40" s="65"/>
      <c r="BYQ40" s="65"/>
      <c r="BYR40" s="65"/>
      <c r="BYS40" s="65"/>
      <c r="BYT40" s="65"/>
      <c r="BYU40" s="65"/>
      <c r="BYV40" s="65"/>
      <c r="BYW40" s="65"/>
      <c r="BYX40" s="65"/>
      <c r="BYY40" s="65"/>
      <c r="BYZ40" s="65"/>
      <c r="BZA40" s="65"/>
      <c r="BZB40" s="65"/>
      <c r="BZC40" s="65"/>
      <c r="BZD40" s="65"/>
      <c r="BZE40" s="65"/>
      <c r="BZF40" s="65"/>
      <c r="BZG40" s="65"/>
      <c r="BZH40" s="65"/>
      <c r="BZI40" s="65"/>
      <c r="BZJ40" s="65"/>
      <c r="BZK40" s="65"/>
      <c r="BZL40" s="65"/>
      <c r="BZM40" s="65"/>
      <c r="BZN40" s="65"/>
      <c r="BZO40" s="65"/>
      <c r="BZP40" s="65"/>
      <c r="BZQ40" s="65"/>
      <c r="BZR40" s="65"/>
      <c r="BZS40" s="65"/>
      <c r="BZT40" s="65"/>
      <c r="BZU40" s="65"/>
      <c r="BZV40" s="65"/>
      <c r="BZW40" s="65"/>
      <c r="BZX40" s="65"/>
      <c r="BZY40" s="65"/>
      <c r="BZZ40" s="65"/>
      <c r="CAA40" s="65"/>
      <c r="CAB40" s="65"/>
      <c r="CAC40" s="65"/>
      <c r="CAD40" s="65"/>
      <c r="CAE40" s="65"/>
      <c r="CAF40" s="65"/>
      <c r="CAG40" s="65"/>
      <c r="CAH40" s="65"/>
      <c r="CAI40" s="65"/>
      <c r="CAJ40" s="65"/>
      <c r="CAK40" s="65"/>
      <c r="CAL40" s="65"/>
      <c r="CAM40" s="65"/>
      <c r="CAN40" s="65"/>
      <c r="CAO40" s="65"/>
      <c r="CAP40" s="65"/>
      <c r="CAQ40" s="65"/>
      <c r="CAR40" s="65"/>
      <c r="CAS40" s="65"/>
      <c r="CAT40" s="65"/>
      <c r="CAU40" s="65"/>
      <c r="CAV40" s="65"/>
      <c r="CAW40" s="65"/>
      <c r="CAX40" s="65"/>
      <c r="CAY40" s="65"/>
      <c r="CAZ40" s="65"/>
      <c r="CBA40" s="65"/>
      <c r="CBB40" s="65"/>
      <c r="CBC40" s="65"/>
      <c r="CBD40" s="65"/>
      <c r="CBE40" s="65"/>
      <c r="CBF40" s="65"/>
      <c r="CBG40" s="65"/>
      <c r="CBH40" s="65"/>
      <c r="CBI40" s="65"/>
      <c r="CBJ40" s="65"/>
      <c r="CBK40" s="65"/>
      <c r="CBL40" s="65"/>
      <c r="CBM40" s="65"/>
      <c r="CBN40" s="65"/>
      <c r="CBO40" s="65"/>
      <c r="CBP40" s="65"/>
      <c r="CBQ40" s="65"/>
      <c r="CBR40" s="65"/>
      <c r="CBS40" s="65"/>
      <c r="CBT40" s="65"/>
      <c r="CBU40" s="65"/>
      <c r="CBV40" s="65"/>
      <c r="CBW40" s="65"/>
      <c r="CBX40" s="65"/>
      <c r="CBY40" s="65"/>
      <c r="CBZ40" s="65"/>
      <c r="CCA40" s="65"/>
      <c r="CCB40" s="65"/>
      <c r="CCC40" s="65"/>
      <c r="CCD40" s="65"/>
      <c r="CCE40" s="65"/>
      <c r="CCF40" s="65"/>
      <c r="CCG40" s="65"/>
      <c r="CCH40" s="65"/>
      <c r="CCI40" s="65"/>
      <c r="CCJ40" s="65"/>
      <c r="CCK40" s="65"/>
      <c r="CCL40" s="65"/>
      <c r="CCM40" s="65"/>
      <c r="CCN40" s="65"/>
      <c r="CCO40" s="65"/>
      <c r="CCP40" s="65"/>
      <c r="CCQ40" s="65"/>
      <c r="CCR40" s="65"/>
      <c r="CCS40" s="65"/>
      <c r="CCT40" s="65"/>
      <c r="CCU40" s="65"/>
      <c r="CCV40" s="65"/>
      <c r="CCW40" s="65"/>
      <c r="CCX40" s="65"/>
      <c r="CCY40" s="65"/>
      <c r="CCZ40" s="65"/>
      <c r="CDA40" s="65"/>
      <c r="CDB40" s="65"/>
      <c r="CDC40" s="65"/>
      <c r="CDD40" s="65"/>
      <c r="CDE40" s="65"/>
      <c r="CDF40" s="65"/>
      <c r="CDG40" s="65"/>
      <c r="CDH40" s="65"/>
      <c r="CDI40" s="65"/>
      <c r="CDJ40" s="65"/>
      <c r="CDK40" s="65"/>
      <c r="CDL40" s="65"/>
      <c r="CDM40" s="65"/>
      <c r="CDN40" s="65"/>
      <c r="CDO40" s="65"/>
      <c r="CDP40" s="65"/>
      <c r="CDQ40" s="65"/>
      <c r="CDR40" s="65"/>
      <c r="CDS40" s="65"/>
      <c r="CDT40" s="65"/>
      <c r="CDU40" s="65"/>
      <c r="CDV40" s="65"/>
      <c r="CDW40" s="65"/>
      <c r="CDX40" s="65"/>
      <c r="CDY40" s="65"/>
      <c r="CDZ40" s="65"/>
      <c r="CEA40" s="65"/>
      <c r="CEB40" s="65"/>
      <c r="CEC40" s="65"/>
      <c r="CED40" s="65"/>
      <c r="CEE40" s="65"/>
      <c r="CEF40" s="65"/>
      <c r="CEG40" s="65"/>
      <c r="CEH40" s="65"/>
      <c r="CEI40" s="65"/>
      <c r="CEJ40" s="65"/>
      <c r="CEK40" s="65"/>
      <c r="CEL40" s="65"/>
      <c r="CEM40" s="65"/>
      <c r="CEN40" s="65"/>
      <c r="CEO40" s="65"/>
      <c r="CEP40" s="65"/>
      <c r="CEQ40" s="65"/>
      <c r="CER40" s="65"/>
      <c r="CES40" s="65"/>
      <c r="CET40" s="65"/>
      <c r="CEU40" s="65"/>
      <c r="CEV40" s="65"/>
      <c r="CEW40" s="65"/>
      <c r="CEX40" s="65"/>
      <c r="CEY40" s="65"/>
      <c r="CEZ40" s="65"/>
      <c r="CFA40" s="65"/>
      <c r="CFB40" s="65"/>
      <c r="CFC40" s="65"/>
      <c r="CFD40" s="65"/>
      <c r="CFE40" s="65"/>
      <c r="CFF40" s="65"/>
      <c r="CFG40" s="65"/>
      <c r="CFH40" s="65"/>
      <c r="CFI40" s="65"/>
      <c r="CFJ40" s="65"/>
      <c r="CFK40" s="65"/>
      <c r="CFL40" s="65"/>
      <c r="CFM40" s="65"/>
      <c r="CFN40" s="65"/>
      <c r="CFO40" s="65"/>
      <c r="CFP40" s="65"/>
      <c r="CFQ40" s="65"/>
      <c r="CFR40" s="65"/>
      <c r="CFS40" s="65"/>
      <c r="CFT40" s="65"/>
      <c r="CFU40" s="65"/>
      <c r="CFV40" s="65"/>
      <c r="CFW40" s="65"/>
      <c r="CFX40" s="65"/>
      <c r="CFY40" s="65"/>
      <c r="CFZ40" s="65"/>
      <c r="CGA40" s="65"/>
      <c r="CGB40" s="65"/>
      <c r="CGC40" s="65"/>
      <c r="CGD40" s="65"/>
      <c r="CGE40" s="65"/>
      <c r="CGF40" s="65"/>
      <c r="CGG40" s="65"/>
      <c r="CGH40" s="65"/>
      <c r="CGI40" s="65"/>
      <c r="CGJ40" s="65"/>
      <c r="CGK40" s="65"/>
      <c r="CGL40" s="65"/>
      <c r="CGM40" s="65"/>
      <c r="CGN40" s="65"/>
      <c r="CGO40" s="65"/>
      <c r="CGP40" s="65"/>
      <c r="CGQ40" s="65"/>
      <c r="CGR40" s="65"/>
      <c r="CGS40" s="65"/>
      <c r="CGT40" s="65"/>
      <c r="CGU40" s="65"/>
      <c r="CGV40" s="65"/>
      <c r="CGW40" s="65"/>
      <c r="CGX40" s="65"/>
      <c r="CGY40" s="65"/>
      <c r="CGZ40" s="65"/>
      <c r="CHA40" s="65"/>
      <c r="CHB40" s="65"/>
      <c r="CHC40" s="65"/>
      <c r="CHD40" s="65"/>
      <c r="CHE40" s="65"/>
      <c r="CHF40" s="65"/>
      <c r="CHG40" s="65"/>
      <c r="CHH40" s="65"/>
      <c r="CHI40" s="65"/>
      <c r="CHJ40" s="65"/>
      <c r="CHK40" s="65"/>
      <c r="CHL40" s="65"/>
      <c r="CHM40" s="65"/>
      <c r="CHN40" s="65"/>
      <c r="CHO40" s="65"/>
      <c r="CHP40" s="65"/>
      <c r="CHQ40" s="65"/>
      <c r="CHR40" s="65"/>
      <c r="CHS40" s="65"/>
      <c r="CHT40" s="65"/>
      <c r="CHU40" s="65"/>
      <c r="CHV40" s="65"/>
      <c r="CHW40" s="65"/>
      <c r="CHX40" s="65"/>
      <c r="CHY40" s="65"/>
      <c r="CHZ40" s="65"/>
      <c r="CIA40" s="65"/>
      <c r="CIB40" s="65"/>
      <c r="CIC40" s="65"/>
      <c r="CID40" s="65"/>
      <c r="CIE40" s="65"/>
      <c r="CIF40" s="65"/>
      <c r="CIG40" s="65"/>
      <c r="CIH40" s="65"/>
      <c r="CII40" s="65"/>
      <c r="CIJ40" s="65"/>
      <c r="CIK40" s="65"/>
      <c r="CIL40" s="65"/>
      <c r="CIM40" s="65"/>
      <c r="CIN40" s="65"/>
      <c r="CIO40" s="65"/>
      <c r="CIP40" s="65"/>
      <c r="CIQ40" s="65"/>
      <c r="CIR40" s="65"/>
      <c r="CIS40" s="65"/>
      <c r="CIT40" s="65"/>
      <c r="CIU40" s="65"/>
      <c r="CIV40" s="65"/>
      <c r="CIW40" s="65"/>
      <c r="CIX40" s="65"/>
      <c r="CIY40" s="65"/>
      <c r="CIZ40" s="65"/>
      <c r="CJA40" s="65"/>
      <c r="CJB40" s="65"/>
      <c r="CJC40" s="65"/>
      <c r="CJD40" s="65"/>
      <c r="CJE40" s="65"/>
      <c r="CJF40" s="65"/>
      <c r="CJG40" s="65"/>
      <c r="CJH40" s="65"/>
      <c r="CJI40" s="65"/>
      <c r="CJJ40" s="65"/>
      <c r="CJK40" s="65"/>
      <c r="CJL40" s="65"/>
      <c r="CJM40" s="65"/>
      <c r="CJN40" s="65"/>
      <c r="CJO40" s="65"/>
      <c r="CJP40" s="65"/>
      <c r="CJQ40" s="65"/>
      <c r="CJR40" s="65"/>
      <c r="CJS40" s="65"/>
      <c r="CJT40" s="65"/>
      <c r="CJU40" s="65"/>
      <c r="CJV40" s="65"/>
      <c r="CJW40" s="65"/>
      <c r="CJX40" s="65"/>
      <c r="CJY40" s="65"/>
      <c r="CJZ40" s="65"/>
      <c r="CKA40" s="65"/>
      <c r="CKB40" s="65"/>
      <c r="CKC40" s="65"/>
      <c r="CKD40" s="65"/>
      <c r="CKE40" s="65"/>
      <c r="CKF40" s="65"/>
      <c r="CKG40" s="65"/>
      <c r="CKH40" s="65"/>
      <c r="CKI40" s="65"/>
      <c r="CKJ40" s="65"/>
      <c r="CKK40" s="65"/>
      <c r="CKL40" s="65"/>
      <c r="CKM40" s="65"/>
      <c r="CKN40" s="65"/>
      <c r="CKO40" s="65"/>
      <c r="CKP40" s="65"/>
      <c r="CKQ40" s="65"/>
      <c r="CKR40" s="65"/>
      <c r="CKS40" s="65"/>
      <c r="CKT40" s="65"/>
      <c r="CKU40" s="65"/>
      <c r="CKV40" s="65"/>
      <c r="CKW40" s="65"/>
      <c r="CKX40" s="65"/>
      <c r="CKY40" s="65"/>
      <c r="CKZ40" s="65"/>
      <c r="CLA40" s="65"/>
      <c r="CLB40" s="65"/>
      <c r="CLC40" s="65"/>
      <c r="CLD40" s="65"/>
      <c r="CLE40" s="65"/>
      <c r="CLF40" s="65"/>
      <c r="CLG40" s="65"/>
      <c r="CLH40" s="65"/>
      <c r="CLI40" s="65"/>
      <c r="CLJ40" s="65"/>
      <c r="CLK40" s="65"/>
      <c r="CLL40" s="65"/>
      <c r="CLM40" s="65"/>
      <c r="CLN40" s="65"/>
      <c r="CLO40" s="65"/>
      <c r="CLP40" s="65"/>
      <c r="CLQ40" s="65"/>
      <c r="CLR40" s="65"/>
      <c r="CLS40" s="65"/>
      <c r="CLT40" s="65"/>
      <c r="CLU40" s="65"/>
      <c r="CLV40" s="65"/>
      <c r="CLW40" s="65"/>
      <c r="CLX40" s="65"/>
      <c r="CLY40" s="65"/>
      <c r="CLZ40" s="65"/>
      <c r="CMA40" s="65"/>
      <c r="CMB40" s="65"/>
      <c r="CMC40" s="65"/>
      <c r="CMD40" s="65"/>
      <c r="CME40" s="65"/>
      <c r="CMF40" s="65"/>
      <c r="CMG40" s="65"/>
      <c r="CMH40" s="65"/>
      <c r="CMI40" s="65"/>
      <c r="CMJ40" s="65"/>
      <c r="CMK40" s="65"/>
      <c r="CML40" s="65"/>
      <c r="CMM40" s="65"/>
      <c r="CMN40" s="65"/>
      <c r="CMO40" s="65"/>
      <c r="CMP40" s="65"/>
      <c r="CMQ40" s="65"/>
      <c r="CMR40" s="65"/>
      <c r="CMS40" s="65"/>
      <c r="CMT40" s="65"/>
      <c r="CMU40" s="65"/>
      <c r="CMV40" s="65"/>
      <c r="CMW40" s="65"/>
      <c r="CMX40" s="65"/>
      <c r="CMY40" s="65"/>
      <c r="CMZ40" s="65"/>
      <c r="CNA40" s="65"/>
      <c r="CNB40" s="65"/>
      <c r="CNC40" s="65"/>
      <c r="CND40" s="65"/>
      <c r="CNE40" s="65"/>
      <c r="CNF40" s="65"/>
      <c r="CNG40" s="65"/>
      <c r="CNH40" s="65"/>
      <c r="CNI40" s="65"/>
      <c r="CNJ40" s="65"/>
      <c r="CNK40" s="65"/>
      <c r="CNL40" s="65"/>
      <c r="CNM40" s="65"/>
      <c r="CNN40" s="65"/>
      <c r="CNO40" s="65"/>
      <c r="CNP40" s="65"/>
      <c r="CNQ40" s="65"/>
      <c r="CNR40" s="65"/>
      <c r="CNS40" s="65"/>
      <c r="CNT40" s="65"/>
      <c r="CNU40" s="65"/>
      <c r="CNV40" s="65"/>
      <c r="CNW40" s="65"/>
      <c r="CNX40" s="65"/>
      <c r="CNY40" s="65"/>
      <c r="CNZ40" s="65"/>
      <c r="COA40" s="65"/>
      <c r="COB40" s="65"/>
      <c r="COC40" s="65"/>
      <c r="COD40" s="65"/>
      <c r="COE40" s="65"/>
      <c r="COF40" s="65"/>
      <c r="COG40" s="65"/>
      <c r="COH40" s="65"/>
      <c r="COI40" s="65"/>
      <c r="COJ40" s="65"/>
      <c r="COK40" s="65"/>
      <c r="COL40" s="65"/>
      <c r="COM40" s="65"/>
      <c r="CON40" s="65"/>
      <c r="COO40" s="65"/>
      <c r="COP40" s="65"/>
      <c r="COQ40" s="65"/>
      <c r="COR40" s="65"/>
      <c r="COS40" s="65"/>
      <c r="COT40" s="65"/>
      <c r="COU40" s="65"/>
      <c r="COV40" s="65"/>
      <c r="COW40" s="65"/>
      <c r="COX40" s="65"/>
      <c r="COY40" s="65"/>
      <c r="COZ40" s="65"/>
      <c r="CPA40" s="65"/>
      <c r="CPB40" s="65"/>
      <c r="CPC40" s="65"/>
      <c r="CPD40" s="65"/>
      <c r="CPE40" s="65"/>
      <c r="CPF40" s="65"/>
      <c r="CPG40" s="65"/>
      <c r="CPH40" s="65"/>
      <c r="CPI40" s="65"/>
      <c r="CPJ40" s="65"/>
      <c r="CPK40" s="65"/>
      <c r="CPL40" s="65"/>
      <c r="CPM40" s="65"/>
      <c r="CPN40" s="65"/>
      <c r="CPO40" s="65"/>
      <c r="CPP40" s="65"/>
      <c r="CPQ40" s="65"/>
      <c r="CPR40" s="65"/>
      <c r="CPS40" s="65"/>
      <c r="CPT40" s="65"/>
      <c r="CPU40" s="65"/>
      <c r="CPV40" s="65"/>
      <c r="CPW40" s="65"/>
      <c r="CPX40" s="65"/>
      <c r="CPY40" s="65"/>
      <c r="CPZ40" s="65"/>
      <c r="CQA40" s="65"/>
      <c r="CQB40" s="65"/>
      <c r="CQC40" s="65"/>
      <c r="CQD40" s="65"/>
      <c r="CQE40" s="65"/>
      <c r="CQF40" s="65"/>
      <c r="CQG40" s="65"/>
      <c r="CQH40" s="65"/>
      <c r="CQI40" s="65"/>
      <c r="CQJ40" s="65"/>
      <c r="CQK40" s="65"/>
      <c r="CQL40" s="65"/>
      <c r="CQM40" s="65"/>
      <c r="CQN40" s="65"/>
      <c r="CQO40" s="65"/>
      <c r="CQP40" s="65"/>
      <c r="CQQ40" s="65"/>
      <c r="CQR40" s="65"/>
      <c r="CQS40" s="65"/>
      <c r="CQT40" s="65"/>
      <c r="CQU40" s="65"/>
      <c r="CQV40" s="65"/>
      <c r="CQW40" s="65"/>
      <c r="CQX40" s="65"/>
      <c r="CQY40" s="65"/>
      <c r="CQZ40" s="65"/>
      <c r="CRA40" s="65"/>
      <c r="CRB40" s="65"/>
      <c r="CRC40" s="65"/>
      <c r="CRD40" s="65"/>
      <c r="CRE40" s="65"/>
      <c r="CRF40" s="65"/>
      <c r="CRG40" s="65"/>
      <c r="CRH40" s="65"/>
      <c r="CRI40" s="65"/>
      <c r="CRJ40" s="65"/>
      <c r="CRK40" s="65"/>
      <c r="CRL40" s="65"/>
      <c r="CRM40" s="65"/>
      <c r="CRN40" s="65"/>
      <c r="CRO40" s="65"/>
      <c r="CRP40" s="65"/>
      <c r="CRQ40" s="65"/>
      <c r="CRR40" s="65"/>
      <c r="CRS40" s="65"/>
      <c r="CRT40" s="65"/>
      <c r="CRU40" s="65"/>
      <c r="CRV40" s="65"/>
      <c r="CRW40" s="65"/>
      <c r="CRX40" s="65"/>
      <c r="CRY40" s="65"/>
      <c r="CRZ40" s="65"/>
      <c r="CSA40" s="65"/>
      <c r="CSB40" s="65"/>
      <c r="CSC40" s="65"/>
      <c r="CSD40" s="65"/>
      <c r="CSE40" s="65"/>
      <c r="CSF40" s="65"/>
      <c r="CSG40" s="65"/>
      <c r="CSH40" s="65"/>
      <c r="CSI40" s="65"/>
      <c r="CSJ40" s="65"/>
      <c r="CSK40" s="65"/>
      <c r="CSL40" s="65"/>
      <c r="CSM40" s="65"/>
      <c r="CSN40" s="65"/>
      <c r="CSO40" s="65"/>
      <c r="CSP40" s="65"/>
      <c r="CSQ40" s="65"/>
      <c r="CSR40" s="65"/>
      <c r="CSS40" s="65"/>
      <c r="CST40" s="65"/>
      <c r="CSU40" s="65"/>
      <c r="CSV40" s="65"/>
      <c r="CSW40" s="65"/>
      <c r="CSX40" s="65"/>
      <c r="CSY40" s="65"/>
      <c r="CSZ40" s="65"/>
      <c r="CTA40" s="65"/>
      <c r="CTB40" s="65"/>
      <c r="CTC40" s="65"/>
      <c r="CTD40" s="65"/>
      <c r="CTE40" s="65"/>
      <c r="CTF40" s="65"/>
      <c r="CTG40" s="65"/>
      <c r="CTH40" s="65"/>
      <c r="CTI40" s="65"/>
      <c r="CTJ40" s="65"/>
      <c r="CTK40" s="65"/>
      <c r="CTL40" s="65"/>
      <c r="CTM40" s="65"/>
      <c r="CTN40" s="65"/>
      <c r="CTO40" s="65"/>
      <c r="CTP40" s="65"/>
      <c r="CTQ40" s="65"/>
      <c r="CTR40" s="65"/>
      <c r="CTS40" s="65"/>
      <c r="CTT40" s="65"/>
      <c r="CTU40" s="65"/>
      <c r="CTV40" s="65"/>
      <c r="CTW40" s="65"/>
      <c r="CTX40" s="65"/>
      <c r="CTY40" s="65"/>
      <c r="CTZ40" s="65"/>
      <c r="CUA40" s="65"/>
      <c r="CUB40" s="65"/>
      <c r="CUC40" s="65"/>
      <c r="CUD40" s="65"/>
      <c r="CUE40" s="65"/>
      <c r="CUF40" s="65"/>
      <c r="CUG40" s="65"/>
      <c r="CUH40" s="65"/>
      <c r="CUI40" s="65"/>
      <c r="CUJ40" s="65"/>
      <c r="CUK40" s="65"/>
      <c r="CUL40" s="65"/>
      <c r="CUM40" s="65"/>
      <c r="CUN40" s="65"/>
      <c r="CUO40" s="65"/>
      <c r="CUP40" s="65"/>
      <c r="CUQ40" s="65"/>
      <c r="CUR40" s="65"/>
      <c r="CUS40" s="65"/>
      <c r="CUT40" s="65"/>
      <c r="CUU40" s="65"/>
      <c r="CUV40" s="65"/>
      <c r="CUW40" s="65"/>
      <c r="CUX40" s="65"/>
      <c r="CUY40" s="65"/>
      <c r="CUZ40" s="65"/>
      <c r="CVA40" s="65"/>
      <c r="CVB40" s="65"/>
      <c r="CVC40" s="65"/>
      <c r="CVD40" s="65"/>
      <c r="CVE40" s="65"/>
      <c r="CVF40" s="65"/>
      <c r="CVG40" s="65"/>
      <c r="CVH40" s="65"/>
      <c r="CVI40" s="65"/>
      <c r="CVJ40" s="65"/>
      <c r="CVK40" s="65"/>
      <c r="CVL40" s="65"/>
      <c r="CVM40" s="65"/>
      <c r="CVN40" s="65"/>
      <c r="CVO40" s="65"/>
      <c r="CVP40" s="65"/>
      <c r="CVQ40" s="65"/>
      <c r="CVR40" s="65"/>
      <c r="CVS40" s="65"/>
      <c r="CVT40" s="65"/>
      <c r="CVU40" s="65"/>
      <c r="CVV40" s="65"/>
      <c r="CVW40" s="65"/>
      <c r="CVX40" s="65"/>
      <c r="CVY40" s="65"/>
      <c r="CVZ40" s="65"/>
      <c r="CWA40" s="65"/>
      <c r="CWB40" s="65"/>
      <c r="CWC40" s="65"/>
      <c r="CWD40" s="65"/>
      <c r="CWE40" s="65"/>
      <c r="CWF40" s="65"/>
      <c r="CWG40" s="65"/>
      <c r="CWH40" s="65"/>
      <c r="CWI40" s="65"/>
      <c r="CWJ40" s="65"/>
      <c r="CWK40" s="65"/>
      <c r="CWL40" s="65"/>
      <c r="CWM40" s="65"/>
      <c r="CWN40" s="65"/>
      <c r="CWO40" s="65"/>
      <c r="CWP40" s="65"/>
      <c r="CWQ40" s="65"/>
      <c r="CWR40" s="65"/>
      <c r="CWS40" s="65"/>
      <c r="CWT40" s="65"/>
      <c r="CWU40" s="65"/>
      <c r="CWV40" s="65"/>
      <c r="CWW40" s="65"/>
      <c r="CWX40" s="65"/>
      <c r="CWY40" s="65"/>
      <c r="CWZ40" s="65"/>
      <c r="CXA40" s="65"/>
      <c r="CXB40" s="65"/>
      <c r="CXC40" s="65"/>
      <c r="CXD40" s="65"/>
      <c r="CXE40" s="65"/>
      <c r="CXF40" s="65"/>
      <c r="CXG40" s="65"/>
      <c r="CXH40" s="65"/>
      <c r="CXI40" s="65"/>
      <c r="CXJ40" s="65"/>
      <c r="CXK40" s="65"/>
      <c r="CXL40" s="65"/>
      <c r="CXM40" s="65"/>
      <c r="CXN40" s="65"/>
      <c r="CXO40" s="65"/>
      <c r="CXP40" s="65"/>
      <c r="CXQ40" s="65"/>
      <c r="CXR40" s="65"/>
      <c r="CXS40" s="65"/>
      <c r="CXT40" s="65"/>
      <c r="CXU40" s="65"/>
      <c r="CXV40" s="65"/>
      <c r="CXW40" s="65"/>
      <c r="CXX40" s="65"/>
      <c r="CXY40" s="65"/>
      <c r="CXZ40" s="65"/>
      <c r="CYA40" s="65"/>
      <c r="CYB40" s="65"/>
      <c r="CYC40" s="65"/>
      <c r="CYD40" s="65"/>
      <c r="CYE40" s="65"/>
      <c r="CYF40" s="65"/>
      <c r="CYG40" s="65"/>
      <c r="CYH40" s="65"/>
      <c r="CYI40" s="65"/>
      <c r="CYJ40" s="65"/>
      <c r="CYK40" s="65"/>
      <c r="CYL40" s="65"/>
      <c r="CYM40" s="65"/>
      <c r="CYN40" s="65"/>
      <c r="CYO40" s="65"/>
      <c r="CYP40" s="65"/>
      <c r="CYQ40" s="65"/>
      <c r="CYR40" s="65"/>
      <c r="CYS40" s="65"/>
      <c r="CYT40" s="65"/>
      <c r="CYU40" s="65"/>
      <c r="CYV40" s="65"/>
      <c r="CYW40" s="65"/>
      <c r="CYX40" s="65"/>
      <c r="CYY40" s="65"/>
      <c r="CYZ40" s="65"/>
      <c r="CZA40" s="65"/>
      <c r="CZB40" s="65"/>
      <c r="CZC40" s="65"/>
      <c r="CZD40" s="65"/>
      <c r="CZE40" s="65"/>
      <c r="CZF40" s="65"/>
      <c r="CZG40" s="65"/>
      <c r="CZH40" s="65"/>
      <c r="CZI40" s="65"/>
      <c r="CZJ40" s="65"/>
      <c r="CZK40" s="65"/>
      <c r="CZL40" s="65"/>
      <c r="CZM40" s="65"/>
      <c r="CZN40" s="65"/>
      <c r="CZO40" s="65"/>
      <c r="CZP40" s="65"/>
      <c r="CZQ40" s="65"/>
      <c r="CZR40" s="65"/>
      <c r="CZS40" s="65"/>
      <c r="CZT40" s="65"/>
      <c r="CZU40" s="65"/>
      <c r="CZV40" s="65"/>
      <c r="CZW40" s="65"/>
      <c r="CZX40" s="65"/>
      <c r="CZY40" s="65"/>
      <c r="CZZ40" s="65"/>
      <c r="DAA40" s="65"/>
      <c r="DAB40" s="65"/>
      <c r="DAC40" s="65"/>
      <c r="DAD40" s="65"/>
      <c r="DAE40" s="65"/>
      <c r="DAF40" s="65"/>
      <c r="DAG40" s="65"/>
      <c r="DAH40" s="65"/>
      <c r="DAI40" s="65"/>
      <c r="DAJ40" s="65"/>
      <c r="DAK40" s="65"/>
      <c r="DAL40" s="65"/>
      <c r="DAM40" s="65"/>
      <c r="DAN40" s="65"/>
      <c r="DAO40" s="65"/>
      <c r="DAP40" s="65"/>
      <c r="DAQ40" s="65"/>
      <c r="DAR40" s="65"/>
      <c r="DAS40" s="65"/>
      <c r="DAT40" s="65"/>
      <c r="DAU40" s="65"/>
      <c r="DAV40" s="65"/>
      <c r="DAW40" s="65"/>
      <c r="DAX40" s="65"/>
      <c r="DAY40" s="65"/>
      <c r="DAZ40" s="65"/>
      <c r="DBA40" s="65"/>
      <c r="DBB40" s="65"/>
      <c r="DBC40" s="65"/>
      <c r="DBD40" s="65"/>
      <c r="DBE40" s="65"/>
      <c r="DBF40" s="65"/>
      <c r="DBG40" s="65"/>
      <c r="DBH40" s="65"/>
      <c r="DBI40" s="65"/>
      <c r="DBJ40" s="65"/>
      <c r="DBK40" s="65"/>
      <c r="DBL40" s="65"/>
      <c r="DBM40" s="65"/>
      <c r="DBN40" s="65"/>
      <c r="DBO40" s="65"/>
      <c r="DBP40" s="65"/>
      <c r="DBQ40" s="65"/>
      <c r="DBR40" s="65"/>
      <c r="DBS40" s="65"/>
      <c r="DBT40" s="65"/>
      <c r="DBU40" s="65"/>
      <c r="DBV40" s="65"/>
      <c r="DBW40" s="65"/>
      <c r="DBX40" s="65"/>
      <c r="DBY40" s="65"/>
      <c r="DBZ40" s="65"/>
      <c r="DCA40" s="65"/>
      <c r="DCB40" s="65"/>
      <c r="DCC40" s="65"/>
      <c r="DCD40" s="65"/>
      <c r="DCE40" s="65"/>
      <c r="DCF40" s="65"/>
      <c r="DCG40" s="65"/>
      <c r="DCH40" s="65"/>
      <c r="DCI40" s="65"/>
      <c r="DCJ40" s="65"/>
      <c r="DCK40" s="65"/>
      <c r="DCL40" s="65"/>
      <c r="DCM40" s="65"/>
      <c r="DCN40" s="65"/>
      <c r="DCO40" s="65"/>
      <c r="DCP40" s="65"/>
      <c r="DCQ40" s="65"/>
      <c r="DCR40" s="65"/>
      <c r="DCS40" s="65"/>
      <c r="DCT40" s="65"/>
      <c r="DCU40" s="65"/>
      <c r="DCV40" s="65"/>
      <c r="DCW40" s="65"/>
      <c r="DCX40" s="65"/>
      <c r="DCY40" s="65"/>
      <c r="DCZ40" s="65"/>
      <c r="DDA40" s="65"/>
      <c r="DDB40" s="65"/>
      <c r="DDC40" s="65"/>
      <c r="DDD40" s="65"/>
      <c r="DDE40" s="65"/>
      <c r="DDF40" s="65"/>
      <c r="DDG40" s="65"/>
      <c r="DDH40" s="65"/>
      <c r="DDI40" s="65"/>
      <c r="DDJ40" s="65"/>
      <c r="DDK40" s="65"/>
      <c r="DDL40" s="65"/>
      <c r="DDM40" s="65"/>
      <c r="DDN40" s="65"/>
      <c r="DDO40" s="65"/>
      <c r="DDP40" s="65"/>
      <c r="DDQ40" s="65"/>
      <c r="DDR40" s="65"/>
      <c r="DDS40" s="65"/>
      <c r="DDT40" s="65"/>
      <c r="DDU40" s="65"/>
      <c r="DDV40" s="65"/>
      <c r="DDW40" s="65"/>
      <c r="DDX40" s="65"/>
      <c r="DDY40" s="65"/>
      <c r="DDZ40" s="65"/>
      <c r="DEA40" s="65"/>
      <c r="DEB40" s="65"/>
      <c r="DEC40" s="65"/>
      <c r="DED40" s="65"/>
      <c r="DEE40" s="65"/>
      <c r="DEF40" s="65"/>
      <c r="DEG40" s="65"/>
      <c r="DEH40" s="65"/>
      <c r="DEI40" s="65"/>
      <c r="DEJ40" s="65"/>
      <c r="DEK40" s="65"/>
      <c r="DEL40" s="65"/>
      <c r="DEM40" s="65"/>
      <c r="DEN40" s="65"/>
      <c r="DEO40" s="65"/>
      <c r="DEP40" s="65"/>
      <c r="DEQ40" s="65"/>
      <c r="DER40" s="65"/>
      <c r="DES40" s="65"/>
      <c r="DET40" s="65"/>
      <c r="DEU40" s="65"/>
      <c r="DEV40" s="65"/>
      <c r="DEW40" s="65"/>
      <c r="DEX40" s="65"/>
      <c r="DEY40" s="65"/>
      <c r="DEZ40" s="65"/>
      <c r="DFA40" s="65"/>
      <c r="DFB40" s="65"/>
      <c r="DFC40" s="65"/>
      <c r="DFD40" s="65"/>
      <c r="DFE40" s="65"/>
      <c r="DFF40" s="65"/>
      <c r="DFG40" s="65"/>
      <c r="DFH40" s="65"/>
      <c r="DFI40" s="65"/>
      <c r="DFJ40" s="65"/>
      <c r="DFK40" s="65"/>
      <c r="DFL40" s="65"/>
      <c r="DFM40" s="65"/>
      <c r="DFN40" s="65"/>
      <c r="DFO40" s="65"/>
      <c r="DFP40" s="65"/>
      <c r="DFQ40" s="65"/>
      <c r="DFR40" s="65"/>
      <c r="DFS40" s="65"/>
      <c r="DFT40" s="65"/>
      <c r="DFU40" s="65"/>
      <c r="DFV40" s="65"/>
      <c r="DFW40" s="65"/>
      <c r="DFX40" s="65"/>
      <c r="DFY40" s="65"/>
      <c r="DFZ40" s="65"/>
      <c r="DGA40" s="65"/>
      <c r="DGB40" s="65"/>
      <c r="DGC40" s="65"/>
      <c r="DGD40" s="65"/>
      <c r="DGE40" s="65"/>
      <c r="DGF40" s="65"/>
      <c r="DGG40" s="65"/>
      <c r="DGH40" s="65"/>
      <c r="DGI40" s="65"/>
      <c r="DGJ40" s="65"/>
      <c r="DGK40" s="65"/>
      <c r="DGL40" s="65"/>
      <c r="DGM40" s="65"/>
      <c r="DGN40" s="65"/>
      <c r="DGO40" s="65"/>
      <c r="DGP40" s="65"/>
      <c r="DGQ40" s="65"/>
      <c r="DGR40" s="65"/>
      <c r="DGS40" s="65"/>
      <c r="DGT40" s="65"/>
      <c r="DGU40" s="65"/>
      <c r="DGV40" s="65"/>
      <c r="DGW40" s="65"/>
      <c r="DGX40" s="65"/>
      <c r="DGY40" s="65"/>
      <c r="DGZ40" s="65"/>
      <c r="DHA40" s="65"/>
      <c r="DHB40" s="65"/>
      <c r="DHC40" s="65"/>
      <c r="DHD40" s="65"/>
      <c r="DHE40" s="65"/>
      <c r="DHF40" s="65"/>
      <c r="DHG40" s="65"/>
      <c r="DHH40" s="65"/>
      <c r="DHI40" s="65"/>
      <c r="DHJ40" s="65"/>
      <c r="DHK40" s="65"/>
      <c r="DHL40" s="65"/>
      <c r="DHM40" s="65"/>
      <c r="DHN40" s="65"/>
      <c r="DHO40" s="65"/>
      <c r="DHP40" s="65"/>
      <c r="DHQ40" s="65"/>
      <c r="DHR40" s="65"/>
      <c r="DHS40" s="65"/>
      <c r="DHT40" s="65"/>
      <c r="DHU40" s="65"/>
      <c r="DHV40" s="65"/>
      <c r="DHW40" s="65"/>
      <c r="DHX40" s="65"/>
      <c r="DHY40" s="65"/>
      <c r="DHZ40" s="65"/>
      <c r="DIA40" s="65"/>
      <c r="DIB40" s="65"/>
      <c r="DIC40" s="65"/>
      <c r="DID40" s="65"/>
      <c r="DIE40" s="65"/>
      <c r="DIF40" s="65"/>
      <c r="DIG40" s="65"/>
      <c r="DIH40" s="65"/>
      <c r="DII40" s="65"/>
      <c r="DIJ40" s="65"/>
      <c r="DIK40" s="65"/>
      <c r="DIL40" s="65"/>
      <c r="DIM40" s="65"/>
      <c r="DIN40" s="65"/>
      <c r="DIO40" s="65"/>
      <c r="DIP40" s="65"/>
      <c r="DIQ40" s="65"/>
      <c r="DIR40" s="65"/>
      <c r="DIS40" s="65"/>
      <c r="DIT40" s="65"/>
      <c r="DIU40" s="65"/>
      <c r="DIV40" s="65"/>
      <c r="DIW40" s="65"/>
      <c r="DIX40" s="65"/>
      <c r="DIY40" s="65"/>
      <c r="DIZ40" s="65"/>
      <c r="DJA40" s="65"/>
      <c r="DJB40" s="65"/>
      <c r="DJC40" s="65"/>
      <c r="DJD40" s="65"/>
      <c r="DJE40" s="65"/>
      <c r="DJF40" s="65"/>
      <c r="DJG40" s="65"/>
      <c r="DJH40" s="65"/>
      <c r="DJI40" s="65"/>
      <c r="DJJ40" s="65"/>
      <c r="DJK40" s="65"/>
      <c r="DJL40" s="65"/>
      <c r="DJM40" s="65"/>
      <c r="DJN40" s="65"/>
      <c r="DJO40" s="65"/>
      <c r="DJP40" s="65"/>
      <c r="DJQ40" s="65"/>
      <c r="DJR40" s="65"/>
      <c r="DJS40" s="65"/>
      <c r="DJT40" s="65"/>
      <c r="DJU40" s="65"/>
      <c r="DJV40" s="65"/>
      <c r="DJW40" s="65"/>
      <c r="DJX40" s="65"/>
      <c r="DJY40" s="65"/>
      <c r="DJZ40" s="65"/>
      <c r="DKA40" s="65"/>
      <c r="DKB40" s="65"/>
      <c r="DKC40" s="65"/>
      <c r="DKD40" s="65"/>
      <c r="DKE40" s="65"/>
      <c r="DKF40" s="65"/>
      <c r="DKG40" s="65"/>
      <c r="DKH40" s="65"/>
      <c r="DKI40" s="65"/>
      <c r="DKJ40" s="65"/>
      <c r="DKK40" s="65"/>
      <c r="DKL40" s="65"/>
      <c r="DKM40" s="65"/>
      <c r="DKN40" s="65"/>
      <c r="DKO40" s="65"/>
      <c r="DKP40" s="65"/>
      <c r="DKQ40" s="65"/>
      <c r="DKR40" s="65"/>
      <c r="DKS40" s="65"/>
      <c r="DKT40" s="65"/>
      <c r="DKU40" s="65"/>
      <c r="DKV40" s="65"/>
      <c r="DKW40" s="65"/>
      <c r="DKX40" s="65"/>
      <c r="DKY40" s="65"/>
      <c r="DKZ40" s="65"/>
      <c r="DLA40" s="65"/>
      <c r="DLB40" s="65"/>
      <c r="DLC40" s="65"/>
      <c r="DLD40" s="65"/>
      <c r="DLE40" s="65"/>
      <c r="DLF40" s="65"/>
      <c r="DLG40" s="65"/>
      <c r="DLH40" s="65"/>
      <c r="DLI40" s="65"/>
      <c r="DLJ40" s="65"/>
      <c r="DLK40" s="65"/>
      <c r="DLL40" s="65"/>
      <c r="DLM40" s="65"/>
      <c r="DLN40" s="65"/>
      <c r="DLO40" s="65"/>
      <c r="DLP40" s="65"/>
      <c r="DLQ40" s="65"/>
      <c r="DLR40" s="65"/>
      <c r="DLS40" s="65"/>
      <c r="DLT40" s="65"/>
      <c r="DLU40" s="65"/>
      <c r="DLV40" s="65"/>
      <c r="DLW40" s="65"/>
      <c r="DLX40" s="65"/>
      <c r="DLY40" s="65"/>
      <c r="DLZ40" s="65"/>
      <c r="DMA40" s="65"/>
      <c r="DMB40" s="65"/>
      <c r="DMC40" s="65"/>
      <c r="DMD40" s="65"/>
      <c r="DME40" s="65"/>
      <c r="DMF40" s="65"/>
      <c r="DMG40" s="65"/>
      <c r="DMH40" s="65"/>
      <c r="DMI40" s="65"/>
      <c r="DMJ40" s="65"/>
      <c r="DMK40" s="65"/>
      <c r="DML40" s="65"/>
      <c r="DMM40" s="65"/>
      <c r="DMN40" s="65"/>
      <c r="DMO40" s="65"/>
      <c r="DMP40" s="65"/>
      <c r="DMQ40" s="65"/>
      <c r="DMR40" s="65"/>
      <c r="DMS40" s="65"/>
      <c r="DMT40" s="65"/>
      <c r="DMU40" s="65"/>
      <c r="DMV40" s="65"/>
      <c r="DMW40" s="65"/>
      <c r="DMX40" s="65"/>
      <c r="DMY40" s="65"/>
      <c r="DMZ40" s="65"/>
      <c r="DNA40" s="65"/>
      <c r="DNB40" s="65"/>
      <c r="DNC40" s="65"/>
      <c r="DND40" s="65"/>
      <c r="DNE40" s="65"/>
      <c r="DNF40" s="65"/>
      <c r="DNG40" s="65"/>
      <c r="DNH40" s="65"/>
      <c r="DNI40" s="65"/>
      <c r="DNJ40" s="65"/>
      <c r="DNK40" s="65"/>
      <c r="DNL40" s="65"/>
      <c r="DNM40" s="65"/>
      <c r="DNN40" s="65"/>
      <c r="DNO40" s="65"/>
      <c r="DNP40" s="65"/>
      <c r="DNQ40" s="65"/>
      <c r="DNR40" s="65"/>
      <c r="DNS40" s="65"/>
      <c r="DNT40" s="65"/>
      <c r="DNU40" s="65"/>
      <c r="DNV40" s="65"/>
      <c r="DNW40" s="65"/>
      <c r="DNX40" s="65"/>
      <c r="DNY40" s="65"/>
      <c r="DNZ40" s="65"/>
      <c r="DOA40" s="65"/>
      <c r="DOB40" s="65"/>
      <c r="DOC40" s="65"/>
      <c r="DOD40" s="65"/>
      <c r="DOE40" s="65"/>
      <c r="DOF40" s="65"/>
      <c r="DOG40" s="65"/>
      <c r="DOH40" s="65"/>
      <c r="DOI40" s="65"/>
      <c r="DOJ40" s="65"/>
      <c r="DOK40" s="65"/>
      <c r="DOL40" s="65"/>
      <c r="DOM40" s="65"/>
      <c r="DON40" s="65"/>
      <c r="DOO40" s="65"/>
      <c r="DOP40" s="65"/>
      <c r="DOQ40" s="65"/>
      <c r="DOR40" s="65"/>
      <c r="DOS40" s="65"/>
      <c r="DOT40" s="65"/>
      <c r="DOU40" s="65"/>
      <c r="DOV40" s="65"/>
      <c r="DOW40" s="65"/>
      <c r="DOX40" s="65"/>
      <c r="DOY40" s="65"/>
      <c r="DOZ40" s="65"/>
      <c r="DPA40" s="65"/>
      <c r="DPB40" s="65"/>
      <c r="DPC40" s="65"/>
      <c r="DPD40" s="65"/>
      <c r="DPE40" s="65"/>
      <c r="DPF40" s="65"/>
      <c r="DPG40" s="65"/>
      <c r="DPH40" s="65"/>
      <c r="DPI40" s="65"/>
      <c r="DPJ40" s="65"/>
      <c r="DPK40" s="65"/>
      <c r="DPL40" s="65"/>
      <c r="DPM40" s="65"/>
      <c r="DPN40" s="65"/>
      <c r="DPO40" s="65"/>
      <c r="DPP40" s="65"/>
      <c r="DPQ40" s="65"/>
      <c r="DPR40" s="65"/>
      <c r="DPS40" s="65"/>
      <c r="DPT40" s="65"/>
      <c r="DPU40" s="65"/>
      <c r="DPV40" s="65"/>
      <c r="DPW40" s="65"/>
      <c r="DPX40" s="65"/>
      <c r="DPY40" s="65"/>
      <c r="DPZ40" s="65"/>
      <c r="DQA40" s="65"/>
      <c r="DQB40" s="65"/>
      <c r="DQC40" s="65"/>
      <c r="DQD40" s="65"/>
      <c r="DQE40" s="65"/>
      <c r="DQF40" s="65"/>
      <c r="DQG40" s="65"/>
      <c r="DQH40" s="65"/>
      <c r="DQI40" s="65"/>
      <c r="DQJ40" s="65"/>
      <c r="DQK40" s="65"/>
      <c r="DQL40" s="65"/>
      <c r="DQM40" s="65"/>
      <c r="DQN40" s="65"/>
      <c r="DQO40" s="65"/>
      <c r="DQP40" s="65"/>
      <c r="DQQ40" s="65"/>
      <c r="DQR40" s="65"/>
      <c r="DQS40" s="65"/>
      <c r="DQT40" s="65"/>
      <c r="DQU40" s="65"/>
      <c r="DQV40" s="65"/>
      <c r="DQW40" s="65"/>
      <c r="DQX40" s="65"/>
      <c r="DQY40" s="65"/>
      <c r="DQZ40" s="65"/>
      <c r="DRA40" s="65"/>
      <c r="DRB40" s="65"/>
      <c r="DRC40" s="65"/>
      <c r="DRD40" s="65"/>
      <c r="DRE40" s="65"/>
      <c r="DRF40" s="65"/>
      <c r="DRG40" s="65"/>
      <c r="DRH40" s="65"/>
      <c r="DRI40" s="65"/>
      <c r="DRJ40" s="65"/>
      <c r="DRK40" s="65"/>
      <c r="DRL40" s="65"/>
      <c r="DRM40" s="65"/>
      <c r="DRN40" s="65"/>
      <c r="DRO40" s="65"/>
      <c r="DRP40" s="65"/>
      <c r="DRQ40" s="65"/>
      <c r="DRR40" s="65"/>
      <c r="DRS40" s="65"/>
      <c r="DRT40" s="65"/>
      <c r="DRU40" s="65"/>
      <c r="DRV40" s="65"/>
      <c r="DRW40" s="65"/>
      <c r="DRX40" s="65"/>
      <c r="DRY40" s="65"/>
      <c r="DRZ40" s="65"/>
      <c r="DSA40" s="65"/>
      <c r="DSB40" s="65"/>
      <c r="DSC40" s="65"/>
      <c r="DSD40" s="65"/>
      <c r="DSE40" s="65"/>
      <c r="DSF40" s="65"/>
      <c r="DSG40" s="65"/>
      <c r="DSH40" s="65"/>
      <c r="DSI40" s="65"/>
      <c r="DSJ40" s="65"/>
      <c r="DSK40" s="65"/>
      <c r="DSL40" s="65"/>
      <c r="DSM40" s="65"/>
      <c r="DSN40" s="65"/>
      <c r="DSO40" s="65"/>
      <c r="DSP40" s="65"/>
      <c r="DSQ40" s="65"/>
      <c r="DSR40" s="65"/>
      <c r="DSS40" s="65"/>
      <c r="DST40" s="65"/>
      <c r="DSU40" s="65"/>
      <c r="DSV40" s="65"/>
      <c r="DSW40" s="65"/>
      <c r="DSX40" s="65"/>
      <c r="DSY40" s="65"/>
      <c r="DSZ40" s="65"/>
      <c r="DTA40" s="65"/>
      <c r="DTB40" s="65"/>
      <c r="DTC40" s="65"/>
      <c r="DTD40" s="65"/>
      <c r="DTE40" s="65"/>
      <c r="DTF40" s="65"/>
      <c r="DTG40" s="65"/>
      <c r="DTH40" s="65"/>
      <c r="DTI40" s="65"/>
      <c r="DTJ40" s="65"/>
      <c r="DTK40" s="65"/>
      <c r="DTL40" s="65"/>
      <c r="DTM40" s="65"/>
      <c r="DTN40" s="65"/>
      <c r="DTO40" s="65"/>
      <c r="DTP40" s="65"/>
      <c r="DTQ40" s="65"/>
      <c r="DTR40" s="65"/>
      <c r="DTS40" s="65"/>
      <c r="DTT40" s="65"/>
      <c r="DTU40" s="65"/>
      <c r="DTV40" s="65"/>
      <c r="DTW40" s="65"/>
      <c r="DTX40" s="65"/>
      <c r="DTY40" s="65"/>
      <c r="DTZ40" s="65"/>
      <c r="DUA40" s="65"/>
      <c r="DUB40" s="65"/>
      <c r="DUC40" s="65"/>
      <c r="DUD40" s="65"/>
      <c r="DUE40" s="65"/>
      <c r="DUF40" s="65"/>
      <c r="DUG40" s="65"/>
      <c r="DUH40" s="65"/>
      <c r="DUI40" s="65"/>
      <c r="DUJ40" s="65"/>
      <c r="DUK40" s="65"/>
      <c r="DUL40" s="65"/>
      <c r="DUM40" s="65"/>
      <c r="DUN40" s="65"/>
      <c r="DUO40" s="65"/>
      <c r="DUP40" s="65"/>
      <c r="DUQ40" s="65"/>
      <c r="DUR40" s="65"/>
      <c r="DUS40" s="65"/>
      <c r="DUT40" s="65"/>
      <c r="DUU40" s="65"/>
      <c r="DUV40" s="65"/>
      <c r="DUW40" s="65"/>
      <c r="DUX40" s="65"/>
      <c r="DUY40" s="65"/>
      <c r="DUZ40" s="65"/>
      <c r="DVA40" s="65"/>
      <c r="DVB40" s="65"/>
      <c r="DVC40" s="65"/>
      <c r="DVD40" s="65"/>
      <c r="DVE40" s="65"/>
      <c r="DVF40" s="65"/>
      <c r="DVG40" s="65"/>
      <c r="DVH40" s="65"/>
      <c r="DVI40" s="65"/>
      <c r="DVJ40" s="65"/>
      <c r="DVK40" s="65"/>
      <c r="DVL40" s="65"/>
      <c r="DVM40" s="65"/>
      <c r="DVN40" s="65"/>
      <c r="DVO40" s="65"/>
      <c r="DVP40" s="65"/>
      <c r="DVQ40" s="65"/>
      <c r="DVR40" s="65"/>
      <c r="DVS40" s="65"/>
      <c r="DVT40" s="65"/>
      <c r="DVU40" s="65"/>
      <c r="DVV40" s="65"/>
      <c r="DVW40" s="65"/>
      <c r="DVX40" s="65"/>
      <c r="DVY40" s="65"/>
      <c r="DVZ40" s="65"/>
      <c r="DWA40" s="65"/>
      <c r="DWB40" s="65"/>
      <c r="DWC40" s="65"/>
      <c r="DWD40" s="65"/>
      <c r="DWE40" s="65"/>
      <c r="DWF40" s="65"/>
      <c r="DWG40" s="65"/>
      <c r="DWH40" s="65"/>
      <c r="DWI40" s="65"/>
      <c r="DWJ40" s="65"/>
      <c r="DWK40" s="65"/>
      <c r="DWL40" s="65"/>
      <c r="DWM40" s="65"/>
      <c r="DWN40" s="65"/>
      <c r="DWO40" s="65"/>
      <c r="DWP40" s="65"/>
      <c r="DWQ40" s="65"/>
      <c r="DWR40" s="65"/>
      <c r="DWS40" s="65"/>
      <c r="DWT40" s="65"/>
      <c r="DWU40" s="65"/>
      <c r="DWV40" s="65"/>
      <c r="DWW40" s="65"/>
      <c r="DWX40" s="65"/>
      <c r="DWY40" s="65"/>
      <c r="DWZ40" s="65"/>
      <c r="DXA40" s="65"/>
      <c r="DXB40" s="65"/>
      <c r="DXC40" s="65"/>
      <c r="DXD40" s="65"/>
      <c r="DXE40" s="65"/>
      <c r="DXF40" s="65"/>
      <c r="DXG40" s="65"/>
      <c r="DXH40" s="65"/>
      <c r="DXI40" s="65"/>
      <c r="DXJ40" s="65"/>
      <c r="DXK40" s="65"/>
      <c r="DXL40" s="65"/>
      <c r="DXM40" s="65"/>
      <c r="DXN40" s="65"/>
      <c r="DXO40" s="65"/>
      <c r="DXP40" s="65"/>
      <c r="DXQ40" s="65"/>
      <c r="DXR40" s="65"/>
      <c r="DXS40" s="65"/>
      <c r="DXT40" s="65"/>
      <c r="DXU40" s="65"/>
      <c r="DXV40" s="65"/>
      <c r="DXW40" s="65"/>
      <c r="DXX40" s="65"/>
      <c r="DXY40" s="65"/>
      <c r="DXZ40" s="65"/>
      <c r="DYA40" s="65"/>
      <c r="DYB40" s="65"/>
      <c r="DYC40" s="65"/>
      <c r="DYD40" s="65"/>
      <c r="DYE40" s="65"/>
      <c r="DYF40" s="65"/>
      <c r="DYG40" s="65"/>
      <c r="DYH40" s="65"/>
      <c r="DYI40" s="65"/>
      <c r="DYJ40" s="65"/>
      <c r="DYK40" s="65"/>
      <c r="DYL40" s="65"/>
      <c r="DYM40" s="65"/>
      <c r="DYN40" s="65"/>
      <c r="DYO40" s="65"/>
      <c r="DYP40" s="65"/>
      <c r="DYQ40" s="65"/>
      <c r="DYR40" s="65"/>
      <c r="DYS40" s="65"/>
      <c r="DYT40" s="65"/>
      <c r="DYU40" s="65"/>
      <c r="DYV40" s="65"/>
      <c r="DYW40" s="65"/>
      <c r="DYX40" s="65"/>
      <c r="DYY40" s="65"/>
      <c r="DYZ40" s="65"/>
      <c r="DZA40" s="65"/>
      <c r="DZB40" s="65"/>
      <c r="DZC40" s="65"/>
      <c r="DZD40" s="65"/>
      <c r="DZE40" s="65"/>
      <c r="DZF40" s="65"/>
      <c r="DZG40" s="65"/>
      <c r="DZH40" s="65"/>
      <c r="DZI40" s="65"/>
      <c r="DZJ40" s="65"/>
      <c r="DZK40" s="65"/>
      <c r="DZL40" s="65"/>
      <c r="DZM40" s="65"/>
      <c r="DZN40" s="65"/>
      <c r="DZO40" s="65"/>
      <c r="DZP40" s="65"/>
      <c r="DZQ40" s="65"/>
      <c r="DZR40" s="65"/>
      <c r="DZS40" s="65"/>
      <c r="DZT40" s="65"/>
      <c r="DZU40" s="65"/>
      <c r="DZV40" s="65"/>
      <c r="DZW40" s="65"/>
      <c r="DZX40" s="65"/>
      <c r="DZY40" s="65"/>
      <c r="DZZ40" s="65"/>
      <c r="EAA40" s="65"/>
      <c r="EAB40" s="65"/>
      <c r="EAC40" s="65"/>
      <c r="EAD40" s="65"/>
      <c r="EAE40" s="65"/>
      <c r="EAF40" s="65"/>
      <c r="EAG40" s="65"/>
      <c r="EAH40" s="65"/>
      <c r="EAI40" s="65"/>
      <c r="EAJ40" s="65"/>
      <c r="EAK40" s="65"/>
      <c r="EAL40" s="65"/>
      <c r="EAM40" s="65"/>
      <c r="EAN40" s="65"/>
      <c r="EAO40" s="65"/>
      <c r="EAP40" s="65"/>
      <c r="EAQ40" s="65"/>
      <c r="EAR40" s="65"/>
      <c r="EAS40" s="65"/>
      <c r="EAT40" s="65"/>
      <c r="EAU40" s="65"/>
      <c r="EAV40" s="65"/>
      <c r="EAW40" s="65"/>
      <c r="EAX40" s="65"/>
      <c r="EAY40" s="65"/>
      <c r="EAZ40" s="65"/>
      <c r="EBA40" s="65"/>
      <c r="EBB40" s="65"/>
      <c r="EBC40" s="65"/>
      <c r="EBD40" s="65"/>
      <c r="EBE40" s="65"/>
      <c r="EBF40" s="65"/>
      <c r="EBG40" s="65"/>
      <c r="EBH40" s="65"/>
      <c r="EBI40" s="65"/>
      <c r="EBJ40" s="65"/>
      <c r="EBK40" s="65"/>
      <c r="EBL40" s="65"/>
      <c r="EBM40" s="65"/>
      <c r="EBN40" s="65"/>
      <c r="EBO40" s="65"/>
      <c r="EBP40" s="65"/>
      <c r="EBQ40" s="65"/>
      <c r="EBR40" s="65"/>
      <c r="EBS40" s="65"/>
      <c r="EBT40" s="65"/>
      <c r="EBU40" s="65"/>
      <c r="EBV40" s="65"/>
      <c r="EBW40" s="65"/>
      <c r="EBX40" s="65"/>
      <c r="EBY40" s="65"/>
      <c r="EBZ40" s="65"/>
      <c r="ECA40" s="65"/>
      <c r="ECB40" s="65"/>
      <c r="ECC40" s="65"/>
      <c r="ECD40" s="65"/>
      <c r="ECE40" s="65"/>
      <c r="ECF40" s="65"/>
      <c r="ECG40" s="65"/>
      <c r="ECH40" s="65"/>
      <c r="ECI40" s="65"/>
      <c r="ECJ40" s="65"/>
      <c r="ECK40" s="65"/>
      <c r="ECL40" s="65"/>
      <c r="ECM40" s="65"/>
      <c r="ECN40" s="65"/>
      <c r="ECO40" s="65"/>
      <c r="ECP40" s="65"/>
      <c r="ECQ40" s="65"/>
      <c r="ECR40" s="65"/>
      <c r="ECS40" s="65"/>
      <c r="ECT40" s="65"/>
      <c r="ECU40" s="65"/>
      <c r="ECV40" s="65"/>
      <c r="ECW40" s="65"/>
      <c r="ECX40" s="65"/>
      <c r="ECY40" s="65"/>
      <c r="ECZ40" s="65"/>
      <c r="EDA40" s="65"/>
      <c r="EDB40" s="65"/>
      <c r="EDC40" s="65"/>
      <c r="EDD40" s="65"/>
      <c r="EDE40" s="65"/>
      <c r="EDF40" s="65"/>
      <c r="EDG40" s="65"/>
      <c r="EDH40" s="65"/>
      <c r="EDI40" s="65"/>
      <c r="EDJ40" s="65"/>
      <c r="EDK40" s="65"/>
      <c r="EDL40" s="65"/>
      <c r="EDM40" s="65"/>
      <c r="EDN40" s="65"/>
      <c r="EDO40" s="65"/>
      <c r="EDP40" s="65"/>
      <c r="EDQ40" s="65"/>
      <c r="EDR40" s="65"/>
      <c r="EDS40" s="65"/>
      <c r="EDT40" s="65"/>
      <c r="EDU40" s="65"/>
      <c r="EDV40" s="65"/>
      <c r="EDW40" s="65"/>
      <c r="EDX40" s="65"/>
      <c r="EDY40" s="65"/>
      <c r="EDZ40" s="65"/>
      <c r="EEA40" s="65"/>
      <c r="EEB40" s="65"/>
      <c r="EEC40" s="65"/>
      <c r="EED40" s="65"/>
      <c r="EEE40" s="65"/>
      <c r="EEF40" s="65"/>
      <c r="EEG40" s="65"/>
      <c r="EEH40" s="65"/>
      <c r="EEI40" s="65"/>
      <c r="EEJ40" s="65"/>
      <c r="EEK40" s="65"/>
      <c r="EEL40" s="65"/>
      <c r="EEM40" s="65"/>
      <c r="EEN40" s="65"/>
      <c r="EEO40" s="65"/>
      <c r="EEP40" s="65"/>
      <c r="EEQ40" s="65"/>
      <c r="EER40" s="65"/>
      <c r="EES40" s="65"/>
      <c r="EET40" s="65"/>
      <c r="EEU40" s="65"/>
      <c r="EEV40" s="65"/>
      <c r="EEW40" s="65"/>
      <c r="EEX40" s="65"/>
      <c r="EEY40" s="65"/>
      <c r="EEZ40" s="65"/>
      <c r="EFA40" s="65"/>
      <c r="EFB40" s="65"/>
      <c r="EFC40" s="65"/>
      <c r="EFD40" s="65"/>
      <c r="EFE40" s="65"/>
      <c r="EFF40" s="65"/>
      <c r="EFG40" s="65"/>
      <c r="EFH40" s="65"/>
      <c r="EFI40" s="65"/>
      <c r="EFJ40" s="65"/>
      <c r="EFK40" s="65"/>
      <c r="EFL40" s="65"/>
      <c r="EFM40" s="65"/>
      <c r="EFN40" s="65"/>
      <c r="EFO40" s="65"/>
      <c r="EFP40" s="65"/>
      <c r="EFQ40" s="65"/>
      <c r="EFR40" s="65"/>
      <c r="EFS40" s="65"/>
      <c r="EFT40" s="65"/>
      <c r="EFU40" s="65"/>
      <c r="EFV40" s="65"/>
      <c r="EFW40" s="65"/>
      <c r="EFX40" s="65"/>
      <c r="EFY40" s="65"/>
      <c r="EFZ40" s="65"/>
      <c r="EGA40" s="65"/>
      <c r="EGB40" s="65"/>
      <c r="EGC40" s="65"/>
      <c r="EGD40" s="65"/>
      <c r="EGE40" s="65"/>
      <c r="EGF40" s="65"/>
      <c r="EGG40" s="65"/>
      <c r="EGH40" s="65"/>
      <c r="EGI40" s="65"/>
      <c r="EGJ40" s="65"/>
      <c r="EGK40" s="65"/>
      <c r="EGL40" s="65"/>
      <c r="EGM40" s="65"/>
      <c r="EGN40" s="65"/>
      <c r="EGO40" s="65"/>
      <c r="EGP40" s="65"/>
      <c r="EGQ40" s="65"/>
      <c r="EGR40" s="65"/>
      <c r="EGS40" s="65"/>
      <c r="EGT40" s="65"/>
      <c r="EGU40" s="65"/>
      <c r="EGV40" s="65"/>
      <c r="EGW40" s="65"/>
      <c r="EGX40" s="65"/>
      <c r="EGY40" s="65"/>
      <c r="EGZ40" s="65"/>
      <c r="EHA40" s="65"/>
      <c r="EHB40" s="65"/>
      <c r="EHC40" s="65"/>
      <c r="EHD40" s="65"/>
      <c r="EHE40" s="65"/>
      <c r="EHF40" s="65"/>
      <c r="EHG40" s="65"/>
      <c r="EHH40" s="65"/>
      <c r="EHI40" s="65"/>
      <c r="EHJ40" s="65"/>
      <c r="EHK40" s="65"/>
      <c r="EHL40" s="65"/>
      <c r="EHM40" s="65"/>
      <c r="EHN40" s="65"/>
      <c r="EHO40" s="65"/>
      <c r="EHP40" s="65"/>
      <c r="EHQ40" s="65"/>
      <c r="EHR40" s="65"/>
      <c r="EHS40" s="65"/>
      <c r="EHT40" s="65"/>
      <c r="EHU40" s="65"/>
      <c r="EHV40" s="65"/>
      <c r="EHW40" s="65"/>
      <c r="EHX40" s="65"/>
      <c r="EHY40" s="65"/>
      <c r="EHZ40" s="65"/>
      <c r="EIA40" s="65"/>
      <c r="EIB40" s="65"/>
      <c r="EIC40" s="65"/>
      <c r="EID40" s="65"/>
      <c r="EIE40" s="65"/>
      <c r="EIF40" s="65"/>
      <c r="EIG40" s="65"/>
      <c r="EIH40" s="65"/>
      <c r="EII40" s="65"/>
      <c r="EIJ40" s="65"/>
      <c r="EIK40" s="65"/>
      <c r="EIL40" s="65"/>
      <c r="EIM40" s="65"/>
      <c r="EIN40" s="65"/>
      <c r="EIO40" s="65"/>
      <c r="EIP40" s="65"/>
      <c r="EIQ40" s="65"/>
      <c r="EIR40" s="65"/>
      <c r="EIS40" s="65"/>
      <c r="EIT40" s="65"/>
      <c r="EIU40" s="65"/>
      <c r="EIV40" s="65"/>
      <c r="EIW40" s="65"/>
      <c r="EIX40" s="65"/>
      <c r="EIY40" s="65"/>
      <c r="EIZ40" s="65"/>
      <c r="EJA40" s="65"/>
      <c r="EJB40" s="65"/>
      <c r="EJC40" s="65"/>
      <c r="EJD40" s="65"/>
      <c r="EJE40" s="65"/>
      <c r="EJF40" s="65"/>
      <c r="EJG40" s="65"/>
      <c r="EJH40" s="65"/>
      <c r="EJI40" s="65"/>
      <c r="EJJ40" s="65"/>
      <c r="EJK40" s="65"/>
      <c r="EJL40" s="65"/>
      <c r="EJM40" s="65"/>
      <c r="EJN40" s="65"/>
      <c r="EJO40" s="65"/>
      <c r="EJP40" s="65"/>
      <c r="EJQ40" s="65"/>
      <c r="EJR40" s="65"/>
      <c r="EJS40" s="65"/>
      <c r="EJT40" s="65"/>
      <c r="EJU40" s="65"/>
      <c r="EJV40" s="65"/>
      <c r="EJW40" s="65"/>
      <c r="EJX40" s="65"/>
      <c r="EJY40" s="65"/>
      <c r="EJZ40" s="65"/>
      <c r="EKA40" s="65"/>
      <c r="EKB40" s="65"/>
      <c r="EKC40" s="65"/>
      <c r="EKD40" s="65"/>
      <c r="EKE40" s="65"/>
      <c r="EKF40" s="65"/>
      <c r="EKG40" s="65"/>
      <c r="EKH40" s="65"/>
      <c r="EKI40" s="65"/>
      <c r="EKJ40" s="65"/>
      <c r="EKK40" s="65"/>
      <c r="EKL40" s="65"/>
      <c r="EKM40" s="65"/>
      <c r="EKN40" s="65"/>
      <c r="EKO40" s="65"/>
      <c r="EKP40" s="65"/>
      <c r="EKQ40" s="65"/>
      <c r="EKR40" s="65"/>
      <c r="EKS40" s="65"/>
      <c r="EKT40" s="65"/>
      <c r="EKU40" s="65"/>
      <c r="EKV40" s="65"/>
      <c r="EKW40" s="65"/>
      <c r="EKX40" s="65"/>
      <c r="EKY40" s="65"/>
      <c r="EKZ40" s="65"/>
      <c r="ELA40" s="65"/>
      <c r="ELB40" s="65"/>
      <c r="ELC40" s="65"/>
      <c r="ELD40" s="65"/>
      <c r="ELE40" s="65"/>
      <c r="ELF40" s="65"/>
      <c r="ELG40" s="65"/>
      <c r="ELH40" s="65"/>
      <c r="ELI40" s="65"/>
      <c r="ELJ40" s="65"/>
      <c r="ELK40" s="65"/>
      <c r="ELL40" s="65"/>
      <c r="ELM40" s="65"/>
      <c r="ELN40" s="65"/>
      <c r="ELO40" s="65"/>
      <c r="ELP40" s="65"/>
      <c r="ELQ40" s="65"/>
      <c r="ELR40" s="65"/>
      <c r="ELS40" s="65"/>
      <c r="ELT40" s="65"/>
      <c r="ELU40" s="65"/>
      <c r="ELV40" s="65"/>
      <c r="ELW40" s="65"/>
      <c r="ELX40" s="65"/>
      <c r="ELY40" s="65"/>
      <c r="ELZ40" s="65"/>
      <c r="EMA40" s="65"/>
      <c r="EMB40" s="65"/>
      <c r="EMC40" s="65"/>
      <c r="EMD40" s="65"/>
      <c r="EME40" s="65"/>
      <c r="EMF40" s="65"/>
      <c r="EMG40" s="65"/>
      <c r="EMH40" s="65"/>
      <c r="EMI40" s="65"/>
      <c r="EMJ40" s="65"/>
      <c r="EMK40" s="65"/>
      <c r="EML40" s="65"/>
      <c r="EMM40" s="65"/>
      <c r="EMN40" s="65"/>
      <c r="EMO40" s="65"/>
      <c r="EMP40" s="65"/>
      <c r="EMQ40" s="65"/>
      <c r="EMR40" s="65"/>
      <c r="EMS40" s="65"/>
      <c r="EMT40" s="65"/>
      <c r="EMU40" s="65"/>
      <c r="EMV40" s="65"/>
      <c r="EMW40" s="65"/>
      <c r="EMX40" s="65"/>
      <c r="EMY40" s="65"/>
      <c r="EMZ40" s="65"/>
      <c r="ENA40" s="65"/>
      <c r="ENB40" s="65"/>
      <c r="ENC40" s="65"/>
      <c r="END40" s="65"/>
      <c r="ENE40" s="65"/>
      <c r="ENF40" s="65"/>
      <c r="ENG40" s="65"/>
      <c r="ENH40" s="65"/>
      <c r="ENI40" s="65"/>
      <c r="ENJ40" s="65"/>
      <c r="ENK40" s="65"/>
      <c r="ENL40" s="65"/>
      <c r="ENM40" s="65"/>
      <c r="ENN40" s="65"/>
      <c r="ENO40" s="65"/>
      <c r="ENP40" s="65"/>
      <c r="ENQ40" s="65"/>
      <c r="ENR40" s="65"/>
      <c r="ENS40" s="65"/>
      <c r="ENT40" s="65"/>
      <c r="ENU40" s="65"/>
      <c r="ENV40" s="65"/>
      <c r="ENW40" s="65"/>
      <c r="ENX40" s="65"/>
      <c r="ENY40" s="65"/>
      <c r="ENZ40" s="65"/>
      <c r="EOA40" s="65"/>
      <c r="EOB40" s="65"/>
      <c r="EOC40" s="65"/>
      <c r="EOD40" s="65"/>
      <c r="EOE40" s="65"/>
      <c r="EOF40" s="65"/>
      <c r="EOG40" s="65"/>
      <c r="EOH40" s="65"/>
      <c r="EOI40" s="65"/>
      <c r="EOJ40" s="65"/>
      <c r="EOK40" s="65"/>
      <c r="EOL40" s="65"/>
      <c r="EOM40" s="65"/>
      <c r="EON40" s="65"/>
      <c r="EOO40" s="65"/>
      <c r="EOP40" s="65"/>
      <c r="EOQ40" s="65"/>
      <c r="EOR40" s="65"/>
      <c r="EOS40" s="65"/>
      <c r="EOT40" s="65"/>
      <c r="EOU40" s="65"/>
      <c r="EOV40" s="65"/>
      <c r="EOW40" s="65"/>
      <c r="EOX40" s="65"/>
      <c r="EOY40" s="65"/>
      <c r="EOZ40" s="65"/>
      <c r="EPA40" s="65"/>
      <c r="EPB40" s="65"/>
      <c r="EPC40" s="65"/>
      <c r="EPD40" s="65"/>
      <c r="EPE40" s="65"/>
      <c r="EPF40" s="65"/>
      <c r="EPG40" s="65"/>
      <c r="EPH40" s="65"/>
      <c r="EPI40" s="65"/>
      <c r="EPJ40" s="65"/>
      <c r="EPK40" s="65"/>
      <c r="EPL40" s="65"/>
      <c r="EPM40" s="65"/>
      <c r="EPN40" s="65"/>
      <c r="EPO40" s="65"/>
      <c r="EPP40" s="65"/>
      <c r="EPQ40" s="65"/>
      <c r="EPR40" s="65"/>
      <c r="EPS40" s="65"/>
      <c r="EPT40" s="65"/>
      <c r="EPU40" s="65"/>
      <c r="EPV40" s="65"/>
      <c r="EPW40" s="65"/>
      <c r="EPX40" s="65"/>
      <c r="EPY40" s="65"/>
      <c r="EPZ40" s="65"/>
      <c r="EQA40" s="65"/>
      <c r="EQB40" s="65"/>
      <c r="EQC40" s="65"/>
      <c r="EQD40" s="65"/>
      <c r="EQE40" s="65"/>
      <c r="EQF40" s="65"/>
      <c r="EQG40" s="65"/>
      <c r="EQH40" s="65"/>
      <c r="EQI40" s="65"/>
      <c r="EQJ40" s="65"/>
      <c r="EQK40" s="65"/>
      <c r="EQL40" s="65"/>
      <c r="EQM40" s="65"/>
      <c r="EQN40" s="65"/>
      <c r="EQO40" s="65"/>
      <c r="EQP40" s="65"/>
      <c r="EQQ40" s="65"/>
      <c r="EQR40" s="65"/>
      <c r="EQS40" s="65"/>
      <c r="EQT40" s="65"/>
      <c r="EQU40" s="65"/>
      <c r="EQV40" s="65"/>
      <c r="EQW40" s="65"/>
      <c r="EQX40" s="65"/>
      <c r="EQY40" s="65"/>
      <c r="EQZ40" s="65"/>
      <c r="ERA40" s="65"/>
      <c r="ERB40" s="65"/>
      <c r="ERC40" s="65"/>
      <c r="ERD40" s="65"/>
      <c r="ERE40" s="65"/>
      <c r="ERF40" s="65"/>
      <c r="ERG40" s="65"/>
      <c r="ERH40" s="65"/>
      <c r="ERI40" s="65"/>
      <c r="ERJ40" s="65"/>
      <c r="ERK40" s="65"/>
      <c r="ERL40" s="65"/>
      <c r="ERM40" s="65"/>
      <c r="ERN40" s="65"/>
      <c r="ERO40" s="65"/>
      <c r="ERP40" s="65"/>
      <c r="ERQ40" s="65"/>
      <c r="ERR40" s="65"/>
      <c r="ERS40" s="65"/>
      <c r="ERT40" s="65"/>
      <c r="ERU40" s="65"/>
      <c r="ERV40" s="65"/>
      <c r="ERW40" s="65"/>
      <c r="ERX40" s="65"/>
      <c r="ERY40" s="65"/>
      <c r="ERZ40" s="65"/>
      <c r="ESA40" s="65"/>
      <c r="ESB40" s="65"/>
      <c r="ESC40" s="65"/>
      <c r="ESD40" s="65"/>
      <c r="ESE40" s="65"/>
      <c r="ESF40" s="65"/>
      <c r="ESG40" s="65"/>
      <c r="ESH40" s="65"/>
      <c r="ESI40" s="65"/>
      <c r="ESJ40" s="65"/>
      <c r="ESK40" s="65"/>
      <c r="ESL40" s="65"/>
      <c r="ESM40" s="65"/>
      <c r="ESN40" s="65"/>
      <c r="ESO40" s="65"/>
      <c r="ESP40" s="65"/>
      <c r="ESQ40" s="65"/>
      <c r="ESR40" s="65"/>
      <c r="ESS40" s="65"/>
      <c r="EST40" s="65"/>
      <c r="ESU40" s="65"/>
      <c r="ESV40" s="65"/>
      <c r="ESW40" s="65"/>
      <c r="ESX40" s="65"/>
      <c r="ESY40" s="65"/>
      <c r="ESZ40" s="65"/>
      <c r="ETA40" s="65"/>
      <c r="ETB40" s="65"/>
      <c r="ETC40" s="65"/>
      <c r="ETD40" s="65"/>
      <c r="ETE40" s="65"/>
      <c r="ETF40" s="65"/>
      <c r="ETG40" s="65"/>
      <c r="ETH40" s="65"/>
      <c r="ETI40" s="65"/>
      <c r="ETJ40" s="65"/>
      <c r="ETK40" s="65"/>
      <c r="ETL40" s="65"/>
      <c r="ETM40" s="65"/>
      <c r="ETN40" s="65"/>
      <c r="ETO40" s="65"/>
      <c r="ETP40" s="65"/>
      <c r="ETQ40" s="65"/>
      <c r="ETR40" s="65"/>
      <c r="ETS40" s="65"/>
      <c r="ETT40" s="65"/>
      <c r="ETU40" s="65"/>
      <c r="ETV40" s="65"/>
      <c r="ETW40" s="65"/>
      <c r="ETX40" s="65"/>
      <c r="ETY40" s="65"/>
      <c r="ETZ40" s="65"/>
      <c r="EUA40" s="65"/>
      <c r="EUB40" s="65"/>
      <c r="EUC40" s="65"/>
      <c r="EUD40" s="65"/>
      <c r="EUE40" s="65"/>
      <c r="EUF40" s="65"/>
      <c r="EUG40" s="65"/>
      <c r="EUH40" s="65"/>
      <c r="EUI40" s="65"/>
      <c r="EUJ40" s="65"/>
      <c r="EUK40" s="65"/>
      <c r="EUL40" s="65"/>
      <c r="EUM40" s="65"/>
      <c r="EUN40" s="65"/>
      <c r="EUO40" s="65"/>
      <c r="EUP40" s="65"/>
      <c r="EUQ40" s="65"/>
      <c r="EUR40" s="65"/>
      <c r="EUS40" s="65"/>
      <c r="EUT40" s="65"/>
      <c r="EUU40" s="65"/>
      <c r="EUV40" s="65"/>
      <c r="EUW40" s="65"/>
      <c r="EUX40" s="65"/>
      <c r="EUY40" s="65"/>
      <c r="EUZ40" s="65"/>
      <c r="EVA40" s="65"/>
      <c r="EVB40" s="65"/>
      <c r="EVC40" s="65"/>
      <c r="EVD40" s="65"/>
      <c r="EVE40" s="65"/>
      <c r="EVF40" s="65"/>
      <c r="EVG40" s="65"/>
      <c r="EVH40" s="65"/>
      <c r="EVI40" s="65"/>
      <c r="EVJ40" s="65"/>
      <c r="EVK40" s="65"/>
      <c r="EVL40" s="65"/>
      <c r="EVM40" s="65"/>
      <c r="EVN40" s="65"/>
      <c r="EVO40" s="65"/>
      <c r="EVP40" s="65"/>
      <c r="EVQ40" s="65"/>
      <c r="EVR40" s="65"/>
      <c r="EVS40" s="65"/>
      <c r="EVT40" s="65"/>
      <c r="EVU40" s="65"/>
      <c r="EVV40" s="65"/>
      <c r="EVW40" s="65"/>
      <c r="EVX40" s="65"/>
      <c r="EVY40" s="65"/>
      <c r="EVZ40" s="65"/>
      <c r="EWA40" s="65"/>
      <c r="EWB40" s="65"/>
      <c r="EWC40" s="65"/>
      <c r="EWD40" s="65"/>
      <c r="EWE40" s="65"/>
      <c r="EWF40" s="65"/>
      <c r="EWG40" s="65"/>
      <c r="EWH40" s="65"/>
      <c r="EWI40" s="65"/>
      <c r="EWJ40" s="65"/>
      <c r="EWK40" s="65"/>
      <c r="EWL40" s="65"/>
      <c r="EWM40" s="65"/>
      <c r="EWN40" s="65"/>
      <c r="EWO40" s="65"/>
      <c r="EWP40" s="65"/>
      <c r="EWQ40" s="65"/>
      <c r="EWR40" s="65"/>
      <c r="EWS40" s="65"/>
      <c r="EWT40" s="65"/>
      <c r="EWU40" s="65"/>
      <c r="EWV40" s="65"/>
      <c r="EWW40" s="65"/>
      <c r="EWX40" s="65"/>
      <c r="EWY40" s="65"/>
      <c r="EWZ40" s="65"/>
      <c r="EXA40" s="65"/>
      <c r="EXB40" s="65"/>
      <c r="EXC40" s="65"/>
      <c r="EXD40" s="65"/>
      <c r="EXE40" s="65"/>
      <c r="EXF40" s="65"/>
      <c r="EXG40" s="65"/>
      <c r="EXH40" s="65"/>
      <c r="EXI40" s="65"/>
      <c r="EXJ40" s="65"/>
      <c r="EXK40" s="65"/>
      <c r="EXL40" s="65"/>
      <c r="EXM40" s="65"/>
      <c r="EXN40" s="65"/>
      <c r="EXO40" s="65"/>
      <c r="EXP40" s="65"/>
      <c r="EXQ40" s="65"/>
      <c r="EXR40" s="65"/>
      <c r="EXS40" s="65"/>
      <c r="EXT40" s="65"/>
      <c r="EXU40" s="65"/>
      <c r="EXV40" s="65"/>
      <c r="EXW40" s="65"/>
      <c r="EXX40" s="65"/>
      <c r="EXY40" s="65"/>
      <c r="EXZ40" s="65"/>
      <c r="EYA40" s="65"/>
      <c r="EYB40" s="65"/>
      <c r="EYC40" s="65"/>
      <c r="EYD40" s="65"/>
      <c r="EYE40" s="65"/>
      <c r="EYF40" s="65"/>
      <c r="EYG40" s="65"/>
      <c r="EYH40" s="65"/>
      <c r="EYI40" s="65"/>
      <c r="EYJ40" s="65"/>
      <c r="EYK40" s="65"/>
      <c r="EYL40" s="65"/>
      <c r="EYM40" s="65"/>
      <c r="EYN40" s="65"/>
      <c r="EYO40" s="65"/>
      <c r="EYP40" s="65"/>
      <c r="EYQ40" s="65"/>
      <c r="EYR40" s="65"/>
      <c r="EYS40" s="65"/>
      <c r="EYT40" s="65"/>
      <c r="EYU40" s="65"/>
      <c r="EYV40" s="65"/>
      <c r="EYW40" s="65"/>
      <c r="EYX40" s="65"/>
      <c r="EYY40" s="65"/>
      <c r="EYZ40" s="65"/>
      <c r="EZA40" s="65"/>
      <c r="EZB40" s="65"/>
      <c r="EZC40" s="65"/>
      <c r="EZD40" s="65"/>
      <c r="EZE40" s="65"/>
      <c r="EZF40" s="65"/>
      <c r="EZG40" s="65"/>
      <c r="EZH40" s="65"/>
      <c r="EZI40" s="65"/>
      <c r="EZJ40" s="65"/>
      <c r="EZK40" s="65"/>
      <c r="EZL40" s="65"/>
      <c r="EZM40" s="65"/>
      <c r="EZN40" s="65"/>
      <c r="EZO40" s="65"/>
      <c r="EZP40" s="65"/>
      <c r="EZQ40" s="65"/>
      <c r="EZR40" s="65"/>
      <c r="EZS40" s="65"/>
      <c r="EZT40" s="65"/>
      <c r="EZU40" s="65"/>
      <c r="EZV40" s="65"/>
      <c r="EZW40" s="65"/>
      <c r="EZX40" s="65"/>
      <c r="EZY40" s="65"/>
      <c r="EZZ40" s="65"/>
      <c r="FAA40" s="65"/>
      <c r="FAB40" s="65"/>
      <c r="FAC40" s="65"/>
      <c r="FAD40" s="65"/>
      <c r="FAE40" s="65"/>
      <c r="FAF40" s="65"/>
      <c r="FAG40" s="65"/>
      <c r="FAH40" s="65"/>
      <c r="FAI40" s="65"/>
      <c r="FAJ40" s="65"/>
      <c r="FAK40" s="65"/>
      <c r="FAL40" s="65"/>
      <c r="FAM40" s="65"/>
      <c r="FAN40" s="65"/>
      <c r="FAO40" s="65"/>
      <c r="FAP40" s="65"/>
      <c r="FAQ40" s="65"/>
      <c r="FAR40" s="65"/>
      <c r="FAS40" s="65"/>
      <c r="FAT40" s="65"/>
      <c r="FAU40" s="65"/>
      <c r="FAV40" s="65"/>
      <c r="FAW40" s="65"/>
      <c r="FAX40" s="65"/>
      <c r="FAY40" s="65"/>
      <c r="FAZ40" s="65"/>
      <c r="FBA40" s="65"/>
      <c r="FBB40" s="65"/>
      <c r="FBC40" s="65"/>
      <c r="FBD40" s="65"/>
      <c r="FBE40" s="65"/>
      <c r="FBF40" s="65"/>
      <c r="FBG40" s="65"/>
      <c r="FBH40" s="65"/>
      <c r="FBI40" s="65"/>
      <c r="FBJ40" s="65"/>
      <c r="FBK40" s="65"/>
      <c r="FBL40" s="65"/>
      <c r="FBM40" s="65"/>
      <c r="FBN40" s="65"/>
      <c r="FBO40" s="65"/>
      <c r="FBP40" s="65"/>
      <c r="FBQ40" s="65"/>
      <c r="FBR40" s="65"/>
      <c r="FBS40" s="65"/>
      <c r="FBT40" s="65"/>
      <c r="FBU40" s="65"/>
      <c r="FBV40" s="65"/>
      <c r="FBW40" s="65"/>
      <c r="FBX40" s="65"/>
      <c r="FBY40" s="65"/>
      <c r="FBZ40" s="65"/>
      <c r="FCA40" s="65"/>
      <c r="FCB40" s="65"/>
      <c r="FCC40" s="65"/>
      <c r="FCD40" s="65"/>
      <c r="FCE40" s="65"/>
      <c r="FCF40" s="65"/>
      <c r="FCG40" s="65"/>
      <c r="FCH40" s="65"/>
      <c r="FCI40" s="65"/>
      <c r="FCJ40" s="65"/>
      <c r="FCK40" s="65"/>
      <c r="FCL40" s="65"/>
      <c r="FCM40" s="65"/>
      <c r="FCN40" s="65"/>
      <c r="FCO40" s="65"/>
      <c r="FCP40" s="65"/>
      <c r="FCQ40" s="65"/>
      <c r="FCR40" s="65"/>
      <c r="FCS40" s="65"/>
      <c r="FCT40" s="65"/>
      <c r="FCU40" s="65"/>
      <c r="FCV40" s="65"/>
      <c r="FCW40" s="65"/>
      <c r="FCX40" s="65"/>
      <c r="FCY40" s="65"/>
      <c r="FCZ40" s="65"/>
      <c r="FDA40" s="65"/>
      <c r="FDB40" s="65"/>
      <c r="FDC40" s="65"/>
      <c r="FDD40" s="65"/>
      <c r="FDE40" s="65"/>
      <c r="FDF40" s="65"/>
      <c r="FDG40" s="65"/>
      <c r="FDH40" s="65"/>
      <c r="FDI40" s="65"/>
      <c r="FDJ40" s="65"/>
      <c r="FDK40" s="65"/>
      <c r="FDL40" s="65"/>
      <c r="FDM40" s="65"/>
      <c r="FDN40" s="65"/>
      <c r="FDO40" s="65"/>
      <c r="FDP40" s="65"/>
      <c r="FDQ40" s="65"/>
      <c r="FDR40" s="65"/>
      <c r="FDS40" s="65"/>
      <c r="FDT40" s="65"/>
      <c r="FDU40" s="65"/>
      <c r="FDV40" s="65"/>
      <c r="FDW40" s="65"/>
      <c r="FDX40" s="65"/>
      <c r="FDY40" s="65"/>
      <c r="FDZ40" s="65"/>
      <c r="FEA40" s="65"/>
      <c r="FEB40" s="65"/>
      <c r="FEC40" s="65"/>
      <c r="FED40" s="65"/>
      <c r="FEE40" s="65"/>
      <c r="FEF40" s="65"/>
      <c r="FEG40" s="65"/>
      <c r="FEH40" s="65"/>
      <c r="FEI40" s="65"/>
      <c r="FEJ40" s="65"/>
      <c r="FEK40" s="65"/>
      <c r="FEL40" s="65"/>
      <c r="FEM40" s="65"/>
      <c r="FEN40" s="65"/>
      <c r="FEO40" s="65"/>
      <c r="FEP40" s="65"/>
      <c r="FEQ40" s="65"/>
      <c r="FER40" s="65"/>
      <c r="FES40" s="65"/>
      <c r="FET40" s="65"/>
      <c r="FEU40" s="65"/>
      <c r="FEV40" s="65"/>
      <c r="FEW40" s="65"/>
      <c r="FEX40" s="65"/>
      <c r="FEY40" s="65"/>
      <c r="FEZ40" s="65"/>
      <c r="FFA40" s="65"/>
      <c r="FFB40" s="65"/>
      <c r="FFC40" s="65"/>
      <c r="FFD40" s="65"/>
      <c r="FFE40" s="65"/>
      <c r="FFF40" s="65"/>
      <c r="FFG40" s="65"/>
      <c r="FFH40" s="65"/>
      <c r="FFI40" s="65"/>
      <c r="FFJ40" s="65"/>
      <c r="FFK40" s="65"/>
      <c r="FFL40" s="65"/>
      <c r="FFM40" s="65"/>
      <c r="FFN40" s="65"/>
      <c r="FFO40" s="65"/>
      <c r="FFP40" s="65"/>
      <c r="FFQ40" s="65"/>
      <c r="FFR40" s="65"/>
      <c r="FFS40" s="65"/>
      <c r="FFT40" s="65"/>
      <c r="FFU40" s="65"/>
      <c r="FFV40" s="65"/>
      <c r="FFW40" s="65"/>
      <c r="FFX40" s="65"/>
      <c r="FFY40" s="65"/>
      <c r="FFZ40" s="65"/>
      <c r="FGA40" s="65"/>
      <c r="FGB40" s="65"/>
      <c r="FGC40" s="65"/>
      <c r="FGD40" s="65"/>
      <c r="FGE40" s="65"/>
      <c r="FGF40" s="65"/>
      <c r="FGG40" s="65"/>
      <c r="FGH40" s="65"/>
      <c r="FGI40" s="65"/>
      <c r="FGJ40" s="65"/>
      <c r="FGK40" s="65"/>
      <c r="FGL40" s="65"/>
      <c r="FGM40" s="65"/>
      <c r="FGN40" s="65"/>
      <c r="FGO40" s="65"/>
      <c r="FGP40" s="65"/>
      <c r="FGQ40" s="65"/>
      <c r="FGR40" s="65"/>
      <c r="FGS40" s="65"/>
      <c r="FGT40" s="65"/>
      <c r="FGU40" s="65"/>
      <c r="FGV40" s="65"/>
      <c r="FGW40" s="65"/>
      <c r="FGX40" s="65"/>
      <c r="FGY40" s="65"/>
      <c r="FGZ40" s="65"/>
      <c r="FHA40" s="65"/>
      <c r="FHB40" s="65"/>
      <c r="FHC40" s="65"/>
      <c r="FHD40" s="65"/>
      <c r="FHE40" s="65"/>
      <c r="FHF40" s="65"/>
      <c r="FHG40" s="65"/>
      <c r="FHH40" s="65"/>
      <c r="FHI40" s="65"/>
      <c r="FHJ40" s="65"/>
      <c r="FHK40" s="65"/>
      <c r="FHL40" s="65"/>
      <c r="FHM40" s="65"/>
      <c r="FHN40" s="65"/>
      <c r="FHO40" s="65"/>
      <c r="FHP40" s="65"/>
      <c r="FHQ40" s="65"/>
      <c r="FHR40" s="65"/>
      <c r="FHS40" s="65"/>
      <c r="FHT40" s="65"/>
      <c r="FHU40" s="65"/>
      <c r="FHV40" s="65"/>
      <c r="FHW40" s="65"/>
      <c r="FHX40" s="65"/>
      <c r="FHY40" s="65"/>
      <c r="FHZ40" s="65"/>
      <c r="FIA40" s="65"/>
      <c r="FIB40" s="65"/>
      <c r="FIC40" s="65"/>
      <c r="FID40" s="65"/>
      <c r="FIE40" s="65"/>
      <c r="FIF40" s="65"/>
      <c r="FIG40" s="65"/>
      <c r="FIH40" s="65"/>
      <c r="FII40" s="65"/>
      <c r="FIJ40" s="65"/>
      <c r="FIK40" s="65"/>
      <c r="FIL40" s="65"/>
      <c r="FIM40" s="65"/>
      <c r="FIN40" s="65"/>
      <c r="FIO40" s="65"/>
      <c r="FIP40" s="65"/>
      <c r="FIQ40" s="65"/>
      <c r="FIR40" s="65"/>
      <c r="FIS40" s="65"/>
      <c r="FIT40" s="65"/>
      <c r="FIU40" s="65"/>
      <c r="FIV40" s="65"/>
      <c r="FIW40" s="65"/>
      <c r="FIX40" s="65"/>
      <c r="FIY40" s="65"/>
      <c r="FIZ40" s="65"/>
      <c r="FJA40" s="65"/>
      <c r="FJB40" s="65"/>
      <c r="FJC40" s="65"/>
      <c r="FJD40" s="65"/>
      <c r="FJE40" s="65"/>
      <c r="FJF40" s="65"/>
      <c r="FJG40" s="65"/>
      <c r="FJH40" s="65"/>
      <c r="FJI40" s="65"/>
      <c r="FJJ40" s="65"/>
      <c r="FJK40" s="65"/>
      <c r="FJL40" s="65"/>
      <c r="FJM40" s="65"/>
      <c r="FJN40" s="65"/>
      <c r="FJO40" s="65"/>
      <c r="FJP40" s="65"/>
      <c r="FJQ40" s="65"/>
      <c r="FJR40" s="65"/>
      <c r="FJS40" s="65"/>
      <c r="FJT40" s="65"/>
      <c r="FJU40" s="65"/>
      <c r="FJV40" s="65"/>
      <c r="FJW40" s="65"/>
      <c r="FJX40" s="65"/>
      <c r="FJY40" s="65"/>
      <c r="FJZ40" s="65"/>
      <c r="FKA40" s="65"/>
      <c r="FKB40" s="65"/>
      <c r="FKC40" s="65"/>
      <c r="FKD40" s="65"/>
      <c r="FKE40" s="65"/>
      <c r="FKF40" s="65"/>
      <c r="FKG40" s="65"/>
      <c r="FKH40" s="65"/>
      <c r="FKI40" s="65"/>
      <c r="FKJ40" s="65"/>
      <c r="FKK40" s="65"/>
      <c r="FKL40" s="65"/>
      <c r="FKM40" s="65"/>
      <c r="FKN40" s="65"/>
      <c r="FKO40" s="65"/>
      <c r="FKP40" s="65"/>
      <c r="FKQ40" s="65"/>
      <c r="FKR40" s="65"/>
      <c r="FKS40" s="65"/>
      <c r="FKT40" s="65"/>
      <c r="FKU40" s="65"/>
      <c r="FKV40" s="65"/>
      <c r="FKW40" s="65"/>
      <c r="FKX40" s="65"/>
      <c r="FKY40" s="65"/>
      <c r="FKZ40" s="65"/>
      <c r="FLA40" s="65"/>
      <c r="FLB40" s="65"/>
      <c r="FLC40" s="65"/>
      <c r="FLD40" s="65"/>
      <c r="FLE40" s="65"/>
      <c r="FLF40" s="65"/>
      <c r="FLG40" s="65"/>
      <c r="FLH40" s="65"/>
      <c r="FLI40" s="65"/>
      <c r="FLJ40" s="65"/>
      <c r="FLK40" s="65"/>
      <c r="FLL40" s="65"/>
      <c r="FLM40" s="65"/>
      <c r="FLN40" s="65"/>
      <c r="FLO40" s="65"/>
      <c r="FLP40" s="65"/>
      <c r="FLQ40" s="65"/>
      <c r="FLR40" s="65"/>
      <c r="FLS40" s="65"/>
      <c r="FLT40" s="65"/>
      <c r="FLU40" s="65"/>
      <c r="FLV40" s="65"/>
      <c r="FLW40" s="65"/>
      <c r="FLX40" s="65"/>
      <c r="FLY40" s="65"/>
      <c r="FLZ40" s="65"/>
      <c r="FMA40" s="65"/>
      <c r="FMB40" s="65"/>
      <c r="FMC40" s="65"/>
      <c r="FMD40" s="65"/>
      <c r="FME40" s="65"/>
      <c r="FMF40" s="65"/>
      <c r="FMG40" s="65"/>
      <c r="FMH40" s="65"/>
      <c r="FMI40" s="65"/>
      <c r="FMJ40" s="65"/>
      <c r="FMK40" s="65"/>
      <c r="FML40" s="65"/>
      <c r="FMM40" s="65"/>
      <c r="FMN40" s="65"/>
      <c r="FMO40" s="65"/>
      <c r="FMP40" s="65"/>
      <c r="FMQ40" s="65"/>
      <c r="FMR40" s="65"/>
      <c r="FMS40" s="65"/>
      <c r="FMT40" s="65"/>
      <c r="FMU40" s="65"/>
      <c r="FMV40" s="65"/>
      <c r="FMW40" s="65"/>
      <c r="FMX40" s="65"/>
      <c r="FMY40" s="65"/>
      <c r="FMZ40" s="65"/>
      <c r="FNA40" s="65"/>
      <c r="FNB40" s="65"/>
      <c r="FNC40" s="65"/>
      <c r="FND40" s="65"/>
      <c r="FNE40" s="65"/>
      <c r="FNF40" s="65"/>
      <c r="FNG40" s="65"/>
      <c r="FNH40" s="65"/>
      <c r="FNI40" s="65"/>
      <c r="FNJ40" s="65"/>
      <c r="FNK40" s="65"/>
      <c r="FNL40" s="65"/>
      <c r="FNM40" s="65"/>
      <c r="FNN40" s="65"/>
      <c r="FNO40" s="65"/>
      <c r="FNP40" s="65"/>
      <c r="FNQ40" s="65"/>
      <c r="FNR40" s="65"/>
      <c r="FNS40" s="65"/>
      <c r="FNT40" s="65"/>
      <c r="FNU40" s="65"/>
      <c r="FNV40" s="65"/>
      <c r="FNW40" s="65"/>
      <c r="FNX40" s="65"/>
      <c r="FNY40" s="65"/>
      <c r="FNZ40" s="65"/>
      <c r="FOA40" s="65"/>
      <c r="FOB40" s="65"/>
      <c r="FOC40" s="65"/>
      <c r="FOD40" s="65"/>
      <c r="FOE40" s="65"/>
      <c r="FOF40" s="65"/>
      <c r="FOG40" s="65"/>
      <c r="FOH40" s="65"/>
      <c r="FOI40" s="65"/>
      <c r="FOJ40" s="65"/>
      <c r="FOK40" s="65"/>
      <c r="FOL40" s="65"/>
      <c r="FOM40" s="65"/>
      <c r="FON40" s="65"/>
      <c r="FOO40" s="65"/>
      <c r="FOP40" s="65"/>
      <c r="FOQ40" s="65"/>
      <c r="FOR40" s="65"/>
      <c r="FOS40" s="65"/>
      <c r="FOT40" s="65"/>
      <c r="FOU40" s="65"/>
      <c r="FOV40" s="65"/>
      <c r="FOW40" s="65"/>
      <c r="FOX40" s="65"/>
      <c r="FOY40" s="65"/>
      <c r="FOZ40" s="65"/>
      <c r="FPA40" s="65"/>
      <c r="FPB40" s="65"/>
      <c r="FPC40" s="65"/>
      <c r="FPD40" s="65"/>
      <c r="FPE40" s="65"/>
      <c r="FPF40" s="65"/>
      <c r="FPG40" s="65"/>
      <c r="FPH40" s="65"/>
      <c r="FPI40" s="65"/>
      <c r="FPJ40" s="65"/>
      <c r="FPK40" s="65"/>
      <c r="FPL40" s="65"/>
      <c r="FPM40" s="65"/>
      <c r="FPN40" s="65"/>
      <c r="FPO40" s="65"/>
      <c r="FPP40" s="65"/>
      <c r="FPQ40" s="65"/>
      <c r="FPR40" s="65"/>
      <c r="FPS40" s="65"/>
      <c r="FPT40" s="65"/>
      <c r="FPU40" s="65"/>
      <c r="FPV40" s="65"/>
      <c r="FPW40" s="65"/>
      <c r="FPX40" s="65"/>
      <c r="FPY40" s="65"/>
      <c r="FPZ40" s="65"/>
      <c r="FQA40" s="65"/>
      <c r="FQB40" s="65"/>
      <c r="FQC40" s="65"/>
      <c r="FQD40" s="65"/>
      <c r="FQE40" s="65"/>
      <c r="FQF40" s="65"/>
      <c r="FQG40" s="65"/>
      <c r="FQH40" s="65"/>
      <c r="FQI40" s="65"/>
      <c r="FQJ40" s="65"/>
      <c r="FQK40" s="65"/>
      <c r="FQL40" s="65"/>
      <c r="FQM40" s="65"/>
      <c r="FQN40" s="65"/>
      <c r="FQO40" s="65"/>
      <c r="FQP40" s="65"/>
      <c r="FQQ40" s="65"/>
      <c r="FQR40" s="65"/>
      <c r="FQS40" s="65"/>
      <c r="FQT40" s="65"/>
      <c r="FQU40" s="65"/>
      <c r="FQV40" s="65"/>
      <c r="FQW40" s="65"/>
      <c r="FQX40" s="65"/>
      <c r="FQY40" s="65"/>
      <c r="FQZ40" s="65"/>
      <c r="FRA40" s="65"/>
      <c r="FRB40" s="65"/>
      <c r="FRC40" s="65"/>
      <c r="FRD40" s="65"/>
      <c r="FRE40" s="65"/>
      <c r="FRF40" s="65"/>
      <c r="FRG40" s="65"/>
      <c r="FRH40" s="65"/>
      <c r="FRI40" s="65"/>
      <c r="FRJ40" s="65"/>
      <c r="FRK40" s="65"/>
      <c r="FRL40" s="65"/>
      <c r="FRM40" s="65"/>
      <c r="FRN40" s="65"/>
      <c r="FRO40" s="65"/>
      <c r="FRP40" s="65"/>
      <c r="FRQ40" s="65"/>
      <c r="FRR40" s="65"/>
      <c r="FRS40" s="65"/>
      <c r="FRT40" s="65"/>
      <c r="FRU40" s="65"/>
      <c r="FRV40" s="65"/>
      <c r="FRW40" s="65"/>
      <c r="FRX40" s="65"/>
      <c r="FRY40" s="65"/>
      <c r="FRZ40" s="65"/>
      <c r="FSA40" s="65"/>
      <c r="FSB40" s="65"/>
      <c r="FSC40" s="65"/>
      <c r="FSD40" s="65"/>
      <c r="FSE40" s="65"/>
      <c r="FSF40" s="65"/>
      <c r="FSG40" s="65"/>
      <c r="FSH40" s="65"/>
      <c r="FSI40" s="65"/>
      <c r="FSJ40" s="65"/>
      <c r="FSK40" s="65"/>
      <c r="FSL40" s="65"/>
      <c r="FSM40" s="65"/>
      <c r="FSN40" s="65"/>
      <c r="FSO40" s="65"/>
      <c r="FSP40" s="65"/>
      <c r="FSQ40" s="65"/>
      <c r="FSR40" s="65"/>
      <c r="FSS40" s="65"/>
      <c r="FST40" s="65"/>
      <c r="FSU40" s="65"/>
      <c r="FSV40" s="65"/>
      <c r="FSW40" s="65"/>
      <c r="FSX40" s="65"/>
      <c r="FSY40" s="65"/>
      <c r="FSZ40" s="65"/>
      <c r="FTA40" s="65"/>
      <c r="FTB40" s="65"/>
      <c r="FTC40" s="65"/>
      <c r="FTD40" s="65"/>
      <c r="FTE40" s="65"/>
      <c r="FTF40" s="65"/>
      <c r="FTG40" s="65"/>
      <c r="FTH40" s="65"/>
      <c r="FTI40" s="65"/>
      <c r="FTJ40" s="65"/>
      <c r="FTK40" s="65"/>
      <c r="FTL40" s="65"/>
      <c r="FTM40" s="65"/>
      <c r="FTN40" s="65"/>
      <c r="FTO40" s="65"/>
      <c r="FTP40" s="65"/>
      <c r="FTQ40" s="65"/>
      <c r="FTR40" s="65"/>
      <c r="FTS40" s="65"/>
      <c r="FTT40" s="65"/>
      <c r="FTU40" s="65"/>
      <c r="FTV40" s="65"/>
      <c r="FTW40" s="65"/>
      <c r="FTX40" s="65"/>
      <c r="FTY40" s="65"/>
      <c r="FTZ40" s="65"/>
      <c r="FUA40" s="65"/>
      <c r="FUB40" s="65"/>
      <c r="FUC40" s="65"/>
      <c r="FUD40" s="65"/>
      <c r="FUE40" s="65"/>
      <c r="FUF40" s="65"/>
      <c r="FUG40" s="65"/>
      <c r="FUH40" s="65"/>
      <c r="FUI40" s="65"/>
      <c r="FUJ40" s="65"/>
      <c r="FUK40" s="65"/>
      <c r="FUL40" s="65"/>
      <c r="FUM40" s="65"/>
      <c r="FUN40" s="65"/>
      <c r="FUO40" s="65"/>
      <c r="FUP40" s="65"/>
      <c r="FUQ40" s="65"/>
      <c r="FUR40" s="65"/>
      <c r="FUS40" s="65"/>
      <c r="FUT40" s="65"/>
      <c r="FUU40" s="65"/>
      <c r="FUV40" s="65"/>
      <c r="FUW40" s="65"/>
      <c r="FUX40" s="65"/>
      <c r="FUY40" s="65"/>
      <c r="FUZ40" s="65"/>
      <c r="FVA40" s="65"/>
      <c r="FVB40" s="65"/>
      <c r="FVC40" s="65"/>
      <c r="FVD40" s="65"/>
      <c r="FVE40" s="65"/>
      <c r="FVF40" s="65"/>
      <c r="FVG40" s="65"/>
      <c r="FVH40" s="65"/>
      <c r="FVI40" s="65"/>
      <c r="FVJ40" s="65"/>
      <c r="FVK40" s="65"/>
      <c r="FVL40" s="65"/>
      <c r="FVM40" s="65"/>
      <c r="FVN40" s="65"/>
      <c r="FVO40" s="65"/>
      <c r="FVP40" s="65"/>
      <c r="FVQ40" s="65"/>
      <c r="FVR40" s="65"/>
      <c r="FVS40" s="65"/>
      <c r="FVT40" s="65"/>
      <c r="FVU40" s="65"/>
      <c r="FVV40" s="65"/>
      <c r="FVW40" s="65"/>
      <c r="FVX40" s="65"/>
      <c r="FVY40" s="65"/>
      <c r="FVZ40" s="65"/>
      <c r="FWA40" s="65"/>
      <c r="FWB40" s="65"/>
      <c r="FWC40" s="65"/>
      <c r="FWD40" s="65"/>
      <c r="FWE40" s="65"/>
      <c r="FWF40" s="65"/>
      <c r="FWG40" s="65"/>
      <c r="FWH40" s="65"/>
      <c r="FWI40" s="65"/>
      <c r="FWJ40" s="65"/>
      <c r="FWK40" s="65"/>
      <c r="FWL40" s="65"/>
      <c r="FWM40" s="65"/>
      <c r="FWN40" s="65"/>
      <c r="FWO40" s="65"/>
      <c r="FWP40" s="65"/>
      <c r="FWQ40" s="65"/>
      <c r="FWR40" s="65"/>
      <c r="FWS40" s="65"/>
      <c r="FWT40" s="65"/>
      <c r="FWU40" s="65"/>
      <c r="FWV40" s="65"/>
      <c r="FWW40" s="65"/>
      <c r="FWX40" s="65"/>
      <c r="FWY40" s="65"/>
      <c r="FWZ40" s="65"/>
      <c r="FXA40" s="65"/>
      <c r="FXB40" s="65"/>
      <c r="FXC40" s="65"/>
      <c r="FXD40" s="65"/>
      <c r="FXE40" s="65"/>
      <c r="FXF40" s="65"/>
      <c r="FXG40" s="65"/>
      <c r="FXH40" s="65"/>
      <c r="FXI40" s="65"/>
      <c r="FXJ40" s="65"/>
      <c r="FXK40" s="65"/>
      <c r="FXL40" s="65"/>
      <c r="FXM40" s="65"/>
      <c r="FXN40" s="65"/>
      <c r="FXO40" s="65"/>
      <c r="FXP40" s="65"/>
      <c r="FXQ40" s="65"/>
      <c r="FXR40" s="65"/>
      <c r="FXS40" s="65"/>
      <c r="FXT40" s="65"/>
      <c r="FXU40" s="65"/>
      <c r="FXV40" s="65"/>
      <c r="FXW40" s="65"/>
      <c r="FXX40" s="65"/>
      <c r="FXY40" s="65"/>
      <c r="FXZ40" s="65"/>
      <c r="FYA40" s="65"/>
      <c r="FYB40" s="65"/>
      <c r="FYC40" s="65"/>
      <c r="FYD40" s="65"/>
      <c r="FYE40" s="65"/>
      <c r="FYF40" s="65"/>
      <c r="FYG40" s="65"/>
      <c r="FYH40" s="65"/>
      <c r="FYI40" s="65"/>
      <c r="FYJ40" s="65"/>
      <c r="FYK40" s="65"/>
      <c r="FYL40" s="65"/>
      <c r="FYM40" s="65"/>
      <c r="FYN40" s="65"/>
      <c r="FYO40" s="65"/>
      <c r="FYP40" s="65"/>
      <c r="FYQ40" s="65"/>
      <c r="FYR40" s="65"/>
      <c r="FYS40" s="65"/>
      <c r="FYT40" s="65"/>
      <c r="FYU40" s="65"/>
      <c r="FYV40" s="65"/>
      <c r="FYW40" s="65"/>
      <c r="FYX40" s="65"/>
      <c r="FYY40" s="65"/>
      <c r="FYZ40" s="65"/>
      <c r="FZA40" s="65"/>
      <c r="FZB40" s="65"/>
      <c r="FZC40" s="65"/>
      <c r="FZD40" s="65"/>
      <c r="FZE40" s="65"/>
      <c r="FZF40" s="65"/>
      <c r="FZG40" s="65"/>
      <c r="FZH40" s="65"/>
      <c r="FZI40" s="65"/>
      <c r="FZJ40" s="65"/>
      <c r="FZK40" s="65"/>
      <c r="FZL40" s="65"/>
      <c r="FZM40" s="65"/>
      <c r="FZN40" s="65"/>
      <c r="FZO40" s="65"/>
      <c r="FZP40" s="65"/>
      <c r="FZQ40" s="65"/>
      <c r="FZR40" s="65"/>
      <c r="FZS40" s="65"/>
      <c r="FZT40" s="65"/>
      <c r="FZU40" s="65"/>
      <c r="FZV40" s="65"/>
      <c r="FZW40" s="65"/>
      <c r="FZX40" s="65"/>
      <c r="FZY40" s="65"/>
      <c r="FZZ40" s="65"/>
      <c r="GAA40" s="65"/>
      <c r="GAB40" s="65"/>
      <c r="GAC40" s="65"/>
      <c r="GAD40" s="65"/>
      <c r="GAE40" s="65"/>
      <c r="GAF40" s="65"/>
      <c r="GAG40" s="65"/>
      <c r="GAH40" s="65"/>
      <c r="GAI40" s="65"/>
      <c r="GAJ40" s="65"/>
      <c r="GAK40" s="65"/>
      <c r="GAL40" s="65"/>
      <c r="GAM40" s="65"/>
      <c r="GAN40" s="65"/>
      <c r="GAO40" s="65"/>
      <c r="GAP40" s="65"/>
      <c r="GAQ40" s="65"/>
      <c r="GAR40" s="65"/>
      <c r="GAS40" s="65"/>
      <c r="GAT40" s="65"/>
      <c r="GAU40" s="65"/>
      <c r="GAV40" s="65"/>
      <c r="GAW40" s="65"/>
      <c r="GAX40" s="65"/>
      <c r="GAY40" s="65"/>
      <c r="GAZ40" s="65"/>
      <c r="GBA40" s="65"/>
      <c r="GBB40" s="65"/>
      <c r="GBC40" s="65"/>
      <c r="GBD40" s="65"/>
      <c r="GBE40" s="65"/>
      <c r="GBF40" s="65"/>
      <c r="GBG40" s="65"/>
      <c r="GBH40" s="65"/>
      <c r="GBI40" s="65"/>
      <c r="GBJ40" s="65"/>
      <c r="GBK40" s="65"/>
      <c r="GBL40" s="65"/>
      <c r="GBM40" s="65"/>
      <c r="GBN40" s="65"/>
      <c r="GBO40" s="65"/>
      <c r="GBP40" s="65"/>
      <c r="GBQ40" s="65"/>
      <c r="GBR40" s="65"/>
      <c r="GBS40" s="65"/>
      <c r="GBT40" s="65"/>
      <c r="GBU40" s="65"/>
      <c r="GBV40" s="65"/>
      <c r="GBW40" s="65"/>
      <c r="GBX40" s="65"/>
      <c r="GBY40" s="65"/>
      <c r="GBZ40" s="65"/>
      <c r="GCA40" s="65"/>
      <c r="GCB40" s="65"/>
      <c r="GCC40" s="65"/>
      <c r="GCD40" s="65"/>
      <c r="GCE40" s="65"/>
      <c r="GCF40" s="65"/>
      <c r="GCG40" s="65"/>
      <c r="GCH40" s="65"/>
      <c r="GCI40" s="65"/>
      <c r="GCJ40" s="65"/>
      <c r="GCK40" s="65"/>
      <c r="GCL40" s="65"/>
      <c r="GCM40" s="65"/>
      <c r="GCN40" s="65"/>
      <c r="GCO40" s="65"/>
      <c r="GCP40" s="65"/>
      <c r="GCQ40" s="65"/>
      <c r="GCR40" s="65"/>
      <c r="GCS40" s="65"/>
      <c r="GCT40" s="65"/>
      <c r="GCU40" s="65"/>
      <c r="GCV40" s="65"/>
      <c r="GCW40" s="65"/>
      <c r="GCX40" s="65"/>
      <c r="GCY40" s="65"/>
      <c r="GCZ40" s="65"/>
      <c r="GDA40" s="65"/>
      <c r="GDB40" s="65"/>
      <c r="GDC40" s="65"/>
      <c r="GDD40" s="65"/>
      <c r="GDE40" s="65"/>
      <c r="GDF40" s="65"/>
      <c r="GDG40" s="65"/>
      <c r="GDH40" s="65"/>
      <c r="GDI40" s="65"/>
      <c r="GDJ40" s="65"/>
      <c r="GDK40" s="65"/>
      <c r="GDL40" s="65"/>
      <c r="GDM40" s="65"/>
      <c r="GDN40" s="65"/>
      <c r="GDO40" s="65"/>
      <c r="GDP40" s="65"/>
      <c r="GDQ40" s="65"/>
      <c r="GDR40" s="65"/>
      <c r="GDS40" s="65"/>
      <c r="GDT40" s="65"/>
      <c r="GDU40" s="65"/>
      <c r="GDV40" s="65"/>
      <c r="GDW40" s="65"/>
      <c r="GDX40" s="65"/>
      <c r="GDY40" s="65"/>
      <c r="GDZ40" s="65"/>
      <c r="GEA40" s="65"/>
      <c r="GEB40" s="65"/>
      <c r="GEC40" s="65"/>
      <c r="GED40" s="65"/>
      <c r="GEE40" s="65"/>
      <c r="GEF40" s="65"/>
      <c r="GEG40" s="65"/>
      <c r="GEH40" s="65"/>
      <c r="GEI40" s="65"/>
      <c r="GEJ40" s="65"/>
      <c r="GEK40" s="65"/>
      <c r="GEL40" s="65"/>
      <c r="GEM40" s="65"/>
      <c r="GEN40" s="65"/>
      <c r="GEO40" s="65"/>
      <c r="GEP40" s="65"/>
      <c r="GEQ40" s="65"/>
      <c r="GER40" s="65"/>
      <c r="GES40" s="65"/>
      <c r="GET40" s="65"/>
      <c r="GEU40" s="65"/>
      <c r="GEV40" s="65"/>
      <c r="GEW40" s="65"/>
      <c r="GEX40" s="65"/>
      <c r="GEY40" s="65"/>
      <c r="GEZ40" s="65"/>
      <c r="GFA40" s="65"/>
      <c r="GFB40" s="65"/>
      <c r="GFC40" s="65"/>
      <c r="GFD40" s="65"/>
      <c r="GFE40" s="65"/>
      <c r="GFF40" s="65"/>
      <c r="GFG40" s="65"/>
      <c r="GFH40" s="65"/>
      <c r="GFI40" s="65"/>
      <c r="GFJ40" s="65"/>
      <c r="GFK40" s="65"/>
      <c r="GFL40" s="65"/>
      <c r="GFM40" s="65"/>
      <c r="GFN40" s="65"/>
      <c r="GFO40" s="65"/>
      <c r="GFP40" s="65"/>
      <c r="GFQ40" s="65"/>
      <c r="GFR40" s="65"/>
      <c r="GFS40" s="65"/>
      <c r="GFT40" s="65"/>
      <c r="GFU40" s="65"/>
      <c r="GFV40" s="65"/>
      <c r="GFW40" s="65"/>
      <c r="GFX40" s="65"/>
      <c r="GFY40" s="65"/>
      <c r="GFZ40" s="65"/>
      <c r="GGA40" s="65"/>
      <c r="GGB40" s="65"/>
      <c r="GGC40" s="65"/>
      <c r="GGD40" s="65"/>
      <c r="GGE40" s="65"/>
      <c r="GGF40" s="65"/>
      <c r="GGG40" s="65"/>
      <c r="GGH40" s="65"/>
      <c r="GGI40" s="65"/>
      <c r="GGJ40" s="65"/>
      <c r="GGK40" s="65"/>
      <c r="GGL40" s="65"/>
      <c r="GGM40" s="65"/>
      <c r="GGN40" s="65"/>
      <c r="GGO40" s="65"/>
      <c r="GGP40" s="65"/>
      <c r="GGQ40" s="65"/>
      <c r="GGR40" s="65"/>
      <c r="GGS40" s="65"/>
      <c r="GGT40" s="65"/>
      <c r="GGU40" s="65"/>
      <c r="GGV40" s="65"/>
      <c r="GGW40" s="65"/>
      <c r="GGX40" s="65"/>
      <c r="GGY40" s="65"/>
      <c r="GGZ40" s="65"/>
      <c r="GHA40" s="65"/>
      <c r="GHB40" s="65"/>
      <c r="GHC40" s="65"/>
      <c r="GHD40" s="65"/>
      <c r="GHE40" s="65"/>
      <c r="GHF40" s="65"/>
      <c r="GHG40" s="65"/>
      <c r="GHH40" s="65"/>
      <c r="GHI40" s="65"/>
      <c r="GHJ40" s="65"/>
      <c r="GHK40" s="65"/>
      <c r="GHL40" s="65"/>
      <c r="GHM40" s="65"/>
      <c r="GHN40" s="65"/>
      <c r="GHO40" s="65"/>
      <c r="GHP40" s="65"/>
      <c r="GHQ40" s="65"/>
      <c r="GHR40" s="65"/>
      <c r="GHS40" s="65"/>
      <c r="GHT40" s="65"/>
      <c r="GHU40" s="65"/>
      <c r="GHV40" s="65"/>
      <c r="GHW40" s="65"/>
      <c r="GHX40" s="65"/>
      <c r="GHY40" s="65"/>
      <c r="GHZ40" s="65"/>
      <c r="GIA40" s="65"/>
      <c r="GIB40" s="65"/>
      <c r="GIC40" s="65"/>
      <c r="GID40" s="65"/>
      <c r="GIE40" s="65"/>
      <c r="GIF40" s="65"/>
      <c r="GIG40" s="65"/>
      <c r="GIH40" s="65"/>
      <c r="GII40" s="65"/>
      <c r="GIJ40" s="65"/>
      <c r="GIK40" s="65"/>
      <c r="GIL40" s="65"/>
      <c r="GIM40" s="65"/>
      <c r="GIN40" s="65"/>
      <c r="GIO40" s="65"/>
      <c r="GIP40" s="65"/>
      <c r="GIQ40" s="65"/>
      <c r="GIR40" s="65"/>
      <c r="GIS40" s="65"/>
      <c r="GIT40" s="65"/>
      <c r="GIU40" s="65"/>
      <c r="GIV40" s="65"/>
      <c r="GIW40" s="65"/>
      <c r="GIX40" s="65"/>
      <c r="GIY40" s="65"/>
      <c r="GIZ40" s="65"/>
      <c r="GJA40" s="65"/>
      <c r="GJB40" s="65"/>
      <c r="GJC40" s="65"/>
      <c r="GJD40" s="65"/>
      <c r="GJE40" s="65"/>
      <c r="GJF40" s="65"/>
      <c r="GJG40" s="65"/>
      <c r="GJH40" s="65"/>
      <c r="GJI40" s="65"/>
      <c r="GJJ40" s="65"/>
      <c r="GJK40" s="65"/>
      <c r="GJL40" s="65"/>
      <c r="GJM40" s="65"/>
      <c r="GJN40" s="65"/>
      <c r="GJO40" s="65"/>
      <c r="GJP40" s="65"/>
      <c r="GJQ40" s="65"/>
      <c r="GJR40" s="65"/>
      <c r="GJS40" s="65"/>
      <c r="GJT40" s="65"/>
      <c r="GJU40" s="65"/>
      <c r="GJV40" s="65"/>
      <c r="GJW40" s="65"/>
      <c r="GJX40" s="65"/>
      <c r="GJY40" s="65"/>
      <c r="GJZ40" s="65"/>
      <c r="GKA40" s="65"/>
      <c r="GKB40" s="65"/>
      <c r="GKC40" s="65"/>
      <c r="GKD40" s="65"/>
      <c r="GKE40" s="65"/>
      <c r="GKF40" s="65"/>
      <c r="GKG40" s="65"/>
      <c r="GKH40" s="65"/>
      <c r="GKI40" s="65"/>
      <c r="GKJ40" s="65"/>
      <c r="GKK40" s="65"/>
      <c r="GKL40" s="65"/>
      <c r="GKM40" s="65"/>
      <c r="GKN40" s="65"/>
      <c r="GKO40" s="65"/>
      <c r="GKP40" s="65"/>
      <c r="GKQ40" s="65"/>
      <c r="GKR40" s="65"/>
      <c r="GKS40" s="65"/>
      <c r="GKT40" s="65"/>
      <c r="GKU40" s="65"/>
      <c r="GKV40" s="65"/>
      <c r="GKW40" s="65"/>
      <c r="GKX40" s="65"/>
      <c r="GKY40" s="65"/>
      <c r="GKZ40" s="65"/>
      <c r="GLA40" s="65"/>
      <c r="GLB40" s="65"/>
      <c r="GLC40" s="65"/>
      <c r="GLD40" s="65"/>
      <c r="GLE40" s="65"/>
      <c r="GLF40" s="65"/>
      <c r="GLG40" s="65"/>
      <c r="GLH40" s="65"/>
      <c r="GLI40" s="65"/>
      <c r="GLJ40" s="65"/>
      <c r="GLK40" s="65"/>
      <c r="GLL40" s="65"/>
      <c r="GLM40" s="65"/>
      <c r="GLN40" s="65"/>
      <c r="GLO40" s="65"/>
      <c r="GLP40" s="65"/>
      <c r="GLQ40" s="65"/>
      <c r="GLR40" s="65"/>
      <c r="GLS40" s="65"/>
      <c r="GLT40" s="65"/>
      <c r="GLU40" s="65"/>
      <c r="GLV40" s="65"/>
      <c r="GLW40" s="65"/>
      <c r="GLX40" s="65"/>
      <c r="GLY40" s="65"/>
      <c r="GLZ40" s="65"/>
      <c r="GMA40" s="65"/>
      <c r="GMB40" s="65"/>
      <c r="GMC40" s="65"/>
      <c r="GMD40" s="65"/>
      <c r="GME40" s="65"/>
      <c r="GMF40" s="65"/>
      <c r="GMG40" s="65"/>
      <c r="GMH40" s="65"/>
      <c r="GMI40" s="65"/>
      <c r="GMJ40" s="65"/>
      <c r="GMK40" s="65"/>
      <c r="GML40" s="65"/>
      <c r="GMM40" s="65"/>
      <c r="GMN40" s="65"/>
      <c r="GMO40" s="65"/>
      <c r="GMP40" s="65"/>
      <c r="GMQ40" s="65"/>
      <c r="GMR40" s="65"/>
      <c r="GMS40" s="65"/>
      <c r="GMT40" s="65"/>
      <c r="GMU40" s="65"/>
      <c r="GMV40" s="65"/>
      <c r="GMW40" s="65"/>
      <c r="GMX40" s="65"/>
      <c r="GMY40" s="65"/>
      <c r="GMZ40" s="65"/>
      <c r="GNA40" s="65"/>
      <c r="GNB40" s="65"/>
      <c r="GNC40" s="65"/>
      <c r="GND40" s="65"/>
      <c r="GNE40" s="65"/>
      <c r="GNF40" s="65"/>
      <c r="GNG40" s="65"/>
      <c r="GNH40" s="65"/>
      <c r="GNI40" s="65"/>
      <c r="GNJ40" s="65"/>
      <c r="GNK40" s="65"/>
      <c r="GNL40" s="65"/>
      <c r="GNM40" s="65"/>
      <c r="GNN40" s="65"/>
      <c r="GNO40" s="65"/>
      <c r="GNP40" s="65"/>
      <c r="GNQ40" s="65"/>
      <c r="GNR40" s="65"/>
      <c r="GNS40" s="65"/>
      <c r="GNT40" s="65"/>
      <c r="GNU40" s="65"/>
      <c r="GNV40" s="65"/>
      <c r="GNW40" s="65"/>
      <c r="GNX40" s="65"/>
      <c r="GNY40" s="65"/>
      <c r="GNZ40" s="65"/>
      <c r="GOA40" s="65"/>
      <c r="GOB40" s="65"/>
      <c r="GOC40" s="65"/>
      <c r="GOD40" s="65"/>
      <c r="GOE40" s="65"/>
      <c r="GOF40" s="65"/>
      <c r="GOG40" s="65"/>
      <c r="GOH40" s="65"/>
      <c r="GOI40" s="65"/>
      <c r="GOJ40" s="65"/>
      <c r="GOK40" s="65"/>
      <c r="GOL40" s="65"/>
      <c r="GOM40" s="65"/>
      <c r="GON40" s="65"/>
      <c r="GOO40" s="65"/>
      <c r="GOP40" s="65"/>
      <c r="GOQ40" s="65"/>
      <c r="GOR40" s="65"/>
      <c r="GOS40" s="65"/>
      <c r="GOT40" s="65"/>
      <c r="GOU40" s="65"/>
      <c r="GOV40" s="65"/>
      <c r="GOW40" s="65"/>
      <c r="GOX40" s="65"/>
      <c r="GOY40" s="65"/>
      <c r="GOZ40" s="65"/>
      <c r="GPA40" s="65"/>
      <c r="GPB40" s="65"/>
      <c r="GPC40" s="65"/>
      <c r="GPD40" s="65"/>
      <c r="GPE40" s="65"/>
      <c r="GPF40" s="65"/>
      <c r="GPG40" s="65"/>
      <c r="GPH40" s="65"/>
      <c r="GPI40" s="65"/>
      <c r="GPJ40" s="65"/>
      <c r="GPK40" s="65"/>
      <c r="GPL40" s="65"/>
      <c r="GPM40" s="65"/>
      <c r="GPN40" s="65"/>
      <c r="GPO40" s="65"/>
      <c r="GPP40" s="65"/>
      <c r="GPQ40" s="65"/>
      <c r="GPR40" s="65"/>
      <c r="GPS40" s="65"/>
      <c r="GPT40" s="65"/>
      <c r="GPU40" s="65"/>
      <c r="GPV40" s="65"/>
      <c r="GPW40" s="65"/>
      <c r="GPX40" s="65"/>
      <c r="GPY40" s="65"/>
      <c r="GPZ40" s="65"/>
      <c r="GQA40" s="65"/>
      <c r="GQB40" s="65"/>
      <c r="GQC40" s="65"/>
      <c r="GQD40" s="65"/>
      <c r="GQE40" s="65"/>
      <c r="GQF40" s="65"/>
      <c r="GQG40" s="65"/>
      <c r="GQH40" s="65"/>
      <c r="GQI40" s="65"/>
      <c r="GQJ40" s="65"/>
      <c r="GQK40" s="65"/>
      <c r="GQL40" s="65"/>
      <c r="GQM40" s="65"/>
      <c r="GQN40" s="65"/>
      <c r="GQO40" s="65"/>
      <c r="GQP40" s="65"/>
      <c r="GQQ40" s="65"/>
      <c r="GQR40" s="65"/>
      <c r="GQS40" s="65"/>
      <c r="GQT40" s="65"/>
      <c r="GQU40" s="65"/>
      <c r="GQV40" s="65"/>
      <c r="GQW40" s="65"/>
      <c r="GQX40" s="65"/>
      <c r="GQY40" s="65"/>
      <c r="GQZ40" s="65"/>
      <c r="GRA40" s="65"/>
      <c r="GRB40" s="65"/>
      <c r="GRC40" s="65"/>
      <c r="GRD40" s="65"/>
      <c r="GRE40" s="65"/>
      <c r="GRF40" s="65"/>
      <c r="GRG40" s="65"/>
      <c r="GRH40" s="65"/>
      <c r="GRI40" s="65"/>
      <c r="GRJ40" s="65"/>
      <c r="GRK40" s="65"/>
      <c r="GRL40" s="65"/>
      <c r="GRM40" s="65"/>
      <c r="GRN40" s="65"/>
      <c r="GRO40" s="65"/>
      <c r="GRP40" s="65"/>
      <c r="GRQ40" s="65"/>
      <c r="GRR40" s="65"/>
      <c r="GRS40" s="65"/>
      <c r="GRT40" s="65"/>
      <c r="GRU40" s="65"/>
      <c r="GRV40" s="65"/>
      <c r="GRW40" s="65"/>
      <c r="GRX40" s="65"/>
      <c r="GRY40" s="65"/>
      <c r="GRZ40" s="65"/>
      <c r="GSA40" s="65"/>
      <c r="GSB40" s="65"/>
      <c r="GSC40" s="65"/>
      <c r="GSD40" s="65"/>
      <c r="GSE40" s="65"/>
      <c r="GSF40" s="65"/>
      <c r="GSG40" s="65"/>
      <c r="GSH40" s="65"/>
      <c r="GSI40" s="65"/>
      <c r="GSJ40" s="65"/>
      <c r="GSK40" s="65"/>
      <c r="GSL40" s="65"/>
      <c r="GSM40" s="65"/>
      <c r="GSN40" s="65"/>
      <c r="GSO40" s="65"/>
      <c r="GSP40" s="65"/>
      <c r="GSQ40" s="65"/>
      <c r="GSR40" s="65"/>
      <c r="GSS40" s="65"/>
      <c r="GST40" s="65"/>
      <c r="GSU40" s="65"/>
      <c r="GSV40" s="65"/>
      <c r="GSW40" s="65"/>
      <c r="GSX40" s="65"/>
      <c r="GSY40" s="65"/>
      <c r="GSZ40" s="65"/>
      <c r="GTA40" s="65"/>
      <c r="GTB40" s="65"/>
      <c r="GTC40" s="65"/>
      <c r="GTD40" s="65"/>
      <c r="GTE40" s="65"/>
      <c r="GTF40" s="65"/>
      <c r="GTG40" s="65"/>
      <c r="GTH40" s="65"/>
      <c r="GTI40" s="65"/>
      <c r="GTJ40" s="65"/>
      <c r="GTK40" s="65"/>
      <c r="GTL40" s="65"/>
      <c r="GTM40" s="65"/>
      <c r="GTN40" s="65"/>
      <c r="GTO40" s="65"/>
      <c r="GTP40" s="65"/>
      <c r="GTQ40" s="65"/>
      <c r="GTR40" s="65"/>
      <c r="GTS40" s="65"/>
      <c r="GTT40" s="65"/>
      <c r="GTU40" s="65"/>
      <c r="GTV40" s="65"/>
      <c r="GTW40" s="65"/>
      <c r="GTX40" s="65"/>
      <c r="GTY40" s="65"/>
      <c r="GTZ40" s="65"/>
      <c r="GUA40" s="65"/>
      <c r="GUB40" s="65"/>
      <c r="GUC40" s="65"/>
      <c r="GUD40" s="65"/>
      <c r="GUE40" s="65"/>
      <c r="GUF40" s="65"/>
      <c r="GUG40" s="65"/>
      <c r="GUH40" s="65"/>
      <c r="GUI40" s="65"/>
      <c r="GUJ40" s="65"/>
      <c r="GUK40" s="65"/>
      <c r="GUL40" s="65"/>
      <c r="GUM40" s="65"/>
      <c r="GUN40" s="65"/>
      <c r="GUO40" s="65"/>
      <c r="GUP40" s="65"/>
      <c r="GUQ40" s="65"/>
      <c r="GUR40" s="65"/>
      <c r="GUS40" s="65"/>
      <c r="GUT40" s="65"/>
      <c r="GUU40" s="65"/>
      <c r="GUV40" s="65"/>
      <c r="GUW40" s="65"/>
      <c r="GUX40" s="65"/>
      <c r="GUY40" s="65"/>
      <c r="GUZ40" s="65"/>
      <c r="GVA40" s="65"/>
      <c r="GVB40" s="65"/>
      <c r="GVC40" s="65"/>
      <c r="GVD40" s="65"/>
      <c r="GVE40" s="65"/>
      <c r="GVF40" s="65"/>
      <c r="GVG40" s="65"/>
      <c r="GVH40" s="65"/>
      <c r="GVI40" s="65"/>
      <c r="GVJ40" s="65"/>
      <c r="GVK40" s="65"/>
      <c r="GVL40" s="65"/>
      <c r="GVM40" s="65"/>
      <c r="GVN40" s="65"/>
      <c r="GVO40" s="65"/>
      <c r="GVP40" s="65"/>
      <c r="GVQ40" s="65"/>
      <c r="GVR40" s="65"/>
      <c r="GVS40" s="65"/>
      <c r="GVT40" s="65"/>
      <c r="GVU40" s="65"/>
      <c r="GVV40" s="65"/>
      <c r="GVW40" s="65"/>
      <c r="GVX40" s="65"/>
      <c r="GVY40" s="65"/>
      <c r="GVZ40" s="65"/>
      <c r="GWA40" s="65"/>
      <c r="GWB40" s="65"/>
      <c r="GWC40" s="65"/>
      <c r="GWD40" s="65"/>
      <c r="GWE40" s="65"/>
      <c r="GWF40" s="65"/>
      <c r="GWG40" s="65"/>
      <c r="GWH40" s="65"/>
      <c r="GWI40" s="65"/>
      <c r="GWJ40" s="65"/>
      <c r="GWK40" s="65"/>
      <c r="GWL40" s="65"/>
      <c r="GWM40" s="65"/>
      <c r="GWN40" s="65"/>
      <c r="GWO40" s="65"/>
      <c r="GWP40" s="65"/>
      <c r="GWQ40" s="65"/>
      <c r="GWR40" s="65"/>
      <c r="GWS40" s="65"/>
      <c r="GWT40" s="65"/>
      <c r="GWU40" s="65"/>
      <c r="GWV40" s="65"/>
      <c r="GWW40" s="65"/>
      <c r="GWX40" s="65"/>
      <c r="GWY40" s="65"/>
      <c r="GWZ40" s="65"/>
      <c r="GXA40" s="65"/>
      <c r="GXB40" s="65"/>
      <c r="GXC40" s="65"/>
      <c r="GXD40" s="65"/>
      <c r="GXE40" s="65"/>
      <c r="GXF40" s="65"/>
      <c r="GXG40" s="65"/>
      <c r="GXH40" s="65"/>
      <c r="GXI40" s="65"/>
      <c r="GXJ40" s="65"/>
      <c r="GXK40" s="65"/>
      <c r="GXL40" s="65"/>
      <c r="GXM40" s="65"/>
      <c r="GXN40" s="65"/>
      <c r="GXO40" s="65"/>
      <c r="GXP40" s="65"/>
      <c r="GXQ40" s="65"/>
      <c r="GXR40" s="65"/>
      <c r="GXS40" s="65"/>
      <c r="GXT40" s="65"/>
      <c r="GXU40" s="65"/>
      <c r="GXV40" s="65"/>
      <c r="GXW40" s="65"/>
      <c r="GXX40" s="65"/>
      <c r="GXY40" s="65"/>
      <c r="GXZ40" s="65"/>
      <c r="GYA40" s="65"/>
      <c r="GYB40" s="65"/>
      <c r="GYC40" s="65"/>
      <c r="GYD40" s="65"/>
      <c r="GYE40" s="65"/>
      <c r="GYF40" s="65"/>
      <c r="GYG40" s="65"/>
      <c r="GYH40" s="65"/>
      <c r="GYI40" s="65"/>
      <c r="GYJ40" s="65"/>
      <c r="GYK40" s="65"/>
      <c r="GYL40" s="65"/>
      <c r="GYM40" s="65"/>
      <c r="GYN40" s="65"/>
      <c r="GYO40" s="65"/>
      <c r="GYP40" s="65"/>
      <c r="GYQ40" s="65"/>
      <c r="GYR40" s="65"/>
      <c r="GYS40" s="65"/>
      <c r="GYT40" s="65"/>
      <c r="GYU40" s="65"/>
      <c r="GYV40" s="65"/>
      <c r="GYW40" s="65"/>
      <c r="GYX40" s="65"/>
      <c r="GYY40" s="65"/>
      <c r="GYZ40" s="65"/>
      <c r="GZA40" s="65"/>
      <c r="GZB40" s="65"/>
      <c r="GZC40" s="65"/>
      <c r="GZD40" s="65"/>
      <c r="GZE40" s="65"/>
      <c r="GZF40" s="65"/>
      <c r="GZG40" s="65"/>
      <c r="GZH40" s="65"/>
      <c r="GZI40" s="65"/>
      <c r="GZJ40" s="65"/>
      <c r="GZK40" s="65"/>
      <c r="GZL40" s="65"/>
      <c r="GZM40" s="65"/>
      <c r="GZN40" s="65"/>
      <c r="GZO40" s="65"/>
      <c r="GZP40" s="65"/>
      <c r="GZQ40" s="65"/>
      <c r="GZR40" s="65"/>
      <c r="GZS40" s="65"/>
      <c r="GZT40" s="65"/>
      <c r="GZU40" s="65"/>
      <c r="GZV40" s="65"/>
      <c r="GZW40" s="65"/>
      <c r="GZX40" s="65"/>
      <c r="GZY40" s="65"/>
      <c r="GZZ40" s="65"/>
      <c r="HAA40" s="65"/>
      <c r="HAB40" s="65"/>
      <c r="HAC40" s="65"/>
      <c r="HAD40" s="65"/>
      <c r="HAE40" s="65"/>
      <c r="HAF40" s="65"/>
      <c r="HAG40" s="65"/>
      <c r="HAH40" s="65"/>
      <c r="HAI40" s="65"/>
      <c r="HAJ40" s="65"/>
      <c r="HAK40" s="65"/>
      <c r="HAL40" s="65"/>
      <c r="HAM40" s="65"/>
      <c r="HAN40" s="65"/>
      <c r="HAO40" s="65"/>
      <c r="HAP40" s="65"/>
      <c r="HAQ40" s="65"/>
      <c r="HAR40" s="65"/>
      <c r="HAS40" s="65"/>
      <c r="HAT40" s="65"/>
      <c r="HAU40" s="65"/>
      <c r="HAV40" s="65"/>
      <c r="HAW40" s="65"/>
      <c r="HAX40" s="65"/>
      <c r="HAY40" s="65"/>
      <c r="HAZ40" s="65"/>
      <c r="HBA40" s="65"/>
      <c r="HBB40" s="65"/>
      <c r="HBC40" s="65"/>
      <c r="HBD40" s="65"/>
      <c r="HBE40" s="65"/>
      <c r="HBF40" s="65"/>
      <c r="HBG40" s="65"/>
      <c r="HBH40" s="65"/>
      <c r="HBI40" s="65"/>
      <c r="HBJ40" s="65"/>
      <c r="HBK40" s="65"/>
      <c r="HBL40" s="65"/>
      <c r="HBM40" s="65"/>
      <c r="HBN40" s="65"/>
      <c r="HBO40" s="65"/>
      <c r="HBP40" s="65"/>
      <c r="HBQ40" s="65"/>
      <c r="HBR40" s="65"/>
      <c r="HBS40" s="65"/>
      <c r="HBT40" s="65"/>
      <c r="HBU40" s="65"/>
      <c r="HBV40" s="65"/>
      <c r="HBW40" s="65"/>
      <c r="HBX40" s="65"/>
      <c r="HBY40" s="65"/>
      <c r="HBZ40" s="65"/>
      <c r="HCA40" s="65"/>
      <c r="HCB40" s="65"/>
      <c r="HCC40" s="65"/>
      <c r="HCD40" s="65"/>
      <c r="HCE40" s="65"/>
      <c r="HCF40" s="65"/>
      <c r="HCG40" s="65"/>
      <c r="HCH40" s="65"/>
      <c r="HCI40" s="65"/>
      <c r="HCJ40" s="65"/>
      <c r="HCK40" s="65"/>
      <c r="HCL40" s="65"/>
      <c r="HCM40" s="65"/>
      <c r="HCN40" s="65"/>
      <c r="HCO40" s="65"/>
      <c r="HCP40" s="65"/>
      <c r="HCQ40" s="65"/>
      <c r="HCR40" s="65"/>
      <c r="HCS40" s="65"/>
      <c r="HCT40" s="65"/>
      <c r="HCU40" s="65"/>
      <c r="HCV40" s="65"/>
      <c r="HCW40" s="65"/>
      <c r="HCX40" s="65"/>
      <c r="HCY40" s="65"/>
      <c r="HCZ40" s="65"/>
      <c r="HDA40" s="65"/>
      <c r="HDB40" s="65"/>
      <c r="HDC40" s="65"/>
      <c r="HDD40" s="65"/>
      <c r="HDE40" s="65"/>
      <c r="HDF40" s="65"/>
      <c r="HDG40" s="65"/>
      <c r="HDH40" s="65"/>
      <c r="HDI40" s="65"/>
      <c r="HDJ40" s="65"/>
      <c r="HDK40" s="65"/>
      <c r="HDL40" s="65"/>
      <c r="HDM40" s="65"/>
      <c r="HDN40" s="65"/>
      <c r="HDO40" s="65"/>
      <c r="HDP40" s="65"/>
      <c r="HDQ40" s="65"/>
      <c r="HDR40" s="65"/>
      <c r="HDS40" s="65"/>
      <c r="HDT40" s="65"/>
      <c r="HDU40" s="65"/>
      <c r="HDV40" s="65"/>
      <c r="HDW40" s="65"/>
      <c r="HDX40" s="65"/>
      <c r="HDY40" s="65"/>
      <c r="HDZ40" s="65"/>
      <c r="HEA40" s="65"/>
      <c r="HEB40" s="65"/>
      <c r="HEC40" s="65"/>
      <c r="HED40" s="65"/>
      <c r="HEE40" s="65"/>
      <c r="HEF40" s="65"/>
      <c r="HEG40" s="65"/>
      <c r="HEH40" s="65"/>
      <c r="HEI40" s="65"/>
      <c r="HEJ40" s="65"/>
      <c r="HEK40" s="65"/>
      <c r="HEL40" s="65"/>
      <c r="HEM40" s="65"/>
      <c r="HEN40" s="65"/>
      <c r="HEO40" s="65"/>
      <c r="HEP40" s="65"/>
      <c r="HEQ40" s="65"/>
      <c r="HER40" s="65"/>
      <c r="HES40" s="65"/>
      <c r="HET40" s="65"/>
      <c r="HEU40" s="65"/>
      <c r="HEV40" s="65"/>
      <c r="HEW40" s="65"/>
      <c r="HEX40" s="65"/>
      <c r="HEY40" s="65"/>
      <c r="HEZ40" s="65"/>
      <c r="HFA40" s="65"/>
      <c r="HFB40" s="65"/>
      <c r="HFC40" s="65"/>
      <c r="HFD40" s="65"/>
      <c r="HFE40" s="65"/>
      <c r="HFF40" s="65"/>
      <c r="HFG40" s="65"/>
      <c r="HFH40" s="65"/>
      <c r="HFI40" s="65"/>
      <c r="HFJ40" s="65"/>
      <c r="HFK40" s="65"/>
      <c r="HFL40" s="65"/>
      <c r="HFM40" s="65"/>
      <c r="HFN40" s="65"/>
      <c r="HFO40" s="65"/>
      <c r="HFP40" s="65"/>
      <c r="HFQ40" s="65"/>
      <c r="HFR40" s="65"/>
      <c r="HFS40" s="65"/>
      <c r="HFT40" s="65"/>
      <c r="HFU40" s="65"/>
      <c r="HFV40" s="65"/>
      <c r="HFW40" s="65"/>
      <c r="HFX40" s="65"/>
      <c r="HFY40" s="65"/>
      <c r="HFZ40" s="65"/>
      <c r="HGA40" s="65"/>
      <c r="HGB40" s="65"/>
      <c r="HGC40" s="65"/>
      <c r="HGD40" s="65"/>
      <c r="HGE40" s="65"/>
      <c r="HGF40" s="65"/>
      <c r="HGG40" s="65"/>
      <c r="HGH40" s="65"/>
      <c r="HGI40" s="65"/>
      <c r="HGJ40" s="65"/>
      <c r="HGK40" s="65"/>
      <c r="HGL40" s="65"/>
      <c r="HGM40" s="65"/>
      <c r="HGN40" s="65"/>
      <c r="HGO40" s="65"/>
      <c r="HGP40" s="65"/>
      <c r="HGQ40" s="65"/>
      <c r="HGR40" s="65"/>
      <c r="HGS40" s="65"/>
      <c r="HGT40" s="65"/>
      <c r="HGU40" s="65"/>
      <c r="HGV40" s="65"/>
      <c r="HGW40" s="65"/>
      <c r="HGX40" s="65"/>
      <c r="HGY40" s="65"/>
      <c r="HGZ40" s="65"/>
      <c r="HHA40" s="65"/>
      <c r="HHB40" s="65"/>
      <c r="HHC40" s="65"/>
      <c r="HHD40" s="65"/>
      <c r="HHE40" s="65"/>
      <c r="HHF40" s="65"/>
      <c r="HHG40" s="65"/>
      <c r="HHH40" s="65"/>
      <c r="HHI40" s="65"/>
      <c r="HHJ40" s="65"/>
      <c r="HHK40" s="65"/>
      <c r="HHL40" s="65"/>
      <c r="HHM40" s="65"/>
      <c r="HHN40" s="65"/>
      <c r="HHO40" s="65"/>
      <c r="HHP40" s="65"/>
      <c r="HHQ40" s="65"/>
      <c r="HHR40" s="65"/>
      <c r="HHS40" s="65"/>
      <c r="HHT40" s="65"/>
      <c r="HHU40" s="65"/>
      <c r="HHV40" s="65"/>
      <c r="HHW40" s="65"/>
      <c r="HHX40" s="65"/>
      <c r="HHY40" s="65"/>
      <c r="HHZ40" s="65"/>
      <c r="HIA40" s="65"/>
      <c r="HIB40" s="65"/>
      <c r="HIC40" s="65"/>
      <c r="HID40" s="65"/>
      <c r="HIE40" s="65"/>
      <c r="HIF40" s="65"/>
      <c r="HIG40" s="65"/>
      <c r="HIH40" s="65"/>
      <c r="HII40" s="65"/>
      <c r="HIJ40" s="65"/>
      <c r="HIK40" s="65"/>
      <c r="HIL40" s="65"/>
      <c r="HIM40" s="65"/>
      <c r="HIN40" s="65"/>
      <c r="HIO40" s="65"/>
      <c r="HIP40" s="65"/>
      <c r="HIQ40" s="65"/>
      <c r="HIR40" s="65"/>
      <c r="HIS40" s="65"/>
      <c r="HIT40" s="65"/>
      <c r="HIU40" s="65"/>
      <c r="HIV40" s="65"/>
      <c r="HIW40" s="65"/>
      <c r="HIX40" s="65"/>
      <c r="HIY40" s="65"/>
      <c r="HIZ40" s="65"/>
      <c r="HJA40" s="65"/>
      <c r="HJB40" s="65"/>
      <c r="HJC40" s="65"/>
      <c r="HJD40" s="65"/>
      <c r="HJE40" s="65"/>
      <c r="HJF40" s="65"/>
      <c r="HJG40" s="65"/>
      <c r="HJH40" s="65"/>
      <c r="HJI40" s="65"/>
      <c r="HJJ40" s="65"/>
      <c r="HJK40" s="65"/>
      <c r="HJL40" s="65"/>
      <c r="HJM40" s="65"/>
      <c r="HJN40" s="65"/>
      <c r="HJO40" s="65"/>
      <c r="HJP40" s="65"/>
      <c r="HJQ40" s="65"/>
      <c r="HJR40" s="65"/>
      <c r="HJS40" s="65"/>
      <c r="HJT40" s="65"/>
      <c r="HJU40" s="65"/>
      <c r="HJV40" s="65"/>
      <c r="HJW40" s="65"/>
      <c r="HJX40" s="65"/>
      <c r="HJY40" s="65"/>
      <c r="HJZ40" s="65"/>
      <c r="HKA40" s="65"/>
      <c r="HKB40" s="65"/>
      <c r="HKC40" s="65"/>
      <c r="HKD40" s="65"/>
      <c r="HKE40" s="65"/>
      <c r="HKF40" s="65"/>
      <c r="HKG40" s="65"/>
      <c r="HKH40" s="65"/>
      <c r="HKI40" s="65"/>
      <c r="HKJ40" s="65"/>
      <c r="HKK40" s="65"/>
      <c r="HKL40" s="65"/>
      <c r="HKM40" s="65"/>
      <c r="HKN40" s="65"/>
      <c r="HKO40" s="65"/>
      <c r="HKP40" s="65"/>
      <c r="HKQ40" s="65"/>
      <c r="HKR40" s="65"/>
      <c r="HKS40" s="65"/>
      <c r="HKT40" s="65"/>
      <c r="HKU40" s="65"/>
      <c r="HKV40" s="65"/>
      <c r="HKW40" s="65"/>
      <c r="HKX40" s="65"/>
      <c r="HKY40" s="65"/>
      <c r="HKZ40" s="65"/>
      <c r="HLA40" s="65"/>
      <c r="HLB40" s="65"/>
      <c r="HLC40" s="65"/>
      <c r="HLD40" s="65"/>
      <c r="HLE40" s="65"/>
      <c r="HLF40" s="65"/>
      <c r="HLG40" s="65"/>
      <c r="HLH40" s="65"/>
      <c r="HLI40" s="65"/>
      <c r="HLJ40" s="65"/>
      <c r="HLK40" s="65"/>
      <c r="HLL40" s="65"/>
      <c r="HLM40" s="65"/>
      <c r="HLN40" s="65"/>
      <c r="HLO40" s="65"/>
      <c r="HLP40" s="65"/>
      <c r="HLQ40" s="65"/>
      <c r="HLR40" s="65"/>
      <c r="HLS40" s="65"/>
      <c r="HLT40" s="65"/>
      <c r="HLU40" s="65"/>
      <c r="HLV40" s="65"/>
      <c r="HLW40" s="65"/>
      <c r="HLX40" s="65"/>
      <c r="HLY40" s="65"/>
      <c r="HLZ40" s="65"/>
      <c r="HMA40" s="65"/>
      <c r="HMB40" s="65"/>
      <c r="HMC40" s="65"/>
      <c r="HMD40" s="65"/>
      <c r="HME40" s="65"/>
      <c r="HMF40" s="65"/>
      <c r="HMG40" s="65"/>
      <c r="HMH40" s="65"/>
      <c r="HMI40" s="65"/>
      <c r="HMJ40" s="65"/>
      <c r="HMK40" s="65"/>
      <c r="HML40" s="65"/>
      <c r="HMM40" s="65"/>
      <c r="HMN40" s="65"/>
      <c r="HMO40" s="65"/>
      <c r="HMP40" s="65"/>
      <c r="HMQ40" s="65"/>
      <c r="HMR40" s="65"/>
      <c r="HMS40" s="65"/>
      <c r="HMT40" s="65"/>
      <c r="HMU40" s="65"/>
      <c r="HMV40" s="65"/>
      <c r="HMW40" s="65"/>
      <c r="HMX40" s="65"/>
      <c r="HMY40" s="65"/>
      <c r="HMZ40" s="65"/>
      <c r="HNA40" s="65"/>
      <c r="HNB40" s="65"/>
      <c r="HNC40" s="65"/>
      <c r="HND40" s="65"/>
      <c r="HNE40" s="65"/>
      <c r="HNF40" s="65"/>
      <c r="HNG40" s="65"/>
      <c r="HNH40" s="65"/>
      <c r="HNI40" s="65"/>
      <c r="HNJ40" s="65"/>
      <c r="HNK40" s="65"/>
      <c r="HNL40" s="65"/>
      <c r="HNM40" s="65"/>
      <c r="HNN40" s="65"/>
      <c r="HNO40" s="65"/>
      <c r="HNP40" s="65"/>
      <c r="HNQ40" s="65"/>
      <c r="HNR40" s="65"/>
      <c r="HNS40" s="65"/>
      <c r="HNT40" s="65"/>
      <c r="HNU40" s="65"/>
      <c r="HNV40" s="65"/>
      <c r="HNW40" s="65"/>
      <c r="HNX40" s="65"/>
      <c r="HNY40" s="65"/>
      <c r="HNZ40" s="65"/>
      <c r="HOA40" s="65"/>
      <c r="HOB40" s="65"/>
      <c r="HOC40" s="65"/>
      <c r="HOD40" s="65"/>
      <c r="HOE40" s="65"/>
      <c r="HOF40" s="65"/>
      <c r="HOG40" s="65"/>
      <c r="HOH40" s="65"/>
      <c r="HOI40" s="65"/>
      <c r="HOJ40" s="65"/>
      <c r="HOK40" s="65"/>
      <c r="HOL40" s="65"/>
      <c r="HOM40" s="65"/>
      <c r="HON40" s="65"/>
      <c r="HOO40" s="65"/>
      <c r="HOP40" s="65"/>
      <c r="HOQ40" s="65"/>
      <c r="HOR40" s="65"/>
      <c r="HOS40" s="65"/>
      <c r="HOT40" s="65"/>
      <c r="HOU40" s="65"/>
      <c r="HOV40" s="65"/>
      <c r="HOW40" s="65"/>
      <c r="HOX40" s="65"/>
      <c r="HOY40" s="65"/>
      <c r="HOZ40" s="65"/>
      <c r="HPA40" s="65"/>
      <c r="HPB40" s="65"/>
      <c r="HPC40" s="65"/>
      <c r="HPD40" s="65"/>
      <c r="HPE40" s="65"/>
      <c r="HPF40" s="65"/>
      <c r="HPG40" s="65"/>
      <c r="HPH40" s="65"/>
      <c r="HPI40" s="65"/>
      <c r="HPJ40" s="65"/>
      <c r="HPK40" s="65"/>
      <c r="HPL40" s="65"/>
      <c r="HPM40" s="65"/>
      <c r="HPN40" s="65"/>
      <c r="HPO40" s="65"/>
      <c r="HPP40" s="65"/>
      <c r="HPQ40" s="65"/>
      <c r="HPR40" s="65"/>
      <c r="HPS40" s="65"/>
      <c r="HPT40" s="65"/>
      <c r="HPU40" s="65"/>
      <c r="HPV40" s="65"/>
      <c r="HPW40" s="65"/>
      <c r="HPX40" s="65"/>
      <c r="HPY40" s="65"/>
      <c r="HPZ40" s="65"/>
      <c r="HQA40" s="65"/>
      <c r="HQB40" s="65"/>
      <c r="HQC40" s="65"/>
      <c r="HQD40" s="65"/>
      <c r="HQE40" s="65"/>
      <c r="HQF40" s="65"/>
      <c r="HQG40" s="65"/>
      <c r="HQH40" s="65"/>
      <c r="HQI40" s="65"/>
      <c r="HQJ40" s="65"/>
      <c r="HQK40" s="65"/>
      <c r="HQL40" s="65"/>
      <c r="HQM40" s="65"/>
      <c r="HQN40" s="65"/>
      <c r="HQO40" s="65"/>
      <c r="HQP40" s="65"/>
      <c r="HQQ40" s="65"/>
      <c r="HQR40" s="65"/>
      <c r="HQS40" s="65"/>
      <c r="HQT40" s="65"/>
      <c r="HQU40" s="65"/>
      <c r="HQV40" s="65"/>
      <c r="HQW40" s="65"/>
      <c r="HQX40" s="65"/>
      <c r="HQY40" s="65"/>
      <c r="HQZ40" s="65"/>
      <c r="HRA40" s="65"/>
      <c r="HRB40" s="65"/>
      <c r="HRC40" s="65"/>
      <c r="HRD40" s="65"/>
      <c r="HRE40" s="65"/>
      <c r="HRF40" s="65"/>
      <c r="HRG40" s="65"/>
      <c r="HRH40" s="65"/>
      <c r="HRI40" s="65"/>
      <c r="HRJ40" s="65"/>
      <c r="HRK40" s="65"/>
      <c r="HRL40" s="65"/>
      <c r="HRM40" s="65"/>
      <c r="HRN40" s="65"/>
      <c r="HRO40" s="65"/>
      <c r="HRP40" s="65"/>
      <c r="HRQ40" s="65"/>
      <c r="HRR40" s="65"/>
      <c r="HRS40" s="65"/>
      <c r="HRT40" s="65"/>
      <c r="HRU40" s="65"/>
      <c r="HRV40" s="65"/>
      <c r="HRW40" s="65"/>
      <c r="HRX40" s="65"/>
      <c r="HRY40" s="65"/>
      <c r="HRZ40" s="65"/>
      <c r="HSA40" s="65"/>
      <c r="HSB40" s="65"/>
      <c r="HSC40" s="65"/>
      <c r="HSD40" s="65"/>
      <c r="HSE40" s="65"/>
      <c r="HSF40" s="65"/>
      <c r="HSG40" s="65"/>
      <c r="HSH40" s="65"/>
      <c r="HSI40" s="65"/>
      <c r="HSJ40" s="65"/>
      <c r="HSK40" s="65"/>
      <c r="HSL40" s="65"/>
      <c r="HSM40" s="65"/>
      <c r="HSN40" s="65"/>
      <c r="HSO40" s="65"/>
      <c r="HSP40" s="65"/>
      <c r="HSQ40" s="65"/>
      <c r="HSR40" s="65"/>
      <c r="HSS40" s="65"/>
      <c r="HST40" s="65"/>
      <c r="HSU40" s="65"/>
      <c r="HSV40" s="65"/>
      <c r="HSW40" s="65"/>
      <c r="HSX40" s="65"/>
      <c r="HSY40" s="65"/>
      <c r="HSZ40" s="65"/>
      <c r="HTA40" s="65"/>
      <c r="HTB40" s="65"/>
      <c r="HTC40" s="65"/>
      <c r="HTD40" s="65"/>
      <c r="HTE40" s="65"/>
      <c r="HTF40" s="65"/>
      <c r="HTG40" s="65"/>
      <c r="HTH40" s="65"/>
      <c r="HTI40" s="65"/>
      <c r="HTJ40" s="65"/>
      <c r="HTK40" s="65"/>
      <c r="HTL40" s="65"/>
      <c r="HTM40" s="65"/>
      <c r="HTN40" s="65"/>
      <c r="HTO40" s="65"/>
      <c r="HTP40" s="65"/>
      <c r="HTQ40" s="65"/>
      <c r="HTR40" s="65"/>
      <c r="HTS40" s="65"/>
      <c r="HTT40" s="65"/>
      <c r="HTU40" s="65"/>
      <c r="HTV40" s="65"/>
      <c r="HTW40" s="65"/>
      <c r="HTX40" s="65"/>
      <c r="HTY40" s="65"/>
      <c r="HTZ40" s="65"/>
      <c r="HUA40" s="65"/>
      <c r="HUB40" s="65"/>
      <c r="HUC40" s="65"/>
      <c r="HUD40" s="65"/>
      <c r="HUE40" s="65"/>
      <c r="HUF40" s="65"/>
      <c r="HUG40" s="65"/>
      <c r="HUH40" s="65"/>
      <c r="HUI40" s="65"/>
      <c r="HUJ40" s="65"/>
      <c r="HUK40" s="65"/>
      <c r="HUL40" s="65"/>
      <c r="HUM40" s="65"/>
      <c r="HUN40" s="65"/>
      <c r="HUO40" s="65"/>
      <c r="HUP40" s="65"/>
      <c r="HUQ40" s="65"/>
      <c r="HUR40" s="65"/>
      <c r="HUS40" s="65"/>
      <c r="HUT40" s="65"/>
      <c r="HUU40" s="65"/>
      <c r="HUV40" s="65"/>
      <c r="HUW40" s="65"/>
      <c r="HUX40" s="65"/>
      <c r="HUY40" s="65"/>
      <c r="HUZ40" s="65"/>
      <c r="HVA40" s="65"/>
      <c r="HVB40" s="65"/>
      <c r="HVC40" s="65"/>
      <c r="HVD40" s="65"/>
      <c r="HVE40" s="65"/>
      <c r="HVF40" s="65"/>
      <c r="HVG40" s="65"/>
      <c r="HVH40" s="65"/>
      <c r="HVI40" s="65"/>
      <c r="HVJ40" s="65"/>
      <c r="HVK40" s="65"/>
      <c r="HVL40" s="65"/>
      <c r="HVM40" s="65"/>
      <c r="HVN40" s="65"/>
      <c r="HVO40" s="65"/>
      <c r="HVP40" s="65"/>
      <c r="HVQ40" s="65"/>
      <c r="HVR40" s="65"/>
      <c r="HVS40" s="65"/>
      <c r="HVT40" s="65"/>
      <c r="HVU40" s="65"/>
      <c r="HVV40" s="65"/>
      <c r="HVW40" s="65"/>
      <c r="HVX40" s="65"/>
      <c r="HVY40" s="65"/>
      <c r="HVZ40" s="65"/>
      <c r="HWA40" s="65"/>
      <c r="HWB40" s="65"/>
      <c r="HWC40" s="65"/>
      <c r="HWD40" s="65"/>
      <c r="HWE40" s="65"/>
      <c r="HWF40" s="65"/>
      <c r="HWG40" s="65"/>
      <c r="HWH40" s="65"/>
      <c r="HWI40" s="65"/>
      <c r="HWJ40" s="65"/>
      <c r="HWK40" s="65"/>
      <c r="HWL40" s="65"/>
      <c r="HWM40" s="65"/>
      <c r="HWN40" s="65"/>
      <c r="HWO40" s="65"/>
      <c r="HWP40" s="65"/>
      <c r="HWQ40" s="65"/>
      <c r="HWR40" s="65"/>
      <c r="HWS40" s="65"/>
      <c r="HWT40" s="65"/>
      <c r="HWU40" s="65"/>
      <c r="HWV40" s="65"/>
      <c r="HWW40" s="65"/>
      <c r="HWX40" s="65"/>
      <c r="HWY40" s="65"/>
      <c r="HWZ40" s="65"/>
      <c r="HXA40" s="65"/>
      <c r="HXB40" s="65"/>
      <c r="HXC40" s="65"/>
      <c r="HXD40" s="65"/>
      <c r="HXE40" s="65"/>
      <c r="HXF40" s="65"/>
      <c r="HXG40" s="65"/>
      <c r="HXH40" s="65"/>
      <c r="HXI40" s="65"/>
      <c r="HXJ40" s="65"/>
      <c r="HXK40" s="65"/>
      <c r="HXL40" s="65"/>
      <c r="HXM40" s="65"/>
      <c r="HXN40" s="65"/>
      <c r="HXO40" s="65"/>
      <c r="HXP40" s="65"/>
      <c r="HXQ40" s="65"/>
      <c r="HXR40" s="65"/>
      <c r="HXS40" s="65"/>
      <c r="HXT40" s="65"/>
      <c r="HXU40" s="65"/>
      <c r="HXV40" s="65"/>
      <c r="HXW40" s="65"/>
      <c r="HXX40" s="65"/>
      <c r="HXY40" s="65"/>
      <c r="HXZ40" s="65"/>
      <c r="HYA40" s="65"/>
      <c r="HYB40" s="65"/>
      <c r="HYC40" s="65"/>
      <c r="HYD40" s="65"/>
      <c r="HYE40" s="65"/>
      <c r="HYF40" s="65"/>
      <c r="HYG40" s="65"/>
      <c r="HYH40" s="65"/>
      <c r="HYI40" s="65"/>
      <c r="HYJ40" s="65"/>
      <c r="HYK40" s="65"/>
      <c r="HYL40" s="65"/>
      <c r="HYM40" s="65"/>
      <c r="HYN40" s="65"/>
      <c r="HYO40" s="65"/>
      <c r="HYP40" s="65"/>
      <c r="HYQ40" s="65"/>
      <c r="HYR40" s="65"/>
      <c r="HYS40" s="65"/>
      <c r="HYT40" s="65"/>
      <c r="HYU40" s="65"/>
      <c r="HYV40" s="65"/>
      <c r="HYW40" s="65"/>
      <c r="HYX40" s="65"/>
      <c r="HYY40" s="65"/>
      <c r="HYZ40" s="65"/>
      <c r="HZA40" s="65"/>
      <c r="HZB40" s="65"/>
      <c r="HZC40" s="65"/>
      <c r="HZD40" s="65"/>
      <c r="HZE40" s="65"/>
      <c r="HZF40" s="65"/>
      <c r="HZG40" s="65"/>
      <c r="HZH40" s="65"/>
      <c r="HZI40" s="65"/>
      <c r="HZJ40" s="65"/>
      <c r="HZK40" s="65"/>
      <c r="HZL40" s="65"/>
      <c r="HZM40" s="65"/>
      <c r="HZN40" s="65"/>
      <c r="HZO40" s="65"/>
      <c r="HZP40" s="65"/>
      <c r="HZQ40" s="65"/>
      <c r="HZR40" s="65"/>
      <c r="HZS40" s="65"/>
      <c r="HZT40" s="65"/>
      <c r="HZU40" s="65"/>
      <c r="HZV40" s="65"/>
      <c r="HZW40" s="65"/>
      <c r="HZX40" s="65"/>
      <c r="HZY40" s="65"/>
      <c r="HZZ40" s="65"/>
      <c r="IAA40" s="65"/>
      <c r="IAB40" s="65"/>
      <c r="IAC40" s="65"/>
      <c r="IAD40" s="65"/>
      <c r="IAE40" s="65"/>
      <c r="IAF40" s="65"/>
      <c r="IAG40" s="65"/>
      <c r="IAH40" s="65"/>
      <c r="IAI40" s="65"/>
      <c r="IAJ40" s="65"/>
      <c r="IAK40" s="65"/>
      <c r="IAL40" s="65"/>
      <c r="IAM40" s="65"/>
      <c r="IAN40" s="65"/>
      <c r="IAO40" s="65"/>
      <c r="IAP40" s="65"/>
      <c r="IAQ40" s="65"/>
      <c r="IAR40" s="65"/>
      <c r="IAS40" s="65"/>
      <c r="IAT40" s="65"/>
      <c r="IAU40" s="65"/>
      <c r="IAV40" s="65"/>
      <c r="IAW40" s="65"/>
      <c r="IAX40" s="65"/>
      <c r="IAY40" s="65"/>
      <c r="IAZ40" s="65"/>
      <c r="IBA40" s="65"/>
      <c r="IBB40" s="65"/>
      <c r="IBC40" s="65"/>
      <c r="IBD40" s="65"/>
      <c r="IBE40" s="65"/>
      <c r="IBF40" s="65"/>
      <c r="IBG40" s="65"/>
      <c r="IBH40" s="65"/>
      <c r="IBI40" s="65"/>
      <c r="IBJ40" s="65"/>
      <c r="IBK40" s="65"/>
      <c r="IBL40" s="65"/>
      <c r="IBM40" s="65"/>
      <c r="IBN40" s="65"/>
      <c r="IBO40" s="65"/>
      <c r="IBP40" s="65"/>
      <c r="IBQ40" s="65"/>
      <c r="IBR40" s="65"/>
      <c r="IBS40" s="65"/>
      <c r="IBT40" s="65"/>
      <c r="IBU40" s="65"/>
      <c r="IBV40" s="65"/>
      <c r="IBW40" s="65"/>
      <c r="IBX40" s="65"/>
      <c r="IBY40" s="65"/>
      <c r="IBZ40" s="65"/>
      <c r="ICA40" s="65"/>
      <c r="ICB40" s="65"/>
      <c r="ICC40" s="65"/>
      <c r="ICD40" s="65"/>
      <c r="ICE40" s="65"/>
      <c r="ICF40" s="65"/>
      <c r="ICG40" s="65"/>
      <c r="ICH40" s="65"/>
      <c r="ICI40" s="65"/>
      <c r="ICJ40" s="65"/>
      <c r="ICK40" s="65"/>
      <c r="ICL40" s="65"/>
      <c r="ICM40" s="65"/>
      <c r="ICN40" s="65"/>
      <c r="ICO40" s="65"/>
      <c r="ICP40" s="65"/>
      <c r="ICQ40" s="65"/>
      <c r="ICR40" s="65"/>
      <c r="ICS40" s="65"/>
      <c r="ICT40" s="65"/>
      <c r="ICU40" s="65"/>
      <c r="ICV40" s="65"/>
      <c r="ICW40" s="65"/>
      <c r="ICX40" s="65"/>
      <c r="ICY40" s="65"/>
      <c r="ICZ40" s="65"/>
      <c r="IDA40" s="65"/>
      <c r="IDB40" s="65"/>
      <c r="IDC40" s="65"/>
      <c r="IDD40" s="65"/>
      <c r="IDE40" s="65"/>
      <c r="IDF40" s="65"/>
      <c r="IDG40" s="65"/>
      <c r="IDH40" s="65"/>
      <c r="IDI40" s="65"/>
      <c r="IDJ40" s="65"/>
      <c r="IDK40" s="65"/>
      <c r="IDL40" s="65"/>
      <c r="IDM40" s="65"/>
      <c r="IDN40" s="65"/>
      <c r="IDO40" s="65"/>
      <c r="IDP40" s="65"/>
      <c r="IDQ40" s="65"/>
      <c r="IDR40" s="65"/>
      <c r="IDS40" s="65"/>
      <c r="IDT40" s="65"/>
      <c r="IDU40" s="65"/>
      <c r="IDV40" s="65"/>
      <c r="IDW40" s="65"/>
      <c r="IDX40" s="65"/>
      <c r="IDY40" s="65"/>
      <c r="IDZ40" s="65"/>
      <c r="IEA40" s="65"/>
      <c r="IEB40" s="65"/>
      <c r="IEC40" s="65"/>
      <c r="IED40" s="65"/>
      <c r="IEE40" s="65"/>
      <c r="IEF40" s="65"/>
      <c r="IEG40" s="65"/>
      <c r="IEH40" s="65"/>
      <c r="IEI40" s="65"/>
      <c r="IEJ40" s="65"/>
      <c r="IEK40" s="65"/>
      <c r="IEL40" s="65"/>
      <c r="IEM40" s="65"/>
      <c r="IEN40" s="65"/>
      <c r="IEO40" s="65"/>
      <c r="IEP40" s="65"/>
      <c r="IEQ40" s="65"/>
      <c r="IER40" s="65"/>
      <c r="IES40" s="65"/>
      <c r="IET40" s="65"/>
      <c r="IEU40" s="65"/>
      <c r="IEV40" s="65"/>
      <c r="IEW40" s="65"/>
      <c r="IEX40" s="65"/>
      <c r="IEY40" s="65"/>
      <c r="IEZ40" s="65"/>
      <c r="IFA40" s="65"/>
      <c r="IFB40" s="65"/>
      <c r="IFC40" s="65"/>
      <c r="IFD40" s="65"/>
      <c r="IFE40" s="65"/>
      <c r="IFF40" s="65"/>
      <c r="IFG40" s="65"/>
      <c r="IFH40" s="65"/>
      <c r="IFI40" s="65"/>
      <c r="IFJ40" s="65"/>
      <c r="IFK40" s="65"/>
      <c r="IFL40" s="65"/>
      <c r="IFM40" s="65"/>
      <c r="IFN40" s="65"/>
      <c r="IFO40" s="65"/>
      <c r="IFP40" s="65"/>
      <c r="IFQ40" s="65"/>
      <c r="IFR40" s="65"/>
      <c r="IFS40" s="65"/>
      <c r="IFT40" s="65"/>
      <c r="IFU40" s="65"/>
      <c r="IFV40" s="65"/>
      <c r="IFW40" s="65"/>
      <c r="IFX40" s="65"/>
      <c r="IFY40" s="65"/>
      <c r="IFZ40" s="65"/>
      <c r="IGA40" s="65"/>
      <c r="IGB40" s="65"/>
      <c r="IGC40" s="65"/>
      <c r="IGD40" s="65"/>
      <c r="IGE40" s="65"/>
      <c r="IGF40" s="65"/>
      <c r="IGG40" s="65"/>
      <c r="IGH40" s="65"/>
      <c r="IGI40" s="65"/>
      <c r="IGJ40" s="65"/>
      <c r="IGK40" s="65"/>
      <c r="IGL40" s="65"/>
      <c r="IGM40" s="65"/>
      <c r="IGN40" s="65"/>
      <c r="IGO40" s="65"/>
      <c r="IGP40" s="65"/>
      <c r="IGQ40" s="65"/>
      <c r="IGR40" s="65"/>
      <c r="IGS40" s="65"/>
      <c r="IGT40" s="65"/>
      <c r="IGU40" s="65"/>
      <c r="IGV40" s="65"/>
      <c r="IGW40" s="65"/>
      <c r="IGX40" s="65"/>
      <c r="IGY40" s="65"/>
      <c r="IGZ40" s="65"/>
      <c r="IHA40" s="65"/>
      <c r="IHB40" s="65"/>
      <c r="IHC40" s="65"/>
      <c r="IHD40" s="65"/>
      <c r="IHE40" s="65"/>
      <c r="IHF40" s="65"/>
      <c r="IHG40" s="65"/>
      <c r="IHH40" s="65"/>
      <c r="IHI40" s="65"/>
      <c r="IHJ40" s="65"/>
      <c r="IHK40" s="65"/>
      <c r="IHL40" s="65"/>
      <c r="IHM40" s="65"/>
      <c r="IHN40" s="65"/>
      <c r="IHO40" s="65"/>
      <c r="IHP40" s="65"/>
      <c r="IHQ40" s="65"/>
      <c r="IHR40" s="65"/>
      <c r="IHS40" s="65"/>
      <c r="IHT40" s="65"/>
      <c r="IHU40" s="65"/>
      <c r="IHV40" s="65"/>
      <c r="IHW40" s="65"/>
      <c r="IHX40" s="65"/>
      <c r="IHY40" s="65"/>
      <c r="IHZ40" s="65"/>
      <c r="IIA40" s="65"/>
      <c r="IIB40" s="65"/>
      <c r="IIC40" s="65"/>
      <c r="IID40" s="65"/>
      <c r="IIE40" s="65"/>
      <c r="IIF40" s="65"/>
      <c r="IIG40" s="65"/>
      <c r="IIH40" s="65"/>
      <c r="III40" s="65"/>
      <c r="IIJ40" s="65"/>
      <c r="IIK40" s="65"/>
      <c r="IIL40" s="65"/>
      <c r="IIM40" s="65"/>
      <c r="IIN40" s="65"/>
      <c r="IIO40" s="65"/>
      <c r="IIP40" s="65"/>
      <c r="IIQ40" s="65"/>
      <c r="IIR40" s="65"/>
      <c r="IIS40" s="65"/>
      <c r="IIT40" s="65"/>
      <c r="IIU40" s="65"/>
      <c r="IIV40" s="65"/>
      <c r="IIW40" s="65"/>
      <c r="IIX40" s="65"/>
      <c r="IIY40" s="65"/>
      <c r="IIZ40" s="65"/>
      <c r="IJA40" s="65"/>
      <c r="IJB40" s="65"/>
      <c r="IJC40" s="65"/>
      <c r="IJD40" s="65"/>
      <c r="IJE40" s="65"/>
      <c r="IJF40" s="65"/>
      <c r="IJG40" s="65"/>
      <c r="IJH40" s="65"/>
      <c r="IJI40" s="65"/>
      <c r="IJJ40" s="65"/>
      <c r="IJK40" s="65"/>
      <c r="IJL40" s="65"/>
      <c r="IJM40" s="65"/>
      <c r="IJN40" s="65"/>
      <c r="IJO40" s="65"/>
      <c r="IJP40" s="65"/>
      <c r="IJQ40" s="65"/>
      <c r="IJR40" s="65"/>
      <c r="IJS40" s="65"/>
      <c r="IJT40" s="65"/>
      <c r="IJU40" s="65"/>
      <c r="IJV40" s="65"/>
      <c r="IJW40" s="65"/>
      <c r="IJX40" s="65"/>
      <c r="IJY40" s="65"/>
      <c r="IJZ40" s="65"/>
      <c r="IKA40" s="65"/>
      <c r="IKB40" s="65"/>
      <c r="IKC40" s="65"/>
      <c r="IKD40" s="65"/>
      <c r="IKE40" s="65"/>
      <c r="IKF40" s="65"/>
      <c r="IKG40" s="65"/>
      <c r="IKH40" s="65"/>
      <c r="IKI40" s="65"/>
      <c r="IKJ40" s="65"/>
      <c r="IKK40" s="65"/>
      <c r="IKL40" s="65"/>
      <c r="IKM40" s="65"/>
      <c r="IKN40" s="65"/>
      <c r="IKO40" s="65"/>
      <c r="IKP40" s="65"/>
      <c r="IKQ40" s="65"/>
      <c r="IKR40" s="65"/>
      <c r="IKS40" s="65"/>
      <c r="IKT40" s="65"/>
      <c r="IKU40" s="65"/>
      <c r="IKV40" s="65"/>
      <c r="IKW40" s="65"/>
      <c r="IKX40" s="65"/>
      <c r="IKY40" s="65"/>
      <c r="IKZ40" s="65"/>
      <c r="ILA40" s="65"/>
      <c r="ILB40" s="65"/>
      <c r="ILC40" s="65"/>
      <c r="ILD40" s="65"/>
      <c r="ILE40" s="65"/>
      <c r="ILF40" s="65"/>
      <c r="ILG40" s="65"/>
      <c r="ILH40" s="65"/>
      <c r="ILI40" s="65"/>
      <c r="ILJ40" s="65"/>
      <c r="ILK40" s="65"/>
      <c r="ILL40" s="65"/>
      <c r="ILM40" s="65"/>
      <c r="ILN40" s="65"/>
      <c r="ILO40" s="65"/>
      <c r="ILP40" s="65"/>
      <c r="ILQ40" s="65"/>
      <c r="ILR40" s="65"/>
      <c r="ILS40" s="65"/>
      <c r="ILT40" s="65"/>
      <c r="ILU40" s="65"/>
      <c r="ILV40" s="65"/>
      <c r="ILW40" s="65"/>
      <c r="ILX40" s="65"/>
      <c r="ILY40" s="65"/>
      <c r="ILZ40" s="65"/>
      <c r="IMA40" s="65"/>
      <c r="IMB40" s="65"/>
      <c r="IMC40" s="65"/>
      <c r="IMD40" s="65"/>
      <c r="IME40" s="65"/>
      <c r="IMF40" s="65"/>
      <c r="IMG40" s="65"/>
      <c r="IMH40" s="65"/>
      <c r="IMI40" s="65"/>
      <c r="IMJ40" s="65"/>
      <c r="IMK40" s="65"/>
      <c r="IML40" s="65"/>
      <c r="IMM40" s="65"/>
      <c r="IMN40" s="65"/>
      <c r="IMO40" s="65"/>
      <c r="IMP40" s="65"/>
      <c r="IMQ40" s="65"/>
      <c r="IMR40" s="65"/>
      <c r="IMS40" s="65"/>
      <c r="IMT40" s="65"/>
      <c r="IMU40" s="65"/>
      <c r="IMV40" s="65"/>
      <c r="IMW40" s="65"/>
      <c r="IMX40" s="65"/>
      <c r="IMY40" s="65"/>
      <c r="IMZ40" s="65"/>
      <c r="INA40" s="65"/>
      <c r="INB40" s="65"/>
      <c r="INC40" s="65"/>
      <c r="IND40" s="65"/>
      <c r="INE40" s="65"/>
      <c r="INF40" s="65"/>
      <c r="ING40" s="65"/>
      <c r="INH40" s="65"/>
      <c r="INI40" s="65"/>
      <c r="INJ40" s="65"/>
      <c r="INK40" s="65"/>
      <c r="INL40" s="65"/>
      <c r="INM40" s="65"/>
      <c r="INN40" s="65"/>
      <c r="INO40" s="65"/>
      <c r="INP40" s="65"/>
      <c r="INQ40" s="65"/>
      <c r="INR40" s="65"/>
      <c r="INS40" s="65"/>
      <c r="INT40" s="65"/>
      <c r="INU40" s="65"/>
      <c r="INV40" s="65"/>
      <c r="INW40" s="65"/>
      <c r="INX40" s="65"/>
      <c r="INY40" s="65"/>
      <c r="INZ40" s="65"/>
      <c r="IOA40" s="65"/>
      <c r="IOB40" s="65"/>
      <c r="IOC40" s="65"/>
      <c r="IOD40" s="65"/>
      <c r="IOE40" s="65"/>
      <c r="IOF40" s="65"/>
      <c r="IOG40" s="65"/>
      <c r="IOH40" s="65"/>
      <c r="IOI40" s="65"/>
      <c r="IOJ40" s="65"/>
      <c r="IOK40" s="65"/>
      <c r="IOL40" s="65"/>
      <c r="IOM40" s="65"/>
      <c r="ION40" s="65"/>
      <c r="IOO40" s="65"/>
      <c r="IOP40" s="65"/>
      <c r="IOQ40" s="65"/>
      <c r="IOR40" s="65"/>
      <c r="IOS40" s="65"/>
      <c r="IOT40" s="65"/>
      <c r="IOU40" s="65"/>
      <c r="IOV40" s="65"/>
      <c r="IOW40" s="65"/>
      <c r="IOX40" s="65"/>
      <c r="IOY40" s="65"/>
      <c r="IOZ40" s="65"/>
      <c r="IPA40" s="65"/>
      <c r="IPB40" s="65"/>
      <c r="IPC40" s="65"/>
      <c r="IPD40" s="65"/>
      <c r="IPE40" s="65"/>
      <c r="IPF40" s="65"/>
      <c r="IPG40" s="65"/>
      <c r="IPH40" s="65"/>
      <c r="IPI40" s="65"/>
      <c r="IPJ40" s="65"/>
      <c r="IPK40" s="65"/>
      <c r="IPL40" s="65"/>
      <c r="IPM40" s="65"/>
      <c r="IPN40" s="65"/>
      <c r="IPO40" s="65"/>
      <c r="IPP40" s="65"/>
      <c r="IPQ40" s="65"/>
      <c r="IPR40" s="65"/>
      <c r="IPS40" s="65"/>
      <c r="IPT40" s="65"/>
      <c r="IPU40" s="65"/>
      <c r="IPV40" s="65"/>
      <c r="IPW40" s="65"/>
      <c r="IPX40" s="65"/>
      <c r="IPY40" s="65"/>
      <c r="IPZ40" s="65"/>
      <c r="IQA40" s="65"/>
      <c r="IQB40" s="65"/>
      <c r="IQC40" s="65"/>
      <c r="IQD40" s="65"/>
      <c r="IQE40" s="65"/>
      <c r="IQF40" s="65"/>
      <c r="IQG40" s="65"/>
      <c r="IQH40" s="65"/>
      <c r="IQI40" s="65"/>
      <c r="IQJ40" s="65"/>
      <c r="IQK40" s="65"/>
      <c r="IQL40" s="65"/>
      <c r="IQM40" s="65"/>
      <c r="IQN40" s="65"/>
      <c r="IQO40" s="65"/>
      <c r="IQP40" s="65"/>
      <c r="IQQ40" s="65"/>
      <c r="IQR40" s="65"/>
      <c r="IQS40" s="65"/>
      <c r="IQT40" s="65"/>
      <c r="IQU40" s="65"/>
      <c r="IQV40" s="65"/>
      <c r="IQW40" s="65"/>
      <c r="IQX40" s="65"/>
      <c r="IQY40" s="65"/>
      <c r="IQZ40" s="65"/>
      <c r="IRA40" s="65"/>
      <c r="IRB40" s="65"/>
      <c r="IRC40" s="65"/>
      <c r="IRD40" s="65"/>
      <c r="IRE40" s="65"/>
      <c r="IRF40" s="65"/>
      <c r="IRG40" s="65"/>
      <c r="IRH40" s="65"/>
      <c r="IRI40" s="65"/>
      <c r="IRJ40" s="65"/>
      <c r="IRK40" s="65"/>
      <c r="IRL40" s="65"/>
      <c r="IRM40" s="65"/>
      <c r="IRN40" s="65"/>
      <c r="IRO40" s="65"/>
      <c r="IRP40" s="65"/>
      <c r="IRQ40" s="65"/>
      <c r="IRR40" s="65"/>
      <c r="IRS40" s="65"/>
      <c r="IRT40" s="65"/>
      <c r="IRU40" s="65"/>
      <c r="IRV40" s="65"/>
      <c r="IRW40" s="65"/>
      <c r="IRX40" s="65"/>
      <c r="IRY40" s="65"/>
      <c r="IRZ40" s="65"/>
      <c r="ISA40" s="65"/>
      <c r="ISB40" s="65"/>
      <c r="ISC40" s="65"/>
      <c r="ISD40" s="65"/>
      <c r="ISE40" s="65"/>
      <c r="ISF40" s="65"/>
      <c r="ISG40" s="65"/>
      <c r="ISH40" s="65"/>
      <c r="ISI40" s="65"/>
      <c r="ISJ40" s="65"/>
      <c r="ISK40" s="65"/>
      <c r="ISL40" s="65"/>
      <c r="ISM40" s="65"/>
      <c r="ISN40" s="65"/>
      <c r="ISO40" s="65"/>
      <c r="ISP40" s="65"/>
      <c r="ISQ40" s="65"/>
      <c r="ISR40" s="65"/>
      <c r="ISS40" s="65"/>
      <c r="IST40" s="65"/>
      <c r="ISU40" s="65"/>
      <c r="ISV40" s="65"/>
      <c r="ISW40" s="65"/>
      <c r="ISX40" s="65"/>
      <c r="ISY40" s="65"/>
      <c r="ISZ40" s="65"/>
      <c r="ITA40" s="65"/>
      <c r="ITB40" s="65"/>
      <c r="ITC40" s="65"/>
      <c r="ITD40" s="65"/>
      <c r="ITE40" s="65"/>
      <c r="ITF40" s="65"/>
      <c r="ITG40" s="65"/>
      <c r="ITH40" s="65"/>
      <c r="ITI40" s="65"/>
      <c r="ITJ40" s="65"/>
      <c r="ITK40" s="65"/>
      <c r="ITL40" s="65"/>
      <c r="ITM40" s="65"/>
      <c r="ITN40" s="65"/>
      <c r="ITO40" s="65"/>
      <c r="ITP40" s="65"/>
      <c r="ITQ40" s="65"/>
      <c r="ITR40" s="65"/>
      <c r="ITS40" s="65"/>
      <c r="ITT40" s="65"/>
      <c r="ITU40" s="65"/>
      <c r="ITV40" s="65"/>
      <c r="ITW40" s="65"/>
      <c r="ITX40" s="65"/>
      <c r="ITY40" s="65"/>
      <c r="ITZ40" s="65"/>
      <c r="IUA40" s="65"/>
      <c r="IUB40" s="65"/>
      <c r="IUC40" s="65"/>
      <c r="IUD40" s="65"/>
      <c r="IUE40" s="65"/>
      <c r="IUF40" s="65"/>
      <c r="IUG40" s="65"/>
      <c r="IUH40" s="65"/>
      <c r="IUI40" s="65"/>
      <c r="IUJ40" s="65"/>
      <c r="IUK40" s="65"/>
      <c r="IUL40" s="65"/>
      <c r="IUM40" s="65"/>
      <c r="IUN40" s="65"/>
      <c r="IUO40" s="65"/>
      <c r="IUP40" s="65"/>
      <c r="IUQ40" s="65"/>
      <c r="IUR40" s="65"/>
      <c r="IUS40" s="65"/>
      <c r="IUT40" s="65"/>
      <c r="IUU40" s="65"/>
      <c r="IUV40" s="65"/>
      <c r="IUW40" s="65"/>
      <c r="IUX40" s="65"/>
      <c r="IUY40" s="65"/>
      <c r="IUZ40" s="65"/>
      <c r="IVA40" s="65"/>
      <c r="IVB40" s="65"/>
      <c r="IVC40" s="65"/>
      <c r="IVD40" s="65"/>
      <c r="IVE40" s="65"/>
      <c r="IVF40" s="65"/>
      <c r="IVG40" s="65"/>
      <c r="IVH40" s="65"/>
      <c r="IVI40" s="65"/>
      <c r="IVJ40" s="65"/>
      <c r="IVK40" s="65"/>
      <c r="IVL40" s="65"/>
      <c r="IVM40" s="65"/>
      <c r="IVN40" s="65"/>
      <c r="IVO40" s="65"/>
      <c r="IVP40" s="65"/>
      <c r="IVQ40" s="65"/>
      <c r="IVR40" s="65"/>
      <c r="IVS40" s="65"/>
      <c r="IVT40" s="65"/>
      <c r="IVU40" s="65"/>
      <c r="IVV40" s="65"/>
      <c r="IVW40" s="65"/>
      <c r="IVX40" s="65"/>
      <c r="IVY40" s="65"/>
      <c r="IVZ40" s="65"/>
      <c r="IWA40" s="65"/>
      <c r="IWB40" s="65"/>
      <c r="IWC40" s="65"/>
      <c r="IWD40" s="65"/>
      <c r="IWE40" s="65"/>
      <c r="IWF40" s="65"/>
      <c r="IWG40" s="65"/>
      <c r="IWH40" s="65"/>
      <c r="IWI40" s="65"/>
      <c r="IWJ40" s="65"/>
      <c r="IWK40" s="65"/>
      <c r="IWL40" s="65"/>
      <c r="IWM40" s="65"/>
      <c r="IWN40" s="65"/>
      <c r="IWO40" s="65"/>
      <c r="IWP40" s="65"/>
      <c r="IWQ40" s="65"/>
      <c r="IWR40" s="65"/>
      <c r="IWS40" s="65"/>
      <c r="IWT40" s="65"/>
      <c r="IWU40" s="65"/>
      <c r="IWV40" s="65"/>
      <c r="IWW40" s="65"/>
      <c r="IWX40" s="65"/>
      <c r="IWY40" s="65"/>
      <c r="IWZ40" s="65"/>
      <c r="IXA40" s="65"/>
      <c r="IXB40" s="65"/>
      <c r="IXC40" s="65"/>
      <c r="IXD40" s="65"/>
      <c r="IXE40" s="65"/>
      <c r="IXF40" s="65"/>
      <c r="IXG40" s="65"/>
      <c r="IXH40" s="65"/>
      <c r="IXI40" s="65"/>
      <c r="IXJ40" s="65"/>
      <c r="IXK40" s="65"/>
      <c r="IXL40" s="65"/>
      <c r="IXM40" s="65"/>
      <c r="IXN40" s="65"/>
      <c r="IXO40" s="65"/>
      <c r="IXP40" s="65"/>
      <c r="IXQ40" s="65"/>
      <c r="IXR40" s="65"/>
      <c r="IXS40" s="65"/>
      <c r="IXT40" s="65"/>
      <c r="IXU40" s="65"/>
      <c r="IXV40" s="65"/>
      <c r="IXW40" s="65"/>
      <c r="IXX40" s="65"/>
      <c r="IXY40" s="65"/>
      <c r="IXZ40" s="65"/>
      <c r="IYA40" s="65"/>
      <c r="IYB40" s="65"/>
      <c r="IYC40" s="65"/>
      <c r="IYD40" s="65"/>
      <c r="IYE40" s="65"/>
      <c r="IYF40" s="65"/>
      <c r="IYG40" s="65"/>
      <c r="IYH40" s="65"/>
      <c r="IYI40" s="65"/>
      <c r="IYJ40" s="65"/>
      <c r="IYK40" s="65"/>
      <c r="IYL40" s="65"/>
      <c r="IYM40" s="65"/>
      <c r="IYN40" s="65"/>
      <c r="IYO40" s="65"/>
      <c r="IYP40" s="65"/>
      <c r="IYQ40" s="65"/>
      <c r="IYR40" s="65"/>
      <c r="IYS40" s="65"/>
      <c r="IYT40" s="65"/>
      <c r="IYU40" s="65"/>
      <c r="IYV40" s="65"/>
      <c r="IYW40" s="65"/>
      <c r="IYX40" s="65"/>
      <c r="IYY40" s="65"/>
      <c r="IYZ40" s="65"/>
      <c r="IZA40" s="65"/>
      <c r="IZB40" s="65"/>
      <c r="IZC40" s="65"/>
      <c r="IZD40" s="65"/>
      <c r="IZE40" s="65"/>
      <c r="IZF40" s="65"/>
      <c r="IZG40" s="65"/>
      <c r="IZH40" s="65"/>
      <c r="IZI40" s="65"/>
      <c r="IZJ40" s="65"/>
      <c r="IZK40" s="65"/>
      <c r="IZL40" s="65"/>
      <c r="IZM40" s="65"/>
      <c r="IZN40" s="65"/>
      <c r="IZO40" s="65"/>
      <c r="IZP40" s="65"/>
      <c r="IZQ40" s="65"/>
      <c r="IZR40" s="65"/>
      <c r="IZS40" s="65"/>
      <c r="IZT40" s="65"/>
      <c r="IZU40" s="65"/>
      <c r="IZV40" s="65"/>
      <c r="IZW40" s="65"/>
      <c r="IZX40" s="65"/>
      <c r="IZY40" s="65"/>
      <c r="IZZ40" s="65"/>
      <c r="JAA40" s="65"/>
      <c r="JAB40" s="65"/>
      <c r="JAC40" s="65"/>
      <c r="JAD40" s="65"/>
      <c r="JAE40" s="65"/>
      <c r="JAF40" s="65"/>
      <c r="JAG40" s="65"/>
      <c r="JAH40" s="65"/>
      <c r="JAI40" s="65"/>
      <c r="JAJ40" s="65"/>
      <c r="JAK40" s="65"/>
      <c r="JAL40" s="65"/>
      <c r="JAM40" s="65"/>
      <c r="JAN40" s="65"/>
      <c r="JAO40" s="65"/>
      <c r="JAP40" s="65"/>
      <c r="JAQ40" s="65"/>
      <c r="JAR40" s="65"/>
      <c r="JAS40" s="65"/>
      <c r="JAT40" s="65"/>
      <c r="JAU40" s="65"/>
      <c r="JAV40" s="65"/>
      <c r="JAW40" s="65"/>
      <c r="JAX40" s="65"/>
      <c r="JAY40" s="65"/>
      <c r="JAZ40" s="65"/>
      <c r="JBA40" s="65"/>
      <c r="JBB40" s="65"/>
      <c r="JBC40" s="65"/>
      <c r="JBD40" s="65"/>
      <c r="JBE40" s="65"/>
      <c r="JBF40" s="65"/>
      <c r="JBG40" s="65"/>
      <c r="JBH40" s="65"/>
      <c r="JBI40" s="65"/>
      <c r="JBJ40" s="65"/>
      <c r="JBK40" s="65"/>
      <c r="JBL40" s="65"/>
      <c r="JBM40" s="65"/>
      <c r="JBN40" s="65"/>
      <c r="JBO40" s="65"/>
      <c r="JBP40" s="65"/>
      <c r="JBQ40" s="65"/>
      <c r="JBR40" s="65"/>
      <c r="JBS40" s="65"/>
      <c r="JBT40" s="65"/>
      <c r="JBU40" s="65"/>
      <c r="JBV40" s="65"/>
      <c r="JBW40" s="65"/>
      <c r="JBX40" s="65"/>
      <c r="JBY40" s="65"/>
      <c r="JBZ40" s="65"/>
      <c r="JCA40" s="65"/>
      <c r="JCB40" s="65"/>
      <c r="JCC40" s="65"/>
      <c r="JCD40" s="65"/>
      <c r="JCE40" s="65"/>
      <c r="JCF40" s="65"/>
      <c r="JCG40" s="65"/>
      <c r="JCH40" s="65"/>
      <c r="JCI40" s="65"/>
      <c r="JCJ40" s="65"/>
      <c r="JCK40" s="65"/>
      <c r="JCL40" s="65"/>
      <c r="JCM40" s="65"/>
      <c r="JCN40" s="65"/>
      <c r="JCO40" s="65"/>
      <c r="JCP40" s="65"/>
      <c r="JCQ40" s="65"/>
      <c r="JCR40" s="65"/>
      <c r="JCS40" s="65"/>
      <c r="JCT40" s="65"/>
      <c r="JCU40" s="65"/>
      <c r="JCV40" s="65"/>
      <c r="JCW40" s="65"/>
      <c r="JCX40" s="65"/>
      <c r="JCY40" s="65"/>
      <c r="JCZ40" s="65"/>
      <c r="JDA40" s="65"/>
      <c r="JDB40" s="65"/>
      <c r="JDC40" s="65"/>
      <c r="JDD40" s="65"/>
      <c r="JDE40" s="65"/>
      <c r="JDF40" s="65"/>
      <c r="JDG40" s="65"/>
      <c r="JDH40" s="65"/>
      <c r="JDI40" s="65"/>
      <c r="JDJ40" s="65"/>
      <c r="JDK40" s="65"/>
      <c r="JDL40" s="65"/>
      <c r="JDM40" s="65"/>
      <c r="JDN40" s="65"/>
      <c r="JDO40" s="65"/>
      <c r="JDP40" s="65"/>
      <c r="JDQ40" s="65"/>
      <c r="JDR40" s="65"/>
      <c r="JDS40" s="65"/>
      <c r="JDT40" s="65"/>
      <c r="JDU40" s="65"/>
      <c r="JDV40" s="65"/>
      <c r="JDW40" s="65"/>
      <c r="JDX40" s="65"/>
      <c r="JDY40" s="65"/>
      <c r="JDZ40" s="65"/>
      <c r="JEA40" s="65"/>
      <c r="JEB40" s="65"/>
      <c r="JEC40" s="65"/>
      <c r="JED40" s="65"/>
      <c r="JEE40" s="65"/>
      <c r="JEF40" s="65"/>
      <c r="JEG40" s="65"/>
      <c r="JEH40" s="65"/>
      <c r="JEI40" s="65"/>
      <c r="JEJ40" s="65"/>
      <c r="JEK40" s="65"/>
      <c r="JEL40" s="65"/>
      <c r="JEM40" s="65"/>
      <c r="JEN40" s="65"/>
      <c r="JEO40" s="65"/>
      <c r="JEP40" s="65"/>
      <c r="JEQ40" s="65"/>
      <c r="JER40" s="65"/>
      <c r="JES40" s="65"/>
      <c r="JET40" s="65"/>
      <c r="JEU40" s="65"/>
      <c r="JEV40" s="65"/>
      <c r="JEW40" s="65"/>
      <c r="JEX40" s="65"/>
      <c r="JEY40" s="65"/>
      <c r="JEZ40" s="65"/>
      <c r="JFA40" s="65"/>
      <c r="JFB40" s="65"/>
      <c r="JFC40" s="65"/>
      <c r="JFD40" s="65"/>
      <c r="JFE40" s="65"/>
      <c r="JFF40" s="65"/>
      <c r="JFG40" s="65"/>
      <c r="JFH40" s="65"/>
      <c r="JFI40" s="65"/>
      <c r="JFJ40" s="65"/>
      <c r="JFK40" s="65"/>
      <c r="JFL40" s="65"/>
      <c r="JFM40" s="65"/>
      <c r="JFN40" s="65"/>
      <c r="JFO40" s="65"/>
      <c r="JFP40" s="65"/>
      <c r="JFQ40" s="65"/>
      <c r="JFR40" s="65"/>
      <c r="JFS40" s="65"/>
      <c r="JFT40" s="65"/>
      <c r="JFU40" s="65"/>
      <c r="JFV40" s="65"/>
      <c r="JFW40" s="65"/>
      <c r="JFX40" s="65"/>
      <c r="JFY40" s="65"/>
      <c r="JFZ40" s="65"/>
      <c r="JGA40" s="65"/>
      <c r="JGB40" s="65"/>
      <c r="JGC40" s="65"/>
      <c r="JGD40" s="65"/>
      <c r="JGE40" s="65"/>
      <c r="JGF40" s="65"/>
      <c r="JGG40" s="65"/>
      <c r="JGH40" s="65"/>
      <c r="JGI40" s="65"/>
      <c r="JGJ40" s="65"/>
      <c r="JGK40" s="65"/>
      <c r="JGL40" s="65"/>
      <c r="JGM40" s="65"/>
      <c r="JGN40" s="65"/>
      <c r="JGO40" s="65"/>
      <c r="JGP40" s="65"/>
      <c r="JGQ40" s="65"/>
      <c r="JGR40" s="65"/>
      <c r="JGS40" s="65"/>
      <c r="JGT40" s="65"/>
      <c r="JGU40" s="65"/>
      <c r="JGV40" s="65"/>
      <c r="JGW40" s="65"/>
      <c r="JGX40" s="65"/>
      <c r="JGY40" s="65"/>
      <c r="JGZ40" s="65"/>
      <c r="JHA40" s="65"/>
      <c r="JHB40" s="65"/>
      <c r="JHC40" s="65"/>
      <c r="JHD40" s="65"/>
      <c r="JHE40" s="65"/>
      <c r="JHF40" s="65"/>
      <c r="JHG40" s="65"/>
      <c r="JHH40" s="65"/>
      <c r="JHI40" s="65"/>
      <c r="JHJ40" s="65"/>
      <c r="JHK40" s="65"/>
      <c r="JHL40" s="65"/>
      <c r="JHM40" s="65"/>
      <c r="JHN40" s="65"/>
      <c r="JHO40" s="65"/>
      <c r="JHP40" s="65"/>
      <c r="JHQ40" s="65"/>
      <c r="JHR40" s="65"/>
      <c r="JHS40" s="65"/>
      <c r="JHT40" s="65"/>
      <c r="JHU40" s="65"/>
      <c r="JHV40" s="65"/>
      <c r="JHW40" s="65"/>
      <c r="JHX40" s="65"/>
      <c r="JHY40" s="65"/>
      <c r="JHZ40" s="65"/>
      <c r="JIA40" s="65"/>
      <c r="JIB40" s="65"/>
      <c r="JIC40" s="65"/>
      <c r="JID40" s="65"/>
      <c r="JIE40" s="65"/>
      <c r="JIF40" s="65"/>
      <c r="JIG40" s="65"/>
      <c r="JIH40" s="65"/>
      <c r="JII40" s="65"/>
      <c r="JIJ40" s="65"/>
      <c r="JIK40" s="65"/>
      <c r="JIL40" s="65"/>
      <c r="JIM40" s="65"/>
      <c r="JIN40" s="65"/>
      <c r="JIO40" s="65"/>
      <c r="JIP40" s="65"/>
      <c r="JIQ40" s="65"/>
      <c r="JIR40" s="65"/>
      <c r="JIS40" s="65"/>
      <c r="JIT40" s="65"/>
      <c r="JIU40" s="65"/>
      <c r="JIV40" s="65"/>
      <c r="JIW40" s="65"/>
      <c r="JIX40" s="65"/>
      <c r="JIY40" s="65"/>
      <c r="JIZ40" s="65"/>
      <c r="JJA40" s="65"/>
      <c r="JJB40" s="65"/>
      <c r="JJC40" s="65"/>
      <c r="JJD40" s="65"/>
      <c r="JJE40" s="65"/>
      <c r="JJF40" s="65"/>
      <c r="JJG40" s="65"/>
      <c r="JJH40" s="65"/>
      <c r="JJI40" s="65"/>
      <c r="JJJ40" s="65"/>
      <c r="JJK40" s="65"/>
      <c r="JJL40" s="65"/>
      <c r="JJM40" s="65"/>
      <c r="JJN40" s="65"/>
      <c r="JJO40" s="65"/>
      <c r="JJP40" s="65"/>
      <c r="JJQ40" s="65"/>
      <c r="JJR40" s="65"/>
      <c r="JJS40" s="65"/>
      <c r="JJT40" s="65"/>
      <c r="JJU40" s="65"/>
      <c r="JJV40" s="65"/>
      <c r="JJW40" s="65"/>
      <c r="JJX40" s="65"/>
      <c r="JJY40" s="65"/>
      <c r="JJZ40" s="65"/>
      <c r="JKA40" s="65"/>
      <c r="JKB40" s="65"/>
      <c r="JKC40" s="65"/>
      <c r="JKD40" s="65"/>
      <c r="JKE40" s="65"/>
      <c r="JKF40" s="65"/>
      <c r="JKG40" s="65"/>
      <c r="JKH40" s="65"/>
      <c r="JKI40" s="65"/>
      <c r="JKJ40" s="65"/>
      <c r="JKK40" s="65"/>
      <c r="JKL40" s="65"/>
      <c r="JKM40" s="65"/>
      <c r="JKN40" s="65"/>
      <c r="JKO40" s="65"/>
      <c r="JKP40" s="65"/>
      <c r="JKQ40" s="65"/>
      <c r="JKR40" s="65"/>
      <c r="JKS40" s="65"/>
      <c r="JKT40" s="65"/>
      <c r="JKU40" s="65"/>
      <c r="JKV40" s="65"/>
      <c r="JKW40" s="65"/>
      <c r="JKX40" s="65"/>
      <c r="JKY40" s="65"/>
      <c r="JKZ40" s="65"/>
      <c r="JLA40" s="65"/>
      <c r="JLB40" s="65"/>
      <c r="JLC40" s="65"/>
      <c r="JLD40" s="65"/>
      <c r="JLE40" s="65"/>
      <c r="JLF40" s="65"/>
      <c r="JLG40" s="65"/>
      <c r="JLH40" s="65"/>
      <c r="JLI40" s="65"/>
      <c r="JLJ40" s="65"/>
      <c r="JLK40" s="65"/>
      <c r="JLL40" s="65"/>
      <c r="JLM40" s="65"/>
      <c r="JLN40" s="65"/>
      <c r="JLO40" s="65"/>
      <c r="JLP40" s="65"/>
      <c r="JLQ40" s="65"/>
      <c r="JLR40" s="65"/>
      <c r="JLS40" s="65"/>
      <c r="JLT40" s="65"/>
      <c r="JLU40" s="65"/>
      <c r="JLV40" s="65"/>
      <c r="JLW40" s="65"/>
      <c r="JLX40" s="65"/>
      <c r="JLY40" s="65"/>
      <c r="JLZ40" s="65"/>
      <c r="JMA40" s="65"/>
      <c r="JMB40" s="65"/>
      <c r="JMC40" s="65"/>
      <c r="JMD40" s="65"/>
      <c r="JME40" s="65"/>
      <c r="JMF40" s="65"/>
      <c r="JMG40" s="65"/>
      <c r="JMH40" s="65"/>
      <c r="JMI40" s="65"/>
      <c r="JMJ40" s="65"/>
      <c r="JMK40" s="65"/>
      <c r="JML40" s="65"/>
      <c r="JMM40" s="65"/>
      <c r="JMN40" s="65"/>
      <c r="JMO40" s="65"/>
      <c r="JMP40" s="65"/>
      <c r="JMQ40" s="65"/>
      <c r="JMR40" s="65"/>
      <c r="JMS40" s="65"/>
      <c r="JMT40" s="65"/>
      <c r="JMU40" s="65"/>
      <c r="JMV40" s="65"/>
      <c r="JMW40" s="65"/>
      <c r="JMX40" s="65"/>
      <c r="JMY40" s="65"/>
      <c r="JMZ40" s="65"/>
      <c r="JNA40" s="65"/>
      <c r="JNB40" s="65"/>
      <c r="JNC40" s="65"/>
      <c r="JND40" s="65"/>
      <c r="JNE40" s="65"/>
      <c r="JNF40" s="65"/>
      <c r="JNG40" s="65"/>
      <c r="JNH40" s="65"/>
      <c r="JNI40" s="65"/>
      <c r="JNJ40" s="65"/>
      <c r="JNK40" s="65"/>
      <c r="JNL40" s="65"/>
      <c r="JNM40" s="65"/>
      <c r="JNN40" s="65"/>
      <c r="JNO40" s="65"/>
      <c r="JNP40" s="65"/>
      <c r="JNQ40" s="65"/>
      <c r="JNR40" s="65"/>
      <c r="JNS40" s="65"/>
      <c r="JNT40" s="65"/>
      <c r="JNU40" s="65"/>
      <c r="JNV40" s="65"/>
      <c r="JNW40" s="65"/>
      <c r="JNX40" s="65"/>
      <c r="JNY40" s="65"/>
      <c r="JNZ40" s="65"/>
      <c r="JOA40" s="65"/>
      <c r="JOB40" s="65"/>
      <c r="JOC40" s="65"/>
      <c r="JOD40" s="65"/>
      <c r="JOE40" s="65"/>
      <c r="JOF40" s="65"/>
      <c r="JOG40" s="65"/>
      <c r="JOH40" s="65"/>
      <c r="JOI40" s="65"/>
      <c r="JOJ40" s="65"/>
      <c r="JOK40" s="65"/>
      <c r="JOL40" s="65"/>
      <c r="JOM40" s="65"/>
      <c r="JON40" s="65"/>
      <c r="JOO40" s="65"/>
      <c r="JOP40" s="65"/>
      <c r="JOQ40" s="65"/>
      <c r="JOR40" s="65"/>
      <c r="JOS40" s="65"/>
      <c r="JOT40" s="65"/>
      <c r="JOU40" s="65"/>
      <c r="JOV40" s="65"/>
      <c r="JOW40" s="65"/>
      <c r="JOX40" s="65"/>
      <c r="JOY40" s="65"/>
      <c r="JOZ40" s="65"/>
      <c r="JPA40" s="65"/>
      <c r="JPB40" s="65"/>
      <c r="JPC40" s="65"/>
      <c r="JPD40" s="65"/>
      <c r="JPE40" s="65"/>
      <c r="JPF40" s="65"/>
      <c r="JPG40" s="65"/>
      <c r="JPH40" s="65"/>
      <c r="JPI40" s="65"/>
      <c r="JPJ40" s="65"/>
      <c r="JPK40" s="65"/>
      <c r="JPL40" s="65"/>
      <c r="JPM40" s="65"/>
      <c r="JPN40" s="65"/>
      <c r="JPO40" s="65"/>
      <c r="JPP40" s="65"/>
      <c r="JPQ40" s="65"/>
      <c r="JPR40" s="65"/>
      <c r="JPS40" s="65"/>
      <c r="JPT40" s="65"/>
      <c r="JPU40" s="65"/>
      <c r="JPV40" s="65"/>
      <c r="JPW40" s="65"/>
      <c r="JPX40" s="65"/>
      <c r="JPY40" s="65"/>
      <c r="JPZ40" s="65"/>
      <c r="JQA40" s="65"/>
      <c r="JQB40" s="65"/>
      <c r="JQC40" s="65"/>
      <c r="JQD40" s="65"/>
      <c r="JQE40" s="65"/>
      <c r="JQF40" s="65"/>
      <c r="JQG40" s="65"/>
      <c r="JQH40" s="65"/>
      <c r="JQI40" s="65"/>
      <c r="JQJ40" s="65"/>
      <c r="JQK40" s="65"/>
      <c r="JQL40" s="65"/>
      <c r="JQM40" s="65"/>
      <c r="JQN40" s="65"/>
      <c r="JQO40" s="65"/>
      <c r="JQP40" s="65"/>
      <c r="JQQ40" s="65"/>
      <c r="JQR40" s="65"/>
      <c r="JQS40" s="65"/>
      <c r="JQT40" s="65"/>
      <c r="JQU40" s="65"/>
      <c r="JQV40" s="65"/>
      <c r="JQW40" s="65"/>
      <c r="JQX40" s="65"/>
      <c r="JQY40" s="65"/>
      <c r="JQZ40" s="65"/>
      <c r="JRA40" s="65"/>
      <c r="JRB40" s="65"/>
      <c r="JRC40" s="65"/>
      <c r="JRD40" s="65"/>
      <c r="JRE40" s="65"/>
      <c r="JRF40" s="65"/>
      <c r="JRG40" s="65"/>
      <c r="JRH40" s="65"/>
      <c r="JRI40" s="65"/>
      <c r="JRJ40" s="65"/>
      <c r="JRK40" s="65"/>
      <c r="JRL40" s="65"/>
      <c r="JRM40" s="65"/>
      <c r="JRN40" s="65"/>
      <c r="JRO40" s="65"/>
      <c r="JRP40" s="65"/>
      <c r="JRQ40" s="65"/>
      <c r="JRR40" s="65"/>
      <c r="JRS40" s="65"/>
      <c r="JRT40" s="65"/>
      <c r="JRU40" s="65"/>
      <c r="JRV40" s="65"/>
      <c r="JRW40" s="65"/>
      <c r="JRX40" s="65"/>
      <c r="JRY40" s="65"/>
      <c r="JRZ40" s="65"/>
      <c r="JSA40" s="65"/>
      <c r="JSB40" s="65"/>
      <c r="JSC40" s="65"/>
      <c r="JSD40" s="65"/>
      <c r="JSE40" s="65"/>
      <c r="JSF40" s="65"/>
      <c r="JSG40" s="65"/>
      <c r="JSH40" s="65"/>
      <c r="JSI40" s="65"/>
      <c r="JSJ40" s="65"/>
      <c r="JSK40" s="65"/>
      <c r="JSL40" s="65"/>
      <c r="JSM40" s="65"/>
      <c r="JSN40" s="65"/>
      <c r="JSO40" s="65"/>
      <c r="JSP40" s="65"/>
      <c r="JSQ40" s="65"/>
      <c r="JSR40" s="65"/>
      <c r="JSS40" s="65"/>
      <c r="JST40" s="65"/>
      <c r="JSU40" s="65"/>
      <c r="JSV40" s="65"/>
      <c r="JSW40" s="65"/>
      <c r="JSX40" s="65"/>
      <c r="JSY40" s="65"/>
      <c r="JSZ40" s="65"/>
      <c r="JTA40" s="65"/>
      <c r="JTB40" s="65"/>
      <c r="JTC40" s="65"/>
      <c r="JTD40" s="65"/>
      <c r="JTE40" s="65"/>
      <c r="JTF40" s="65"/>
      <c r="JTG40" s="65"/>
      <c r="JTH40" s="65"/>
      <c r="JTI40" s="65"/>
      <c r="JTJ40" s="65"/>
      <c r="JTK40" s="65"/>
      <c r="JTL40" s="65"/>
      <c r="JTM40" s="65"/>
      <c r="JTN40" s="65"/>
      <c r="JTO40" s="65"/>
      <c r="JTP40" s="65"/>
      <c r="JTQ40" s="65"/>
      <c r="JTR40" s="65"/>
      <c r="JTS40" s="65"/>
      <c r="JTT40" s="65"/>
      <c r="JTU40" s="65"/>
      <c r="JTV40" s="65"/>
      <c r="JTW40" s="65"/>
      <c r="JTX40" s="65"/>
      <c r="JTY40" s="65"/>
      <c r="JTZ40" s="65"/>
      <c r="JUA40" s="65"/>
      <c r="JUB40" s="65"/>
      <c r="JUC40" s="65"/>
      <c r="JUD40" s="65"/>
      <c r="JUE40" s="65"/>
      <c r="JUF40" s="65"/>
      <c r="JUG40" s="65"/>
      <c r="JUH40" s="65"/>
      <c r="JUI40" s="65"/>
      <c r="JUJ40" s="65"/>
      <c r="JUK40" s="65"/>
      <c r="JUL40" s="65"/>
      <c r="JUM40" s="65"/>
      <c r="JUN40" s="65"/>
      <c r="JUO40" s="65"/>
      <c r="JUP40" s="65"/>
      <c r="JUQ40" s="65"/>
      <c r="JUR40" s="65"/>
      <c r="JUS40" s="65"/>
      <c r="JUT40" s="65"/>
      <c r="JUU40" s="65"/>
      <c r="JUV40" s="65"/>
      <c r="JUW40" s="65"/>
      <c r="JUX40" s="65"/>
      <c r="JUY40" s="65"/>
      <c r="JUZ40" s="65"/>
      <c r="JVA40" s="65"/>
      <c r="JVB40" s="65"/>
      <c r="JVC40" s="65"/>
      <c r="JVD40" s="65"/>
      <c r="JVE40" s="65"/>
      <c r="JVF40" s="65"/>
      <c r="JVG40" s="65"/>
      <c r="JVH40" s="65"/>
      <c r="JVI40" s="65"/>
      <c r="JVJ40" s="65"/>
      <c r="JVK40" s="65"/>
      <c r="JVL40" s="65"/>
      <c r="JVM40" s="65"/>
      <c r="JVN40" s="65"/>
      <c r="JVO40" s="65"/>
      <c r="JVP40" s="65"/>
      <c r="JVQ40" s="65"/>
      <c r="JVR40" s="65"/>
      <c r="JVS40" s="65"/>
      <c r="JVT40" s="65"/>
      <c r="JVU40" s="65"/>
      <c r="JVV40" s="65"/>
      <c r="JVW40" s="65"/>
      <c r="JVX40" s="65"/>
      <c r="JVY40" s="65"/>
      <c r="JVZ40" s="65"/>
      <c r="JWA40" s="65"/>
      <c r="JWB40" s="65"/>
      <c r="JWC40" s="65"/>
      <c r="JWD40" s="65"/>
      <c r="JWE40" s="65"/>
      <c r="JWF40" s="65"/>
      <c r="JWG40" s="65"/>
      <c r="JWH40" s="65"/>
      <c r="JWI40" s="65"/>
      <c r="JWJ40" s="65"/>
      <c r="JWK40" s="65"/>
      <c r="JWL40" s="65"/>
      <c r="JWM40" s="65"/>
      <c r="JWN40" s="65"/>
      <c r="JWO40" s="65"/>
      <c r="JWP40" s="65"/>
      <c r="JWQ40" s="65"/>
      <c r="JWR40" s="65"/>
      <c r="JWS40" s="65"/>
      <c r="JWT40" s="65"/>
      <c r="JWU40" s="65"/>
      <c r="JWV40" s="65"/>
      <c r="JWW40" s="65"/>
      <c r="JWX40" s="65"/>
      <c r="JWY40" s="65"/>
      <c r="JWZ40" s="65"/>
      <c r="JXA40" s="65"/>
      <c r="JXB40" s="65"/>
      <c r="JXC40" s="65"/>
      <c r="JXD40" s="65"/>
      <c r="JXE40" s="65"/>
      <c r="JXF40" s="65"/>
      <c r="JXG40" s="65"/>
      <c r="JXH40" s="65"/>
      <c r="JXI40" s="65"/>
      <c r="JXJ40" s="65"/>
      <c r="JXK40" s="65"/>
      <c r="JXL40" s="65"/>
      <c r="JXM40" s="65"/>
      <c r="JXN40" s="65"/>
      <c r="JXO40" s="65"/>
      <c r="JXP40" s="65"/>
      <c r="JXQ40" s="65"/>
      <c r="JXR40" s="65"/>
      <c r="JXS40" s="65"/>
      <c r="JXT40" s="65"/>
      <c r="JXU40" s="65"/>
      <c r="JXV40" s="65"/>
      <c r="JXW40" s="65"/>
      <c r="JXX40" s="65"/>
      <c r="JXY40" s="65"/>
      <c r="JXZ40" s="65"/>
      <c r="JYA40" s="65"/>
      <c r="JYB40" s="65"/>
      <c r="JYC40" s="65"/>
      <c r="JYD40" s="65"/>
      <c r="JYE40" s="65"/>
      <c r="JYF40" s="65"/>
      <c r="JYG40" s="65"/>
      <c r="JYH40" s="65"/>
      <c r="JYI40" s="65"/>
      <c r="JYJ40" s="65"/>
      <c r="JYK40" s="65"/>
      <c r="JYL40" s="65"/>
      <c r="JYM40" s="65"/>
      <c r="JYN40" s="65"/>
      <c r="JYO40" s="65"/>
      <c r="JYP40" s="65"/>
      <c r="JYQ40" s="65"/>
      <c r="JYR40" s="65"/>
      <c r="JYS40" s="65"/>
      <c r="JYT40" s="65"/>
      <c r="JYU40" s="65"/>
      <c r="JYV40" s="65"/>
      <c r="JYW40" s="65"/>
      <c r="JYX40" s="65"/>
      <c r="JYY40" s="65"/>
      <c r="JYZ40" s="65"/>
      <c r="JZA40" s="65"/>
      <c r="JZB40" s="65"/>
      <c r="JZC40" s="65"/>
      <c r="JZD40" s="65"/>
      <c r="JZE40" s="65"/>
      <c r="JZF40" s="65"/>
      <c r="JZG40" s="65"/>
      <c r="JZH40" s="65"/>
      <c r="JZI40" s="65"/>
      <c r="JZJ40" s="65"/>
      <c r="JZK40" s="65"/>
      <c r="JZL40" s="65"/>
      <c r="JZM40" s="65"/>
      <c r="JZN40" s="65"/>
      <c r="JZO40" s="65"/>
      <c r="JZP40" s="65"/>
      <c r="JZQ40" s="65"/>
      <c r="JZR40" s="65"/>
      <c r="JZS40" s="65"/>
      <c r="JZT40" s="65"/>
      <c r="JZU40" s="65"/>
      <c r="JZV40" s="65"/>
      <c r="JZW40" s="65"/>
      <c r="JZX40" s="65"/>
      <c r="JZY40" s="65"/>
      <c r="JZZ40" s="65"/>
      <c r="KAA40" s="65"/>
      <c r="KAB40" s="65"/>
      <c r="KAC40" s="65"/>
      <c r="KAD40" s="65"/>
      <c r="KAE40" s="65"/>
      <c r="KAF40" s="65"/>
      <c r="KAG40" s="65"/>
      <c r="KAH40" s="65"/>
      <c r="KAI40" s="65"/>
      <c r="KAJ40" s="65"/>
      <c r="KAK40" s="65"/>
      <c r="KAL40" s="65"/>
      <c r="KAM40" s="65"/>
      <c r="KAN40" s="65"/>
      <c r="KAO40" s="65"/>
      <c r="KAP40" s="65"/>
      <c r="KAQ40" s="65"/>
      <c r="KAR40" s="65"/>
      <c r="KAS40" s="65"/>
      <c r="KAT40" s="65"/>
      <c r="KAU40" s="65"/>
      <c r="KAV40" s="65"/>
      <c r="KAW40" s="65"/>
      <c r="KAX40" s="65"/>
      <c r="KAY40" s="65"/>
      <c r="KAZ40" s="65"/>
      <c r="KBA40" s="65"/>
      <c r="KBB40" s="65"/>
      <c r="KBC40" s="65"/>
      <c r="KBD40" s="65"/>
      <c r="KBE40" s="65"/>
      <c r="KBF40" s="65"/>
      <c r="KBG40" s="65"/>
      <c r="KBH40" s="65"/>
      <c r="KBI40" s="65"/>
      <c r="KBJ40" s="65"/>
      <c r="KBK40" s="65"/>
      <c r="KBL40" s="65"/>
      <c r="KBM40" s="65"/>
      <c r="KBN40" s="65"/>
      <c r="KBO40" s="65"/>
      <c r="KBP40" s="65"/>
      <c r="KBQ40" s="65"/>
      <c r="KBR40" s="65"/>
      <c r="KBS40" s="65"/>
      <c r="KBT40" s="65"/>
      <c r="KBU40" s="65"/>
      <c r="KBV40" s="65"/>
      <c r="KBW40" s="65"/>
      <c r="KBX40" s="65"/>
      <c r="KBY40" s="65"/>
      <c r="KBZ40" s="65"/>
      <c r="KCA40" s="65"/>
      <c r="KCB40" s="65"/>
      <c r="KCC40" s="65"/>
      <c r="KCD40" s="65"/>
      <c r="KCE40" s="65"/>
      <c r="KCF40" s="65"/>
      <c r="KCG40" s="65"/>
      <c r="KCH40" s="65"/>
      <c r="KCI40" s="65"/>
      <c r="KCJ40" s="65"/>
      <c r="KCK40" s="65"/>
      <c r="KCL40" s="65"/>
      <c r="KCM40" s="65"/>
      <c r="KCN40" s="65"/>
      <c r="KCO40" s="65"/>
      <c r="KCP40" s="65"/>
      <c r="KCQ40" s="65"/>
      <c r="KCR40" s="65"/>
      <c r="KCS40" s="65"/>
      <c r="KCT40" s="65"/>
      <c r="KCU40" s="65"/>
      <c r="KCV40" s="65"/>
      <c r="KCW40" s="65"/>
      <c r="KCX40" s="65"/>
      <c r="KCY40" s="65"/>
      <c r="KCZ40" s="65"/>
      <c r="KDA40" s="65"/>
      <c r="KDB40" s="65"/>
      <c r="KDC40" s="65"/>
      <c r="KDD40" s="65"/>
      <c r="KDE40" s="65"/>
      <c r="KDF40" s="65"/>
      <c r="KDG40" s="65"/>
      <c r="KDH40" s="65"/>
      <c r="KDI40" s="65"/>
      <c r="KDJ40" s="65"/>
      <c r="KDK40" s="65"/>
      <c r="KDL40" s="65"/>
      <c r="KDM40" s="65"/>
      <c r="KDN40" s="65"/>
      <c r="KDO40" s="65"/>
      <c r="KDP40" s="65"/>
      <c r="KDQ40" s="65"/>
      <c r="KDR40" s="65"/>
      <c r="KDS40" s="65"/>
      <c r="KDT40" s="65"/>
      <c r="KDU40" s="65"/>
      <c r="KDV40" s="65"/>
      <c r="KDW40" s="65"/>
      <c r="KDX40" s="65"/>
      <c r="KDY40" s="65"/>
      <c r="KDZ40" s="65"/>
      <c r="KEA40" s="65"/>
      <c r="KEB40" s="65"/>
      <c r="KEC40" s="65"/>
      <c r="KED40" s="65"/>
      <c r="KEE40" s="65"/>
      <c r="KEF40" s="65"/>
      <c r="KEG40" s="65"/>
      <c r="KEH40" s="65"/>
      <c r="KEI40" s="65"/>
      <c r="KEJ40" s="65"/>
      <c r="KEK40" s="65"/>
      <c r="KEL40" s="65"/>
      <c r="KEM40" s="65"/>
      <c r="KEN40" s="65"/>
      <c r="KEO40" s="65"/>
      <c r="KEP40" s="65"/>
      <c r="KEQ40" s="65"/>
      <c r="KER40" s="65"/>
      <c r="KES40" s="65"/>
      <c r="KET40" s="65"/>
      <c r="KEU40" s="65"/>
      <c r="KEV40" s="65"/>
      <c r="KEW40" s="65"/>
      <c r="KEX40" s="65"/>
      <c r="KEY40" s="65"/>
      <c r="KEZ40" s="65"/>
      <c r="KFA40" s="65"/>
      <c r="KFB40" s="65"/>
      <c r="KFC40" s="65"/>
      <c r="KFD40" s="65"/>
      <c r="KFE40" s="65"/>
      <c r="KFF40" s="65"/>
      <c r="KFG40" s="65"/>
      <c r="KFH40" s="65"/>
      <c r="KFI40" s="65"/>
      <c r="KFJ40" s="65"/>
      <c r="KFK40" s="65"/>
      <c r="KFL40" s="65"/>
      <c r="KFM40" s="65"/>
      <c r="KFN40" s="65"/>
      <c r="KFO40" s="65"/>
      <c r="KFP40" s="65"/>
      <c r="KFQ40" s="65"/>
      <c r="KFR40" s="65"/>
      <c r="KFS40" s="65"/>
      <c r="KFT40" s="65"/>
      <c r="KFU40" s="65"/>
      <c r="KFV40" s="65"/>
      <c r="KFW40" s="65"/>
      <c r="KFX40" s="65"/>
      <c r="KFY40" s="65"/>
      <c r="KFZ40" s="65"/>
      <c r="KGA40" s="65"/>
      <c r="KGB40" s="65"/>
      <c r="KGC40" s="65"/>
      <c r="KGD40" s="65"/>
      <c r="KGE40" s="65"/>
      <c r="KGF40" s="65"/>
      <c r="KGG40" s="65"/>
      <c r="KGH40" s="65"/>
      <c r="KGI40" s="65"/>
      <c r="KGJ40" s="65"/>
      <c r="KGK40" s="65"/>
      <c r="KGL40" s="65"/>
      <c r="KGM40" s="65"/>
      <c r="KGN40" s="65"/>
      <c r="KGO40" s="65"/>
      <c r="KGP40" s="65"/>
      <c r="KGQ40" s="65"/>
      <c r="KGR40" s="65"/>
      <c r="KGS40" s="65"/>
      <c r="KGT40" s="65"/>
      <c r="KGU40" s="65"/>
      <c r="KGV40" s="65"/>
      <c r="KGW40" s="65"/>
      <c r="KGX40" s="65"/>
      <c r="KGY40" s="65"/>
      <c r="KGZ40" s="65"/>
      <c r="KHA40" s="65"/>
      <c r="KHB40" s="65"/>
      <c r="KHC40" s="65"/>
      <c r="KHD40" s="65"/>
      <c r="KHE40" s="65"/>
      <c r="KHF40" s="65"/>
      <c r="KHG40" s="65"/>
      <c r="KHH40" s="65"/>
      <c r="KHI40" s="65"/>
      <c r="KHJ40" s="65"/>
      <c r="KHK40" s="65"/>
      <c r="KHL40" s="65"/>
      <c r="KHM40" s="65"/>
      <c r="KHN40" s="65"/>
      <c r="KHO40" s="65"/>
      <c r="KHP40" s="65"/>
      <c r="KHQ40" s="65"/>
      <c r="KHR40" s="65"/>
      <c r="KHS40" s="65"/>
      <c r="KHT40" s="65"/>
      <c r="KHU40" s="65"/>
      <c r="KHV40" s="65"/>
      <c r="KHW40" s="65"/>
      <c r="KHX40" s="65"/>
      <c r="KHY40" s="65"/>
      <c r="KHZ40" s="65"/>
      <c r="KIA40" s="65"/>
      <c r="KIB40" s="65"/>
      <c r="KIC40" s="65"/>
      <c r="KID40" s="65"/>
      <c r="KIE40" s="65"/>
      <c r="KIF40" s="65"/>
      <c r="KIG40" s="65"/>
      <c r="KIH40" s="65"/>
      <c r="KII40" s="65"/>
      <c r="KIJ40" s="65"/>
      <c r="KIK40" s="65"/>
      <c r="KIL40" s="65"/>
      <c r="KIM40" s="65"/>
      <c r="KIN40" s="65"/>
      <c r="KIO40" s="65"/>
      <c r="KIP40" s="65"/>
      <c r="KIQ40" s="65"/>
      <c r="KIR40" s="65"/>
      <c r="KIS40" s="65"/>
      <c r="KIT40" s="65"/>
      <c r="KIU40" s="65"/>
      <c r="KIV40" s="65"/>
      <c r="KIW40" s="65"/>
      <c r="KIX40" s="65"/>
      <c r="KIY40" s="65"/>
      <c r="KIZ40" s="65"/>
      <c r="KJA40" s="65"/>
      <c r="KJB40" s="65"/>
      <c r="KJC40" s="65"/>
      <c r="KJD40" s="65"/>
      <c r="KJE40" s="65"/>
      <c r="KJF40" s="65"/>
      <c r="KJG40" s="65"/>
      <c r="KJH40" s="65"/>
      <c r="KJI40" s="65"/>
      <c r="KJJ40" s="65"/>
      <c r="KJK40" s="65"/>
      <c r="KJL40" s="65"/>
      <c r="KJM40" s="65"/>
      <c r="KJN40" s="65"/>
      <c r="KJO40" s="65"/>
      <c r="KJP40" s="65"/>
      <c r="KJQ40" s="65"/>
      <c r="KJR40" s="65"/>
      <c r="KJS40" s="65"/>
      <c r="KJT40" s="65"/>
      <c r="KJU40" s="65"/>
      <c r="KJV40" s="65"/>
      <c r="KJW40" s="65"/>
      <c r="KJX40" s="65"/>
      <c r="KJY40" s="65"/>
      <c r="KJZ40" s="65"/>
      <c r="KKA40" s="65"/>
      <c r="KKB40" s="65"/>
      <c r="KKC40" s="65"/>
      <c r="KKD40" s="65"/>
      <c r="KKE40" s="65"/>
      <c r="KKF40" s="65"/>
      <c r="KKG40" s="65"/>
      <c r="KKH40" s="65"/>
      <c r="KKI40" s="65"/>
      <c r="KKJ40" s="65"/>
      <c r="KKK40" s="65"/>
      <c r="KKL40" s="65"/>
      <c r="KKM40" s="65"/>
      <c r="KKN40" s="65"/>
      <c r="KKO40" s="65"/>
      <c r="KKP40" s="65"/>
      <c r="KKQ40" s="65"/>
      <c r="KKR40" s="65"/>
      <c r="KKS40" s="65"/>
      <c r="KKT40" s="65"/>
      <c r="KKU40" s="65"/>
      <c r="KKV40" s="65"/>
      <c r="KKW40" s="65"/>
      <c r="KKX40" s="65"/>
      <c r="KKY40" s="65"/>
      <c r="KKZ40" s="65"/>
      <c r="KLA40" s="65"/>
      <c r="KLB40" s="65"/>
      <c r="KLC40" s="65"/>
      <c r="KLD40" s="65"/>
      <c r="KLE40" s="65"/>
      <c r="KLF40" s="65"/>
      <c r="KLG40" s="65"/>
      <c r="KLH40" s="65"/>
      <c r="KLI40" s="65"/>
      <c r="KLJ40" s="65"/>
      <c r="KLK40" s="65"/>
      <c r="KLL40" s="65"/>
      <c r="KLM40" s="65"/>
      <c r="KLN40" s="65"/>
      <c r="KLO40" s="65"/>
      <c r="KLP40" s="65"/>
      <c r="KLQ40" s="65"/>
      <c r="KLR40" s="65"/>
      <c r="KLS40" s="65"/>
      <c r="KLT40" s="65"/>
      <c r="KLU40" s="65"/>
      <c r="KLV40" s="65"/>
      <c r="KLW40" s="65"/>
      <c r="KLX40" s="65"/>
      <c r="KLY40" s="65"/>
      <c r="KLZ40" s="65"/>
      <c r="KMA40" s="65"/>
      <c r="KMB40" s="65"/>
      <c r="KMC40" s="65"/>
      <c r="KMD40" s="65"/>
      <c r="KME40" s="65"/>
      <c r="KMF40" s="65"/>
      <c r="KMG40" s="65"/>
      <c r="KMH40" s="65"/>
      <c r="KMI40" s="65"/>
      <c r="KMJ40" s="65"/>
      <c r="KMK40" s="65"/>
      <c r="KML40" s="65"/>
      <c r="KMM40" s="65"/>
      <c r="KMN40" s="65"/>
      <c r="KMO40" s="65"/>
      <c r="KMP40" s="65"/>
      <c r="KMQ40" s="65"/>
      <c r="KMR40" s="65"/>
      <c r="KMS40" s="65"/>
      <c r="KMT40" s="65"/>
      <c r="KMU40" s="65"/>
      <c r="KMV40" s="65"/>
      <c r="KMW40" s="65"/>
      <c r="KMX40" s="65"/>
      <c r="KMY40" s="65"/>
      <c r="KMZ40" s="65"/>
      <c r="KNA40" s="65"/>
      <c r="KNB40" s="65"/>
      <c r="KNC40" s="65"/>
      <c r="KND40" s="65"/>
      <c r="KNE40" s="65"/>
      <c r="KNF40" s="65"/>
      <c r="KNG40" s="65"/>
      <c r="KNH40" s="65"/>
      <c r="KNI40" s="65"/>
      <c r="KNJ40" s="65"/>
      <c r="KNK40" s="65"/>
      <c r="KNL40" s="65"/>
      <c r="KNM40" s="65"/>
      <c r="KNN40" s="65"/>
      <c r="KNO40" s="65"/>
      <c r="KNP40" s="65"/>
      <c r="KNQ40" s="65"/>
      <c r="KNR40" s="65"/>
      <c r="KNS40" s="65"/>
      <c r="KNT40" s="65"/>
      <c r="KNU40" s="65"/>
      <c r="KNV40" s="65"/>
      <c r="KNW40" s="65"/>
      <c r="KNX40" s="65"/>
      <c r="KNY40" s="65"/>
      <c r="KNZ40" s="65"/>
      <c r="KOA40" s="65"/>
      <c r="KOB40" s="65"/>
      <c r="KOC40" s="65"/>
      <c r="KOD40" s="65"/>
      <c r="KOE40" s="65"/>
      <c r="KOF40" s="65"/>
      <c r="KOG40" s="65"/>
      <c r="KOH40" s="65"/>
      <c r="KOI40" s="65"/>
      <c r="KOJ40" s="65"/>
      <c r="KOK40" s="65"/>
      <c r="KOL40" s="65"/>
      <c r="KOM40" s="65"/>
      <c r="KON40" s="65"/>
      <c r="KOO40" s="65"/>
      <c r="KOP40" s="65"/>
      <c r="KOQ40" s="65"/>
      <c r="KOR40" s="65"/>
      <c r="KOS40" s="65"/>
      <c r="KOT40" s="65"/>
      <c r="KOU40" s="65"/>
      <c r="KOV40" s="65"/>
      <c r="KOW40" s="65"/>
      <c r="KOX40" s="65"/>
      <c r="KOY40" s="65"/>
      <c r="KOZ40" s="65"/>
      <c r="KPA40" s="65"/>
      <c r="KPB40" s="65"/>
      <c r="KPC40" s="65"/>
      <c r="KPD40" s="65"/>
      <c r="KPE40" s="65"/>
      <c r="KPF40" s="65"/>
      <c r="KPG40" s="65"/>
      <c r="KPH40" s="65"/>
      <c r="KPI40" s="65"/>
      <c r="KPJ40" s="65"/>
      <c r="KPK40" s="65"/>
      <c r="KPL40" s="65"/>
      <c r="KPM40" s="65"/>
      <c r="KPN40" s="65"/>
      <c r="KPO40" s="65"/>
      <c r="KPP40" s="65"/>
      <c r="KPQ40" s="65"/>
      <c r="KPR40" s="65"/>
      <c r="KPS40" s="65"/>
      <c r="KPT40" s="65"/>
      <c r="KPU40" s="65"/>
      <c r="KPV40" s="65"/>
      <c r="KPW40" s="65"/>
      <c r="KPX40" s="65"/>
      <c r="KPY40" s="65"/>
      <c r="KPZ40" s="65"/>
      <c r="KQA40" s="65"/>
      <c r="KQB40" s="65"/>
      <c r="KQC40" s="65"/>
      <c r="KQD40" s="65"/>
      <c r="KQE40" s="65"/>
      <c r="KQF40" s="65"/>
      <c r="KQG40" s="65"/>
      <c r="KQH40" s="65"/>
      <c r="KQI40" s="65"/>
      <c r="KQJ40" s="65"/>
      <c r="KQK40" s="65"/>
      <c r="KQL40" s="65"/>
      <c r="KQM40" s="65"/>
      <c r="KQN40" s="65"/>
      <c r="KQO40" s="65"/>
      <c r="KQP40" s="65"/>
      <c r="KQQ40" s="65"/>
      <c r="KQR40" s="65"/>
      <c r="KQS40" s="65"/>
      <c r="KQT40" s="65"/>
      <c r="KQU40" s="65"/>
      <c r="KQV40" s="65"/>
      <c r="KQW40" s="65"/>
      <c r="KQX40" s="65"/>
      <c r="KQY40" s="65"/>
      <c r="KQZ40" s="65"/>
      <c r="KRA40" s="65"/>
      <c r="KRB40" s="65"/>
      <c r="KRC40" s="65"/>
      <c r="KRD40" s="65"/>
      <c r="KRE40" s="65"/>
      <c r="KRF40" s="65"/>
      <c r="KRG40" s="65"/>
      <c r="KRH40" s="65"/>
      <c r="KRI40" s="65"/>
      <c r="KRJ40" s="65"/>
      <c r="KRK40" s="65"/>
      <c r="KRL40" s="65"/>
      <c r="KRM40" s="65"/>
      <c r="KRN40" s="65"/>
      <c r="KRO40" s="65"/>
      <c r="KRP40" s="65"/>
      <c r="KRQ40" s="65"/>
      <c r="KRR40" s="65"/>
      <c r="KRS40" s="65"/>
      <c r="KRT40" s="65"/>
      <c r="KRU40" s="65"/>
      <c r="KRV40" s="65"/>
      <c r="KRW40" s="65"/>
      <c r="KRX40" s="65"/>
      <c r="KRY40" s="65"/>
      <c r="KRZ40" s="65"/>
      <c r="KSA40" s="65"/>
      <c r="KSB40" s="65"/>
      <c r="KSC40" s="65"/>
      <c r="KSD40" s="65"/>
      <c r="KSE40" s="65"/>
      <c r="KSF40" s="65"/>
      <c r="KSG40" s="65"/>
      <c r="KSH40" s="65"/>
      <c r="KSI40" s="65"/>
      <c r="KSJ40" s="65"/>
      <c r="KSK40" s="65"/>
      <c r="KSL40" s="65"/>
      <c r="KSM40" s="65"/>
      <c r="KSN40" s="65"/>
      <c r="KSO40" s="65"/>
      <c r="KSP40" s="65"/>
      <c r="KSQ40" s="65"/>
      <c r="KSR40" s="65"/>
      <c r="KSS40" s="65"/>
      <c r="KST40" s="65"/>
      <c r="KSU40" s="65"/>
      <c r="KSV40" s="65"/>
      <c r="KSW40" s="65"/>
      <c r="KSX40" s="65"/>
      <c r="KSY40" s="65"/>
      <c r="KSZ40" s="65"/>
      <c r="KTA40" s="65"/>
      <c r="KTB40" s="65"/>
      <c r="KTC40" s="65"/>
      <c r="KTD40" s="65"/>
      <c r="KTE40" s="65"/>
      <c r="KTF40" s="65"/>
      <c r="KTG40" s="65"/>
      <c r="KTH40" s="65"/>
      <c r="KTI40" s="65"/>
      <c r="KTJ40" s="65"/>
      <c r="KTK40" s="65"/>
      <c r="KTL40" s="65"/>
      <c r="KTM40" s="65"/>
      <c r="KTN40" s="65"/>
      <c r="KTO40" s="65"/>
      <c r="KTP40" s="65"/>
      <c r="KTQ40" s="65"/>
      <c r="KTR40" s="65"/>
      <c r="KTS40" s="65"/>
      <c r="KTT40" s="65"/>
      <c r="KTU40" s="65"/>
      <c r="KTV40" s="65"/>
      <c r="KTW40" s="65"/>
      <c r="KTX40" s="65"/>
      <c r="KTY40" s="65"/>
      <c r="KTZ40" s="65"/>
      <c r="KUA40" s="65"/>
      <c r="KUB40" s="65"/>
      <c r="KUC40" s="65"/>
      <c r="KUD40" s="65"/>
      <c r="KUE40" s="65"/>
      <c r="KUF40" s="65"/>
      <c r="KUG40" s="65"/>
      <c r="KUH40" s="65"/>
      <c r="KUI40" s="65"/>
      <c r="KUJ40" s="65"/>
      <c r="KUK40" s="65"/>
      <c r="KUL40" s="65"/>
      <c r="KUM40" s="65"/>
      <c r="KUN40" s="65"/>
      <c r="KUO40" s="65"/>
      <c r="KUP40" s="65"/>
      <c r="KUQ40" s="65"/>
      <c r="KUR40" s="65"/>
      <c r="KUS40" s="65"/>
      <c r="KUT40" s="65"/>
      <c r="KUU40" s="65"/>
      <c r="KUV40" s="65"/>
      <c r="KUW40" s="65"/>
      <c r="KUX40" s="65"/>
      <c r="KUY40" s="65"/>
      <c r="KUZ40" s="65"/>
      <c r="KVA40" s="65"/>
      <c r="KVB40" s="65"/>
      <c r="KVC40" s="65"/>
      <c r="KVD40" s="65"/>
      <c r="KVE40" s="65"/>
      <c r="KVF40" s="65"/>
      <c r="KVG40" s="65"/>
      <c r="KVH40" s="65"/>
      <c r="KVI40" s="65"/>
      <c r="KVJ40" s="65"/>
      <c r="KVK40" s="65"/>
      <c r="KVL40" s="65"/>
      <c r="KVM40" s="65"/>
      <c r="KVN40" s="65"/>
      <c r="KVO40" s="65"/>
      <c r="KVP40" s="65"/>
      <c r="KVQ40" s="65"/>
      <c r="KVR40" s="65"/>
      <c r="KVS40" s="65"/>
      <c r="KVT40" s="65"/>
      <c r="KVU40" s="65"/>
      <c r="KVV40" s="65"/>
      <c r="KVW40" s="65"/>
      <c r="KVX40" s="65"/>
      <c r="KVY40" s="65"/>
      <c r="KVZ40" s="65"/>
      <c r="KWA40" s="65"/>
      <c r="KWB40" s="65"/>
      <c r="KWC40" s="65"/>
      <c r="KWD40" s="65"/>
      <c r="KWE40" s="65"/>
      <c r="KWF40" s="65"/>
      <c r="KWG40" s="65"/>
      <c r="KWH40" s="65"/>
      <c r="KWI40" s="65"/>
      <c r="KWJ40" s="65"/>
      <c r="KWK40" s="65"/>
      <c r="KWL40" s="65"/>
      <c r="KWM40" s="65"/>
      <c r="KWN40" s="65"/>
      <c r="KWO40" s="65"/>
      <c r="KWP40" s="65"/>
      <c r="KWQ40" s="65"/>
      <c r="KWR40" s="65"/>
      <c r="KWS40" s="65"/>
      <c r="KWT40" s="65"/>
      <c r="KWU40" s="65"/>
      <c r="KWV40" s="65"/>
      <c r="KWW40" s="65"/>
      <c r="KWX40" s="65"/>
      <c r="KWY40" s="65"/>
      <c r="KWZ40" s="65"/>
      <c r="KXA40" s="65"/>
      <c r="KXB40" s="65"/>
      <c r="KXC40" s="65"/>
      <c r="KXD40" s="65"/>
      <c r="KXE40" s="65"/>
      <c r="KXF40" s="65"/>
      <c r="KXG40" s="65"/>
      <c r="KXH40" s="65"/>
      <c r="KXI40" s="65"/>
      <c r="KXJ40" s="65"/>
      <c r="KXK40" s="65"/>
      <c r="KXL40" s="65"/>
      <c r="KXM40" s="65"/>
      <c r="KXN40" s="65"/>
      <c r="KXO40" s="65"/>
      <c r="KXP40" s="65"/>
      <c r="KXQ40" s="65"/>
      <c r="KXR40" s="65"/>
      <c r="KXS40" s="65"/>
      <c r="KXT40" s="65"/>
      <c r="KXU40" s="65"/>
      <c r="KXV40" s="65"/>
      <c r="KXW40" s="65"/>
      <c r="KXX40" s="65"/>
      <c r="KXY40" s="65"/>
      <c r="KXZ40" s="65"/>
      <c r="KYA40" s="65"/>
      <c r="KYB40" s="65"/>
      <c r="KYC40" s="65"/>
      <c r="KYD40" s="65"/>
      <c r="KYE40" s="65"/>
      <c r="KYF40" s="65"/>
      <c r="KYG40" s="65"/>
      <c r="KYH40" s="65"/>
      <c r="KYI40" s="65"/>
      <c r="KYJ40" s="65"/>
      <c r="KYK40" s="65"/>
      <c r="KYL40" s="65"/>
      <c r="KYM40" s="65"/>
      <c r="KYN40" s="65"/>
      <c r="KYO40" s="65"/>
      <c r="KYP40" s="65"/>
      <c r="KYQ40" s="65"/>
      <c r="KYR40" s="65"/>
      <c r="KYS40" s="65"/>
      <c r="KYT40" s="65"/>
      <c r="KYU40" s="65"/>
      <c r="KYV40" s="65"/>
      <c r="KYW40" s="65"/>
      <c r="KYX40" s="65"/>
      <c r="KYY40" s="65"/>
      <c r="KYZ40" s="65"/>
      <c r="KZA40" s="65"/>
      <c r="KZB40" s="65"/>
      <c r="KZC40" s="65"/>
      <c r="KZD40" s="65"/>
      <c r="KZE40" s="65"/>
      <c r="KZF40" s="65"/>
      <c r="KZG40" s="65"/>
      <c r="KZH40" s="65"/>
      <c r="KZI40" s="65"/>
      <c r="KZJ40" s="65"/>
      <c r="KZK40" s="65"/>
      <c r="KZL40" s="65"/>
      <c r="KZM40" s="65"/>
      <c r="KZN40" s="65"/>
      <c r="KZO40" s="65"/>
      <c r="KZP40" s="65"/>
      <c r="KZQ40" s="65"/>
      <c r="KZR40" s="65"/>
      <c r="KZS40" s="65"/>
      <c r="KZT40" s="65"/>
      <c r="KZU40" s="65"/>
      <c r="KZV40" s="65"/>
      <c r="KZW40" s="65"/>
      <c r="KZX40" s="65"/>
      <c r="KZY40" s="65"/>
      <c r="KZZ40" s="65"/>
      <c r="LAA40" s="65"/>
      <c r="LAB40" s="65"/>
      <c r="LAC40" s="65"/>
      <c r="LAD40" s="65"/>
      <c r="LAE40" s="65"/>
      <c r="LAF40" s="65"/>
      <c r="LAG40" s="65"/>
      <c r="LAH40" s="65"/>
      <c r="LAI40" s="65"/>
      <c r="LAJ40" s="65"/>
      <c r="LAK40" s="65"/>
      <c r="LAL40" s="65"/>
      <c r="LAM40" s="65"/>
      <c r="LAN40" s="65"/>
      <c r="LAO40" s="65"/>
      <c r="LAP40" s="65"/>
      <c r="LAQ40" s="65"/>
      <c r="LAR40" s="65"/>
      <c r="LAS40" s="65"/>
      <c r="LAT40" s="65"/>
      <c r="LAU40" s="65"/>
      <c r="LAV40" s="65"/>
      <c r="LAW40" s="65"/>
      <c r="LAX40" s="65"/>
      <c r="LAY40" s="65"/>
      <c r="LAZ40" s="65"/>
      <c r="LBA40" s="65"/>
      <c r="LBB40" s="65"/>
      <c r="LBC40" s="65"/>
      <c r="LBD40" s="65"/>
      <c r="LBE40" s="65"/>
      <c r="LBF40" s="65"/>
      <c r="LBG40" s="65"/>
      <c r="LBH40" s="65"/>
      <c r="LBI40" s="65"/>
      <c r="LBJ40" s="65"/>
      <c r="LBK40" s="65"/>
      <c r="LBL40" s="65"/>
      <c r="LBM40" s="65"/>
      <c r="LBN40" s="65"/>
      <c r="LBO40" s="65"/>
      <c r="LBP40" s="65"/>
      <c r="LBQ40" s="65"/>
      <c r="LBR40" s="65"/>
      <c r="LBS40" s="65"/>
      <c r="LBT40" s="65"/>
      <c r="LBU40" s="65"/>
      <c r="LBV40" s="65"/>
      <c r="LBW40" s="65"/>
      <c r="LBX40" s="65"/>
      <c r="LBY40" s="65"/>
      <c r="LBZ40" s="65"/>
      <c r="LCA40" s="65"/>
      <c r="LCB40" s="65"/>
      <c r="LCC40" s="65"/>
      <c r="LCD40" s="65"/>
      <c r="LCE40" s="65"/>
      <c r="LCF40" s="65"/>
      <c r="LCG40" s="65"/>
      <c r="LCH40" s="65"/>
      <c r="LCI40" s="65"/>
      <c r="LCJ40" s="65"/>
      <c r="LCK40" s="65"/>
      <c r="LCL40" s="65"/>
      <c r="LCM40" s="65"/>
      <c r="LCN40" s="65"/>
      <c r="LCO40" s="65"/>
      <c r="LCP40" s="65"/>
      <c r="LCQ40" s="65"/>
      <c r="LCR40" s="65"/>
      <c r="LCS40" s="65"/>
      <c r="LCT40" s="65"/>
      <c r="LCU40" s="65"/>
      <c r="LCV40" s="65"/>
      <c r="LCW40" s="65"/>
      <c r="LCX40" s="65"/>
      <c r="LCY40" s="65"/>
      <c r="LCZ40" s="65"/>
      <c r="LDA40" s="65"/>
      <c r="LDB40" s="65"/>
      <c r="LDC40" s="65"/>
      <c r="LDD40" s="65"/>
      <c r="LDE40" s="65"/>
      <c r="LDF40" s="65"/>
      <c r="LDG40" s="65"/>
      <c r="LDH40" s="65"/>
      <c r="LDI40" s="65"/>
      <c r="LDJ40" s="65"/>
      <c r="LDK40" s="65"/>
      <c r="LDL40" s="65"/>
      <c r="LDM40" s="65"/>
      <c r="LDN40" s="65"/>
      <c r="LDO40" s="65"/>
      <c r="LDP40" s="65"/>
      <c r="LDQ40" s="65"/>
      <c r="LDR40" s="65"/>
      <c r="LDS40" s="65"/>
      <c r="LDT40" s="65"/>
      <c r="LDU40" s="65"/>
      <c r="LDV40" s="65"/>
      <c r="LDW40" s="65"/>
      <c r="LDX40" s="65"/>
      <c r="LDY40" s="65"/>
      <c r="LDZ40" s="65"/>
      <c r="LEA40" s="65"/>
      <c r="LEB40" s="65"/>
      <c r="LEC40" s="65"/>
      <c r="LED40" s="65"/>
      <c r="LEE40" s="65"/>
      <c r="LEF40" s="65"/>
      <c r="LEG40" s="65"/>
      <c r="LEH40" s="65"/>
      <c r="LEI40" s="65"/>
      <c r="LEJ40" s="65"/>
      <c r="LEK40" s="65"/>
      <c r="LEL40" s="65"/>
      <c r="LEM40" s="65"/>
      <c r="LEN40" s="65"/>
      <c r="LEO40" s="65"/>
      <c r="LEP40" s="65"/>
      <c r="LEQ40" s="65"/>
      <c r="LER40" s="65"/>
      <c r="LES40" s="65"/>
      <c r="LET40" s="65"/>
      <c r="LEU40" s="65"/>
      <c r="LEV40" s="65"/>
      <c r="LEW40" s="65"/>
      <c r="LEX40" s="65"/>
      <c r="LEY40" s="65"/>
      <c r="LEZ40" s="65"/>
      <c r="LFA40" s="65"/>
      <c r="LFB40" s="65"/>
      <c r="LFC40" s="65"/>
      <c r="LFD40" s="65"/>
      <c r="LFE40" s="65"/>
      <c r="LFF40" s="65"/>
      <c r="LFG40" s="65"/>
      <c r="LFH40" s="65"/>
      <c r="LFI40" s="65"/>
      <c r="LFJ40" s="65"/>
      <c r="LFK40" s="65"/>
      <c r="LFL40" s="65"/>
      <c r="LFM40" s="65"/>
      <c r="LFN40" s="65"/>
      <c r="LFO40" s="65"/>
      <c r="LFP40" s="65"/>
      <c r="LFQ40" s="65"/>
      <c r="LFR40" s="65"/>
      <c r="LFS40" s="65"/>
      <c r="LFT40" s="65"/>
      <c r="LFU40" s="65"/>
      <c r="LFV40" s="65"/>
      <c r="LFW40" s="65"/>
      <c r="LFX40" s="65"/>
      <c r="LFY40" s="65"/>
      <c r="LFZ40" s="65"/>
      <c r="LGA40" s="65"/>
      <c r="LGB40" s="65"/>
      <c r="LGC40" s="65"/>
      <c r="LGD40" s="65"/>
      <c r="LGE40" s="65"/>
      <c r="LGF40" s="65"/>
      <c r="LGG40" s="65"/>
      <c r="LGH40" s="65"/>
      <c r="LGI40" s="65"/>
      <c r="LGJ40" s="65"/>
      <c r="LGK40" s="65"/>
      <c r="LGL40" s="65"/>
      <c r="LGM40" s="65"/>
      <c r="LGN40" s="65"/>
      <c r="LGO40" s="65"/>
      <c r="LGP40" s="65"/>
      <c r="LGQ40" s="65"/>
      <c r="LGR40" s="65"/>
      <c r="LGS40" s="65"/>
      <c r="LGT40" s="65"/>
      <c r="LGU40" s="65"/>
      <c r="LGV40" s="65"/>
      <c r="LGW40" s="65"/>
      <c r="LGX40" s="65"/>
      <c r="LGY40" s="65"/>
      <c r="LGZ40" s="65"/>
      <c r="LHA40" s="65"/>
      <c r="LHB40" s="65"/>
      <c r="LHC40" s="65"/>
      <c r="LHD40" s="65"/>
      <c r="LHE40" s="65"/>
      <c r="LHF40" s="65"/>
      <c r="LHG40" s="65"/>
      <c r="LHH40" s="65"/>
      <c r="LHI40" s="65"/>
      <c r="LHJ40" s="65"/>
      <c r="LHK40" s="65"/>
      <c r="LHL40" s="65"/>
      <c r="LHM40" s="65"/>
      <c r="LHN40" s="65"/>
      <c r="LHO40" s="65"/>
      <c r="LHP40" s="65"/>
      <c r="LHQ40" s="65"/>
      <c r="LHR40" s="65"/>
      <c r="LHS40" s="65"/>
      <c r="LHT40" s="65"/>
      <c r="LHU40" s="65"/>
      <c r="LHV40" s="65"/>
      <c r="LHW40" s="65"/>
      <c r="LHX40" s="65"/>
      <c r="LHY40" s="65"/>
      <c r="LHZ40" s="65"/>
      <c r="LIA40" s="65"/>
      <c r="LIB40" s="65"/>
      <c r="LIC40" s="65"/>
      <c r="LID40" s="65"/>
      <c r="LIE40" s="65"/>
      <c r="LIF40" s="65"/>
      <c r="LIG40" s="65"/>
      <c r="LIH40" s="65"/>
      <c r="LII40" s="65"/>
      <c r="LIJ40" s="65"/>
      <c r="LIK40" s="65"/>
      <c r="LIL40" s="65"/>
      <c r="LIM40" s="65"/>
      <c r="LIN40" s="65"/>
      <c r="LIO40" s="65"/>
      <c r="LIP40" s="65"/>
      <c r="LIQ40" s="65"/>
      <c r="LIR40" s="65"/>
      <c r="LIS40" s="65"/>
      <c r="LIT40" s="65"/>
      <c r="LIU40" s="65"/>
      <c r="LIV40" s="65"/>
      <c r="LIW40" s="65"/>
      <c r="LIX40" s="65"/>
      <c r="LIY40" s="65"/>
      <c r="LIZ40" s="65"/>
      <c r="LJA40" s="65"/>
      <c r="LJB40" s="65"/>
      <c r="LJC40" s="65"/>
      <c r="LJD40" s="65"/>
      <c r="LJE40" s="65"/>
      <c r="LJF40" s="65"/>
      <c r="LJG40" s="65"/>
      <c r="LJH40" s="65"/>
      <c r="LJI40" s="65"/>
      <c r="LJJ40" s="65"/>
      <c r="LJK40" s="65"/>
      <c r="LJL40" s="65"/>
      <c r="LJM40" s="65"/>
      <c r="LJN40" s="65"/>
      <c r="LJO40" s="65"/>
      <c r="LJP40" s="65"/>
      <c r="LJQ40" s="65"/>
      <c r="LJR40" s="65"/>
      <c r="LJS40" s="65"/>
      <c r="LJT40" s="65"/>
      <c r="LJU40" s="65"/>
      <c r="LJV40" s="65"/>
      <c r="LJW40" s="65"/>
      <c r="LJX40" s="65"/>
      <c r="LJY40" s="65"/>
      <c r="LJZ40" s="65"/>
      <c r="LKA40" s="65"/>
      <c r="LKB40" s="65"/>
      <c r="LKC40" s="65"/>
      <c r="LKD40" s="65"/>
      <c r="LKE40" s="65"/>
      <c r="LKF40" s="65"/>
      <c r="LKG40" s="65"/>
      <c r="LKH40" s="65"/>
      <c r="LKI40" s="65"/>
      <c r="LKJ40" s="65"/>
      <c r="LKK40" s="65"/>
      <c r="LKL40" s="65"/>
      <c r="LKM40" s="65"/>
      <c r="LKN40" s="65"/>
      <c r="LKO40" s="65"/>
      <c r="LKP40" s="65"/>
      <c r="LKQ40" s="65"/>
      <c r="LKR40" s="65"/>
      <c r="LKS40" s="65"/>
      <c r="LKT40" s="65"/>
      <c r="LKU40" s="65"/>
      <c r="LKV40" s="65"/>
      <c r="LKW40" s="65"/>
      <c r="LKX40" s="65"/>
      <c r="LKY40" s="65"/>
      <c r="LKZ40" s="65"/>
      <c r="LLA40" s="65"/>
      <c r="LLB40" s="65"/>
      <c r="LLC40" s="65"/>
      <c r="LLD40" s="65"/>
      <c r="LLE40" s="65"/>
      <c r="LLF40" s="65"/>
      <c r="LLG40" s="65"/>
      <c r="LLH40" s="65"/>
      <c r="LLI40" s="65"/>
      <c r="LLJ40" s="65"/>
      <c r="LLK40" s="65"/>
      <c r="LLL40" s="65"/>
      <c r="LLM40" s="65"/>
      <c r="LLN40" s="65"/>
      <c r="LLO40" s="65"/>
      <c r="LLP40" s="65"/>
      <c r="LLQ40" s="65"/>
      <c r="LLR40" s="65"/>
      <c r="LLS40" s="65"/>
      <c r="LLT40" s="65"/>
      <c r="LLU40" s="65"/>
      <c r="LLV40" s="65"/>
      <c r="LLW40" s="65"/>
      <c r="LLX40" s="65"/>
      <c r="LLY40" s="65"/>
      <c r="LLZ40" s="65"/>
      <c r="LMA40" s="65"/>
      <c r="LMB40" s="65"/>
      <c r="LMC40" s="65"/>
      <c r="LMD40" s="65"/>
      <c r="LME40" s="65"/>
      <c r="LMF40" s="65"/>
      <c r="LMG40" s="65"/>
      <c r="LMH40" s="65"/>
      <c r="LMI40" s="65"/>
      <c r="LMJ40" s="65"/>
      <c r="LMK40" s="65"/>
      <c r="LML40" s="65"/>
      <c r="LMM40" s="65"/>
      <c r="LMN40" s="65"/>
      <c r="LMO40" s="65"/>
      <c r="LMP40" s="65"/>
      <c r="LMQ40" s="65"/>
      <c r="LMR40" s="65"/>
      <c r="LMS40" s="65"/>
      <c r="LMT40" s="65"/>
      <c r="LMU40" s="65"/>
      <c r="LMV40" s="65"/>
      <c r="LMW40" s="65"/>
      <c r="LMX40" s="65"/>
      <c r="LMY40" s="65"/>
      <c r="LMZ40" s="65"/>
      <c r="LNA40" s="65"/>
      <c r="LNB40" s="65"/>
      <c r="LNC40" s="65"/>
      <c r="LND40" s="65"/>
      <c r="LNE40" s="65"/>
      <c r="LNF40" s="65"/>
      <c r="LNG40" s="65"/>
      <c r="LNH40" s="65"/>
      <c r="LNI40" s="65"/>
      <c r="LNJ40" s="65"/>
      <c r="LNK40" s="65"/>
      <c r="LNL40" s="65"/>
      <c r="LNM40" s="65"/>
      <c r="LNN40" s="65"/>
      <c r="LNO40" s="65"/>
      <c r="LNP40" s="65"/>
      <c r="LNQ40" s="65"/>
      <c r="LNR40" s="65"/>
      <c r="LNS40" s="65"/>
      <c r="LNT40" s="65"/>
      <c r="LNU40" s="65"/>
      <c r="LNV40" s="65"/>
      <c r="LNW40" s="65"/>
      <c r="LNX40" s="65"/>
      <c r="LNY40" s="65"/>
      <c r="LNZ40" s="65"/>
      <c r="LOA40" s="65"/>
      <c r="LOB40" s="65"/>
      <c r="LOC40" s="65"/>
      <c r="LOD40" s="65"/>
      <c r="LOE40" s="65"/>
      <c r="LOF40" s="65"/>
      <c r="LOG40" s="65"/>
      <c r="LOH40" s="65"/>
      <c r="LOI40" s="65"/>
      <c r="LOJ40" s="65"/>
      <c r="LOK40" s="65"/>
      <c r="LOL40" s="65"/>
      <c r="LOM40" s="65"/>
      <c r="LON40" s="65"/>
      <c r="LOO40" s="65"/>
      <c r="LOP40" s="65"/>
      <c r="LOQ40" s="65"/>
      <c r="LOR40" s="65"/>
      <c r="LOS40" s="65"/>
      <c r="LOT40" s="65"/>
      <c r="LOU40" s="65"/>
      <c r="LOV40" s="65"/>
      <c r="LOW40" s="65"/>
      <c r="LOX40" s="65"/>
      <c r="LOY40" s="65"/>
      <c r="LOZ40" s="65"/>
      <c r="LPA40" s="65"/>
      <c r="LPB40" s="65"/>
      <c r="LPC40" s="65"/>
      <c r="LPD40" s="65"/>
      <c r="LPE40" s="65"/>
      <c r="LPF40" s="65"/>
      <c r="LPG40" s="65"/>
      <c r="LPH40" s="65"/>
      <c r="LPI40" s="65"/>
      <c r="LPJ40" s="65"/>
      <c r="LPK40" s="65"/>
      <c r="LPL40" s="65"/>
      <c r="LPM40" s="65"/>
      <c r="LPN40" s="65"/>
      <c r="LPO40" s="65"/>
      <c r="LPP40" s="65"/>
      <c r="LPQ40" s="65"/>
      <c r="LPR40" s="65"/>
      <c r="LPS40" s="65"/>
      <c r="LPT40" s="65"/>
      <c r="LPU40" s="65"/>
      <c r="LPV40" s="65"/>
      <c r="LPW40" s="65"/>
      <c r="LPX40" s="65"/>
      <c r="LPY40" s="65"/>
      <c r="LPZ40" s="65"/>
      <c r="LQA40" s="65"/>
      <c r="LQB40" s="65"/>
      <c r="LQC40" s="65"/>
      <c r="LQD40" s="65"/>
      <c r="LQE40" s="65"/>
      <c r="LQF40" s="65"/>
      <c r="LQG40" s="65"/>
      <c r="LQH40" s="65"/>
      <c r="LQI40" s="65"/>
      <c r="LQJ40" s="65"/>
      <c r="LQK40" s="65"/>
      <c r="LQL40" s="65"/>
      <c r="LQM40" s="65"/>
      <c r="LQN40" s="65"/>
      <c r="LQO40" s="65"/>
      <c r="LQP40" s="65"/>
      <c r="LQQ40" s="65"/>
      <c r="LQR40" s="65"/>
      <c r="LQS40" s="65"/>
      <c r="LQT40" s="65"/>
      <c r="LQU40" s="65"/>
      <c r="LQV40" s="65"/>
      <c r="LQW40" s="65"/>
      <c r="LQX40" s="65"/>
      <c r="LQY40" s="65"/>
      <c r="LQZ40" s="65"/>
      <c r="LRA40" s="65"/>
      <c r="LRB40" s="65"/>
      <c r="LRC40" s="65"/>
      <c r="LRD40" s="65"/>
      <c r="LRE40" s="65"/>
      <c r="LRF40" s="65"/>
      <c r="LRG40" s="65"/>
      <c r="LRH40" s="65"/>
      <c r="LRI40" s="65"/>
      <c r="LRJ40" s="65"/>
      <c r="LRK40" s="65"/>
      <c r="LRL40" s="65"/>
      <c r="LRM40" s="65"/>
      <c r="LRN40" s="65"/>
      <c r="LRO40" s="65"/>
      <c r="LRP40" s="65"/>
      <c r="LRQ40" s="65"/>
      <c r="LRR40" s="65"/>
      <c r="LRS40" s="65"/>
      <c r="LRT40" s="65"/>
      <c r="LRU40" s="65"/>
      <c r="LRV40" s="65"/>
      <c r="LRW40" s="65"/>
      <c r="LRX40" s="65"/>
      <c r="LRY40" s="65"/>
      <c r="LRZ40" s="65"/>
      <c r="LSA40" s="65"/>
      <c r="LSB40" s="65"/>
      <c r="LSC40" s="65"/>
      <c r="LSD40" s="65"/>
      <c r="LSE40" s="65"/>
      <c r="LSF40" s="65"/>
      <c r="LSG40" s="65"/>
      <c r="LSH40" s="65"/>
      <c r="LSI40" s="65"/>
      <c r="LSJ40" s="65"/>
      <c r="LSK40" s="65"/>
      <c r="LSL40" s="65"/>
      <c r="LSM40" s="65"/>
      <c r="LSN40" s="65"/>
      <c r="LSO40" s="65"/>
      <c r="LSP40" s="65"/>
      <c r="LSQ40" s="65"/>
      <c r="LSR40" s="65"/>
      <c r="LSS40" s="65"/>
      <c r="LST40" s="65"/>
      <c r="LSU40" s="65"/>
      <c r="LSV40" s="65"/>
      <c r="LSW40" s="65"/>
      <c r="LSX40" s="65"/>
      <c r="LSY40" s="65"/>
      <c r="LSZ40" s="65"/>
      <c r="LTA40" s="65"/>
      <c r="LTB40" s="65"/>
      <c r="LTC40" s="65"/>
      <c r="LTD40" s="65"/>
      <c r="LTE40" s="65"/>
      <c r="LTF40" s="65"/>
      <c r="LTG40" s="65"/>
      <c r="LTH40" s="65"/>
      <c r="LTI40" s="65"/>
      <c r="LTJ40" s="65"/>
      <c r="LTK40" s="65"/>
      <c r="LTL40" s="65"/>
      <c r="LTM40" s="65"/>
      <c r="LTN40" s="65"/>
      <c r="LTO40" s="65"/>
      <c r="LTP40" s="65"/>
      <c r="LTQ40" s="65"/>
      <c r="LTR40" s="65"/>
      <c r="LTS40" s="65"/>
      <c r="LTT40" s="65"/>
      <c r="LTU40" s="65"/>
      <c r="LTV40" s="65"/>
      <c r="LTW40" s="65"/>
      <c r="LTX40" s="65"/>
      <c r="LTY40" s="65"/>
      <c r="LTZ40" s="65"/>
      <c r="LUA40" s="65"/>
      <c r="LUB40" s="65"/>
      <c r="LUC40" s="65"/>
      <c r="LUD40" s="65"/>
      <c r="LUE40" s="65"/>
      <c r="LUF40" s="65"/>
      <c r="LUG40" s="65"/>
      <c r="LUH40" s="65"/>
      <c r="LUI40" s="65"/>
      <c r="LUJ40" s="65"/>
      <c r="LUK40" s="65"/>
      <c r="LUL40" s="65"/>
      <c r="LUM40" s="65"/>
      <c r="LUN40" s="65"/>
      <c r="LUO40" s="65"/>
      <c r="LUP40" s="65"/>
      <c r="LUQ40" s="65"/>
      <c r="LUR40" s="65"/>
      <c r="LUS40" s="65"/>
      <c r="LUT40" s="65"/>
      <c r="LUU40" s="65"/>
      <c r="LUV40" s="65"/>
      <c r="LUW40" s="65"/>
      <c r="LUX40" s="65"/>
      <c r="LUY40" s="65"/>
      <c r="LUZ40" s="65"/>
      <c r="LVA40" s="65"/>
      <c r="LVB40" s="65"/>
      <c r="LVC40" s="65"/>
      <c r="LVD40" s="65"/>
      <c r="LVE40" s="65"/>
      <c r="LVF40" s="65"/>
      <c r="LVG40" s="65"/>
      <c r="LVH40" s="65"/>
      <c r="LVI40" s="65"/>
      <c r="LVJ40" s="65"/>
      <c r="LVK40" s="65"/>
      <c r="LVL40" s="65"/>
      <c r="LVM40" s="65"/>
      <c r="LVN40" s="65"/>
      <c r="LVO40" s="65"/>
      <c r="LVP40" s="65"/>
      <c r="LVQ40" s="65"/>
      <c r="LVR40" s="65"/>
      <c r="LVS40" s="65"/>
      <c r="LVT40" s="65"/>
      <c r="LVU40" s="65"/>
      <c r="LVV40" s="65"/>
      <c r="LVW40" s="65"/>
      <c r="LVX40" s="65"/>
      <c r="LVY40" s="65"/>
      <c r="LVZ40" s="65"/>
      <c r="LWA40" s="65"/>
      <c r="LWB40" s="65"/>
      <c r="LWC40" s="65"/>
      <c r="LWD40" s="65"/>
      <c r="LWE40" s="65"/>
      <c r="LWF40" s="65"/>
      <c r="LWG40" s="65"/>
      <c r="LWH40" s="65"/>
      <c r="LWI40" s="65"/>
      <c r="LWJ40" s="65"/>
      <c r="LWK40" s="65"/>
      <c r="LWL40" s="65"/>
      <c r="LWM40" s="65"/>
      <c r="LWN40" s="65"/>
      <c r="LWO40" s="65"/>
      <c r="LWP40" s="65"/>
      <c r="LWQ40" s="65"/>
      <c r="LWR40" s="65"/>
      <c r="LWS40" s="65"/>
      <c r="LWT40" s="65"/>
      <c r="LWU40" s="65"/>
      <c r="LWV40" s="65"/>
      <c r="LWW40" s="65"/>
      <c r="LWX40" s="65"/>
      <c r="LWY40" s="65"/>
      <c r="LWZ40" s="65"/>
      <c r="LXA40" s="65"/>
      <c r="LXB40" s="65"/>
      <c r="LXC40" s="65"/>
      <c r="LXD40" s="65"/>
      <c r="LXE40" s="65"/>
      <c r="LXF40" s="65"/>
      <c r="LXG40" s="65"/>
      <c r="LXH40" s="65"/>
      <c r="LXI40" s="65"/>
      <c r="LXJ40" s="65"/>
      <c r="LXK40" s="65"/>
      <c r="LXL40" s="65"/>
      <c r="LXM40" s="65"/>
      <c r="LXN40" s="65"/>
      <c r="LXO40" s="65"/>
      <c r="LXP40" s="65"/>
      <c r="LXQ40" s="65"/>
      <c r="LXR40" s="65"/>
      <c r="LXS40" s="65"/>
      <c r="LXT40" s="65"/>
      <c r="LXU40" s="65"/>
      <c r="LXV40" s="65"/>
      <c r="LXW40" s="65"/>
      <c r="LXX40" s="65"/>
      <c r="LXY40" s="65"/>
      <c r="LXZ40" s="65"/>
      <c r="LYA40" s="65"/>
      <c r="LYB40" s="65"/>
      <c r="LYC40" s="65"/>
      <c r="LYD40" s="65"/>
      <c r="LYE40" s="65"/>
      <c r="LYF40" s="65"/>
      <c r="LYG40" s="65"/>
      <c r="LYH40" s="65"/>
      <c r="LYI40" s="65"/>
      <c r="LYJ40" s="65"/>
      <c r="LYK40" s="65"/>
      <c r="LYL40" s="65"/>
      <c r="LYM40" s="65"/>
      <c r="LYN40" s="65"/>
      <c r="LYO40" s="65"/>
      <c r="LYP40" s="65"/>
      <c r="LYQ40" s="65"/>
      <c r="LYR40" s="65"/>
      <c r="LYS40" s="65"/>
      <c r="LYT40" s="65"/>
      <c r="LYU40" s="65"/>
      <c r="LYV40" s="65"/>
      <c r="LYW40" s="65"/>
      <c r="LYX40" s="65"/>
      <c r="LYY40" s="65"/>
      <c r="LYZ40" s="65"/>
      <c r="LZA40" s="65"/>
      <c r="LZB40" s="65"/>
      <c r="LZC40" s="65"/>
      <c r="LZD40" s="65"/>
      <c r="LZE40" s="65"/>
      <c r="LZF40" s="65"/>
      <c r="LZG40" s="65"/>
      <c r="LZH40" s="65"/>
      <c r="LZI40" s="65"/>
      <c r="LZJ40" s="65"/>
      <c r="LZK40" s="65"/>
      <c r="LZL40" s="65"/>
      <c r="LZM40" s="65"/>
      <c r="LZN40" s="65"/>
      <c r="LZO40" s="65"/>
      <c r="LZP40" s="65"/>
      <c r="LZQ40" s="65"/>
      <c r="LZR40" s="65"/>
      <c r="LZS40" s="65"/>
      <c r="LZT40" s="65"/>
      <c r="LZU40" s="65"/>
      <c r="LZV40" s="65"/>
      <c r="LZW40" s="65"/>
      <c r="LZX40" s="65"/>
      <c r="LZY40" s="65"/>
      <c r="LZZ40" s="65"/>
      <c r="MAA40" s="65"/>
      <c r="MAB40" s="65"/>
      <c r="MAC40" s="65"/>
      <c r="MAD40" s="65"/>
      <c r="MAE40" s="65"/>
      <c r="MAF40" s="65"/>
      <c r="MAG40" s="65"/>
      <c r="MAH40" s="65"/>
      <c r="MAI40" s="65"/>
      <c r="MAJ40" s="65"/>
      <c r="MAK40" s="65"/>
      <c r="MAL40" s="65"/>
      <c r="MAM40" s="65"/>
      <c r="MAN40" s="65"/>
      <c r="MAO40" s="65"/>
      <c r="MAP40" s="65"/>
      <c r="MAQ40" s="65"/>
      <c r="MAR40" s="65"/>
      <c r="MAS40" s="65"/>
      <c r="MAT40" s="65"/>
      <c r="MAU40" s="65"/>
      <c r="MAV40" s="65"/>
      <c r="MAW40" s="65"/>
      <c r="MAX40" s="65"/>
      <c r="MAY40" s="65"/>
      <c r="MAZ40" s="65"/>
      <c r="MBA40" s="65"/>
      <c r="MBB40" s="65"/>
      <c r="MBC40" s="65"/>
      <c r="MBD40" s="65"/>
      <c r="MBE40" s="65"/>
      <c r="MBF40" s="65"/>
      <c r="MBG40" s="65"/>
      <c r="MBH40" s="65"/>
      <c r="MBI40" s="65"/>
      <c r="MBJ40" s="65"/>
      <c r="MBK40" s="65"/>
      <c r="MBL40" s="65"/>
      <c r="MBM40" s="65"/>
      <c r="MBN40" s="65"/>
      <c r="MBO40" s="65"/>
      <c r="MBP40" s="65"/>
      <c r="MBQ40" s="65"/>
      <c r="MBR40" s="65"/>
      <c r="MBS40" s="65"/>
      <c r="MBT40" s="65"/>
      <c r="MBU40" s="65"/>
      <c r="MBV40" s="65"/>
      <c r="MBW40" s="65"/>
      <c r="MBX40" s="65"/>
      <c r="MBY40" s="65"/>
      <c r="MBZ40" s="65"/>
      <c r="MCA40" s="65"/>
      <c r="MCB40" s="65"/>
      <c r="MCC40" s="65"/>
      <c r="MCD40" s="65"/>
      <c r="MCE40" s="65"/>
      <c r="MCF40" s="65"/>
      <c r="MCG40" s="65"/>
      <c r="MCH40" s="65"/>
      <c r="MCI40" s="65"/>
      <c r="MCJ40" s="65"/>
      <c r="MCK40" s="65"/>
      <c r="MCL40" s="65"/>
      <c r="MCM40" s="65"/>
      <c r="MCN40" s="65"/>
      <c r="MCO40" s="65"/>
      <c r="MCP40" s="65"/>
      <c r="MCQ40" s="65"/>
      <c r="MCR40" s="65"/>
      <c r="MCS40" s="65"/>
      <c r="MCT40" s="65"/>
      <c r="MCU40" s="65"/>
      <c r="MCV40" s="65"/>
      <c r="MCW40" s="65"/>
      <c r="MCX40" s="65"/>
      <c r="MCY40" s="65"/>
      <c r="MCZ40" s="65"/>
      <c r="MDA40" s="65"/>
      <c r="MDB40" s="65"/>
      <c r="MDC40" s="65"/>
      <c r="MDD40" s="65"/>
      <c r="MDE40" s="65"/>
      <c r="MDF40" s="65"/>
      <c r="MDG40" s="65"/>
      <c r="MDH40" s="65"/>
      <c r="MDI40" s="65"/>
      <c r="MDJ40" s="65"/>
      <c r="MDK40" s="65"/>
      <c r="MDL40" s="65"/>
      <c r="MDM40" s="65"/>
      <c r="MDN40" s="65"/>
      <c r="MDO40" s="65"/>
      <c r="MDP40" s="65"/>
      <c r="MDQ40" s="65"/>
      <c r="MDR40" s="65"/>
      <c r="MDS40" s="65"/>
      <c r="MDT40" s="65"/>
      <c r="MDU40" s="65"/>
      <c r="MDV40" s="65"/>
      <c r="MDW40" s="65"/>
      <c r="MDX40" s="65"/>
      <c r="MDY40" s="65"/>
      <c r="MDZ40" s="65"/>
      <c r="MEA40" s="65"/>
      <c r="MEB40" s="65"/>
      <c r="MEC40" s="65"/>
      <c r="MED40" s="65"/>
      <c r="MEE40" s="65"/>
      <c r="MEF40" s="65"/>
      <c r="MEG40" s="65"/>
      <c r="MEH40" s="65"/>
      <c r="MEI40" s="65"/>
      <c r="MEJ40" s="65"/>
      <c r="MEK40" s="65"/>
      <c r="MEL40" s="65"/>
      <c r="MEM40" s="65"/>
      <c r="MEN40" s="65"/>
      <c r="MEO40" s="65"/>
      <c r="MEP40" s="65"/>
      <c r="MEQ40" s="65"/>
      <c r="MER40" s="65"/>
      <c r="MES40" s="65"/>
      <c r="MET40" s="65"/>
      <c r="MEU40" s="65"/>
      <c r="MEV40" s="65"/>
      <c r="MEW40" s="65"/>
      <c r="MEX40" s="65"/>
      <c r="MEY40" s="65"/>
      <c r="MEZ40" s="65"/>
      <c r="MFA40" s="65"/>
      <c r="MFB40" s="65"/>
      <c r="MFC40" s="65"/>
      <c r="MFD40" s="65"/>
      <c r="MFE40" s="65"/>
      <c r="MFF40" s="65"/>
      <c r="MFG40" s="65"/>
      <c r="MFH40" s="65"/>
      <c r="MFI40" s="65"/>
      <c r="MFJ40" s="65"/>
      <c r="MFK40" s="65"/>
      <c r="MFL40" s="65"/>
      <c r="MFM40" s="65"/>
      <c r="MFN40" s="65"/>
      <c r="MFO40" s="65"/>
      <c r="MFP40" s="65"/>
      <c r="MFQ40" s="65"/>
      <c r="MFR40" s="65"/>
      <c r="MFS40" s="65"/>
      <c r="MFT40" s="65"/>
      <c r="MFU40" s="65"/>
      <c r="MFV40" s="65"/>
      <c r="MFW40" s="65"/>
      <c r="MFX40" s="65"/>
      <c r="MFY40" s="65"/>
      <c r="MFZ40" s="65"/>
      <c r="MGA40" s="65"/>
      <c r="MGB40" s="65"/>
      <c r="MGC40" s="65"/>
      <c r="MGD40" s="65"/>
      <c r="MGE40" s="65"/>
      <c r="MGF40" s="65"/>
      <c r="MGG40" s="65"/>
      <c r="MGH40" s="65"/>
      <c r="MGI40" s="65"/>
      <c r="MGJ40" s="65"/>
      <c r="MGK40" s="65"/>
      <c r="MGL40" s="65"/>
      <c r="MGM40" s="65"/>
      <c r="MGN40" s="65"/>
      <c r="MGO40" s="65"/>
      <c r="MGP40" s="65"/>
      <c r="MGQ40" s="65"/>
      <c r="MGR40" s="65"/>
      <c r="MGS40" s="65"/>
      <c r="MGT40" s="65"/>
      <c r="MGU40" s="65"/>
      <c r="MGV40" s="65"/>
      <c r="MGW40" s="65"/>
      <c r="MGX40" s="65"/>
      <c r="MGY40" s="65"/>
      <c r="MGZ40" s="65"/>
      <c r="MHA40" s="65"/>
      <c r="MHB40" s="65"/>
      <c r="MHC40" s="65"/>
      <c r="MHD40" s="65"/>
      <c r="MHE40" s="65"/>
      <c r="MHF40" s="65"/>
      <c r="MHG40" s="65"/>
      <c r="MHH40" s="65"/>
      <c r="MHI40" s="65"/>
      <c r="MHJ40" s="65"/>
      <c r="MHK40" s="65"/>
      <c r="MHL40" s="65"/>
      <c r="MHM40" s="65"/>
      <c r="MHN40" s="65"/>
      <c r="MHO40" s="65"/>
      <c r="MHP40" s="65"/>
      <c r="MHQ40" s="65"/>
      <c r="MHR40" s="65"/>
      <c r="MHS40" s="65"/>
      <c r="MHT40" s="65"/>
      <c r="MHU40" s="65"/>
      <c r="MHV40" s="65"/>
      <c r="MHW40" s="65"/>
      <c r="MHX40" s="65"/>
      <c r="MHY40" s="65"/>
      <c r="MHZ40" s="65"/>
      <c r="MIA40" s="65"/>
      <c r="MIB40" s="65"/>
      <c r="MIC40" s="65"/>
      <c r="MID40" s="65"/>
      <c r="MIE40" s="65"/>
      <c r="MIF40" s="65"/>
      <c r="MIG40" s="65"/>
      <c r="MIH40" s="65"/>
      <c r="MII40" s="65"/>
      <c r="MIJ40" s="65"/>
      <c r="MIK40" s="65"/>
      <c r="MIL40" s="65"/>
      <c r="MIM40" s="65"/>
      <c r="MIN40" s="65"/>
      <c r="MIO40" s="65"/>
      <c r="MIP40" s="65"/>
      <c r="MIQ40" s="65"/>
      <c r="MIR40" s="65"/>
      <c r="MIS40" s="65"/>
      <c r="MIT40" s="65"/>
      <c r="MIU40" s="65"/>
      <c r="MIV40" s="65"/>
      <c r="MIW40" s="65"/>
      <c r="MIX40" s="65"/>
      <c r="MIY40" s="65"/>
      <c r="MIZ40" s="65"/>
      <c r="MJA40" s="65"/>
      <c r="MJB40" s="65"/>
      <c r="MJC40" s="65"/>
      <c r="MJD40" s="65"/>
      <c r="MJE40" s="65"/>
      <c r="MJF40" s="65"/>
      <c r="MJG40" s="65"/>
      <c r="MJH40" s="65"/>
      <c r="MJI40" s="65"/>
      <c r="MJJ40" s="65"/>
      <c r="MJK40" s="65"/>
      <c r="MJL40" s="65"/>
      <c r="MJM40" s="65"/>
      <c r="MJN40" s="65"/>
      <c r="MJO40" s="65"/>
      <c r="MJP40" s="65"/>
      <c r="MJQ40" s="65"/>
      <c r="MJR40" s="65"/>
      <c r="MJS40" s="65"/>
      <c r="MJT40" s="65"/>
      <c r="MJU40" s="65"/>
      <c r="MJV40" s="65"/>
      <c r="MJW40" s="65"/>
      <c r="MJX40" s="65"/>
      <c r="MJY40" s="65"/>
      <c r="MJZ40" s="65"/>
      <c r="MKA40" s="65"/>
      <c r="MKB40" s="65"/>
      <c r="MKC40" s="65"/>
      <c r="MKD40" s="65"/>
      <c r="MKE40" s="65"/>
      <c r="MKF40" s="65"/>
      <c r="MKG40" s="65"/>
      <c r="MKH40" s="65"/>
      <c r="MKI40" s="65"/>
      <c r="MKJ40" s="65"/>
      <c r="MKK40" s="65"/>
      <c r="MKL40" s="65"/>
      <c r="MKM40" s="65"/>
      <c r="MKN40" s="65"/>
      <c r="MKO40" s="65"/>
      <c r="MKP40" s="65"/>
      <c r="MKQ40" s="65"/>
      <c r="MKR40" s="65"/>
      <c r="MKS40" s="65"/>
      <c r="MKT40" s="65"/>
      <c r="MKU40" s="65"/>
      <c r="MKV40" s="65"/>
      <c r="MKW40" s="65"/>
      <c r="MKX40" s="65"/>
      <c r="MKY40" s="65"/>
      <c r="MKZ40" s="65"/>
      <c r="MLA40" s="65"/>
      <c r="MLB40" s="65"/>
      <c r="MLC40" s="65"/>
      <c r="MLD40" s="65"/>
      <c r="MLE40" s="65"/>
      <c r="MLF40" s="65"/>
      <c r="MLG40" s="65"/>
      <c r="MLH40" s="65"/>
      <c r="MLI40" s="65"/>
      <c r="MLJ40" s="65"/>
      <c r="MLK40" s="65"/>
      <c r="MLL40" s="65"/>
      <c r="MLM40" s="65"/>
      <c r="MLN40" s="65"/>
      <c r="MLO40" s="65"/>
      <c r="MLP40" s="65"/>
      <c r="MLQ40" s="65"/>
      <c r="MLR40" s="65"/>
      <c r="MLS40" s="65"/>
      <c r="MLT40" s="65"/>
      <c r="MLU40" s="65"/>
      <c r="MLV40" s="65"/>
      <c r="MLW40" s="65"/>
      <c r="MLX40" s="65"/>
      <c r="MLY40" s="65"/>
      <c r="MLZ40" s="65"/>
      <c r="MMA40" s="65"/>
      <c r="MMB40" s="65"/>
      <c r="MMC40" s="65"/>
      <c r="MMD40" s="65"/>
      <c r="MME40" s="65"/>
      <c r="MMF40" s="65"/>
      <c r="MMG40" s="65"/>
      <c r="MMH40" s="65"/>
      <c r="MMI40" s="65"/>
      <c r="MMJ40" s="65"/>
      <c r="MMK40" s="65"/>
      <c r="MML40" s="65"/>
      <c r="MMM40" s="65"/>
      <c r="MMN40" s="65"/>
      <c r="MMO40" s="65"/>
      <c r="MMP40" s="65"/>
      <c r="MMQ40" s="65"/>
      <c r="MMR40" s="65"/>
      <c r="MMS40" s="65"/>
      <c r="MMT40" s="65"/>
      <c r="MMU40" s="65"/>
      <c r="MMV40" s="65"/>
      <c r="MMW40" s="65"/>
      <c r="MMX40" s="65"/>
      <c r="MMY40" s="65"/>
      <c r="MMZ40" s="65"/>
      <c r="MNA40" s="65"/>
      <c r="MNB40" s="65"/>
      <c r="MNC40" s="65"/>
      <c r="MND40" s="65"/>
      <c r="MNE40" s="65"/>
      <c r="MNF40" s="65"/>
      <c r="MNG40" s="65"/>
      <c r="MNH40" s="65"/>
      <c r="MNI40" s="65"/>
      <c r="MNJ40" s="65"/>
      <c r="MNK40" s="65"/>
      <c r="MNL40" s="65"/>
      <c r="MNM40" s="65"/>
      <c r="MNN40" s="65"/>
      <c r="MNO40" s="65"/>
      <c r="MNP40" s="65"/>
      <c r="MNQ40" s="65"/>
      <c r="MNR40" s="65"/>
      <c r="MNS40" s="65"/>
      <c r="MNT40" s="65"/>
      <c r="MNU40" s="65"/>
      <c r="MNV40" s="65"/>
      <c r="MNW40" s="65"/>
      <c r="MNX40" s="65"/>
      <c r="MNY40" s="65"/>
      <c r="MNZ40" s="65"/>
      <c r="MOA40" s="65"/>
      <c r="MOB40" s="65"/>
      <c r="MOC40" s="65"/>
      <c r="MOD40" s="65"/>
      <c r="MOE40" s="65"/>
      <c r="MOF40" s="65"/>
      <c r="MOG40" s="65"/>
      <c r="MOH40" s="65"/>
      <c r="MOI40" s="65"/>
      <c r="MOJ40" s="65"/>
      <c r="MOK40" s="65"/>
      <c r="MOL40" s="65"/>
      <c r="MOM40" s="65"/>
      <c r="MON40" s="65"/>
      <c r="MOO40" s="65"/>
      <c r="MOP40" s="65"/>
      <c r="MOQ40" s="65"/>
      <c r="MOR40" s="65"/>
      <c r="MOS40" s="65"/>
      <c r="MOT40" s="65"/>
      <c r="MOU40" s="65"/>
      <c r="MOV40" s="65"/>
      <c r="MOW40" s="65"/>
      <c r="MOX40" s="65"/>
      <c r="MOY40" s="65"/>
      <c r="MOZ40" s="65"/>
      <c r="MPA40" s="65"/>
      <c r="MPB40" s="65"/>
      <c r="MPC40" s="65"/>
      <c r="MPD40" s="65"/>
      <c r="MPE40" s="65"/>
      <c r="MPF40" s="65"/>
      <c r="MPG40" s="65"/>
      <c r="MPH40" s="65"/>
      <c r="MPI40" s="65"/>
      <c r="MPJ40" s="65"/>
      <c r="MPK40" s="65"/>
      <c r="MPL40" s="65"/>
      <c r="MPM40" s="65"/>
      <c r="MPN40" s="65"/>
      <c r="MPO40" s="65"/>
      <c r="MPP40" s="65"/>
      <c r="MPQ40" s="65"/>
      <c r="MPR40" s="65"/>
      <c r="MPS40" s="65"/>
      <c r="MPT40" s="65"/>
      <c r="MPU40" s="65"/>
      <c r="MPV40" s="65"/>
      <c r="MPW40" s="65"/>
      <c r="MPX40" s="65"/>
      <c r="MPY40" s="65"/>
      <c r="MPZ40" s="65"/>
      <c r="MQA40" s="65"/>
      <c r="MQB40" s="65"/>
      <c r="MQC40" s="65"/>
      <c r="MQD40" s="65"/>
      <c r="MQE40" s="65"/>
      <c r="MQF40" s="65"/>
      <c r="MQG40" s="65"/>
      <c r="MQH40" s="65"/>
      <c r="MQI40" s="65"/>
      <c r="MQJ40" s="65"/>
      <c r="MQK40" s="65"/>
      <c r="MQL40" s="65"/>
      <c r="MQM40" s="65"/>
      <c r="MQN40" s="65"/>
      <c r="MQO40" s="65"/>
      <c r="MQP40" s="65"/>
      <c r="MQQ40" s="65"/>
      <c r="MQR40" s="65"/>
      <c r="MQS40" s="65"/>
      <c r="MQT40" s="65"/>
      <c r="MQU40" s="65"/>
      <c r="MQV40" s="65"/>
      <c r="MQW40" s="65"/>
      <c r="MQX40" s="65"/>
      <c r="MQY40" s="65"/>
      <c r="MQZ40" s="65"/>
      <c r="MRA40" s="65"/>
      <c r="MRB40" s="65"/>
      <c r="MRC40" s="65"/>
      <c r="MRD40" s="65"/>
      <c r="MRE40" s="65"/>
      <c r="MRF40" s="65"/>
      <c r="MRG40" s="65"/>
      <c r="MRH40" s="65"/>
      <c r="MRI40" s="65"/>
      <c r="MRJ40" s="65"/>
      <c r="MRK40" s="65"/>
      <c r="MRL40" s="65"/>
      <c r="MRM40" s="65"/>
      <c r="MRN40" s="65"/>
      <c r="MRO40" s="65"/>
      <c r="MRP40" s="65"/>
      <c r="MRQ40" s="65"/>
      <c r="MRR40" s="65"/>
      <c r="MRS40" s="65"/>
      <c r="MRT40" s="65"/>
      <c r="MRU40" s="65"/>
      <c r="MRV40" s="65"/>
      <c r="MRW40" s="65"/>
      <c r="MRX40" s="65"/>
      <c r="MRY40" s="65"/>
      <c r="MRZ40" s="65"/>
      <c r="MSA40" s="65"/>
      <c r="MSB40" s="65"/>
      <c r="MSC40" s="65"/>
      <c r="MSD40" s="65"/>
      <c r="MSE40" s="65"/>
      <c r="MSF40" s="65"/>
      <c r="MSG40" s="65"/>
      <c r="MSH40" s="65"/>
      <c r="MSI40" s="65"/>
      <c r="MSJ40" s="65"/>
      <c r="MSK40" s="65"/>
      <c r="MSL40" s="65"/>
      <c r="MSM40" s="65"/>
      <c r="MSN40" s="65"/>
      <c r="MSO40" s="65"/>
      <c r="MSP40" s="65"/>
      <c r="MSQ40" s="65"/>
      <c r="MSR40" s="65"/>
      <c r="MSS40" s="65"/>
      <c r="MST40" s="65"/>
      <c r="MSU40" s="65"/>
      <c r="MSV40" s="65"/>
      <c r="MSW40" s="65"/>
      <c r="MSX40" s="65"/>
      <c r="MSY40" s="65"/>
      <c r="MSZ40" s="65"/>
      <c r="MTA40" s="65"/>
      <c r="MTB40" s="65"/>
      <c r="MTC40" s="65"/>
      <c r="MTD40" s="65"/>
      <c r="MTE40" s="65"/>
      <c r="MTF40" s="65"/>
      <c r="MTG40" s="65"/>
      <c r="MTH40" s="65"/>
      <c r="MTI40" s="65"/>
      <c r="MTJ40" s="65"/>
      <c r="MTK40" s="65"/>
      <c r="MTL40" s="65"/>
      <c r="MTM40" s="65"/>
      <c r="MTN40" s="65"/>
      <c r="MTO40" s="65"/>
      <c r="MTP40" s="65"/>
      <c r="MTQ40" s="65"/>
      <c r="MTR40" s="65"/>
      <c r="MTS40" s="65"/>
      <c r="MTT40" s="65"/>
      <c r="MTU40" s="65"/>
      <c r="MTV40" s="65"/>
      <c r="MTW40" s="65"/>
      <c r="MTX40" s="65"/>
      <c r="MTY40" s="65"/>
      <c r="MTZ40" s="65"/>
      <c r="MUA40" s="65"/>
      <c r="MUB40" s="65"/>
      <c r="MUC40" s="65"/>
      <c r="MUD40" s="65"/>
      <c r="MUE40" s="65"/>
      <c r="MUF40" s="65"/>
      <c r="MUG40" s="65"/>
      <c r="MUH40" s="65"/>
      <c r="MUI40" s="65"/>
      <c r="MUJ40" s="65"/>
      <c r="MUK40" s="65"/>
      <c r="MUL40" s="65"/>
      <c r="MUM40" s="65"/>
      <c r="MUN40" s="65"/>
      <c r="MUO40" s="65"/>
      <c r="MUP40" s="65"/>
      <c r="MUQ40" s="65"/>
      <c r="MUR40" s="65"/>
      <c r="MUS40" s="65"/>
      <c r="MUT40" s="65"/>
      <c r="MUU40" s="65"/>
      <c r="MUV40" s="65"/>
      <c r="MUW40" s="65"/>
      <c r="MUX40" s="65"/>
      <c r="MUY40" s="65"/>
      <c r="MUZ40" s="65"/>
      <c r="MVA40" s="65"/>
      <c r="MVB40" s="65"/>
      <c r="MVC40" s="65"/>
      <c r="MVD40" s="65"/>
      <c r="MVE40" s="65"/>
      <c r="MVF40" s="65"/>
      <c r="MVG40" s="65"/>
      <c r="MVH40" s="65"/>
      <c r="MVI40" s="65"/>
      <c r="MVJ40" s="65"/>
      <c r="MVK40" s="65"/>
      <c r="MVL40" s="65"/>
      <c r="MVM40" s="65"/>
      <c r="MVN40" s="65"/>
      <c r="MVO40" s="65"/>
      <c r="MVP40" s="65"/>
      <c r="MVQ40" s="65"/>
      <c r="MVR40" s="65"/>
      <c r="MVS40" s="65"/>
      <c r="MVT40" s="65"/>
      <c r="MVU40" s="65"/>
      <c r="MVV40" s="65"/>
      <c r="MVW40" s="65"/>
      <c r="MVX40" s="65"/>
      <c r="MVY40" s="65"/>
      <c r="MVZ40" s="65"/>
      <c r="MWA40" s="65"/>
      <c r="MWB40" s="65"/>
      <c r="MWC40" s="65"/>
      <c r="MWD40" s="65"/>
      <c r="MWE40" s="65"/>
      <c r="MWF40" s="65"/>
      <c r="MWG40" s="65"/>
      <c r="MWH40" s="65"/>
      <c r="MWI40" s="65"/>
      <c r="MWJ40" s="65"/>
      <c r="MWK40" s="65"/>
      <c r="MWL40" s="65"/>
      <c r="MWM40" s="65"/>
      <c r="MWN40" s="65"/>
      <c r="MWO40" s="65"/>
      <c r="MWP40" s="65"/>
      <c r="MWQ40" s="65"/>
      <c r="MWR40" s="65"/>
      <c r="MWS40" s="65"/>
      <c r="MWT40" s="65"/>
      <c r="MWU40" s="65"/>
      <c r="MWV40" s="65"/>
      <c r="MWW40" s="65"/>
      <c r="MWX40" s="65"/>
      <c r="MWY40" s="65"/>
      <c r="MWZ40" s="65"/>
      <c r="MXA40" s="65"/>
      <c r="MXB40" s="65"/>
      <c r="MXC40" s="65"/>
      <c r="MXD40" s="65"/>
      <c r="MXE40" s="65"/>
      <c r="MXF40" s="65"/>
      <c r="MXG40" s="65"/>
      <c r="MXH40" s="65"/>
      <c r="MXI40" s="65"/>
      <c r="MXJ40" s="65"/>
      <c r="MXK40" s="65"/>
      <c r="MXL40" s="65"/>
      <c r="MXM40" s="65"/>
      <c r="MXN40" s="65"/>
      <c r="MXO40" s="65"/>
      <c r="MXP40" s="65"/>
      <c r="MXQ40" s="65"/>
      <c r="MXR40" s="65"/>
      <c r="MXS40" s="65"/>
      <c r="MXT40" s="65"/>
      <c r="MXU40" s="65"/>
      <c r="MXV40" s="65"/>
      <c r="MXW40" s="65"/>
      <c r="MXX40" s="65"/>
      <c r="MXY40" s="65"/>
      <c r="MXZ40" s="65"/>
      <c r="MYA40" s="65"/>
      <c r="MYB40" s="65"/>
      <c r="MYC40" s="65"/>
      <c r="MYD40" s="65"/>
      <c r="MYE40" s="65"/>
      <c r="MYF40" s="65"/>
      <c r="MYG40" s="65"/>
      <c r="MYH40" s="65"/>
      <c r="MYI40" s="65"/>
      <c r="MYJ40" s="65"/>
      <c r="MYK40" s="65"/>
      <c r="MYL40" s="65"/>
      <c r="MYM40" s="65"/>
      <c r="MYN40" s="65"/>
      <c r="MYO40" s="65"/>
      <c r="MYP40" s="65"/>
      <c r="MYQ40" s="65"/>
      <c r="MYR40" s="65"/>
      <c r="MYS40" s="65"/>
      <c r="MYT40" s="65"/>
      <c r="MYU40" s="65"/>
      <c r="MYV40" s="65"/>
      <c r="MYW40" s="65"/>
      <c r="MYX40" s="65"/>
      <c r="MYY40" s="65"/>
      <c r="MYZ40" s="65"/>
      <c r="MZA40" s="65"/>
      <c r="MZB40" s="65"/>
      <c r="MZC40" s="65"/>
      <c r="MZD40" s="65"/>
      <c r="MZE40" s="65"/>
      <c r="MZF40" s="65"/>
      <c r="MZG40" s="65"/>
      <c r="MZH40" s="65"/>
      <c r="MZI40" s="65"/>
      <c r="MZJ40" s="65"/>
      <c r="MZK40" s="65"/>
      <c r="MZL40" s="65"/>
      <c r="MZM40" s="65"/>
      <c r="MZN40" s="65"/>
      <c r="MZO40" s="65"/>
      <c r="MZP40" s="65"/>
      <c r="MZQ40" s="65"/>
      <c r="MZR40" s="65"/>
      <c r="MZS40" s="65"/>
      <c r="MZT40" s="65"/>
      <c r="MZU40" s="65"/>
      <c r="MZV40" s="65"/>
      <c r="MZW40" s="65"/>
      <c r="MZX40" s="65"/>
      <c r="MZY40" s="65"/>
      <c r="MZZ40" s="65"/>
      <c r="NAA40" s="65"/>
      <c r="NAB40" s="65"/>
      <c r="NAC40" s="65"/>
      <c r="NAD40" s="65"/>
      <c r="NAE40" s="65"/>
      <c r="NAF40" s="65"/>
      <c r="NAG40" s="65"/>
      <c r="NAH40" s="65"/>
      <c r="NAI40" s="65"/>
      <c r="NAJ40" s="65"/>
      <c r="NAK40" s="65"/>
      <c r="NAL40" s="65"/>
      <c r="NAM40" s="65"/>
      <c r="NAN40" s="65"/>
      <c r="NAO40" s="65"/>
      <c r="NAP40" s="65"/>
      <c r="NAQ40" s="65"/>
      <c r="NAR40" s="65"/>
      <c r="NAS40" s="65"/>
      <c r="NAT40" s="65"/>
      <c r="NAU40" s="65"/>
      <c r="NAV40" s="65"/>
      <c r="NAW40" s="65"/>
      <c r="NAX40" s="65"/>
      <c r="NAY40" s="65"/>
      <c r="NAZ40" s="65"/>
      <c r="NBA40" s="65"/>
      <c r="NBB40" s="65"/>
      <c r="NBC40" s="65"/>
      <c r="NBD40" s="65"/>
      <c r="NBE40" s="65"/>
      <c r="NBF40" s="65"/>
      <c r="NBG40" s="65"/>
      <c r="NBH40" s="65"/>
      <c r="NBI40" s="65"/>
      <c r="NBJ40" s="65"/>
      <c r="NBK40" s="65"/>
      <c r="NBL40" s="65"/>
      <c r="NBM40" s="65"/>
      <c r="NBN40" s="65"/>
      <c r="NBO40" s="65"/>
      <c r="NBP40" s="65"/>
      <c r="NBQ40" s="65"/>
      <c r="NBR40" s="65"/>
      <c r="NBS40" s="65"/>
      <c r="NBT40" s="65"/>
      <c r="NBU40" s="65"/>
      <c r="NBV40" s="65"/>
      <c r="NBW40" s="65"/>
      <c r="NBX40" s="65"/>
      <c r="NBY40" s="65"/>
      <c r="NBZ40" s="65"/>
      <c r="NCA40" s="65"/>
      <c r="NCB40" s="65"/>
      <c r="NCC40" s="65"/>
      <c r="NCD40" s="65"/>
      <c r="NCE40" s="65"/>
      <c r="NCF40" s="65"/>
      <c r="NCG40" s="65"/>
      <c r="NCH40" s="65"/>
      <c r="NCI40" s="65"/>
      <c r="NCJ40" s="65"/>
      <c r="NCK40" s="65"/>
      <c r="NCL40" s="65"/>
      <c r="NCM40" s="65"/>
      <c r="NCN40" s="65"/>
      <c r="NCO40" s="65"/>
      <c r="NCP40" s="65"/>
      <c r="NCQ40" s="65"/>
      <c r="NCR40" s="65"/>
      <c r="NCS40" s="65"/>
      <c r="NCT40" s="65"/>
      <c r="NCU40" s="65"/>
      <c r="NCV40" s="65"/>
      <c r="NCW40" s="65"/>
      <c r="NCX40" s="65"/>
      <c r="NCY40" s="65"/>
      <c r="NCZ40" s="65"/>
      <c r="NDA40" s="65"/>
      <c r="NDB40" s="65"/>
      <c r="NDC40" s="65"/>
      <c r="NDD40" s="65"/>
      <c r="NDE40" s="65"/>
      <c r="NDF40" s="65"/>
      <c r="NDG40" s="65"/>
      <c r="NDH40" s="65"/>
      <c r="NDI40" s="65"/>
      <c r="NDJ40" s="65"/>
      <c r="NDK40" s="65"/>
      <c r="NDL40" s="65"/>
      <c r="NDM40" s="65"/>
      <c r="NDN40" s="65"/>
      <c r="NDO40" s="65"/>
      <c r="NDP40" s="65"/>
      <c r="NDQ40" s="65"/>
      <c r="NDR40" s="65"/>
      <c r="NDS40" s="65"/>
      <c r="NDT40" s="65"/>
      <c r="NDU40" s="65"/>
      <c r="NDV40" s="65"/>
      <c r="NDW40" s="65"/>
      <c r="NDX40" s="65"/>
      <c r="NDY40" s="65"/>
      <c r="NDZ40" s="65"/>
      <c r="NEA40" s="65"/>
      <c r="NEB40" s="65"/>
      <c r="NEC40" s="65"/>
      <c r="NED40" s="65"/>
      <c r="NEE40" s="65"/>
      <c r="NEF40" s="65"/>
      <c r="NEG40" s="65"/>
      <c r="NEH40" s="65"/>
      <c r="NEI40" s="65"/>
      <c r="NEJ40" s="65"/>
      <c r="NEK40" s="65"/>
      <c r="NEL40" s="65"/>
      <c r="NEM40" s="65"/>
      <c r="NEN40" s="65"/>
      <c r="NEO40" s="65"/>
      <c r="NEP40" s="65"/>
      <c r="NEQ40" s="65"/>
      <c r="NER40" s="65"/>
      <c r="NES40" s="65"/>
      <c r="NET40" s="65"/>
      <c r="NEU40" s="65"/>
      <c r="NEV40" s="65"/>
      <c r="NEW40" s="65"/>
      <c r="NEX40" s="65"/>
      <c r="NEY40" s="65"/>
      <c r="NEZ40" s="65"/>
      <c r="NFA40" s="65"/>
      <c r="NFB40" s="65"/>
      <c r="NFC40" s="65"/>
      <c r="NFD40" s="65"/>
      <c r="NFE40" s="65"/>
      <c r="NFF40" s="65"/>
      <c r="NFG40" s="65"/>
      <c r="NFH40" s="65"/>
      <c r="NFI40" s="65"/>
      <c r="NFJ40" s="65"/>
      <c r="NFK40" s="65"/>
      <c r="NFL40" s="65"/>
      <c r="NFM40" s="65"/>
      <c r="NFN40" s="65"/>
      <c r="NFO40" s="65"/>
      <c r="NFP40" s="65"/>
      <c r="NFQ40" s="65"/>
      <c r="NFR40" s="65"/>
      <c r="NFS40" s="65"/>
      <c r="NFT40" s="65"/>
      <c r="NFU40" s="65"/>
      <c r="NFV40" s="65"/>
      <c r="NFW40" s="65"/>
      <c r="NFX40" s="65"/>
      <c r="NFY40" s="65"/>
      <c r="NFZ40" s="65"/>
      <c r="NGA40" s="65"/>
      <c r="NGB40" s="65"/>
      <c r="NGC40" s="65"/>
      <c r="NGD40" s="65"/>
      <c r="NGE40" s="65"/>
      <c r="NGF40" s="65"/>
      <c r="NGG40" s="65"/>
      <c r="NGH40" s="65"/>
      <c r="NGI40" s="65"/>
      <c r="NGJ40" s="65"/>
      <c r="NGK40" s="65"/>
      <c r="NGL40" s="65"/>
      <c r="NGM40" s="65"/>
      <c r="NGN40" s="65"/>
      <c r="NGO40" s="65"/>
      <c r="NGP40" s="65"/>
      <c r="NGQ40" s="65"/>
      <c r="NGR40" s="65"/>
      <c r="NGS40" s="65"/>
      <c r="NGT40" s="65"/>
      <c r="NGU40" s="65"/>
      <c r="NGV40" s="65"/>
      <c r="NGW40" s="65"/>
      <c r="NGX40" s="65"/>
      <c r="NGY40" s="65"/>
      <c r="NGZ40" s="65"/>
      <c r="NHA40" s="65"/>
      <c r="NHB40" s="65"/>
      <c r="NHC40" s="65"/>
      <c r="NHD40" s="65"/>
      <c r="NHE40" s="65"/>
      <c r="NHF40" s="65"/>
      <c r="NHG40" s="65"/>
      <c r="NHH40" s="65"/>
      <c r="NHI40" s="65"/>
      <c r="NHJ40" s="65"/>
      <c r="NHK40" s="65"/>
      <c r="NHL40" s="65"/>
      <c r="NHM40" s="65"/>
      <c r="NHN40" s="65"/>
      <c r="NHO40" s="65"/>
      <c r="NHP40" s="65"/>
      <c r="NHQ40" s="65"/>
      <c r="NHR40" s="65"/>
      <c r="NHS40" s="65"/>
      <c r="NHT40" s="65"/>
      <c r="NHU40" s="65"/>
      <c r="NHV40" s="65"/>
      <c r="NHW40" s="65"/>
      <c r="NHX40" s="65"/>
      <c r="NHY40" s="65"/>
      <c r="NHZ40" s="65"/>
      <c r="NIA40" s="65"/>
      <c r="NIB40" s="65"/>
      <c r="NIC40" s="65"/>
      <c r="NID40" s="65"/>
      <c r="NIE40" s="65"/>
      <c r="NIF40" s="65"/>
      <c r="NIG40" s="65"/>
      <c r="NIH40" s="65"/>
      <c r="NII40" s="65"/>
      <c r="NIJ40" s="65"/>
      <c r="NIK40" s="65"/>
      <c r="NIL40" s="65"/>
      <c r="NIM40" s="65"/>
      <c r="NIN40" s="65"/>
      <c r="NIO40" s="65"/>
      <c r="NIP40" s="65"/>
      <c r="NIQ40" s="65"/>
      <c r="NIR40" s="65"/>
      <c r="NIS40" s="65"/>
      <c r="NIT40" s="65"/>
      <c r="NIU40" s="65"/>
      <c r="NIV40" s="65"/>
      <c r="NIW40" s="65"/>
      <c r="NIX40" s="65"/>
      <c r="NIY40" s="65"/>
      <c r="NIZ40" s="65"/>
      <c r="NJA40" s="65"/>
      <c r="NJB40" s="65"/>
      <c r="NJC40" s="65"/>
      <c r="NJD40" s="65"/>
      <c r="NJE40" s="65"/>
      <c r="NJF40" s="65"/>
      <c r="NJG40" s="65"/>
      <c r="NJH40" s="65"/>
      <c r="NJI40" s="65"/>
      <c r="NJJ40" s="65"/>
      <c r="NJK40" s="65"/>
      <c r="NJL40" s="65"/>
      <c r="NJM40" s="65"/>
      <c r="NJN40" s="65"/>
      <c r="NJO40" s="65"/>
      <c r="NJP40" s="65"/>
      <c r="NJQ40" s="65"/>
      <c r="NJR40" s="65"/>
      <c r="NJS40" s="65"/>
      <c r="NJT40" s="65"/>
      <c r="NJU40" s="65"/>
      <c r="NJV40" s="65"/>
      <c r="NJW40" s="65"/>
      <c r="NJX40" s="65"/>
      <c r="NJY40" s="65"/>
      <c r="NJZ40" s="65"/>
      <c r="NKA40" s="65"/>
      <c r="NKB40" s="65"/>
      <c r="NKC40" s="65"/>
      <c r="NKD40" s="65"/>
      <c r="NKE40" s="65"/>
      <c r="NKF40" s="65"/>
      <c r="NKG40" s="65"/>
      <c r="NKH40" s="65"/>
      <c r="NKI40" s="65"/>
      <c r="NKJ40" s="65"/>
      <c r="NKK40" s="65"/>
      <c r="NKL40" s="65"/>
      <c r="NKM40" s="65"/>
      <c r="NKN40" s="65"/>
      <c r="NKO40" s="65"/>
      <c r="NKP40" s="65"/>
      <c r="NKQ40" s="65"/>
      <c r="NKR40" s="65"/>
      <c r="NKS40" s="65"/>
      <c r="NKT40" s="65"/>
      <c r="NKU40" s="65"/>
      <c r="NKV40" s="65"/>
      <c r="NKW40" s="65"/>
      <c r="NKX40" s="65"/>
      <c r="NKY40" s="65"/>
      <c r="NKZ40" s="65"/>
      <c r="NLA40" s="65"/>
      <c r="NLB40" s="65"/>
      <c r="NLC40" s="65"/>
      <c r="NLD40" s="65"/>
      <c r="NLE40" s="65"/>
      <c r="NLF40" s="65"/>
      <c r="NLG40" s="65"/>
      <c r="NLH40" s="65"/>
      <c r="NLI40" s="65"/>
      <c r="NLJ40" s="65"/>
      <c r="NLK40" s="65"/>
      <c r="NLL40" s="65"/>
      <c r="NLM40" s="65"/>
      <c r="NLN40" s="65"/>
      <c r="NLO40" s="65"/>
      <c r="NLP40" s="65"/>
      <c r="NLQ40" s="65"/>
      <c r="NLR40" s="65"/>
      <c r="NLS40" s="65"/>
      <c r="NLT40" s="65"/>
      <c r="NLU40" s="65"/>
      <c r="NLV40" s="65"/>
      <c r="NLW40" s="65"/>
      <c r="NLX40" s="65"/>
      <c r="NLY40" s="65"/>
      <c r="NLZ40" s="65"/>
      <c r="NMA40" s="65"/>
      <c r="NMB40" s="65"/>
      <c r="NMC40" s="65"/>
      <c r="NMD40" s="65"/>
      <c r="NME40" s="65"/>
      <c r="NMF40" s="65"/>
      <c r="NMG40" s="65"/>
      <c r="NMH40" s="65"/>
      <c r="NMI40" s="65"/>
      <c r="NMJ40" s="65"/>
      <c r="NMK40" s="65"/>
      <c r="NML40" s="65"/>
      <c r="NMM40" s="65"/>
      <c r="NMN40" s="65"/>
      <c r="NMO40" s="65"/>
      <c r="NMP40" s="65"/>
      <c r="NMQ40" s="65"/>
      <c r="NMR40" s="65"/>
      <c r="NMS40" s="65"/>
      <c r="NMT40" s="65"/>
      <c r="NMU40" s="65"/>
      <c r="NMV40" s="65"/>
      <c r="NMW40" s="65"/>
      <c r="NMX40" s="65"/>
      <c r="NMY40" s="65"/>
      <c r="NMZ40" s="65"/>
      <c r="NNA40" s="65"/>
      <c r="NNB40" s="65"/>
      <c r="NNC40" s="65"/>
      <c r="NND40" s="65"/>
      <c r="NNE40" s="65"/>
      <c r="NNF40" s="65"/>
      <c r="NNG40" s="65"/>
      <c r="NNH40" s="65"/>
      <c r="NNI40" s="65"/>
      <c r="NNJ40" s="65"/>
      <c r="NNK40" s="65"/>
      <c r="NNL40" s="65"/>
      <c r="NNM40" s="65"/>
      <c r="NNN40" s="65"/>
      <c r="NNO40" s="65"/>
      <c r="NNP40" s="65"/>
      <c r="NNQ40" s="65"/>
      <c r="NNR40" s="65"/>
      <c r="NNS40" s="65"/>
      <c r="NNT40" s="65"/>
      <c r="NNU40" s="65"/>
      <c r="NNV40" s="65"/>
      <c r="NNW40" s="65"/>
      <c r="NNX40" s="65"/>
      <c r="NNY40" s="65"/>
      <c r="NNZ40" s="65"/>
      <c r="NOA40" s="65"/>
      <c r="NOB40" s="65"/>
      <c r="NOC40" s="65"/>
      <c r="NOD40" s="65"/>
      <c r="NOE40" s="65"/>
      <c r="NOF40" s="65"/>
      <c r="NOG40" s="65"/>
      <c r="NOH40" s="65"/>
      <c r="NOI40" s="65"/>
      <c r="NOJ40" s="65"/>
      <c r="NOK40" s="65"/>
      <c r="NOL40" s="65"/>
      <c r="NOM40" s="65"/>
      <c r="NON40" s="65"/>
      <c r="NOO40" s="65"/>
      <c r="NOP40" s="65"/>
      <c r="NOQ40" s="65"/>
      <c r="NOR40" s="65"/>
      <c r="NOS40" s="65"/>
      <c r="NOT40" s="65"/>
      <c r="NOU40" s="65"/>
      <c r="NOV40" s="65"/>
      <c r="NOW40" s="65"/>
      <c r="NOX40" s="65"/>
      <c r="NOY40" s="65"/>
      <c r="NOZ40" s="65"/>
      <c r="NPA40" s="65"/>
      <c r="NPB40" s="65"/>
      <c r="NPC40" s="65"/>
      <c r="NPD40" s="65"/>
      <c r="NPE40" s="65"/>
      <c r="NPF40" s="65"/>
      <c r="NPG40" s="65"/>
      <c r="NPH40" s="65"/>
      <c r="NPI40" s="65"/>
      <c r="NPJ40" s="65"/>
      <c r="NPK40" s="65"/>
      <c r="NPL40" s="65"/>
      <c r="NPM40" s="65"/>
      <c r="NPN40" s="65"/>
      <c r="NPO40" s="65"/>
      <c r="NPP40" s="65"/>
      <c r="NPQ40" s="65"/>
      <c r="NPR40" s="65"/>
      <c r="NPS40" s="65"/>
      <c r="NPT40" s="65"/>
      <c r="NPU40" s="65"/>
      <c r="NPV40" s="65"/>
      <c r="NPW40" s="65"/>
      <c r="NPX40" s="65"/>
      <c r="NPY40" s="65"/>
      <c r="NPZ40" s="65"/>
      <c r="NQA40" s="65"/>
      <c r="NQB40" s="65"/>
      <c r="NQC40" s="65"/>
      <c r="NQD40" s="65"/>
      <c r="NQE40" s="65"/>
      <c r="NQF40" s="65"/>
      <c r="NQG40" s="65"/>
      <c r="NQH40" s="65"/>
      <c r="NQI40" s="65"/>
      <c r="NQJ40" s="65"/>
      <c r="NQK40" s="65"/>
      <c r="NQL40" s="65"/>
      <c r="NQM40" s="65"/>
      <c r="NQN40" s="65"/>
      <c r="NQO40" s="65"/>
      <c r="NQP40" s="65"/>
      <c r="NQQ40" s="65"/>
      <c r="NQR40" s="65"/>
      <c r="NQS40" s="65"/>
      <c r="NQT40" s="65"/>
      <c r="NQU40" s="65"/>
      <c r="NQV40" s="65"/>
      <c r="NQW40" s="65"/>
      <c r="NQX40" s="65"/>
      <c r="NQY40" s="65"/>
      <c r="NQZ40" s="65"/>
      <c r="NRA40" s="65"/>
      <c r="NRB40" s="65"/>
      <c r="NRC40" s="65"/>
      <c r="NRD40" s="65"/>
      <c r="NRE40" s="65"/>
      <c r="NRF40" s="65"/>
      <c r="NRG40" s="65"/>
      <c r="NRH40" s="65"/>
      <c r="NRI40" s="65"/>
      <c r="NRJ40" s="65"/>
      <c r="NRK40" s="65"/>
      <c r="NRL40" s="65"/>
      <c r="NRM40" s="65"/>
      <c r="NRN40" s="65"/>
      <c r="NRO40" s="65"/>
      <c r="NRP40" s="65"/>
      <c r="NRQ40" s="65"/>
      <c r="NRR40" s="65"/>
      <c r="NRS40" s="65"/>
      <c r="NRT40" s="65"/>
      <c r="NRU40" s="65"/>
      <c r="NRV40" s="65"/>
      <c r="NRW40" s="65"/>
      <c r="NRX40" s="65"/>
      <c r="NRY40" s="65"/>
      <c r="NRZ40" s="65"/>
      <c r="NSA40" s="65"/>
      <c r="NSB40" s="65"/>
      <c r="NSC40" s="65"/>
      <c r="NSD40" s="65"/>
      <c r="NSE40" s="65"/>
      <c r="NSF40" s="65"/>
      <c r="NSG40" s="65"/>
      <c r="NSH40" s="65"/>
      <c r="NSI40" s="65"/>
      <c r="NSJ40" s="65"/>
      <c r="NSK40" s="65"/>
      <c r="NSL40" s="65"/>
      <c r="NSM40" s="65"/>
      <c r="NSN40" s="65"/>
      <c r="NSO40" s="65"/>
      <c r="NSP40" s="65"/>
      <c r="NSQ40" s="65"/>
      <c r="NSR40" s="65"/>
      <c r="NSS40" s="65"/>
      <c r="NST40" s="65"/>
      <c r="NSU40" s="65"/>
      <c r="NSV40" s="65"/>
      <c r="NSW40" s="65"/>
      <c r="NSX40" s="65"/>
      <c r="NSY40" s="65"/>
      <c r="NSZ40" s="65"/>
      <c r="NTA40" s="65"/>
      <c r="NTB40" s="65"/>
      <c r="NTC40" s="65"/>
      <c r="NTD40" s="65"/>
      <c r="NTE40" s="65"/>
      <c r="NTF40" s="65"/>
      <c r="NTG40" s="65"/>
      <c r="NTH40" s="65"/>
      <c r="NTI40" s="65"/>
      <c r="NTJ40" s="65"/>
      <c r="NTK40" s="65"/>
      <c r="NTL40" s="65"/>
      <c r="NTM40" s="65"/>
      <c r="NTN40" s="65"/>
      <c r="NTO40" s="65"/>
      <c r="NTP40" s="65"/>
      <c r="NTQ40" s="65"/>
      <c r="NTR40" s="65"/>
      <c r="NTS40" s="65"/>
      <c r="NTT40" s="65"/>
      <c r="NTU40" s="65"/>
      <c r="NTV40" s="65"/>
      <c r="NTW40" s="65"/>
      <c r="NTX40" s="65"/>
      <c r="NTY40" s="65"/>
      <c r="NTZ40" s="65"/>
      <c r="NUA40" s="65"/>
      <c r="NUB40" s="65"/>
      <c r="NUC40" s="65"/>
      <c r="NUD40" s="65"/>
      <c r="NUE40" s="65"/>
      <c r="NUF40" s="65"/>
      <c r="NUG40" s="65"/>
      <c r="NUH40" s="65"/>
      <c r="NUI40" s="65"/>
      <c r="NUJ40" s="65"/>
      <c r="NUK40" s="65"/>
      <c r="NUL40" s="65"/>
      <c r="NUM40" s="65"/>
      <c r="NUN40" s="65"/>
      <c r="NUO40" s="65"/>
      <c r="NUP40" s="65"/>
      <c r="NUQ40" s="65"/>
      <c r="NUR40" s="65"/>
      <c r="NUS40" s="65"/>
      <c r="NUT40" s="65"/>
      <c r="NUU40" s="65"/>
      <c r="NUV40" s="65"/>
      <c r="NUW40" s="65"/>
      <c r="NUX40" s="65"/>
      <c r="NUY40" s="65"/>
      <c r="NUZ40" s="65"/>
      <c r="NVA40" s="65"/>
      <c r="NVB40" s="65"/>
      <c r="NVC40" s="65"/>
      <c r="NVD40" s="65"/>
      <c r="NVE40" s="65"/>
      <c r="NVF40" s="65"/>
      <c r="NVG40" s="65"/>
      <c r="NVH40" s="65"/>
      <c r="NVI40" s="65"/>
      <c r="NVJ40" s="65"/>
      <c r="NVK40" s="65"/>
      <c r="NVL40" s="65"/>
      <c r="NVM40" s="65"/>
      <c r="NVN40" s="65"/>
      <c r="NVO40" s="65"/>
      <c r="NVP40" s="65"/>
      <c r="NVQ40" s="65"/>
      <c r="NVR40" s="65"/>
      <c r="NVS40" s="65"/>
      <c r="NVT40" s="65"/>
      <c r="NVU40" s="65"/>
      <c r="NVV40" s="65"/>
      <c r="NVW40" s="65"/>
      <c r="NVX40" s="65"/>
      <c r="NVY40" s="65"/>
      <c r="NVZ40" s="65"/>
      <c r="NWA40" s="65"/>
      <c r="NWB40" s="65"/>
      <c r="NWC40" s="65"/>
      <c r="NWD40" s="65"/>
      <c r="NWE40" s="65"/>
      <c r="NWF40" s="65"/>
      <c r="NWG40" s="65"/>
      <c r="NWH40" s="65"/>
      <c r="NWI40" s="65"/>
      <c r="NWJ40" s="65"/>
      <c r="NWK40" s="65"/>
      <c r="NWL40" s="65"/>
      <c r="NWM40" s="65"/>
      <c r="NWN40" s="65"/>
      <c r="NWO40" s="65"/>
      <c r="NWP40" s="65"/>
      <c r="NWQ40" s="65"/>
      <c r="NWR40" s="65"/>
      <c r="NWS40" s="65"/>
      <c r="NWT40" s="65"/>
      <c r="NWU40" s="65"/>
      <c r="NWV40" s="65"/>
      <c r="NWW40" s="65"/>
      <c r="NWX40" s="65"/>
      <c r="NWY40" s="65"/>
      <c r="NWZ40" s="65"/>
      <c r="NXA40" s="65"/>
      <c r="NXB40" s="65"/>
      <c r="NXC40" s="65"/>
      <c r="NXD40" s="65"/>
      <c r="NXE40" s="65"/>
      <c r="NXF40" s="65"/>
      <c r="NXG40" s="65"/>
      <c r="NXH40" s="65"/>
      <c r="NXI40" s="65"/>
      <c r="NXJ40" s="65"/>
      <c r="NXK40" s="65"/>
      <c r="NXL40" s="65"/>
      <c r="NXM40" s="65"/>
      <c r="NXN40" s="65"/>
      <c r="NXO40" s="65"/>
      <c r="NXP40" s="65"/>
      <c r="NXQ40" s="65"/>
      <c r="NXR40" s="65"/>
      <c r="NXS40" s="65"/>
      <c r="NXT40" s="65"/>
      <c r="NXU40" s="65"/>
      <c r="NXV40" s="65"/>
      <c r="NXW40" s="65"/>
      <c r="NXX40" s="65"/>
      <c r="NXY40" s="65"/>
      <c r="NXZ40" s="65"/>
      <c r="NYA40" s="65"/>
      <c r="NYB40" s="65"/>
      <c r="NYC40" s="65"/>
      <c r="NYD40" s="65"/>
      <c r="NYE40" s="65"/>
      <c r="NYF40" s="65"/>
      <c r="NYG40" s="65"/>
      <c r="NYH40" s="65"/>
      <c r="NYI40" s="65"/>
      <c r="NYJ40" s="65"/>
      <c r="NYK40" s="65"/>
      <c r="NYL40" s="65"/>
      <c r="NYM40" s="65"/>
      <c r="NYN40" s="65"/>
      <c r="NYO40" s="65"/>
      <c r="NYP40" s="65"/>
      <c r="NYQ40" s="65"/>
      <c r="NYR40" s="65"/>
      <c r="NYS40" s="65"/>
      <c r="NYT40" s="65"/>
      <c r="NYU40" s="65"/>
      <c r="NYV40" s="65"/>
      <c r="NYW40" s="65"/>
      <c r="NYX40" s="65"/>
      <c r="NYY40" s="65"/>
      <c r="NYZ40" s="65"/>
      <c r="NZA40" s="65"/>
      <c r="NZB40" s="65"/>
      <c r="NZC40" s="65"/>
      <c r="NZD40" s="65"/>
      <c r="NZE40" s="65"/>
      <c r="NZF40" s="65"/>
      <c r="NZG40" s="65"/>
      <c r="NZH40" s="65"/>
      <c r="NZI40" s="65"/>
      <c r="NZJ40" s="65"/>
      <c r="NZK40" s="65"/>
      <c r="NZL40" s="65"/>
      <c r="NZM40" s="65"/>
      <c r="NZN40" s="65"/>
      <c r="NZO40" s="65"/>
      <c r="NZP40" s="65"/>
      <c r="NZQ40" s="65"/>
      <c r="NZR40" s="65"/>
      <c r="NZS40" s="65"/>
      <c r="NZT40" s="65"/>
      <c r="NZU40" s="65"/>
      <c r="NZV40" s="65"/>
      <c r="NZW40" s="65"/>
      <c r="NZX40" s="65"/>
      <c r="NZY40" s="65"/>
      <c r="NZZ40" s="65"/>
      <c r="OAA40" s="65"/>
      <c r="OAB40" s="65"/>
      <c r="OAC40" s="65"/>
      <c r="OAD40" s="65"/>
      <c r="OAE40" s="65"/>
      <c r="OAF40" s="65"/>
      <c r="OAG40" s="65"/>
      <c r="OAH40" s="65"/>
      <c r="OAI40" s="65"/>
      <c r="OAJ40" s="65"/>
      <c r="OAK40" s="65"/>
      <c r="OAL40" s="65"/>
      <c r="OAM40" s="65"/>
      <c r="OAN40" s="65"/>
      <c r="OAO40" s="65"/>
      <c r="OAP40" s="65"/>
      <c r="OAQ40" s="65"/>
      <c r="OAR40" s="65"/>
      <c r="OAS40" s="65"/>
      <c r="OAT40" s="65"/>
      <c r="OAU40" s="65"/>
      <c r="OAV40" s="65"/>
      <c r="OAW40" s="65"/>
      <c r="OAX40" s="65"/>
      <c r="OAY40" s="65"/>
      <c r="OAZ40" s="65"/>
      <c r="OBA40" s="65"/>
      <c r="OBB40" s="65"/>
      <c r="OBC40" s="65"/>
      <c r="OBD40" s="65"/>
      <c r="OBE40" s="65"/>
      <c r="OBF40" s="65"/>
      <c r="OBG40" s="65"/>
      <c r="OBH40" s="65"/>
      <c r="OBI40" s="65"/>
      <c r="OBJ40" s="65"/>
      <c r="OBK40" s="65"/>
      <c r="OBL40" s="65"/>
      <c r="OBM40" s="65"/>
      <c r="OBN40" s="65"/>
      <c r="OBO40" s="65"/>
      <c r="OBP40" s="65"/>
      <c r="OBQ40" s="65"/>
      <c r="OBR40" s="65"/>
      <c r="OBS40" s="65"/>
      <c r="OBT40" s="65"/>
      <c r="OBU40" s="65"/>
      <c r="OBV40" s="65"/>
      <c r="OBW40" s="65"/>
      <c r="OBX40" s="65"/>
      <c r="OBY40" s="65"/>
      <c r="OBZ40" s="65"/>
      <c r="OCA40" s="65"/>
      <c r="OCB40" s="65"/>
      <c r="OCC40" s="65"/>
      <c r="OCD40" s="65"/>
      <c r="OCE40" s="65"/>
      <c r="OCF40" s="65"/>
      <c r="OCG40" s="65"/>
      <c r="OCH40" s="65"/>
      <c r="OCI40" s="65"/>
      <c r="OCJ40" s="65"/>
      <c r="OCK40" s="65"/>
      <c r="OCL40" s="65"/>
      <c r="OCM40" s="65"/>
      <c r="OCN40" s="65"/>
      <c r="OCO40" s="65"/>
      <c r="OCP40" s="65"/>
      <c r="OCQ40" s="65"/>
      <c r="OCR40" s="65"/>
      <c r="OCS40" s="65"/>
      <c r="OCT40" s="65"/>
      <c r="OCU40" s="65"/>
      <c r="OCV40" s="65"/>
      <c r="OCW40" s="65"/>
      <c r="OCX40" s="65"/>
      <c r="OCY40" s="65"/>
      <c r="OCZ40" s="65"/>
      <c r="ODA40" s="65"/>
      <c r="ODB40" s="65"/>
      <c r="ODC40" s="65"/>
      <c r="ODD40" s="65"/>
      <c r="ODE40" s="65"/>
      <c r="ODF40" s="65"/>
      <c r="ODG40" s="65"/>
      <c r="ODH40" s="65"/>
      <c r="ODI40" s="65"/>
      <c r="ODJ40" s="65"/>
      <c r="ODK40" s="65"/>
      <c r="ODL40" s="65"/>
      <c r="ODM40" s="65"/>
      <c r="ODN40" s="65"/>
      <c r="ODO40" s="65"/>
      <c r="ODP40" s="65"/>
      <c r="ODQ40" s="65"/>
      <c r="ODR40" s="65"/>
      <c r="ODS40" s="65"/>
      <c r="ODT40" s="65"/>
      <c r="ODU40" s="65"/>
      <c r="ODV40" s="65"/>
      <c r="ODW40" s="65"/>
      <c r="ODX40" s="65"/>
      <c r="ODY40" s="65"/>
      <c r="ODZ40" s="65"/>
      <c r="OEA40" s="65"/>
      <c r="OEB40" s="65"/>
      <c r="OEC40" s="65"/>
      <c r="OED40" s="65"/>
      <c r="OEE40" s="65"/>
      <c r="OEF40" s="65"/>
      <c r="OEG40" s="65"/>
      <c r="OEH40" s="65"/>
      <c r="OEI40" s="65"/>
      <c r="OEJ40" s="65"/>
      <c r="OEK40" s="65"/>
      <c r="OEL40" s="65"/>
      <c r="OEM40" s="65"/>
      <c r="OEN40" s="65"/>
      <c r="OEO40" s="65"/>
      <c r="OEP40" s="65"/>
      <c r="OEQ40" s="65"/>
      <c r="OER40" s="65"/>
      <c r="OES40" s="65"/>
      <c r="OET40" s="65"/>
      <c r="OEU40" s="65"/>
      <c r="OEV40" s="65"/>
      <c r="OEW40" s="65"/>
      <c r="OEX40" s="65"/>
      <c r="OEY40" s="65"/>
      <c r="OEZ40" s="65"/>
      <c r="OFA40" s="65"/>
      <c r="OFB40" s="65"/>
      <c r="OFC40" s="65"/>
      <c r="OFD40" s="65"/>
      <c r="OFE40" s="65"/>
      <c r="OFF40" s="65"/>
      <c r="OFG40" s="65"/>
      <c r="OFH40" s="65"/>
      <c r="OFI40" s="65"/>
      <c r="OFJ40" s="65"/>
      <c r="OFK40" s="65"/>
      <c r="OFL40" s="65"/>
      <c r="OFM40" s="65"/>
      <c r="OFN40" s="65"/>
      <c r="OFO40" s="65"/>
      <c r="OFP40" s="65"/>
      <c r="OFQ40" s="65"/>
      <c r="OFR40" s="65"/>
      <c r="OFS40" s="65"/>
      <c r="OFT40" s="65"/>
      <c r="OFU40" s="65"/>
      <c r="OFV40" s="65"/>
      <c r="OFW40" s="65"/>
      <c r="OFX40" s="65"/>
      <c r="OFY40" s="65"/>
      <c r="OFZ40" s="65"/>
      <c r="OGA40" s="65"/>
      <c r="OGB40" s="65"/>
      <c r="OGC40" s="65"/>
      <c r="OGD40" s="65"/>
      <c r="OGE40" s="65"/>
      <c r="OGF40" s="65"/>
      <c r="OGG40" s="65"/>
      <c r="OGH40" s="65"/>
      <c r="OGI40" s="65"/>
      <c r="OGJ40" s="65"/>
      <c r="OGK40" s="65"/>
      <c r="OGL40" s="65"/>
      <c r="OGM40" s="65"/>
      <c r="OGN40" s="65"/>
      <c r="OGO40" s="65"/>
      <c r="OGP40" s="65"/>
      <c r="OGQ40" s="65"/>
      <c r="OGR40" s="65"/>
      <c r="OGS40" s="65"/>
      <c r="OGT40" s="65"/>
      <c r="OGU40" s="65"/>
      <c r="OGV40" s="65"/>
      <c r="OGW40" s="65"/>
      <c r="OGX40" s="65"/>
      <c r="OGY40" s="65"/>
      <c r="OGZ40" s="65"/>
      <c r="OHA40" s="65"/>
      <c r="OHB40" s="65"/>
      <c r="OHC40" s="65"/>
      <c r="OHD40" s="65"/>
      <c r="OHE40" s="65"/>
      <c r="OHF40" s="65"/>
      <c r="OHG40" s="65"/>
      <c r="OHH40" s="65"/>
      <c r="OHI40" s="65"/>
      <c r="OHJ40" s="65"/>
      <c r="OHK40" s="65"/>
      <c r="OHL40" s="65"/>
      <c r="OHM40" s="65"/>
      <c r="OHN40" s="65"/>
      <c r="OHO40" s="65"/>
      <c r="OHP40" s="65"/>
      <c r="OHQ40" s="65"/>
      <c r="OHR40" s="65"/>
      <c r="OHS40" s="65"/>
      <c r="OHT40" s="65"/>
      <c r="OHU40" s="65"/>
      <c r="OHV40" s="65"/>
      <c r="OHW40" s="65"/>
      <c r="OHX40" s="65"/>
      <c r="OHY40" s="65"/>
      <c r="OHZ40" s="65"/>
      <c r="OIA40" s="65"/>
      <c r="OIB40" s="65"/>
      <c r="OIC40" s="65"/>
      <c r="OID40" s="65"/>
      <c r="OIE40" s="65"/>
      <c r="OIF40" s="65"/>
      <c r="OIG40" s="65"/>
      <c r="OIH40" s="65"/>
      <c r="OII40" s="65"/>
      <c r="OIJ40" s="65"/>
      <c r="OIK40" s="65"/>
      <c r="OIL40" s="65"/>
      <c r="OIM40" s="65"/>
      <c r="OIN40" s="65"/>
      <c r="OIO40" s="65"/>
      <c r="OIP40" s="65"/>
      <c r="OIQ40" s="65"/>
      <c r="OIR40" s="65"/>
      <c r="OIS40" s="65"/>
      <c r="OIT40" s="65"/>
      <c r="OIU40" s="65"/>
      <c r="OIV40" s="65"/>
      <c r="OIW40" s="65"/>
      <c r="OIX40" s="65"/>
      <c r="OIY40" s="65"/>
      <c r="OIZ40" s="65"/>
      <c r="OJA40" s="65"/>
      <c r="OJB40" s="65"/>
      <c r="OJC40" s="65"/>
      <c r="OJD40" s="65"/>
      <c r="OJE40" s="65"/>
      <c r="OJF40" s="65"/>
      <c r="OJG40" s="65"/>
      <c r="OJH40" s="65"/>
      <c r="OJI40" s="65"/>
      <c r="OJJ40" s="65"/>
      <c r="OJK40" s="65"/>
      <c r="OJL40" s="65"/>
      <c r="OJM40" s="65"/>
      <c r="OJN40" s="65"/>
      <c r="OJO40" s="65"/>
      <c r="OJP40" s="65"/>
      <c r="OJQ40" s="65"/>
      <c r="OJR40" s="65"/>
      <c r="OJS40" s="65"/>
      <c r="OJT40" s="65"/>
      <c r="OJU40" s="65"/>
      <c r="OJV40" s="65"/>
      <c r="OJW40" s="65"/>
      <c r="OJX40" s="65"/>
      <c r="OJY40" s="65"/>
      <c r="OJZ40" s="65"/>
      <c r="OKA40" s="65"/>
      <c r="OKB40" s="65"/>
      <c r="OKC40" s="65"/>
      <c r="OKD40" s="65"/>
      <c r="OKE40" s="65"/>
      <c r="OKF40" s="65"/>
      <c r="OKG40" s="65"/>
      <c r="OKH40" s="65"/>
      <c r="OKI40" s="65"/>
      <c r="OKJ40" s="65"/>
      <c r="OKK40" s="65"/>
      <c r="OKL40" s="65"/>
      <c r="OKM40" s="65"/>
      <c r="OKN40" s="65"/>
      <c r="OKO40" s="65"/>
      <c r="OKP40" s="65"/>
      <c r="OKQ40" s="65"/>
      <c r="OKR40" s="65"/>
      <c r="OKS40" s="65"/>
      <c r="OKT40" s="65"/>
      <c r="OKU40" s="65"/>
      <c r="OKV40" s="65"/>
      <c r="OKW40" s="65"/>
      <c r="OKX40" s="65"/>
      <c r="OKY40" s="65"/>
      <c r="OKZ40" s="65"/>
      <c r="OLA40" s="65"/>
      <c r="OLB40" s="65"/>
      <c r="OLC40" s="65"/>
      <c r="OLD40" s="65"/>
      <c r="OLE40" s="65"/>
      <c r="OLF40" s="65"/>
      <c r="OLG40" s="65"/>
      <c r="OLH40" s="65"/>
      <c r="OLI40" s="65"/>
      <c r="OLJ40" s="65"/>
      <c r="OLK40" s="65"/>
      <c r="OLL40" s="65"/>
      <c r="OLM40" s="65"/>
      <c r="OLN40" s="65"/>
      <c r="OLO40" s="65"/>
      <c r="OLP40" s="65"/>
      <c r="OLQ40" s="65"/>
      <c r="OLR40" s="65"/>
      <c r="OLS40" s="65"/>
      <c r="OLT40" s="65"/>
      <c r="OLU40" s="65"/>
      <c r="OLV40" s="65"/>
      <c r="OLW40" s="65"/>
      <c r="OLX40" s="65"/>
      <c r="OLY40" s="65"/>
      <c r="OLZ40" s="65"/>
      <c r="OMA40" s="65"/>
      <c r="OMB40" s="65"/>
      <c r="OMC40" s="65"/>
      <c r="OMD40" s="65"/>
      <c r="OME40" s="65"/>
      <c r="OMF40" s="65"/>
      <c r="OMG40" s="65"/>
      <c r="OMH40" s="65"/>
      <c r="OMI40" s="65"/>
      <c r="OMJ40" s="65"/>
      <c r="OMK40" s="65"/>
      <c r="OML40" s="65"/>
      <c r="OMM40" s="65"/>
      <c r="OMN40" s="65"/>
      <c r="OMO40" s="65"/>
      <c r="OMP40" s="65"/>
      <c r="OMQ40" s="65"/>
      <c r="OMR40" s="65"/>
      <c r="OMS40" s="65"/>
      <c r="OMT40" s="65"/>
      <c r="OMU40" s="65"/>
      <c r="OMV40" s="65"/>
      <c r="OMW40" s="65"/>
      <c r="OMX40" s="65"/>
      <c r="OMY40" s="65"/>
      <c r="OMZ40" s="65"/>
      <c r="ONA40" s="65"/>
      <c r="ONB40" s="65"/>
      <c r="ONC40" s="65"/>
      <c r="OND40" s="65"/>
      <c r="ONE40" s="65"/>
      <c r="ONF40" s="65"/>
      <c r="ONG40" s="65"/>
      <c r="ONH40" s="65"/>
      <c r="ONI40" s="65"/>
      <c r="ONJ40" s="65"/>
      <c r="ONK40" s="65"/>
      <c r="ONL40" s="65"/>
      <c r="ONM40" s="65"/>
      <c r="ONN40" s="65"/>
      <c r="ONO40" s="65"/>
      <c r="ONP40" s="65"/>
      <c r="ONQ40" s="65"/>
      <c r="ONR40" s="65"/>
      <c r="ONS40" s="65"/>
      <c r="ONT40" s="65"/>
      <c r="ONU40" s="65"/>
      <c r="ONV40" s="65"/>
      <c r="ONW40" s="65"/>
      <c r="ONX40" s="65"/>
      <c r="ONY40" s="65"/>
      <c r="ONZ40" s="65"/>
      <c r="OOA40" s="65"/>
      <c r="OOB40" s="65"/>
      <c r="OOC40" s="65"/>
      <c r="OOD40" s="65"/>
      <c r="OOE40" s="65"/>
      <c r="OOF40" s="65"/>
      <c r="OOG40" s="65"/>
      <c r="OOH40" s="65"/>
      <c r="OOI40" s="65"/>
      <c r="OOJ40" s="65"/>
      <c r="OOK40" s="65"/>
      <c r="OOL40" s="65"/>
      <c r="OOM40" s="65"/>
      <c r="OON40" s="65"/>
      <c r="OOO40" s="65"/>
      <c r="OOP40" s="65"/>
      <c r="OOQ40" s="65"/>
      <c r="OOR40" s="65"/>
      <c r="OOS40" s="65"/>
      <c r="OOT40" s="65"/>
      <c r="OOU40" s="65"/>
      <c r="OOV40" s="65"/>
      <c r="OOW40" s="65"/>
      <c r="OOX40" s="65"/>
      <c r="OOY40" s="65"/>
      <c r="OOZ40" s="65"/>
      <c r="OPA40" s="65"/>
      <c r="OPB40" s="65"/>
      <c r="OPC40" s="65"/>
      <c r="OPD40" s="65"/>
      <c r="OPE40" s="65"/>
      <c r="OPF40" s="65"/>
      <c r="OPG40" s="65"/>
      <c r="OPH40" s="65"/>
      <c r="OPI40" s="65"/>
      <c r="OPJ40" s="65"/>
      <c r="OPK40" s="65"/>
      <c r="OPL40" s="65"/>
      <c r="OPM40" s="65"/>
      <c r="OPN40" s="65"/>
      <c r="OPO40" s="65"/>
      <c r="OPP40" s="65"/>
      <c r="OPQ40" s="65"/>
      <c r="OPR40" s="65"/>
      <c r="OPS40" s="65"/>
      <c r="OPT40" s="65"/>
      <c r="OPU40" s="65"/>
      <c r="OPV40" s="65"/>
      <c r="OPW40" s="65"/>
      <c r="OPX40" s="65"/>
      <c r="OPY40" s="65"/>
      <c r="OPZ40" s="65"/>
      <c r="OQA40" s="65"/>
      <c r="OQB40" s="65"/>
      <c r="OQC40" s="65"/>
      <c r="OQD40" s="65"/>
      <c r="OQE40" s="65"/>
      <c r="OQF40" s="65"/>
      <c r="OQG40" s="65"/>
      <c r="OQH40" s="65"/>
      <c r="OQI40" s="65"/>
      <c r="OQJ40" s="65"/>
      <c r="OQK40" s="65"/>
      <c r="OQL40" s="65"/>
      <c r="OQM40" s="65"/>
      <c r="OQN40" s="65"/>
      <c r="OQO40" s="65"/>
      <c r="OQP40" s="65"/>
      <c r="OQQ40" s="65"/>
      <c r="OQR40" s="65"/>
      <c r="OQS40" s="65"/>
      <c r="OQT40" s="65"/>
      <c r="OQU40" s="65"/>
      <c r="OQV40" s="65"/>
      <c r="OQW40" s="65"/>
      <c r="OQX40" s="65"/>
      <c r="OQY40" s="65"/>
      <c r="OQZ40" s="65"/>
      <c r="ORA40" s="65"/>
      <c r="ORB40" s="65"/>
      <c r="ORC40" s="65"/>
      <c r="ORD40" s="65"/>
      <c r="ORE40" s="65"/>
      <c r="ORF40" s="65"/>
      <c r="ORG40" s="65"/>
      <c r="ORH40" s="65"/>
      <c r="ORI40" s="65"/>
      <c r="ORJ40" s="65"/>
      <c r="ORK40" s="65"/>
      <c r="ORL40" s="65"/>
      <c r="ORM40" s="65"/>
      <c r="ORN40" s="65"/>
      <c r="ORO40" s="65"/>
      <c r="ORP40" s="65"/>
      <c r="ORQ40" s="65"/>
      <c r="ORR40" s="65"/>
      <c r="ORS40" s="65"/>
      <c r="ORT40" s="65"/>
      <c r="ORU40" s="65"/>
      <c r="ORV40" s="65"/>
      <c r="ORW40" s="65"/>
      <c r="ORX40" s="65"/>
      <c r="ORY40" s="65"/>
      <c r="ORZ40" s="65"/>
      <c r="OSA40" s="65"/>
      <c r="OSB40" s="65"/>
      <c r="OSC40" s="65"/>
      <c r="OSD40" s="65"/>
      <c r="OSE40" s="65"/>
      <c r="OSF40" s="65"/>
      <c r="OSG40" s="65"/>
      <c r="OSH40" s="65"/>
      <c r="OSI40" s="65"/>
      <c r="OSJ40" s="65"/>
      <c r="OSK40" s="65"/>
      <c r="OSL40" s="65"/>
      <c r="OSM40" s="65"/>
      <c r="OSN40" s="65"/>
      <c r="OSO40" s="65"/>
      <c r="OSP40" s="65"/>
      <c r="OSQ40" s="65"/>
      <c r="OSR40" s="65"/>
      <c r="OSS40" s="65"/>
      <c r="OST40" s="65"/>
      <c r="OSU40" s="65"/>
      <c r="OSV40" s="65"/>
      <c r="OSW40" s="65"/>
      <c r="OSX40" s="65"/>
      <c r="OSY40" s="65"/>
      <c r="OSZ40" s="65"/>
      <c r="OTA40" s="65"/>
      <c r="OTB40" s="65"/>
      <c r="OTC40" s="65"/>
      <c r="OTD40" s="65"/>
      <c r="OTE40" s="65"/>
      <c r="OTF40" s="65"/>
      <c r="OTG40" s="65"/>
      <c r="OTH40" s="65"/>
      <c r="OTI40" s="65"/>
      <c r="OTJ40" s="65"/>
      <c r="OTK40" s="65"/>
      <c r="OTL40" s="65"/>
      <c r="OTM40" s="65"/>
      <c r="OTN40" s="65"/>
      <c r="OTO40" s="65"/>
      <c r="OTP40" s="65"/>
      <c r="OTQ40" s="65"/>
      <c r="OTR40" s="65"/>
      <c r="OTS40" s="65"/>
      <c r="OTT40" s="65"/>
      <c r="OTU40" s="65"/>
      <c r="OTV40" s="65"/>
      <c r="OTW40" s="65"/>
      <c r="OTX40" s="65"/>
      <c r="OTY40" s="65"/>
      <c r="OTZ40" s="65"/>
      <c r="OUA40" s="65"/>
      <c r="OUB40" s="65"/>
      <c r="OUC40" s="65"/>
      <c r="OUD40" s="65"/>
      <c r="OUE40" s="65"/>
      <c r="OUF40" s="65"/>
      <c r="OUG40" s="65"/>
      <c r="OUH40" s="65"/>
      <c r="OUI40" s="65"/>
      <c r="OUJ40" s="65"/>
      <c r="OUK40" s="65"/>
      <c r="OUL40" s="65"/>
      <c r="OUM40" s="65"/>
      <c r="OUN40" s="65"/>
      <c r="OUO40" s="65"/>
      <c r="OUP40" s="65"/>
      <c r="OUQ40" s="65"/>
      <c r="OUR40" s="65"/>
      <c r="OUS40" s="65"/>
      <c r="OUT40" s="65"/>
      <c r="OUU40" s="65"/>
      <c r="OUV40" s="65"/>
      <c r="OUW40" s="65"/>
      <c r="OUX40" s="65"/>
      <c r="OUY40" s="65"/>
      <c r="OUZ40" s="65"/>
      <c r="OVA40" s="65"/>
      <c r="OVB40" s="65"/>
      <c r="OVC40" s="65"/>
      <c r="OVD40" s="65"/>
      <c r="OVE40" s="65"/>
      <c r="OVF40" s="65"/>
      <c r="OVG40" s="65"/>
      <c r="OVH40" s="65"/>
      <c r="OVI40" s="65"/>
      <c r="OVJ40" s="65"/>
      <c r="OVK40" s="65"/>
      <c r="OVL40" s="65"/>
      <c r="OVM40" s="65"/>
      <c r="OVN40" s="65"/>
      <c r="OVO40" s="65"/>
      <c r="OVP40" s="65"/>
      <c r="OVQ40" s="65"/>
      <c r="OVR40" s="65"/>
      <c r="OVS40" s="65"/>
      <c r="OVT40" s="65"/>
      <c r="OVU40" s="65"/>
      <c r="OVV40" s="65"/>
      <c r="OVW40" s="65"/>
      <c r="OVX40" s="65"/>
      <c r="OVY40" s="65"/>
      <c r="OVZ40" s="65"/>
      <c r="OWA40" s="65"/>
      <c r="OWB40" s="65"/>
      <c r="OWC40" s="65"/>
      <c r="OWD40" s="65"/>
      <c r="OWE40" s="65"/>
      <c r="OWF40" s="65"/>
      <c r="OWG40" s="65"/>
      <c r="OWH40" s="65"/>
      <c r="OWI40" s="65"/>
      <c r="OWJ40" s="65"/>
      <c r="OWK40" s="65"/>
      <c r="OWL40" s="65"/>
      <c r="OWM40" s="65"/>
      <c r="OWN40" s="65"/>
      <c r="OWO40" s="65"/>
      <c r="OWP40" s="65"/>
      <c r="OWQ40" s="65"/>
      <c r="OWR40" s="65"/>
      <c r="OWS40" s="65"/>
      <c r="OWT40" s="65"/>
      <c r="OWU40" s="65"/>
      <c r="OWV40" s="65"/>
      <c r="OWW40" s="65"/>
      <c r="OWX40" s="65"/>
      <c r="OWY40" s="65"/>
      <c r="OWZ40" s="65"/>
      <c r="OXA40" s="65"/>
      <c r="OXB40" s="65"/>
      <c r="OXC40" s="65"/>
      <c r="OXD40" s="65"/>
      <c r="OXE40" s="65"/>
      <c r="OXF40" s="65"/>
      <c r="OXG40" s="65"/>
      <c r="OXH40" s="65"/>
      <c r="OXI40" s="65"/>
      <c r="OXJ40" s="65"/>
      <c r="OXK40" s="65"/>
      <c r="OXL40" s="65"/>
      <c r="OXM40" s="65"/>
      <c r="OXN40" s="65"/>
      <c r="OXO40" s="65"/>
      <c r="OXP40" s="65"/>
      <c r="OXQ40" s="65"/>
      <c r="OXR40" s="65"/>
      <c r="OXS40" s="65"/>
      <c r="OXT40" s="65"/>
      <c r="OXU40" s="65"/>
      <c r="OXV40" s="65"/>
      <c r="OXW40" s="65"/>
      <c r="OXX40" s="65"/>
      <c r="OXY40" s="65"/>
      <c r="OXZ40" s="65"/>
      <c r="OYA40" s="65"/>
      <c r="OYB40" s="65"/>
      <c r="OYC40" s="65"/>
      <c r="OYD40" s="65"/>
      <c r="OYE40" s="65"/>
      <c r="OYF40" s="65"/>
      <c r="OYG40" s="65"/>
      <c r="OYH40" s="65"/>
      <c r="OYI40" s="65"/>
      <c r="OYJ40" s="65"/>
      <c r="OYK40" s="65"/>
      <c r="OYL40" s="65"/>
      <c r="OYM40" s="65"/>
      <c r="OYN40" s="65"/>
      <c r="OYO40" s="65"/>
      <c r="OYP40" s="65"/>
      <c r="OYQ40" s="65"/>
      <c r="OYR40" s="65"/>
      <c r="OYS40" s="65"/>
      <c r="OYT40" s="65"/>
      <c r="OYU40" s="65"/>
      <c r="OYV40" s="65"/>
      <c r="OYW40" s="65"/>
      <c r="OYX40" s="65"/>
      <c r="OYY40" s="65"/>
      <c r="OYZ40" s="65"/>
      <c r="OZA40" s="65"/>
      <c r="OZB40" s="65"/>
      <c r="OZC40" s="65"/>
      <c r="OZD40" s="65"/>
      <c r="OZE40" s="65"/>
      <c r="OZF40" s="65"/>
      <c r="OZG40" s="65"/>
      <c r="OZH40" s="65"/>
      <c r="OZI40" s="65"/>
      <c r="OZJ40" s="65"/>
      <c r="OZK40" s="65"/>
      <c r="OZL40" s="65"/>
      <c r="OZM40" s="65"/>
      <c r="OZN40" s="65"/>
      <c r="OZO40" s="65"/>
      <c r="OZP40" s="65"/>
      <c r="OZQ40" s="65"/>
      <c r="OZR40" s="65"/>
      <c r="OZS40" s="65"/>
      <c r="OZT40" s="65"/>
      <c r="OZU40" s="65"/>
      <c r="OZV40" s="65"/>
      <c r="OZW40" s="65"/>
      <c r="OZX40" s="65"/>
      <c r="OZY40" s="65"/>
      <c r="OZZ40" s="65"/>
      <c r="PAA40" s="65"/>
      <c r="PAB40" s="65"/>
      <c r="PAC40" s="65"/>
      <c r="PAD40" s="65"/>
      <c r="PAE40" s="65"/>
      <c r="PAF40" s="65"/>
      <c r="PAG40" s="65"/>
      <c r="PAH40" s="65"/>
      <c r="PAI40" s="65"/>
      <c r="PAJ40" s="65"/>
      <c r="PAK40" s="65"/>
      <c r="PAL40" s="65"/>
      <c r="PAM40" s="65"/>
      <c r="PAN40" s="65"/>
      <c r="PAO40" s="65"/>
      <c r="PAP40" s="65"/>
      <c r="PAQ40" s="65"/>
      <c r="PAR40" s="65"/>
      <c r="PAS40" s="65"/>
      <c r="PAT40" s="65"/>
      <c r="PAU40" s="65"/>
      <c r="PAV40" s="65"/>
      <c r="PAW40" s="65"/>
      <c r="PAX40" s="65"/>
      <c r="PAY40" s="65"/>
      <c r="PAZ40" s="65"/>
      <c r="PBA40" s="65"/>
      <c r="PBB40" s="65"/>
      <c r="PBC40" s="65"/>
      <c r="PBD40" s="65"/>
      <c r="PBE40" s="65"/>
      <c r="PBF40" s="65"/>
      <c r="PBG40" s="65"/>
      <c r="PBH40" s="65"/>
      <c r="PBI40" s="65"/>
      <c r="PBJ40" s="65"/>
      <c r="PBK40" s="65"/>
      <c r="PBL40" s="65"/>
      <c r="PBM40" s="65"/>
      <c r="PBN40" s="65"/>
      <c r="PBO40" s="65"/>
      <c r="PBP40" s="65"/>
      <c r="PBQ40" s="65"/>
      <c r="PBR40" s="65"/>
      <c r="PBS40" s="65"/>
      <c r="PBT40" s="65"/>
      <c r="PBU40" s="65"/>
      <c r="PBV40" s="65"/>
      <c r="PBW40" s="65"/>
      <c r="PBX40" s="65"/>
      <c r="PBY40" s="65"/>
      <c r="PBZ40" s="65"/>
      <c r="PCA40" s="65"/>
      <c r="PCB40" s="65"/>
      <c r="PCC40" s="65"/>
      <c r="PCD40" s="65"/>
      <c r="PCE40" s="65"/>
      <c r="PCF40" s="65"/>
      <c r="PCG40" s="65"/>
      <c r="PCH40" s="65"/>
      <c r="PCI40" s="65"/>
      <c r="PCJ40" s="65"/>
      <c r="PCK40" s="65"/>
      <c r="PCL40" s="65"/>
      <c r="PCM40" s="65"/>
      <c r="PCN40" s="65"/>
      <c r="PCO40" s="65"/>
      <c r="PCP40" s="65"/>
      <c r="PCQ40" s="65"/>
      <c r="PCR40" s="65"/>
      <c r="PCS40" s="65"/>
      <c r="PCT40" s="65"/>
      <c r="PCU40" s="65"/>
      <c r="PCV40" s="65"/>
      <c r="PCW40" s="65"/>
      <c r="PCX40" s="65"/>
      <c r="PCY40" s="65"/>
      <c r="PCZ40" s="65"/>
      <c r="PDA40" s="65"/>
      <c r="PDB40" s="65"/>
      <c r="PDC40" s="65"/>
      <c r="PDD40" s="65"/>
      <c r="PDE40" s="65"/>
      <c r="PDF40" s="65"/>
      <c r="PDG40" s="65"/>
      <c r="PDH40" s="65"/>
      <c r="PDI40" s="65"/>
      <c r="PDJ40" s="65"/>
      <c r="PDK40" s="65"/>
      <c r="PDL40" s="65"/>
      <c r="PDM40" s="65"/>
      <c r="PDN40" s="65"/>
      <c r="PDO40" s="65"/>
      <c r="PDP40" s="65"/>
      <c r="PDQ40" s="65"/>
      <c r="PDR40" s="65"/>
      <c r="PDS40" s="65"/>
      <c r="PDT40" s="65"/>
      <c r="PDU40" s="65"/>
      <c r="PDV40" s="65"/>
      <c r="PDW40" s="65"/>
      <c r="PDX40" s="65"/>
      <c r="PDY40" s="65"/>
      <c r="PDZ40" s="65"/>
      <c r="PEA40" s="65"/>
      <c r="PEB40" s="65"/>
      <c r="PEC40" s="65"/>
      <c r="PED40" s="65"/>
      <c r="PEE40" s="65"/>
      <c r="PEF40" s="65"/>
      <c r="PEG40" s="65"/>
      <c r="PEH40" s="65"/>
      <c r="PEI40" s="65"/>
      <c r="PEJ40" s="65"/>
      <c r="PEK40" s="65"/>
      <c r="PEL40" s="65"/>
      <c r="PEM40" s="65"/>
      <c r="PEN40" s="65"/>
      <c r="PEO40" s="65"/>
      <c r="PEP40" s="65"/>
      <c r="PEQ40" s="65"/>
      <c r="PER40" s="65"/>
      <c r="PES40" s="65"/>
      <c r="PET40" s="65"/>
      <c r="PEU40" s="65"/>
      <c r="PEV40" s="65"/>
      <c r="PEW40" s="65"/>
      <c r="PEX40" s="65"/>
      <c r="PEY40" s="65"/>
      <c r="PEZ40" s="65"/>
      <c r="PFA40" s="65"/>
      <c r="PFB40" s="65"/>
      <c r="PFC40" s="65"/>
      <c r="PFD40" s="65"/>
      <c r="PFE40" s="65"/>
      <c r="PFF40" s="65"/>
      <c r="PFG40" s="65"/>
      <c r="PFH40" s="65"/>
      <c r="PFI40" s="65"/>
      <c r="PFJ40" s="65"/>
      <c r="PFK40" s="65"/>
      <c r="PFL40" s="65"/>
      <c r="PFM40" s="65"/>
      <c r="PFN40" s="65"/>
      <c r="PFO40" s="65"/>
      <c r="PFP40" s="65"/>
      <c r="PFQ40" s="65"/>
      <c r="PFR40" s="65"/>
      <c r="PFS40" s="65"/>
      <c r="PFT40" s="65"/>
      <c r="PFU40" s="65"/>
      <c r="PFV40" s="65"/>
      <c r="PFW40" s="65"/>
      <c r="PFX40" s="65"/>
      <c r="PFY40" s="65"/>
      <c r="PFZ40" s="65"/>
      <c r="PGA40" s="65"/>
      <c r="PGB40" s="65"/>
      <c r="PGC40" s="65"/>
      <c r="PGD40" s="65"/>
      <c r="PGE40" s="65"/>
      <c r="PGF40" s="65"/>
      <c r="PGG40" s="65"/>
      <c r="PGH40" s="65"/>
      <c r="PGI40" s="65"/>
      <c r="PGJ40" s="65"/>
      <c r="PGK40" s="65"/>
      <c r="PGL40" s="65"/>
      <c r="PGM40" s="65"/>
      <c r="PGN40" s="65"/>
      <c r="PGO40" s="65"/>
      <c r="PGP40" s="65"/>
      <c r="PGQ40" s="65"/>
      <c r="PGR40" s="65"/>
      <c r="PGS40" s="65"/>
      <c r="PGT40" s="65"/>
      <c r="PGU40" s="65"/>
      <c r="PGV40" s="65"/>
      <c r="PGW40" s="65"/>
      <c r="PGX40" s="65"/>
      <c r="PGY40" s="65"/>
      <c r="PGZ40" s="65"/>
      <c r="PHA40" s="65"/>
      <c r="PHB40" s="65"/>
      <c r="PHC40" s="65"/>
      <c r="PHD40" s="65"/>
      <c r="PHE40" s="65"/>
      <c r="PHF40" s="65"/>
      <c r="PHG40" s="65"/>
      <c r="PHH40" s="65"/>
      <c r="PHI40" s="65"/>
      <c r="PHJ40" s="65"/>
      <c r="PHK40" s="65"/>
      <c r="PHL40" s="65"/>
      <c r="PHM40" s="65"/>
      <c r="PHN40" s="65"/>
      <c r="PHO40" s="65"/>
      <c r="PHP40" s="65"/>
      <c r="PHQ40" s="65"/>
      <c r="PHR40" s="65"/>
      <c r="PHS40" s="65"/>
      <c r="PHT40" s="65"/>
      <c r="PHU40" s="65"/>
      <c r="PHV40" s="65"/>
      <c r="PHW40" s="65"/>
      <c r="PHX40" s="65"/>
      <c r="PHY40" s="65"/>
      <c r="PHZ40" s="65"/>
      <c r="PIA40" s="65"/>
      <c r="PIB40" s="65"/>
      <c r="PIC40" s="65"/>
      <c r="PID40" s="65"/>
      <c r="PIE40" s="65"/>
      <c r="PIF40" s="65"/>
      <c r="PIG40" s="65"/>
      <c r="PIH40" s="65"/>
      <c r="PII40" s="65"/>
      <c r="PIJ40" s="65"/>
      <c r="PIK40" s="65"/>
      <c r="PIL40" s="65"/>
      <c r="PIM40" s="65"/>
      <c r="PIN40" s="65"/>
      <c r="PIO40" s="65"/>
      <c r="PIP40" s="65"/>
      <c r="PIQ40" s="65"/>
      <c r="PIR40" s="65"/>
      <c r="PIS40" s="65"/>
      <c r="PIT40" s="65"/>
      <c r="PIU40" s="65"/>
      <c r="PIV40" s="65"/>
      <c r="PIW40" s="65"/>
      <c r="PIX40" s="65"/>
      <c r="PIY40" s="65"/>
      <c r="PIZ40" s="65"/>
      <c r="PJA40" s="65"/>
      <c r="PJB40" s="65"/>
      <c r="PJC40" s="65"/>
      <c r="PJD40" s="65"/>
      <c r="PJE40" s="65"/>
      <c r="PJF40" s="65"/>
      <c r="PJG40" s="65"/>
      <c r="PJH40" s="65"/>
      <c r="PJI40" s="65"/>
      <c r="PJJ40" s="65"/>
      <c r="PJK40" s="65"/>
      <c r="PJL40" s="65"/>
      <c r="PJM40" s="65"/>
      <c r="PJN40" s="65"/>
      <c r="PJO40" s="65"/>
      <c r="PJP40" s="65"/>
      <c r="PJQ40" s="65"/>
      <c r="PJR40" s="65"/>
      <c r="PJS40" s="65"/>
      <c r="PJT40" s="65"/>
      <c r="PJU40" s="65"/>
      <c r="PJV40" s="65"/>
      <c r="PJW40" s="65"/>
      <c r="PJX40" s="65"/>
      <c r="PJY40" s="65"/>
      <c r="PJZ40" s="65"/>
      <c r="PKA40" s="65"/>
      <c r="PKB40" s="65"/>
      <c r="PKC40" s="65"/>
      <c r="PKD40" s="65"/>
      <c r="PKE40" s="65"/>
      <c r="PKF40" s="65"/>
      <c r="PKG40" s="65"/>
      <c r="PKH40" s="65"/>
      <c r="PKI40" s="65"/>
      <c r="PKJ40" s="65"/>
      <c r="PKK40" s="65"/>
      <c r="PKL40" s="65"/>
      <c r="PKM40" s="65"/>
      <c r="PKN40" s="65"/>
      <c r="PKO40" s="65"/>
      <c r="PKP40" s="65"/>
      <c r="PKQ40" s="65"/>
      <c r="PKR40" s="65"/>
      <c r="PKS40" s="65"/>
      <c r="PKT40" s="65"/>
      <c r="PKU40" s="65"/>
      <c r="PKV40" s="65"/>
      <c r="PKW40" s="65"/>
      <c r="PKX40" s="65"/>
      <c r="PKY40" s="65"/>
      <c r="PKZ40" s="65"/>
      <c r="PLA40" s="65"/>
      <c r="PLB40" s="65"/>
      <c r="PLC40" s="65"/>
      <c r="PLD40" s="65"/>
      <c r="PLE40" s="65"/>
      <c r="PLF40" s="65"/>
      <c r="PLG40" s="65"/>
      <c r="PLH40" s="65"/>
      <c r="PLI40" s="65"/>
      <c r="PLJ40" s="65"/>
      <c r="PLK40" s="65"/>
      <c r="PLL40" s="65"/>
      <c r="PLM40" s="65"/>
      <c r="PLN40" s="65"/>
      <c r="PLO40" s="65"/>
      <c r="PLP40" s="65"/>
      <c r="PLQ40" s="65"/>
      <c r="PLR40" s="65"/>
      <c r="PLS40" s="65"/>
      <c r="PLT40" s="65"/>
      <c r="PLU40" s="65"/>
      <c r="PLV40" s="65"/>
      <c r="PLW40" s="65"/>
      <c r="PLX40" s="65"/>
      <c r="PLY40" s="65"/>
      <c r="PLZ40" s="65"/>
      <c r="PMA40" s="65"/>
      <c r="PMB40" s="65"/>
      <c r="PMC40" s="65"/>
      <c r="PMD40" s="65"/>
      <c r="PME40" s="65"/>
      <c r="PMF40" s="65"/>
      <c r="PMG40" s="65"/>
      <c r="PMH40" s="65"/>
      <c r="PMI40" s="65"/>
      <c r="PMJ40" s="65"/>
      <c r="PMK40" s="65"/>
      <c r="PML40" s="65"/>
      <c r="PMM40" s="65"/>
      <c r="PMN40" s="65"/>
      <c r="PMO40" s="65"/>
      <c r="PMP40" s="65"/>
      <c r="PMQ40" s="65"/>
      <c r="PMR40" s="65"/>
      <c r="PMS40" s="65"/>
      <c r="PMT40" s="65"/>
      <c r="PMU40" s="65"/>
      <c r="PMV40" s="65"/>
      <c r="PMW40" s="65"/>
      <c r="PMX40" s="65"/>
      <c r="PMY40" s="65"/>
      <c r="PMZ40" s="65"/>
      <c r="PNA40" s="65"/>
      <c r="PNB40" s="65"/>
      <c r="PNC40" s="65"/>
      <c r="PND40" s="65"/>
      <c r="PNE40" s="65"/>
      <c r="PNF40" s="65"/>
      <c r="PNG40" s="65"/>
      <c r="PNH40" s="65"/>
      <c r="PNI40" s="65"/>
      <c r="PNJ40" s="65"/>
      <c r="PNK40" s="65"/>
      <c r="PNL40" s="65"/>
      <c r="PNM40" s="65"/>
      <c r="PNN40" s="65"/>
      <c r="PNO40" s="65"/>
      <c r="PNP40" s="65"/>
      <c r="PNQ40" s="65"/>
      <c r="PNR40" s="65"/>
      <c r="PNS40" s="65"/>
      <c r="PNT40" s="65"/>
      <c r="PNU40" s="65"/>
      <c r="PNV40" s="65"/>
      <c r="PNW40" s="65"/>
      <c r="PNX40" s="65"/>
      <c r="PNY40" s="65"/>
      <c r="PNZ40" s="65"/>
      <c r="POA40" s="65"/>
      <c r="POB40" s="65"/>
      <c r="POC40" s="65"/>
      <c r="POD40" s="65"/>
      <c r="POE40" s="65"/>
      <c r="POF40" s="65"/>
      <c r="POG40" s="65"/>
      <c r="POH40" s="65"/>
      <c r="POI40" s="65"/>
      <c r="POJ40" s="65"/>
      <c r="POK40" s="65"/>
      <c r="POL40" s="65"/>
      <c r="POM40" s="65"/>
      <c r="PON40" s="65"/>
      <c r="POO40" s="65"/>
      <c r="POP40" s="65"/>
      <c r="POQ40" s="65"/>
      <c r="POR40" s="65"/>
      <c r="POS40" s="65"/>
      <c r="POT40" s="65"/>
      <c r="POU40" s="65"/>
      <c r="POV40" s="65"/>
      <c r="POW40" s="65"/>
      <c r="POX40" s="65"/>
      <c r="POY40" s="65"/>
      <c r="POZ40" s="65"/>
      <c r="PPA40" s="65"/>
      <c r="PPB40" s="65"/>
      <c r="PPC40" s="65"/>
      <c r="PPD40" s="65"/>
      <c r="PPE40" s="65"/>
      <c r="PPF40" s="65"/>
      <c r="PPG40" s="65"/>
      <c r="PPH40" s="65"/>
      <c r="PPI40" s="65"/>
      <c r="PPJ40" s="65"/>
      <c r="PPK40" s="65"/>
      <c r="PPL40" s="65"/>
      <c r="PPM40" s="65"/>
      <c r="PPN40" s="65"/>
      <c r="PPO40" s="65"/>
      <c r="PPP40" s="65"/>
      <c r="PPQ40" s="65"/>
      <c r="PPR40" s="65"/>
      <c r="PPS40" s="65"/>
      <c r="PPT40" s="65"/>
      <c r="PPU40" s="65"/>
      <c r="PPV40" s="65"/>
      <c r="PPW40" s="65"/>
      <c r="PPX40" s="65"/>
      <c r="PPY40" s="65"/>
      <c r="PPZ40" s="65"/>
      <c r="PQA40" s="65"/>
      <c r="PQB40" s="65"/>
      <c r="PQC40" s="65"/>
      <c r="PQD40" s="65"/>
      <c r="PQE40" s="65"/>
      <c r="PQF40" s="65"/>
      <c r="PQG40" s="65"/>
      <c r="PQH40" s="65"/>
      <c r="PQI40" s="65"/>
      <c r="PQJ40" s="65"/>
      <c r="PQK40" s="65"/>
      <c r="PQL40" s="65"/>
      <c r="PQM40" s="65"/>
      <c r="PQN40" s="65"/>
      <c r="PQO40" s="65"/>
      <c r="PQP40" s="65"/>
      <c r="PQQ40" s="65"/>
      <c r="PQR40" s="65"/>
      <c r="PQS40" s="65"/>
      <c r="PQT40" s="65"/>
      <c r="PQU40" s="65"/>
      <c r="PQV40" s="65"/>
      <c r="PQW40" s="65"/>
      <c r="PQX40" s="65"/>
      <c r="PQY40" s="65"/>
      <c r="PQZ40" s="65"/>
      <c r="PRA40" s="65"/>
      <c r="PRB40" s="65"/>
      <c r="PRC40" s="65"/>
      <c r="PRD40" s="65"/>
      <c r="PRE40" s="65"/>
      <c r="PRF40" s="65"/>
      <c r="PRG40" s="65"/>
      <c r="PRH40" s="65"/>
      <c r="PRI40" s="65"/>
      <c r="PRJ40" s="65"/>
      <c r="PRK40" s="65"/>
      <c r="PRL40" s="65"/>
      <c r="PRM40" s="65"/>
      <c r="PRN40" s="65"/>
      <c r="PRO40" s="65"/>
      <c r="PRP40" s="65"/>
      <c r="PRQ40" s="65"/>
      <c r="PRR40" s="65"/>
      <c r="PRS40" s="65"/>
      <c r="PRT40" s="65"/>
      <c r="PRU40" s="65"/>
      <c r="PRV40" s="65"/>
      <c r="PRW40" s="65"/>
      <c r="PRX40" s="65"/>
      <c r="PRY40" s="65"/>
      <c r="PRZ40" s="65"/>
      <c r="PSA40" s="65"/>
      <c r="PSB40" s="65"/>
      <c r="PSC40" s="65"/>
      <c r="PSD40" s="65"/>
      <c r="PSE40" s="65"/>
      <c r="PSF40" s="65"/>
      <c r="PSG40" s="65"/>
      <c r="PSH40" s="65"/>
      <c r="PSI40" s="65"/>
      <c r="PSJ40" s="65"/>
      <c r="PSK40" s="65"/>
      <c r="PSL40" s="65"/>
      <c r="PSM40" s="65"/>
      <c r="PSN40" s="65"/>
      <c r="PSO40" s="65"/>
      <c r="PSP40" s="65"/>
      <c r="PSQ40" s="65"/>
      <c r="PSR40" s="65"/>
      <c r="PSS40" s="65"/>
      <c r="PST40" s="65"/>
      <c r="PSU40" s="65"/>
      <c r="PSV40" s="65"/>
      <c r="PSW40" s="65"/>
      <c r="PSX40" s="65"/>
      <c r="PSY40" s="65"/>
      <c r="PSZ40" s="65"/>
      <c r="PTA40" s="65"/>
      <c r="PTB40" s="65"/>
      <c r="PTC40" s="65"/>
      <c r="PTD40" s="65"/>
      <c r="PTE40" s="65"/>
      <c r="PTF40" s="65"/>
      <c r="PTG40" s="65"/>
      <c r="PTH40" s="65"/>
      <c r="PTI40" s="65"/>
      <c r="PTJ40" s="65"/>
      <c r="PTK40" s="65"/>
      <c r="PTL40" s="65"/>
      <c r="PTM40" s="65"/>
      <c r="PTN40" s="65"/>
      <c r="PTO40" s="65"/>
      <c r="PTP40" s="65"/>
      <c r="PTQ40" s="65"/>
      <c r="PTR40" s="65"/>
      <c r="PTS40" s="65"/>
      <c r="PTT40" s="65"/>
      <c r="PTU40" s="65"/>
      <c r="PTV40" s="65"/>
      <c r="PTW40" s="65"/>
      <c r="PTX40" s="65"/>
      <c r="PTY40" s="65"/>
      <c r="PTZ40" s="65"/>
      <c r="PUA40" s="65"/>
      <c r="PUB40" s="65"/>
      <c r="PUC40" s="65"/>
      <c r="PUD40" s="65"/>
      <c r="PUE40" s="65"/>
      <c r="PUF40" s="65"/>
      <c r="PUG40" s="65"/>
      <c r="PUH40" s="65"/>
      <c r="PUI40" s="65"/>
      <c r="PUJ40" s="65"/>
      <c r="PUK40" s="65"/>
      <c r="PUL40" s="65"/>
      <c r="PUM40" s="65"/>
      <c r="PUN40" s="65"/>
      <c r="PUO40" s="65"/>
      <c r="PUP40" s="65"/>
      <c r="PUQ40" s="65"/>
      <c r="PUR40" s="65"/>
      <c r="PUS40" s="65"/>
      <c r="PUT40" s="65"/>
      <c r="PUU40" s="65"/>
      <c r="PUV40" s="65"/>
      <c r="PUW40" s="65"/>
      <c r="PUX40" s="65"/>
      <c r="PUY40" s="65"/>
      <c r="PUZ40" s="65"/>
      <c r="PVA40" s="65"/>
      <c r="PVB40" s="65"/>
      <c r="PVC40" s="65"/>
      <c r="PVD40" s="65"/>
      <c r="PVE40" s="65"/>
      <c r="PVF40" s="65"/>
      <c r="PVG40" s="65"/>
      <c r="PVH40" s="65"/>
      <c r="PVI40" s="65"/>
      <c r="PVJ40" s="65"/>
      <c r="PVK40" s="65"/>
      <c r="PVL40" s="65"/>
      <c r="PVM40" s="65"/>
      <c r="PVN40" s="65"/>
      <c r="PVO40" s="65"/>
      <c r="PVP40" s="65"/>
      <c r="PVQ40" s="65"/>
      <c r="PVR40" s="65"/>
      <c r="PVS40" s="65"/>
      <c r="PVT40" s="65"/>
      <c r="PVU40" s="65"/>
      <c r="PVV40" s="65"/>
      <c r="PVW40" s="65"/>
      <c r="PVX40" s="65"/>
      <c r="PVY40" s="65"/>
      <c r="PVZ40" s="65"/>
      <c r="PWA40" s="65"/>
      <c r="PWB40" s="65"/>
      <c r="PWC40" s="65"/>
      <c r="PWD40" s="65"/>
      <c r="PWE40" s="65"/>
      <c r="PWF40" s="65"/>
      <c r="PWG40" s="65"/>
      <c r="PWH40" s="65"/>
      <c r="PWI40" s="65"/>
      <c r="PWJ40" s="65"/>
      <c r="PWK40" s="65"/>
      <c r="PWL40" s="65"/>
      <c r="PWM40" s="65"/>
      <c r="PWN40" s="65"/>
      <c r="PWO40" s="65"/>
      <c r="PWP40" s="65"/>
      <c r="PWQ40" s="65"/>
      <c r="PWR40" s="65"/>
      <c r="PWS40" s="65"/>
      <c r="PWT40" s="65"/>
      <c r="PWU40" s="65"/>
      <c r="PWV40" s="65"/>
      <c r="PWW40" s="65"/>
      <c r="PWX40" s="65"/>
      <c r="PWY40" s="65"/>
      <c r="PWZ40" s="65"/>
      <c r="PXA40" s="65"/>
      <c r="PXB40" s="65"/>
      <c r="PXC40" s="65"/>
      <c r="PXD40" s="65"/>
      <c r="PXE40" s="65"/>
      <c r="PXF40" s="65"/>
      <c r="PXG40" s="65"/>
      <c r="PXH40" s="65"/>
      <c r="PXI40" s="65"/>
      <c r="PXJ40" s="65"/>
      <c r="PXK40" s="65"/>
      <c r="PXL40" s="65"/>
      <c r="PXM40" s="65"/>
      <c r="PXN40" s="65"/>
      <c r="PXO40" s="65"/>
      <c r="PXP40" s="65"/>
      <c r="PXQ40" s="65"/>
      <c r="PXR40" s="65"/>
      <c r="PXS40" s="65"/>
      <c r="PXT40" s="65"/>
      <c r="PXU40" s="65"/>
      <c r="PXV40" s="65"/>
      <c r="PXW40" s="65"/>
      <c r="PXX40" s="65"/>
      <c r="PXY40" s="65"/>
      <c r="PXZ40" s="65"/>
      <c r="PYA40" s="65"/>
      <c r="PYB40" s="65"/>
      <c r="PYC40" s="65"/>
      <c r="PYD40" s="65"/>
      <c r="PYE40" s="65"/>
      <c r="PYF40" s="65"/>
      <c r="PYG40" s="65"/>
      <c r="PYH40" s="65"/>
      <c r="PYI40" s="65"/>
      <c r="PYJ40" s="65"/>
      <c r="PYK40" s="65"/>
      <c r="PYL40" s="65"/>
      <c r="PYM40" s="65"/>
      <c r="PYN40" s="65"/>
      <c r="PYO40" s="65"/>
      <c r="PYP40" s="65"/>
      <c r="PYQ40" s="65"/>
      <c r="PYR40" s="65"/>
      <c r="PYS40" s="65"/>
      <c r="PYT40" s="65"/>
      <c r="PYU40" s="65"/>
      <c r="PYV40" s="65"/>
      <c r="PYW40" s="65"/>
      <c r="PYX40" s="65"/>
      <c r="PYY40" s="65"/>
      <c r="PYZ40" s="65"/>
      <c r="PZA40" s="65"/>
      <c r="PZB40" s="65"/>
      <c r="PZC40" s="65"/>
      <c r="PZD40" s="65"/>
      <c r="PZE40" s="65"/>
      <c r="PZF40" s="65"/>
      <c r="PZG40" s="65"/>
      <c r="PZH40" s="65"/>
      <c r="PZI40" s="65"/>
      <c r="PZJ40" s="65"/>
      <c r="PZK40" s="65"/>
      <c r="PZL40" s="65"/>
      <c r="PZM40" s="65"/>
      <c r="PZN40" s="65"/>
      <c r="PZO40" s="65"/>
      <c r="PZP40" s="65"/>
      <c r="PZQ40" s="65"/>
      <c r="PZR40" s="65"/>
      <c r="PZS40" s="65"/>
      <c r="PZT40" s="65"/>
      <c r="PZU40" s="65"/>
      <c r="PZV40" s="65"/>
      <c r="PZW40" s="65"/>
      <c r="PZX40" s="65"/>
      <c r="PZY40" s="65"/>
      <c r="PZZ40" s="65"/>
      <c r="QAA40" s="65"/>
      <c r="QAB40" s="65"/>
      <c r="QAC40" s="65"/>
      <c r="QAD40" s="65"/>
      <c r="QAE40" s="65"/>
      <c r="QAF40" s="65"/>
      <c r="QAG40" s="65"/>
      <c r="QAH40" s="65"/>
      <c r="QAI40" s="65"/>
      <c r="QAJ40" s="65"/>
      <c r="QAK40" s="65"/>
      <c r="QAL40" s="65"/>
      <c r="QAM40" s="65"/>
      <c r="QAN40" s="65"/>
      <c r="QAO40" s="65"/>
      <c r="QAP40" s="65"/>
      <c r="QAQ40" s="65"/>
      <c r="QAR40" s="65"/>
      <c r="QAS40" s="65"/>
      <c r="QAT40" s="65"/>
      <c r="QAU40" s="65"/>
      <c r="QAV40" s="65"/>
      <c r="QAW40" s="65"/>
      <c r="QAX40" s="65"/>
      <c r="QAY40" s="65"/>
      <c r="QAZ40" s="65"/>
      <c r="QBA40" s="65"/>
      <c r="QBB40" s="65"/>
      <c r="QBC40" s="65"/>
      <c r="QBD40" s="65"/>
      <c r="QBE40" s="65"/>
      <c r="QBF40" s="65"/>
      <c r="QBG40" s="65"/>
      <c r="QBH40" s="65"/>
      <c r="QBI40" s="65"/>
      <c r="QBJ40" s="65"/>
      <c r="QBK40" s="65"/>
      <c r="QBL40" s="65"/>
      <c r="QBM40" s="65"/>
      <c r="QBN40" s="65"/>
      <c r="QBO40" s="65"/>
      <c r="QBP40" s="65"/>
      <c r="QBQ40" s="65"/>
      <c r="QBR40" s="65"/>
      <c r="QBS40" s="65"/>
      <c r="QBT40" s="65"/>
      <c r="QBU40" s="65"/>
      <c r="QBV40" s="65"/>
      <c r="QBW40" s="65"/>
      <c r="QBX40" s="65"/>
      <c r="QBY40" s="65"/>
      <c r="QBZ40" s="65"/>
      <c r="QCA40" s="65"/>
      <c r="QCB40" s="65"/>
      <c r="QCC40" s="65"/>
      <c r="QCD40" s="65"/>
      <c r="QCE40" s="65"/>
      <c r="QCF40" s="65"/>
      <c r="QCG40" s="65"/>
      <c r="QCH40" s="65"/>
      <c r="QCI40" s="65"/>
      <c r="QCJ40" s="65"/>
      <c r="QCK40" s="65"/>
      <c r="QCL40" s="65"/>
      <c r="QCM40" s="65"/>
      <c r="QCN40" s="65"/>
      <c r="QCO40" s="65"/>
      <c r="QCP40" s="65"/>
      <c r="QCQ40" s="65"/>
      <c r="QCR40" s="65"/>
      <c r="QCS40" s="65"/>
      <c r="QCT40" s="65"/>
      <c r="QCU40" s="65"/>
      <c r="QCV40" s="65"/>
      <c r="QCW40" s="65"/>
      <c r="QCX40" s="65"/>
      <c r="QCY40" s="65"/>
      <c r="QCZ40" s="65"/>
      <c r="QDA40" s="65"/>
      <c r="QDB40" s="65"/>
      <c r="QDC40" s="65"/>
      <c r="QDD40" s="65"/>
      <c r="QDE40" s="65"/>
      <c r="QDF40" s="65"/>
      <c r="QDG40" s="65"/>
      <c r="QDH40" s="65"/>
      <c r="QDI40" s="65"/>
      <c r="QDJ40" s="65"/>
      <c r="QDK40" s="65"/>
      <c r="QDL40" s="65"/>
      <c r="QDM40" s="65"/>
      <c r="QDN40" s="65"/>
      <c r="QDO40" s="65"/>
      <c r="QDP40" s="65"/>
      <c r="QDQ40" s="65"/>
      <c r="QDR40" s="65"/>
      <c r="QDS40" s="65"/>
      <c r="QDT40" s="65"/>
      <c r="QDU40" s="65"/>
      <c r="QDV40" s="65"/>
      <c r="QDW40" s="65"/>
      <c r="QDX40" s="65"/>
      <c r="QDY40" s="65"/>
      <c r="QDZ40" s="65"/>
      <c r="QEA40" s="65"/>
      <c r="QEB40" s="65"/>
      <c r="QEC40" s="65"/>
      <c r="QED40" s="65"/>
      <c r="QEE40" s="65"/>
      <c r="QEF40" s="65"/>
      <c r="QEG40" s="65"/>
      <c r="QEH40" s="65"/>
      <c r="QEI40" s="65"/>
      <c r="QEJ40" s="65"/>
      <c r="QEK40" s="65"/>
      <c r="QEL40" s="65"/>
      <c r="QEM40" s="65"/>
      <c r="QEN40" s="65"/>
      <c r="QEO40" s="65"/>
      <c r="QEP40" s="65"/>
      <c r="QEQ40" s="65"/>
      <c r="QER40" s="65"/>
      <c r="QES40" s="65"/>
      <c r="QET40" s="65"/>
      <c r="QEU40" s="65"/>
      <c r="QEV40" s="65"/>
      <c r="QEW40" s="65"/>
      <c r="QEX40" s="65"/>
      <c r="QEY40" s="65"/>
      <c r="QEZ40" s="65"/>
      <c r="QFA40" s="65"/>
      <c r="QFB40" s="65"/>
      <c r="QFC40" s="65"/>
      <c r="QFD40" s="65"/>
      <c r="QFE40" s="65"/>
      <c r="QFF40" s="65"/>
      <c r="QFG40" s="65"/>
      <c r="QFH40" s="65"/>
      <c r="QFI40" s="65"/>
      <c r="QFJ40" s="65"/>
      <c r="QFK40" s="65"/>
      <c r="QFL40" s="65"/>
      <c r="QFM40" s="65"/>
      <c r="QFN40" s="65"/>
      <c r="QFO40" s="65"/>
      <c r="QFP40" s="65"/>
      <c r="QFQ40" s="65"/>
      <c r="QFR40" s="65"/>
      <c r="QFS40" s="65"/>
      <c r="QFT40" s="65"/>
      <c r="QFU40" s="65"/>
      <c r="QFV40" s="65"/>
      <c r="QFW40" s="65"/>
      <c r="QFX40" s="65"/>
      <c r="QFY40" s="65"/>
      <c r="QFZ40" s="65"/>
      <c r="QGA40" s="65"/>
      <c r="QGB40" s="65"/>
      <c r="QGC40" s="65"/>
      <c r="QGD40" s="65"/>
      <c r="QGE40" s="65"/>
      <c r="QGF40" s="65"/>
      <c r="QGG40" s="65"/>
      <c r="QGH40" s="65"/>
      <c r="QGI40" s="65"/>
      <c r="QGJ40" s="65"/>
      <c r="QGK40" s="65"/>
      <c r="QGL40" s="65"/>
      <c r="QGM40" s="65"/>
      <c r="QGN40" s="65"/>
      <c r="QGO40" s="65"/>
      <c r="QGP40" s="65"/>
      <c r="QGQ40" s="65"/>
      <c r="QGR40" s="65"/>
      <c r="QGS40" s="65"/>
      <c r="QGT40" s="65"/>
      <c r="QGU40" s="65"/>
      <c r="QGV40" s="65"/>
      <c r="QGW40" s="65"/>
      <c r="QGX40" s="65"/>
      <c r="QGY40" s="65"/>
      <c r="QGZ40" s="65"/>
      <c r="QHA40" s="65"/>
      <c r="QHB40" s="65"/>
      <c r="QHC40" s="65"/>
      <c r="QHD40" s="65"/>
      <c r="QHE40" s="65"/>
      <c r="QHF40" s="65"/>
      <c r="QHG40" s="65"/>
      <c r="QHH40" s="65"/>
      <c r="QHI40" s="65"/>
      <c r="QHJ40" s="65"/>
      <c r="QHK40" s="65"/>
      <c r="QHL40" s="65"/>
      <c r="QHM40" s="65"/>
      <c r="QHN40" s="65"/>
      <c r="QHO40" s="65"/>
      <c r="QHP40" s="65"/>
      <c r="QHQ40" s="65"/>
      <c r="QHR40" s="65"/>
      <c r="QHS40" s="65"/>
      <c r="QHT40" s="65"/>
      <c r="QHU40" s="65"/>
      <c r="QHV40" s="65"/>
      <c r="QHW40" s="65"/>
      <c r="QHX40" s="65"/>
      <c r="QHY40" s="65"/>
      <c r="QHZ40" s="65"/>
      <c r="QIA40" s="65"/>
      <c r="QIB40" s="65"/>
      <c r="QIC40" s="65"/>
      <c r="QID40" s="65"/>
      <c r="QIE40" s="65"/>
      <c r="QIF40" s="65"/>
      <c r="QIG40" s="65"/>
      <c r="QIH40" s="65"/>
      <c r="QII40" s="65"/>
      <c r="QIJ40" s="65"/>
      <c r="QIK40" s="65"/>
      <c r="QIL40" s="65"/>
      <c r="QIM40" s="65"/>
      <c r="QIN40" s="65"/>
      <c r="QIO40" s="65"/>
      <c r="QIP40" s="65"/>
      <c r="QIQ40" s="65"/>
      <c r="QIR40" s="65"/>
      <c r="QIS40" s="65"/>
      <c r="QIT40" s="65"/>
      <c r="QIU40" s="65"/>
      <c r="QIV40" s="65"/>
      <c r="QIW40" s="65"/>
      <c r="QIX40" s="65"/>
      <c r="QIY40" s="65"/>
      <c r="QIZ40" s="65"/>
      <c r="QJA40" s="65"/>
      <c r="QJB40" s="65"/>
      <c r="QJC40" s="65"/>
      <c r="QJD40" s="65"/>
      <c r="QJE40" s="65"/>
      <c r="QJF40" s="65"/>
      <c r="QJG40" s="65"/>
      <c r="QJH40" s="65"/>
      <c r="QJI40" s="65"/>
      <c r="QJJ40" s="65"/>
      <c r="QJK40" s="65"/>
      <c r="QJL40" s="65"/>
      <c r="QJM40" s="65"/>
      <c r="QJN40" s="65"/>
      <c r="QJO40" s="65"/>
      <c r="QJP40" s="65"/>
      <c r="QJQ40" s="65"/>
      <c r="QJR40" s="65"/>
      <c r="QJS40" s="65"/>
      <c r="QJT40" s="65"/>
      <c r="QJU40" s="65"/>
      <c r="QJV40" s="65"/>
      <c r="QJW40" s="65"/>
      <c r="QJX40" s="65"/>
      <c r="QJY40" s="65"/>
      <c r="QJZ40" s="65"/>
      <c r="QKA40" s="65"/>
      <c r="QKB40" s="65"/>
      <c r="QKC40" s="65"/>
      <c r="QKD40" s="65"/>
      <c r="QKE40" s="65"/>
      <c r="QKF40" s="65"/>
      <c r="QKG40" s="65"/>
      <c r="QKH40" s="65"/>
      <c r="QKI40" s="65"/>
      <c r="QKJ40" s="65"/>
      <c r="QKK40" s="65"/>
      <c r="QKL40" s="65"/>
      <c r="QKM40" s="65"/>
      <c r="QKN40" s="65"/>
      <c r="QKO40" s="65"/>
      <c r="QKP40" s="65"/>
      <c r="QKQ40" s="65"/>
      <c r="QKR40" s="65"/>
      <c r="QKS40" s="65"/>
      <c r="QKT40" s="65"/>
      <c r="QKU40" s="65"/>
      <c r="QKV40" s="65"/>
      <c r="QKW40" s="65"/>
      <c r="QKX40" s="65"/>
      <c r="QKY40" s="65"/>
      <c r="QKZ40" s="65"/>
      <c r="QLA40" s="65"/>
      <c r="QLB40" s="65"/>
      <c r="QLC40" s="65"/>
      <c r="QLD40" s="65"/>
      <c r="QLE40" s="65"/>
      <c r="QLF40" s="65"/>
      <c r="QLG40" s="65"/>
      <c r="QLH40" s="65"/>
      <c r="QLI40" s="65"/>
      <c r="QLJ40" s="65"/>
      <c r="QLK40" s="65"/>
      <c r="QLL40" s="65"/>
      <c r="QLM40" s="65"/>
      <c r="QLN40" s="65"/>
      <c r="QLO40" s="65"/>
      <c r="QLP40" s="65"/>
      <c r="QLQ40" s="65"/>
      <c r="QLR40" s="65"/>
      <c r="QLS40" s="65"/>
      <c r="QLT40" s="65"/>
      <c r="QLU40" s="65"/>
      <c r="QLV40" s="65"/>
      <c r="QLW40" s="65"/>
      <c r="QLX40" s="65"/>
      <c r="QLY40" s="65"/>
      <c r="QLZ40" s="65"/>
      <c r="QMA40" s="65"/>
      <c r="QMB40" s="65"/>
      <c r="QMC40" s="65"/>
      <c r="QMD40" s="65"/>
      <c r="QME40" s="65"/>
      <c r="QMF40" s="65"/>
      <c r="QMG40" s="65"/>
      <c r="QMH40" s="65"/>
      <c r="QMI40" s="65"/>
      <c r="QMJ40" s="65"/>
      <c r="QMK40" s="65"/>
      <c r="QML40" s="65"/>
      <c r="QMM40" s="65"/>
      <c r="QMN40" s="65"/>
      <c r="QMO40" s="65"/>
      <c r="QMP40" s="65"/>
      <c r="QMQ40" s="65"/>
      <c r="QMR40" s="65"/>
      <c r="QMS40" s="65"/>
      <c r="QMT40" s="65"/>
      <c r="QMU40" s="65"/>
      <c r="QMV40" s="65"/>
      <c r="QMW40" s="65"/>
      <c r="QMX40" s="65"/>
      <c r="QMY40" s="65"/>
      <c r="QMZ40" s="65"/>
      <c r="QNA40" s="65"/>
      <c r="QNB40" s="65"/>
      <c r="QNC40" s="65"/>
      <c r="QND40" s="65"/>
      <c r="QNE40" s="65"/>
      <c r="QNF40" s="65"/>
      <c r="QNG40" s="65"/>
      <c r="QNH40" s="65"/>
      <c r="QNI40" s="65"/>
      <c r="QNJ40" s="65"/>
      <c r="QNK40" s="65"/>
      <c r="QNL40" s="65"/>
      <c r="QNM40" s="65"/>
      <c r="QNN40" s="65"/>
      <c r="QNO40" s="65"/>
      <c r="QNP40" s="65"/>
      <c r="QNQ40" s="65"/>
      <c r="QNR40" s="65"/>
      <c r="QNS40" s="65"/>
      <c r="QNT40" s="65"/>
      <c r="QNU40" s="65"/>
      <c r="QNV40" s="65"/>
      <c r="QNW40" s="65"/>
      <c r="QNX40" s="65"/>
      <c r="QNY40" s="65"/>
      <c r="QNZ40" s="65"/>
      <c r="QOA40" s="65"/>
      <c r="QOB40" s="65"/>
      <c r="QOC40" s="65"/>
      <c r="QOD40" s="65"/>
      <c r="QOE40" s="65"/>
      <c r="QOF40" s="65"/>
      <c r="QOG40" s="65"/>
      <c r="QOH40" s="65"/>
      <c r="QOI40" s="65"/>
      <c r="QOJ40" s="65"/>
      <c r="QOK40" s="65"/>
      <c r="QOL40" s="65"/>
      <c r="QOM40" s="65"/>
      <c r="QON40" s="65"/>
      <c r="QOO40" s="65"/>
      <c r="QOP40" s="65"/>
      <c r="QOQ40" s="65"/>
      <c r="QOR40" s="65"/>
      <c r="QOS40" s="65"/>
      <c r="QOT40" s="65"/>
      <c r="QOU40" s="65"/>
      <c r="QOV40" s="65"/>
      <c r="QOW40" s="65"/>
      <c r="QOX40" s="65"/>
      <c r="QOY40" s="65"/>
      <c r="QOZ40" s="65"/>
      <c r="QPA40" s="65"/>
      <c r="QPB40" s="65"/>
      <c r="QPC40" s="65"/>
      <c r="QPD40" s="65"/>
      <c r="QPE40" s="65"/>
      <c r="QPF40" s="65"/>
      <c r="QPG40" s="65"/>
      <c r="QPH40" s="65"/>
      <c r="QPI40" s="65"/>
      <c r="QPJ40" s="65"/>
      <c r="QPK40" s="65"/>
      <c r="QPL40" s="65"/>
      <c r="QPM40" s="65"/>
      <c r="QPN40" s="65"/>
      <c r="QPO40" s="65"/>
      <c r="QPP40" s="65"/>
      <c r="QPQ40" s="65"/>
      <c r="QPR40" s="65"/>
      <c r="QPS40" s="65"/>
      <c r="QPT40" s="65"/>
      <c r="QPU40" s="65"/>
      <c r="QPV40" s="65"/>
      <c r="QPW40" s="65"/>
      <c r="QPX40" s="65"/>
      <c r="QPY40" s="65"/>
      <c r="QPZ40" s="65"/>
      <c r="QQA40" s="65"/>
      <c r="QQB40" s="65"/>
      <c r="QQC40" s="65"/>
      <c r="QQD40" s="65"/>
      <c r="QQE40" s="65"/>
      <c r="QQF40" s="65"/>
      <c r="QQG40" s="65"/>
      <c r="QQH40" s="65"/>
      <c r="QQI40" s="65"/>
      <c r="QQJ40" s="65"/>
      <c r="QQK40" s="65"/>
      <c r="QQL40" s="65"/>
      <c r="QQM40" s="65"/>
      <c r="QQN40" s="65"/>
      <c r="QQO40" s="65"/>
      <c r="QQP40" s="65"/>
      <c r="QQQ40" s="65"/>
      <c r="QQR40" s="65"/>
      <c r="QQS40" s="65"/>
      <c r="QQT40" s="65"/>
      <c r="QQU40" s="65"/>
      <c r="QQV40" s="65"/>
      <c r="QQW40" s="65"/>
      <c r="QQX40" s="65"/>
      <c r="QQY40" s="65"/>
      <c r="QQZ40" s="65"/>
      <c r="QRA40" s="65"/>
      <c r="QRB40" s="65"/>
      <c r="QRC40" s="65"/>
      <c r="QRD40" s="65"/>
      <c r="QRE40" s="65"/>
      <c r="QRF40" s="65"/>
      <c r="QRG40" s="65"/>
      <c r="QRH40" s="65"/>
      <c r="QRI40" s="65"/>
      <c r="QRJ40" s="65"/>
      <c r="QRK40" s="65"/>
      <c r="QRL40" s="65"/>
      <c r="QRM40" s="65"/>
      <c r="QRN40" s="65"/>
      <c r="QRO40" s="65"/>
      <c r="QRP40" s="65"/>
      <c r="QRQ40" s="65"/>
      <c r="QRR40" s="65"/>
      <c r="QRS40" s="65"/>
      <c r="QRT40" s="65"/>
      <c r="QRU40" s="65"/>
      <c r="QRV40" s="65"/>
      <c r="QRW40" s="65"/>
      <c r="QRX40" s="65"/>
      <c r="QRY40" s="65"/>
      <c r="QRZ40" s="65"/>
      <c r="QSA40" s="65"/>
      <c r="QSB40" s="65"/>
      <c r="QSC40" s="65"/>
      <c r="QSD40" s="65"/>
      <c r="QSE40" s="65"/>
      <c r="QSF40" s="65"/>
      <c r="QSG40" s="65"/>
      <c r="QSH40" s="65"/>
      <c r="QSI40" s="65"/>
      <c r="QSJ40" s="65"/>
      <c r="QSK40" s="65"/>
      <c r="QSL40" s="65"/>
      <c r="QSM40" s="65"/>
      <c r="QSN40" s="65"/>
      <c r="QSO40" s="65"/>
      <c r="QSP40" s="65"/>
      <c r="QSQ40" s="65"/>
      <c r="QSR40" s="65"/>
      <c r="QSS40" s="65"/>
      <c r="QST40" s="65"/>
      <c r="QSU40" s="65"/>
      <c r="QSV40" s="65"/>
      <c r="QSW40" s="65"/>
      <c r="QSX40" s="65"/>
      <c r="QSY40" s="65"/>
      <c r="QSZ40" s="65"/>
      <c r="QTA40" s="65"/>
      <c r="QTB40" s="65"/>
      <c r="QTC40" s="65"/>
      <c r="QTD40" s="65"/>
      <c r="QTE40" s="65"/>
      <c r="QTF40" s="65"/>
      <c r="QTG40" s="65"/>
      <c r="QTH40" s="65"/>
      <c r="QTI40" s="65"/>
      <c r="QTJ40" s="65"/>
      <c r="QTK40" s="65"/>
      <c r="QTL40" s="65"/>
      <c r="QTM40" s="65"/>
      <c r="QTN40" s="65"/>
      <c r="QTO40" s="65"/>
      <c r="QTP40" s="65"/>
      <c r="QTQ40" s="65"/>
      <c r="QTR40" s="65"/>
      <c r="QTS40" s="65"/>
      <c r="QTT40" s="65"/>
      <c r="QTU40" s="65"/>
      <c r="QTV40" s="65"/>
      <c r="QTW40" s="65"/>
      <c r="QTX40" s="65"/>
      <c r="QTY40" s="65"/>
      <c r="QTZ40" s="65"/>
      <c r="QUA40" s="65"/>
      <c r="QUB40" s="65"/>
      <c r="QUC40" s="65"/>
      <c r="QUD40" s="65"/>
      <c r="QUE40" s="65"/>
      <c r="QUF40" s="65"/>
      <c r="QUG40" s="65"/>
      <c r="QUH40" s="65"/>
      <c r="QUI40" s="65"/>
      <c r="QUJ40" s="65"/>
      <c r="QUK40" s="65"/>
      <c r="QUL40" s="65"/>
      <c r="QUM40" s="65"/>
      <c r="QUN40" s="65"/>
      <c r="QUO40" s="65"/>
      <c r="QUP40" s="65"/>
      <c r="QUQ40" s="65"/>
      <c r="QUR40" s="65"/>
      <c r="QUS40" s="65"/>
      <c r="QUT40" s="65"/>
      <c r="QUU40" s="65"/>
      <c r="QUV40" s="65"/>
      <c r="QUW40" s="65"/>
      <c r="QUX40" s="65"/>
      <c r="QUY40" s="65"/>
      <c r="QUZ40" s="65"/>
      <c r="QVA40" s="65"/>
      <c r="QVB40" s="65"/>
      <c r="QVC40" s="65"/>
      <c r="QVD40" s="65"/>
      <c r="QVE40" s="65"/>
      <c r="QVF40" s="65"/>
      <c r="QVG40" s="65"/>
      <c r="QVH40" s="65"/>
      <c r="QVI40" s="65"/>
      <c r="QVJ40" s="65"/>
      <c r="QVK40" s="65"/>
      <c r="QVL40" s="65"/>
      <c r="QVM40" s="65"/>
      <c r="QVN40" s="65"/>
      <c r="QVO40" s="65"/>
      <c r="QVP40" s="65"/>
      <c r="QVQ40" s="65"/>
      <c r="QVR40" s="65"/>
      <c r="QVS40" s="65"/>
      <c r="QVT40" s="65"/>
      <c r="QVU40" s="65"/>
      <c r="QVV40" s="65"/>
      <c r="QVW40" s="65"/>
      <c r="QVX40" s="65"/>
      <c r="QVY40" s="65"/>
      <c r="QVZ40" s="65"/>
      <c r="QWA40" s="65"/>
      <c r="QWB40" s="65"/>
      <c r="QWC40" s="65"/>
      <c r="QWD40" s="65"/>
      <c r="QWE40" s="65"/>
      <c r="QWF40" s="65"/>
      <c r="QWG40" s="65"/>
      <c r="QWH40" s="65"/>
      <c r="QWI40" s="65"/>
      <c r="QWJ40" s="65"/>
      <c r="QWK40" s="65"/>
      <c r="QWL40" s="65"/>
      <c r="QWM40" s="65"/>
      <c r="QWN40" s="65"/>
      <c r="QWO40" s="65"/>
      <c r="QWP40" s="65"/>
      <c r="QWQ40" s="65"/>
      <c r="QWR40" s="65"/>
      <c r="QWS40" s="65"/>
      <c r="QWT40" s="65"/>
      <c r="QWU40" s="65"/>
      <c r="QWV40" s="65"/>
      <c r="QWW40" s="65"/>
      <c r="QWX40" s="65"/>
      <c r="QWY40" s="65"/>
      <c r="QWZ40" s="65"/>
      <c r="QXA40" s="65"/>
      <c r="QXB40" s="65"/>
      <c r="QXC40" s="65"/>
      <c r="QXD40" s="65"/>
      <c r="QXE40" s="65"/>
      <c r="QXF40" s="65"/>
      <c r="QXG40" s="65"/>
      <c r="QXH40" s="65"/>
      <c r="QXI40" s="65"/>
      <c r="QXJ40" s="65"/>
      <c r="QXK40" s="65"/>
      <c r="QXL40" s="65"/>
      <c r="QXM40" s="65"/>
      <c r="QXN40" s="65"/>
      <c r="QXO40" s="65"/>
      <c r="QXP40" s="65"/>
      <c r="QXQ40" s="65"/>
      <c r="QXR40" s="65"/>
      <c r="QXS40" s="65"/>
      <c r="QXT40" s="65"/>
      <c r="QXU40" s="65"/>
      <c r="QXV40" s="65"/>
      <c r="QXW40" s="65"/>
      <c r="QXX40" s="65"/>
      <c r="QXY40" s="65"/>
      <c r="QXZ40" s="65"/>
      <c r="QYA40" s="65"/>
      <c r="QYB40" s="65"/>
      <c r="QYC40" s="65"/>
      <c r="QYD40" s="65"/>
      <c r="QYE40" s="65"/>
      <c r="QYF40" s="65"/>
      <c r="QYG40" s="65"/>
      <c r="QYH40" s="65"/>
      <c r="QYI40" s="65"/>
      <c r="QYJ40" s="65"/>
      <c r="QYK40" s="65"/>
      <c r="QYL40" s="65"/>
      <c r="QYM40" s="65"/>
      <c r="QYN40" s="65"/>
      <c r="QYO40" s="65"/>
      <c r="QYP40" s="65"/>
      <c r="QYQ40" s="65"/>
      <c r="QYR40" s="65"/>
      <c r="QYS40" s="65"/>
      <c r="QYT40" s="65"/>
      <c r="QYU40" s="65"/>
      <c r="QYV40" s="65"/>
      <c r="QYW40" s="65"/>
      <c r="QYX40" s="65"/>
      <c r="QYY40" s="65"/>
      <c r="QYZ40" s="65"/>
      <c r="QZA40" s="65"/>
      <c r="QZB40" s="65"/>
      <c r="QZC40" s="65"/>
      <c r="QZD40" s="65"/>
      <c r="QZE40" s="65"/>
      <c r="QZF40" s="65"/>
      <c r="QZG40" s="65"/>
      <c r="QZH40" s="65"/>
      <c r="QZI40" s="65"/>
      <c r="QZJ40" s="65"/>
      <c r="QZK40" s="65"/>
      <c r="QZL40" s="65"/>
      <c r="QZM40" s="65"/>
      <c r="QZN40" s="65"/>
      <c r="QZO40" s="65"/>
      <c r="QZP40" s="65"/>
      <c r="QZQ40" s="65"/>
      <c r="QZR40" s="65"/>
      <c r="QZS40" s="65"/>
      <c r="QZT40" s="65"/>
      <c r="QZU40" s="65"/>
      <c r="QZV40" s="65"/>
      <c r="QZW40" s="65"/>
      <c r="QZX40" s="65"/>
      <c r="QZY40" s="65"/>
      <c r="QZZ40" s="65"/>
      <c r="RAA40" s="65"/>
      <c r="RAB40" s="65"/>
      <c r="RAC40" s="65"/>
      <c r="RAD40" s="65"/>
      <c r="RAE40" s="65"/>
      <c r="RAF40" s="65"/>
      <c r="RAG40" s="65"/>
      <c r="RAH40" s="65"/>
      <c r="RAI40" s="65"/>
      <c r="RAJ40" s="65"/>
      <c r="RAK40" s="65"/>
      <c r="RAL40" s="65"/>
      <c r="RAM40" s="65"/>
      <c r="RAN40" s="65"/>
      <c r="RAO40" s="65"/>
      <c r="RAP40" s="65"/>
      <c r="RAQ40" s="65"/>
      <c r="RAR40" s="65"/>
      <c r="RAS40" s="65"/>
      <c r="RAT40" s="65"/>
      <c r="RAU40" s="65"/>
      <c r="RAV40" s="65"/>
      <c r="RAW40" s="65"/>
      <c r="RAX40" s="65"/>
      <c r="RAY40" s="65"/>
      <c r="RAZ40" s="65"/>
      <c r="RBA40" s="65"/>
      <c r="RBB40" s="65"/>
      <c r="RBC40" s="65"/>
      <c r="RBD40" s="65"/>
      <c r="RBE40" s="65"/>
      <c r="RBF40" s="65"/>
      <c r="RBG40" s="65"/>
      <c r="RBH40" s="65"/>
      <c r="RBI40" s="65"/>
      <c r="RBJ40" s="65"/>
      <c r="RBK40" s="65"/>
      <c r="RBL40" s="65"/>
      <c r="RBM40" s="65"/>
      <c r="RBN40" s="65"/>
      <c r="RBO40" s="65"/>
      <c r="RBP40" s="65"/>
      <c r="RBQ40" s="65"/>
      <c r="RBR40" s="65"/>
      <c r="RBS40" s="65"/>
      <c r="RBT40" s="65"/>
      <c r="RBU40" s="65"/>
      <c r="RBV40" s="65"/>
      <c r="RBW40" s="65"/>
      <c r="RBX40" s="65"/>
      <c r="RBY40" s="65"/>
      <c r="RBZ40" s="65"/>
      <c r="RCA40" s="65"/>
      <c r="RCB40" s="65"/>
      <c r="RCC40" s="65"/>
      <c r="RCD40" s="65"/>
      <c r="RCE40" s="65"/>
      <c r="RCF40" s="65"/>
      <c r="RCG40" s="65"/>
      <c r="RCH40" s="65"/>
      <c r="RCI40" s="65"/>
      <c r="RCJ40" s="65"/>
      <c r="RCK40" s="65"/>
      <c r="RCL40" s="65"/>
      <c r="RCM40" s="65"/>
      <c r="RCN40" s="65"/>
      <c r="RCO40" s="65"/>
      <c r="RCP40" s="65"/>
      <c r="RCQ40" s="65"/>
      <c r="RCR40" s="65"/>
      <c r="RCS40" s="65"/>
      <c r="RCT40" s="65"/>
      <c r="RCU40" s="65"/>
      <c r="RCV40" s="65"/>
      <c r="RCW40" s="65"/>
      <c r="RCX40" s="65"/>
      <c r="RCY40" s="65"/>
      <c r="RCZ40" s="65"/>
      <c r="RDA40" s="65"/>
      <c r="RDB40" s="65"/>
      <c r="RDC40" s="65"/>
      <c r="RDD40" s="65"/>
      <c r="RDE40" s="65"/>
      <c r="RDF40" s="65"/>
      <c r="RDG40" s="65"/>
      <c r="RDH40" s="65"/>
      <c r="RDI40" s="65"/>
      <c r="RDJ40" s="65"/>
      <c r="RDK40" s="65"/>
      <c r="RDL40" s="65"/>
      <c r="RDM40" s="65"/>
      <c r="RDN40" s="65"/>
      <c r="RDO40" s="65"/>
      <c r="RDP40" s="65"/>
      <c r="RDQ40" s="65"/>
      <c r="RDR40" s="65"/>
      <c r="RDS40" s="65"/>
      <c r="RDT40" s="65"/>
      <c r="RDU40" s="65"/>
      <c r="RDV40" s="65"/>
      <c r="RDW40" s="65"/>
      <c r="RDX40" s="65"/>
      <c r="RDY40" s="65"/>
      <c r="RDZ40" s="65"/>
      <c r="REA40" s="65"/>
      <c r="REB40" s="65"/>
      <c r="REC40" s="65"/>
      <c r="RED40" s="65"/>
      <c r="REE40" s="65"/>
      <c r="REF40" s="65"/>
      <c r="REG40" s="65"/>
      <c r="REH40" s="65"/>
      <c r="REI40" s="65"/>
      <c r="REJ40" s="65"/>
      <c r="REK40" s="65"/>
      <c r="REL40" s="65"/>
      <c r="REM40" s="65"/>
      <c r="REN40" s="65"/>
      <c r="REO40" s="65"/>
      <c r="REP40" s="65"/>
      <c r="REQ40" s="65"/>
      <c r="RER40" s="65"/>
      <c r="RES40" s="65"/>
      <c r="RET40" s="65"/>
      <c r="REU40" s="65"/>
      <c r="REV40" s="65"/>
      <c r="REW40" s="65"/>
      <c r="REX40" s="65"/>
      <c r="REY40" s="65"/>
      <c r="REZ40" s="65"/>
      <c r="RFA40" s="65"/>
      <c r="RFB40" s="65"/>
      <c r="RFC40" s="65"/>
      <c r="RFD40" s="65"/>
      <c r="RFE40" s="65"/>
      <c r="RFF40" s="65"/>
      <c r="RFG40" s="65"/>
      <c r="RFH40" s="65"/>
      <c r="RFI40" s="65"/>
      <c r="RFJ40" s="65"/>
      <c r="RFK40" s="65"/>
      <c r="RFL40" s="65"/>
      <c r="RFM40" s="65"/>
      <c r="RFN40" s="65"/>
      <c r="RFO40" s="65"/>
      <c r="RFP40" s="65"/>
      <c r="RFQ40" s="65"/>
      <c r="RFR40" s="65"/>
      <c r="RFS40" s="65"/>
      <c r="RFT40" s="65"/>
      <c r="RFU40" s="65"/>
      <c r="RFV40" s="65"/>
      <c r="RFW40" s="65"/>
      <c r="RFX40" s="65"/>
      <c r="RFY40" s="65"/>
      <c r="RFZ40" s="65"/>
      <c r="RGA40" s="65"/>
      <c r="RGB40" s="65"/>
      <c r="RGC40" s="65"/>
      <c r="RGD40" s="65"/>
      <c r="RGE40" s="65"/>
      <c r="RGF40" s="65"/>
      <c r="RGG40" s="65"/>
      <c r="RGH40" s="65"/>
      <c r="RGI40" s="65"/>
      <c r="RGJ40" s="65"/>
      <c r="RGK40" s="65"/>
      <c r="RGL40" s="65"/>
      <c r="RGM40" s="65"/>
      <c r="RGN40" s="65"/>
      <c r="RGO40" s="65"/>
      <c r="RGP40" s="65"/>
      <c r="RGQ40" s="65"/>
      <c r="RGR40" s="65"/>
      <c r="RGS40" s="65"/>
      <c r="RGT40" s="65"/>
      <c r="RGU40" s="65"/>
      <c r="RGV40" s="65"/>
      <c r="RGW40" s="65"/>
      <c r="RGX40" s="65"/>
      <c r="RGY40" s="65"/>
      <c r="RGZ40" s="65"/>
      <c r="RHA40" s="65"/>
      <c r="RHB40" s="65"/>
      <c r="RHC40" s="65"/>
      <c r="RHD40" s="65"/>
      <c r="RHE40" s="65"/>
      <c r="RHF40" s="65"/>
      <c r="RHG40" s="65"/>
      <c r="RHH40" s="65"/>
      <c r="RHI40" s="65"/>
      <c r="RHJ40" s="65"/>
      <c r="RHK40" s="65"/>
      <c r="RHL40" s="65"/>
      <c r="RHM40" s="65"/>
      <c r="RHN40" s="65"/>
      <c r="RHO40" s="65"/>
      <c r="RHP40" s="65"/>
      <c r="RHQ40" s="65"/>
      <c r="RHR40" s="65"/>
      <c r="RHS40" s="65"/>
      <c r="RHT40" s="65"/>
      <c r="RHU40" s="65"/>
      <c r="RHV40" s="65"/>
      <c r="RHW40" s="65"/>
      <c r="RHX40" s="65"/>
      <c r="RHY40" s="65"/>
      <c r="RHZ40" s="65"/>
      <c r="RIA40" s="65"/>
      <c r="RIB40" s="65"/>
      <c r="RIC40" s="65"/>
      <c r="RID40" s="65"/>
      <c r="RIE40" s="65"/>
      <c r="RIF40" s="65"/>
      <c r="RIG40" s="65"/>
      <c r="RIH40" s="65"/>
      <c r="RII40" s="65"/>
      <c r="RIJ40" s="65"/>
      <c r="RIK40" s="65"/>
      <c r="RIL40" s="65"/>
      <c r="RIM40" s="65"/>
      <c r="RIN40" s="65"/>
      <c r="RIO40" s="65"/>
      <c r="RIP40" s="65"/>
      <c r="RIQ40" s="65"/>
      <c r="RIR40" s="65"/>
      <c r="RIS40" s="65"/>
      <c r="RIT40" s="65"/>
      <c r="RIU40" s="65"/>
      <c r="RIV40" s="65"/>
      <c r="RIW40" s="65"/>
      <c r="RIX40" s="65"/>
      <c r="RIY40" s="65"/>
      <c r="RIZ40" s="65"/>
      <c r="RJA40" s="65"/>
      <c r="RJB40" s="65"/>
      <c r="RJC40" s="65"/>
      <c r="RJD40" s="65"/>
      <c r="RJE40" s="65"/>
      <c r="RJF40" s="65"/>
      <c r="RJG40" s="65"/>
      <c r="RJH40" s="65"/>
      <c r="RJI40" s="65"/>
      <c r="RJJ40" s="65"/>
      <c r="RJK40" s="65"/>
      <c r="RJL40" s="65"/>
      <c r="RJM40" s="65"/>
      <c r="RJN40" s="65"/>
      <c r="RJO40" s="65"/>
      <c r="RJP40" s="65"/>
      <c r="RJQ40" s="65"/>
      <c r="RJR40" s="65"/>
      <c r="RJS40" s="65"/>
      <c r="RJT40" s="65"/>
      <c r="RJU40" s="65"/>
      <c r="RJV40" s="65"/>
      <c r="RJW40" s="65"/>
      <c r="RJX40" s="65"/>
      <c r="RJY40" s="65"/>
      <c r="RJZ40" s="65"/>
      <c r="RKA40" s="65"/>
      <c r="RKB40" s="65"/>
      <c r="RKC40" s="65"/>
      <c r="RKD40" s="65"/>
      <c r="RKE40" s="65"/>
      <c r="RKF40" s="65"/>
      <c r="RKG40" s="65"/>
      <c r="RKH40" s="65"/>
      <c r="RKI40" s="65"/>
      <c r="RKJ40" s="65"/>
      <c r="RKK40" s="65"/>
      <c r="RKL40" s="65"/>
      <c r="RKM40" s="65"/>
      <c r="RKN40" s="65"/>
      <c r="RKO40" s="65"/>
      <c r="RKP40" s="65"/>
      <c r="RKQ40" s="65"/>
      <c r="RKR40" s="65"/>
      <c r="RKS40" s="65"/>
      <c r="RKT40" s="65"/>
      <c r="RKU40" s="65"/>
      <c r="RKV40" s="65"/>
      <c r="RKW40" s="65"/>
      <c r="RKX40" s="65"/>
      <c r="RKY40" s="65"/>
      <c r="RKZ40" s="65"/>
      <c r="RLA40" s="65"/>
      <c r="RLB40" s="65"/>
      <c r="RLC40" s="65"/>
      <c r="RLD40" s="65"/>
      <c r="RLE40" s="65"/>
      <c r="RLF40" s="65"/>
      <c r="RLG40" s="65"/>
      <c r="RLH40" s="65"/>
      <c r="RLI40" s="65"/>
      <c r="RLJ40" s="65"/>
      <c r="RLK40" s="65"/>
      <c r="RLL40" s="65"/>
      <c r="RLM40" s="65"/>
      <c r="RLN40" s="65"/>
      <c r="RLO40" s="65"/>
      <c r="RLP40" s="65"/>
      <c r="RLQ40" s="65"/>
      <c r="RLR40" s="65"/>
      <c r="RLS40" s="65"/>
      <c r="RLT40" s="65"/>
      <c r="RLU40" s="65"/>
      <c r="RLV40" s="65"/>
      <c r="RLW40" s="65"/>
      <c r="RLX40" s="65"/>
      <c r="RLY40" s="65"/>
      <c r="RLZ40" s="65"/>
      <c r="RMA40" s="65"/>
      <c r="RMB40" s="65"/>
      <c r="RMC40" s="65"/>
      <c r="RMD40" s="65"/>
      <c r="RME40" s="65"/>
      <c r="RMF40" s="65"/>
      <c r="RMG40" s="65"/>
      <c r="RMH40" s="65"/>
      <c r="RMI40" s="65"/>
      <c r="RMJ40" s="65"/>
      <c r="RMK40" s="65"/>
      <c r="RML40" s="65"/>
      <c r="RMM40" s="65"/>
      <c r="RMN40" s="65"/>
      <c r="RMO40" s="65"/>
      <c r="RMP40" s="65"/>
      <c r="RMQ40" s="65"/>
      <c r="RMR40" s="65"/>
      <c r="RMS40" s="65"/>
      <c r="RMT40" s="65"/>
      <c r="RMU40" s="65"/>
      <c r="RMV40" s="65"/>
      <c r="RMW40" s="65"/>
      <c r="RMX40" s="65"/>
      <c r="RMY40" s="65"/>
      <c r="RMZ40" s="65"/>
      <c r="RNA40" s="65"/>
      <c r="RNB40" s="65"/>
      <c r="RNC40" s="65"/>
      <c r="RND40" s="65"/>
      <c r="RNE40" s="65"/>
      <c r="RNF40" s="65"/>
      <c r="RNG40" s="65"/>
      <c r="RNH40" s="65"/>
      <c r="RNI40" s="65"/>
      <c r="RNJ40" s="65"/>
      <c r="RNK40" s="65"/>
      <c r="RNL40" s="65"/>
      <c r="RNM40" s="65"/>
      <c r="RNN40" s="65"/>
      <c r="RNO40" s="65"/>
      <c r="RNP40" s="65"/>
      <c r="RNQ40" s="65"/>
      <c r="RNR40" s="65"/>
      <c r="RNS40" s="65"/>
      <c r="RNT40" s="65"/>
      <c r="RNU40" s="65"/>
      <c r="RNV40" s="65"/>
      <c r="RNW40" s="65"/>
      <c r="RNX40" s="65"/>
      <c r="RNY40" s="65"/>
      <c r="RNZ40" s="65"/>
      <c r="ROA40" s="65"/>
      <c r="ROB40" s="65"/>
      <c r="ROC40" s="65"/>
      <c r="ROD40" s="65"/>
      <c r="ROE40" s="65"/>
      <c r="ROF40" s="65"/>
      <c r="ROG40" s="65"/>
      <c r="ROH40" s="65"/>
      <c r="ROI40" s="65"/>
      <c r="ROJ40" s="65"/>
      <c r="ROK40" s="65"/>
      <c r="ROL40" s="65"/>
      <c r="ROM40" s="65"/>
      <c r="RON40" s="65"/>
      <c r="ROO40" s="65"/>
      <c r="ROP40" s="65"/>
      <c r="ROQ40" s="65"/>
      <c r="ROR40" s="65"/>
      <c r="ROS40" s="65"/>
      <c r="ROT40" s="65"/>
      <c r="ROU40" s="65"/>
      <c r="ROV40" s="65"/>
      <c r="ROW40" s="65"/>
      <c r="ROX40" s="65"/>
      <c r="ROY40" s="65"/>
      <c r="ROZ40" s="65"/>
      <c r="RPA40" s="65"/>
      <c r="RPB40" s="65"/>
      <c r="RPC40" s="65"/>
      <c r="RPD40" s="65"/>
      <c r="RPE40" s="65"/>
      <c r="RPF40" s="65"/>
      <c r="RPG40" s="65"/>
      <c r="RPH40" s="65"/>
      <c r="RPI40" s="65"/>
      <c r="RPJ40" s="65"/>
      <c r="RPK40" s="65"/>
      <c r="RPL40" s="65"/>
      <c r="RPM40" s="65"/>
      <c r="RPN40" s="65"/>
      <c r="RPO40" s="65"/>
      <c r="RPP40" s="65"/>
      <c r="RPQ40" s="65"/>
      <c r="RPR40" s="65"/>
      <c r="RPS40" s="65"/>
      <c r="RPT40" s="65"/>
      <c r="RPU40" s="65"/>
      <c r="RPV40" s="65"/>
      <c r="RPW40" s="65"/>
      <c r="RPX40" s="65"/>
      <c r="RPY40" s="65"/>
      <c r="RPZ40" s="65"/>
      <c r="RQA40" s="65"/>
      <c r="RQB40" s="65"/>
      <c r="RQC40" s="65"/>
      <c r="RQD40" s="65"/>
      <c r="RQE40" s="65"/>
      <c r="RQF40" s="65"/>
      <c r="RQG40" s="65"/>
      <c r="RQH40" s="65"/>
      <c r="RQI40" s="65"/>
      <c r="RQJ40" s="65"/>
      <c r="RQK40" s="65"/>
      <c r="RQL40" s="65"/>
      <c r="RQM40" s="65"/>
      <c r="RQN40" s="65"/>
      <c r="RQO40" s="65"/>
      <c r="RQP40" s="65"/>
      <c r="RQQ40" s="65"/>
      <c r="RQR40" s="65"/>
      <c r="RQS40" s="65"/>
      <c r="RQT40" s="65"/>
      <c r="RQU40" s="65"/>
      <c r="RQV40" s="65"/>
      <c r="RQW40" s="65"/>
      <c r="RQX40" s="65"/>
      <c r="RQY40" s="65"/>
      <c r="RQZ40" s="65"/>
      <c r="RRA40" s="65"/>
      <c r="RRB40" s="65"/>
      <c r="RRC40" s="65"/>
      <c r="RRD40" s="65"/>
      <c r="RRE40" s="65"/>
      <c r="RRF40" s="65"/>
      <c r="RRG40" s="65"/>
      <c r="RRH40" s="65"/>
      <c r="RRI40" s="65"/>
      <c r="RRJ40" s="65"/>
      <c r="RRK40" s="65"/>
      <c r="RRL40" s="65"/>
      <c r="RRM40" s="65"/>
      <c r="RRN40" s="65"/>
      <c r="RRO40" s="65"/>
      <c r="RRP40" s="65"/>
      <c r="RRQ40" s="65"/>
      <c r="RRR40" s="65"/>
      <c r="RRS40" s="65"/>
      <c r="RRT40" s="65"/>
      <c r="RRU40" s="65"/>
      <c r="RRV40" s="65"/>
      <c r="RRW40" s="65"/>
      <c r="RRX40" s="65"/>
      <c r="RRY40" s="65"/>
      <c r="RRZ40" s="65"/>
      <c r="RSA40" s="65"/>
      <c r="RSB40" s="65"/>
      <c r="RSC40" s="65"/>
      <c r="RSD40" s="65"/>
      <c r="RSE40" s="65"/>
      <c r="RSF40" s="65"/>
      <c r="RSG40" s="65"/>
      <c r="RSH40" s="65"/>
      <c r="RSI40" s="65"/>
      <c r="RSJ40" s="65"/>
      <c r="RSK40" s="65"/>
      <c r="RSL40" s="65"/>
      <c r="RSM40" s="65"/>
      <c r="RSN40" s="65"/>
      <c r="RSO40" s="65"/>
      <c r="RSP40" s="65"/>
      <c r="RSQ40" s="65"/>
      <c r="RSR40" s="65"/>
      <c r="RSS40" s="65"/>
      <c r="RST40" s="65"/>
      <c r="RSU40" s="65"/>
      <c r="RSV40" s="65"/>
      <c r="RSW40" s="65"/>
      <c r="RSX40" s="65"/>
      <c r="RSY40" s="65"/>
      <c r="RSZ40" s="65"/>
      <c r="RTA40" s="65"/>
      <c r="RTB40" s="65"/>
      <c r="RTC40" s="65"/>
      <c r="RTD40" s="65"/>
      <c r="RTE40" s="65"/>
      <c r="RTF40" s="65"/>
      <c r="RTG40" s="65"/>
      <c r="RTH40" s="65"/>
      <c r="RTI40" s="65"/>
      <c r="RTJ40" s="65"/>
      <c r="RTK40" s="65"/>
      <c r="RTL40" s="65"/>
      <c r="RTM40" s="65"/>
      <c r="RTN40" s="65"/>
      <c r="RTO40" s="65"/>
      <c r="RTP40" s="65"/>
      <c r="RTQ40" s="65"/>
      <c r="RTR40" s="65"/>
      <c r="RTS40" s="65"/>
      <c r="RTT40" s="65"/>
      <c r="RTU40" s="65"/>
      <c r="RTV40" s="65"/>
      <c r="RTW40" s="65"/>
      <c r="RTX40" s="65"/>
      <c r="RTY40" s="65"/>
      <c r="RTZ40" s="65"/>
      <c r="RUA40" s="65"/>
      <c r="RUB40" s="65"/>
      <c r="RUC40" s="65"/>
      <c r="RUD40" s="65"/>
      <c r="RUE40" s="65"/>
      <c r="RUF40" s="65"/>
      <c r="RUG40" s="65"/>
      <c r="RUH40" s="65"/>
      <c r="RUI40" s="65"/>
      <c r="RUJ40" s="65"/>
      <c r="RUK40" s="65"/>
      <c r="RUL40" s="65"/>
      <c r="RUM40" s="65"/>
      <c r="RUN40" s="65"/>
      <c r="RUO40" s="65"/>
      <c r="RUP40" s="65"/>
      <c r="RUQ40" s="65"/>
      <c r="RUR40" s="65"/>
      <c r="RUS40" s="65"/>
      <c r="RUT40" s="65"/>
      <c r="RUU40" s="65"/>
      <c r="RUV40" s="65"/>
      <c r="RUW40" s="65"/>
      <c r="RUX40" s="65"/>
      <c r="RUY40" s="65"/>
      <c r="RUZ40" s="65"/>
      <c r="RVA40" s="65"/>
      <c r="RVB40" s="65"/>
      <c r="RVC40" s="65"/>
      <c r="RVD40" s="65"/>
      <c r="RVE40" s="65"/>
      <c r="RVF40" s="65"/>
      <c r="RVG40" s="65"/>
      <c r="RVH40" s="65"/>
      <c r="RVI40" s="65"/>
      <c r="RVJ40" s="65"/>
      <c r="RVK40" s="65"/>
      <c r="RVL40" s="65"/>
      <c r="RVM40" s="65"/>
      <c r="RVN40" s="65"/>
      <c r="RVO40" s="65"/>
      <c r="RVP40" s="65"/>
      <c r="RVQ40" s="65"/>
      <c r="RVR40" s="65"/>
      <c r="RVS40" s="65"/>
      <c r="RVT40" s="65"/>
      <c r="RVU40" s="65"/>
      <c r="RVV40" s="65"/>
      <c r="RVW40" s="65"/>
      <c r="RVX40" s="65"/>
      <c r="RVY40" s="65"/>
      <c r="RVZ40" s="65"/>
      <c r="RWA40" s="65"/>
      <c r="RWB40" s="65"/>
      <c r="RWC40" s="65"/>
      <c r="RWD40" s="65"/>
      <c r="RWE40" s="65"/>
      <c r="RWF40" s="65"/>
      <c r="RWG40" s="65"/>
      <c r="RWH40" s="65"/>
      <c r="RWI40" s="65"/>
      <c r="RWJ40" s="65"/>
      <c r="RWK40" s="65"/>
      <c r="RWL40" s="65"/>
      <c r="RWM40" s="65"/>
      <c r="RWN40" s="65"/>
      <c r="RWO40" s="65"/>
      <c r="RWP40" s="65"/>
      <c r="RWQ40" s="65"/>
      <c r="RWR40" s="65"/>
      <c r="RWS40" s="65"/>
      <c r="RWT40" s="65"/>
      <c r="RWU40" s="65"/>
      <c r="RWV40" s="65"/>
      <c r="RWW40" s="65"/>
      <c r="RWX40" s="65"/>
      <c r="RWY40" s="65"/>
      <c r="RWZ40" s="65"/>
      <c r="RXA40" s="65"/>
      <c r="RXB40" s="65"/>
      <c r="RXC40" s="65"/>
      <c r="RXD40" s="65"/>
      <c r="RXE40" s="65"/>
      <c r="RXF40" s="65"/>
      <c r="RXG40" s="65"/>
      <c r="RXH40" s="65"/>
      <c r="RXI40" s="65"/>
      <c r="RXJ40" s="65"/>
      <c r="RXK40" s="65"/>
      <c r="RXL40" s="65"/>
      <c r="RXM40" s="65"/>
      <c r="RXN40" s="65"/>
      <c r="RXO40" s="65"/>
      <c r="RXP40" s="65"/>
      <c r="RXQ40" s="65"/>
      <c r="RXR40" s="65"/>
      <c r="RXS40" s="65"/>
      <c r="RXT40" s="65"/>
      <c r="RXU40" s="65"/>
      <c r="RXV40" s="65"/>
      <c r="RXW40" s="65"/>
      <c r="RXX40" s="65"/>
      <c r="RXY40" s="65"/>
      <c r="RXZ40" s="65"/>
      <c r="RYA40" s="65"/>
      <c r="RYB40" s="65"/>
      <c r="RYC40" s="65"/>
      <c r="RYD40" s="65"/>
      <c r="RYE40" s="65"/>
      <c r="RYF40" s="65"/>
      <c r="RYG40" s="65"/>
      <c r="RYH40" s="65"/>
      <c r="RYI40" s="65"/>
      <c r="RYJ40" s="65"/>
      <c r="RYK40" s="65"/>
      <c r="RYL40" s="65"/>
      <c r="RYM40" s="65"/>
      <c r="RYN40" s="65"/>
      <c r="RYO40" s="65"/>
      <c r="RYP40" s="65"/>
      <c r="RYQ40" s="65"/>
      <c r="RYR40" s="65"/>
      <c r="RYS40" s="65"/>
      <c r="RYT40" s="65"/>
      <c r="RYU40" s="65"/>
      <c r="RYV40" s="65"/>
      <c r="RYW40" s="65"/>
      <c r="RYX40" s="65"/>
      <c r="RYY40" s="65"/>
      <c r="RYZ40" s="65"/>
      <c r="RZA40" s="65"/>
      <c r="RZB40" s="65"/>
      <c r="RZC40" s="65"/>
      <c r="RZD40" s="65"/>
      <c r="RZE40" s="65"/>
      <c r="RZF40" s="65"/>
      <c r="RZG40" s="65"/>
      <c r="RZH40" s="65"/>
      <c r="RZI40" s="65"/>
      <c r="RZJ40" s="65"/>
      <c r="RZK40" s="65"/>
      <c r="RZL40" s="65"/>
      <c r="RZM40" s="65"/>
      <c r="RZN40" s="65"/>
      <c r="RZO40" s="65"/>
      <c r="RZP40" s="65"/>
      <c r="RZQ40" s="65"/>
      <c r="RZR40" s="65"/>
      <c r="RZS40" s="65"/>
      <c r="RZT40" s="65"/>
      <c r="RZU40" s="65"/>
      <c r="RZV40" s="65"/>
      <c r="RZW40" s="65"/>
      <c r="RZX40" s="65"/>
      <c r="RZY40" s="65"/>
      <c r="RZZ40" s="65"/>
      <c r="SAA40" s="65"/>
      <c r="SAB40" s="65"/>
      <c r="SAC40" s="65"/>
      <c r="SAD40" s="65"/>
      <c r="SAE40" s="65"/>
      <c r="SAF40" s="65"/>
      <c r="SAG40" s="65"/>
      <c r="SAH40" s="65"/>
      <c r="SAI40" s="65"/>
      <c r="SAJ40" s="65"/>
      <c r="SAK40" s="65"/>
      <c r="SAL40" s="65"/>
      <c r="SAM40" s="65"/>
      <c r="SAN40" s="65"/>
      <c r="SAO40" s="65"/>
      <c r="SAP40" s="65"/>
      <c r="SAQ40" s="65"/>
      <c r="SAR40" s="65"/>
      <c r="SAS40" s="65"/>
      <c r="SAT40" s="65"/>
      <c r="SAU40" s="65"/>
      <c r="SAV40" s="65"/>
      <c r="SAW40" s="65"/>
      <c r="SAX40" s="65"/>
      <c r="SAY40" s="65"/>
      <c r="SAZ40" s="65"/>
      <c r="SBA40" s="65"/>
      <c r="SBB40" s="65"/>
      <c r="SBC40" s="65"/>
      <c r="SBD40" s="65"/>
      <c r="SBE40" s="65"/>
      <c r="SBF40" s="65"/>
      <c r="SBG40" s="65"/>
      <c r="SBH40" s="65"/>
      <c r="SBI40" s="65"/>
      <c r="SBJ40" s="65"/>
      <c r="SBK40" s="65"/>
      <c r="SBL40" s="65"/>
      <c r="SBM40" s="65"/>
      <c r="SBN40" s="65"/>
      <c r="SBO40" s="65"/>
      <c r="SBP40" s="65"/>
      <c r="SBQ40" s="65"/>
      <c r="SBR40" s="65"/>
      <c r="SBS40" s="65"/>
      <c r="SBT40" s="65"/>
      <c r="SBU40" s="65"/>
      <c r="SBV40" s="65"/>
      <c r="SBW40" s="65"/>
      <c r="SBX40" s="65"/>
      <c r="SBY40" s="65"/>
      <c r="SBZ40" s="65"/>
      <c r="SCA40" s="65"/>
      <c r="SCB40" s="65"/>
      <c r="SCC40" s="65"/>
      <c r="SCD40" s="65"/>
      <c r="SCE40" s="65"/>
      <c r="SCF40" s="65"/>
      <c r="SCG40" s="65"/>
      <c r="SCH40" s="65"/>
      <c r="SCI40" s="65"/>
      <c r="SCJ40" s="65"/>
      <c r="SCK40" s="65"/>
      <c r="SCL40" s="65"/>
      <c r="SCM40" s="65"/>
      <c r="SCN40" s="65"/>
      <c r="SCO40" s="65"/>
      <c r="SCP40" s="65"/>
      <c r="SCQ40" s="65"/>
      <c r="SCR40" s="65"/>
      <c r="SCS40" s="65"/>
      <c r="SCT40" s="65"/>
      <c r="SCU40" s="65"/>
      <c r="SCV40" s="65"/>
      <c r="SCW40" s="65"/>
      <c r="SCX40" s="65"/>
      <c r="SCY40" s="65"/>
      <c r="SCZ40" s="65"/>
      <c r="SDA40" s="65"/>
      <c r="SDB40" s="65"/>
      <c r="SDC40" s="65"/>
      <c r="SDD40" s="65"/>
      <c r="SDE40" s="65"/>
      <c r="SDF40" s="65"/>
      <c r="SDG40" s="65"/>
      <c r="SDH40" s="65"/>
      <c r="SDI40" s="65"/>
      <c r="SDJ40" s="65"/>
      <c r="SDK40" s="65"/>
      <c r="SDL40" s="65"/>
      <c r="SDM40" s="65"/>
      <c r="SDN40" s="65"/>
      <c r="SDO40" s="65"/>
      <c r="SDP40" s="65"/>
      <c r="SDQ40" s="65"/>
      <c r="SDR40" s="65"/>
      <c r="SDS40" s="65"/>
      <c r="SDT40" s="65"/>
      <c r="SDU40" s="65"/>
      <c r="SDV40" s="65"/>
      <c r="SDW40" s="65"/>
      <c r="SDX40" s="65"/>
      <c r="SDY40" s="65"/>
      <c r="SDZ40" s="65"/>
      <c r="SEA40" s="65"/>
      <c r="SEB40" s="65"/>
      <c r="SEC40" s="65"/>
      <c r="SED40" s="65"/>
      <c r="SEE40" s="65"/>
      <c r="SEF40" s="65"/>
      <c r="SEG40" s="65"/>
      <c r="SEH40" s="65"/>
      <c r="SEI40" s="65"/>
      <c r="SEJ40" s="65"/>
      <c r="SEK40" s="65"/>
      <c r="SEL40" s="65"/>
      <c r="SEM40" s="65"/>
      <c r="SEN40" s="65"/>
      <c r="SEO40" s="65"/>
      <c r="SEP40" s="65"/>
      <c r="SEQ40" s="65"/>
      <c r="SER40" s="65"/>
      <c r="SES40" s="65"/>
      <c r="SET40" s="65"/>
      <c r="SEU40" s="65"/>
      <c r="SEV40" s="65"/>
      <c r="SEW40" s="65"/>
      <c r="SEX40" s="65"/>
      <c r="SEY40" s="65"/>
      <c r="SEZ40" s="65"/>
      <c r="SFA40" s="65"/>
      <c r="SFB40" s="65"/>
      <c r="SFC40" s="65"/>
      <c r="SFD40" s="65"/>
      <c r="SFE40" s="65"/>
      <c r="SFF40" s="65"/>
      <c r="SFG40" s="65"/>
      <c r="SFH40" s="65"/>
      <c r="SFI40" s="65"/>
      <c r="SFJ40" s="65"/>
      <c r="SFK40" s="65"/>
      <c r="SFL40" s="65"/>
      <c r="SFM40" s="65"/>
      <c r="SFN40" s="65"/>
      <c r="SFO40" s="65"/>
      <c r="SFP40" s="65"/>
      <c r="SFQ40" s="65"/>
      <c r="SFR40" s="65"/>
      <c r="SFS40" s="65"/>
      <c r="SFT40" s="65"/>
      <c r="SFU40" s="65"/>
      <c r="SFV40" s="65"/>
      <c r="SFW40" s="65"/>
      <c r="SFX40" s="65"/>
      <c r="SFY40" s="65"/>
      <c r="SFZ40" s="65"/>
      <c r="SGA40" s="65"/>
      <c r="SGB40" s="65"/>
      <c r="SGC40" s="65"/>
      <c r="SGD40" s="65"/>
      <c r="SGE40" s="65"/>
      <c r="SGF40" s="65"/>
      <c r="SGG40" s="65"/>
      <c r="SGH40" s="65"/>
      <c r="SGI40" s="65"/>
      <c r="SGJ40" s="65"/>
      <c r="SGK40" s="65"/>
      <c r="SGL40" s="65"/>
      <c r="SGM40" s="65"/>
      <c r="SGN40" s="65"/>
      <c r="SGO40" s="65"/>
      <c r="SGP40" s="65"/>
      <c r="SGQ40" s="65"/>
      <c r="SGR40" s="65"/>
      <c r="SGS40" s="65"/>
      <c r="SGT40" s="65"/>
      <c r="SGU40" s="65"/>
      <c r="SGV40" s="65"/>
      <c r="SGW40" s="65"/>
      <c r="SGX40" s="65"/>
      <c r="SGY40" s="65"/>
      <c r="SGZ40" s="65"/>
      <c r="SHA40" s="65"/>
      <c r="SHB40" s="65"/>
      <c r="SHC40" s="65"/>
      <c r="SHD40" s="65"/>
      <c r="SHE40" s="65"/>
      <c r="SHF40" s="65"/>
      <c r="SHG40" s="65"/>
      <c r="SHH40" s="65"/>
      <c r="SHI40" s="65"/>
      <c r="SHJ40" s="65"/>
      <c r="SHK40" s="65"/>
      <c r="SHL40" s="65"/>
      <c r="SHM40" s="65"/>
      <c r="SHN40" s="65"/>
      <c r="SHO40" s="65"/>
      <c r="SHP40" s="65"/>
      <c r="SHQ40" s="65"/>
      <c r="SHR40" s="65"/>
      <c r="SHS40" s="65"/>
      <c r="SHT40" s="65"/>
      <c r="SHU40" s="65"/>
      <c r="SHV40" s="65"/>
      <c r="SHW40" s="65"/>
      <c r="SHX40" s="65"/>
      <c r="SHY40" s="65"/>
      <c r="SHZ40" s="65"/>
      <c r="SIA40" s="65"/>
      <c r="SIB40" s="65"/>
      <c r="SIC40" s="65"/>
      <c r="SID40" s="65"/>
      <c r="SIE40" s="65"/>
      <c r="SIF40" s="65"/>
      <c r="SIG40" s="65"/>
      <c r="SIH40" s="65"/>
      <c r="SII40" s="65"/>
      <c r="SIJ40" s="65"/>
      <c r="SIK40" s="65"/>
      <c r="SIL40" s="65"/>
      <c r="SIM40" s="65"/>
      <c r="SIN40" s="65"/>
      <c r="SIO40" s="65"/>
      <c r="SIP40" s="65"/>
      <c r="SIQ40" s="65"/>
      <c r="SIR40" s="65"/>
      <c r="SIS40" s="65"/>
      <c r="SIT40" s="65"/>
      <c r="SIU40" s="65"/>
      <c r="SIV40" s="65"/>
      <c r="SIW40" s="65"/>
      <c r="SIX40" s="65"/>
      <c r="SIY40" s="65"/>
      <c r="SIZ40" s="65"/>
      <c r="SJA40" s="65"/>
      <c r="SJB40" s="65"/>
      <c r="SJC40" s="65"/>
      <c r="SJD40" s="65"/>
      <c r="SJE40" s="65"/>
      <c r="SJF40" s="65"/>
      <c r="SJG40" s="65"/>
      <c r="SJH40" s="65"/>
      <c r="SJI40" s="65"/>
      <c r="SJJ40" s="65"/>
      <c r="SJK40" s="65"/>
      <c r="SJL40" s="65"/>
      <c r="SJM40" s="65"/>
      <c r="SJN40" s="65"/>
      <c r="SJO40" s="65"/>
      <c r="SJP40" s="65"/>
      <c r="SJQ40" s="65"/>
      <c r="SJR40" s="65"/>
      <c r="SJS40" s="65"/>
      <c r="SJT40" s="65"/>
      <c r="SJU40" s="65"/>
      <c r="SJV40" s="65"/>
      <c r="SJW40" s="65"/>
      <c r="SJX40" s="65"/>
      <c r="SJY40" s="65"/>
      <c r="SJZ40" s="65"/>
      <c r="SKA40" s="65"/>
      <c r="SKB40" s="65"/>
      <c r="SKC40" s="65"/>
      <c r="SKD40" s="65"/>
      <c r="SKE40" s="65"/>
      <c r="SKF40" s="65"/>
      <c r="SKG40" s="65"/>
      <c r="SKH40" s="65"/>
      <c r="SKI40" s="65"/>
      <c r="SKJ40" s="65"/>
      <c r="SKK40" s="65"/>
      <c r="SKL40" s="65"/>
      <c r="SKM40" s="65"/>
      <c r="SKN40" s="65"/>
      <c r="SKO40" s="65"/>
      <c r="SKP40" s="65"/>
      <c r="SKQ40" s="65"/>
      <c r="SKR40" s="65"/>
      <c r="SKS40" s="65"/>
      <c r="SKT40" s="65"/>
      <c r="SKU40" s="65"/>
      <c r="SKV40" s="65"/>
      <c r="SKW40" s="65"/>
      <c r="SKX40" s="65"/>
      <c r="SKY40" s="65"/>
      <c r="SKZ40" s="65"/>
      <c r="SLA40" s="65"/>
      <c r="SLB40" s="65"/>
      <c r="SLC40" s="65"/>
      <c r="SLD40" s="65"/>
      <c r="SLE40" s="65"/>
      <c r="SLF40" s="65"/>
      <c r="SLG40" s="65"/>
      <c r="SLH40" s="65"/>
      <c r="SLI40" s="65"/>
      <c r="SLJ40" s="65"/>
      <c r="SLK40" s="65"/>
      <c r="SLL40" s="65"/>
      <c r="SLM40" s="65"/>
      <c r="SLN40" s="65"/>
      <c r="SLO40" s="65"/>
      <c r="SLP40" s="65"/>
      <c r="SLQ40" s="65"/>
      <c r="SLR40" s="65"/>
      <c r="SLS40" s="65"/>
      <c r="SLT40" s="65"/>
      <c r="SLU40" s="65"/>
      <c r="SLV40" s="65"/>
      <c r="SLW40" s="65"/>
      <c r="SLX40" s="65"/>
      <c r="SLY40" s="65"/>
      <c r="SLZ40" s="65"/>
      <c r="SMA40" s="65"/>
      <c r="SMB40" s="65"/>
      <c r="SMC40" s="65"/>
      <c r="SMD40" s="65"/>
      <c r="SME40" s="65"/>
      <c r="SMF40" s="65"/>
      <c r="SMG40" s="65"/>
      <c r="SMH40" s="65"/>
      <c r="SMI40" s="65"/>
      <c r="SMJ40" s="65"/>
      <c r="SMK40" s="65"/>
      <c r="SML40" s="65"/>
      <c r="SMM40" s="65"/>
      <c r="SMN40" s="65"/>
      <c r="SMO40" s="65"/>
      <c r="SMP40" s="65"/>
      <c r="SMQ40" s="65"/>
      <c r="SMR40" s="65"/>
      <c r="SMS40" s="65"/>
      <c r="SMT40" s="65"/>
      <c r="SMU40" s="65"/>
      <c r="SMV40" s="65"/>
      <c r="SMW40" s="65"/>
      <c r="SMX40" s="65"/>
      <c r="SMY40" s="65"/>
      <c r="SMZ40" s="65"/>
      <c r="SNA40" s="65"/>
      <c r="SNB40" s="65"/>
      <c r="SNC40" s="65"/>
      <c r="SND40" s="65"/>
      <c r="SNE40" s="65"/>
      <c r="SNF40" s="65"/>
      <c r="SNG40" s="65"/>
      <c r="SNH40" s="65"/>
      <c r="SNI40" s="65"/>
      <c r="SNJ40" s="65"/>
      <c r="SNK40" s="65"/>
      <c r="SNL40" s="65"/>
      <c r="SNM40" s="65"/>
      <c r="SNN40" s="65"/>
      <c r="SNO40" s="65"/>
      <c r="SNP40" s="65"/>
      <c r="SNQ40" s="65"/>
      <c r="SNR40" s="65"/>
      <c r="SNS40" s="65"/>
      <c r="SNT40" s="65"/>
      <c r="SNU40" s="65"/>
      <c r="SNV40" s="65"/>
      <c r="SNW40" s="65"/>
      <c r="SNX40" s="65"/>
      <c r="SNY40" s="65"/>
      <c r="SNZ40" s="65"/>
      <c r="SOA40" s="65"/>
      <c r="SOB40" s="65"/>
      <c r="SOC40" s="65"/>
      <c r="SOD40" s="65"/>
      <c r="SOE40" s="65"/>
      <c r="SOF40" s="65"/>
      <c r="SOG40" s="65"/>
      <c r="SOH40" s="65"/>
      <c r="SOI40" s="65"/>
      <c r="SOJ40" s="65"/>
      <c r="SOK40" s="65"/>
      <c r="SOL40" s="65"/>
      <c r="SOM40" s="65"/>
      <c r="SON40" s="65"/>
      <c r="SOO40" s="65"/>
      <c r="SOP40" s="65"/>
      <c r="SOQ40" s="65"/>
      <c r="SOR40" s="65"/>
      <c r="SOS40" s="65"/>
      <c r="SOT40" s="65"/>
      <c r="SOU40" s="65"/>
      <c r="SOV40" s="65"/>
      <c r="SOW40" s="65"/>
      <c r="SOX40" s="65"/>
      <c r="SOY40" s="65"/>
      <c r="SOZ40" s="65"/>
      <c r="SPA40" s="65"/>
      <c r="SPB40" s="65"/>
      <c r="SPC40" s="65"/>
      <c r="SPD40" s="65"/>
      <c r="SPE40" s="65"/>
      <c r="SPF40" s="65"/>
      <c r="SPG40" s="65"/>
      <c r="SPH40" s="65"/>
      <c r="SPI40" s="65"/>
      <c r="SPJ40" s="65"/>
      <c r="SPK40" s="65"/>
      <c r="SPL40" s="65"/>
      <c r="SPM40" s="65"/>
      <c r="SPN40" s="65"/>
      <c r="SPO40" s="65"/>
      <c r="SPP40" s="65"/>
      <c r="SPQ40" s="65"/>
      <c r="SPR40" s="65"/>
      <c r="SPS40" s="65"/>
      <c r="SPT40" s="65"/>
      <c r="SPU40" s="65"/>
      <c r="SPV40" s="65"/>
      <c r="SPW40" s="65"/>
      <c r="SPX40" s="65"/>
      <c r="SPY40" s="65"/>
      <c r="SPZ40" s="65"/>
      <c r="SQA40" s="65"/>
      <c r="SQB40" s="65"/>
      <c r="SQC40" s="65"/>
      <c r="SQD40" s="65"/>
      <c r="SQE40" s="65"/>
      <c r="SQF40" s="65"/>
      <c r="SQG40" s="65"/>
      <c r="SQH40" s="65"/>
      <c r="SQI40" s="65"/>
      <c r="SQJ40" s="65"/>
      <c r="SQK40" s="65"/>
      <c r="SQL40" s="65"/>
      <c r="SQM40" s="65"/>
      <c r="SQN40" s="65"/>
      <c r="SQO40" s="65"/>
      <c r="SQP40" s="65"/>
      <c r="SQQ40" s="65"/>
      <c r="SQR40" s="65"/>
      <c r="SQS40" s="65"/>
      <c r="SQT40" s="65"/>
      <c r="SQU40" s="65"/>
      <c r="SQV40" s="65"/>
      <c r="SQW40" s="65"/>
      <c r="SQX40" s="65"/>
      <c r="SQY40" s="65"/>
      <c r="SQZ40" s="65"/>
      <c r="SRA40" s="65"/>
      <c r="SRB40" s="65"/>
      <c r="SRC40" s="65"/>
      <c r="SRD40" s="65"/>
      <c r="SRE40" s="65"/>
      <c r="SRF40" s="65"/>
      <c r="SRG40" s="65"/>
      <c r="SRH40" s="65"/>
      <c r="SRI40" s="65"/>
      <c r="SRJ40" s="65"/>
      <c r="SRK40" s="65"/>
      <c r="SRL40" s="65"/>
      <c r="SRM40" s="65"/>
      <c r="SRN40" s="65"/>
      <c r="SRO40" s="65"/>
      <c r="SRP40" s="65"/>
      <c r="SRQ40" s="65"/>
      <c r="SRR40" s="65"/>
      <c r="SRS40" s="65"/>
      <c r="SRT40" s="65"/>
      <c r="SRU40" s="65"/>
      <c r="SRV40" s="65"/>
      <c r="SRW40" s="65"/>
      <c r="SRX40" s="65"/>
      <c r="SRY40" s="65"/>
      <c r="SRZ40" s="65"/>
      <c r="SSA40" s="65"/>
      <c r="SSB40" s="65"/>
      <c r="SSC40" s="65"/>
      <c r="SSD40" s="65"/>
      <c r="SSE40" s="65"/>
      <c r="SSF40" s="65"/>
      <c r="SSG40" s="65"/>
      <c r="SSH40" s="65"/>
      <c r="SSI40" s="65"/>
      <c r="SSJ40" s="65"/>
      <c r="SSK40" s="65"/>
      <c r="SSL40" s="65"/>
      <c r="SSM40" s="65"/>
      <c r="SSN40" s="65"/>
      <c r="SSO40" s="65"/>
      <c r="SSP40" s="65"/>
      <c r="SSQ40" s="65"/>
      <c r="SSR40" s="65"/>
      <c r="SSS40" s="65"/>
      <c r="SST40" s="65"/>
      <c r="SSU40" s="65"/>
      <c r="SSV40" s="65"/>
      <c r="SSW40" s="65"/>
      <c r="SSX40" s="65"/>
      <c r="SSY40" s="65"/>
      <c r="SSZ40" s="65"/>
      <c r="STA40" s="65"/>
      <c r="STB40" s="65"/>
      <c r="STC40" s="65"/>
      <c r="STD40" s="65"/>
      <c r="STE40" s="65"/>
      <c r="STF40" s="65"/>
      <c r="STG40" s="65"/>
      <c r="STH40" s="65"/>
      <c r="STI40" s="65"/>
      <c r="STJ40" s="65"/>
      <c r="STK40" s="65"/>
      <c r="STL40" s="65"/>
      <c r="STM40" s="65"/>
      <c r="STN40" s="65"/>
      <c r="STO40" s="65"/>
      <c r="STP40" s="65"/>
      <c r="STQ40" s="65"/>
      <c r="STR40" s="65"/>
      <c r="STS40" s="65"/>
      <c r="STT40" s="65"/>
      <c r="STU40" s="65"/>
      <c r="STV40" s="65"/>
      <c r="STW40" s="65"/>
      <c r="STX40" s="65"/>
      <c r="STY40" s="65"/>
      <c r="STZ40" s="65"/>
      <c r="SUA40" s="65"/>
      <c r="SUB40" s="65"/>
      <c r="SUC40" s="65"/>
      <c r="SUD40" s="65"/>
      <c r="SUE40" s="65"/>
      <c r="SUF40" s="65"/>
      <c r="SUG40" s="65"/>
      <c r="SUH40" s="65"/>
      <c r="SUI40" s="65"/>
      <c r="SUJ40" s="65"/>
      <c r="SUK40" s="65"/>
      <c r="SUL40" s="65"/>
      <c r="SUM40" s="65"/>
      <c r="SUN40" s="65"/>
      <c r="SUO40" s="65"/>
      <c r="SUP40" s="65"/>
      <c r="SUQ40" s="65"/>
      <c r="SUR40" s="65"/>
      <c r="SUS40" s="65"/>
      <c r="SUT40" s="65"/>
      <c r="SUU40" s="65"/>
      <c r="SUV40" s="65"/>
      <c r="SUW40" s="65"/>
      <c r="SUX40" s="65"/>
      <c r="SUY40" s="65"/>
      <c r="SUZ40" s="65"/>
      <c r="SVA40" s="65"/>
      <c r="SVB40" s="65"/>
      <c r="SVC40" s="65"/>
      <c r="SVD40" s="65"/>
      <c r="SVE40" s="65"/>
      <c r="SVF40" s="65"/>
      <c r="SVG40" s="65"/>
      <c r="SVH40" s="65"/>
      <c r="SVI40" s="65"/>
      <c r="SVJ40" s="65"/>
      <c r="SVK40" s="65"/>
      <c r="SVL40" s="65"/>
      <c r="SVM40" s="65"/>
      <c r="SVN40" s="65"/>
      <c r="SVO40" s="65"/>
      <c r="SVP40" s="65"/>
      <c r="SVQ40" s="65"/>
      <c r="SVR40" s="65"/>
      <c r="SVS40" s="65"/>
      <c r="SVT40" s="65"/>
      <c r="SVU40" s="65"/>
      <c r="SVV40" s="65"/>
      <c r="SVW40" s="65"/>
      <c r="SVX40" s="65"/>
      <c r="SVY40" s="65"/>
      <c r="SVZ40" s="65"/>
      <c r="SWA40" s="65"/>
      <c r="SWB40" s="65"/>
      <c r="SWC40" s="65"/>
      <c r="SWD40" s="65"/>
      <c r="SWE40" s="65"/>
      <c r="SWF40" s="65"/>
      <c r="SWG40" s="65"/>
      <c r="SWH40" s="65"/>
      <c r="SWI40" s="65"/>
      <c r="SWJ40" s="65"/>
      <c r="SWK40" s="65"/>
      <c r="SWL40" s="65"/>
      <c r="SWM40" s="65"/>
      <c r="SWN40" s="65"/>
      <c r="SWO40" s="65"/>
      <c r="SWP40" s="65"/>
      <c r="SWQ40" s="65"/>
      <c r="SWR40" s="65"/>
      <c r="SWS40" s="65"/>
      <c r="SWT40" s="65"/>
      <c r="SWU40" s="65"/>
      <c r="SWV40" s="65"/>
      <c r="SWW40" s="65"/>
      <c r="SWX40" s="65"/>
      <c r="SWY40" s="65"/>
      <c r="SWZ40" s="65"/>
      <c r="SXA40" s="65"/>
      <c r="SXB40" s="65"/>
      <c r="SXC40" s="65"/>
      <c r="SXD40" s="65"/>
      <c r="SXE40" s="65"/>
      <c r="SXF40" s="65"/>
      <c r="SXG40" s="65"/>
      <c r="SXH40" s="65"/>
      <c r="SXI40" s="65"/>
      <c r="SXJ40" s="65"/>
      <c r="SXK40" s="65"/>
      <c r="SXL40" s="65"/>
      <c r="SXM40" s="65"/>
      <c r="SXN40" s="65"/>
      <c r="SXO40" s="65"/>
      <c r="SXP40" s="65"/>
      <c r="SXQ40" s="65"/>
      <c r="SXR40" s="65"/>
      <c r="SXS40" s="65"/>
      <c r="SXT40" s="65"/>
      <c r="SXU40" s="65"/>
      <c r="SXV40" s="65"/>
      <c r="SXW40" s="65"/>
      <c r="SXX40" s="65"/>
      <c r="SXY40" s="65"/>
      <c r="SXZ40" s="65"/>
      <c r="SYA40" s="65"/>
      <c r="SYB40" s="65"/>
      <c r="SYC40" s="65"/>
      <c r="SYD40" s="65"/>
      <c r="SYE40" s="65"/>
      <c r="SYF40" s="65"/>
      <c r="SYG40" s="65"/>
      <c r="SYH40" s="65"/>
      <c r="SYI40" s="65"/>
      <c r="SYJ40" s="65"/>
      <c r="SYK40" s="65"/>
      <c r="SYL40" s="65"/>
      <c r="SYM40" s="65"/>
      <c r="SYN40" s="65"/>
      <c r="SYO40" s="65"/>
      <c r="SYP40" s="65"/>
      <c r="SYQ40" s="65"/>
      <c r="SYR40" s="65"/>
      <c r="SYS40" s="65"/>
      <c r="SYT40" s="65"/>
      <c r="SYU40" s="65"/>
      <c r="SYV40" s="65"/>
      <c r="SYW40" s="65"/>
      <c r="SYX40" s="65"/>
      <c r="SYY40" s="65"/>
      <c r="SYZ40" s="65"/>
      <c r="SZA40" s="65"/>
      <c r="SZB40" s="65"/>
      <c r="SZC40" s="65"/>
      <c r="SZD40" s="65"/>
      <c r="SZE40" s="65"/>
      <c r="SZF40" s="65"/>
      <c r="SZG40" s="65"/>
      <c r="SZH40" s="65"/>
      <c r="SZI40" s="65"/>
      <c r="SZJ40" s="65"/>
      <c r="SZK40" s="65"/>
      <c r="SZL40" s="65"/>
      <c r="SZM40" s="65"/>
      <c r="SZN40" s="65"/>
      <c r="SZO40" s="65"/>
      <c r="SZP40" s="65"/>
      <c r="SZQ40" s="65"/>
      <c r="SZR40" s="65"/>
      <c r="SZS40" s="65"/>
      <c r="SZT40" s="65"/>
      <c r="SZU40" s="65"/>
      <c r="SZV40" s="65"/>
      <c r="SZW40" s="65"/>
      <c r="SZX40" s="65"/>
      <c r="SZY40" s="65"/>
      <c r="SZZ40" s="65"/>
      <c r="TAA40" s="65"/>
      <c r="TAB40" s="65"/>
      <c r="TAC40" s="65"/>
      <c r="TAD40" s="65"/>
      <c r="TAE40" s="65"/>
      <c r="TAF40" s="65"/>
      <c r="TAG40" s="65"/>
      <c r="TAH40" s="65"/>
      <c r="TAI40" s="65"/>
      <c r="TAJ40" s="65"/>
      <c r="TAK40" s="65"/>
      <c r="TAL40" s="65"/>
      <c r="TAM40" s="65"/>
      <c r="TAN40" s="65"/>
      <c r="TAO40" s="65"/>
      <c r="TAP40" s="65"/>
      <c r="TAQ40" s="65"/>
      <c r="TAR40" s="65"/>
      <c r="TAS40" s="65"/>
      <c r="TAT40" s="65"/>
      <c r="TAU40" s="65"/>
      <c r="TAV40" s="65"/>
      <c r="TAW40" s="65"/>
      <c r="TAX40" s="65"/>
      <c r="TAY40" s="65"/>
      <c r="TAZ40" s="65"/>
      <c r="TBA40" s="65"/>
      <c r="TBB40" s="65"/>
      <c r="TBC40" s="65"/>
      <c r="TBD40" s="65"/>
      <c r="TBE40" s="65"/>
      <c r="TBF40" s="65"/>
      <c r="TBG40" s="65"/>
      <c r="TBH40" s="65"/>
      <c r="TBI40" s="65"/>
      <c r="TBJ40" s="65"/>
      <c r="TBK40" s="65"/>
      <c r="TBL40" s="65"/>
      <c r="TBM40" s="65"/>
      <c r="TBN40" s="65"/>
      <c r="TBO40" s="65"/>
      <c r="TBP40" s="65"/>
      <c r="TBQ40" s="65"/>
      <c r="TBR40" s="65"/>
      <c r="TBS40" s="65"/>
      <c r="TBT40" s="65"/>
      <c r="TBU40" s="65"/>
      <c r="TBV40" s="65"/>
      <c r="TBW40" s="65"/>
      <c r="TBX40" s="65"/>
      <c r="TBY40" s="65"/>
      <c r="TBZ40" s="65"/>
      <c r="TCA40" s="65"/>
      <c r="TCB40" s="65"/>
      <c r="TCC40" s="65"/>
      <c r="TCD40" s="65"/>
      <c r="TCE40" s="65"/>
      <c r="TCF40" s="65"/>
      <c r="TCG40" s="65"/>
      <c r="TCH40" s="65"/>
      <c r="TCI40" s="65"/>
      <c r="TCJ40" s="65"/>
      <c r="TCK40" s="65"/>
      <c r="TCL40" s="65"/>
      <c r="TCM40" s="65"/>
      <c r="TCN40" s="65"/>
      <c r="TCO40" s="65"/>
      <c r="TCP40" s="65"/>
      <c r="TCQ40" s="65"/>
      <c r="TCR40" s="65"/>
      <c r="TCS40" s="65"/>
      <c r="TCT40" s="65"/>
      <c r="TCU40" s="65"/>
      <c r="TCV40" s="65"/>
      <c r="TCW40" s="65"/>
      <c r="TCX40" s="65"/>
      <c r="TCY40" s="65"/>
      <c r="TCZ40" s="65"/>
      <c r="TDA40" s="65"/>
      <c r="TDB40" s="65"/>
      <c r="TDC40" s="65"/>
      <c r="TDD40" s="65"/>
      <c r="TDE40" s="65"/>
      <c r="TDF40" s="65"/>
      <c r="TDG40" s="65"/>
      <c r="TDH40" s="65"/>
      <c r="TDI40" s="65"/>
      <c r="TDJ40" s="65"/>
      <c r="TDK40" s="65"/>
      <c r="TDL40" s="65"/>
      <c r="TDM40" s="65"/>
      <c r="TDN40" s="65"/>
      <c r="TDO40" s="65"/>
      <c r="TDP40" s="65"/>
      <c r="TDQ40" s="65"/>
      <c r="TDR40" s="65"/>
      <c r="TDS40" s="65"/>
      <c r="TDT40" s="65"/>
      <c r="TDU40" s="65"/>
      <c r="TDV40" s="65"/>
      <c r="TDW40" s="65"/>
      <c r="TDX40" s="65"/>
      <c r="TDY40" s="65"/>
      <c r="TDZ40" s="65"/>
      <c r="TEA40" s="65"/>
      <c r="TEB40" s="65"/>
      <c r="TEC40" s="65"/>
      <c r="TED40" s="65"/>
      <c r="TEE40" s="65"/>
      <c r="TEF40" s="65"/>
      <c r="TEG40" s="65"/>
      <c r="TEH40" s="65"/>
      <c r="TEI40" s="65"/>
      <c r="TEJ40" s="65"/>
      <c r="TEK40" s="65"/>
      <c r="TEL40" s="65"/>
      <c r="TEM40" s="65"/>
      <c r="TEN40" s="65"/>
      <c r="TEO40" s="65"/>
      <c r="TEP40" s="65"/>
      <c r="TEQ40" s="65"/>
      <c r="TER40" s="65"/>
      <c r="TES40" s="65"/>
      <c r="TET40" s="65"/>
      <c r="TEU40" s="65"/>
      <c r="TEV40" s="65"/>
      <c r="TEW40" s="65"/>
      <c r="TEX40" s="65"/>
      <c r="TEY40" s="65"/>
      <c r="TEZ40" s="65"/>
      <c r="TFA40" s="65"/>
      <c r="TFB40" s="65"/>
      <c r="TFC40" s="65"/>
      <c r="TFD40" s="65"/>
      <c r="TFE40" s="65"/>
      <c r="TFF40" s="65"/>
      <c r="TFG40" s="65"/>
      <c r="TFH40" s="65"/>
      <c r="TFI40" s="65"/>
      <c r="TFJ40" s="65"/>
      <c r="TFK40" s="65"/>
      <c r="TFL40" s="65"/>
      <c r="TFM40" s="65"/>
      <c r="TFN40" s="65"/>
      <c r="TFO40" s="65"/>
      <c r="TFP40" s="65"/>
      <c r="TFQ40" s="65"/>
      <c r="TFR40" s="65"/>
      <c r="TFS40" s="65"/>
      <c r="TFT40" s="65"/>
      <c r="TFU40" s="65"/>
      <c r="TFV40" s="65"/>
      <c r="TFW40" s="65"/>
      <c r="TFX40" s="65"/>
      <c r="TFY40" s="65"/>
      <c r="TFZ40" s="65"/>
      <c r="TGA40" s="65"/>
      <c r="TGB40" s="65"/>
      <c r="TGC40" s="65"/>
      <c r="TGD40" s="65"/>
      <c r="TGE40" s="65"/>
      <c r="TGF40" s="65"/>
      <c r="TGG40" s="65"/>
      <c r="TGH40" s="65"/>
      <c r="TGI40" s="65"/>
      <c r="TGJ40" s="65"/>
      <c r="TGK40" s="65"/>
      <c r="TGL40" s="65"/>
      <c r="TGM40" s="65"/>
      <c r="TGN40" s="65"/>
      <c r="TGO40" s="65"/>
      <c r="TGP40" s="65"/>
      <c r="TGQ40" s="65"/>
      <c r="TGR40" s="65"/>
      <c r="TGS40" s="65"/>
      <c r="TGT40" s="65"/>
      <c r="TGU40" s="65"/>
      <c r="TGV40" s="65"/>
      <c r="TGW40" s="65"/>
      <c r="TGX40" s="65"/>
      <c r="TGY40" s="65"/>
      <c r="TGZ40" s="65"/>
      <c r="THA40" s="65"/>
      <c r="THB40" s="65"/>
      <c r="THC40" s="65"/>
      <c r="THD40" s="65"/>
      <c r="THE40" s="65"/>
      <c r="THF40" s="65"/>
      <c r="THG40" s="65"/>
      <c r="THH40" s="65"/>
      <c r="THI40" s="65"/>
      <c r="THJ40" s="65"/>
      <c r="THK40" s="65"/>
      <c r="THL40" s="65"/>
      <c r="THM40" s="65"/>
      <c r="THN40" s="65"/>
      <c r="THO40" s="65"/>
      <c r="THP40" s="65"/>
      <c r="THQ40" s="65"/>
      <c r="THR40" s="65"/>
      <c r="THS40" s="65"/>
      <c r="THT40" s="65"/>
      <c r="THU40" s="65"/>
      <c r="THV40" s="65"/>
      <c r="THW40" s="65"/>
      <c r="THX40" s="65"/>
      <c r="THY40" s="65"/>
      <c r="THZ40" s="65"/>
      <c r="TIA40" s="65"/>
      <c r="TIB40" s="65"/>
      <c r="TIC40" s="65"/>
      <c r="TID40" s="65"/>
      <c r="TIE40" s="65"/>
      <c r="TIF40" s="65"/>
      <c r="TIG40" s="65"/>
      <c r="TIH40" s="65"/>
      <c r="TII40" s="65"/>
      <c r="TIJ40" s="65"/>
      <c r="TIK40" s="65"/>
      <c r="TIL40" s="65"/>
      <c r="TIM40" s="65"/>
      <c r="TIN40" s="65"/>
      <c r="TIO40" s="65"/>
      <c r="TIP40" s="65"/>
      <c r="TIQ40" s="65"/>
      <c r="TIR40" s="65"/>
      <c r="TIS40" s="65"/>
      <c r="TIT40" s="65"/>
      <c r="TIU40" s="65"/>
      <c r="TIV40" s="65"/>
      <c r="TIW40" s="65"/>
      <c r="TIX40" s="65"/>
      <c r="TIY40" s="65"/>
      <c r="TIZ40" s="65"/>
      <c r="TJA40" s="65"/>
      <c r="TJB40" s="65"/>
      <c r="TJC40" s="65"/>
      <c r="TJD40" s="65"/>
      <c r="TJE40" s="65"/>
      <c r="TJF40" s="65"/>
      <c r="TJG40" s="65"/>
      <c r="TJH40" s="65"/>
      <c r="TJI40" s="65"/>
      <c r="TJJ40" s="65"/>
      <c r="TJK40" s="65"/>
      <c r="TJL40" s="65"/>
      <c r="TJM40" s="65"/>
      <c r="TJN40" s="65"/>
      <c r="TJO40" s="65"/>
      <c r="TJP40" s="65"/>
      <c r="TJQ40" s="65"/>
      <c r="TJR40" s="65"/>
      <c r="TJS40" s="65"/>
      <c r="TJT40" s="65"/>
      <c r="TJU40" s="65"/>
      <c r="TJV40" s="65"/>
      <c r="TJW40" s="65"/>
      <c r="TJX40" s="65"/>
      <c r="TJY40" s="65"/>
      <c r="TJZ40" s="65"/>
      <c r="TKA40" s="65"/>
      <c r="TKB40" s="65"/>
      <c r="TKC40" s="65"/>
      <c r="TKD40" s="65"/>
      <c r="TKE40" s="65"/>
      <c r="TKF40" s="65"/>
      <c r="TKG40" s="65"/>
      <c r="TKH40" s="65"/>
      <c r="TKI40" s="65"/>
      <c r="TKJ40" s="65"/>
      <c r="TKK40" s="65"/>
      <c r="TKL40" s="65"/>
      <c r="TKM40" s="65"/>
      <c r="TKN40" s="65"/>
      <c r="TKO40" s="65"/>
      <c r="TKP40" s="65"/>
      <c r="TKQ40" s="65"/>
      <c r="TKR40" s="65"/>
      <c r="TKS40" s="65"/>
      <c r="TKT40" s="65"/>
      <c r="TKU40" s="65"/>
      <c r="TKV40" s="65"/>
      <c r="TKW40" s="65"/>
      <c r="TKX40" s="65"/>
      <c r="TKY40" s="65"/>
      <c r="TKZ40" s="65"/>
      <c r="TLA40" s="65"/>
      <c r="TLB40" s="65"/>
      <c r="TLC40" s="65"/>
      <c r="TLD40" s="65"/>
      <c r="TLE40" s="65"/>
      <c r="TLF40" s="65"/>
      <c r="TLG40" s="65"/>
      <c r="TLH40" s="65"/>
      <c r="TLI40" s="65"/>
      <c r="TLJ40" s="65"/>
      <c r="TLK40" s="65"/>
      <c r="TLL40" s="65"/>
      <c r="TLM40" s="65"/>
      <c r="TLN40" s="65"/>
      <c r="TLO40" s="65"/>
      <c r="TLP40" s="65"/>
      <c r="TLQ40" s="65"/>
      <c r="TLR40" s="65"/>
      <c r="TLS40" s="65"/>
      <c r="TLT40" s="65"/>
      <c r="TLU40" s="65"/>
      <c r="TLV40" s="65"/>
      <c r="TLW40" s="65"/>
      <c r="TLX40" s="65"/>
      <c r="TLY40" s="65"/>
      <c r="TLZ40" s="65"/>
      <c r="TMA40" s="65"/>
      <c r="TMB40" s="65"/>
      <c r="TMC40" s="65"/>
      <c r="TMD40" s="65"/>
      <c r="TME40" s="65"/>
      <c r="TMF40" s="65"/>
      <c r="TMG40" s="65"/>
      <c r="TMH40" s="65"/>
      <c r="TMI40" s="65"/>
      <c r="TMJ40" s="65"/>
      <c r="TMK40" s="65"/>
      <c r="TML40" s="65"/>
      <c r="TMM40" s="65"/>
      <c r="TMN40" s="65"/>
      <c r="TMO40" s="65"/>
      <c r="TMP40" s="65"/>
      <c r="TMQ40" s="65"/>
      <c r="TMR40" s="65"/>
      <c r="TMS40" s="65"/>
      <c r="TMT40" s="65"/>
      <c r="TMU40" s="65"/>
      <c r="TMV40" s="65"/>
      <c r="TMW40" s="65"/>
      <c r="TMX40" s="65"/>
      <c r="TMY40" s="65"/>
      <c r="TMZ40" s="65"/>
      <c r="TNA40" s="65"/>
      <c r="TNB40" s="65"/>
      <c r="TNC40" s="65"/>
      <c r="TND40" s="65"/>
      <c r="TNE40" s="65"/>
      <c r="TNF40" s="65"/>
      <c r="TNG40" s="65"/>
      <c r="TNH40" s="65"/>
      <c r="TNI40" s="65"/>
      <c r="TNJ40" s="65"/>
      <c r="TNK40" s="65"/>
      <c r="TNL40" s="65"/>
      <c r="TNM40" s="65"/>
      <c r="TNN40" s="65"/>
      <c r="TNO40" s="65"/>
      <c r="TNP40" s="65"/>
      <c r="TNQ40" s="65"/>
      <c r="TNR40" s="65"/>
      <c r="TNS40" s="65"/>
      <c r="TNT40" s="65"/>
      <c r="TNU40" s="65"/>
      <c r="TNV40" s="65"/>
      <c r="TNW40" s="65"/>
      <c r="TNX40" s="65"/>
      <c r="TNY40" s="65"/>
      <c r="TNZ40" s="65"/>
      <c r="TOA40" s="65"/>
      <c r="TOB40" s="65"/>
      <c r="TOC40" s="65"/>
      <c r="TOD40" s="65"/>
      <c r="TOE40" s="65"/>
      <c r="TOF40" s="65"/>
      <c r="TOG40" s="65"/>
      <c r="TOH40" s="65"/>
      <c r="TOI40" s="65"/>
      <c r="TOJ40" s="65"/>
      <c r="TOK40" s="65"/>
      <c r="TOL40" s="65"/>
      <c r="TOM40" s="65"/>
      <c r="TON40" s="65"/>
      <c r="TOO40" s="65"/>
      <c r="TOP40" s="65"/>
      <c r="TOQ40" s="65"/>
      <c r="TOR40" s="65"/>
      <c r="TOS40" s="65"/>
      <c r="TOT40" s="65"/>
      <c r="TOU40" s="65"/>
      <c r="TOV40" s="65"/>
      <c r="TOW40" s="65"/>
      <c r="TOX40" s="65"/>
      <c r="TOY40" s="65"/>
      <c r="TOZ40" s="65"/>
      <c r="TPA40" s="65"/>
      <c r="TPB40" s="65"/>
      <c r="TPC40" s="65"/>
      <c r="TPD40" s="65"/>
      <c r="TPE40" s="65"/>
      <c r="TPF40" s="65"/>
      <c r="TPG40" s="65"/>
      <c r="TPH40" s="65"/>
      <c r="TPI40" s="65"/>
      <c r="TPJ40" s="65"/>
      <c r="TPK40" s="65"/>
      <c r="TPL40" s="65"/>
      <c r="TPM40" s="65"/>
      <c r="TPN40" s="65"/>
      <c r="TPO40" s="65"/>
      <c r="TPP40" s="65"/>
      <c r="TPQ40" s="65"/>
      <c r="TPR40" s="65"/>
      <c r="TPS40" s="65"/>
      <c r="TPT40" s="65"/>
      <c r="TPU40" s="65"/>
      <c r="TPV40" s="65"/>
      <c r="TPW40" s="65"/>
      <c r="TPX40" s="65"/>
      <c r="TPY40" s="65"/>
      <c r="TPZ40" s="65"/>
      <c r="TQA40" s="65"/>
      <c r="TQB40" s="65"/>
      <c r="TQC40" s="65"/>
      <c r="TQD40" s="65"/>
      <c r="TQE40" s="65"/>
      <c r="TQF40" s="65"/>
      <c r="TQG40" s="65"/>
      <c r="TQH40" s="65"/>
      <c r="TQI40" s="65"/>
      <c r="TQJ40" s="65"/>
      <c r="TQK40" s="65"/>
      <c r="TQL40" s="65"/>
      <c r="TQM40" s="65"/>
      <c r="TQN40" s="65"/>
      <c r="TQO40" s="65"/>
      <c r="TQP40" s="65"/>
      <c r="TQQ40" s="65"/>
      <c r="TQR40" s="65"/>
      <c r="TQS40" s="65"/>
      <c r="TQT40" s="65"/>
      <c r="TQU40" s="65"/>
      <c r="TQV40" s="65"/>
      <c r="TQW40" s="65"/>
      <c r="TQX40" s="65"/>
      <c r="TQY40" s="65"/>
      <c r="TQZ40" s="65"/>
      <c r="TRA40" s="65"/>
      <c r="TRB40" s="65"/>
      <c r="TRC40" s="65"/>
      <c r="TRD40" s="65"/>
      <c r="TRE40" s="65"/>
      <c r="TRF40" s="65"/>
      <c r="TRG40" s="65"/>
      <c r="TRH40" s="65"/>
      <c r="TRI40" s="65"/>
      <c r="TRJ40" s="65"/>
      <c r="TRK40" s="65"/>
      <c r="TRL40" s="65"/>
      <c r="TRM40" s="65"/>
      <c r="TRN40" s="65"/>
      <c r="TRO40" s="65"/>
      <c r="TRP40" s="65"/>
      <c r="TRQ40" s="65"/>
      <c r="TRR40" s="65"/>
      <c r="TRS40" s="65"/>
      <c r="TRT40" s="65"/>
      <c r="TRU40" s="65"/>
      <c r="TRV40" s="65"/>
      <c r="TRW40" s="65"/>
      <c r="TRX40" s="65"/>
      <c r="TRY40" s="65"/>
      <c r="TRZ40" s="65"/>
      <c r="TSA40" s="65"/>
      <c r="TSB40" s="65"/>
      <c r="TSC40" s="65"/>
      <c r="TSD40" s="65"/>
      <c r="TSE40" s="65"/>
      <c r="TSF40" s="65"/>
      <c r="TSG40" s="65"/>
      <c r="TSH40" s="65"/>
      <c r="TSI40" s="65"/>
      <c r="TSJ40" s="65"/>
      <c r="TSK40" s="65"/>
      <c r="TSL40" s="65"/>
      <c r="TSM40" s="65"/>
      <c r="TSN40" s="65"/>
      <c r="TSO40" s="65"/>
      <c r="TSP40" s="65"/>
      <c r="TSQ40" s="65"/>
      <c r="TSR40" s="65"/>
      <c r="TSS40" s="65"/>
      <c r="TST40" s="65"/>
      <c r="TSU40" s="65"/>
      <c r="TSV40" s="65"/>
      <c r="TSW40" s="65"/>
      <c r="TSX40" s="65"/>
      <c r="TSY40" s="65"/>
      <c r="TSZ40" s="65"/>
      <c r="TTA40" s="65"/>
      <c r="TTB40" s="65"/>
      <c r="TTC40" s="65"/>
      <c r="TTD40" s="65"/>
      <c r="TTE40" s="65"/>
      <c r="TTF40" s="65"/>
      <c r="TTG40" s="65"/>
      <c r="TTH40" s="65"/>
      <c r="TTI40" s="65"/>
      <c r="TTJ40" s="65"/>
      <c r="TTK40" s="65"/>
      <c r="TTL40" s="65"/>
      <c r="TTM40" s="65"/>
      <c r="TTN40" s="65"/>
      <c r="TTO40" s="65"/>
      <c r="TTP40" s="65"/>
      <c r="TTQ40" s="65"/>
      <c r="TTR40" s="65"/>
      <c r="TTS40" s="65"/>
      <c r="TTT40" s="65"/>
      <c r="TTU40" s="65"/>
      <c r="TTV40" s="65"/>
      <c r="TTW40" s="65"/>
      <c r="TTX40" s="65"/>
      <c r="TTY40" s="65"/>
      <c r="TTZ40" s="65"/>
      <c r="TUA40" s="65"/>
      <c r="TUB40" s="65"/>
      <c r="TUC40" s="65"/>
      <c r="TUD40" s="65"/>
      <c r="TUE40" s="65"/>
      <c r="TUF40" s="65"/>
      <c r="TUG40" s="65"/>
      <c r="TUH40" s="65"/>
      <c r="TUI40" s="65"/>
      <c r="TUJ40" s="65"/>
      <c r="TUK40" s="65"/>
      <c r="TUL40" s="65"/>
      <c r="TUM40" s="65"/>
      <c r="TUN40" s="65"/>
      <c r="TUO40" s="65"/>
      <c r="TUP40" s="65"/>
      <c r="TUQ40" s="65"/>
      <c r="TUR40" s="65"/>
      <c r="TUS40" s="65"/>
      <c r="TUT40" s="65"/>
      <c r="TUU40" s="65"/>
      <c r="TUV40" s="65"/>
      <c r="TUW40" s="65"/>
      <c r="TUX40" s="65"/>
      <c r="TUY40" s="65"/>
      <c r="TUZ40" s="65"/>
      <c r="TVA40" s="65"/>
      <c r="TVB40" s="65"/>
      <c r="TVC40" s="65"/>
      <c r="TVD40" s="65"/>
      <c r="TVE40" s="65"/>
      <c r="TVF40" s="65"/>
      <c r="TVG40" s="65"/>
      <c r="TVH40" s="65"/>
      <c r="TVI40" s="65"/>
      <c r="TVJ40" s="65"/>
      <c r="TVK40" s="65"/>
      <c r="TVL40" s="65"/>
      <c r="TVM40" s="65"/>
      <c r="TVN40" s="65"/>
      <c r="TVO40" s="65"/>
      <c r="TVP40" s="65"/>
      <c r="TVQ40" s="65"/>
      <c r="TVR40" s="65"/>
      <c r="TVS40" s="65"/>
      <c r="TVT40" s="65"/>
      <c r="TVU40" s="65"/>
      <c r="TVV40" s="65"/>
      <c r="TVW40" s="65"/>
      <c r="TVX40" s="65"/>
      <c r="TVY40" s="65"/>
      <c r="TVZ40" s="65"/>
      <c r="TWA40" s="65"/>
      <c r="TWB40" s="65"/>
      <c r="TWC40" s="65"/>
      <c r="TWD40" s="65"/>
      <c r="TWE40" s="65"/>
      <c r="TWF40" s="65"/>
      <c r="TWG40" s="65"/>
      <c r="TWH40" s="65"/>
      <c r="TWI40" s="65"/>
      <c r="TWJ40" s="65"/>
      <c r="TWK40" s="65"/>
      <c r="TWL40" s="65"/>
      <c r="TWM40" s="65"/>
      <c r="TWN40" s="65"/>
      <c r="TWO40" s="65"/>
      <c r="TWP40" s="65"/>
      <c r="TWQ40" s="65"/>
      <c r="TWR40" s="65"/>
      <c r="TWS40" s="65"/>
      <c r="TWT40" s="65"/>
      <c r="TWU40" s="65"/>
      <c r="TWV40" s="65"/>
      <c r="TWW40" s="65"/>
      <c r="TWX40" s="65"/>
      <c r="TWY40" s="65"/>
      <c r="TWZ40" s="65"/>
      <c r="TXA40" s="65"/>
      <c r="TXB40" s="65"/>
      <c r="TXC40" s="65"/>
      <c r="TXD40" s="65"/>
      <c r="TXE40" s="65"/>
      <c r="TXF40" s="65"/>
      <c r="TXG40" s="65"/>
      <c r="TXH40" s="65"/>
      <c r="TXI40" s="65"/>
      <c r="TXJ40" s="65"/>
      <c r="TXK40" s="65"/>
      <c r="TXL40" s="65"/>
      <c r="TXM40" s="65"/>
      <c r="TXN40" s="65"/>
      <c r="TXO40" s="65"/>
      <c r="TXP40" s="65"/>
      <c r="TXQ40" s="65"/>
      <c r="TXR40" s="65"/>
      <c r="TXS40" s="65"/>
      <c r="TXT40" s="65"/>
      <c r="TXU40" s="65"/>
      <c r="TXV40" s="65"/>
      <c r="TXW40" s="65"/>
      <c r="TXX40" s="65"/>
      <c r="TXY40" s="65"/>
      <c r="TXZ40" s="65"/>
      <c r="TYA40" s="65"/>
      <c r="TYB40" s="65"/>
      <c r="TYC40" s="65"/>
      <c r="TYD40" s="65"/>
      <c r="TYE40" s="65"/>
      <c r="TYF40" s="65"/>
      <c r="TYG40" s="65"/>
      <c r="TYH40" s="65"/>
      <c r="TYI40" s="65"/>
      <c r="TYJ40" s="65"/>
      <c r="TYK40" s="65"/>
      <c r="TYL40" s="65"/>
      <c r="TYM40" s="65"/>
      <c r="TYN40" s="65"/>
      <c r="TYO40" s="65"/>
      <c r="TYP40" s="65"/>
      <c r="TYQ40" s="65"/>
      <c r="TYR40" s="65"/>
      <c r="TYS40" s="65"/>
      <c r="TYT40" s="65"/>
      <c r="TYU40" s="65"/>
      <c r="TYV40" s="65"/>
      <c r="TYW40" s="65"/>
      <c r="TYX40" s="65"/>
      <c r="TYY40" s="65"/>
      <c r="TYZ40" s="65"/>
      <c r="TZA40" s="65"/>
      <c r="TZB40" s="65"/>
      <c r="TZC40" s="65"/>
      <c r="TZD40" s="65"/>
      <c r="TZE40" s="65"/>
      <c r="TZF40" s="65"/>
      <c r="TZG40" s="65"/>
      <c r="TZH40" s="65"/>
      <c r="TZI40" s="65"/>
      <c r="TZJ40" s="65"/>
      <c r="TZK40" s="65"/>
      <c r="TZL40" s="65"/>
      <c r="TZM40" s="65"/>
      <c r="TZN40" s="65"/>
      <c r="TZO40" s="65"/>
      <c r="TZP40" s="65"/>
      <c r="TZQ40" s="65"/>
      <c r="TZR40" s="65"/>
      <c r="TZS40" s="65"/>
      <c r="TZT40" s="65"/>
      <c r="TZU40" s="65"/>
      <c r="TZV40" s="65"/>
      <c r="TZW40" s="65"/>
      <c r="TZX40" s="65"/>
      <c r="TZY40" s="65"/>
      <c r="TZZ40" s="65"/>
      <c r="UAA40" s="65"/>
      <c r="UAB40" s="65"/>
      <c r="UAC40" s="65"/>
      <c r="UAD40" s="65"/>
      <c r="UAE40" s="65"/>
      <c r="UAF40" s="65"/>
      <c r="UAG40" s="65"/>
      <c r="UAH40" s="65"/>
      <c r="UAI40" s="65"/>
      <c r="UAJ40" s="65"/>
      <c r="UAK40" s="65"/>
      <c r="UAL40" s="65"/>
      <c r="UAM40" s="65"/>
      <c r="UAN40" s="65"/>
      <c r="UAO40" s="65"/>
      <c r="UAP40" s="65"/>
      <c r="UAQ40" s="65"/>
      <c r="UAR40" s="65"/>
      <c r="UAS40" s="65"/>
      <c r="UAT40" s="65"/>
      <c r="UAU40" s="65"/>
      <c r="UAV40" s="65"/>
      <c r="UAW40" s="65"/>
      <c r="UAX40" s="65"/>
      <c r="UAY40" s="65"/>
      <c r="UAZ40" s="65"/>
      <c r="UBA40" s="65"/>
      <c r="UBB40" s="65"/>
      <c r="UBC40" s="65"/>
      <c r="UBD40" s="65"/>
      <c r="UBE40" s="65"/>
      <c r="UBF40" s="65"/>
      <c r="UBG40" s="65"/>
      <c r="UBH40" s="65"/>
      <c r="UBI40" s="65"/>
      <c r="UBJ40" s="65"/>
      <c r="UBK40" s="65"/>
      <c r="UBL40" s="65"/>
      <c r="UBM40" s="65"/>
      <c r="UBN40" s="65"/>
      <c r="UBO40" s="65"/>
      <c r="UBP40" s="65"/>
      <c r="UBQ40" s="65"/>
      <c r="UBR40" s="65"/>
      <c r="UBS40" s="65"/>
      <c r="UBT40" s="65"/>
      <c r="UBU40" s="65"/>
      <c r="UBV40" s="65"/>
      <c r="UBW40" s="65"/>
      <c r="UBX40" s="65"/>
      <c r="UBY40" s="65"/>
      <c r="UBZ40" s="65"/>
      <c r="UCA40" s="65"/>
      <c r="UCB40" s="65"/>
      <c r="UCC40" s="65"/>
      <c r="UCD40" s="65"/>
      <c r="UCE40" s="65"/>
      <c r="UCF40" s="65"/>
      <c r="UCG40" s="65"/>
      <c r="UCH40" s="65"/>
      <c r="UCI40" s="65"/>
      <c r="UCJ40" s="65"/>
      <c r="UCK40" s="65"/>
      <c r="UCL40" s="65"/>
      <c r="UCM40" s="65"/>
      <c r="UCN40" s="65"/>
      <c r="UCO40" s="65"/>
      <c r="UCP40" s="65"/>
      <c r="UCQ40" s="65"/>
      <c r="UCR40" s="65"/>
      <c r="UCS40" s="65"/>
      <c r="UCT40" s="65"/>
      <c r="UCU40" s="65"/>
      <c r="UCV40" s="65"/>
      <c r="UCW40" s="65"/>
      <c r="UCX40" s="65"/>
      <c r="UCY40" s="65"/>
      <c r="UCZ40" s="65"/>
      <c r="UDA40" s="65"/>
      <c r="UDB40" s="65"/>
      <c r="UDC40" s="65"/>
      <c r="UDD40" s="65"/>
      <c r="UDE40" s="65"/>
      <c r="UDF40" s="65"/>
      <c r="UDG40" s="65"/>
      <c r="UDH40" s="65"/>
      <c r="UDI40" s="65"/>
      <c r="UDJ40" s="65"/>
      <c r="UDK40" s="65"/>
      <c r="UDL40" s="65"/>
      <c r="UDM40" s="65"/>
      <c r="UDN40" s="65"/>
      <c r="UDO40" s="65"/>
      <c r="UDP40" s="65"/>
      <c r="UDQ40" s="65"/>
      <c r="UDR40" s="65"/>
      <c r="UDS40" s="65"/>
      <c r="UDT40" s="65"/>
      <c r="UDU40" s="65"/>
      <c r="UDV40" s="65"/>
      <c r="UDW40" s="65"/>
      <c r="UDX40" s="65"/>
      <c r="UDY40" s="65"/>
      <c r="UDZ40" s="65"/>
      <c r="UEA40" s="65"/>
      <c r="UEB40" s="65"/>
      <c r="UEC40" s="65"/>
      <c r="UED40" s="65"/>
      <c r="UEE40" s="65"/>
      <c r="UEF40" s="65"/>
      <c r="UEG40" s="65"/>
      <c r="UEH40" s="65"/>
      <c r="UEI40" s="65"/>
      <c r="UEJ40" s="65"/>
      <c r="UEK40" s="65"/>
      <c r="UEL40" s="65"/>
      <c r="UEM40" s="65"/>
      <c r="UEN40" s="65"/>
      <c r="UEO40" s="65"/>
      <c r="UEP40" s="65"/>
      <c r="UEQ40" s="65"/>
      <c r="UER40" s="65"/>
      <c r="UES40" s="65"/>
      <c r="UET40" s="65"/>
      <c r="UEU40" s="65"/>
      <c r="UEV40" s="65"/>
      <c r="UEW40" s="65"/>
      <c r="UEX40" s="65"/>
      <c r="UEY40" s="65"/>
      <c r="UEZ40" s="65"/>
      <c r="UFA40" s="65"/>
      <c r="UFB40" s="65"/>
      <c r="UFC40" s="65"/>
      <c r="UFD40" s="65"/>
      <c r="UFE40" s="65"/>
      <c r="UFF40" s="65"/>
      <c r="UFG40" s="65"/>
      <c r="UFH40" s="65"/>
      <c r="UFI40" s="65"/>
      <c r="UFJ40" s="65"/>
      <c r="UFK40" s="65"/>
      <c r="UFL40" s="65"/>
      <c r="UFM40" s="65"/>
      <c r="UFN40" s="65"/>
      <c r="UFO40" s="65"/>
      <c r="UFP40" s="65"/>
      <c r="UFQ40" s="65"/>
      <c r="UFR40" s="65"/>
      <c r="UFS40" s="65"/>
      <c r="UFT40" s="65"/>
      <c r="UFU40" s="65"/>
      <c r="UFV40" s="65"/>
      <c r="UFW40" s="65"/>
      <c r="UFX40" s="65"/>
      <c r="UFY40" s="65"/>
      <c r="UFZ40" s="65"/>
      <c r="UGA40" s="65"/>
      <c r="UGB40" s="65"/>
      <c r="UGC40" s="65"/>
      <c r="UGD40" s="65"/>
      <c r="UGE40" s="65"/>
      <c r="UGF40" s="65"/>
      <c r="UGG40" s="65"/>
      <c r="UGH40" s="65"/>
      <c r="UGI40" s="65"/>
      <c r="UGJ40" s="65"/>
      <c r="UGK40" s="65"/>
      <c r="UGL40" s="65"/>
      <c r="UGM40" s="65"/>
      <c r="UGN40" s="65"/>
      <c r="UGO40" s="65"/>
      <c r="UGP40" s="65"/>
      <c r="UGQ40" s="65"/>
      <c r="UGR40" s="65"/>
      <c r="UGS40" s="65"/>
      <c r="UGT40" s="65"/>
      <c r="UGU40" s="65"/>
      <c r="UGV40" s="65"/>
      <c r="UGW40" s="65"/>
      <c r="UGX40" s="65"/>
      <c r="UGY40" s="65"/>
      <c r="UGZ40" s="65"/>
      <c r="UHA40" s="65"/>
      <c r="UHB40" s="65"/>
      <c r="UHC40" s="65"/>
      <c r="UHD40" s="65"/>
      <c r="UHE40" s="65"/>
      <c r="UHF40" s="65"/>
      <c r="UHG40" s="65"/>
      <c r="UHH40" s="65"/>
      <c r="UHI40" s="65"/>
      <c r="UHJ40" s="65"/>
      <c r="UHK40" s="65"/>
      <c r="UHL40" s="65"/>
      <c r="UHM40" s="65"/>
      <c r="UHN40" s="65"/>
      <c r="UHO40" s="65"/>
      <c r="UHP40" s="65"/>
      <c r="UHQ40" s="65"/>
      <c r="UHR40" s="65"/>
      <c r="UHS40" s="65"/>
      <c r="UHT40" s="65"/>
      <c r="UHU40" s="65"/>
      <c r="UHV40" s="65"/>
      <c r="UHW40" s="65"/>
      <c r="UHX40" s="65"/>
      <c r="UHY40" s="65"/>
      <c r="UHZ40" s="65"/>
      <c r="UIA40" s="65"/>
      <c r="UIB40" s="65"/>
      <c r="UIC40" s="65"/>
      <c r="UID40" s="65"/>
      <c r="UIE40" s="65"/>
      <c r="UIF40" s="65"/>
      <c r="UIG40" s="65"/>
      <c r="UIH40" s="65"/>
      <c r="UII40" s="65"/>
      <c r="UIJ40" s="65"/>
      <c r="UIK40" s="65"/>
      <c r="UIL40" s="65"/>
      <c r="UIM40" s="65"/>
      <c r="UIN40" s="65"/>
      <c r="UIO40" s="65"/>
      <c r="UIP40" s="65"/>
      <c r="UIQ40" s="65"/>
      <c r="UIR40" s="65"/>
      <c r="UIS40" s="65"/>
      <c r="UIT40" s="65"/>
      <c r="UIU40" s="65"/>
      <c r="UIV40" s="65"/>
      <c r="UIW40" s="65"/>
      <c r="UIX40" s="65"/>
      <c r="UIY40" s="65"/>
      <c r="UIZ40" s="65"/>
      <c r="UJA40" s="65"/>
      <c r="UJB40" s="65"/>
      <c r="UJC40" s="65"/>
      <c r="UJD40" s="65"/>
      <c r="UJE40" s="65"/>
      <c r="UJF40" s="65"/>
      <c r="UJG40" s="65"/>
      <c r="UJH40" s="65"/>
      <c r="UJI40" s="65"/>
      <c r="UJJ40" s="65"/>
      <c r="UJK40" s="65"/>
      <c r="UJL40" s="65"/>
      <c r="UJM40" s="65"/>
      <c r="UJN40" s="65"/>
      <c r="UJO40" s="65"/>
      <c r="UJP40" s="65"/>
      <c r="UJQ40" s="65"/>
      <c r="UJR40" s="65"/>
      <c r="UJS40" s="65"/>
      <c r="UJT40" s="65"/>
      <c r="UJU40" s="65"/>
      <c r="UJV40" s="65"/>
      <c r="UJW40" s="65"/>
      <c r="UJX40" s="65"/>
      <c r="UJY40" s="65"/>
      <c r="UJZ40" s="65"/>
      <c r="UKA40" s="65"/>
      <c r="UKB40" s="65"/>
      <c r="UKC40" s="65"/>
      <c r="UKD40" s="65"/>
      <c r="UKE40" s="65"/>
      <c r="UKF40" s="65"/>
      <c r="UKG40" s="65"/>
      <c r="UKH40" s="65"/>
      <c r="UKI40" s="65"/>
      <c r="UKJ40" s="65"/>
      <c r="UKK40" s="65"/>
      <c r="UKL40" s="65"/>
      <c r="UKM40" s="65"/>
      <c r="UKN40" s="65"/>
      <c r="UKO40" s="65"/>
      <c r="UKP40" s="65"/>
      <c r="UKQ40" s="65"/>
      <c r="UKR40" s="65"/>
      <c r="UKS40" s="65"/>
      <c r="UKT40" s="65"/>
      <c r="UKU40" s="65"/>
      <c r="UKV40" s="65"/>
      <c r="UKW40" s="65"/>
      <c r="UKX40" s="65"/>
      <c r="UKY40" s="65"/>
      <c r="UKZ40" s="65"/>
      <c r="ULA40" s="65"/>
      <c r="ULB40" s="65"/>
      <c r="ULC40" s="65"/>
      <c r="ULD40" s="65"/>
      <c r="ULE40" s="65"/>
      <c r="ULF40" s="65"/>
      <c r="ULG40" s="65"/>
      <c r="ULH40" s="65"/>
      <c r="ULI40" s="65"/>
      <c r="ULJ40" s="65"/>
      <c r="ULK40" s="65"/>
      <c r="ULL40" s="65"/>
      <c r="ULM40" s="65"/>
      <c r="ULN40" s="65"/>
      <c r="ULO40" s="65"/>
      <c r="ULP40" s="65"/>
      <c r="ULQ40" s="65"/>
      <c r="ULR40" s="65"/>
      <c r="ULS40" s="65"/>
      <c r="ULT40" s="65"/>
      <c r="ULU40" s="65"/>
      <c r="ULV40" s="65"/>
      <c r="ULW40" s="65"/>
      <c r="ULX40" s="65"/>
      <c r="ULY40" s="65"/>
      <c r="ULZ40" s="65"/>
      <c r="UMA40" s="65"/>
      <c r="UMB40" s="65"/>
      <c r="UMC40" s="65"/>
      <c r="UMD40" s="65"/>
      <c r="UME40" s="65"/>
      <c r="UMF40" s="65"/>
      <c r="UMG40" s="65"/>
      <c r="UMH40" s="65"/>
      <c r="UMI40" s="65"/>
      <c r="UMJ40" s="65"/>
      <c r="UMK40" s="65"/>
      <c r="UML40" s="65"/>
      <c r="UMM40" s="65"/>
      <c r="UMN40" s="65"/>
      <c r="UMO40" s="65"/>
      <c r="UMP40" s="65"/>
      <c r="UMQ40" s="65"/>
      <c r="UMR40" s="65"/>
      <c r="UMS40" s="65"/>
      <c r="UMT40" s="65"/>
      <c r="UMU40" s="65"/>
      <c r="UMV40" s="65"/>
      <c r="UMW40" s="65"/>
      <c r="UMX40" s="65"/>
      <c r="UMY40" s="65"/>
      <c r="UMZ40" s="65"/>
      <c r="UNA40" s="65"/>
      <c r="UNB40" s="65"/>
      <c r="UNC40" s="65"/>
      <c r="UND40" s="65"/>
      <c r="UNE40" s="65"/>
      <c r="UNF40" s="65"/>
      <c r="UNG40" s="65"/>
      <c r="UNH40" s="65"/>
      <c r="UNI40" s="65"/>
      <c r="UNJ40" s="65"/>
      <c r="UNK40" s="65"/>
      <c r="UNL40" s="65"/>
      <c r="UNM40" s="65"/>
      <c r="UNN40" s="65"/>
      <c r="UNO40" s="65"/>
      <c r="UNP40" s="65"/>
      <c r="UNQ40" s="65"/>
      <c r="UNR40" s="65"/>
      <c r="UNS40" s="65"/>
      <c r="UNT40" s="65"/>
      <c r="UNU40" s="65"/>
      <c r="UNV40" s="65"/>
      <c r="UNW40" s="65"/>
      <c r="UNX40" s="65"/>
      <c r="UNY40" s="65"/>
      <c r="UNZ40" s="65"/>
      <c r="UOA40" s="65"/>
      <c r="UOB40" s="65"/>
      <c r="UOC40" s="65"/>
      <c r="UOD40" s="65"/>
      <c r="UOE40" s="65"/>
      <c r="UOF40" s="65"/>
      <c r="UOG40" s="65"/>
      <c r="UOH40" s="65"/>
      <c r="UOI40" s="65"/>
      <c r="UOJ40" s="65"/>
      <c r="UOK40" s="65"/>
      <c r="UOL40" s="65"/>
      <c r="UOM40" s="65"/>
      <c r="UON40" s="65"/>
      <c r="UOO40" s="65"/>
      <c r="UOP40" s="65"/>
      <c r="UOQ40" s="65"/>
      <c r="UOR40" s="65"/>
      <c r="UOS40" s="65"/>
      <c r="UOT40" s="65"/>
      <c r="UOU40" s="65"/>
      <c r="UOV40" s="65"/>
      <c r="UOW40" s="65"/>
      <c r="UOX40" s="65"/>
      <c r="UOY40" s="65"/>
      <c r="UOZ40" s="65"/>
      <c r="UPA40" s="65"/>
      <c r="UPB40" s="65"/>
      <c r="UPC40" s="65"/>
      <c r="UPD40" s="65"/>
      <c r="UPE40" s="65"/>
      <c r="UPF40" s="65"/>
      <c r="UPG40" s="65"/>
      <c r="UPH40" s="65"/>
      <c r="UPI40" s="65"/>
      <c r="UPJ40" s="65"/>
      <c r="UPK40" s="65"/>
      <c r="UPL40" s="65"/>
      <c r="UPM40" s="65"/>
      <c r="UPN40" s="65"/>
      <c r="UPO40" s="65"/>
      <c r="UPP40" s="65"/>
      <c r="UPQ40" s="65"/>
      <c r="UPR40" s="65"/>
      <c r="UPS40" s="65"/>
      <c r="UPT40" s="65"/>
      <c r="UPU40" s="65"/>
      <c r="UPV40" s="65"/>
      <c r="UPW40" s="65"/>
      <c r="UPX40" s="65"/>
      <c r="UPY40" s="65"/>
      <c r="UPZ40" s="65"/>
      <c r="UQA40" s="65"/>
      <c r="UQB40" s="65"/>
      <c r="UQC40" s="65"/>
      <c r="UQD40" s="65"/>
      <c r="UQE40" s="65"/>
      <c r="UQF40" s="65"/>
      <c r="UQG40" s="65"/>
      <c r="UQH40" s="65"/>
      <c r="UQI40" s="65"/>
      <c r="UQJ40" s="65"/>
      <c r="UQK40" s="65"/>
      <c r="UQL40" s="65"/>
      <c r="UQM40" s="65"/>
      <c r="UQN40" s="65"/>
      <c r="UQO40" s="65"/>
      <c r="UQP40" s="65"/>
      <c r="UQQ40" s="65"/>
      <c r="UQR40" s="65"/>
      <c r="UQS40" s="65"/>
      <c r="UQT40" s="65"/>
      <c r="UQU40" s="65"/>
      <c r="UQV40" s="65"/>
      <c r="UQW40" s="65"/>
      <c r="UQX40" s="65"/>
      <c r="UQY40" s="65"/>
      <c r="UQZ40" s="65"/>
      <c r="URA40" s="65"/>
      <c r="URB40" s="65"/>
      <c r="URC40" s="65"/>
      <c r="URD40" s="65"/>
      <c r="URE40" s="65"/>
      <c r="URF40" s="65"/>
      <c r="URG40" s="65"/>
      <c r="URH40" s="65"/>
      <c r="URI40" s="65"/>
      <c r="URJ40" s="65"/>
      <c r="URK40" s="65"/>
      <c r="URL40" s="65"/>
      <c r="URM40" s="65"/>
      <c r="URN40" s="65"/>
      <c r="URO40" s="65"/>
      <c r="URP40" s="65"/>
      <c r="URQ40" s="65"/>
      <c r="URR40" s="65"/>
      <c r="URS40" s="65"/>
      <c r="URT40" s="65"/>
      <c r="URU40" s="65"/>
      <c r="URV40" s="65"/>
      <c r="URW40" s="65"/>
      <c r="URX40" s="65"/>
      <c r="URY40" s="65"/>
      <c r="URZ40" s="65"/>
      <c r="USA40" s="65"/>
      <c r="USB40" s="65"/>
      <c r="USC40" s="65"/>
      <c r="USD40" s="65"/>
      <c r="USE40" s="65"/>
      <c r="USF40" s="65"/>
      <c r="USG40" s="65"/>
      <c r="USH40" s="65"/>
      <c r="USI40" s="65"/>
      <c r="USJ40" s="65"/>
      <c r="USK40" s="65"/>
      <c r="USL40" s="65"/>
      <c r="USM40" s="65"/>
      <c r="USN40" s="65"/>
      <c r="USO40" s="65"/>
      <c r="USP40" s="65"/>
      <c r="USQ40" s="65"/>
      <c r="USR40" s="65"/>
      <c r="USS40" s="65"/>
      <c r="UST40" s="65"/>
      <c r="USU40" s="65"/>
      <c r="USV40" s="65"/>
      <c r="USW40" s="65"/>
      <c r="USX40" s="65"/>
      <c r="USY40" s="65"/>
      <c r="USZ40" s="65"/>
      <c r="UTA40" s="65"/>
      <c r="UTB40" s="65"/>
      <c r="UTC40" s="65"/>
      <c r="UTD40" s="65"/>
      <c r="UTE40" s="65"/>
      <c r="UTF40" s="65"/>
      <c r="UTG40" s="65"/>
      <c r="UTH40" s="65"/>
      <c r="UTI40" s="65"/>
      <c r="UTJ40" s="65"/>
      <c r="UTK40" s="65"/>
      <c r="UTL40" s="65"/>
      <c r="UTM40" s="65"/>
      <c r="UTN40" s="65"/>
      <c r="UTO40" s="65"/>
      <c r="UTP40" s="65"/>
      <c r="UTQ40" s="65"/>
      <c r="UTR40" s="65"/>
      <c r="UTS40" s="65"/>
      <c r="UTT40" s="65"/>
      <c r="UTU40" s="65"/>
      <c r="UTV40" s="65"/>
      <c r="UTW40" s="65"/>
      <c r="UTX40" s="65"/>
      <c r="UTY40" s="65"/>
      <c r="UTZ40" s="65"/>
      <c r="UUA40" s="65"/>
      <c r="UUB40" s="65"/>
      <c r="UUC40" s="65"/>
      <c r="UUD40" s="65"/>
      <c r="UUE40" s="65"/>
      <c r="UUF40" s="65"/>
      <c r="UUG40" s="65"/>
      <c r="UUH40" s="65"/>
      <c r="UUI40" s="65"/>
      <c r="UUJ40" s="65"/>
      <c r="UUK40" s="65"/>
      <c r="UUL40" s="65"/>
      <c r="UUM40" s="65"/>
      <c r="UUN40" s="65"/>
      <c r="UUO40" s="65"/>
      <c r="UUP40" s="65"/>
      <c r="UUQ40" s="65"/>
      <c r="UUR40" s="65"/>
      <c r="UUS40" s="65"/>
      <c r="UUT40" s="65"/>
      <c r="UUU40" s="65"/>
      <c r="UUV40" s="65"/>
      <c r="UUW40" s="65"/>
      <c r="UUX40" s="65"/>
      <c r="UUY40" s="65"/>
      <c r="UUZ40" s="65"/>
      <c r="UVA40" s="65"/>
      <c r="UVB40" s="65"/>
      <c r="UVC40" s="65"/>
      <c r="UVD40" s="65"/>
      <c r="UVE40" s="65"/>
      <c r="UVF40" s="65"/>
      <c r="UVG40" s="65"/>
      <c r="UVH40" s="65"/>
      <c r="UVI40" s="65"/>
      <c r="UVJ40" s="65"/>
      <c r="UVK40" s="65"/>
      <c r="UVL40" s="65"/>
      <c r="UVM40" s="65"/>
      <c r="UVN40" s="65"/>
      <c r="UVO40" s="65"/>
      <c r="UVP40" s="65"/>
      <c r="UVQ40" s="65"/>
      <c r="UVR40" s="65"/>
      <c r="UVS40" s="65"/>
      <c r="UVT40" s="65"/>
      <c r="UVU40" s="65"/>
      <c r="UVV40" s="65"/>
      <c r="UVW40" s="65"/>
      <c r="UVX40" s="65"/>
      <c r="UVY40" s="65"/>
      <c r="UVZ40" s="65"/>
      <c r="UWA40" s="65"/>
      <c r="UWB40" s="65"/>
      <c r="UWC40" s="65"/>
      <c r="UWD40" s="65"/>
      <c r="UWE40" s="65"/>
      <c r="UWF40" s="65"/>
      <c r="UWG40" s="65"/>
      <c r="UWH40" s="65"/>
      <c r="UWI40" s="65"/>
      <c r="UWJ40" s="65"/>
      <c r="UWK40" s="65"/>
      <c r="UWL40" s="65"/>
      <c r="UWM40" s="65"/>
      <c r="UWN40" s="65"/>
      <c r="UWO40" s="65"/>
      <c r="UWP40" s="65"/>
      <c r="UWQ40" s="65"/>
      <c r="UWR40" s="65"/>
      <c r="UWS40" s="65"/>
      <c r="UWT40" s="65"/>
      <c r="UWU40" s="65"/>
      <c r="UWV40" s="65"/>
      <c r="UWW40" s="65"/>
      <c r="UWX40" s="65"/>
      <c r="UWY40" s="65"/>
      <c r="UWZ40" s="65"/>
      <c r="UXA40" s="65"/>
      <c r="UXB40" s="65"/>
      <c r="UXC40" s="65"/>
      <c r="UXD40" s="65"/>
      <c r="UXE40" s="65"/>
      <c r="UXF40" s="65"/>
      <c r="UXG40" s="65"/>
      <c r="UXH40" s="65"/>
      <c r="UXI40" s="65"/>
      <c r="UXJ40" s="65"/>
      <c r="UXK40" s="65"/>
      <c r="UXL40" s="65"/>
      <c r="UXM40" s="65"/>
      <c r="UXN40" s="65"/>
      <c r="UXO40" s="65"/>
      <c r="UXP40" s="65"/>
      <c r="UXQ40" s="65"/>
      <c r="UXR40" s="65"/>
      <c r="UXS40" s="65"/>
      <c r="UXT40" s="65"/>
      <c r="UXU40" s="65"/>
      <c r="UXV40" s="65"/>
      <c r="UXW40" s="65"/>
      <c r="UXX40" s="65"/>
      <c r="UXY40" s="65"/>
      <c r="UXZ40" s="65"/>
      <c r="UYA40" s="65"/>
      <c r="UYB40" s="65"/>
      <c r="UYC40" s="65"/>
      <c r="UYD40" s="65"/>
      <c r="UYE40" s="65"/>
      <c r="UYF40" s="65"/>
      <c r="UYG40" s="65"/>
      <c r="UYH40" s="65"/>
      <c r="UYI40" s="65"/>
      <c r="UYJ40" s="65"/>
      <c r="UYK40" s="65"/>
      <c r="UYL40" s="65"/>
      <c r="UYM40" s="65"/>
      <c r="UYN40" s="65"/>
      <c r="UYO40" s="65"/>
      <c r="UYP40" s="65"/>
      <c r="UYQ40" s="65"/>
      <c r="UYR40" s="65"/>
      <c r="UYS40" s="65"/>
      <c r="UYT40" s="65"/>
      <c r="UYU40" s="65"/>
      <c r="UYV40" s="65"/>
      <c r="UYW40" s="65"/>
      <c r="UYX40" s="65"/>
      <c r="UYY40" s="65"/>
      <c r="UYZ40" s="65"/>
      <c r="UZA40" s="65"/>
      <c r="UZB40" s="65"/>
      <c r="UZC40" s="65"/>
      <c r="UZD40" s="65"/>
      <c r="UZE40" s="65"/>
      <c r="UZF40" s="65"/>
      <c r="UZG40" s="65"/>
      <c r="UZH40" s="65"/>
      <c r="UZI40" s="65"/>
      <c r="UZJ40" s="65"/>
      <c r="UZK40" s="65"/>
      <c r="UZL40" s="65"/>
      <c r="UZM40" s="65"/>
      <c r="UZN40" s="65"/>
      <c r="UZO40" s="65"/>
      <c r="UZP40" s="65"/>
      <c r="UZQ40" s="65"/>
      <c r="UZR40" s="65"/>
      <c r="UZS40" s="65"/>
      <c r="UZT40" s="65"/>
      <c r="UZU40" s="65"/>
      <c r="UZV40" s="65"/>
      <c r="UZW40" s="65"/>
      <c r="UZX40" s="65"/>
      <c r="UZY40" s="65"/>
      <c r="UZZ40" s="65"/>
      <c r="VAA40" s="65"/>
      <c r="VAB40" s="65"/>
      <c r="VAC40" s="65"/>
      <c r="VAD40" s="65"/>
      <c r="VAE40" s="65"/>
      <c r="VAF40" s="65"/>
      <c r="VAG40" s="65"/>
      <c r="VAH40" s="65"/>
      <c r="VAI40" s="65"/>
      <c r="VAJ40" s="65"/>
      <c r="VAK40" s="65"/>
      <c r="VAL40" s="65"/>
      <c r="VAM40" s="65"/>
      <c r="VAN40" s="65"/>
      <c r="VAO40" s="65"/>
      <c r="VAP40" s="65"/>
      <c r="VAQ40" s="65"/>
      <c r="VAR40" s="65"/>
      <c r="VAS40" s="65"/>
      <c r="VAT40" s="65"/>
      <c r="VAU40" s="65"/>
      <c r="VAV40" s="65"/>
      <c r="VAW40" s="65"/>
      <c r="VAX40" s="65"/>
      <c r="VAY40" s="65"/>
      <c r="VAZ40" s="65"/>
      <c r="VBA40" s="65"/>
      <c r="VBB40" s="65"/>
      <c r="VBC40" s="65"/>
      <c r="VBD40" s="65"/>
      <c r="VBE40" s="65"/>
      <c r="VBF40" s="65"/>
      <c r="VBG40" s="65"/>
      <c r="VBH40" s="65"/>
      <c r="VBI40" s="65"/>
      <c r="VBJ40" s="65"/>
      <c r="VBK40" s="65"/>
      <c r="VBL40" s="65"/>
      <c r="VBM40" s="65"/>
      <c r="VBN40" s="65"/>
      <c r="VBO40" s="65"/>
      <c r="VBP40" s="65"/>
      <c r="VBQ40" s="65"/>
      <c r="VBR40" s="65"/>
      <c r="VBS40" s="65"/>
      <c r="VBT40" s="65"/>
      <c r="VBU40" s="65"/>
      <c r="VBV40" s="65"/>
      <c r="VBW40" s="65"/>
      <c r="VBX40" s="65"/>
      <c r="VBY40" s="65"/>
      <c r="VBZ40" s="65"/>
      <c r="VCA40" s="65"/>
      <c r="VCB40" s="65"/>
      <c r="VCC40" s="65"/>
      <c r="VCD40" s="65"/>
      <c r="VCE40" s="65"/>
      <c r="VCF40" s="65"/>
      <c r="VCG40" s="65"/>
      <c r="VCH40" s="65"/>
      <c r="VCI40" s="65"/>
      <c r="VCJ40" s="65"/>
      <c r="VCK40" s="65"/>
      <c r="VCL40" s="65"/>
      <c r="VCM40" s="65"/>
      <c r="VCN40" s="65"/>
      <c r="VCO40" s="65"/>
      <c r="VCP40" s="65"/>
      <c r="VCQ40" s="65"/>
      <c r="VCR40" s="65"/>
      <c r="VCS40" s="65"/>
      <c r="VCT40" s="65"/>
      <c r="VCU40" s="65"/>
      <c r="VCV40" s="65"/>
      <c r="VCW40" s="65"/>
      <c r="VCX40" s="65"/>
      <c r="VCY40" s="65"/>
      <c r="VCZ40" s="65"/>
      <c r="VDA40" s="65"/>
      <c r="VDB40" s="65"/>
      <c r="VDC40" s="65"/>
      <c r="VDD40" s="65"/>
      <c r="VDE40" s="65"/>
      <c r="VDF40" s="65"/>
      <c r="VDG40" s="65"/>
      <c r="VDH40" s="65"/>
      <c r="VDI40" s="65"/>
      <c r="VDJ40" s="65"/>
      <c r="VDK40" s="65"/>
      <c r="VDL40" s="65"/>
      <c r="VDM40" s="65"/>
      <c r="VDN40" s="65"/>
      <c r="VDO40" s="65"/>
      <c r="VDP40" s="65"/>
      <c r="VDQ40" s="65"/>
      <c r="VDR40" s="65"/>
      <c r="VDS40" s="65"/>
      <c r="VDT40" s="65"/>
      <c r="VDU40" s="65"/>
      <c r="VDV40" s="65"/>
      <c r="VDW40" s="65"/>
      <c r="VDX40" s="65"/>
      <c r="VDY40" s="65"/>
      <c r="VDZ40" s="65"/>
      <c r="VEA40" s="65"/>
      <c r="VEB40" s="65"/>
      <c r="VEC40" s="65"/>
      <c r="VED40" s="65"/>
      <c r="VEE40" s="65"/>
      <c r="VEF40" s="65"/>
      <c r="VEG40" s="65"/>
      <c r="VEH40" s="65"/>
      <c r="VEI40" s="65"/>
      <c r="VEJ40" s="65"/>
      <c r="VEK40" s="65"/>
      <c r="VEL40" s="65"/>
      <c r="VEM40" s="65"/>
      <c r="VEN40" s="65"/>
      <c r="VEO40" s="65"/>
      <c r="VEP40" s="65"/>
      <c r="VEQ40" s="65"/>
      <c r="VER40" s="65"/>
      <c r="VES40" s="65"/>
      <c r="VET40" s="65"/>
      <c r="VEU40" s="65"/>
      <c r="VEV40" s="65"/>
      <c r="VEW40" s="65"/>
      <c r="VEX40" s="65"/>
      <c r="VEY40" s="65"/>
      <c r="VEZ40" s="65"/>
      <c r="VFA40" s="65"/>
      <c r="VFB40" s="65"/>
      <c r="VFC40" s="65"/>
      <c r="VFD40" s="65"/>
      <c r="VFE40" s="65"/>
      <c r="VFF40" s="65"/>
      <c r="VFG40" s="65"/>
      <c r="VFH40" s="65"/>
      <c r="VFI40" s="65"/>
      <c r="VFJ40" s="65"/>
      <c r="VFK40" s="65"/>
      <c r="VFL40" s="65"/>
      <c r="VFM40" s="65"/>
      <c r="VFN40" s="65"/>
      <c r="VFO40" s="65"/>
      <c r="VFP40" s="65"/>
      <c r="VFQ40" s="65"/>
      <c r="VFR40" s="65"/>
      <c r="VFS40" s="65"/>
      <c r="VFT40" s="65"/>
      <c r="VFU40" s="65"/>
      <c r="VFV40" s="65"/>
      <c r="VFW40" s="65"/>
      <c r="VFX40" s="65"/>
      <c r="VFY40" s="65"/>
      <c r="VFZ40" s="65"/>
      <c r="VGA40" s="65"/>
      <c r="VGB40" s="65"/>
      <c r="VGC40" s="65"/>
      <c r="VGD40" s="65"/>
      <c r="VGE40" s="65"/>
      <c r="VGF40" s="65"/>
      <c r="VGG40" s="65"/>
      <c r="VGH40" s="65"/>
      <c r="VGI40" s="65"/>
    </row>
    <row r="41" spans="1:15063" x14ac:dyDescent="0.25">
      <c r="C41" s="15"/>
      <c r="D41" s="14" t="s">
        <v>75</v>
      </c>
      <c r="E41" s="235">
        <f>E42+E43</f>
        <v>21429000</v>
      </c>
      <c r="F41" s="20" t="s">
        <v>14</v>
      </c>
      <c r="G41" s="33">
        <f>G42+G43</f>
        <v>921143</v>
      </c>
      <c r="H41" s="33">
        <f t="shared" ref="H41:AJ41" si="17">H42+H43</f>
        <v>250811</v>
      </c>
      <c r="I41" s="33">
        <f t="shared" si="17"/>
        <v>519670</v>
      </c>
      <c r="J41" s="33">
        <f t="shared" si="17"/>
        <v>738041</v>
      </c>
      <c r="K41" s="33">
        <f t="shared" si="17"/>
        <v>533278</v>
      </c>
      <c r="L41" s="33">
        <f t="shared" si="17"/>
        <v>570133</v>
      </c>
      <c r="M41" s="33">
        <f t="shared" ref="M41:N41" si="18">M42+M43</f>
        <v>638607</v>
      </c>
      <c r="N41" s="33">
        <f t="shared" si="18"/>
        <v>813834</v>
      </c>
      <c r="O41" s="33">
        <f t="shared" si="17"/>
        <v>154399</v>
      </c>
      <c r="P41" s="33">
        <f t="shared" si="17"/>
        <v>0</v>
      </c>
      <c r="Q41" s="33">
        <f t="shared" si="17"/>
        <v>0</v>
      </c>
      <c r="R41" s="33">
        <f t="shared" si="17"/>
        <v>0</v>
      </c>
      <c r="S41" s="33">
        <f t="shared" ref="S41" si="19">S42+S43</f>
        <v>0</v>
      </c>
      <c r="T41" s="33">
        <f t="shared" si="17"/>
        <v>0</v>
      </c>
      <c r="U41" s="33">
        <f t="shared" si="17"/>
        <v>0</v>
      </c>
      <c r="V41" s="33">
        <f t="shared" si="17"/>
        <v>0</v>
      </c>
      <c r="W41" s="33">
        <f t="shared" si="17"/>
        <v>5569</v>
      </c>
      <c r="X41" s="33">
        <f t="shared" si="17"/>
        <v>0</v>
      </c>
      <c r="Y41" s="33">
        <f t="shared" si="17"/>
        <v>0</v>
      </c>
      <c r="Z41" s="33">
        <f t="shared" si="17"/>
        <v>0</v>
      </c>
      <c r="AA41" s="33">
        <f t="shared" si="17"/>
        <v>0</v>
      </c>
      <c r="AB41" s="33">
        <f t="shared" si="17"/>
        <v>0</v>
      </c>
      <c r="AC41" s="33">
        <f t="shared" si="17"/>
        <v>0</v>
      </c>
      <c r="AD41" s="33">
        <f t="shared" si="17"/>
        <v>0</v>
      </c>
      <c r="AE41" s="33">
        <f t="shared" si="17"/>
        <v>0</v>
      </c>
      <c r="AF41" s="33">
        <f t="shared" si="17"/>
        <v>0</v>
      </c>
      <c r="AG41" s="33">
        <f t="shared" si="17"/>
        <v>0</v>
      </c>
      <c r="AH41" s="33">
        <f t="shared" si="17"/>
        <v>0</v>
      </c>
      <c r="AI41" s="33">
        <f t="shared" si="17"/>
        <v>282553</v>
      </c>
      <c r="AJ41" s="33">
        <f t="shared" si="17"/>
        <v>1153492</v>
      </c>
      <c r="AK41" s="33">
        <f>AK42+AK43</f>
        <v>0</v>
      </c>
      <c r="AM41" s="57">
        <f>SUM(G41:AK41)</f>
        <v>6581530</v>
      </c>
      <c r="AS41" s="314"/>
    </row>
    <row r="42" spans="1:15063" x14ac:dyDescent="0.25">
      <c r="C42" s="15"/>
      <c r="D42" s="67" t="s">
        <v>112</v>
      </c>
      <c r="E42" s="70">
        <v>15000000</v>
      </c>
      <c r="F42" s="68" t="s">
        <v>14</v>
      </c>
      <c r="G42" s="276">
        <f>'[1]01'!$P$22</f>
        <v>668457</v>
      </c>
      <c r="H42" s="276">
        <f>'[2]02'!$P$22</f>
        <v>169785</v>
      </c>
      <c r="I42" s="276">
        <f>'[3]03'!$P$23</f>
        <v>392392</v>
      </c>
      <c r="J42" s="276">
        <f>'[4]04'!$P$22</f>
        <v>521490</v>
      </c>
      <c r="K42" s="276">
        <f>'[5]05'!$P$22</f>
        <v>374594</v>
      </c>
      <c r="L42" s="276">
        <f>'[6]06'!$P$22</f>
        <v>411892</v>
      </c>
      <c r="M42" s="276">
        <f>'[7]07'!$P$22</f>
        <v>464613</v>
      </c>
      <c r="N42" s="276">
        <f>'[7]08'!$P$22</f>
        <v>604158</v>
      </c>
      <c r="O42" s="276">
        <f>'[6]09'!$P$22</f>
        <v>117352</v>
      </c>
      <c r="P42" s="276">
        <v>0</v>
      </c>
      <c r="Q42" s="276">
        <v>0</v>
      </c>
      <c r="R42" s="276">
        <v>0</v>
      </c>
      <c r="S42" s="276">
        <v>0</v>
      </c>
      <c r="T42" s="276">
        <v>0</v>
      </c>
      <c r="U42" s="276">
        <v>0</v>
      </c>
      <c r="V42" s="276">
        <v>0</v>
      </c>
      <c r="W42" s="276">
        <v>0</v>
      </c>
      <c r="X42" s="276">
        <v>0</v>
      </c>
      <c r="Y42" s="276">
        <v>0</v>
      </c>
      <c r="Z42" s="276">
        <v>0</v>
      </c>
      <c r="AA42" s="276">
        <v>0</v>
      </c>
      <c r="AB42" s="276">
        <v>0</v>
      </c>
      <c r="AC42" s="276">
        <v>0</v>
      </c>
      <c r="AD42" s="276">
        <v>0</v>
      </c>
      <c r="AE42" s="276">
        <v>0</v>
      </c>
      <c r="AF42" s="276">
        <v>0</v>
      </c>
      <c r="AG42" s="276">
        <v>0</v>
      </c>
      <c r="AH42" s="276">
        <v>0</v>
      </c>
      <c r="AI42" s="276">
        <v>215238</v>
      </c>
      <c r="AJ42" s="276">
        <f>'[14]30 (Stock Opname)'!$P$22+71400</f>
        <v>848627</v>
      </c>
      <c r="AK42" s="276">
        <v>0</v>
      </c>
      <c r="AM42" s="60">
        <f>SUM(G42:AK42)</f>
        <v>4788598</v>
      </c>
      <c r="AN42" s="3"/>
      <c r="AO42" s="3"/>
      <c r="AP42" s="3"/>
      <c r="AR42" s="3"/>
    </row>
    <row r="43" spans="1:15063" x14ac:dyDescent="0.25">
      <c r="C43" s="15"/>
      <c r="D43" s="67" t="s">
        <v>73</v>
      </c>
      <c r="E43" s="70">
        <v>6429000</v>
      </c>
      <c r="F43" s="68" t="s">
        <v>14</v>
      </c>
      <c r="G43" s="276">
        <f>'[1]01'!$P$29</f>
        <v>252686</v>
      </c>
      <c r="H43" s="276">
        <f>'[2]02'!$P$30</f>
        <v>81026</v>
      </c>
      <c r="I43" s="276">
        <f>'[3]03'!$P$30</f>
        <v>127278</v>
      </c>
      <c r="J43" s="276">
        <f>'[4]04'!$P$30</f>
        <v>216551</v>
      </c>
      <c r="K43" s="276">
        <f>'[5]05'!$P$30-K30</f>
        <v>158684</v>
      </c>
      <c r="L43" s="276">
        <f>'[6]06'!$P$30</f>
        <v>158241</v>
      </c>
      <c r="M43" s="276">
        <f>'[7]07'!$P$30</f>
        <v>173994</v>
      </c>
      <c r="N43" s="276">
        <f>'[7]08'!$P$30</f>
        <v>209676</v>
      </c>
      <c r="O43" s="276">
        <v>37047</v>
      </c>
      <c r="P43" s="276">
        <v>0</v>
      </c>
      <c r="Q43" s="276">
        <v>0</v>
      </c>
      <c r="R43" s="276">
        <v>0</v>
      </c>
      <c r="S43" s="276">
        <v>0</v>
      </c>
      <c r="T43" s="276">
        <v>0</v>
      </c>
      <c r="U43" s="276">
        <v>0</v>
      </c>
      <c r="V43" s="276">
        <v>0</v>
      </c>
      <c r="W43" s="276">
        <f>'[13]17'!$P$30</f>
        <v>5569</v>
      </c>
      <c r="X43" s="276">
        <v>0</v>
      </c>
      <c r="Y43" s="276">
        <v>0</v>
      </c>
      <c r="Z43" s="276">
        <v>0</v>
      </c>
      <c r="AA43" s="276">
        <v>0</v>
      </c>
      <c r="AB43" s="276">
        <v>0</v>
      </c>
      <c r="AC43" s="276">
        <v>0</v>
      </c>
      <c r="AD43" s="276">
        <v>0</v>
      </c>
      <c r="AE43" s="276">
        <v>0</v>
      </c>
      <c r="AF43" s="276">
        <v>0</v>
      </c>
      <c r="AG43" s="276">
        <v>0</v>
      </c>
      <c r="AH43" s="276">
        <v>0</v>
      </c>
      <c r="AI43" s="276">
        <f>217365-AI30</f>
        <v>67315</v>
      </c>
      <c r="AJ43" s="276">
        <f>'[14]30 (Stock Opname)'!$P$30</f>
        <v>304865</v>
      </c>
      <c r="AK43" s="276">
        <v>0</v>
      </c>
      <c r="AM43" s="60">
        <f>SUM(G43:AK43)</f>
        <v>1792932</v>
      </c>
      <c r="AN43" s="3"/>
      <c r="AO43" s="3"/>
    </row>
    <row r="44" spans="1:15063" x14ac:dyDescent="0.25">
      <c r="C44" s="15"/>
      <c r="D44" s="236" t="s">
        <v>72</v>
      </c>
      <c r="E44" s="239"/>
      <c r="F44" s="238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279"/>
      <c r="AM44" s="69" t="s">
        <v>61</v>
      </c>
      <c r="AN44" s="3"/>
      <c r="AO44" s="3"/>
    </row>
    <row r="45" spans="1:15063" s="76" customFormat="1" x14ac:dyDescent="0.2">
      <c r="A45" s="16"/>
      <c r="B45" s="16"/>
      <c r="C45" s="17"/>
      <c r="D45" s="11" t="s">
        <v>71</v>
      </c>
      <c r="E45" s="262"/>
      <c r="F45" s="12" t="s">
        <v>14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16"/>
      <c r="AM45" s="57">
        <f t="shared" ref="AM45:AM50" si="20">SUM(G45:AK45)</f>
        <v>0</v>
      </c>
      <c r="AN45" s="148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43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48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/>
      <c r="PD45" s="16"/>
      <c r="PE45" s="16"/>
      <c r="PF45" s="16"/>
      <c r="PG45" s="16"/>
      <c r="PH45" s="16"/>
      <c r="PI45" s="16"/>
      <c r="PJ45" s="16"/>
      <c r="PK45" s="16"/>
      <c r="PL45" s="16"/>
      <c r="PM45" s="16"/>
      <c r="PN45" s="16"/>
      <c r="PO45" s="16"/>
      <c r="PP45" s="16"/>
      <c r="PQ45" s="16"/>
      <c r="PR45" s="16"/>
      <c r="PS45" s="16"/>
      <c r="PT45" s="16"/>
      <c r="PU45" s="16"/>
      <c r="PV45" s="16"/>
      <c r="PW45" s="16"/>
      <c r="PX45" s="16"/>
      <c r="PY45" s="16"/>
      <c r="PZ45" s="16"/>
      <c r="QA45" s="16"/>
      <c r="QB45" s="16"/>
      <c r="QC45" s="16"/>
      <c r="QD45" s="16"/>
      <c r="QE45" s="16"/>
      <c r="QF45" s="16"/>
      <c r="QG45" s="16"/>
      <c r="QH45" s="16"/>
      <c r="QI45" s="16"/>
      <c r="QJ45" s="16"/>
      <c r="QK45" s="16"/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16"/>
      <c r="RC45" s="16"/>
      <c r="RD45" s="16"/>
      <c r="RE45" s="16"/>
      <c r="RF45" s="16"/>
      <c r="RG45" s="16"/>
      <c r="RH45" s="16"/>
      <c r="RI45" s="16"/>
      <c r="RJ45" s="16"/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  <c r="RX45" s="16"/>
      <c r="RY45" s="16"/>
      <c r="RZ45" s="16"/>
      <c r="SA45" s="16"/>
      <c r="SB45" s="16"/>
      <c r="SC45" s="16"/>
      <c r="SD45" s="16"/>
      <c r="SE45" s="16"/>
      <c r="SF45" s="16"/>
      <c r="SG45" s="16"/>
      <c r="SH45" s="16"/>
      <c r="SI45" s="16"/>
      <c r="SJ45" s="16"/>
      <c r="SK45" s="16"/>
      <c r="SL45" s="16"/>
      <c r="SM45" s="16"/>
      <c r="SN45" s="16"/>
      <c r="SO45" s="16"/>
      <c r="SP45" s="16"/>
      <c r="SQ45" s="16"/>
      <c r="SR45" s="16"/>
      <c r="SS45" s="16"/>
      <c r="ST45" s="16"/>
      <c r="SU45" s="16"/>
      <c r="SV45" s="16"/>
      <c r="SW45" s="16"/>
      <c r="SX45" s="16"/>
      <c r="SY45" s="16"/>
      <c r="SZ45" s="16"/>
      <c r="TA45" s="16"/>
      <c r="TB45" s="16"/>
      <c r="TC45" s="16"/>
      <c r="TD45" s="16"/>
      <c r="TE45" s="16"/>
      <c r="TF45" s="16"/>
      <c r="TG45" s="16"/>
      <c r="TH45" s="16"/>
      <c r="TI45" s="16"/>
      <c r="TJ45" s="16"/>
      <c r="TK45" s="16"/>
      <c r="TL45" s="16"/>
      <c r="TM45" s="16"/>
      <c r="TN45" s="16"/>
      <c r="TO45" s="16"/>
      <c r="TP45" s="16"/>
      <c r="TQ45" s="16"/>
      <c r="TR45" s="16"/>
      <c r="TS45" s="16"/>
      <c r="TT45" s="16"/>
      <c r="TU45" s="16"/>
      <c r="TV45" s="16"/>
      <c r="TW45" s="16"/>
      <c r="TX45" s="16"/>
      <c r="TY45" s="16"/>
      <c r="TZ45" s="16"/>
      <c r="UA45" s="16"/>
      <c r="UB45" s="16"/>
      <c r="UC45" s="16"/>
      <c r="UD45" s="16"/>
      <c r="UE45" s="16"/>
      <c r="UF45" s="16"/>
      <c r="UG45" s="16"/>
      <c r="UH45" s="16"/>
      <c r="UI45" s="16"/>
      <c r="UJ45" s="16"/>
      <c r="UK45" s="16"/>
      <c r="UL45" s="16"/>
      <c r="UM45" s="16"/>
      <c r="UN45" s="16"/>
      <c r="UO45" s="16"/>
      <c r="UP45" s="16"/>
      <c r="UQ45" s="16"/>
      <c r="UR45" s="16"/>
      <c r="US45" s="16"/>
      <c r="UT45" s="16"/>
      <c r="UU45" s="16"/>
      <c r="UV45" s="16"/>
      <c r="UW45" s="16"/>
      <c r="UX45" s="16"/>
      <c r="UY45" s="16"/>
      <c r="UZ45" s="16"/>
      <c r="VA45" s="16"/>
      <c r="VB45" s="16"/>
      <c r="VC45" s="16"/>
      <c r="VD45" s="16"/>
      <c r="VE45" s="16"/>
      <c r="VF45" s="16"/>
      <c r="VG45" s="16"/>
      <c r="VH45" s="16"/>
      <c r="VI45" s="16"/>
      <c r="VJ45" s="16"/>
      <c r="VK45" s="16"/>
      <c r="VL45" s="16"/>
      <c r="VM45" s="16"/>
      <c r="VN45" s="16"/>
      <c r="VO45" s="16"/>
      <c r="VP45" s="16"/>
      <c r="VQ45" s="16"/>
      <c r="VR45" s="16"/>
      <c r="VS45" s="16"/>
      <c r="VT45" s="16"/>
      <c r="VU45" s="16"/>
      <c r="VV45" s="16"/>
      <c r="VW45" s="16"/>
      <c r="VX45" s="16"/>
      <c r="VY45" s="16"/>
      <c r="VZ45" s="16"/>
      <c r="WA45" s="16"/>
      <c r="WB45" s="16"/>
      <c r="WC45" s="16"/>
      <c r="WD45" s="16"/>
      <c r="WE45" s="16"/>
      <c r="WF45" s="16"/>
      <c r="WG45" s="16"/>
      <c r="WH45" s="16"/>
      <c r="WI45" s="16"/>
      <c r="WJ45" s="16"/>
      <c r="WK45" s="16"/>
      <c r="WL45" s="16"/>
      <c r="WM45" s="16"/>
      <c r="WN45" s="16"/>
      <c r="WO45" s="16"/>
      <c r="WP45" s="16"/>
      <c r="WQ45" s="16"/>
      <c r="WR45" s="16"/>
      <c r="WS45" s="16"/>
      <c r="WT45" s="16"/>
      <c r="WU45" s="16"/>
      <c r="WV45" s="16"/>
      <c r="WW45" s="16"/>
      <c r="WX45" s="16"/>
      <c r="WY45" s="16"/>
      <c r="WZ45" s="16"/>
      <c r="XA45" s="16"/>
      <c r="XB45" s="16"/>
      <c r="XC45" s="16"/>
      <c r="XD45" s="16"/>
      <c r="XE45" s="16"/>
      <c r="XF45" s="16"/>
      <c r="XG45" s="16"/>
      <c r="XH45" s="16"/>
      <c r="XI45" s="16"/>
      <c r="XJ45" s="16"/>
      <c r="XK45" s="16"/>
      <c r="XL45" s="16"/>
      <c r="XM45" s="16"/>
      <c r="XN45" s="16"/>
      <c r="XO45" s="16"/>
      <c r="XP45" s="16"/>
      <c r="XQ45" s="16"/>
      <c r="XR45" s="16"/>
      <c r="XS45" s="16"/>
      <c r="XT45" s="16"/>
      <c r="XU45" s="16"/>
      <c r="XV45" s="16"/>
      <c r="XW45" s="16"/>
      <c r="XX45" s="16"/>
      <c r="XY45" s="16"/>
      <c r="XZ45" s="16"/>
      <c r="YA45" s="16"/>
      <c r="YB45" s="16"/>
      <c r="YC45" s="16"/>
      <c r="YD45" s="16"/>
      <c r="YE45" s="16"/>
      <c r="YF45" s="16"/>
      <c r="YG45" s="16"/>
      <c r="YH45" s="16"/>
      <c r="YI45" s="16"/>
      <c r="YJ45" s="16"/>
      <c r="YK45" s="16"/>
      <c r="YL45" s="16"/>
      <c r="YM45" s="16"/>
      <c r="YN45" s="16"/>
      <c r="YO45" s="16"/>
      <c r="YP45" s="16"/>
      <c r="YQ45" s="16"/>
      <c r="YR45" s="16"/>
      <c r="YS45" s="16"/>
      <c r="YT45" s="16"/>
      <c r="YU45" s="16"/>
      <c r="YV45" s="16"/>
      <c r="YW45" s="16"/>
      <c r="YX45" s="16"/>
      <c r="YY45" s="16"/>
      <c r="YZ45" s="16"/>
      <c r="ZA45" s="16"/>
      <c r="ZB45" s="16"/>
      <c r="ZC45" s="16"/>
      <c r="ZD45" s="16"/>
      <c r="ZE45" s="16"/>
      <c r="ZF45" s="16"/>
      <c r="ZG45" s="16"/>
      <c r="ZH45" s="16"/>
      <c r="ZI45" s="16"/>
      <c r="ZJ45" s="16"/>
      <c r="ZK45" s="16"/>
      <c r="ZL45" s="16"/>
      <c r="ZM45" s="16"/>
      <c r="ZN45" s="16"/>
      <c r="ZO45" s="16"/>
      <c r="ZP45" s="16"/>
      <c r="ZQ45" s="16"/>
      <c r="ZR45" s="16"/>
      <c r="ZS45" s="16"/>
      <c r="ZT45" s="16"/>
      <c r="ZU45" s="16"/>
      <c r="ZV45" s="16"/>
      <c r="ZW45" s="16"/>
      <c r="ZX45" s="16"/>
      <c r="ZY45" s="16"/>
      <c r="ZZ45" s="16"/>
      <c r="AAA45" s="16"/>
      <c r="AAB45" s="16"/>
      <c r="AAC45" s="16"/>
      <c r="AAD45" s="16"/>
      <c r="AAE45" s="16"/>
      <c r="AAF45" s="16"/>
      <c r="AAG45" s="16"/>
      <c r="AAH45" s="16"/>
      <c r="AAI45" s="16"/>
      <c r="AAJ45" s="16"/>
      <c r="AAK45" s="16"/>
      <c r="AAL45" s="16"/>
      <c r="AAM45" s="16"/>
      <c r="AAN45" s="16"/>
      <c r="AAO45" s="16"/>
      <c r="AAP45" s="16"/>
      <c r="AAQ45" s="16"/>
      <c r="AAR45" s="16"/>
      <c r="AAS45" s="16"/>
      <c r="AAT45" s="16"/>
      <c r="AAU45" s="16"/>
      <c r="AAV45" s="16"/>
      <c r="AAW45" s="16"/>
      <c r="AAX45" s="16"/>
      <c r="AAY45" s="16"/>
      <c r="AAZ45" s="16"/>
      <c r="ABA45" s="16"/>
      <c r="ABB45" s="16"/>
      <c r="ABC45" s="16"/>
      <c r="ABD45" s="16"/>
      <c r="ABE45" s="16"/>
      <c r="ABF45" s="16"/>
      <c r="ABG45" s="16"/>
      <c r="ABH45" s="16"/>
      <c r="ABI45" s="16"/>
      <c r="ABJ45" s="16"/>
      <c r="ABK45" s="16"/>
      <c r="ABL45" s="16"/>
      <c r="ABM45" s="16"/>
      <c r="ABN45" s="16"/>
      <c r="ABO45" s="16"/>
      <c r="ABP45" s="16"/>
      <c r="ABQ45" s="16"/>
      <c r="ABR45" s="16"/>
      <c r="ABS45" s="16"/>
      <c r="ABT45" s="16"/>
      <c r="ABU45" s="16"/>
      <c r="ABV45" s="16"/>
      <c r="ABW45" s="16"/>
      <c r="ABX45" s="16"/>
      <c r="ABY45" s="16"/>
      <c r="ABZ45" s="16"/>
      <c r="ACA45" s="16"/>
      <c r="ACB45" s="16"/>
      <c r="ACC45" s="16"/>
      <c r="ACD45" s="16"/>
      <c r="ACE45" s="16"/>
      <c r="ACF45" s="16"/>
      <c r="ACG45" s="16"/>
      <c r="ACH45" s="16"/>
      <c r="ACI45" s="16"/>
      <c r="ACJ45" s="16"/>
      <c r="ACK45" s="16"/>
      <c r="ACL45" s="16"/>
      <c r="ACM45" s="16"/>
      <c r="ACN45" s="16"/>
      <c r="ACO45" s="16"/>
      <c r="ACP45" s="16"/>
      <c r="ACQ45" s="16"/>
      <c r="ACR45" s="16"/>
      <c r="ACS45" s="16"/>
      <c r="ACT45" s="16"/>
      <c r="ACU45" s="16"/>
      <c r="ACV45" s="16"/>
      <c r="ACW45" s="16"/>
      <c r="ACX45" s="16"/>
      <c r="ACY45" s="16"/>
      <c r="ACZ45" s="16"/>
      <c r="ADA45" s="16"/>
      <c r="ADB45" s="16"/>
      <c r="ADC45" s="16"/>
      <c r="ADD45" s="16"/>
      <c r="ADE45" s="16"/>
      <c r="ADF45" s="16"/>
      <c r="ADG45" s="16"/>
      <c r="ADH45" s="16"/>
      <c r="ADI45" s="16"/>
      <c r="ADJ45" s="16"/>
      <c r="ADK45" s="16"/>
      <c r="ADL45" s="16"/>
      <c r="ADM45" s="16"/>
      <c r="ADN45" s="16"/>
      <c r="ADO45" s="16"/>
      <c r="ADP45" s="16"/>
      <c r="ADQ45" s="16"/>
      <c r="ADR45" s="16"/>
      <c r="ADS45" s="16"/>
      <c r="ADT45" s="16"/>
      <c r="ADU45" s="16"/>
      <c r="ADV45" s="16"/>
      <c r="ADW45" s="16"/>
      <c r="ADX45" s="16"/>
      <c r="ADY45" s="16"/>
      <c r="ADZ45" s="16"/>
      <c r="AEA45" s="16"/>
      <c r="AEB45" s="16"/>
      <c r="AEC45" s="16"/>
      <c r="AED45" s="16"/>
      <c r="AEE45" s="16"/>
      <c r="AEF45" s="16"/>
      <c r="AEG45" s="16"/>
      <c r="AEH45" s="16"/>
      <c r="AEI45" s="16"/>
      <c r="AEJ45" s="16"/>
      <c r="AEK45" s="16"/>
      <c r="AEL45" s="16"/>
      <c r="AEM45" s="16"/>
      <c r="AEN45" s="16"/>
      <c r="AEO45" s="16"/>
      <c r="AEP45" s="16"/>
      <c r="AEQ45" s="16"/>
      <c r="AER45" s="16"/>
      <c r="AES45" s="16"/>
      <c r="AET45" s="16"/>
      <c r="AEU45" s="16"/>
      <c r="AEV45" s="16"/>
      <c r="AEW45" s="16"/>
      <c r="AEX45" s="16"/>
      <c r="AEY45" s="16"/>
      <c r="AEZ45" s="16"/>
      <c r="AFA45" s="16"/>
      <c r="AFB45" s="16"/>
      <c r="AFC45" s="16"/>
      <c r="AFD45" s="16"/>
      <c r="AFE45" s="16"/>
      <c r="AFF45" s="16"/>
      <c r="AFG45" s="16"/>
      <c r="AFH45" s="16"/>
      <c r="AFI45" s="16"/>
      <c r="AFJ45" s="16"/>
      <c r="AFK45" s="16"/>
      <c r="AFL45" s="16"/>
      <c r="AFM45" s="16"/>
      <c r="AFN45" s="16"/>
      <c r="AFO45" s="16"/>
      <c r="AFP45" s="16"/>
      <c r="AFQ45" s="16"/>
      <c r="AFR45" s="16"/>
      <c r="AFS45" s="16"/>
      <c r="AFT45" s="16"/>
      <c r="AFU45" s="16"/>
      <c r="AFV45" s="16"/>
      <c r="AFW45" s="16"/>
      <c r="AFX45" s="16"/>
      <c r="AFY45" s="16"/>
      <c r="AFZ45" s="16"/>
      <c r="AGA45" s="16"/>
      <c r="AGB45" s="16"/>
      <c r="AGC45" s="16"/>
      <c r="AGD45" s="16"/>
      <c r="AGE45" s="16"/>
      <c r="AGF45" s="16"/>
      <c r="AGG45" s="16"/>
      <c r="AGH45" s="16"/>
      <c r="AGI45" s="16"/>
      <c r="AGJ45" s="16"/>
      <c r="AGK45" s="16"/>
      <c r="AGL45" s="16"/>
      <c r="AGM45" s="16"/>
      <c r="AGN45" s="16"/>
      <c r="AGO45" s="16"/>
      <c r="AGP45" s="16"/>
      <c r="AGQ45" s="16"/>
      <c r="AGR45" s="16"/>
      <c r="AGS45" s="16"/>
      <c r="AGT45" s="16"/>
      <c r="AGU45" s="16"/>
      <c r="AGV45" s="16"/>
      <c r="AGW45" s="16"/>
      <c r="AGX45" s="16"/>
      <c r="AGY45" s="16"/>
      <c r="AGZ45" s="16"/>
      <c r="AHA45" s="16"/>
      <c r="AHB45" s="16"/>
      <c r="AHC45" s="16"/>
      <c r="AHD45" s="16"/>
      <c r="AHE45" s="16"/>
      <c r="AHF45" s="16"/>
      <c r="AHG45" s="16"/>
      <c r="AHH45" s="16"/>
      <c r="AHI45" s="16"/>
      <c r="AHJ45" s="16"/>
      <c r="AHK45" s="16"/>
      <c r="AHL45" s="16"/>
      <c r="AHM45" s="16"/>
      <c r="AHN45" s="16"/>
      <c r="AHO45" s="16"/>
      <c r="AHP45" s="16"/>
      <c r="AHQ45" s="16"/>
      <c r="AHR45" s="16"/>
      <c r="AHS45" s="16"/>
      <c r="AHT45" s="16"/>
      <c r="AHU45" s="16"/>
      <c r="AHV45" s="16"/>
      <c r="AHW45" s="16"/>
      <c r="AHX45" s="16"/>
      <c r="AHY45" s="16"/>
      <c r="AHZ45" s="16"/>
      <c r="AIA45" s="16"/>
      <c r="AIB45" s="16"/>
      <c r="AIC45" s="16"/>
      <c r="AID45" s="16"/>
      <c r="AIE45" s="16"/>
      <c r="AIF45" s="16"/>
      <c r="AIG45" s="16"/>
      <c r="AIH45" s="16"/>
      <c r="AII45" s="16"/>
      <c r="AIJ45" s="16"/>
      <c r="AIK45" s="16"/>
      <c r="AIL45" s="16"/>
      <c r="AIM45" s="16"/>
      <c r="AIN45" s="16"/>
      <c r="AIO45" s="16"/>
      <c r="AIP45" s="16"/>
      <c r="AIQ45" s="16"/>
      <c r="AIR45" s="16"/>
      <c r="AIS45" s="16"/>
      <c r="AIT45" s="16"/>
      <c r="AIU45" s="16"/>
      <c r="AIV45" s="16"/>
      <c r="AIW45" s="16"/>
      <c r="AIX45" s="16"/>
      <c r="AIY45" s="16"/>
      <c r="AIZ45" s="16"/>
      <c r="AJA45" s="16"/>
      <c r="AJB45" s="16"/>
      <c r="AJC45" s="16"/>
      <c r="AJD45" s="16"/>
      <c r="AJE45" s="16"/>
      <c r="AJF45" s="16"/>
      <c r="AJG45" s="16"/>
      <c r="AJH45" s="16"/>
      <c r="AJI45" s="16"/>
      <c r="AJJ45" s="16"/>
      <c r="AJK45" s="16"/>
      <c r="AJL45" s="16"/>
      <c r="AJM45" s="16"/>
      <c r="AJN45" s="16"/>
      <c r="AJO45" s="16"/>
      <c r="AJP45" s="16"/>
      <c r="AJQ45" s="16"/>
      <c r="AJR45" s="16"/>
      <c r="AJS45" s="16"/>
      <c r="AJT45" s="16"/>
      <c r="AJU45" s="16"/>
      <c r="AJV45" s="16"/>
      <c r="AJW45" s="16"/>
      <c r="AJX45" s="16"/>
      <c r="AJY45" s="16"/>
      <c r="AJZ45" s="16"/>
      <c r="AKA45" s="16"/>
      <c r="AKB45" s="16"/>
      <c r="AKC45" s="16"/>
      <c r="AKD45" s="16"/>
      <c r="AKE45" s="16"/>
      <c r="AKF45" s="16"/>
      <c r="AKG45" s="16"/>
      <c r="AKH45" s="16"/>
      <c r="AKI45" s="16"/>
      <c r="AKJ45" s="16"/>
      <c r="AKK45" s="16"/>
      <c r="AKL45" s="16"/>
      <c r="AKM45" s="16"/>
      <c r="AKN45" s="16"/>
      <c r="AKO45" s="16"/>
      <c r="AKP45" s="16"/>
      <c r="AKQ45" s="16"/>
      <c r="AKR45" s="16"/>
      <c r="AKS45" s="16"/>
      <c r="AKT45" s="16"/>
      <c r="AKU45" s="16"/>
      <c r="AKV45" s="16"/>
      <c r="AKW45" s="16"/>
      <c r="AKX45" s="16"/>
      <c r="AKY45" s="16"/>
      <c r="AKZ45" s="16"/>
      <c r="ALA45" s="16"/>
      <c r="ALB45" s="16"/>
      <c r="ALC45" s="16"/>
      <c r="ALD45" s="16"/>
      <c r="ALE45" s="16"/>
      <c r="ALF45" s="16"/>
      <c r="ALG45" s="16"/>
      <c r="ALH45" s="16"/>
      <c r="ALI45" s="16"/>
      <c r="ALJ45" s="16"/>
      <c r="ALK45" s="16"/>
      <c r="ALL45" s="16"/>
      <c r="ALM45" s="16"/>
      <c r="ALN45" s="16"/>
      <c r="ALO45" s="16"/>
      <c r="ALP45" s="16"/>
      <c r="ALQ45" s="16"/>
      <c r="ALR45" s="16"/>
      <c r="ALS45" s="16"/>
      <c r="ALT45" s="16"/>
      <c r="ALU45" s="16"/>
      <c r="ALV45" s="16"/>
      <c r="ALW45" s="16"/>
      <c r="ALX45" s="16"/>
      <c r="ALY45" s="16"/>
      <c r="ALZ45" s="16"/>
      <c r="AMA45" s="16"/>
      <c r="AMB45" s="16"/>
      <c r="AMC45" s="16"/>
      <c r="AMD45" s="16"/>
      <c r="AME45" s="16"/>
      <c r="AMF45" s="16"/>
      <c r="AMG45" s="16"/>
      <c r="AMH45" s="16"/>
      <c r="AMI45" s="16"/>
      <c r="AMJ45" s="16"/>
      <c r="AMK45" s="16"/>
      <c r="AML45" s="16"/>
      <c r="AMM45" s="16"/>
      <c r="AMN45" s="16"/>
      <c r="AMO45" s="16"/>
      <c r="AMP45" s="16"/>
      <c r="AMQ45" s="16"/>
      <c r="AMR45" s="16"/>
      <c r="AMS45" s="16"/>
      <c r="AMT45" s="16"/>
      <c r="AMU45" s="16"/>
      <c r="AMV45" s="16"/>
      <c r="AMW45" s="16"/>
      <c r="AMX45" s="16"/>
      <c r="AMY45" s="16"/>
      <c r="AMZ45" s="16"/>
      <c r="ANA45" s="16"/>
      <c r="ANB45" s="16"/>
      <c r="ANC45" s="16"/>
      <c r="AND45" s="16"/>
      <c r="ANE45" s="16"/>
      <c r="ANF45" s="16"/>
      <c r="ANG45" s="16"/>
      <c r="ANH45" s="16"/>
      <c r="ANI45" s="16"/>
      <c r="ANJ45" s="16"/>
      <c r="ANK45" s="16"/>
      <c r="ANL45" s="16"/>
      <c r="ANM45" s="16"/>
      <c r="ANN45" s="16"/>
      <c r="ANO45" s="16"/>
      <c r="ANP45" s="16"/>
      <c r="ANQ45" s="16"/>
      <c r="ANR45" s="16"/>
      <c r="ANS45" s="16"/>
      <c r="ANT45" s="16"/>
      <c r="ANU45" s="16"/>
      <c r="ANV45" s="16"/>
      <c r="ANW45" s="16"/>
      <c r="ANX45" s="16"/>
      <c r="ANY45" s="16"/>
      <c r="ANZ45" s="16"/>
      <c r="AOA45" s="16"/>
      <c r="AOB45" s="16"/>
      <c r="AOC45" s="16"/>
      <c r="AOD45" s="16"/>
      <c r="AOE45" s="16"/>
      <c r="AOF45" s="16"/>
      <c r="AOG45" s="16"/>
      <c r="AOH45" s="16"/>
      <c r="AOI45" s="16"/>
      <c r="AOJ45" s="16"/>
      <c r="AOK45" s="16"/>
      <c r="AOL45" s="16"/>
      <c r="AOM45" s="16"/>
      <c r="AON45" s="16"/>
      <c r="AOO45" s="16"/>
      <c r="AOP45" s="16"/>
      <c r="AOQ45" s="16"/>
      <c r="AOR45" s="16"/>
      <c r="AOS45" s="16"/>
      <c r="AOT45" s="16"/>
      <c r="AOU45" s="16"/>
      <c r="AOV45" s="16"/>
      <c r="AOW45" s="16"/>
      <c r="AOX45" s="16"/>
      <c r="AOY45" s="16"/>
      <c r="AOZ45" s="16"/>
      <c r="APA45" s="16"/>
      <c r="APB45" s="16"/>
      <c r="APC45" s="16"/>
      <c r="APD45" s="16"/>
      <c r="APE45" s="16"/>
      <c r="APF45" s="16"/>
      <c r="APG45" s="16"/>
      <c r="APH45" s="16"/>
      <c r="API45" s="16"/>
      <c r="APJ45" s="16"/>
      <c r="APK45" s="16"/>
      <c r="APL45" s="16"/>
      <c r="APM45" s="16"/>
      <c r="APN45" s="16"/>
      <c r="APO45" s="16"/>
      <c r="APP45" s="16"/>
      <c r="APQ45" s="16"/>
      <c r="APR45" s="16"/>
      <c r="APS45" s="16"/>
      <c r="APT45" s="16"/>
      <c r="APU45" s="16"/>
      <c r="APV45" s="16"/>
      <c r="APW45" s="16"/>
      <c r="APX45" s="16"/>
      <c r="APY45" s="16"/>
      <c r="APZ45" s="16"/>
      <c r="AQA45" s="16"/>
      <c r="AQB45" s="16"/>
      <c r="AQC45" s="16"/>
      <c r="AQD45" s="16"/>
      <c r="AQE45" s="16"/>
      <c r="AQF45" s="16"/>
      <c r="AQG45" s="16"/>
      <c r="AQH45" s="16"/>
      <c r="AQI45" s="16"/>
      <c r="AQJ45" s="16"/>
      <c r="AQK45" s="16"/>
      <c r="AQL45" s="16"/>
      <c r="AQM45" s="16"/>
      <c r="AQN45" s="16"/>
      <c r="AQO45" s="16"/>
      <c r="AQP45" s="16"/>
      <c r="AQQ45" s="16"/>
      <c r="AQR45" s="16"/>
      <c r="AQS45" s="16"/>
      <c r="AQT45" s="16"/>
      <c r="AQU45" s="16"/>
      <c r="AQV45" s="16"/>
      <c r="AQW45" s="16"/>
      <c r="AQX45" s="16"/>
      <c r="AQY45" s="16"/>
      <c r="AQZ45" s="16"/>
      <c r="ARA45" s="16"/>
      <c r="ARB45" s="16"/>
      <c r="ARC45" s="16"/>
      <c r="ARD45" s="16"/>
      <c r="ARE45" s="16"/>
      <c r="ARF45" s="16"/>
      <c r="ARG45" s="16"/>
      <c r="ARH45" s="16"/>
      <c r="ARI45" s="16"/>
      <c r="ARJ45" s="16"/>
      <c r="ARK45" s="16"/>
      <c r="ARL45" s="16"/>
      <c r="ARM45" s="16"/>
      <c r="ARN45" s="16"/>
      <c r="ARO45" s="16"/>
      <c r="ARP45" s="16"/>
      <c r="ARQ45" s="16"/>
      <c r="ARR45" s="16"/>
      <c r="ARS45" s="16"/>
      <c r="ART45" s="16"/>
      <c r="ARU45" s="16"/>
      <c r="ARV45" s="16"/>
      <c r="ARW45" s="16"/>
      <c r="ARX45" s="16"/>
      <c r="ARY45" s="16"/>
      <c r="ARZ45" s="16"/>
      <c r="ASA45" s="16"/>
      <c r="ASB45" s="16"/>
      <c r="ASC45" s="16"/>
      <c r="ASD45" s="16"/>
      <c r="ASE45" s="16"/>
      <c r="ASF45" s="16"/>
      <c r="ASG45" s="16"/>
      <c r="ASH45" s="16"/>
      <c r="ASI45" s="16"/>
      <c r="ASJ45" s="16"/>
      <c r="ASK45" s="16"/>
      <c r="ASL45" s="16"/>
      <c r="ASM45" s="16"/>
      <c r="ASN45" s="16"/>
      <c r="ASO45" s="16"/>
      <c r="ASP45" s="16"/>
      <c r="ASQ45" s="16"/>
      <c r="ASR45" s="16"/>
      <c r="ASS45" s="16"/>
      <c r="AST45" s="16"/>
      <c r="ASU45" s="16"/>
      <c r="ASV45" s="16"/>
      <c r="ASW45" s="16"/>
      <c r="ASX45" s="16"/>
      <c r="ASY45" s="16"/>
      <c r="ASZ45" s="16"/>
      <c r="ATA45" s="16"/>
      <c r="ATB45" s="16"/>
      <c r="ATC45" s="16"/>
      <c r="ATD45" s="16"/>
      <c r="ATE45" s="16"/>
      <c r="ATF45" s="16"/>
      <c r="ATG45" s="16"/>
      <c r="ATH45" s="16"/>
      <c r="ATI45" s="16"/>
      <c r="ATJ45" s="16"/>
      <c r="ATK45" s="16"/>
      <c r="ATL45" s="16"/>
      <c r="ATM45" s="16"/>
      <c r="ATN45" s="16"/>
      <c r="ATO45" s="16"/>
      <c r="ATP45" s="16"/>
      <c r="ATQ45" s="16"/>
      <c r="ATR45" s="16"/>
      <c r="ATS45" s="16"/>
      <c r="ATT45" s="16"/>
      <c r="ATU45" s="16"/>
      <c r="ATV45" s="16"/>
      <c r="ATW45" s="16"/>
      <c r="ATX45" s="16"/>
      <c r="ATY45" s="16"/>
      <c r="ATZ45" s="16"/>
      <c r="AUA45" s="16"/>
      <c r="AUB45" s="16"/>
      <c r="AUC45" s="16"/>
      <c r="AUD45" s="16"/>
      <c r="AUE45" s="16"/>
      <c r="AUF45" s="16"/>
      <c r="AUG45" s="16"/>
      <c r="AUH45" s="16"/>
      <c r="AUI45" s="16"/>
      <c r="AUJ45" s="16"/>
      <c r="AUK45" s="16"/>
      <c r="AUL45" s="16"/>
      <c r="AUM45" s="16"/>
      <c r="AUN45" s="16"/>
      <c r="AUO45" s="16"/>
      <c r="AUP45" s="16"/>
      <c r="AUQ45" s="16"/>
      <c r="AUR45" s="16"/>
      <c r="AUS45" s="16"/>
      <c r="AUT45" s="16"/>
      <c r="AUU45" s="16"/>
      <c r="AUV45" s="16"/>
      <c r="AUW45" s="16"/>
      <c r="AUX45" s="16"/>
      <c r="AUY45" s="16"/>
      <c r="AUZ45" s="16"/>
      <c r="AVA45" s="16"/>
      <c r="AVB45" s="16"/>
      <c r="AVC45" s="16"/>
      <c r="AVD45" s="16"/>
      <c r="AVE45" s="16"/>
      <c r="AVF45" s="16"/>
      <c r="AVG45" s="16"/>
      <c r="AVH45" s="16"/>
      <c r="AVI45" s="16"/>
      <c r="AVJ45" s="16"/>
      <c r="AVK45" s="16"/>
      <c r="AVL45" s="16"/>
      <c r="AVM45" s="16"/>
      <c r="AVN45" s="16"/>
      <c r="AVO45" s="16"/>
      <c r="AVP45" s="16"/>
      <c r="AVQ45" s="16"/>
      <c r="AVR45" s="16"/>
      <c r="AVS45" s="16"/>
      <c r="AVT45" s="16"/>
      <c r="AVU45" s="16"/>
      <c r="AVV45" s="16"/>
      <c r="AVW45" s="16"/>
      <c r="AVX45" s="16"/>
      <c r="AVY45" s="16"/>
      <c r="AVZ45" s="16"/>
      <c r="AWA45" s="16"/>
      <c r="AWB45" s="16"/>
      <c r="AWC45" s="16"/>
      <c r="AWD45" s="16"/>
      <c r="AWE45" s="16"/>
      <c r="AWF45" s="16"/>
      <c r="AWG45" s="16"/>
      <c r="AWH45" s="16"/>
      <c r="AWI45" s="16"/>
      <c r="AWJ45" s="16"/>
      <c r="AWK45" s="16"/>
      <c r="AWL45" s="16"/>
      <c r="AWM45" s="16"/>
      <c r="AWN45" s="16"/>
      <c r="AWO45" s="16"/>
      <c r="AWP45" s="16"/>
      <c r="AWQ45" s="16"/>
      <c r="AWR45" s="16"/>
      <c r="AWS45" s="16"/>
      <c r="AWT45" s="16"/>
      <c r="AWU45" s="16"/>
      <c r="AWV45" s="16"/>
      <c r="AWW45" s="16"/>
      <c r="AWX45" s="16"/>
      <c r="AWY45" s="16"/>
      <c r="AWZ45" s="16"/>
      <c r="AXA45" s="16"/>
      <c r="AXB45" s="16"/>
      <c r="AXC45" s="16"/>
      <c r="AXD45" s="16"/>
      <c r="AXE45" s="16"/>
      <c r="AXF45" s="16"/>
      <c r="AXG45" s="16"/>
      <c r="AXH45" s="16"/>
      <c r="AXI45" s="16"/>
      <c r="AXJ45" s="16"/>
      <c r="AXK45" s="16"/>
      <c r="AXL45" s="16"/>
      <c r="AXM45" s="16"/>
      <c r="AXN45" s="16"/>
      <c r="AXO45" s="16"/>
      <c r="AXP45" s="16"/>
      <c r="AXQ45" s="16"/>
      <c r="AXR45" s="16"/>
      <c r="AXS45" s="16"/>
      <c r="AXT45" s="16"/>
      <c r="AXU45" s="16"/>
      <c r="AXV45" s="16"/>
      <c r="AXW45" s="16"/>
      <c r="AXX45" s="16"/>
      <c r="AXY45" s="16"/>
      <c r="AXZ45" s="16"/>
      <c r="AYA45" s="16"/>
      <c r="AYB45" s="16"/>
      <c r="AYC45" s="16"/>
      <c r="AYD45" s="16"/>
      <c r="AYE45" s="16"/>
      <c r="AYF45" s="16"/>
      <c r="AYG45" s="16"/>
      <c r="AYH45" s="16"/>
      <c r="AYI45" s="16"/>
      <c r="AYJ45" s="16"/>
      <c r="AYK45" s="16"/>
      <c r="AYL45" s="16"/>
      <c r="AYM45" s="16"/>
      <c r="AYN45" s="16"/>
      <c r="AYO45" s="16"/>
      <c r="AYP45" s="16"/>
      <c r="AYQ45" s="16"/>
      <c r="AYR45" s="16"/>
      <c r="AYS45" s="16"/>
      <c r="AYT45" s="16"/>
      <c r="AYU45" s="16"/>
      <c r="AYV45" s="16"/>
      <c r="AYW45" s="16"/>
      <c r="AYX45" s="16"/>
      <c r="AYY45" s="16"/>
      <c r="AYZ45" s="16"/>
      <c r="AZA45" s="16"/>
      <c r="AZB45" s="16"/>
      <c r="AZC45" s="16"/>
      <c r="AZD45" s="16"/>
      <c r="AZE45" s="16"/>
      <c r="AZF45" s="16"/>
      <c r="AZG45" s="16"/>
      <c r="AZH45" s="16"/>
      <c r="AZI45" s="16"/>
      <c r="AZJ45" s="16"/>
      <c r="AZK45" s="16"/>
      <c r="AZL45" s="16"/>
      <c r="AZM45" s="16"/>
      <c r="AZN45" s="16"/>
      <c r="AZO45" s="16"/>
      <c r="AZP45" s="16"/>
      <c r="AZQ45" s="16"/>
      <c r="AZR45" s="16"/>
      <c r="AZS45" s="16"/>
      <c r="AZT45" s="16"/>
      <c r="AZU45" s="16"/>
      <c r="AZV45" s="16"/>
      <c r="AZW45" s="16"/>
      <c r="AZX45" s="16"/>
      <c r="AZY45" s="16"/>
      <c r="AZZ45" s="16"/>
      <c r="BAA45" s="16"/>
      <c r="BAB45" s="16"/>
      <c r="BAC45" s="16"/>
      <c r="BAD45" s="16"/>
      <c r="BAE45" s="16"/>
      <c r="BAF45" s="16"/>
      <c r="BAG45" s="16"/>
      <c r="BAH45" s="16"/>
      <c r="BAI45" s="16"/>
      <c r="BAJ45" s="16"/>
      <c r="BAK45" s="16"/>
      <c r="BAL45" s="16"/>
      <c r="BAM45" s="16"/>
      <c r="BAN45" s="16"/>
      <c r="BAO45" s="16"/>
      <c r="BAP45" s="16"/>
      <c r="BAQ45" s="16"/>
      <c r="BAR45" s="16"/>
      <c r="BAS45" s="16"/>
      <c r="BAT45" s="16"/>
      <c r="BAU45" s="16"/>
      <c r="BAV45" s="16"/>
      <c r="BAW45" s="16"/>
      <c r="BAX45" s="16"/>
      <c r="BAY45" s="16"/>
      <c r="BAZ45" s="16"/>
      <c r="BBA45" s="16"/>
      <c r="BBB45" s="16"/>
      <c r="BBC45" s="16"/>
      <c r="BBD45" s="16"/>
      <c r="BBE45" s="16"/>
      <c r="BBF45" s="16"/>
      <c r="BBG45" s="16"/>
      <c r="BBH45" s="16"/>
      <c r="BBI45" s="16"/>
      <c r="BBJ45" s="16"/>
      <c r="BBK45" s="16"/>
      <c r="BBL45" s="16"/>
      <c r="BBM45" s="16"/>
      <c r="BBN45" s="16"/>
      <c r="BBO45" s="16"/>
      <c r="BBP45" s="16"/>
      <c r="BBQ45" s="16"/>
      <c r="BBR45" s="16"/>
      <c r="BBS45" s="16"/>
      <c r="BBT45" s="16"/>
      <c r="BBU45" s="16"/>
      <c r="BBV45" s="16"/>
      <c r="BBW45" s="16"/>
      <c r="BBX45" s="16"/>
      <c r="BBY45" s="16"/>
      <c r="BBZ45" s="16"/>
      <c r="BCA45" s="16"/>
      <c r="BCB45" s="16"/>
      <c r="BCC45" s="16"/>
      <c r="BCD45" s="16"/>
      <c r="BCE45" s="16"/>
      <c r="BCF45" s="16"/>
      <c r="BCG45" s="16"/>
      <c r="BCH45" s="16"/>
      <c r="BCI45" s="16"/>
      <c r="BCJ45" s="16"/>
      <c r="BCK45" s="16"/>
      <c r="BCL45" s="16"/>
      <c r="BCM45" s="16"/>
      <c r="BCN45" s="16"/>
      <c r="BCO45" s="16"/>
      <c r="BCP45" s="16"/>
      <c r="BCQ45" s="16"/>
      <c r="BCR45" s="16"/>
      <c r="BCS45" s="16"/>
      <c r="BCT45" s="16"/>
      <c r="BCU45" s="16"/>
      <c r="BCV45" s="16"/>
      <c r="BCW45" s="16"/>
      <c r="BCX45" s="16"/>
      <c r="BCY45" s="16"/>
      <c r="BCZ45" s="16"/>
      <c r="BDA45" s="16"/>
      <c r="BDB45" s="16"/>
      <c r="BDC45" s="16"/>
      <c r="BDD45" s="16"/>
      <c r="BDE45" s="16"/>
      <c r="BDF45" s="16"/>
      <c r="BDG45" s="16"/>
      <c r="BDH45" s="16"/>
      <c r="BDI45" s="16"/>
      <c r="BDJ45" s="16"/>
      <c r="BDK45" s="16"/>
      <c r="BDL45" s="16"/>
      <c r="BDM45" s="16"/>
      <c r="BDN45" s="16"/>
      <c r="BDO45" s="16"/>
      <c r="BDP45" s="16"/>
      <c r="BDQ45" s="16"/>
      <c r="BDR45" s="16"/>
      <c r="BDS45" s="16"/>
      <c r="BDT45" s="16"/>
      <c r="BDU45" s="16"/>
      <c r="BDV45" s="16"/>
      <c r="BDW45" s="16"/>
      <c r="BDX45" s="16"/>
      <c r="BDY45" s="16"/>
      <c r="BDZ45" s="16"/>
      <c r="BEA45" s="16"/>
      <c r="BEB45" s="16"/>
      <c r="BEC45" s="16"/>
      <c r="BED45" s="16"/>
      <c r="BEE45" s="16"/>
      <c r="BEF45" s="16"/>
      <c r="BEG45" s="16"/>
      <c r="BEH45" s="16"/>
      <c r="BEI45" s="16"/>
      <c r="BEJ45" s="16"/>
      <c r="BEK45" s="16"/>
      <c r="BEL45" s="16"/>
      <c r="BEM45" s="16"/>
      <c r="BEN45" s="16"/>
      <c r="BEO45" s="16"/>
      <c r="BEP45" s="16"/>
      <c r="BEQ45" s="16"/>
      <c r="BER45" s="16"/>
      <c r="BES45" s="16"/>
      <c r="BET45" s="16"/>
      <c r="BEU45" s="16"/>
      <c r="BEV45" s="16"/>
      <c r="BEW45" s="16"/>
      <c r="BEX45" s="16"/>
      <c r="BEY45" s="16"/>
      <c r="BEZ45" s="16"/>
      <c r="BFA45" s="16"/>
      <c r="BFB45" s="16"/>
      <c r="BFC45" s="16"/>
      <c r="BFD45" s="16"/>
      <c r="BFE45" s="16"/>
      <c r="BFF45" s="16"/>
      <c r="BFG45" s="16"/>
      <c r="BFH45" s="16"/>
      <c r="BFI45" s="16"/>
      <c r="BFJ45" s="16"/>
      <c r="BFK45" s="16"/>
      <c r="BFL45" s="16"/>
      <c r="BFM45" s="16"/>
      <c r="BFN45" s="16"/>
      <c r="BFO45" s="16"/>
      <c r="BFP45" s="16"/>
      <c r="BFQ45" s="16"/>
      <c r="BFR45" s="16"/>
      <c r="BFS45" s="16"/>
      <c r="BFT45" s="16"/>
      <c r="BFU45" s="16"/>
      <c r="BFV45" s="16"/>
      <c r="BFW45" s="16"/>
      <c r="BFX45" s="16"/>
      <c r="BFY45" s="16"/>
      <c r="BFZ45" s="16"/>
      <c r="BGA45" s="16"/>
      <c r="BGB45" s="16"/>
      <c r="BGC45" s="16"/>
      <c r="BGD45" s="16"/>
      <c r="BGE45" s="16"/>
      <c r="BGF45" s="16"/>
      <c r="BGG45" s="16"/>
      <c r="BGH45" s="16"/>
      <c r="BGI45" s="16"/>
      <c r="BGJ45" s="16"/>
      <c r="BGK45" s="16"/>
      <c r="BGL45" s="16"/>
      <c r="BGM45" s="16"/>
      <c r="BGN45" s="16"/>
      <c r="BGO45" s="16"/>
      <c r="BGP45" s="16"/>
      <c r="BGQ45" s="16"/>
      <c r="BGR45" s="16"/>
      <c r="BGS45" s="16"/>
      <c r="BGT45" s="16"/>
      <c r="BGU45" s="16"/>
      <c r="BGV45" s="16"/>
      <c r="BGW45" s="16"/>
      <c r="BGX45" s="16"/>
      <c r="BGY45" s="16"/>
      <c r="BGZ45" s="16"/>
      <c r="BHA45" s="16"/>
      <c r="BHB45" s="16"/>
      <c r="BHC45" s="16"/>
      <c r="BHD45" s="16"/>
      <c r="BHE45" s="16"/>
      <c r="BHF45" s="16"/>
      <c r="BHG45" s="16"/>
      <c r="BHH45" s="16"/>
      <c r="BHI45" s="16"/>
      <c r="BHJ45" s="16"/>
      <c r="BHK45" s="16"/>
      <c r="BHL45" s="16"/>
      <c r="BHM45" s="16"/>
      <c r="BHN45" s="16"/>
      <c r="BHO45" s="16"/>
      <c r="BHP45" s="16"/>
      <c r="BHQ45" s="16"/>
      <c r="BHR45" s="16"/>
      <c r="BHS45" s="16"/>
      <c r="BHT45" s="16"/>
      <c r="BHU45" s="16"/>
      <c r="BHV45" s="16"/>
      <c r="BHW45" s="16"/>
      <c r="BHX45" s="16"/>
      <c r="BHY45" s="16"/>
      <c r="BHZ45" s="16"/>
      <c r="BIA45" s="16"/>
      <c r="BIB45" s="16"/>
      <c r="BIC45" s="16"/>
      <c r="BID45" s="16"/>
      <c r="BIE45" s="16"/>
      <c r="BIF45" s="16"/>
      <c r="BIG45" s="16"/>
      <c r="BIH45" s="16"/>
      <c r="BII45" s="16"/>
      <c r="BIJ45" s="16"/>
      <c r="BIK45" s="16"/>
      <c r="BIL45" s="16"/>
      <c r="BIM45" s="16"/>
      <c r="BIN45" s="16"/>
      <c r="BIO45" s="16"/>
      <c r="BIP45" s="16"/>
      <c r="BIQ45" s="16"/>
      <c r="BIR45" s="16"/>
      <c r="BIS45" s="16"/>
      <c r="BIT45" s="16"/>
      <c r="BIU45" s="16"/>
      <c r="BIV45" s="16"/>
      <c r="BIW45" s="16"/>
      <c r="BIX45" s="16"/>
      <c r="BIY45" s="16"/>
      <c r="BIZ45" s="16"/>
      <c r="BJA45" s="16"/>
      <c r="BJB45" s="16"/>
      <c r="BJC45" s="16"/>
      <c r="BJD45" s="16"/>
      <c r="BJE45" s="16"/>
      <c r="BJF45" s="16"/>
      <c r="BJG45" s="16"/>
      <c r="BJH45" s="16"/>
      <c r="BJI45" s="16"/>
      <c r="BJJ45" s="16"/>
      <c r="BJK45" s="16"/>
      <c r="BJL45" s="16"/>
      <c r="BJM45" s="16"/>
      <c r="BJN45" s="16"/>
      <c r="BJO45" s="16"/>
      <c r="BJP45" s="16"/>
      <c r="BJQ45" s="16"/>
      <c r="BJR45" s="16"/>
      <c r="BJS45" s="16"/>
      <c r="BJT45" s="16"/>
      <c r="BJU45" s="16"/>
      <c r="BJV45" s="16"/>
      <c r="BJW45" s="16"/>
      <c r="BJX45" s="16"/>
      <c r="BJY45" s="16"/>
      <c r="BJZ45" s="16"/>
      <c r="BKA45" s="16"/>
      <c r="BKB45" s="16"/>
      <c r="BKC45" s="16"/>
      <c r="BKD45" s="16"/>
      <c r="BKE45" s="16"/>
      <c r="BKF45" s="16"/>
      <c r="BKG45" s="16"/>
      <c r="BKH45" s="16"/>
      <c r="BKI45" s="16"/>
      <c r="BKJ45" s="16"/>
      <c r="BKK45" s="16"/>
      <c r="BKL45" s="16"/>
      <c r="BKM45" s="16"/>
      <c r="BKN45" s="16"/>
      <c r="BKO45" s="16"/>
      <c r="BKP45" s="16"/>
      <c r="BKQ45" s="16"/>
      <c r="BKR45" s="16"/>
      <c r="BKS45" s="16"/>
      <c r="BKT45" s="16"/>
      <c r="BKU45" s="16"/>
      <c r="BKV45" s="16"/>
      <c r="BKW45" s="16"/>
      <c r="BKX45" s="16"/>
      <c r="BKY45" s="16"/>
      <c r="BKZ45" s="16"/>
      <c r="BLA45" s="16"/>
      <c r="BLB45" s="16"/>
      <c r="BLC45" s="16"/>
      <c r="BLD45" s="16"/>
      <c r="BLE45" s="16"/>
      <c r="BLF45" s="16"/>
      <c r="BLG45" s="16"/>
      <c r="BLH45" s="16"/>
      <c r="BLI45" s="16"/>
      <c r="BLJ45" s="16"/>
      <c r="BLK45" s="16"/>
      <c r="BLL45" s="16"/>
      <c r="BLM45" s="16"/>
      <c r="BLN45" s="16"/>
      <c r="BLO45" s="16"/>
      <c r="BLP45" s="16"/>
      <c r="BLQ45" s="16"/>
      <c r="BLR45" s="16"/>
      <c r="BLS45" s="16"/>
      <c r="BLT45" s="16"/>
      <c r="BLU45" s="16"/>
      <c r="BLV45" s="16"/>
      <c r="BLW45" s="16"/>
      <c r="BLX45" s="16"/>
      <c r="BLY45" s="16"/>
      <c r="BLZ45" s="16"/>
      <c r="BMA45" s="16"/>
      <c r="BMB45" s="16"/>
      <c r="BMC45" s="16"/>
      <c r="BMD45" s="16"/>
      <c r="BME45" s="16"/>
      <c r="BMF45" s="16"/>
      <c r="BMG45" s="16"/>
      <c r="BMH45" s="16"/>
      <c r="BMI45" s="16"/>
      <c r="BMJ45" s="16"/>
      <c r="BMK45" s="16"/>
      <c r="BML45" s="16"/>
      <c r="BMM45" s="16"/>
      <c r="BMN45" s="16"/>
      <c r="BMO45" s="16"/>
      <c r="BMP45" s="16"/>
      <c r="BMQ45" s="16"/>
      <c r="BMR45" s="16"/>
      <c r="BMS45" s="16"/>
      <c r="BMT45" s="16"/>
      <c r="BMU45" s="16"/>
      <c r="BMV45" s="16"/>
      <c r="BMW45" s="16"/>
      <c r="BMX45" s="16"/>
      <c r="BMY45" s="16"/>
      <c r="BMZ45" s="16"/>
      <c r="BNA45" s="16"/>
      <c r="BNB45" s="16"/>
      <c r="BNC45" s="16"/>
      <c r="BND45" s="16"/>
      <c r="BNE45" s="16"/>
      <c r="BNF45" s="16"/>
      <c r="BNG45" s="16"/>
      <c r="BNH45" s="16"/>
      <c r="BNI45" s="16"/>
      <c r="BNJ45" s="16"/>
      <c r="BNK45" s="16"/>
      <c r="BNL45" s="16"/>
      <c r="BNM45" s="16"/>
      <c r="BNN45" s="16"/>
      <c r="BNO45" s="16"/>
      <c r="BNP45" s="16"/>
      <c r="BNQ45" s="16"/>
      <c r="BNR45" s="16"/>
      <c r="BNS45" s="16"/>
      <c r="BNT45" s="16"/>
      <c r="BNU45" s="16"/>
      <c r="BNV45" s="16"/>
      <c r="BNW45" s="16"/>
      <c r="BNX45" s="16"/>
      <c r="BNY45" s="16"/>
      <c r="BNZ45" s="16"/>
      <c r="BOA45" s="16"/>
      <c r="BOB45" s="16"/>
      <c r="BOC45" s="16"/>
      <c r="BOD45" s="16"/>
      <c r="BOE45" s="16"/>
      <c r="BOF45" s="16"/>
      <c r="BOG45" s="16"/>
      <c r="BOH45" s="16"/>
      <c r="BOI45" s="16"/>
      <c r="BOJ45" s="16"/>
      <c r="BOK45" s="16"/>
      <c r="BOL45" s="16"/>
      <c r="BOM45" s="16"/>
      <c r="BON45" s="16"/>
      <c r="BOO45" s="16"/>
      <c r="BOP45" s="16"/>
      <c r="BOQ45" s="16"/>
      <c r="BOR45" s="16"/>
      <c r="BOS45" s="16"/>
      <c r="BOT45" s="16"/>
      <c r="BOU45" s="16"/>
      <c r="BOV45" s="16"/>
      <c r="BOW45" s="16"/>
      <c r="BOX45" s="16"/>
      <c r="BOY45" s="16"/>
      <c r="BOZ45" s="16"/>
      <c r="BPA45" s="16"/>
      <c r="BPB45" s="16"/>
      <c r="BPC45" s="16"/>
      <c r="BPD45" s="16"/>
      <c r="BPE45" s="16"/>
      <c r="BPF45" s="16"/>
      <c r="BPG45" s="16"/>
      <c r="BPH45" s="16"/>
      <c r="BPI45" s="16"/>
      <c r="BPJ45" s="16"/>
      <c r="BPK45" s="16"/>
      <c r="BPL45" s="16"/>
      <c r="BPM45" s="16"/>
      <c r="BPN45" s="16"/>
      <c r="BPO45" s="16"/>
      <c r="BPP45" s="16"/>
      <c r="BPQ45" s="16"/>
      <c r="BPR45" s="16"/>
      <c r="BPS45" s="16"/>
      <c r="BPT45" s="16"/>
      <c r="BPU45" s="16"/>
      <c r="BPV45" s="16"/>
      <c r="BPW45" s="16"/>
      <c r="BPX45" s="16"/>
      <c r="BPY45" s="16"/>
      <c r="BPZ45" s="16"/>
      <c r="BQA45" s="16"/>
      <c r="BQB45" s="16"/>
      <c r="BQC45" s="16"/>
      <c r="BQD45" s="16"/>
      <c r="BQE45" s="16"/>
      <c r="BQF45" s="16"/>
      <c r="BQG45" s="16"/>
      <c r="BQH45" s="16"/>
      <c r="BQI45" s="16"/>
      <c r="BQJ45" s="16"/>
      <c r="BQK45" s="16"/>
      <c r="BQL45" s="16"/>
      <c r="BQM45" s="16"/>
      <c r="BQN45" s="16"/>
      <c r="BQO45" s="16"/>
      <c r="BQP45" s="16"/>
      <c r="BQQ45" s="16"/>
      <c r="BQR45" s="16"/>
      <c r="BQS45" s="16"/>
      <c r="BQT45" s="16"/>
      <c r="BQU45" s="16"/>
      <c r="BQV45" s="16"/>
      <c r="BQW45" s="16"/>
      <c r="BQX45" s="16"/>
      <c r="BQY45" s="16"/>
      <c r="BQZ45" s="16"/>
      <c r="BRA45" s="16"/>
      <c r="BRB45" s="16"/>
      <c r="BRC45" s="16"/>
      <c r="BRD45" s="16"/>
      <c r="BRE45" s="16"/>
      <c r="BRF45" s="16"/>
      <c r="BRG45" s="16"/>
      <c r="BRH45" s="16"/>
      <c r="BRI45" s="16"/>
      <c r="BRJ45" s="16"/>
      <c r="BRK45" s="16"/>
      <c r="BRL45" s="16"/>
      <c r="BRM45" s="16"/>
      <c r="BRN45" s="16"/>
      <c r="BRO45" s="16"/>
      <c r="BRP45" s="16"/>
      <c r="BRQ45" s="16"/>
      <c r="BRR45" s="16"/>
      <c r="BRS45" s="16"/>
      <c r="BRT45" s="16"/>
      <c r="BRU45" s="16"/>
      <c r="BRV45" s="16"/>
      <c r="BRW45" s="16"/>
      <c r="BRX45" s="16"/>
      <c r="BRY45" s="16"/>
      <c r="BRZ45" s="16"/>
      <c r="BSA45" s="16"/>
      <c r="BSB45" s="16"/>
      <c r="BSC45" s="16"/>
      <c r="BSD45" s="16"/>
      <c r="BSE45" s="16"/>
      <c r="BSF45" s="16"/>
      <c r="BSG45" s="16"/>
      <c r="BSH45" s="16"/>
      <c r="BSI45" s="16"/>
      <c r="BSJ45" s="16"/>
      <c r="BSK45" s="16"/>
      <c r="BSL45" s="16"/>
      <c r="BSM45" s="16"/>
      <c r="BSN45" s="16"/>
      <c r="BSO45" s="16"/>
      <c r="BSP45" s="16"/>
      <c r="BSQ45" s="16"/>
      <c r="BSR45" s="16"/>
      <c r="BSS45" s="16"/>
      <c r="BST45" s="16"/>
      <c r="BSU45" s="16"/>
      <c r="BSV45" s="16"/>
      <c r="BSW45" s="16"/>
      <c r="BSX45" s="16"/>
      <c r="BSY45" s="16"/>
      <c r="BSZ45" s="16"/>
      <c r="BTA45" s="16"/>
      <c r="BTB45" s="16"/>
      <c r="BTC45" s="16"/>
      <c r="BTD45" s="16"/>
      <c r="BTE45" s="16"/>
      <c r="BTF45" s="16"/>
      <c r="BTG45" s="16"/>
      <c r="BTH45" s="16"/>
      <c r="BTI45" s="16"/>
      <c r="BTJ45" s="16"/>
      <c r="BTK45" s="16"/>
      <c r="BTL45" s="16"/>
      <c r="BTM45" s="16"/>
      <c r="BTN45" s="16"/>
      <c r="BTO45" s="16"/>
      <c r="BTP45" s="16"/>
      <c r="BTQ45" s="16"/>
      <c r="BTR45" s="16"/>
      <c r="BTS45" s="16"/>
      <c r="BTT45" s="16"/>
      <c r="BTU45" s="16"/>
      <c r="BTV45" s="16"/>
      <c r="BTW45" s="16"/>
      <c r="BTX45" s="16"/>
      <c r="BTY45" s="16"/>
      <c r="BTZ45" s="16"/>
      <c r="BUA45" s="16"/>
      <c r="BUB45" s="16"/>
      <c r="BUC45" s="16"/>
      <c r="BUD45" s="16"/>
      <c r="BUE45" s="16"/>
      <c r="BUF45" s="16"/>
      <c r="BUG45" s="16"/>
      <c r="BUH45" s="16"/>
      <c r="BUI45" s="16"/>
      <c r="BUJ45" s="16"/>
      <c r="BUK45" s="16"/>
      <c r="BUL45" s="16"/>
      <c r="BUM45" s="16"/>
      <c r="BUN45" s="16"/>
      <c r="BUO45" s="16"/>
      <c r="BUP45" s="16"/>
      <c r="BUQ45" s="16"/>
      <c r="BUR45" s="16"/>
      <c r="BUS45" s="16"/>
      <c r="BUT45" s="16"/>
      <c r="BUU45" s="16"/>
      <c r="BUV45" s="16"/>
      <c r="BUW45" s="16"/>
      <c r="BUX45" s="16"/>
      <c r="BUY45" s="16"/>
      <c r="BUZ45" s="16"/>
      <c r="BVA45" s="16"/>
      <c r="BVB45" s="16"/>
      <c r="BVC45" s="16"/>
      <c r="BVD45" s="16"/>
      <c r="BVE45" s="16"/>
      <c r="BVF45" s="16"/>
      <c r="BVG45" s="16"/>
      <c r="BVH45" s="16"/>
      <c r="BVI45" s="16"/>
      <c r="BVJ45" s="16"/>
      <c r="BVK45" s="16"/>
      <c r="BVL45" s="16"/>
      <c r="BVM45" s="16"/>
      <c r="BVN45" s="16"/>
      <c r="BVO45" s="16"/>
      <c r="BVP45" s="16"/>
      <c r="BVQ45" s="16"/>
      <c r="BVR45" s="16"/>
      <c r="BVS45" s="16"/>
      <c r="BVT45" s="16"/>
      <c r="BVU45" s="16"/>
      <c r="BVV45" s="16"/>
      <c r="BVW45" s="16"/>
      <c r="BVX45" s="16"/>
      <c r="BVY45" s="16"/>
      <c r="BVZ45" s="16"/>
      <c r="BWA45" s="16"/>
      <c r="BWB45" s="16"/>
      <c r="BWC45" s="16"/>
      <c r="BWD45" s="16"/>
      <c r="BWE45" s="16"/>
      <c r="BWF45" s="16"/>
      <c r="BWG45" s="16"/>
      <c r="BWH45" s="16"/>
      <c r="BWI45" s="16"/>
      <c r="BWJ45" s="16"/>
      <c r="BWK45" s="16"/>
      <c r="BWL45" s="16"/>
      <c r="BWM45" s="16"/>
      <c r="BWN45" s="16"/>
      <c r="BWO45" s="16"/>
      <c r="BWP45" s="16"/>
      <c r="BWQ45" s="16"/>
      <c r="BWR45" s="16"/>
      <c r="BWS45" s="16"/>
      <c r="BWT45" s="16"/>
      <c r="BWU45" s="16"/>
      <c r="BWV45" s="16"/>
      <c r="BWW45" s="16"/>
      <c r="BWX45" s="16"/>
      <c r="BWY45" s="16"/>
      <c r="BWZ45" s="16"/>
      <c r="BXA45" s="16"/>
      <c r="BXB45" s="16"/>
      <c r="BXC45" s="16"/>
      <c r="BXD45" s="16"/>
      <c r="BXE45" s="16"/>
      <c r="BXF45" s="16"/>
      <c r="BXG45" s="16"/>
      <c r="BXH45" s="16"/>
      <c r="BXI45" s="16"/>
      <c r="BXJ45" s="16"/>
      <c r="BXK45" s="16"/>
      <c r="BXL45" s="16"/>
      <c r="BXM45" s="16"/>
      <c r="BXN45" s="16"/>
      <c r="BXO45" s="16"/>
      <c r="BXP45" s="16"/>
      <c r="BXQ45" s="16"/>
      <c r="BXR45" s="16"/>
      <c r="BXS45" s="16"/>
      <c r="BXT45" s="16"/>
      <c r="BXU45" s="16"/>
      <c r="BXV45" s="16"/>
      <c r="BXW45" s="16"/>
      <c r="BXX45" s="16"/>
      <c r="BXY45" s="16"/>
      <c r="BXZ45" s="16"/>
      <c r="BYA45" s="16"/>
      <c r="BYB45" s="16"/>
      <c r="BYC45" s="16"/>
      <c r="BYD45" s="16"/>
      <c r="BYE45" s="16"/>
      <c r="BYF45" s="16"/>
      <c r="BYG45" s="16"/>
      <c r="BYH45" s="16"/>
      <c r="BYI45" s="16"/>
      <c r="BYJ45" s="16"/>
      <c r="BYK45" s="16"/>
      <c r="BYL45" s="16"/>
      <c r="BYM45" s="16"/>
      <c r="BYN45" s="16"/>
      <c r="BYO45" s="16"/>
      <c r="BYP45" s="16"/>
      <c r="BYQ45" s="16"/>
      <c r="BYR45" s="16"/>
      <c r="BYS45" s="16"/>
      <c r="BYT45" s="16"/>
      <c r="BYU45" s="16"/>
      <c r="BYV45" s="16"/>
      <c r="BYW45" s="16"/>
      <c r="BYX45" s="16"/>
      <c r="BYY45" s="16"/>
      <c r="BYZ45" s="16"/>
      <c r="BZA45" s="16"/>
      <c r="BZB45" s="16"/>
      <c r="BZC45" s="16"/>
      <c r="BZD45" s="16"/>
      <c r="BZE45" s="16"/>
      <c r="BZF45" s="16"/>
      <c r="BZG45" s="16"/>
      <c r="BZH45" s="16"/>
      <c r="BZI45" s="16"/>
      <c r="BZJ45" s="16"/>
      <c r="BZK45" s="16"/>
      <c r="BZL45" s="16"/>
      <c r="BZM45" s="16"/>
      <c r="BZN45" s="16"/>
      <c r="BZO45" s="16"/>
      <c r="BZP45" s="16"/>
      <c r="BZQ45" s="16"/>
      <c r="BZR45" s="16"/>
      <c r="BZS45" s="16"/>
      <c r="BZT45" s="16"/>
      <c r="BZU45" s="16"/>
      <c r="BZV45" s="16"/>
      <c r="BZW45" s="16"/>
      <c r="BZX45" s="16"/>
      <c r="BZY45" s="16"/>
      <c r="BZZ45" s="16"/>
      <c r="CAA45" s="16"/>
      <c r="CAB45" s="16"/>
      <c r="CAC45" s="16"/>
      <c r="CAD45" s="16"/>
      <c r="CAE45" s="16"/>
      <c r="CAF45" s="16"/>
      <c r="CAG45" s="16"/>
      <c r="CAH45" s="16"/>
      <c r="CAI45" s="16"/>
      <c r="CAJ45" s="16"/>
      <c r="CAK45" s="16"/>
      <c r="CAL45" s="16"/>
      <c r="CAM45" s="16"/>
      <c r="CAN45" s="16"/>
      <c r="CAO45" s="16"/>
      <c r="CAP45" s="16"/>
      <c r="CAQ45" s="16"/>
      <c r="CAR45" s="16"/>
      <c r="CAS45" s="16"/>
      <c r="CAT45" s="16"/>
      <c r="CAU45" s="16"/>
      <c r="CAV45" s="16"/>
      <c r="CAW45" s="16"/>
      <c r="CAX45" s="16"/>
      <c r="CAY45" s="16"/>
      <c r="CAZ45" s="16"/>
      <c r="CBA45" s="16"/>
      <c r="CBB45" s="16"/>
      <c r="CBC45" s="16"/>
      <c r="CBD45" s="16"/>
      <c r="CBE45" s="16"/>
      <c r="CBF45" s="16"/>
      <c r="CBG45" s="16"/>
      <c r="CBH45" s="16"/>
      <c r="CBI45" s="16"/>
      <c r="CBJ45" s="16"/>
      <c r="CBK45" s="16"/>
      <c r="CBL45" s="16"/>
      <c r="CBM45" s="16"/>
      <c r="CBN45" s="16"/>
      <c r="CBO45" s="16"/>
      <c r="CBP45" s="16"/>
      <c r="CBQ45" s="16"/>
      <c r="CBR45" s="16"/>
      <c r="CBS45" s="16"/>
      <c r="CBT45" s="16"/>
      <c r="CBU45" s="16"/>
      <c r="CBV45" s="16"/>
      <c r="CBW45" s="16"/>
      <c r="CBX45" s="16"/>
      <c r="CBY45" s="16"/>
      <c r="CBZ45" s="16"/>
      <c r="CCA45" s="16"/>
      <c r="CCB45" s="16"/>
      <c r="CCC45" s="16"/>
      <c r="CCD45" s="16"/>
      <c r="CCE45" s="16"/>
      <c r="CCF45" s="16"/>
      <c r="CCG45" s="16"/>
      <c r="CCH45" s="16"/>
      <c r="CCI45" s="16"/>
      <c r="CCJ45" s="16"/>
      <c r="CCK45" s="16"/>
      <c r="CCL45" s="16"/>
      <c r="CCM45" s="16"/>
      <c r="CCN45" s="16"/>
      <c r="CCO45" s="16"/>
      <c r="CCP45" s="16"/>
      <c r="CCQ45" s="16"/>
      <c r="CCR45" s="16"/>
      <c r="CCS45" s="16"/>
      <c r="CCT45" s="16"/>
      <c r="CCU45" s="16"/>
      <c r="CCV45" s="16"/>
      <c r="CCW45" s="16"/>
      <c r="CCX45" s="16"/>
      <c r="CCY45" s="16"/>
      <c r="CCZ45" s="16"/>
      <c r="CDA45" s="16"/>
      <c r="CDB45" s="16"/>
      <c r="CDC45" s="16"/>
      <c r="CDD45" s="16"/>
      <c r="CDE45" s="16"/>
      <c r="CDF45" s="16"/>
      <c r="CDG45" s="16"/>
      <c r="CDH45" s="16"/>
      <c r="CDI45" s="16"/>
      <c r="CDJ45" s="16"/>
      <c r="CDK45" s="16"/>
      <c r="CDL45" s="16"/>
      <c r="CDM45" s="16"/>
      <c r="CDN45" s="16"/>
      <c r="CDO45" s="16"/>
      <c r="CDP45" s="16"/>
      <c r="CDQ45" s="16"/>
      <c r="CDR45" s="16"/>
      <c r="CDS45" s="16"/>
      <c r="CDT45" s="16"/>
      <c r="CDU45" s="16"/>
      <c r="CDV45" s="16"/>
      <c r="CDW45" s="16"/>
      <c r="CDX45" s="16"/>
      <c r="CDY45" s="16"/>
      <c r="CDZ45" s="16"/>
      <c r="CEA45" s="16"/>
      <c r="CEB45" s="16"/>
      <c r="CEC45" s="16"/>
      <c r="CED45" s="16"/>
      <c r="CEE45" s="16"/>
      <c r="CEF45" s="16"/>
      <c r="CEG45" s="16"/>
      <c r="CEH45" s="16"/>
      <c r="CEI45" s="16"/>
      <c r="CEJ45" s="16"/>
      <c r="CEK45" s="16"/>
      <c r="CEL45" s="16"/>
      <c r="CEM45" s="16"/>
      <c r="CEN45" s="16"/>
      <c r="CEO45" s="16"/>
      <c r="CEP45" s="16"/>
      <c r="CEQ45" s="16"/>
      <c r="CER45" s="16"/>
      <c r="CES45" s="16"/>
      <c r="CET45" s="16"/>
      <c r="CEU45" s="16"/>
      <c r="CEV45" s="16"/>
      <c r="CEW45" s="16"/>
      <c r="CEX45" s="16"/>
      <c r="CEY45" s="16"/>
      <c r="CEZ45" s="16"/>
      <c r="CFA45" s="16"/>
      <c r="CFB45" s="16"/>
      <c r="CFC45" s="16"/>
      <c r="CFD45" s="16"/>
      <c r="CFE45" s="16"/>
      <c r="CFF45" s="16"/>
      <c r="CFG45" s="16"/>
      <c r="CFH45" s="16"/>
      <c r="CFI45" s="16"/>
      <c r="CFJ45" s="16"/>
      <c r="CFK45" s="16"/>
      <c r="CFL45" s="16"/>
      <c r="CFM45" s="16"/>
      <c r="CFN45" s="16"/>
      <c r="CFO45" s="16"/>
      <c r="CFP45" s="16"/>
      <c r="CFQ45" s="16"/>
      <c r="CFR45" s="16"/>
      <c r="CFS45" s="16"/>
      <c r="CFT45" s="16"/>
      <c r="CFU45" s="16"/>
      <c r="CFV45" s="16"/>
      <c r="CFW45" s="16"/>
      <c r="CFX45" s="16"/>
      <c r="CFY45" s="16"/>
      <c r="CFZ45" s="16"/>
      <c r="CGA45" s="16"/>
      <c r="CGB45" s="16"/>
      <c r="CGC45" s="16"/>
      <c r="CGD45" s="16"/>
      <c r="CGE45" s="16"/>
      <c r="CGF45" s="16"/>
      <c r="CGG45" s="16"/>
      <c r="CGH45" s="16"/>
      <c r="CGI45" s="16"/>
      <c r="CGJ45" s="16"/>
      <c r="CGK45" s="16"/>
      <c r="CGL45" s="16"/>
      <c r="CGM45" s="16"/>
      <c r="CGN45" s="16"/>
      <c r="CGO45" s="16"/>
      <c r="CGP45" s="16"/>
      <c r="CGQ45" s="16"/>
      <c r="CGR45" s="16"/>
      <c r="CGS45" s="16"/>
      <c r="CGT45" s="16"/>
      <c r="CGU45" s="16"/>
      <c r="CGV45" s="16"/>
      <c r="CGW45" s="16"/>
      <c r="CGX45" s="16"/>
      <c r="CGY45" s="16"/>
      <c r="CGZ45" s="16"/>
      <c r="CHA45" s="16"/>
      <c r="CHB45" s="16"/>
      <c r="CHC45" s="16"/>
      <c r="CHD45" s="16"/>
      <c r="CHE45" s="16"/>
      <c r="CHF45" s="16"/>
      <c r="CHG45" s="16"/>
      <c r="CHH45" s="16"/>
      <c r="CHI45" s="16"/>
      <c r="CHJ45" s="16"/>
      <c r="CHK45" s="16"/>
      <c r="CHL45" s="16"/>
      <c r="CHM45" s="16"/>
      <c r="CHN45" s="16"/>
      <c r="CHO45" s="16"/>
      <c r="CHP45" s="16"/>
      <c r="CHQ45" s="16"/>
      <c r="CHR45" s="16"/>
      <c r="CHS45" s="16"/>
      <c r="CHT45" s="16"/>
      <c r="CHU45" s="16"/>
      <c r="CHV45" s="16"/>
      <c r="CHW45" s="16"/>
      <c r="CHX45" s="16"/>
      <c r="CHY45" s="16"/>
      <c r="CHZ45" s="16"/>
      <c r="CIA45" s="16"/>
      <c r="CIB45" s="16"/>
      <c r="CIC45" s="16"/>
      <c r="CID45" s="16"/>
      <c r="CIE45" s="16"/>
      <c r="CIF45" s="16"/>
      <c r="CIG45" s="16"/>
      <c r="CIH45" s="16"/>
      <c r="CII45" s="16"/>
      <c r="CIJ45" s="16"/>
      <c r="CIK45" s="16"/>
      <c r="CIL45" s="16"/>
      <c r="CIM45" s="16"/>
      <c r="CIN45" s="16"/>
      <c r="CIO45" s="16"/>
      <c r="CIP45" s="16"/>
      <c r="CIQ45" s="16"/>
      <c r="CIR45" s="16"/>
      <c r="CIS45" s="16"/>
      <c r="CIT45" s="16"/>
      <c r="CIU45" s="16"/>
      <c r="CIV45" s="16"/>
      <c r="CIW45" s="16"/>
      <c r="CIX45" s="16"/>
      <c r="CIY45" s="16"/>
      <c r="CIZ45" s="16"/>
      <c r="CJA45" s="16"/>
      <c r="CJB45" s="16"/>
      <c r="CJC45" s="16"/>
      <c r="CJD45" s="16"/>
      <c r="CJE45" s="16"/>
      <c r="CJF45" s="16"/>
      <c r="CJG45" s="16"/>
      <c r="CJH45" s="16"/>
      <c r="CJI45" s="16"/>
      <c r="CJJ45" s="16"/>
      <c r="CJK45" s="16"/>
      <c r="CJL45" s="16"/>
      <c r="CJM45" s="16"/>
      <c r="CJN45" s="16"/>
      <c r="CJO45" s="16"/>
      <c r="CJP45" s="16"/>
      <c r="CJQ45" s="16"/>
      <c r="CJR45" s="16"/>
      <c r="CJS45" s="16"/>
      <c r="CJT45" s="16"/>
      <c r="CJU45" s="16"/>
      <c r="CJV45" s="16"/>
      <c r="CJW45" s="16"/>
      <c r="CJX45" s="16"/>
      <c r="CJY45" s="16"/>
      <c r="CJZ45" s="16"/>
      <c r="CKA45" s="16"/>
      <c r="CKB45" s="16"/>
      <c r="CKC45" s="16"/>
      <c r="CKD45" s="16"/>
      <c r="CKE45" s="16"/>
      <c r="CKF45" s="16"/>
      <c r="CKG45" s="16"/>
      <c r="CKH45" s="16"/>
      <c r="CKI45" s="16"/>
      <c r="CKJ45" s="16"/>
      <c r="CKK45" s="16"/>
      <c r="CKL45" s="16"/>
      <c r="CKM45" s="16"/>
      <c r="CKN45" s="16"/>
      <c r="CKO45" s="16"/>
      <c r="CKP45" s="16"/>
      <c r="CKQ45" s="16"/>
      <c r="CKR45" s="16"/>
      <c r="CKS45" s="16"/>
      <c r="CKT45" s="16"/>
      <c r="CKU45" s="16"/>
      <c r="CKV45" s="16"/>
      <c r="CKW45" s="16"/>
      <c r="CKX45" s="16"/>
      <c r="CKY45" s="16"/>
      <c r="CKZ45" s="16"/>
      <c r="CLA45" s="16"/>
      <c r="CLB45" s="16"/>
      <c r="CLC45" s="16"/>
      <c r="CLD45" s="16"/>
      <c r="CLE45" s="16"/>
      <c r="CLF45" s="16"/>
      <c r="CLG45" s="16"/>
      <c r="CLH45" s="16"/>
      <c r="CLI45" s="16"/>
      <c r="CLJ45" s="16"/>
      <c r="CLK45" s="16"/>
      <c r="CLL45" s="16"/>
      <c r="CLM45" s="16"/>
      <c r="CLN45" s="16"/>
      <c r="CLO45" s="16"/>
      <c r="CLP45" s="16"/>
      <c r="CLQ45" s="16"/>
      <c r="CLR45" s="16"/>
      <c r="CLS45" s="16"/>
      <c r="CLT45" s="16"/>
      <c r="CLU45" s="16"/>
      <c r="CLV45" s="16"/>
      <c r="CLW45" s="16"/>
      <c r="CLX45" s="16"/>
      <c r="CLY45" s="16"/>
      <c r="CLZ45" s="16"/>
      <c r="CMA45" s="16"/>
      <c r="CMB45" s="16"/>
      <c r="CMC45" s="16"/>
      <c r="CMD45" s="16"/>
      <c r="CME45" s="16"/>
      <c r="CMF45" s="16"/>
      <c r="CMG45" s="16"/>
      <c r="CMH45" s="16"/>
      <c r="CMI45" s="16"/>
      <c r="CMJ45" s="16"/>
      <c r="CMK45" s="16"/>
      <c r="CML45" s="16"/>
      <c r="CMM45" s="16"/>
      <c r="CMN45" s="16"/>
      <c r="CMO45" s="16"/>
      <c r="CMP45" s="16"/>
      <c r="CMQ45" s="16"/>
      <c r="CMR45" s="16"/>
      <c r="CMS45" s="16"/>
      <c r="CMT45" s="16"/>
      <c r="CMU45" s="16"/>
      <c r="CMV45" s="16"/>
      <c r="CMW45" s="16"/>
      <c r="CMX45" s="16"/>
      <c r="CMY45" s="16"/>
      <c r="CMZ45" s="16"/>
      <c r="CNA45" s="16"/>
      <c r="CNB45" s="16"/>
      <c r="CNC45" s="16"/>
      <c r="CND45" s="16"/>
      <c r="CNE45" s="16"/>
      <c r="CNF45" s="16"/>
      <c r="CNG45" s="16"/>
      <c r="CNH45" s="16"/>
      <c r="CNI45" s="16"/>
      <c r="CNJ45" s="16"/>
      <c r="CNK45" s="16"/>
      <c r="CNL45" s="16"/>
      <c r="CNM45" s="16"/>
      <c r="CNN45" s="16"/>
      <c r="CNO45" s="16"/>
      <c r="CNP45" s="16"/>
      <c r="CNQ45" s="16"/>
      <c r="CNR45" s="16"/>
      <c r="CNS45" s="16"/>
      <c r="CNT45" s="16"/>
      <c r="CNU45" s="16"/>
      <c r="CNV45" s="16"/>
      <c r="CNW45" s="16"/>
      <c r="CNX45" s="16"/>
      <c r="CNY45" s="16"/>
      <c r="CNZ45" s="16"/>
      <c r="COA45" s="16"/>
      <c r="COB45" s="16"/>
      <c r="COC45" s="16"/>
      <c r="COD45" s="16"/>
      <c r="COE45" s="16"/>
      <c r="COF45" s="16"/>
      <c r="COG45" s="16"/>
      <c r="COH45" s="16"/>
      <c r="COI45" s="16"/>
      <c r="COJ45" s="16"/>
      <c r="COK45" s="16"/>
      <c r="COL45" s="16"/>
      <c r="COM45" s="16"/>
      <c r="CON45" s="16"/>
      <c r="COO45" s="16"/>
      <c r="COP45" s="16"/>
      <c r="COQ45" s="16"/>
      <c r="COR45" s="16"/>
      <c r="COS45" s="16"/>
      <c r="COT45" s="16"/>
      <c r="COU45" s="16"/>
      <c r="COV45" s="16"/>
      <c r="COW45" s="16"/>
      <c r="COX45" s="16"/>
      <c r="COY45" s="16"/>
      <c r="COZ45" s="16"/>
      <c r="CPA45" s="16"/>
      <c r="CPB45" s="16"/>
      <c r="CPC45" s="16"/>
      <c r="CPD45" s="16"/>
      <c r="CPE45" s="16"/>
      <c r="CPF45" s="16"/>
      <c r="CPG45" s="16"/>
      <c r="CPH45" s="16"/>
      <c r="CPI45" s="16"/>
      <c r="CPJ45" s="16"/>
      <c r="CPK45" s="16"/>
      <c r="CPL45" s="16"/>
      <c r="CPM45" s="16"/>
      <c r="CPN45" s="16"/>
      <c r="CPO45" s="16"/>
      <c r="CPP45" s="16"/>
      <c r="CPQ45" s="16"/>
      <c r="CPR45" s="16"/>
      <c r="CPS45" s="16"/>
      <c r="CPT45" s="16"/>
      <c r="CPU45" s="16"/>
      <c r="CPV45" s="16"/>
      <c r="CPW45" s="16"/>
      <c r="CPX45" s="16"/>
      <c r="CPY45" s="16"/>
      <c r="CPZ45" s="16"/>
      <c r="CQA45" s="16"/>
      <c r="CQB45" s="16"/>
      <c r="CQC45" s="16"/>
      <c r="CQD45" s="16"/>
      <c r="CQE45" s="16"/>
      <c r="CQF45" s="16"/>
      <c r="CQG45" s="16"/>
      <c r="CQH45" s="16"/>
      <c r="CQI45" s="16"/>
      <c r="CQJ45" s="16"/>
      <c r="CQK45" s="16"/>
      <c r="CQL45" s="16"/>
      <c r="CQM45" s="16"/>
      <c r="CQN45" s="16"/>
      <c r="CQO45" s="16"/>
      <c r="CQP45" s="16"/>
      <c r="CQQ45" s="16"/>
      <c r="CQR45" s="16"/>
      <c r="CQS45" s="16"/>
      <c r="CQT45" s="16"/>
      <c r="CQU45" s="16"/>
      <c r="CQV45" s="16"/>
      <c r="CQW45" s="16"/>
      <c r="CQX45" s="16"/>
      <c r="CQY45" s="16"/>
      <c r="CQZ45" s="16"/>
      <c r="CRA45" s="16"/>
      <c r="CRB45" s="16"/>
      <c r="CRC45" s="16"/>
      <c r="CRD45" s="16"/>
      <c r="CRE45" s="16"/>
      <c r="CRF45" s="16"/>
      <c r="CRG45" s="16"/>
      <c r="CRH45" s="16"/>
      <c r="CRI45" s="16"/>
      <c r="CRJ45" s="16"/>
      <c r="CRK45" s="16"/>
      <c r="CRL45" s="16"/>
      <c r="CRM45" s="16"/>
      <c r="CRN45" s="16"/>
      <c r="CRO45" s="16"/>
      <c r="CRP45" s="16"/>
      <c r="CRQ45" s="16"/>
      <c r="CRR45" s="16"/>
      <c r="CRS45" s="16"/>
      <c r="CRT45" s="16"/>
      <c r="CRU45" s="16"/>
      <c r="CRV45" s="16"/>
      <c r="CRW45" s="16"/>
      <c r="CRX45" s="16"/>
      <c r="CRY45" s="16"/>
      <c r="CRZ45" s="16"/>
      <c r="CSA45" s="16"/>
      <c r="CSB45" s="16"/>
      <c r="CSC45" s="16"/>
      <c r="CSD45" s="16"/>
      <c r="CSE45" s="16"/>
      <c r="CSF45" s="16"/>
      <c r="CSG45" s="16"/>
      <c r="CSH45" s="16"/>
      <c r="CSI45" s="16"/>
      <c r="CSJ45" s="16"/>
      <c r="CSK45" s="16"/>
      <c r="CSL45" s="16"/>
      <c r="CSM45" s="16"/>
      <c r="CSN45" s="16"/>
      <c r="CSO45" s="16"/>
      <c r="CSP45" s="16"/>
      <c r="CSQ45" s="16"/>
      <c r="CSR45" s="16"/>
      <c r="CSS45" s="16"/>
      <c r="CST45" s="16"/>
      <c r="CSU45" s="16"/>
      <c r="CSV45" s="16"/>
      <c r="CSW45" s="16"/>
      <c r="CSX45" s="16"/>
      <c r="CSY45" s="16"/>
      <c r="CSZ45" s="16"/>
      <c r="CTA45" s="16"/>
      <c r="CTB45" s="16"/>
      <c r="CTC45" s="16"/>
      <c r="CTD45" s="16"/>
      <c r="CTE45" s="16"/>
      <c r="CTF45" s="16"/>
      <c r="CTG45" s="16"/>
      <c r="CTH45" s="16"/>
      <c r="CTI45" s="16"/>
      <c r="CTJ45" s="16"/>
      <c r="CTK45" s="16"/>
      <c r="CTL45" s="16"/>
      <c r="CTM45" s="16"/>
      <c r="CTN45" s="16"/>
      <c r="CTO45" s="16"/>
      <c r="CTP45" s="16"/>
      <c r="CTQ45" s="16"/>
      <c r="CTR45" s="16"/>
      <c r="CTS45" s="16"/>
      <c r="CTT45" s="16"/>
      <c r="CTU45" s="16"/>
      <c r="CTV45" s="16"/>
      <c r="CTW45" s="16"/>
      <c r="CTX45" s="16"/>
      <c r="CTY45" s="16"/>
      <c r="CTZ45" s="16"/>
      <c r="CUA45" s="16"/>
      <c r="CUB45" s="16"/>
      <c r="CUC45" s="16"/>
      <c r="CUD45" s="16"/>
      <c r="CUE45" s="16"/>
      <c r="CUF45" s="16"/>
      <c r="CUG45" s="16"/>
      <c r="CUH45" s="16"/>
      <c r="CUI45" s="16"/>
      <c r="CUJ45" s="16"/>
      <c r="CUK45" s="16"/>
      <c r="CUL45" s="16"/>
      <c r="CUM45" s="16"/>
      <c r="CUN45" s="16"/>
      <c r="CUO45" s="16"/>
      <c r="CUP45" s="16"/>
      <c r="CUQ45" s="16"/>
      <c r="CUR45" s="16"/>
      <c r="CUS45" s="16"/>
      <c r="CUT45" s="16"/>
      <c r="CUU45" s="16"/>
      <c r="CUV45" s="16"/>
      <c r="CUW45" s="16"/>
      <c r="CUX45" s="16"/>
      <c r="CUY45" s="16"/>
      <c r="CUZ45" s="16"/>
      <c r="CVA45" s="16"/>
      <c r="CVB45" s="16"/>
      <c r="CVC45" s="16"/>
      <c r="CVD45" s="16"/>
      <c r="CVE45" s="16"/>
      <c r="CVF45" s="16"/>
      <c r="CVG45" s="16"/>
      <c r="CVH45" s="16"/>
      <c r="CVI45" s="16"/>
      <c r="CVJ45" s="16"/>
      <c r="CVK45" s="16"/>
      <c r="CVL45" s="16"/>
      <c r="CVM45" s="16"/>
      <c r="CVN45" s="16"/>
      <c r="CVO45" s="16"/>
      <c r="CVP45" s="16"/>
      <c r="CVQ45" s="16"/>
      <c r="CVR45" s="16"/>
      <c r="CVS45" s="16"/>
      <c r="CVT45" s="16"/>
      <c r="CVU45" s="16"/>
      <c r="CVV45" s="16"/>
      <c r="CVW45" s="16"/>
      <c r="CVX45" s="16"/>
      <c r="CVY45" s="16"/>
      <c r="CVZ45" s="16"/>
      <c r="CWA45" s="16"/>
      <c r="CWB45" s="16"/>
      <c r="CWC45" s="16"/>
      <c r="CWD45" s="16"/>
      <c r="CWE45" s="16"/>
      <c r="CWF45" s="16"/>
      <c r="CWG45" s="16"/>
      <c r="CWH45" s="16"/>
      <c r="CWI45" s="16"/>
      <c r="CWJ45" s="16"/>
      <c r="CWK45" s="16"/>
      <c r="CWL45" s="16"/>
      <c r="CWM45" s="16"/>
      <c r="CWN45" s="16"/>
      <c r="CWO45" s="16"/>
      <c r="CWP45" s="16"/>
      <c r="CWQ45" s="16"/>
      <c r="CWR45" s="16"/>
      <c r="CWS45" s="16"/>
      <c r="CWT45" s="16"/>
      <c r="CWU45" s="16"/>
      <c r="CWV45" s="16"/>
      <c r="CWW45" s="16"/>
      <c r="CWX45" s="16"/>
      <c r="CWY45" s="16"/>
      <c r="CWZ45" s="16"/>
      <c r="CXA45" s="16"/>
      <c r="CXB45" s="16"/>
      <c r="CXC45" s="16"/>
      <c r="CXD45" s="16"/>
      <c r="CXE45" s="16"/>
      <c r="CXF45" s="16"/>
      <c r="CXG45" s="16"/>
      <c r="CXH45" s="16"/>
      <c r="CXI45" s="16"/>
      <c r="CXJ45" s="16"/>
      <c r="CXK45" s="16"/>
      <c r="CXL45" s="16"/>
      <c r="CXM45" s="16"/>
      <c r="CXN45" s="16"/>
      <c r="CXO45" s="16"/>
      <c r="CXP45" s="16"/>
      <c r="CXQ45" s="16"/>
      <c r="CXR45" s="16"/>
      <c r="CXS45" s="16"/>
      <c r="CXT45" s="16"/>
      <c r="CXU45" s="16"/>
      <c r="CXV45" s="16"/>
      <c r="CXW45" s="16"/>
      <c r="CXX45" s="16"/>
      <c r="CXY45" s="16"/>
      <c r="CXZ45" s="16"/>
      <c r="CYA45" s="16"/>
      <c r="CYB45" s="16"/>
      <c r="CYC45" s="16"/>
      <c r="CYD45" s="16"/>
      <c r="CYE45" s="16"/>
      <c r="CYF45" s="16"/>
      <c r="CYG45" s="16"/>
      <c r="CYH45" s="16"/>
      <c r="CYI45" s="16"/>
      <c r="CYJ45" s="16"/>
      <c r="CYK45" s="16"/>
      <c r="CYL45" s="16"/>
      <c r="CYM45" s="16"/>
      <c r="CYN45" s="16"/>
      <c r="CYO45" s="16"/>
      <c r="CYP45" s="16"/>
      <c r="CYQ45" s="16"/>
      <c r="CYR45" s="16"/>
      <c r="CYS45" s="16"/>
      <c r="CYT45" s="16"/>
      <c r="CYU45" s="16"/>
      <c r="CYV45" s="16"/>
      <c r="CYW45" s="16"/>
      <c r="CYX45" s="16"/>
      <c r="CYY45" s="16"/>
      <c r="CYZ45" s="16"/>
      <c r="CZA45" s="16"/>
      <c r="CZB45" s="16"/>
      <c r="CZC45" s="16"/>
      <c r="CZD45" s="16"/>
      <c r="CZE45" s="16"/>
      <c r="CZF45" s="16"/>
      <c r="CZG45" s="16"/>
      <c r="CZH45" s="16"/>
      <c r="CZI45" s="16"/>
      <c r="CZJ45" s="16"/>
      <c r="CZK45" s="16"/>
      <c r="CZL45" s="16"/>
      <c r="CZM45" s="16"/>
      <c r="CZN45" s="16"/>
      <c r="CZO45" s="16"/>
      <c r="CZP45" s="16"/>
      <c r="CZQ45" s="16"/>
      <c r="CZR45" s="16"/>
      <c r="CZS45" s="16"/>
      <c r="CZT45" s="16"/>
      <c r="CZU45" s="16"/>
      <c r="CZV45" s="16"/>
      <c r="CZW45" s="16"/>
      <c r="CZX45" s="16"/>
      <c r="CZY45" s="16"/>
      <c r="CZZ45" s="16"/>
      <c r="DAA45" s="16"/>
      <c r="DAB45" s="16"/>
      <c r="DAC45" s="16"/>
      <c r="DAD45" s="16"/>
      <c r="DAE45" s="16"/>
      <c r="DAF45" s="16"/>
      <c r="DAG45" s="16"/>
      <c r="DAH45" s="16"/>
      <c r="DAI45" s="16"/>
      <c r="DAJ45" s="16"/>
      <c r="DAK45" s="16"/>
      <c r="DAL45" s="16"/>
      <c r="DAM45" s="16"/>
      <c r="DAN45" s="16"/>
      <c r="DAO45" s="16"/>
      <c r="DAP45" s="16"/>
      <c r="DAQ45" s="16"/>
      <c r="DAR45" s="16"/>
      <c r="DAS45" s="16"/>
      <c r="DAT45" s="16"/>
      <c r="DAU45" s="16"/>
      <c r="DAV45" s="16"/>
      <c r="DAW45" s="16"/>
      <c r="DAX45" s="16"/>
      <c r="DAY45" s="16"/>
      <c r="DAZ45" s="16"/>
      <c r="DBA45" s="16"/>
      <c r="DBB45" s="16"/>
      <c r="DBC45" s="16"/>
      <c r="DBD45" s="16"/>
      <c r="DBE45" s="16"/>
      <c r="DBF45" s="16"/>
      <c r="DBG45" s="16"/>
      <c r="DBH45" s="16"/>
      <c r="DBI45" s="16"/>
      <c r="DBJ45" s="16"/>
      <c r="DBK45" s="16"/>
      <c r="DBL45" s="16"/>
      <c r="DBM45" s="16"/>
      <c r="DBN45" s="16"/>
      <c r="DBO45" s="16"/>
      <c r="DBP45" s="16"/>
      <c r="DBQ45" s="16"/>
      <c r="DBR45" s="16"/>
      <c r="DBS45" s="16"/>
      <c r="DBT45" s="16"/>
      <c r="DBU45" s="16"/>
      <c r="DBV45" s="16"/>
      <c r="DBW45" s="16"/>
      <c r="DBX45" s="16"/>
      <c r="DBY45" s="16"/>
      <c r="DBZ45" s="16"/>
      <c r="DCA45" s="16"/>
      <c r="DCB45" s="16"/>
      <c r="DCC45" s="16"/>
      <c r="DCD45" s="16"/>
      <c r="DCE45" s="16"/>
      <c r="DCF45" s="16"/>
      <c r="DCG45" s="16"/>
      <c r="DCH45" s="16"/>
      <c r="DCI45" s="16"/>
      <c r="DCJ45" s="16"/>
      <c r="DCK45" s="16"/>
      <c r="DCL45" s="16"/>
      <c r="DCM45" s="16"/>
      <c r="DCN45" s="16"/>
      <c r="DCO45" s="16"/>
      <c r="DCP45" s="16"/>
      <c r="DCQ45" s="16"/>
      <c r="DCR45" s="16"/>
      <c r="DCS45" s="16"/>
      <c r="DCT45" s="16"/>
      <c r="DCU45" s="16"/>
      <c r="DCV45" s="16"/>
      <c r="DCW45" s="16"/>
      <c r="DCX45" s="16"/>
      <c r="DCY45" s="16"/>
      <c r="DCZ45" s="16"/>
      <c r="DDA45" s="16"/>
      <c r="DDB45" s="16"/>
      <c r="DDC45" s="16"/>
      <c r="DDD45" s="16"/>
      <c r="DDE45" s="16"/>
      <c r="DDF45" s="16"/>
      <c r="DDG45" s="16"/>
      <c r="DDH45" s="16"/>
      <c r="DDI45" s="16"/>
      <c r="DDJ45" s="16"/>
      <c r="DDK45" s="16"/>
      <c r="DDL45" s="16"/>
      <c r="DDM45" s="16"/>
      <c r="DDN45" s="16"/>
      <c r="DDO45" s="16"/>
      <c r="DDP45" s="16"/>
      <c r="DDQ45" s="16"/>
      <c r="DDR45" s="16"/>
      <c r="DDS45" s="16"/>
      <c r="DDT45" s="16"/>
      <c r="DDU45" s="16"/>
      <c r="DDV45" s="16"/>
      <c r="DDW45" s="16"/>
      <c r="DDX45" s="16"/>
      <c r="DDY45" s="16"/>
      <c r="DDZ45" s="16"/>
      <c r="DEA45" s="16"/>
      <c r="DEB45" s="16"/>
      <c r="DEC45" s="16"/>
      <c r="DED45" s="16"/>
      <c r="DEE45" s="16"/>
      <c r="DEF45" s="16"/>
      <c r="DEG45" s="16"/>
      <c r="DEH45" s="16"/>
      <c r="DEI45" s="16"/>
      <c r="DEJ45" s="16"/>
      <c r="DEK45" s="16"/>
      <c r="DEL45" s="16"/>
      <c r="DEM45" s="16"/>
      <c r="DEN45" s="16"/>
      <c r="DEO45" s="16"/>
      <c r="DEP45" s="16"/>
      <c r="DEQ45" s="16"/>
      <c r="DER45" s="16"/>
      <c r="DES45" s="16"/>
      <c r="DET45" s="16"/>
      <c r="DEU45" s="16"/>
      <c r="DEV45" s="16"/>
      <c r="DEW45" s="16"/>
      <c r="DEX45" s="16"/>
      <c r="DEY45" s="16"/>
      <c r="DEZ45" s="16"/>
      <c r="DFA45" s="16"/>
      <c r="DFB45" s="16"/>
      <c r="DFC45" s="16"/>
      <c r="DFD45" s="16"/>
      <c r="DFE45" s="16"/>
      <c r="DFF45" s="16"/>
      <c r="DFG45" s="16"/>
      <c r="DFH45" s="16"/>
      <c r="DFI45" s="16"/>
      <c r="DFJ45" s="16"/>
      <c r="DFK45" s="16"/>
      <c r="DFL45" s="16"/>
      <c r="DFM45" s="16"/>
      <c r="DFN45" s="16"/>
      <c r="DFO45" s="16"/>
      <c r="DFP45" s="16"/>
      <c r="DFQ45" s="16"/>
      <c r="DFR45" s="16"/>
      <c r="DFS45" s="16"/>
      <c r="DFT45" s="16"/>
      <c r="DFU45" s="16"/>
      <c r="DFV45" s="16"/>
      <c r="DFW45" s="16"/>
      <c r="DFX45" s="16"/>
      <c r="DFY45" s="16"/>
      <c r="DFZ45" s="16"/>
      <c r="DGA45" s="16"/>
      <c r="DGB45" s="16"/>
      <c r="DGC45" s="16"/>
      <c r="DGD45" s="16"/>
      <c r="DGE45" s="16"/>
      <c r="DGF45" s="16"/>
      <c r="DGG45" s="16"/>
      <c r="DGH45" s="16"/>
      <c r="DGI45" s="16"/>
      <c r="DGJ45" s="16"/>
      <c r="DGK45" s="16"/>
      <c r="DGL45" s="16"/>
      <c r="DGM45" s="16"/>
      <c r="DGN45" s="16"/>
      <c r="DGO45" s="16"/>
      <c r="DGP45" s="16"/>
      <c r="DGQ45" s="16"/>
      <c r="DGR45" s="16"/>
      <c r="DGS45" s="16"/>
      <c r="DGT45" s="16"/>
      <c r="DGU45" s="16"/>
      <c r="DGV45" s="16"/>
      <c r="DGW45" s="16"/>
      <c r="DGX45" s="16"/>
      <c r="DGY45" s="16"/>
      <c r="DGZ45" s="16"/>
      <c r="DHA45" s="16"/>
      <c r="DHB45" s="16"/>
      <c r="DHC45" s="16"/>
      <c r="DHD45" s="16"/>
      <c r="DHE45" s="16"/>
      <c r="DHF45" s="16"/>
      <c r="DHG45" s="16"/>
      <c r="DHH45" s="16"/>
      <c r="DHI45" s="16"/>
      <c r="DHJ45" s="16"/>
      <c r="DHK45" s="16"/>
      <c r="DHL45" s="16"/>
      <c r="DHM45" s="16"/>
      <c r="DHN45" s="16"/>
      <c r="DHO45" s="16"/>
      <c r="DHP45" s="16"/>
      <c r="DHQ45" s="16"/>
      <c r="DHR45" s="16"/>
      <c r="DHS45" s="16"/>
      <c r="DHT45" s="16"/>
      <c r="DHU45" s="16"/>
      <c r="DHV45" s="16"/>
      <c r="DHW45" s="16"/>
      <c r="DHX45" s="16"/>
      <c r="DHY45" s="16"/>
      <c r="DHZ45" s="16"/>
      <c r="DIA45" s="16"/>
      <c r="DIB45" s="16"/>
      <c r="DIC45" s="16"/>
      <c r="DID45" s="16"/>
      <c r="DIE45" s="16"/>
      <c r="DIF45" s="16"/>
      <c r="DIG45" s="16"/>
      <c r="DIH45" s="16"/>
      <c r="DII45" s="16"/>
      <c r="DIJ45" s="16"/>
      <c r="DIK45" s="16"/>
      <c r="DIL45" s="16"/>
      <c r="DIM45" s="16"/>
      <c r="DIN45" s="16"/>
      <c r="DIO45" s="16"/>
      <c r="DIP45" s="16"/>
      <c r="DIQ45" s="16"/>
      <c r="DIR45" s="16"/>
      <c r="DIS45" s="16"/>
      <c r="DIT45" s="16"/>
      <c r="DIU45" s="16"/>
      <c r="DIV45" s="16"/>
      <c r="DIW45" s="16"/>
      <c r="DIX45" s="16"/>
      <c r="DIY45" s="16"/>
      <c r="DIZ45" s="16"/>
      <c r="DJA45" s="16"/>
      <c r="DJB45" s="16"/>
      <c r="DJC45" s="16"/>
      <c r="DJD45" s="16"/>
      <c r="DJE45" s="16"/>
      <c r="DJF45" s="16"/>
      <c r="DJG45" s="16"/>
      <c r="DJH45" s="16"/>
      <c r="DJI45" s="16"/>
      <c r="DJJ45" s="16"/>
      <c r="DJK45" s="16"/>
      <c r="DJL45" s="16"/>
      <c r="DJM45" s="16"/>
      <c r="DJN45" s="16"/>
      <c r="DJO45" s="16"/>
      <c r="DJP45" s="16"/>
      <c r="DJQ45" s="16"/>
      <c r="DJR45" s="16"/>
      <c r="DJS45" s="16"/>
      <c r="DJT45" s="16"/>
      <c r="DJU45" s="16"/>
      <c r="DJV45" s="16"/>
      <c r="DJW45" s="16"/>
      <c r="DJX45" s="16"/>
      <c r="DJY45" s="16"/>
      <c r="DJZ45" s="16"/>
      <c r="DKA45" s="16"/>
      <c r="DKB45" s="16"/>
      <c r="DKC45" s="16"/>
      <c r="DKD45" s="16"/>
      <c r="DKE45" s="16"/>
      <c r="DKF45" s="16"/>
      <c r="DKG45" s="16"/>
      <c r="DKH45" s="16"/>
      <c r="DKI45" s="16"/>
      <c r="DKJ45" s="16"/>
      <c r="DKK45" s="16"/>
      <c r="DKL45" s="16"/>
      <c r="DKM45" s="16"/>
      <c r="DKN45" s="16"/>
      <c r="DKO45" s="16"/>
      <c r="DKP45" s="16"/>
      <c r="DKQ45" s="16"/>
      <c r="DKR45" s="16"/>
      <c r="DKS45" s="16"/>
      <c r="DKT45" s="16"/>
      <c r="DKU45" s="16"/>
      <c r="DKV45" s="16"/>
      <c r="DKW45" s="16"/>
      <c r="DKX45" s="16"/>
      <c r="DKY45" s="16"/>
      <c r="DKZ45" s="16"/>
      <c r="DLA45" s="16"/>
      <c r="DLB45" s="16"/>
      <c r="DLC45" s="16"/>
      <c r="DLD45" s="16"/>
      <c r="DLE45" s="16"/>
      <c r="DLF45" s="16"/>
      <c r="DLG45" s="16"/>
      <c r="DLH45" s="16"/>
      <c r="DLI45" s="16"/>
      <c r="DLJ45" s="16"/>
      <c r="DLK45" s="16"/>
      <c r="DLL45" s="16"/>
      <c r="DLM45" s="16"/>
      <c r="DLN45" s="16"/>
      <c r="DLO45" s="16"/>
      <c r="DLP45" s="16"/>
      <c r="DLQ45" s="16"/>
      <c r="DLR45" s="16"/>
      <c r="DLS45" s="16"/>
      <c r="DLT45" s="16"/>
      <c r="DLU45" s="16"/>
      <c r="DLV45" s="16"/>
      <c r="DLW45" s="16"/>
      <c r="DLX45" s="16"/>
      <c r="DLY45" s="16"/>
      <c r="DLZ45" s="16"/>
      <c r="DMA45" s="16"/>
      <c r="DMB45" s="16"/>
      <c r="DMC45" s="16"/>
      <c r="DMD45" s="16"/>
      <c r="DME45" s="16"/>
      <c r="DMF45" s="16"/>
      <c r="DMG45" s="16"/>
      <c r="DMH45" s="16"/>
      <c r="DMI45" s="16"/>
      <c r="DMJ45" s="16"/>
      <c r="DMK45" s="16"/>
      <c r="DML45" s="16"/>
      <c r="DMM45" s="16"/>
      <c r="DMN45" s="16"/>
      <c r="DMO45" s="16"/>
      <c r="DMP45" s="16"/>
      <c r="DMQ45" s="16"/>
      <c r="DMR45" s="16"/>
      <c r="DMS45" s="16"/>
      <c r="DMT45" s="16"/>
      <c r="DMU45" s="16"/>
      <c r="DMV45" s="16"/>
      <c r="DMW45" s="16"/>
      <c r="DMX45" s="16"/>
      <c r="DMY45" s="16"/>
      <c r="DMZ45" s="16"/>
      <c r="DNA45" s="16"/>
      <c r="DNB45" s="16"/>
      <c r="DNC45" s="16"/>
      <c r="DND45" s="16"/>
      <c r="DNE45" s="16"/>
      <c r="DNF45" s="16"/>
      <c r="DNG45" s="16"/>
      <c r="DNH45" s="16"/>
      <c r="DNI45" s="16"/>
      <c r="DNJ45" s="16"/>
      <c r="DNK45" s="16"/>
      <c r="DNL45" s="16"/>
      <c r="DNM45" s="16"/>
      <c r="DNN45" s="16"/>
      <c r="DNO45" s="16"/>
      <c r="DNP45" s="16"/>
      <c r="DNQ45" s="16"/>
      <c r="DNR45" s="16"/>
      <c r="DNS45" s="16"/>
      <c r="DNT45" s="16"/>
      <c r="DNU45" s="16"/>
      <c r="DNV45" s="16"/>
      <c r="DNW45" s="16"/>
      <c r="DNX45" s="16"/>
      <c r="DNY45" s="16"/>
      <c r="DNZ45" s="16"/>
      <c r="DOA45" s="16"/>
      <c r="DOB45" s="16"/>
      <c r="DOC45" s="16"/>
      <c r="DOD45" s="16"/>
      <c r="DOE45" s="16"/>
      <c r="DOF45" s="16"/>
      <c r="DOG45" s="16"/>
      <c r="DOH45" s="16"/>
      <c r="DOI45" s="16"/>
      <c r="DOJ45" s="16"/>
      <c r="DOK45" s="16"/>
      <c r="DOL45" s="16"/>
      <c r="DOM45" s="16"/>
      <c r="DON45" s="16"/>
      <c r="DOO45" s="16"/>
      <c r="DOP45" s="16"/>
      <c r="DOQ45" s="16"/>
      <c r="DOR45" s="16"/>
      <c r="DOS45" s="16"/>
      <c r="DOT45" s="16"/>
      <c r="DOU45" s="16"/>
      <c r="DOV45" s="16"/>
      <c r="DOW45" s="16"/>
      <c r="DOX45" s="16"/>
      <c r="DOY45" s="16"/>
      <c r="DOZ45" s="16"/>
      <c r="DPA45" s="16"/>
      <c r="DPB45" s="16"/>
      <c r="DPC45" s="16"/>
      <c r="DPD45" s="16"/>
      <c r="DPE45" s="16"/>
      <c r="DPF45" s="16"/>
      <c r="DPG45" s="16"/>
      <c r="DPH45" s="16"/>
      <c r="DPI45" s="16"/>
      <c r="DPJ45" s="16"/>
      <c r="DPK45" s="16"/>
      <c r="DPL45" s="16"/>
      <c r="DPM45" s="16"/>
      <c r="DPN45" s="16"/>
      <c r="DPO45" s="16"/>
      <c r="DPP45" s="16"/>
      <c r="DPQ45" s="16"/>
      <c r="DPR45" s="16"/>
      <c r="DPS45" s="16"/>
      <c r="DPT45" s="16"/>
      <c r="DPU45" s="16"/>
      <c r="DPV45" s="16"/>
      <c r="DPW45" s="16"/>
      <c r="DPX45" s="16"/>
      <c r="DPY45" s="16"/>
      <c r="DPZ45" s="16"/>
      <c r="DQA45" s="16"/>
      <c r="DQB45" s="16"/>
      <c r="DQC45" s="16"/>
      <c r="DQD45" s="16"/>
      <c r="DQE45" s="16"/>
      <c r="DQF45" s="16"/>
      <c r="DQG45" s="16"/>
      <c r="DQH45" s="16"/>
      <c r="DQI45" s="16"/>
      <c r="DQJ45" s="16"/>
      <c r="DQK45" s="16"/>
      <c r="DQL45" s="16"/>
      <c r="DQM45" s="16"/>
      <c r="DQN45" s="16"/>
      <c r="DQO45" s="16"/>
      <c r="DQP45" s="16"/>
      <c r="DQQ45" s="16"/>
      <c r="DQR45" s="16"/>
      <c r="DQS45" s="16"/>
      <c r="DQT45" s="16"/>
      <c r="DQU45" s="16"/>
      <c r="DQV45" s="16"/>
      <c r="DQW45" s="16"/>
      <c r="DQX45" s="16"/>
      <c r="DQY45" s="16"/>
      <c r="DQZ45" s="16"/>
      <c r="DRA45" s="16"/>
      <c r="DRB45" s="16"/>
      <c r="DRC45" s="16"/>
      <c r="DRD45" s="16"/>
      <c r="DRE45" s="16"/>
      <c r="DRF45" s="16"/>
      <c r="DRG45" s="16"/>
      <c r="DRH45" s="16"/>
      <c r="DRI45" s="16"/>
      <c r="DRJ45" s="16"/>
      <c r="DRK45" s="16"/>
      <c r="DRL45" s="16"/>
      <c r="DRM45" s="16"/>
      <c r="DRN45" s="16"/>
      <c r="DRO45" s="16"/>
      <c r="DRP45" s="16"/>
      <c r="DRQ45" s="16"/>
      <c r="DRR45" s="16"/>
      <c r="DRS45" s="16"/>
      <c r="DRT45" s="16"/>
      <c r="DRU45" s="16"/>
      <c r="DRV45" s="16"/>
      <c r="DRW45" s="16"/>
      <c r="DRX45" s="16"/>
      <c r="DRY45" s="16"/>
      <c r="DRZ45" s="16"/>
      <c r="DSA45" s="16"/>
      <c r="DSB45" s="16"/>
      <c r="DSC45" s="16"/>
      <c r="DSD45" s="16"/>
      <c r="DSE45" s="16"/>
      <c r="DSF45" s="16"/>
      <c r="DSG45" s="16"/>
      <c r="DSH45" s="16"/>
      <c r="DSI45" s="16"/>
      <c r="DSJ45" s="16"/>
      <c r="DSK45" s="16"/>
      <c r="DSL45" s="16"/>
      <c r="DSM45" s="16"/>
      <c r="DSN45" s="16"/>
      <c r="DSO45" s="16"/>
      <c r="DSP45" s="16"/>
      <c r="DSQ45" s="16"/>
      <c r="DSR45" s="16"/>
      <c r="DSS45" s="16"/>
      <c r="DST45" s="16"/>
      <c r="DSU45" s="16"/>
      <c r="DSV45" s="16"/>
      <c r="DSW45" s="16"/>
      <c r="DSX45" s="16"/>
      <c r="DSY45" s="16"/>
      <c r="DSZ45" s="16"/>
      <c r="DTA45" s="16"/>
      <c r="DTB45" s="16"/>
      <c r="DTC45" s="16"/>
      <c r="DTD45" s="16"/>
      <c r="DTE45" s="16"/>
      <c r="DTF45" s="16"/>
      <c r="DTG45" s="16"/>
      <c r="DTH45" s="16"/>
      <c r="DTI45" s="16"/>
      <c r="DTJ45" s="16"/>
      <c r="DTK45" s="16"/>
      <c r="DTL45" s="16"/>
      <c r="DTM45" s="16"/>
      <c r="DTN45" s="16"/>
      <c r="DTO45" s="16"/>
      <c r="DTP45" s="16"/>
      <c r="DTQ45" s="16"/>
      <c r="DTR45" s="16"/>
      <c r="DTS45" s="16"/>
      <c r="DTT45" s="16"/>
      <c r="DTU45" s="16"/>
      <c r="DTV45" s="16"/>
      <c r="DTW45" s="16"/>
      <c r="DTX45" s="16"/>
      <c r="DTY45" s="16"/>
      <c r="DTZ45" s="16"/>
      <c r="DUA45" s="16"/>
      <c r="DUB45" s="16"/>
      <c r="DUC45" s="16"/>
      <c r="DUD45" s="16"/>
      <c r="DUE45" s="16"/>
      <c r="DUF45" s="16"/>
      <c r="DUG45" s="16"/>
      <c r="DUH45" s="16"/>
      <c r="DUI45" s="16"/>
      <c r="DUJ45" s="16"/>
      <c r="DUK45" s="16"/>
      <c r="DUL45" s="16"/>
      <c r="DUM45" s="16"/>
      <c r="DUN45" s="16"/>
      <c r="DUO45" s="16"/>
      <c r="DUP45" s="16"/>
      <c r="DUQ45" s="16"/>
      <c r="DUR45" s="16"/>
      <c r="DUS45" s="16"/>
      <c r="DUT45" s="16"/>
      <c r="DUU45" s="16"/>
      <c r="DUV45" s="16"/>
      <c r="DUW45" s="16"/>
      <c r="DUX45" s="16"/>
      <c r="DUY45" s="16"/>
      <c r="DUZ45" s="16"/>
      <c r="DVA45" s="16"/>
      <c r="DVB45" s="16"/>
      <c r="DVC45" s="16"/>
      <c r="DVD45" s="16"/>
      <c r="DVE45" s="16"/>
      <c r="DVF45" s="16"/>
      <c r="DVG45" s="16"/>
      <c r="DVH45" s="16"/>
      <c r="DVI45" s="16"/>
      <c r="DVJ45" s="16"/>
      <c r="DVK45" s="16"/>
      <c r="DVL45" s="16"/>
      <c r="DVM45" s="16"/>
      <c r="DVN45" s="16"/>
      <c r="DVO45" s="16"/>
      <c r="DVP45" s="16"/>
      <c r="DVQ45" s="16"/>
      <c r="DVR45" s="16"/>
      <c r="DVS45" s="16"/>
      <c r="DVT45" s="16"/>
      <c r="DVU45" s="16"/>
      <c r="DVV45" s="16"/>
      <c r="DVW45" s="16"/>
      <c r="DVX45" s="16"/>
      <c r="DVY45" s="16"/>
      <c r="DVZ45" s="16"/>
      <c r="DWA45" s="16"/>
      <c r="DWB45" s="16"/>
      <c r="DWC45" s="16"/>
      <c r="DWD45" s="16"/>
      <c r="DWE45" s="16"/>
      <c r="DWF45" s="16"/>
      <c r="DWG45" s="16"/>
      <c r="DWH45" s="16"/>
      <c r="DWI45" s="16"/>
      <c r="DWJ45" s="16"/>
      <c r="DWK45" s="16"/>
      <c r="DWL45" s="16"/>
      <c r="DWM45" s="16"/>
      <c r="DWN45" s="16"/>
      <c r="DWO45" s="16"/>
      <c r="DWP45" s="16"/>
      <c r="DWQ45" s="16"/>
      <c r="DWR45" s="16"/>
      <c r="DWS45" s="16"/>
      <c r="DWT45" s="16"/>
      <c r="DWU45" s="16"/>
      <c r="DWV45" s="16"/>
      <c r="DWW45" s="16"/>
      <c r="DWX45" s="16"/>
      <c r="DWY45" s="16"/>
      <c r="DWZ45" s="16"/>
      <c r="DXA45" s="16"/>
      <c r="DXB45" s="16"/>
      <c r="DXC45" s="16"/>
      <c r="DXD45" s="16"/>
      <c r="DXE45" s="16"/>
      <c r="DXF45" s="16"/>
      <c r="DXG45" s="16"/>
      <c r="DXH45" s="16"/>
      <c r="DXI45" s="16"/>
      <c r="DXJ45" s="16"/>
      <c r="DXK45" s="16"/>
      <c r="DXL45" s="16"/>
      <c r="DXM45" s="16"/>
      <c r="DXN45" s="16"/>
      <c r="DXO45" s="16"/>
      <c r="DXP45" s="16"/>
      <c r="DXQ45" s="16"/>
      <c r="DXR45" s="16"/>
      <c r="DXS45" s="16"/>
      <c r="DXT45" s="16"/>
      <c r="DXU45" s="16"/>
      <c r="DXV45" s="16"/>
      <c r="DXW45" s="16"/>
      <c r="DXX45" s="16"/>
      <c r="DXY45" s="16"/>
      <c r="DXZ45" s="16"/>
      <c r="DYA45" s="16"/>
      <c r="DYB45" s="16"/>
      <c r="DYC45" s="16"/>
      <c r="DYD45" s="16"/>
      <c r="DYE45" s="16"/>
      <c r="DYF45" s="16"/>
      <c r="DYG45" s="16"/>
      <c r="DYH45" s="16"/>
      <c r="DYI45" s="16"/>
      <c r="DYJ45" s="16"/>
      <c r="DYK45" s="16"/>
      <c r="DYL45" s="16"/>
      <c r="DYM45" s="16"/>
      <c r="DYN45" s="16"/>
      <c r="DYO45" s="16"/>
      <c r="DYP45" s="16"/>
      <c r="DYQ45" s="16"/>
      <c r="DYR45" s="16"/>
      <c r="DYS45" s="16"/>
      <c r="DYT45" s="16"/>
      <c r="DYU45" s="16"/>
      <c r="DYV45" s="16"/>
      <c r="DYW45" s="16"/>
      <c r="DYX45" s="16"/>
      <c r="DYY45" s="16"/>
      <c r="DYZ45" s="16"/>
      <c r="DZA45" s="16"/>
      <c r="DZB45" s="16"/>
      <c r="DZC45" s="16"/>
      <c r="DZD45" s="16"/>
      <c r="DZE45" s="16"/>
      <c r="DZF45" s="16"/>
      <c r="DZG45" s="16"/>
      <c r="DZH45" s="16"/>
      <c r="DZI45" s="16"/>
      <c r="DZJ45" s="16"/>
      <c r="DZK45" s="16"/>
      <c r="DZL45" s="16"/>
      <c r="DZM45" s="16"/>
      <c r="DZN45" s="16"/>
      <c r="DZO45" s="16"/>
      <c r="DZP45" s="16"/>
      <c r="DZQ45" s="16"/>
      <c r="DZR45" s="16"/>
      <c r="DZS45" s="16"/>
      <c r="DZT45" s="16"/>
      <c r="DZU45" s="16"/>
      <c r="DZV45" s="16"/>
      <c r="DZW45" s="16"/>
      <c r="DZX45" s="16"/>
      <c r="DZY45" s="16"/>
      <c r="DZZ45" s="16"/>
      <c r="EAA45" s="16"/>
      <c r="EAB45" s="16"/>
      <c r="EAC45" s="16"/>
      <c r="EAD45" s="16"/>
      <c r="EAE45" s="16"/>
      <c r="EAF45" s="16"/>
      <c r="EAG45" s="16"/>
      <c r="EAH45" s="16"/>
      <c r="EAI45" s="16"/>
      <c r="EAJ45" s="16"/>
      <c r="EAK45" s="16"/>
      <c r="EAL45" s="16"/>
      <c r="EAM45" s="16"/>
      <c r="EAN45" s="16"/>
      <c r="EAO45" s="16"/>
      <c r="EAP45" s="16"/>
      <c r="EAQ45" s="16"/>
      <c r="EAR45" s="16"/>
      <c r="EAS45" s="16"/>
      <c r="EAT45" s="16"/>
      <c r="EAU45" s="16"/>
      <c r="EAV45" s="16"/>
      <c r="EAW45" s="16"/>
      <c r="EAX45" s="16"/>
      <c r="EAY45" s="16"/>
      <c r="EAZ45" s="16"/>
      <c r="EBA45" s="16"/>
      <c r="EBB45" s="16"/>
      <c r="EBC45" s="16"/>
      <c r="EBD45" s="16"/>
      <c r="EBE45" s="16"/>
      <c r="EBF45" s="16"/>
      <c r="EBG45" s="16"/>
      <c r="EBH45" s="16"/>
      <c r="EBI45" s="16"/>
      <c r="EBJ45" s="16"/>
      <c r="EBK45" s="16"/>
      <c r="EBL45" s="16"/>
      <c r="EBM45" s="16"/>
      <c r="EBN45" s="16"/>
      <c r="EBO45" s="16"/>
      <c r="EBP45" s="16"/>
      <c r="EBQ45" s="16"/>
      <c r="EBR45" s="16"/>
      <c r="EBS45" s="16"/>
      <c r="EBT45" s="16"/>
      <c r="EBU45" s="16"/>
      <c r="EBV45" s="16"/>
      <c r="EBW45" s="16"/>
      <c r="EBX45" s="16"/>
      <c r="EBY45" s="16"/>
      <c r="EBZ45" s="16"/>
      <c r="ECA45" s="16"/>
      <c r="ECB45" s="16"/>
      <c r="ECC45" s="16"/>
      <c r="ECD45" s="16"/>
      <c r="ECE45" s="16"/>
      <c r="ECF45" s="16"/>
      <c r="ECG45" s="16"/>
      <c r="ECH45" s="16"/>
      <c r="ECI45" s="16"/>
      <c r="ECJ45" s="16"/>
      <c r="ECK45" s="16"/>
      <c r="ECL45" s="16"/>
      <c r="ECM45" s="16"/>
      <c r="ECN45" s="16"/>
      <c r="ECO45" s="16"/>
      <c r="ECP45" s="16"/>
      <c r="ECQ45" s="16"/>
      <c r="ECR45" s="16"/>
      <c r="ECS45" s="16"/>
      <c r="ECT45" s="16"/>
      <c r="ECU45" s="16"/>
      <c r="ECV45" s="16"/>
      <c r="ECW45" s="16"/>
      <c r="ECX45" s="16"/>
      <c r="ECY45" s="16"/>
      <c r="ECZ45" s="16"/>
      <c r="EDA45" s="16"/>
      <c r="EDB45" s="16"/>
      <c r="EDC45" s="16"/>
      <c r="EDD45" s="16"/>
      <c r="EDE45" s="16"/>
      <c r="EDF45" s="16"/>
      <c r="EDG45" s="16"/>
      <c r="EDH45" s="16"/>
      <c r="EDI45" s="16"/>
      <c r="EDJ45" s="16"/>
      <c r="EDK45" s="16"/>
      <c r="EDL45" s="16"/>
      <c r="EDM45" s="16"/>
      <c r="EDN45" s="16"/>
      <c r="EDO45" s="16"/>
      <c r="EDP45" s="16"/>
      <c r="EDQ45" s="16"/>
      <c r="EDR45" s="16"/>
      <c r="EDS45" s="16"/>
      <c r="EDT45" s="16"/>
      <c r="EDU45" s="16"/>
      <c r="EDV45" s="16"/>
      <c r="EDW45" s="16"/>
      <c r="EDX45" s="16"/>
      <c r="EDY45" s="16"/>
      <c r="EDZ45" s="16"/>
      <c r="EEA45" s="16"/>
      <c r="EEB45" s="16"/>
      <c r="EEC45" s="16"/>
      <c r="EED45" s="16"/>
      <c r="EEE45" s="16"/>
      <c r="EEF45" s="16"/>
      <c r="EEG45" s="16"/>
      <c r="EEH45" s="16"/>
      <c r="EEI45" s="16"/>
      <c r="EEJ45" s="16"/>
      <c r="EEK45" s="16"/>
      <c r="EEL45" s="16"/>
      <c r="EEM45" s="16"/>
      <c r="EEN45" s="16"/>
      <c r="EEO45" s="16"/>
      <c r="EEP45" s="16"/>
      <c r="EEQ45" s="16"/>
      <c r="EER45" s="16"/>
      <c r="EES45" s="16"/>
      <c r="EET45" s="16"/>
      <c r="EEU45" s="16"/>
      <c r="EEV45" s="16"/>
      <c r="EEW45" s="16"/>
      <c r="EEX45" s="16"/>
      <c r="EEY45" s="16"/>
      <c r="EEZ45" s="16"/>
      <c r="EFA45" s="16"/>
      <c r="EFB45" s="16"/>
      <c r="EFC45" s="16"/>
      <c r="EFD45" s="16"/>
      <c r="EFE45" s="16"/>
      <c r="EFF45" s="16"/>
      <c r="EFG45" s="16"/>
      <c r="EFH45" s="16"/>
      <c r="EFI45" s="16"/>
      <c r="EFJ45" s="16"/>
      <c r="EFK45" s="16"/>
      <c r="EFL45" s="16"/>
      <c r="EFM45" s="16"/>
      <c r="EFN45" s="16"/>
      <c r="EFO45" s="16"/>
      <c r="EFP45" s="16"/>
      <c r="EFQ45" s="16"/>
      <c r="EFR45" s="16"/>
      <c r="EFS45" s="16"/>
      <c r="EFT45" s="16"/>
      <c r="EFU45" s="16"/>
      <c r="EFV45" s="16"/>
      <c r="EFW45" s="16"/>
      <c r="EFX45" s="16"/>
      <c r="EFY45" s="16"/>
      <c r="EFZ45" s="16"/>
      <c r="EGA45" s="16"/>
      <c r="EGB45" s="16"/>
      <c r="EGC45" s="16"/>
      <c r="EGD45" s="16"/>
      <c r="EGE45" s="16"/>
      <c r="EGF45" s="16"/>
      <c r="EGG45" s="16"/>
      <c r="EGH45" s="16"/>
      <c r="EGI45" s="16"/>
      <c r="EGJ45" s="16"/>
      <c r="EGK45" s="16"/>
      <c r="EGL45" s="16"/>
      <c r="EGM45" s="16"/>
      <c r="EGN45" s="16"/>
      <c r="EGO45" s="16"/>
      <c r="EGP45" s="16"/>
      <c r="EGQ45" s="16"/>
      <c r="EGR45" s="16"/>
      <c r="EGS45" s="16"/>
      <c r="EGT45" s="16"/>
      <c r="EGU45" s="16"/>
      <c r="EGV45" s="16"/>
      <c r="EGW45" s="16"/>
      <c r="EGX45" s="16"/>
      <c r="EGY45" s="16"/>
      <c r="EGZ45" s="16"/>
      <c r="EHA45" s="16"/>
      <c r="EHB45" s="16"/>
      <c r="EHC45" s="16"/>
      <c r="EHD45" s="16"/>
      <c r="EHE45" s="16"/>
      <c r="EHF45" s="16"/>
      <c r="EHG45" s="16"/>
      <c r="EHH45" s="16"/>
      <c r="EHI45" s="16"/>
      <c r="EHJ45" s="16"/>
      <c r="EHK45" s="16"/>
      <c r="EHL45" s="16"/>
      <c r="EHM45" s="16"/>
      <c r="EHN45" s="16"/>
      <c r="EHO45" s="16"/>
      <c r="EHP45" s="16"/>
      <c r="EHQ45" s="16"/>
      <c r="EHR45" s="16"/>
      <c r="EHS45" s="16"/>
      <c r="EHT45" s="16"/>
      <c r="EHU45" s="16"/>
      <c r="EHV45" s="16"/>
      <c r="EHW45" s="16"/>
      <c r="EHX45" s="16"/>
      <c r="EHY45" s="16"/>
      <c r="EHZ45" s="16"/>
      <c r="EIA45" s="16"/>
      <c r="EIB45" s="16"/>
      <c r="EIC45" s="16"/>
      <c r="EID45" s="16"/>
      <c r="EIE45" s="16"/>
      <c r="EIF45" s="16"/>
      <c r="EIG45" s="16"/>
      <c r="EIH45" s="16"/>
      <c r="EII45" s="16"/>
      <c r="EIJ45" s="16"/>
      <c r="EIK45" s="16"/>
      <c r="EIL45" s="16"/>
      <c r="EIM45" s="16"/>
      <c r="EIN45" s="16"/>
      <c r="EIO45" s="16"/>
      <c r="EIP45" s="16"/>
      <c r="EIQ45" s="16"/>
      <c r="EIR45" s="16"/>
      <c r="EIS45" s="16"/>
      <c r="EIT45" s="16"/>
      <c r="EIU45" s="16"/>
      <c r="EIV45" s="16"/>
      <c r="EIW45" s="16"/>
      <c r="EIX45" s="16"/>
      <c r="EIY45" s="16"/>
      <c r="EIZ45" s="16"/>
      <c r="EJA45" s="16"/>
      <c r="EJB45" s="16"/>
      <c r="EJC45" s="16"/>
      <c r="EJD45" s="16"/>
      <c r="EJE45" s="16"/>
      <c r="EJF45" s="16"/>
      <c r="EJG45" s="16"/>
      <c r="EJH45" s="16"/>
      <c r="EJI45" s="16"/>
      <c r="EJJ45" s="16"/>
      <c r="EJK45" s="16"/>
      <c r="EJL45" s="16"/>
      <c r="EJM45" s="16"/>
      <c r="EJN45" s="16"/>
      <c r="EJO45" s="16"/>
      <c r="EJP45" s="16"/>
      <c r="EJQ45" s="16"/>
      <c r="EJR45" s="16"/>
      <c r="EJS45" s="16"/>
      <c r="EJT45" s="16"/>
      <c r="EJU45" s="16"/>
      <c r="EJV45" s="16"/>
      <c r="EJW45" s="16"/>
      <c r="EJX45" s="16"/>
      <c r="EJY45" s="16"/>
      <c r="EJZ45" s="16"/>
      <c r="EKA45" s="16"/>
      <c r="EKB45" s="16"/>
      <c r="EKC45" s="16"/>
      <c r="EKD45" s="16"/>
      <c r="EKE45" s="16"/>
      <c r="EKF45" s="16"/>
      <c r="EKG45" s="16"/>
      <c r="EKH45" s="16"/>
      <c r="EKI45" s="16"/>
      <c r="EKJ45" s="16"/>
      <c r="EKK45" s="16"/>
      <c r="EKL45" s="16"/>
      <c r="EKM45" s="16"/>
      <c r="EKN45" s="16"/>
      <c r="EKO45" s="16"/>
      <c r="EKP45" s="16"/>
      <c r="EKQ45" s="16"/>
      <c r="EKR45" s="16"/>
      <c r="EKS45" s="16"/>
      <c r="EKT45" s="16"/>
      <c r="EKU45" s="16"/>
      <c r="EKV45" s="16"/>
      <c r="EKW45" s="16"/>
      <c r="EKX45" s="16"/>
      <c r="EKY45" s="16"/>
      <c r="EKZ45" s="16"/>
      <c r="ELA45" s="16"/>
      <c r="ELB45" s="16"/>
      <c r="ELC45" s="16"/>
      <c r="ELD45" s="16"/>
      <c r="ELE45" s="16"/>
      <c r="ELF45" s="16"/>
      <c r="ELG45" s="16"/>
      <c r="ELH45" s="16"/>
      <c r="ELI45" s="16"/>
      <c r="ELJ45" s="16"/>
      <c r="ELK45" s="16"/>
      <c r="ELL45" s="16"/>
      <c r="ELM45" s="16"/>
      <c r="ELN45" s="16"/>
      <c r="ELO45" s="16"/>
      <c r="ELP45" s="16"/>
      <c r="ELQ45" s="16"/>
      <c r="ELR45" s="16"/>
      <c r="ELS45" s="16"/>
      <c r="ELT45" s="16"/>
      <c r="ELU45" s="16"/>
      <c r="ELV45" s="16"/>
      <c r="ELW45" s="16"/>
      <c r="ELX45" s="16"/>
      <c r="ELY45" s="16"/>
      <c r="ELZ45" s="16"/>
      <c r="EMA45" s="16"/>
      <c r="EMB45" s="16"/>
      <c r="EMC45" s="16"/>
      <c r="EMD45" s="16"/>
      <c r="EME45" s="16"/>
      <c r="EMF45" s="16"/>
      <c r="EMG45" s="16"/>
      <c r="EMH45" s="16"/>
      <c r="EMI45" s="16"/>
      <c r="EMJ45" s="16"/>
      <c r="EMK45" s="16"/>
      <c r="EML45" s="16"/>
      <c r="EMM45" s="16"/>
      <c r="EMN45" s="16"/>
      <c r="EMO45" s="16"/>
      <c r="EMP45" s="16"/>
      <c r="EMQ45" s="16"/>
      <c r="EMR45" s="16"/>
      <c r="EMS45" s="16"/>
      <c r="EMT45" s="16"/>
      <c r="EMU45" s="16"/>
      <c r="EMV45" s="16"/>
      <c r="EMW45" s="16"/>
      <c r="EMX45" s="16"/>
      <c r="EMY45" s="16"/>
      <c r="EMZ45" s="16"/>
      <c r="ENA45" s="16"/>
      <c r="ENB45" s="16"/>
      <c r="ENC45" s="16"/>
      <c r="END45" s="16"/>
      <c r="ENE45" s="16"/>
      <c r="ENF45" s="16"/>
      <c r="ENG45" s="16"/>
      <c r="ENH45" s="16"/>
      <c r="ENI45" s="16"/>
      <c r="ENJ45" s="16"/>
      <c r="ENK45" s="16"/>
      <c r="ENL45" s="16"/>
      <c r="ENM45" s="16"/>
      <c r="ENN45" s="16"/>
      <c r="ENO45" s="16"/>
      <c r="ENP45" s="16"/>
      <c r="ENQ45" s="16"/>
      <c r="ENR45" s="16"/>
      <c r="ENS45" s="16"/>
      <c r="ENT45" s="16"/>
      <c r="ENU45" s="16"/>
      <c r="ENV45" s="16"/>
      <c r="ENW45" s="16"/>
      <c r="ENX45" s="16"/>
      <c r="ENY45" s="16"/>
      <c r="ENZ45" s="16"/>
      <c r="EOA45" s="16"/>
      <c r="EOB45" s="16"/>
      <c r="EOC45" s="16"/>
      <c r="EOD45" s="16"/>
      <c r="EOE45" s="16"/>
      <c r="EOF45" s="16"/>
      <c r="EOG45" s="16"/>
      <c r="EOH45" s="16"/>
      <c r="EOI45" s="16"/>
      <c r="EOJ45" s="16"/>
      <c r="EOK45" s="16"/>
      <c r="EOL45" s="16"/>
      <c r="EOM45" s="16"/>
      <c r="EON45" s="16"/>
      <c r="EOO45" s="16"/>
      <c r="EOP45" s="16"/>
      <c r="EOQ45" s="16"/>
      <c r="EOR45" s="16"/>
      <c r="EOS45" s="16"/>
      <c r="EOT45" s="16"/>
      <c r="EOU45" s="16"/>
      <c r="EOV45" s="16"/>
      <c r="EOW45" s="16"/>
      <c r="EOX45" s="16"/>
      <c r="EOY45" s="16"/>
      <c r="EOZ45" s="16"/>
      <c r="EPA45" s="16"/>
      <c r="EPB45" s="16"/>
      <c r="EPC45" s="16"/>
      <c r="EPD45" s="16"/>
      <c r="EPE45" s="16"/>
      <c r="EPF45" s="16"/>
      <c r="EPG45" s="16"/>
      <c r="EPH45" s="16"/>
      <c r="EPI45" s="16"/>
      <c r="EPJ45" s="16"/>
      <c r="EPK45" s="16"/>
      <c r="EPL45" s="16"/>
      <c r="EPM45" s="16"/>
      <c r="EPN45" s="16"/>
      <c r="EPO45" s="16"/>
      <c r="EPP45" s="16"/>
      <c r="EPQ45" s="16"/>
      <c r="EPR45" s="16"/>
      <c r="EPS45" s="16"/>
      <c r="EPT45" s="16"/>
      <c r="EPU45" s="16"/>
      <c r="EPV45" s="16"/>
      <c r="EPW45" s="16"/>
      <c r="EPX45" s="16"/>
      <c r="EPY45" s="16"/>
      <c r="EPZ45" s="16"/>
      <c r="EQA45" s="16"/>
      <c r="EQB45" s="16"/>
      <c r="EQC45" s="16"/>
      <c r="EQD45" s="16"/>
      <c r="EQE45" s="16"/>
      <c r="EQF45" s="16"/>
      <c r="EQG45" s="16"/>
      <c r="EQH45" s="16"/>
      <c r="EQI45" s="16"/>
      <c r="EQJ45" s="16"/>
      <c r="EQK45" s="16"/>
      <c r="EQL45" s="16"/>
      <c r="EQM45" s="16"/>
      <c r="EQN45" s="16"/>
      <c r="EQO45" s="16"/>
      <c r="EQP45" s="16"/>
      <c r="EQQ45" s="16"/>
      <c r="EQR45" s="16"/>
      <c r="EQS45" s="16"/>
      <c r="EQT45" s="16"/>
      <c r="EQU45" s="16"/>
      <c r="EQV45" s="16"/>
      <c r="EQW45" s="16"/>
      <c r="EQX45" s="16"/>
      <c r="EQY45" s="16"/>
      <c r="EQZ45" s="16"/>
      <c r="ERA45" s="16"/>
      <c r="ERB45" s="16"/>
      <c r="ERC45" s="16"/>
      <c r="ERD45" s="16"/>
      <c r="ERE45" s="16"/>
      <c r="ERF45" s="16"/>
      <c r="ERG45" s="16"/>
      <c r="ERH45" s="16"/>
      <c r="ERI45" s="16"/>
      <c r="ERJ45" s="16"/>
      <c r="ERK45" s="16"/>
      <c r="ERL45" s="16"/>
      <c r="ERM45" s="16"/>
      <c r="ERN45" s="16"/>
      <c r="ERO45" s="16"/>
      <c r="ERP45" s="16"/>
      <c r="ERQ45" s="16"/>
      <c r="ERR45" s="16"/>
      <c r="ERS45" s="16"/>
      <c r="ERT45" s="16"/>
      <c r="ERU45" s="16"/>
      <c r="ERV45" s="16"/>
      <c r="ERW45" s="16"/>
      <c r="ERX45" s="16"/>
      <c r="ERY45" s="16"/>
      <c r="ERZ45" s="16"/>
      <c r="ESA45" s="16"/>
      <c r="ESB45" s="16"/>
      <c r="ESC45" s="16"/>
      <c r="ESD45" s="16"/>
      <c r="ESE45" s="16"/>
      <c r="ESF45" s="16"/>
      <c r="ESG45" s="16"/>
      <c r="ESH45" s="16"/>
      <c r="ESI45" s="16"/>
      <c r="ESJ45" s="16"/>
      <c r="ESK45" s="16"/>
      <c r="ESL45" s="16"/>
      <c r="ESM45" s="16"/>
      <c r="ESN45" s="16"/>
      <c r="ESO45" s="16"/>
      <c r="ESP45" s="16"/>
      <c r="ESQ45" s="16"/>
      <c r="ESR45" s="16"/>
      <c r="ESS45" s="16"/>
      <c r="EST45" s="16"/>
      <c r="ESU45" s="16"/>
      <c r="ESV45" s="16"/>
      <c r="ESW45" s="16"/>
      <c r="ESX45" s="16"/>
      <c r="ESY45" s="16"/>
      <c r="ESZ45" s="16"/>
      <c r="ETA45" s="16"/>
      <c r="ETB45" s="16"/>
      <c r="ETC45" s="16"/>
      <c r="ETD45" s="16"/>
      <c r="ETE45" s="16"/>
      <c r="ETF45" s="16"/>
      <c r="ETG45" s="16"/>
      <c r="ETH45" s="16"/>
      <c r="ETI45" s="16"/>
      <c r="ETJ45" s="16"/>
      <c r="ETK45" s="16"/>
      <c r="ETL45" s="16"/>
      <c r="ETM45" s="16"/>
      <c r="ETN45" s="16"/>
      <c r="ETO45" s="16"/>
      <c r="ETP45" s="16"/>
      <c r="ETQ45" s="16"/>
      <c r="ETR45" s="16"/>
      <c r="ETS45" s="16"/>
      <c r="ETT45" s="16"/>
      <c r="ETU45" s="16"/>
      <c r="ETV45" s="16"/>
      <c r="ETW45" s="16"/>
      <c r="ETX45" s="16"/>
      <c r="ETY45" s="16"/>
      <c r="ETZ45" s="16"/>
      <c r="EUA45" s="16"/>
      <c r="EUB45" s="16"/>
      <c r="EUC45" s="16"/>
      <c r="EUD45" s="16"/>
      <c r="EUE45" s="16"/>
      <c r="EUF45" s="16"/>
      <c r="EUG45" s="16"/>
      <c r="EUH45" s="16"/>
      <c r="EUI45" s="16"/>
      <c r="EUJ45" s="16"/>
      <c r="EUK45" s="16"/>
      <c r="EUL45" s="16"/>
      <c r="EUM45" s="16"/>
      <c r="EUN45" s="16"/>
      <c r="EUO45" s="16"/>
      <c r="EUP45" s="16"/>
      <c r="EUQ45" s="16"/>
      <c r="EUR45" s="16"/>
      <c r="EUS45" s="16"/>
      <c r="EUT45" s="16"/>
      <c r="EUU45" s="16"/>
      <c r="EUV45" s="16"/>
      <c r="EUW45" s="16"/>
      <c r="EUX45" s="16"/>
      <c r="EUY45" s="16"/>
      <c r="EUZ45" s="16"/>
      <c r="EVA45" s="16"/>
      <c r="EVB45" s="16"/>
      <c r="EVC45" s="16"/>
      <c r="EVD45" s="16"/>
      <c r="EVE45" s="16"/>
      <c r="EVF45" s="16"/>
      <c r="EVG45" s="16"/>
      <c r="EVH45" s="16"/>
      <c r="EVI45" s="16"/>
      <c r="EVJ45" s="16"/>
      <c r="EVK45" s="16"/>
      <c r="EVL45" s="16"/>
      <c r="EVM45" s="16"/>
      <c r="EVN45" s="16"/>
      <c r="EVO45" s="16"/>
      <c r="EVP45" s="16"/>
      <c r="EVQ45" s="16"/>
      <c r="EVR45" s="16"/>
      <c r="EVS45" s="16"/>
      <c r="EVT45" s="16"/>
      <c r="EVU45" s="16"/>
      <c r="EVV45" s="16"/>
      <c r="EVW45" s="16"/>
      <c r="EVX45" s="16"/>
      <c r="EVY45" s="16"/>
      <c r="EVZ45" s="16"/>
      <c r="EWA45" s="16"/>
      <c r="EWB45" s="16"/>
      <c r="EWC45" s="16"/>
      <c r="EWD45" s="16"/>
      <c r="EWE45" s="16"/>
      <c r="EWF45" s="16"/>
      <c r="EWG45" s="16"/>
      <c r="EWH45" s="16"/>
      <c r="EWI45" s="16"/>
      <c r="EWJ45" s="16"/>
      <c r="EWK45" s="16"/>
      <c r="EWL45" s="16"/>
      <c r="EWM45" s="16"/>
      <c r="EWN45" s="16"/>
      <c r="EWO45" s="16"/>
      <c r="EWP45" s="16"/>
      <c r="EWQ45" s="16"/>
      <c r="EWR45" s="16"/>
      <c r="EWS45" s="16"/>
      <c r="EWT45" s="16"/>
      <c r="EWU45" s="16"/>
      <c r="EWV45" s="16"/>
      <c r="EWW45" s="16"/>
      <c r="EWX45" s="16"/>
      <c r="EWY45" s="16"/>
      <c r="EWZ45" s="16"/>
      <c r="EXA45" s="16"/>
      <c r="EXB45" s="16"/>
      <c r="EXC45" s="16"/>
      <c r="EXD45" s="16"/>
      <c r="EXE45" s="16"/>
      <c r="EXF45" s="16"/>
      <c r="EXG45" s="16"/>
      <c r="EXH45" s="16"/>
      <c r="EXI45" s="16"/>
      <c r="EXJ45" s="16"/>
      <c r="EXK45" s="16"/>
      <c r="EXL45" s="16"/>
      <c r="EXM45" s="16"/>
      <c r="EXN45" s="16"/>
      <c r="EXO45" s="16"/>
      <c r="EXP45" s="16"/>
      <c r="EXQ45" s="16"/>
      <c r="EXR45" s="16"/>
      <c r="EXS45" s="16"/>
      <c r="EXT45" s="16"/>
      <c r="EXU45" s="16"/>
      <c r="EXV45" s="16"/>
      <c r="EXW45" s="16"/>
      <c r="EXX45" s="16"/>
      <c r="EXY45" s="16"/>
      <c r="EXZ45" s="16"/>
      <c r="EYA45" s="16"/>
      <c r="EYB45" s="16"/>
      <c r="EYC45" s="16"/>
      <c r="EYD45" s="16"/>
      <c r="EYE45" s="16"/>
      <c r="EYF45" s="16"/>
      <c r="EYG45" s="16"/>
      <c r="EYH45" s="16"/>
      <c r="EYI45" s="16"/>
      <c r="EYJ45" s="16"/>
      <c r="EYK45" s="16"/>
      <c r="EYL45" s="16"/>
      <c r="EYM45" s="16"/>
      <c r="EYN45" s="16"/>
      <c r="EYO45" s="16"/>
      <c r="EYP45" s="16"/>
      <c r="EYQ45" s="16"/>
      <c r="EYR45" s="16"/>
      <c r="EYS45" s="16"/>
      <c r="EYT45" s="16"/>
      <c r="EYU45" s="16"/>
      <c r="EYV45" s="16"/>
      <c r="EYW45" s="16"/>
      <c r="EYX45" s="16"/>
      <c r="EYY45" s="16"/>
      <c r="EYZ45" s="16"/>
      <c r="EZA45" s="16"/>
      <c r="EZB45" s="16"/>
      <c r="EZC45" s="16"/>
      <c r="EZD45" s="16"/>
      <c r="EZE45" s="16"/>
      <c r="EZF45" s="16"/>
      <c r="EZG45" s="16"/>
      <c r="EZH45" s="16"/>
      <c r="EZI45" s="16"/>
      <c r="EZJ45" s="16"/>
      <c r="EZK45" s="16"/>
      <c r="EZL45" s="16"/>
      <c r="EZM45" s="16"/>
      <c r="EZN45" s="16"/>
      <c r="EZO45" s="16"/>
      <c r="EZP45" s="16"/>
      <c r="EZQ45" s="16"/>
      <c r="EZR45" s="16"/>
      <c r="EZS45" s="16"/>
      <c r="EZT45" s="16"/>
      <c r="EZU45" s="16"/>
      <c r="EZV45" s="16"/>
      <c r="EZW45" s="16"/>
      <c r="EZX45" s="16"/>
      <c r="EZY45" s="16"/>
      <c r="EZZ45" s="16"/>
      <c r="FAA45" s="16"/>
      <c r="FAB45" s="16"/>
      <c r="FAC45" s="16"/>
      <c r="FAD45" s="16"/>
      <c r="FAE45" s="16"/>
      <c r="FAF45" s="16"/>
      <c r="FAG45" s="16"/>
      <c r="FAH45" s="16"/>
      <c r="FAI45" s="16"/>
      <c r="FAJ45" s="16"/>
      <c r="FAK45" s="16"/>
      <c r="FAL45" s="16"/>
      <c r="FAM45" s="16"/>
      <c r="FAN45" s="16"/>
      <c r="FAO45" s="16"/>
      <c r="FAP45" s="16"/>
      <c r="FAQ45" s="16"/>
      <c r="FAR45" s="16"/>
      <c r="FAS45" s="16"/>
      <c r="FAT45" s="16"/>
      <c r="FAU45" s="16"/>
      <c r="FAV45" s="16"/>
      <c r="FAW45" s="16"/>
      <c r="FAX45" s="16"/>
      <c r="FAY45" s="16"/>
      <c r="FAZ45" s="16"/>
      <c r="FBA45" s="16"/>
      <c r="FBB45" s="16"/>
      <c r="FBC45" s="16"/>
      <c r="FBD45" s="16"/>
      <c r="FBE45" s="16"/>
      <c r="FBF45" s="16"/>
      <c r="FBG45" s="16"/>
      <c r="FBH45" s="16"/>
      <c r="FBI45" s="16"/>
      <c r="FBJ45" s="16"/>
      <c r="FBK45" s="16"/>
      <c r="FBL45" s="16"/>
      <c r="FBM45" s="16"/>
      <c r="FBN45" s="16"/>
      <c r="FBO45" s="16"/>
      <c r="FBP45" s="16"/>
      <c r="FBQ45" s="16"/>
      <c r="FBR45" s="16"/>
      <c r="FBS45" s="16"/>
      <c r="FBT45" s="16"/>
      <c r="FBU45" s="16"/>
      <c r="FBV45" s="16"/>
      <c r="FBW45" s="16"/>
      <c r="FBX45" s="16"/>
      <c r="FBY45" s="16"/>
      <c r="FBZ45" s="16"/>
      <c r="FCA45" s="16"/>
      <c r="FCB45" s="16"/>
      <c r="FCC45" s="16"/>
      <c r="FCD45" s="16"/>
      <c r="FCE45" s="16"/>
      <c r="FCF45" s="16"/>
      <c r="FCG45" s="16"/>
      <c r="FCH45" s="16"/>
      <c r="FCI45" s="16"/>
      <c r="FCJ45" s="16"/>
      <c r="FCK45" s="16"/>
      <c r="FCL45" s="16"/>
      <c r="FCM45" s="16"/>
      <c r="FCN45" s="16"/>
      <c r="FCO45" s="16"/>
      <c r="FCP45" s="16"/>
      <c r="FCQ45" s="16"/>
      <c r="FCR45" s="16"/>
      <c r="FCS45" s="16"/>
      <c r="FCT45" s="16"/>
      <c r="FCU45" s="16"/>
      <c r="FCV45" s="16"/>
      <c r="FCW45" s="16"/>
      <c r="FCX45" s="16"/>
      <c r="FCY45" s="16"/>
      <c r="FCZ45" s="16"/>
      <c r="FDA45" s="16"/>
      <c r="FDB45" s="16"/>
      <c r="FDC45" s="16"/>
      <c r="FDD45" s="16"/>
      <c r="FDE45" s="16"/>
      <c r="FDF45" s="16"/>
      <c r="FDG45" s="16"/>
      <c r="FDH45" s="16"/>
      <c r="FDI45" s="16"/>
      <c r="FDJ45" s="16"/>
      <c r="FDK45" s="16"/>
      <c r="FDL45" s="16"/>
      <c r="FDM45" s="16"/>
      <c r="FDN45" s="16"/>
      <c r="FDO45" s="16"/>
      <c r="FDP45" s="16"/>
      <c r="FDQ45" s="16"/>
      <c r="FDR45" s="16"/>
      <c r="FDS45" s="16"/>
      <c r="FDT45" s="16"/>
      <c r="FDU45" s="16"/>
      <c r="FDV45" s="16"/>
      <c r="FDW45" s="16"/>
      <c r="FDX45" s="16"/>
      <c r="FDY45" s="16"/>
      <c r="FDZ45" s="16"/>
      <c r="FEA45" s="16"/>
      <c r="FEB45" s="16"/>
      <c r="FEC45" s="16"/>
      <c r="FED45" s="16"/>
      <c r="FEE45" s="16"/>
      <c r="FEF45" s="16"/>
      <c r="FEG45" s="16"/>
      <c r="FEH45" s="16"/>
      <c r="FEI45" s="16"/>
      <c r="FEJ45" s="16"/>
      <c r="FEK45" s="16"/>
      <c r="FEL45" s="16"/>
      <c r="FEM45" s="16"/>
      <c r="FEN45" s="16"/>
      <c r="FEO45" s="16"/>
      <c r="FEP45" s="16"/>
      <c r="FEQ45" s="16"/>
      <c r="FER45" s="16"/>
      <c r="FES45" s="16"/>
      <c r="FET45" s="16"/>
      <c r="FEU45" s="16"/>
      <c r="FEV45" s="16"/>
      <c r="FEW45" s="16"/>
      <c r="FEX45" s="16"/>
      <c r="FEY45" s="16"/>
      <c r="FEZ45" s="16"/>
      <c r="FFA45" s="16"/>
      <c r="FFB45" s="16"/>
      <c r="FFC45" s="16"/>
      <c r="FFD45" s="16"/>
      <c r="FFE45" s="16"/>
      <c r="FFF45" s="16"/>
      <c r="FFG45" s="16"/>
      <c r="FFH45" s="16"/>
      <c r="FFI45" s="16"/>
      <c r="FFJ45" s="16"/>
      <c r="FFK45" s="16"/>
      <c r="FFL45" s="16"/>
      <c r="FFM45" s="16"/>
      <c r="FFN45" s="16"/>
      <c r="FFO45" s="16"/>
      <c r="FFP45" s="16"/>
      <c r="FFQ45" s="16"/>
      <c r="FFR45" s="16"/>
      <c r="FFS45" s="16"/>
      <c r="FFT45" s="16"/>
      <c r="FFU45" s="16"/>
      <c r="FFV45" s="16"/>
      <c r="FFW45" s="16"/>
      <c r="FFX45" s="16"/>
      <c r="FFY45" s="16"/>
      <c r="FFZ45" s="16"/>
      <c r="FGA45" s="16"/>
      <c r="FGB45" s="16"/>
      <c r="FGC45" s="16"/>
      <c r="FGD45" s="16"/>
      <c r="FGE45" s="16"/>
      <c r="FGF45" s="16"/>
      <c r="FGG45" s="16"/>
      <c r="FGH45" s="16"/>
      <c r="FGI45" s="16"/>
      <c r="FGJ45" s="16"/>
      <c r="FGK45" s="16"/>
      <c r="FGL45" s="16"/>
      <c r="FGM45" s="16"/>
      <c r="FGN45" s="16"/>
      <c r="FGO45" s="16"/>
      <c r="FGP45" s="16"/>
      <c r="FGQ45" s="16"/>
      <c r="FGR45" s="16"/>
      <c r="FGS45" s="16"/>
      <c r="FGT45" s="16"/>
      <c r="FGU45" s="16"/>
      <c r="FGV45" s="16"/>
      <c r="FGW45" s="16"/>
      <c r="FGX45" s="16"/>
      <c r="FGY45" s="16"/>
      <c r="FGZ45" s="16"/>
      <c r="FHA45" s="16"/>
      <c r="FHB45" s="16"/>
      <c r="FHC45" s="16"/>
      <c r="FHD45" s="16"/>
      <c r="FHE45" s="16"/>
      <c r="FHF45" s="16"/>
      <c r="FHG45" s="16"/>
      <c r="FHH45" s="16"/>
      <c r="FHI45" s="16"/>
      <c r="FHJ45" s="16"/>
      <c r="FHK45" s="16"/>
      <c r="FHL45" s="16"/>
      <c r="FHM45" s="16"/>
      <c r="FHN45" s="16"/>
      <c r="FHO45" s="16"/>
      <c r="FHP45" s="16"/>
      <c r="FHQ45" s="16"/>
      <c r="FHR45" s="16"/>
      <c r="FHS45" s="16"/>
      <c r="FHT45" s="16"/>
      <c r="FHU45" s="16"/>
      <c r="FHV45" s="16"/>
      <c r="FHW45" s="16"/>
      <c r="FHX45" s="16"/>
      <c r="FHY45" s="16"/>
      <c r="FHZ45" s="16"/>
      <c r="FIA45" s="16"/>
      <c r="FIB45" s="16"/>
      <c r="FIC45" s="16"/>
      <c r="FID45" s="16"/>
      <c r="FIE45" s="16"/>
      <c r="FIF45" s="16"/>
      <c r="FIG45" s="16"/>
      <c r="FIH45" s="16"/>
      <c r="FII45" s="16"/>
      <c r="FIJ45" s="16"/>
      <c r="FIK45" s="16"/>
      <c r="FIL45" s="16"/>
      <c r="FIM45" s="16"/>
      <c r="FIN45" s="16"/>
      <c r="FIO45" s="16"/>
      <c r="FIP45" s="16"/>
      <c r="FIQ45" s="16"/>
      <c r="FIR45" s="16"/>
      <c r="FIS45" s="16"/>
      <c r="FIT45" s="16"/>
      <c r="FIU45" s="16"/>
      <c r="FIV45" s="16"/>
      <c r="FIW45" s="16"/>
      <c r="FIX45" s="16"/>
      <c r="FIY45" s="16"/>
      <c r="FIZ45" s="16"/>
      <c r="FJA45" s="16"/>
      <c r="FJB45" s="16"/>
      <c r="FJC45" s="16"/>
      <c r="FJD45" s="16"/>
      <c r="FJE45" s="16"/>
      <c r="FJF45" s="16"/>
      <c r="FJG45" s="16"/>
      <c r="FJH45" s="16"/>
      <c r="FJI45" s="16"/>
      <c r="FJJ45" s="16"/>
      <c r="FJK45" s="16"/>
      <c r="FJL45" s="16"/>
      <c r="FJM45" s="16"/>
      <c r="FJN45" s="16"/>
      <c r="FJO45" s="16"/>
      <c r="FJP45" s="16"/>
      <c r="FJQ45" s="16"/>
      <c r="FJR45" s="16"/>
      <c r="FJS45" s="16"/>
      <c r="FJT45" s="16"/>
      <c r="FJU45" s="16"/>
      <c r="FJV45" s="16"/>
      <c r="FJW45" s="16"/>
      <c r="FJX45" s="16"/>
      <c r="FJY45" s="16"/>
      <c r="FJZ45" s="16"/>
      <c r="FKA45" s="16"/>
      <c r="FKB45" s="16"/>
      <c r="FKC45" s="16"/>
      <c r="FKD45" s="16"/>
      <c r="FKE45" s="16"/>
      <c r="FKF45" s="16"/>
      <c r="FKG45" s="16"/>
      <c r="FKH45" s="16"/>
      <c r="FKI45" s="16"/>
      <c r="FKJ45" s="16"/>
      <c r="FKK45" s="16"/>
      <c r="FKL45" s="16"/>
      <c r="FKM45" s="16"/>
      <c r="FKN45" s="16"/>
      <c r="FKO45" s="16"/>
      <c r="FKP45" s="16"/>
      <c r="FKQ45" s="16"/>
      <c r="FKR45" s="16"/>
      <c r="FKS45" s="16"/>
      <c r="FKT45" s="16"/>
      <c r="FKU45" s="16"/>
      <c r="FKV45" s="16"/>
      <c r="FKW45" s="16"/>
      <c r="FKX45" s="16"/>
      <c r="FKY45" s="16"/>
      <c r="FKZ45" s="16"/>
      <c r="FLA45" s="16"/>
      <c r="FLB45" s="16"/>
      <c r="FLC45" s="16"/>
      <c r="FLD45" s="16"/>
      <c r="FLE45" s="16"/>
      <c r="FLF45" s="16"/>
      <c r="FLG45" s="16"/>
      <c r="FLH45" s="16"/>
      <c r="FLI45" s="16"/>
      <c r="FLJ45" s="16"/>
      <c r="FLK45" s="16"/>
      <c r="FLL45" s="16"/>
      <c r="FLM45" s="16"/>
      <c r="FLN45" s="16"/>
      <c r="FLO45" s="16"/>
      <c r="FLP45" s="16"/>
      <c r="FLQ45" s="16"/>
      <c r="FLR45" s="16"/>
      <c r="FLS45" s="16"/>
      <c r="FLT45" s="16"/>
      <c r="FLU45" s="16"/>
      <c r="FLV45" s="16"/>
      <c r="FLW45" s="16"/>
      <c r="FLX45" s="16"/>
      <c r="FLY45" s="16"/>
      <c r="FLZ45" s="16"/>
      <c r="FMA45" s="16"/>
      <c r="FMB45" s="16"/>
      <c r="FMC45" s="16"/>
      <c r="FMD45" s="16"/>
      <c r="FME45" s="16"/>
      <c r="FMF45" s="16"/>
      <c r="FMG45" s="16"/>
      <c r="FMH45" s="16"/>
      <c r="FMI45" s="16"/>
      <c r="FMJ45" s="16"/>
      <c r="FMK45" s="16"/>
      <c r="FML45" s="16"/>
      <c r="FMM45" s="16"/>
      <c r="FMN45" s="16"/>
      <c r="FMO45" s="16"/>
      <c r="FMP45" s="16"/>
      <c r="FMQ45" s="16"/>
      <c r="FMR45" s="16"/>
      <c r="FMS45" s="16"/>
      <c r="FMT45" s="16"/>
      <c r="FMU45" s="16"/>
      <c r="FMV45" s="16"/>
      <c r="FMW45" s="16"/>
      <c r="FMX45" s="16"/>
      <c r="FMY45" s="16"/>
      <c r="FMZ45" s="16"/>
      <c r="FNA45" s="16"/>
      <c r="FNB45" s="16"/>
      <c r="FNC45" s="16"/>
      <c r="FND45" s="16"/>
      <c r="FNE45" s="16"/>
      <c r="FNF45" s="16"/>
      <c r="FNG45" s="16"/>
      <c r="FNH45" s="16"/>
      <c r="FNI45" s="16"/>
      <c r="FNJ45" s="16"/>
      <c r="FNK45" s="16"/>
      <c r="FNL45" s="16"/>
      <c r="FNM45" s="16"/>
      <c r="FNN45" s="16"/>
      <c r="FNO45" s="16"/>
      <c r="FNP45" s="16"/>
      <c r="FNQ45" s="16"/>
      <c r="FNR45" s="16"/>
      <c r="FNS45" s="16"/>
      <c r="FNT45" s="16"/>
      <c r="FNU45" s="16"/>
      <c r="FNV45" s="16"/>
      <c r="FNW45" s="16"/>
      <c r="FNX45" s="16"/>
      <c r="FNY45" s="16"/>
      <c r="FNZ45" s="16"/>
      <c r="FOA45" s="16"/>
      <c r="FOB45" s="16"/>
      <c r="FOC45" s="16"/>
      <c r="FOD45" s="16"/>
      <c r="FOE45" s="16"/>
      <c r="FOF45" s="16"/>
      <c r="FOG45" s="16"/>
      <c r="FOH45" s="16"/>
      <c r="FOI45" s="16"/>
      <c r="FOJ45" s="16"/>
      <c r="FOK45" s="16"/>
      <c r="FOL45" s="16"/>
      <c r="FOM45" s="16"/>
      <c r="FON45" s="16"/>
      <c r="FOO45" s="16"/>
      <c r="FOP45" s="16"/>
      <c r="FOQ45" s="16"/>
      <c r="FOR45" s="16"/>
      <c r="FOS45" s="16"/>
      <c r="FOT45" s="16"/>
      <c r="FOU45" s="16"/>
      <c r="FOV45" s="16"/>
      <c r="FOW45" s="16"/>
      <c r="FOX45" s="16"/>
      <c r="FOY45" s="16"/>
      <c r="FOZ45" s="16"/>
      <c r="FPA45" s="16"/>
      <c r="FPB45" s="16"/>
      <c r="FPC45" s="16"/>
      <c r="FPD45" s="16"/>
      <c r="FPE45" s="16"/>
      <c r="FPF45" s="16"/>
      <c r="FPG45" s="16"/>
      <c r="FPH45" s="16"/>
      <c r="FPI45" s="16"/>
      <c r="FPJ45" s="16"/>
      <c r="FPK45" s="16"/>
      <c r="FPL45" s="16"/>
      <c r="FPM45" s="16"/>
      <c r="FPN45" s="16"/>
      <c r="FPO45" s="16"/>
      <c r="FPP45" s="16"/>
      <c r="FPQ45" s="16"/>
      <c r="FPR45" s="16"/>
      <c r="FPS45" s="16"/>
      <c r="FPT45" s="16"/>
      <c r="FPU45" s="16"/>
      <c r="FPV45" s="16"/>
      <c r="FPW45" s="16"/>
      <c r="FPX45" s="16"/>
      <c r="FPY45" s="16"/>
      <c r="FPZ45" s="16"/>
      <c r="FQA45" s="16"/>
      <c r="FQB45" s="16"/>
      <c r="FQC45" s="16"/>
      <c r="FQD45" s="16"/>
      <c r="FQE45" s="16"/>
      <c r="FQF45" s="16"/>
      <c r="FQG45" s="16"/>
      <c r="FQH45" s="16"/>
      <c r="FQI45" s="16"/>
      <c r="FQJ45" s="16"/>
      <c r="FQK45" s="16"/>
      <c r="FQL45" s="16"/>
      <c r="FQM45" s="16"/>
      <c r="FQN45" s="16"/>
      <c r="FQO45" s="16"/>
      <c r="FQP45" s="16"/>
      <c r="FQQ45" s="16"/>
      <c r="FQR45" s="16"/>
      <c r="FQS45" s="16"/>
      <c r="FQT45" s="16"/>
      <c r="FQU45" s="16"/>
      <c r="FQV45" s="16"/>
      <c r="FQW45" s="16"/>
      <c r="FQX45" s="16"/>
      <c r="FQY45" s="16"/>
      <c r="FQZ45" s="16"/>
      <c r="FRA45" s="16"/>
      <c r="FRB45" s="16"/>
      <c r="FRC45" s="16"/>
      <c r="FRD45" s="16"/>
      <c r="FRE45" s="16"/>
      <c r="FRF45" s="16"/>
      <c r="FRG45" s="16"/>
      <c r="FRH45" s="16"/>
      <c r="FRI45" s="16"/>
      <c r="FRJ45" s="16"/>
      <c r="FRK45" s="16"/>
      <c r="FRL45" s="16"/>
      <c r="FRM45" s="16"/>
      <c r="FRN45" s="16"/>
      <c r="FRO45" s="16"/>
      <c r="FRP45" s="16"/>
      <c r="FRQ45" s="16"/>
      <c r="FRR45" s="16"/>
      <c r="FRS45" s="16"/>
      <c r="FRT45" s="16"/>
      <c r="FRU45" s="16"/>
      <c r="FRV45" s="16"/>
      <c r="FRW45" s="16"/>
      <c r="FRX45" s="16"/>
      <c r="FRY45" s="16"/>
      <c r="FRZ45" s="16"/>
      <c r="FSA45" s="16"/>
      <c r="FSB45" s="16"/>
      <c r="FSC45" s="16"/>
      <c r="FSD45" s="16"/>
      <c r="FSE45" s="16"/>
      <c r="FSF45" s="16"/>
      <c r="FSG45" s="16"/>
      <c r="FSH45" s="16"/>
      <c r="FSI45" s="16"/>
      <c r="FSJ45" s="16"/>
      <c r="FSK45" s="16"/>
      <c r="FSL45" s="16"/>
      <c r="FSM45" s="16"/>
      <c r="FSN45" s="16"/>
      <c r="FSO45" s="16"/>
      <c r="FSP45" s="16"/>
      <c r="FSQ45" s="16"/>
      <c r="FSR45" s="16"/>
      <c r="FSS45" s="16"/>
      <c r="FST45" s="16"/>
      <c r="FSU45" s="16"/>
      <c r="FSV45" s="16"/>
      <c r="FSW45" s="16"/>
      <c r="FSX45" s="16"/>
      <c r="FSY45" s="16"/>
      <c r="FSZ45" s="16"/>
      <c r="FTA45" s="16"/>
      <c r="FTB45" s="16"/>
      <c r="FTC45" s="16"/>
      <c r="FTD45" s="16"/>
      <c r="FTE45" s="16"/>
      <c r="FTF45" s="16"/>
      <c r="FTG45" s="16"/>
      <c r="FTH45" s="16"/>
      <c r="FTI45" s="16"/>
      <c r="FTJ45" s="16"/>
      <c r="FTK45" s="16"/>
      <c r="FTL45" s="16"/>
      <c r="FTM45" s="16"/>
      <c r="FTN45" s="16"/>
      <c r="FTO45" s="16"/>
      <c r="FTP45" s="16"/>
      <c r="FTQ45" s="16"/>
      <c r="FTR45" s="16"/>
      <c r="FTS45" s="16"/>
      <c r="FTT45" s="16"/>
      <c r="FTU45" s="16"/>
      <c r="FTV45" s="16"/>
      <c r="FTW45" s="16"/>
      <c r="FTX45" s="16"/>
      <c r="FTY45" s="16"/>
      <c r="FTZ45" s="16"/>
      <c r="FUA45" s="16"/>
      <c r="FUB45" s="16"/>
      <c r="FUC45" s="16"/>
      <c r="FUD45" s="16"/>
      <c r="FUE45" s="16"/>
      <c r="FUF45" s="16"/>
      <c r="FUG45" s="16"/>
      <c r="FUH45" s="16"/>
      <c r="FUI45" s="16"/>
      <c r="FUJ45" s="16"/>
      <c r="FUK45" s="16"/>
      <c r="FUL45" s="16"/>
      <c r="FUM45" s="16"/>
      <c r="FUN45" s="16"/>
      <c r="FUO45" s="16"/>
      <c r="FUP45" s="16"/>
      <c r="FUQ45" s="16"/>
      <c r="FUR45" s="16"/>
      <c r="FUS45" s="16"/>
      <c r="FUT45" s="16"/>
      <c r="FUU45" s="16"/>
      <c r="FUV45" s="16"/>
      <c r="FUW45" s="16"/>
      <c r="FUX45" s="16"/>
      <c r="FUY45" s="16"/>
      <c r="FUZ45" s="16"/>
      <c r="FVA45" s="16"/>
      <c r="FVB45" s="16"/>
      <c r="FVC45" s="16"/>
      <c r="FVD45" s="16"/>
      <c r="FVE45" s="16"/>
      <c r="FVF45" s="16"/>
      <c r="FVG45" s="16"/>
      <c r="FVH45" s="16"/>
      <c r="FVI45" s="16"/>
      <c r="FVJ45" s="16"/>
      <c r="FVK45" s="16"/>
      <c r="FVL45" s="16"/>
      <c r="FVM45" s="16"/>
      <c r="FVN45" s="16"/>
      <c r="FVO45" s="16"/>
      <c r="FVP45" s="16"/>
      <c r="FVQ45" s="16"/>
      <c r="FVR45" s="16"/>
      <c r="FVS45" s="16"/>
      <c r="FVT45" s="16"/>
      <c r="FVU45" s="16"/>
      <c r="FVV45" s="16"/>
      <c r="FVW45" s="16"/>
      <c r="FVX45" s="16"/>
      <c r="FVY45" s="16"/>
      <c r="FVZ45" s="16"/>
      <c r="FWA45" s="16"/>
      <c r="FWB45" s="16"/>
      <c r="FWC45" s="16"/>
      <c r="FWD45" s="16"/>
      <c r="FWE45" s="16"/>
      <c r="FWF45" s="16"/>
      <c r="FWG45" s="16"/>
      <c r="FWH45" s="16"/>
      <c r="FWI45" s="16"/>
      <c r="FWJ45" s="16"/>
      <c r="FWK45" s="16"/>
      <c r="FWL45" s="16"/>
      <c r="FWM45" s="16"/>
      <c r="FWN45" s="16"/>
      <c r="FWO45" s="16"/>
      <c r="FWP45" s="16"/>
      <c r="FWQ45" s="16"/>
      <c r="FWR45" s="16"/>
      <c r="FWS45" s="16"/>
      <c r="FWT45" s="16"/>
      <c r="FWU45" s="16"/>
      <c r="FWV45" s="16"/>
      <c r="FWW45" s="16"/>
      <c r="FWX45" s="16"/>
      <c r="FWY45" s="16"/>
      <c r="FWZ45" s="16"/>
      <c r="FXA45" s="16"/>
      <c r="FXB45" s="16"/>
      <c r="FXC45" s="16"/>
      <c r="FXD45" s="16"/>
      <c r="FXE45" s="16"/>
      <c r="FXF45" s="16"/>
      <c r="FXG45" s="16"/>
      <c r="FXH45" s="16"/>
      <c r="FXI45" s="16"/>
      <c r="FXJ45" s="16"/>
      <c r="FXK45" s="16"/>
      <c r="FXL45" s="16"/>
      <c r="FXM45" s="16"/>
      <c r="FXN45" s="16"/>
      <c r="FXO45" s="16"/>
      <c r="FXP45" s="16"/>
      <c r="FXQ45" s="16"/>
      <c r="FXR45" s="16"/>
      <c r="FXS45" s="16"/>
      <c r="FXT45" s="16"/>
      <c r="FXU45" s="16"/>
      <c r="FXV45" s="16"/>
      <c r="FXW45" s="16"/>
      <c r="FXX45" s="16"/>
      <c r="FXY45" s="16"/>
      <c r="FXZ45" s="16"/>
      <c r="FYA45" s="16"/>
      <c r="FYB45" s="16"/>
      <c r="FYC45" s="16"/>
      <c r="FYD45" s="16"/>
      <c r="FYE45" s="16"/>
      <c r="FYF45" s="16"/>
      <c r="FYG45" s="16"/>
      <c r="FYH45" s="16"/>
      <c r="FYI45" s="16"/>
      <c r="FYJ45" s="16"/>
      <c r="FYK45" s="16"/>
      <c r="FYL45" s="16"/>
      <c r="FYM45" s="16"/>
      <c r="FYN45" s="16"/>
      <c r="FYO45" s="16"/>
      <c r="FYP45" s="16"/>
      <c r="FYQ45" s="16"/>
      <c r="FYR45" s="16"/>
      <c r="FYS45" s="16"/>
      <c r="FYT45" s="16"/>
      <c r="FYU45" s="16"/>
      <c r="FYV45" s="16"/>
      <c r="FYW45" s="16"/>
      <c r="FYX45" s="16"/>
      <c r="FYY45" s="16"/>
      <c r="FYZ45" s="16"/>
      <c r="FZA45" s="16"/>
      <c r="FZB45" s="16"/>
      <c r="FZC45" s="16"/>
      <c r="FZD45" s="16"/>
      <c r="FZE45" s="16"/>
      <c r="FZF45" s="16"/>
      <c r="FZG45" s="16"/>
      <c r="FZH45" s="16"/>
      <c r="FZI45" s="16"/>
      <c r="FZJ45" s="16"/>
      <c r="FZK45" s="16"/>
      <c r="FZL45" s="16"/>
      <c r="FZM45" s="16"/>
      <c r="FZN45" s="16"/>
      <c r="FZO45" s="16"/>
      <c r="FZP45" s="16"/>
      <c r="FZQ45" s="16"/>
      <c r="FZR45" s="16"/>
      <c r="FZS45" s="16"/>
      <c r="FZT45" s="16"/>
      <c r="FZU45" s="16"/>
      <c r="FZV45" s="16"/>
      <c r="FZW45" s="16"/>
      <c r="FZX45" s="16"/>
      <c r="FZY45" s="16"/>
      <c r="FZZ45" s="16"/>
      <c r="GAA45" s="16"/>
      <c r="GAB45" s="16"/>
      <c r="GAC45" s="16"/>
      <c r="GAD45" s="16"/>
      <c r="GAE45" s="16"/>
      <c r="GAF45" s="16"/>
      <c r="GAG45" s="16"/>
      <c r="GAH45" s="16"/>
      <c r="GAI45" s="16"/>
      <c r="GAJ45" s="16"/>
      <c r="GAK45" s="16"/>
      <c r="GAL45" s="16"/>
      <c r="GAM45" s="16"/>
      <c r="GAN45" s="16"/>
      <c r="GAO45" s="16"/>
      <c r="GAP45" s="16"/>
      <c r="GAQ45" s="16"/>
      <c r="GAR45" s="16"/>
      <c r="GAS45" s="16"/>
      <c r="GAT45" s="16"/>
      <c r="GAU45" s="16"/>
      <c r="GAV45" s="16"/>
      <c r="GAW45" s="16"/>
      <c r="GAX45" s="16"/>
      <c r="GAY45" s="16"/>
      <c r="GAZ45" s="16"/>
      <c r="GBA45" s="16"/>
      <c r="GBB45" s="16"/>
      <c r="GBC45" s="16"/>
      <c r="GBD45" s="16"/>
      <c r="GBE45" s="16"/>
      <c r="GBF45" s="16"/>
      <c r="GBG45" s="16"/>
      <c r="GBH45" s="16"/>
      <c r="GBI45" s="16"/>
      <c r="GBJ45" s="16"/>
      <c r="GBK45" s="16"/>
      <c r="GBL45" s="16"/>
      <c r="GBM45" s="16"/>
      <c r="GBN45" s="16"/>
      <c r="GBO45" s="16"/>
      <c r="GBP45" s="16"/>
      <c r="GBQ45" s="16"/>
      <c r="GBR45" s="16"/>
      <c r="GBS45" s="16"/>
      <c r="GBT45" s="16"/>
      <c r="GBU45" s="16"/>
      <c r="GBV45" s="16"/>
      <c r="GBW45" s="16"/>
      <c r="GBX45" s="16"/>
      <c r="GBY45" s="16"/>
      <c r="GBZ45" s="16"/>
      <c r="GCA45" s="16"/>
      <c r="GCB45" s="16"/>
      <c r="GCC45" s="16"/>
      <c r="GCD45" s="16"/>
      <c r="GCE45" s="16"/>
      <c r="GCF45" s="16"/>
      <c r="GCG45" s="16"/>
      <c r="GCH45" s="16"/>
      <c r="GCI45" s="16"/>
      <c r="GCJ45" s="16"/>
      <c r="GCK45" s="16"/>
      <c r="GCL45" s="16"/>
      <c r="GCM45" s="16"/>
      <c r="GCN45" s="16"/>
      <c r="GCO45" s="16"/>
      <c r="GCP45" s="16"/>
      <c r="GCQ45" s="16"/>
      <c r="GCR45" s="16"/>
      <c r="GCS45" s="16"/>
      <c r="GCT45" s="16"/>
      <c r="GCU45" s="16"/>
      <c r="GCV45" s="16"/>
      <c r="GCW45" s="16"/>
      <c r="GCX45" s="16"/>
      <c r="GCY45" s="16"/>
      <c r="GCZ45" s="16"/>
      <c r="GDA45" s="16"/>
      <c r="GDB45" s="16"/>
      <c r="GDC45" s="16"/>
      <c r="GDD45" s="16"/>
      <c r="GDE45" s="16"/>
      <c r="GDF45" s="16"/>
      <c r="GDG45" s="16"/>
      <c r="GDH45" s="16"/>
      <c r="GDI45" s="16"/>
      <c r="GDJ45" s="16"/>
      <c r="GDK45" s="16"/>
      <c r="GDL45" s="16"/>
      <c r="GDM45" s="16"/>
      <c r="GDN45" s="16"/>
      <c r="GDO45" s="16"/>
      <c r="GDP45" s="16"/>
      <c r="GDQ45" s="16"/>
      <c r="GDR45" s="16"/>
      <c r="GDS45" s="16"/>
      <c r="GDT45" s="16"/>
      <c r="GDU45" s="16"/>
      <c r="GDV45" s="16"/>
      <c r="GDW45" s="16"/>
      <c r="GDX45" s="16"/>
      <c r="GDY45" s="16"/>
      <c r="GDZ45" s="16"/>
      <c r="GEA45" s="16"/>
      <c r="GEB45" s="16"/>
      <c r="GEC45" s="16"/>
      <c r="GED45" s="16"/>
      <c r="GEE45" s="16"/>
      <c r="GEF45" s="16"/>
      <c r="GEG45" s="16"/>
      <c r="GEH45" s="16"/>
      <c r="GEI45" s="16"/>
      <c r="GEJ45" s="16"/>
      <c r="GEK45" s="16"/>
      <c r="GEL45" s="16"/>
      <c r="GEM45" s="16"/>
      <c r="GEN45" s="16"/>
      <c r="GEO45" s="16"/>
      <c r="GEP45" s="16"/>
      <c r="GEQ45" s="16"/>
      <c r="GER45" s="16"/>
      <c r="GES45" s="16"/>
      <c r="GET45" s="16"/>
      <c r="GEU45" s="16"/>
      <c r="GEV45" s="16"/>
      <c r="GEW45" s="16"/>
      <c r="GEX45" s="16"/>
      <c r="GEY45" s="16"/>
      <c r="GEZ45" s="16"/>
      <c r="GFA45" s="16"/>
      <c r="GFB45" s="16"/>
      <c r="GFC45" s="16"/>
      <c r="GFD45" s="16"/>
      <c r="GFE45" s="16"/>
      <c r="GFF45" s="16"/>
      <c r="GFG45" s="16"/>
      <c r="GFH45" s="16"/>
      <c r="GFI45" s="16"/>
      <c r="GFJ45" s="16"/>
      <c r="GFK45" s="16"/>
      <c r="GFL45" s="16"/>
      <c r="GFM45" s="16"/>
      <c r="GFN45" s="16"/>
      <c r="GFO45" s="16"/>
      <c r="GFP45" s="16"/>
      <c r="GFQ45" s="16"/>
      <c r="GFR45" s="16"/>
      <c r="GFS45" s="16"/>
      <c r="GFT45" s="16"/>
      <c r="GFU45" s="16"/>
      <c r="GFV45" s="16"/>
      <c r="GFW45" s="16"/>
      <c r="GFX45" s="16"/>
      <c r="GFY45" s="16"/>
      <c r="GFZ45" s="16"/>
      <c r="GGA45" s="16"/>
      <c r="GGB45" s="16"/>
      <c r="GGC45" s="16"/>
      <c r="GGD45" s="16"/>
      <c r="GGE45" s="16"/>
      <c r="GGF45" s="16"/>
      <c r="GGG45" s="16"/>
      <c r="GGH45" s="16"/>
      <c r="GGI45" s="16"/>
      <c r="GGJ45" s="16"/>
      <c r="GGK45" s="16"/>
      <c r="GGL45" s="16"/>
      <c r="GGM45" s="16"/>
      <c r="GGN45" s="16"/>
      <c r="GGO45" s="16"/>
      <c r="GGP45" s="16"/>
      <c r="GGQ45" s="16"/>
      <c r="GGR45" s="16"/>
      <c r="GGS45" s="16"/>
      <c r="GGT45" s="16"/>
      <c r="GGU45" s="16"/>
      <c r="GGV45" s="16"/>
      <c r="GGW45" s="16"/>
      <c r="GGX45" s="16"/>
      <c r="GGY45" s="16"/>
      <c r="GGZ45" s="16"/>
      <c r="GHA45" s="16"/>
      <c r="GHB45" s="16"/>
      <c r="GHC45" s="16"/>
      <c r="GHD45" s="16"/>
      <c r="GHE45" s="16"/>
      <c r="GHF45" s="16"/>
      <c r="GHG45" s="16"/>
      <c r="GHH45" s="16"/>
      <c r="GHI45" s="16"/>
      <c r="GHJ45" s="16"/>
      <c r="GHK45" s="16"/>
      <c r="GHL45" s="16"/>
      <c r="GHM45" s="16"/>
      <c r="GHN45" s="16"/>
      <c r="GHO45" s="16"/>
      <c r="GHP45" s="16"/>
      <c r="GHQ45" s="16"/>
      <c r="GHR45" s="16"/>
      <c r="GHS45" s="16"/>
      <c r="GHT45" s="16"/>
      <c r="GHU45" s="16"/>
      <c r="GHV45" s="16"/>
      <c r="GHW45" s="16"/>
      <c r="GHX45" s="16"/>
      <c r="GHY45" s="16"/>
      <c r="GHZ45" s="16"/>
      <c r="GIA45" s="16"/>
      <c r="GIB45" s="16"/>
      <c r="GIC45" s="16"/>
      <c r="GID45" s="16"/>
      <c r="GIE45" s="16"/>
      <c r="GIF45" s="16"/>
      <c r="GIG45" s="16"/>
      <c r="GIH45" s="16"/>
      <c r="GII45" s="16"/>
      <c r="GIJ45" s="16"/>
      <c r="GIK45" s="16"/>
      <c r="GIL45" s="16"/>
      <c r="GIM45" s="16"/>
      <c r="GIN45" s="16"/>
      <c r="GIO45" s="16"/>
      <c r="GIP45" s="16"/>
      <c r="GIQ45" s="16"/>
      <c r="GIR45" s="16"/>
      <c r="GIS45" s="16"/>
      <c r="GIT45" s="16"/>
      <c r="GIU45" s="16"/>
      <c r="GIV45" s="16"/>
      <c r="GIW45" s="16"/>
      <c r="GIX45" s="16"/>
      <c r="GIY45" s="16"/>
      <c r="GIZ45" s="16"/>
      <c r="GJA45" s="16"/>
      <c r="GJB45" s="16"/>
      <c r="GJC45" s="16"/>
      <c r="GJD45" s="16"/>
      <c r="GJE45" s="16"/>
      <c r="GJF45" s="16"/>
      <c r="GJG45" s="16"/>
      <c r="GJH45" s="16"/>
      <c r="GJI45" s="16"/>
      <c r="GJJ45" s="16"/>
      <c r="GJK45" s="16"/>
      <c r="GJL45" s="16"/>
      <c r="GJM45" s="16"/>
      <c r="GJN45" s="16"/>
      <c r="GJO45" s="16"/>
      <c r="GJP45" s="16"/>
      <c r="GJQ45" s="16"/>
      <c r="GJR45" s="16"/>
      <c r="GJS45" s="16"/>
      <c r="GJT45" s="16"/>
      <c r="GJU45" s="16"/>
      <c r="GJV45" s="16"/>
      <c r="GJW45" s="16"/>
      <c r="GJX45" s="16"/>
      <c r="GJY45" s="16"/>
      <c r="GJZ45" s="16"/>
      <c r="GKA45" s="16"/>
      <c r="GKB45" s="16"/>
      <c r="GKC45" s="16"/>
      <c r="GKD45" s="16"/>
      <c r="GKE45" s="16"/>
      <c r="GKF45" s="16"/>
      <c r="GKG45" s="16"/>
      <c r="GKH45" s="16"/>
      <c r="GKI45" s="16"/>
      <c r="GKJ45" s="16"/>
      <c r="GKK45" s="16"/>
      <c r="GKL45" s="16"/>
      <c r="GKM45" s="16"/>
      <c r="GKN45" s="16"/>
      <c r="GKO45" s="16"/>
      <c r="GKP45" s="16"/>
      <c r="GKQ45" s="16"/>
      <c r="GKR45" s="16"/>
      <c r="GKS45" s="16"/>
      <c r="GKT45" s="16"/>
      <c r="GKU45" s="16"/>
      <c r="GKV45" s="16"/>
      <c r="GKW45" s="16"/>
      <c r="GKX45" s="16"/>
      <c r="GKY45" s="16"/>
      <c r="GKZ45" s="16"/>
      <c r="GLA45" s="16"/>
      <c r="GLB45" s="16"/>
      <c r="GLC45" s="16"/>
      <c r="GLD45" s="16"/>
      <c r="GLE45" s="16"/>
      <c r="GLF45" s="16"/>
      <c r="GLG45" s="16"/>
      <c r="GLH45" s="16"/>
      <c r="GLI45" s="16"/>
      <c r="GLJ45" s="16"/>
      <c r="GLK45" s="16"/>
      <c r="GLL45" s="16"/>
      <c r="GLM45" s="16"/>
      <c r="GLN45" s="16"/>
      <c r="GLO45" s="16"/>
      <c r="GLP45" s="16"/>
      <c r="GLQ45" s="16"/>
      <c r="GLR45" s="16"/>
      <c r="GLS45" s="16"/>
      <c r="GLT45" s="16"/>
      <c r="GLU45" s="16"/>
      <c r="GLV45" s="16"/>
      <c r="GLW45" s="16"/>
      <c r="GLX45" s="16"/>
      <c r="GLY45" s="16"/>
      <c r="GLZ45" s="16"/>
      <c r="GMA45" s="16"/>
      <c r="GMB45" s="16"/>
      <c r="GMC45" s="16"/>
      <c r="GMD45" s="16"/>
      <c r="GME45" s="16"/>
      <c r="GMF45" s="16"/>
      <c r="GMG45" s="16"/>
      <c r="GMH45" s="16"/>
      <c r="GMI45" s="16"/>
      <c r="GMJ45" s="16"/>
      <c r="GMK45" s="16"/>
      <c r="GML45" s="16"/>
      <c r="GMM45" s="16"/>
      <c r="GMN45" s="16"/>
      <c r="GMO45" s="16"/>
      <c r="GMP45" s="16"/>
      <c r="GMQ45" s="16"/>
      <c r="GMR45" s="16"/>
      <c r="GMS45" s="16"/>
      <c r="GMT45" s="16"/>
      <c r="GMU45" s="16"/>
      <c r="GMV45" s="16"/>
      <c r="GMW45" s="16"/>
      <c r="GMX45" s="16"/>
      <c r="GMY45" s="16"/>
      <c r="GMZ45" s="16"/>
      <c r="GNA45" s="16"/>
      <c r="GNB45" s="16"/>
      <c r="GNC45" s="16"/>
      <c r="GND45" s="16"/>
      <c r="GNE45" s="16"/>
      <c r="GNF45" s="16"/>
      <c r="GNG45" s="16"/>
      <c r="GNH45" s="16"/>
      <c r="GNI45" s="16"/>
      <c r="GNJ45" s="16"/>
      <c r="GNK45" s="16"/>
      <c r="GNL45" s="16"/>
      <c r="GNM45" s="16"/>
      <c r="GNN45" s="16"/>
      <c r="GNO45" s="16"/>
      <c r="GNP45" s="16"/>
      <c r="GNQ45" s="16"/>
      <c r="GNR45" s="16"/>
      <c r="GNS45" s="16"/>
      <c r="GNT45" s="16"/>
      <c r="GNU45" s="16"/>
      <c r="GNV45" s="16"/>
      <c r="GNW45" s="16"/>
      <c r="GNX45" s="16"/>
      <c r="GNY45" s="16"/>
      <c r="GNZ45" s="16"/>
      <c r="GOA45" s="16"/>
      <c r="GOB45" s="16"/>
      <c r="GOC45" s="16"/>
      <c r="GOD45" s="16"/>
      <c r="GOE45" s="16"/>
      <c r="GOF45" s="16"/>
      <c r="GOG45" s="16"/>
      <c r="GOH45" s="16"/>
      <c r="GOI45" s="16"/>
      <c r="GOJ45" s="16"/>
      <c r="GOK45" s="16"/>
      <c r="GOL45" s="16"/>
      <c r="GOM45" s="16"/>
      <c r="GON45" s="16"/>
      <c r="GOO45" s="16"/>
      <c r="GOP45" s="16"/>
      <c r="GOQ45" s="16"/>
      <c r="GOR45" s="16"/>
      <c r="GOS45" s="16"/>
      <c r="GOT45" s="16"/>
      <c r="GOU45" s="16"/>
      <c r="GOV45" s="16"/>
      <c r="GOW45" s="16"/>
      <c r="GOX45" s="16"/>
      <c r="GOY45" s="16"/>
      <c r="GOZ45" s="16"/>
      <c r="GPA45" s="16"/>
      <c r="GPB45" s="16"/>
      <c r="GPC45" s="16"/>
      <c r="GPD45" s="16"/>
      <c r="GPE45" s="16"/>
      <c r="GPF45" s="16"/>
      <c r="GPG45" s="16"/>
      <c r="GPH45" s="16"/>
      <c r="GPI45" s="16"/>
      <c r="GPJ45" s="16"/>
      <c r="GPK45" s="16"/>
      <c r="GPL45" s="16"/>
      <c r="GPM45" s="16"/>
      <c r="GPN45" s="16"/>
      <c r="GPO45" s="16"/>
      <c r="GPP45" s="16"/>
      <c r="GPQ45" s="16"/>
      <c r="GPR45" s="16"/>
      <c r="GPS45" s="16"/>
      <c r="GPT45" s="16"/>
      <c r="GPU45" s="16"/>
      <c r="GPV45" s="16"/>
      <c r="GPW45" s="16"/>
      <c r="GPX45" s="16"/>
      <c r="GPY45" s="16"/>
      <c r="GPZ45" s="16"/>
      <c r="GQA45" s="16"/>
      <c r="GQB45" s="16"/>
      <c r="GQC45" s="16"/>
      <c r="GQD45" s="16"/>
      <c r="GQE45" s="16"/>
      <c r="GQF45" s="16"/>
      <c r="GQG45" s="16"/>
      <c r="GQH45" s="16"/>
      <c r="GQI45" s="16"/>
      <c r="GQJ45" s="16"/>
      <c r="GQK45" s="16"/>
      <c r="GQL45" s="16"/>
      <c r="GQM45" s="16"/>
      <c r="GQN45" s="16"/>
      <c r="GQO45" s="16"/>
      <c r="GQP45" s="16"/>
      <c r="GQQ45" s="16"/>
      <c r="GQR45" s="16"/>
      <c r="GQS45" s="16"/>
      <c r="GQT45" s="16"/>
      <c r="GQU45" s="16"/>
      <c r="GQV45" s="16"/>
      <c r="GQW45" s="16"/>
      <c r="GQX45" s="16"/>
      <c r="GQY45" s="16"/>
      <c r="GQZ45" s="16"/>
      <c r="GRA45" s="16"/>
      <c r="GRB45" s="16"/>
      <c r="GRC45" s="16"/>
      <c r="GRD45" s="16"/>
      <c r="GRE45" s="16"/>
      <c r="GRF45" s="16"/>
      <c r="GRG45" s="16"/>
      <c r="GRH45" s="16"/>
      <c r="GRI45" s="16"/>
      <c r="GRJ45" s="16"/>
      <c r="GRK45" s="16"/>
      <c r="GRL45" s="16"/>
      <c r="GRM45" s="16"/>
      <c r="GRN45" s="16"/>
      <c r="GRO45" s="16"/>
      <c r="GRP45" s="16"/>
      <c r="GRQ45" s="16"/>
      <c r="GRR45" s="16"/>
      <c r="GRS45" s="16"/>
      <c r="GRT45" s="16"/>
      <c r="GRU45" s="16"/>
      <c r="GRV45" s="16"/>
      <c r="GRW45" s="16"/>
      <c r="GRX45" s="16"/>
      <c r="GRY45" s="16"/>
      <c r="GRZ45" s="16"/>
      <c r="GSA45" s="16"/>
      <c r="GSB45" s="16"/>
      <c r="GSC45" s="16"/>
      <c r="GSD45" s="16"/>
      <c r="GSE45" s="16"/>
      <c r="GSF45" s="16"/>
      <c r="GSG45" s="16"/>
      <c r="GSH45" s="16"/>
      <c r="GSI45" s="16"/>
      <c r="GSJ45" s="16"/>
      <c r="GSK45" s="16"/>
      <c r="GSL45" s="16"/>
      <c r="GSM45" s="16"/>
      <c r="GSN45" s="16"/>
      <c r="GSO45" s="16"/>
      <c r="GSP45" s="16"/>
      <c r="GSQ45" s="16"/>
      <c r="GSR45" s="16"/>
      <c r="GSS45" s="16"/>
      <c r="GST45" s="16"/>
      <c r="GSU45" s="16"/>
      <c r="GSV45" s="16"/>
      <c r="GSW45" s="16"/>
      <c r="GSX45" s="16"/>
      <c r="GSY45" s="16"/>
      <c r="GSZ45" s="16"/>
      <c r="GTA45" s="16"/>
      <c r="GTB45" s="16"/>
      <c r="GTC45" s="16"/>
      <c r="GTD45" s="16"/>
      <c r="GTE45" s="16"/>
      <c r="GTF45" s="16"/>
      <c r="GTG45" s="16"/>
      <c r="GTH45" s="16"/>
      <c r="GTI45" s="16"/>
      <c r="GTJ45" s="16"/>
      <c r="GTK45" s="16"/>
      <c r="GTL45" s="16"/>
      <c r="GTM45" s="16"/>
      <c r="GTN45" s="16"/>
      <c r="GTO45" s="16"/>
      <c r="GTP45" s="16"/>
      <c r="GTQ45" s="16"/>
      <c r="GTR45" s="16"/>
      <c r="GTS45" s="16"/>
      <c r="GTT45" s="16"/>
      <c r="GTU45" s="16"/>
      <c r="GTV45" s="16"/>
      <c r="GTW45" s="16"/>
      <c r="GTX45" s="16"/>
      <c r="GTY45" s="16"/>
      <c r="GTZ45" s="16"/>
      <c r="GUA45" s="16"/>
      <c r="GUB45" s="16"/>
      <c r="GUC45" s="16"/>
      <c r="GUD45" s="16"/>
      <c r="GUE45" s="16"/>
      <c r="GUF45" s="16"/>
      <c r="GUG45" s="16"/>
      <c r="GUH45" s="16"/>
      <c r="GUI45" s="16"/>
      <c r="GUJ45" s="16"/>
      <c r="GUK45" s="16"/>
      <c r="GUL45" s="16"/>
      <c r="GUM45" s="16"/>
      <c r="GUN45" s="16"/>
      <c r="GUO45" s="16"/>
      <c r="GUP45" s="16"/>
      <c r="GUQ45" s="16"/>
      <c r="GUR45" s="16"/>
      <c r="GUS45" s="16"/>
      <c r="GUT45" s="16"/>
      <c r="GUU45" s="16"/>
      <c r="GUV45" s="16"/>
      <c r="GUW45" s="16"/>
      <c r="GUX45" s="16"/>
      <c r="GUY45" s="16"/>
      <c r="GUZ45" s="16"/>
      <c r="GVA45" s="16"/>
      <c r="GVB45" s="16"/>
      <c r="GVC45" s="16"/>
      <c r="GVD45" s="16"/>
      <c r="GVE45" s="16"/>
      <c r="GVF45" s="16"/>
      <c r="GVG45" s="16"/>
      <c r="GVH45" s="16"/>
      <c r="GVI45" s="16"/>
      <c r="GVJ45" s="16"/>
      <c r="GVK45" s="16"/>
      <c r="GVL45" s="16"/>
      <c r="GVM45" s="16"/>
      <c r="GVN45" s="16"/>
      <c r="GVO45" s="16"/>
      <c r="GVP45" s="16"/>
      <c r="GVQ45" s="16"/>
      <c r="GVR45" s="16"/>
      <c r="GVS45" s="16"/>
      <c r="GVT45" s="16"/>
      <c r="GVU45" s="16"/>
      <c r="GVV45" s="16"/>
      <c r="GVW45" s="16"/>
      <c r="GVX45" s="16"/>
      <c r="GVY45" s="16"/>
      <c r="GVZ45" s="16"/>
      <c r="GWA45" s="16"/>
      <c r="GWB45" s="16"/>
      <c r="GWC45" s="16"/>
      <c r="GWD45" s="16"/>
      <c r="GWE45" s="16"/>
      <c r="GWF45" s="16"/>
      <c r="GWG45" s="16"/>
      <c r="GWH45" s="16"/>
      <c r="GWI45" s="16"/>
      <c r="GWJ45" s="16"/>
      <c r="GWK45" s="16"/>
      <c r="GWL45" s="16"/>
      <c r="GWM45" s="16"/>
      <c r="GWN45" s="16"/>
      <c r="GWO45" s="16"/>
      <c r="GWP45" s="16"/>
      <c r="GWQ45" s="16"/>
      <c r="GWR45" s="16"/>
      <c r="GWS45" s="16"/>
      <c r="GWT45" s="16"/>
      <c r="GWU45" s="16"/>
      <c r="GWV45" s="16"/>
      <c r="GWW45" s="16"/>
      <c r="GWX45" s="16"/>
      <c r="GWY45" s="16"/>
      <c r="GWZ45" s="16"/>
      <c r="GXA45" s="16"/>
      <c r="GXB45" s="16"/>
      <c r="GXC45" s="16"/>
      <c r="GXD45" s="16"/>
      <c r="GXE45" s="16"/>
      <c r="GXF45" s="16"/>
      <c r="GXG45" s="16"/>
      <c r="GXH45" s="16"/>
      <c r="GXI45" s="16"/>
      <c r="GXJ45" s="16"/>
      <c r="GXK45" s="16"/>
      <c r="GXL45" s="16"/>
      <c r="GXM45" s="16"/>
      <c r="GXN45" s="16"/>
      <c r="GXO45" s="16"/>
      <c r="GXP45" s="16"/>
      <c r="GXQ45" s="16"/>
      <c r="GXR45" s="16"/>
      <c r="GXS45" s="16"/>
      <c r="GXT45" s="16"/>
      <c r="GXU45" s="16"/>
      <c r="GXV45" s="16"/>
      <c r="GXW45" s="16"/>
      <c r="GXX45" s="16"/>
      <c r="GXY45" s="16"/>
      <c r="GXZ45" s="16"/>
      <c r="GYA45" s="16"/>
      <c r="GYB45" s="16"/>
      <c r="GYC45" s="16"/>
      <c r="GYD45" s="16"/>
      <c r="GYE45" s="16"/>
      <c r="GYF45" s="16"/>
      <c r="GYG45" s="16"/>
      <c r="GYH45" s="16"/>
      <c r="GYI45" s="16"/>
      <c r="GYJ45" s="16"/>
      <c r="GYK45" s="16"/>
      <c r="GYL45" s="16"/>
      <c r="GYM45" s="16"/>
      <c r="GYN45" s="16"/>
      <c r="GYO45" s="16"/>
      <c r="GYP45" s="16"/>
      <c r="GYQ45" s="16"/>
      <c r="GYR45" s="16"/>
      <c r="GYS45" s="16"/>
      <c r="GYT45" s="16"/>
      <c r="GYU45" s="16"/>
      <c r="GYV45" s="16"/>
      <c r="GYW45" s="16"/>
      <c r="GYX45" s="16"/>
      <c r="GYY45" s="16"/>
      <c r="GYZ45" s="16"/>
      <c r="GZA45" s="16"/>
      <c r="GZB45" s="16"/>
      <c r="GZC45" s="16"/>
      <c r="GZD45" s="16"/>
      <c r="GZE45" s="16"/>
      <c r="GZF45" s="16"/>
      <c r="GZG45" s="16"/>
      <c r="GZH45" s="16"/>
      <c r="GZI45" s="16"/>
      <c r="GZJ45" s="16"/>
      <c r="GZK45" s="16"/>
      <c r="GZL45" s="16"/>
      <c r="GZM45" s="16"/>
      <c r="GZN45" s="16"/>
      <c r="GZO45" s="16"/>
      <c r="GZP45" s="16"/>
      <c r="GZQ45" s="16"/>
      <c r="GZR45" s="16"/>
      <c r="GZS45" s="16"/>
      <c r="GZT45" s="16"/>
      <c r="GZU45" s="16"/>
      <c r="GZV45" s="16"/>
      <c r="GZW45" s="16"/>
      <c r="GZX45" s="16"/>
      <c r="GZY45" s="16"/>
      <c r="GZZ45" s="16"/>
      <c r="HAA45" s="16"/>
      <c r="HAB45" s="16"/>
      <c r="HAC45" s="16"/>
      <c r="HAD45" s="16"/>
      <c r="HAE45" s="16"/>
      <c r="HAF45" s="16"/>
      <c r="HAG45" s="16"/>
      <c r="HAH45" s="16"/>
      <c r="HAI45" s="16"/>
      <c r="HAJ45" s="16"/>
      <c r="HAK45" s="16"/>
      <c r="HAL45" s="16"/>
      <c r="HAM45" s="16"/>
      <c r="HAN45" s="16"/>
      <c r="HAO45" s="16"/>
      <c r="HAP45" s="16"/>
      <c r="HAQ45" s="16"/>
      <c r="HAR45" s="16"/>
      <c r="HAS45" s="16"/>
      <c r="HAT45" s="16"/>
      <c r="HAU45" s="16"/>
      <c r="HAV45" s="16"/>
      <c r="HAW45" s="16"/>
      <c r="HAX45" s="16"/>
      <c r="HAY45" s="16"/>
      <c r="HAZ45" s="16"/>
      <c r="HBA45" s="16"/>
      <c r="HBB45" s="16"/>
      <c r="HBC45" s="16"/>
      <c r="HBD45" s="16"/>
      <c r="HBE45" s="16"/>
      <c r="HBF45" s="16"/>
      <c r="HBG45" s="16"/>
      <c r="HBH45" s="16"/>
      <c r="HBI45" s="16"/>
      <c r="HBJ45" s="16"/>
      <c r="HBK45" s="16"/>
      <c r="HBL45" s="16"/>
      <c r="HBM45" s="16"/>
      <c r="HBN45" s="16"/>
      <c r="HBO45" s="16"/>
      <c r="HBP45" s="16"/>
      <c r="HBQ45" s="16"/>
      <c r="HBR45" s="16"/>
      <c r="HBS45" s="16"/>
      <c r="HBT45" s="16"/>
      <c r="HBU45" s="16"/>
      <c r="HBV45" s="16"/>
      <c r="HBW45" s="16"/>
      <c r="HBX45" s="16"/>
      <c r="HBY45" s="16"/>
      <c r="HBZ45" s="16"/>
      <c r="HCA45" s="16"/>
      <c r="HCB45" s="16"/>
      <c r="HCC45" s="16"/>
      <c r="HCD45" s="16"/>
      <c r="HCE45" s="16"/>
      <c r="HCF45" s="16"/>
      <c r="HCG45" s="16"/>
      <c r="HCH45" s="16"/>
      <c r="HCI45" s="16"/>
      <c r="HCJ45" s="16"/>
      <c r="HCK45" s="16"/>
      <c r="HCL45" s="16"/>
      <c r="HCM45" s="16"/>
      <c r="HCN45" s="16"/>
      <c r="HCO45" s="16"/>
      <c r="HCP45" s="16"/>
      <c r="HCQ45" s="16"/>
      <c r="HCR45" s="16"/>
      <c r="HCS45" s="16"/>
      <c r="HCT45" s="16"/>
      <c r="HCU45" s="16"/>
      <c r="HCV45" s="16"/>
      <c r="HCW45" s="16"/>
      <c r="HCX45" s="16"/>
      <c r="HCY45" s="16"/>
      <c r="HCZ45" s="16"/>
      <c r="HDA45" s="16"/>
      <c r="HDB45" s="16"/>
      <c r="HDC45" s="16"/>
      <c r="HDD45" s="16"/>
      <c r="HDE45" s="16"/>
      <c r="HDF45" s="16"/>
      <c r="HDG45" s="16"/>
      <c r="HDH45" s="16"/>
      <c r="HDI45" s="16"/>
      <c r="HDJ45" s="16"/>
      <c r="HDK45" s="16"/>
      <c r="HDL45" s="16"/>
      <c r="HDM45" s="16"/>
      <c r="HDN45" s="16"/>
      <c r="HDO45" s="16"/>
      <c r="HDP45" s="16"/>
      <c r="HDQ45" s="16"/>
      <c r="HDR45" s="16"/>
      <c r="HDS45" s="16"/>
      <c r="HDT45" s="16"/>
      <c r="HDU45" s="16"/>
      <c r="HDV45" s="16"/>
      <c r="HDW45" s="16"/>
      <c r="HDX45" s="16"/>
      <c r="HDY45" s="16"/>
      <c r="HDZ45" s="16"/>
      <c r="HEA45" s="16"/>
      <c r="HEB45" s="16"/>
      <c r="HEC45" s="16"/>
      <c r="HED45" s="16"/>
      <c r="HEE45" s="16"/>
      <c r="HEF45" s="16"/>
      <c r="HEG45" s="16"/>
      <c r="HEH45" s="16"/>
      <c r="HEI45" s="16"/>
      <c r="HEJ45" s="16"/>
      <c r="HEK45" s="16"/>
      <c r="HEL45" s="16"/>
      <c r="HEM45" s="16"/>
      <c r="HEN45" s="16"/>
      <c r="HEO45" s="16"/>
      <c r="HEP45" s="16"/>
      <c r="HEQ45" s="16"/>
      <c r="HER45" s="16"/>
      <c r="HES45" s="16"/>
      <c r="HET45" s="16"/>
      <c r="HEU45" s="16"/>
      <c r="HEV45" s="16"/>
      <c r="HEW45" s="16"/>
      <c r="HEX45" s="16"/>
      <c r="HEY45" s="16"/>
      <c r="HEZ45" s="16"/>
      <c r="HFA45" s="16"/>
      <c r="HFB45" s="16"/>
      <c r="HFC45" s="16"/>
      <c r="HFD45" s="16"/>
      <c r="HFE45" s="16"/>
      <c r="HFF45" s="16"/>
      <c r="HFG45" s="16"/>
      <c r="HFH45" s="16"/>
      <c r="HFI45" s="16"/>
      <c r="HFJ45" s="16"/>
      <c r="HFK45" s="16"/>
      <c r="HFL45" s="16"/>
      <c r="HFM45" s="16"/>
      <c r="HFN45" s="16"/>
      <c r="HFO45" s="16"/>
      <c r="HFP45" s="16"/>
      <c r="HFQ45" s="16"/>
      <c r="HFR45" s="16"/>
      <c r="HFS45" s="16"/>
      <c r="HFT45" s="16"/>
      <c r="HFU45" s="16"/>
      <c r="HFV45" s="16"/>
      <c r="HFW45" s="16"/>
      <c r="HFX45" s="16"/>
      <c r="HFY45" s="16"/>
      <c r="HFZ45" s="16"/>
      <c r="HGA45" s="16"/>
      <c r="HGB45" s="16"/>
      <c r="HGC45" s="16"/>
      <c r="HGD45" s="16"/>
      <c r="HGE45" s="16"/>
      <c r="HGF45" s="16"/>
      <c r="HGG45" s="16"/>
      <c r="HGH45" s="16"/>
      <c r="HGI45" s="16"/>
      <c r="HGJ45" s="16"/>
      <c r="HGK45" s="16"/>
      <c r="HGL45" s="16"/>
      <c r="HGM45" s="16"/>
      <c r="HGN45" s="16"/>
      <c r="HGO45" s="16"/>
      <c r="HGP45" s="16"/>
      <c r="HGQ45" s="16"/>
      <c r="HGR45" s="16"/>
      <c r="HGS45" s="16"/>
      <c r="HGT45" s="16"/>
      <c r="HGU45" s="16"/>
      <c r="HGV45" s="16"/>
      <c r="HGW45" s="16"/>
      <c r="HGX45" s="16"/>
      <c r="HGY45" s="16"/>
      <c r="HGZ45" s="16"/>
      <c r="HHA45" s="16"/>
      <c r="HHB45" s="16"/>
      <c r="HHC45" s="16"/>
      <c r="HHD45" s="16"/>
      <c r="HHE45" s="16"/>
      <c r="HHF45" s="16"/>
      <c r="HHG45" s="16"/>
      <c r="HHH45" s="16"/>
      <c r="HHI45" s="16"/>
      <c r="HHJ45" s="16"/>
      <c r="HHK45" s="16"/>
      <c r="HHL45" s="16"/>
      <c r="HHM45" s="16"/>
      <c r="HHN45" s="16"/>
      <c r="HHO45" s="16"/>
      <c r="HHP45" s="16"/>
      <c r="HHQ45" s="16"/>
      <c r="HHR45" s="16"/>
      <c r="HHS45" s="16"/>
      <c r="HHT45" s="16"/>
      <c r="HHU45" s="16"/>
      <c r="HHV45" s="16"/>
      <c r="HHW45" s="16"/>
      <c r="HHX45" s="16"/>
      <c r="HHY45" s="16"/>
      <c r="HHZ45" s="16"/>
      <c r="HIA45" s="16"/>
      <c r="HIB45" s="16"/>
      <c r="HIC45" s="16"/>
      <c r="HID45" s="16"/>
      <c r="HIE45" s="16"/>
      <c r="HIF45" s="16"/>
      <c r="HIG45" s="16"/>
      <c r="HIH45" s="16"/>
      <c r="HII45" s="16"/>
      <c r="HIJ45" s="16"/>
      <c r="HIK45" s="16"/>
      <c r="HIL45" s="16"/>
      <c r="HIM45" s="16"/>
      <c r="HIN45" s="16"/>
      <c r="HIO45" s="16"/>
      <c r="HIP45" s="16"/>
      <c r="HIQ45" s="16"/>
      <c r="HIR45" s="16"/>
      <c r="HIS45" s="16"/>
      <c r="HIT45" s="16"/>
      <c r="HIU45" s="16"/>
      <c r="HIV45" s="16"/>
      <c r="HIW45" s="16"/>
      <c r="HIX45" s="16"/>
      <c r="HIY45" s="16"/>
      <c r="HIZ45" s="16"/>
      <c r="HJA45" s="16"/>
      <c r="HJB45" s="16"/>
      <c r="HJC45" s="16"/>
      <c r="HJD45" s="16"/>
      <c r="HJE45" s="16"/>
      <c r="HJF45" s="16"/>
      <c r="HJG45" s="16"/>
      <c r="HJH45" s="16"/>
      <c r="HJI45" s="16"/>
      <c r="HJJ45" s="16"/>
      <c r="HJK45" s="16"/>
      <c r="HJL45" s="16"/>
      <c r="HJM45" s="16"/>
      <c r="HJN45" s="16"/>
      <c r="HJO45" s="16"/>
      <c r="HJP45" s="16"/>
      <c r="HJQ45" s="16"/>
      <c r="HJR45" s="16"/>
      <c r="HJS45" s="16"/>
      <c r="HJT45" s="16"/>
      <c r="HJU45" s="16"/>
      <c r="HJV45" s="16"/>
      <c r="HJW45" s="16"/>
      <c r="HJX45" s="16"/>
      <c r="HJY45" s="16"/>
      <c r="HJZ45" s="16"/>
      <c r="HKA45" s="16"/>
      <c r="HKB45" s="16"/>
      <c r="HKC45" s="16"/>
      <c r="HKD45" s="16"/>
      <c r="HKE45" s="16"/>
      <c r="HKF45" s="16"/>
      <c r="HKG45" s="16"/>
      <c r="HKH45" s="16"/>
      <c r="HKI45" s="16"/>
      <c r="HKJ45" s="16"/>
      <c r="HKK45" s="16"/>
      <c r="HKL45" s="16"/>
      <c r="HKM45" s="16"/>
      <c r="HKN45" s="16"/>
      <c r="HKO45" s="16"/>
      <c r="HKP45" s="16"/>
      <c r="HKQ45" s="16"/>
      <c r="HKR45" s="16"/>
      <c r="HKS45" s="16"/>
      <c r="HKT45" s="16"/>
      <c r="HKU45" s="16"/>
      <c r="HKV45" s="16"/>
      <c r="HKW45" s="16"/>
      <c r="HKX45" s="16"/>
      <c r="HKY45" s="16"/>
      <c r="HKZ45" s="16"/>
      <c r="HLA45" s="16"/>
      <c r="HLB45" s="16"/>
      <c r="HLC45" s="16"/>
      <c r="HLD45" s="16"/>
      <c r="HLE45" s="16"/>
      <c r="HLF45" s="16"/>
      <c r="HLG45" s="16"/>
      <c r="HLH45" s="16"/>
      <c r="HLI45" s="16"/>
      <c r="HLJ45" s="16"/>
      <c r="HLK45" s="16"/>
      <c r="HLL45" s="16"/>
      <c r="HLM45" s="16"/>
      <c r="HLN45" s="16"/>
      <c r="HLO45" s="16"/>
      <c r="HLP45" s="16"/>
      <c r="HLQ45" s="16"/>
      <c r="HLR45" s="16"/>
      <c r="HLS45" s="16"/>
      <c r="HLT45" s="16"/>
      <c r="HLU45" s="16"/>
      <c r="HLV45" s="16"/>
      <c r="HLW45" s="16"/>
      <c r="HLX45" s="16"/>
      <c r="HLY45" s="16"/>
      <c r="HLZ45" s="16"/>
      <c r="HMA45" s="16"/>
      <c r="HMB45" s="16"/>
      <c r="HMC45" s="16"/>
      <c r="HMD45" s="16"/>
      <c r="HME45" s="16"/>
      <c r="HMF45" s="16"/>
      <c r="HMG45" s="16"/>
      <c r="HMH45" s="16"/>
      <c r="HMI45" s="16"/>
      <c r="HMJ45" s="16"/>
      <c r="HMK45" s="16"/>
      <c r="HML45" s="16"/>
      <c r="HMM45" s="16"/>
      <c r="HMN45" s="16"/>
      <c r="HMO45" s="16"/>
      <c r="HMP45" s="16"/>
      <c r="HMQ45" s="16"/>
      <c r="HMR45" s="16"/>
      <c r="HMS45" s="16"/>
      <c r="HMT45" s="16"/>
      <c r="HMU45" s="16"/>
      <c r="HMV45" s="16"/>
      <c r="HMW45" s="16"/>
      <c r="HMX45" s="16"/>
      <c r="HMY45" s="16"/>
      <c r="HMZ45" s="16"/>
      <c r="HNA45" s="16"/>
      <c r="HNB45" s="16"/>
      <c r="HNC45" s="16"/>
      <c r="HND45" s="16"/>
      <c r="HNE45" s="16"/>
      <c r="HNF45" s="16"/>
      <c r="HNG45" s="16"/>
      <c r="HNH45" s="16"/>
      <c r="HNI45" s="16"/>
      <c r="HNJ45" s="16"/>
      <c r="HNK45" s="16"/>
      <c r="HNL45" s="16"/>
      <c r="HNM45" s="16"/>
      <c r="HNN45" s="16"/>
      <c r="HNO45" s="16"/>
      <c r="HNP45" s="16"/>
      <c r="HNQ45" s="16"/>
      <c r="HNR45" s="16"/>
      <c r="HNS45" s="16"/>
      <c r="HNT45" s="16"/>
      <c r="HNU45" s="16"/>
      <c r="HNV45" s="16"/>
      <c r="HNW45" s="16"/>
      <c r="HNX45" s="16"/>
      <c r="HNY45" s="16"/>
      <c r="HNZ45" s="16"/>
      <c r="HOA45" s="16"/>
      <c r="HOB45" s="16"/>
      <c r="HOC45" s="16"/>
      <c r="HOD45" s="16"/>
      <c r="HOE45" s="16"/>
      <c r="HOF45" s="16"/>
      <c r="HOG45" s="16"/>
      <c r="HOH45" s="16"/>
      <c r="HOI45" s="16"/>
      <c r="HOJ45" s="16"/>
      <c r="HOK45" s="16"/>
      <c r="HOL45" s="16"/>
      <c r="HOM45" s="16"/>
      <c r="HON45" s="16"/>
      <c r="HOO45" s="16"/>
      <c r="HOP45" s="16"/>
      <c r="HOQ45" s="16"/>
      <c r="HOR45" s="16"/>
      <c r="HOS45" s="16"/>
      <c r="HOT45" s="16"/>
      <c r="HOU45" s="16"/>
      <c r="HOV45" s="16"/>
      <c r="HOW45" s="16"/>
      <c r="HOX45" s="16"/>
      <c r="HOY45" s="16"/>
      <c r="HOZ45" s="16"/>
      <c r="HPA45" s="16"/>
      <c r="HPB45" s="16"/>
      <c r="HPC45" s="16"/>
      <c r="HPD45" s="16"/>
      <c r="HPE45" s="16"/>
      <c r="HPF45" s="16"/>
      <c r="HPG45" s="16"/>
      <c r="HPH45" s="16"/>
      <c r="HPI45" s="16"/>
      <c r="HPJ45" s="16"/>
      <c r="HPK45" s="16"/>
      <c r="HPL45" s="16"/>
      <c r="HPM45" s="16"/>
      <c r="HPN45" s="16"/>
      <c r="HPO45" s="16"/>
      <c r="HPP45" s="16"/>
      <c r="HPQ45" s="16"/>
      <c r="HPR45" s="16"/>
      <c r="HPS45" s="16"/>
      <c r="HPT45" s="16"/>
      <c r="HPU45" s="16"/>
      <c r="HPV45" s="16"/>
      <c r="HPW45" s="16"/>
      <c r="HPX45" s="16"/>
      <c r="HPY45" s="16"/>
      <c r="HPZ45" s="16"/>
      <c r="HQA45" s="16"/>
      <c r="HQB45" s="16"/>
      <c r="HQC45" s="16"/>
      <c r="HQD45" s="16"/>
      <c r="HQE45" s="16"/>
      <c r="HQF45" s="16"/>
      <c r="HQG45" s="16"/>
      <c r="HQH45" s="16"/>
      <c r="HQI45" s="16"/>
      <c r="HQJ45" s="16"/>
      <c r="HQK45" s="16"/>
      <c r="HQL45" s="16"/>
      <c r="HQM45" s="16"/>
      <c r="HQN45" s="16"/>
      <c r="HQO45" s="16"/>
      <c r="HQP45" s="16"/>
      <c r="HQQ45" s="16"/>
      <c r="HQR45" s="16"/>
      <c r="HQS45" s="16"/>
      <c r="HQT45" s="16"/>
      <c r="HQU45" s="16"/>
      <c r="HQV45" s="16"/>
      <c r="HQW45" s="16"/>
      <c r="HQX45" s="16"/>
      <c r="HQY45" s="16"/>
      <c r="HQZ45" s="16"/>
      <c r="HRA45" s="16"/>
      <c r="HRB45" s="16"/>
      <c r="HRC45" s="16"/>
      <c r="HRD45" s="16"/>
      <c r="HRE45" s="16"/>
      <c r="HRF45" s="16"/>
      <c r="HRG45" s="16"/>
      <c r="HRH45" s="16"/>
      <c r="HRI45" s="16"/>
      <c r="HRJ45" s="16"/>
      <c r="HRK45" s="16"/>
      <c r="HRL45" s="16"/>
      <c r="HRM45" s="16"/>
      <c r="HRN45" s="16"/>
      <c r="HRO45" s="16"/>
      <c r="HRP45" s="16"/>
      <c r="HRQ45" s="16"/>
      <c r="HRR45" s="16"/>
      <c r="HRS45" s="16"/>
      <c r="HRT45" s="16"/>
      <c r="HRU45" s="16"/>
      <c r="HRV45" s="16"/>
      <c r="HRW45" s="16"/>
      <c r="HRX45" s="16"/>
      <c r="HRY45" s="16"/>
      <c r="HRZ45" s="16"/>
      <c r="HSA45" s="16"/>
      <c r="HSB45" s="16"/>
      <c r="HSC45" s="16"/>
      <c r="HSD45" s="16"/>
      <c r="HSE45" s="16"/>
      <c r="HSF45" s="16"/>
      <c r="HSG45" s="16"/>
      <c r="HSH45" s="16"/>
      <c r="HSI45" s="16"/>
      <c r="HSJ45" s="16"/>
      <c r="HSK45" s="16"/>
      <c r="HSL45" s="16"/>
      <c r="HSM45" s="16"/>
      <c r="HSN45" s="16"/>
      <c r="HSO45" s="16"/>
      <c r="HSP45" s="16"/>
      <c r="HSQ45" s="16"/>
      <c r="HSR45" s="16"/>
      <c r="HSS45" s="16"/>
      <c r="HST45" s="16"/>
      <c r="HSU45" s="16"/>
      <c r="HSV45" s="16"/>
      <c r="HSW45" s="16"/>
      <c r="HSX45" s="16"/>
      <c r="HSY45" s="16"/>
      <c r="HSZ45" s="16"/>
      <c r="HTA45" s="16"/>
      <c r="HTB45" s="16"/>
      <c r="HTC45" s="16"/>
      <c r="HTD45" s="16"/>
      <c r="HTE45" s="16"/>
      <c r="HTF45" s="16"/>
      <c r="HTG45" s="16"/>
      <c r="HTH45" s="16"/>
      <c r="HTI45" s="16"/>
      <c r="HTJ45" s="16"/>
      <c r="HTK45" s="16"/>
      <c r="HTL45" s="16"/>
      <c r="HTM45" s="16"/>
      <c r="HTN45" s="16"/>
      <c r="HTO45" s="16"/>
      <c r="HTP45" s="16"/>
      <c r="HTQ45" s="16"/>
      <c r="HTR45" s="16"/>
      <c r="HTS45" s="16"/>
      <c r="HTT45" s="16"/>
      <c r="HTU45" s="16"/>
      <c r="HTV45" s="16"/>
      <c r="HTW45" s="16"/>
      <c r="HTX45" s="16"/>
      <c r="HTY45" s="16"/>
      <c r="HTZ45" s="16"/>
      <c r="HUA45" s="16"/>
      <c r="HUB45" s="16"/>
      <c r="HUC45" s="16"/>
      <c r="HUD45" s="16"/>
      <c r="HUE45" s="16"/>
      <c r="HUF45" s="16"/>
      <c r="HUG45" s="16"/>
      <c r="HUH45" s="16"/>
      <c r="HUI45" s="16"/>
      <c r="HUJ45" s="16"/>
      <c r="HUK45" s="16"/>
      <c r="HUL45" s="16"/>
      <c r="HUM45" s="16"/>
      <c r="HUN45" s="16"/>
      <c r="HUO45" s="16"/>
      <c r="HUP45" s="16"/>
      <c r="HUQ45" s="16"/>
      <c r="HUR45" s="16"/>
      <c r="HUS45" s="16"/>
      <c r="HUT45" s="16"/>
      <c r="HUU45" s="16"/>
      <c r="HUV45" s="16"/>
      <c r="HUW45" s="16"/>
      <c r="HUX45" s="16"/>
      <c r="HUY45" s="16"/>
      <c r="HUZ45" s="16"/>
      <c r="HVA45" s="16"/>
      <c r="HVB45" s="16"/>
      <c r="HVC45" s="16"/>
      <c r="HVD45" s="16"/>
      <c r="HVE45" s="16"/>
      <c r="HVF45" s="16"/>
      <c r="HVG45" s="16"/>
      <c r="HVH45" s="16"/>
      <c r="HVI45" s="16"/>
      <c r="HVJ45" s="16"/>
      <c r="HVK45" s="16"/>
      <c r="HVL45" s="16"/>
      <c r="HVM45" s="16"/>
      <c r="HVN45" s="16"/>
      <c r="HVO45" s="16"/>
      <c r="HVP45" s="16"/>
      <c r="HVQ45" s="16"/>
      <c r="HVR45" s="16"/>
      <c r="HVS45" s="16"/>
      <c r="HVT45" s="16"/>
      <c r="HVU45" s="16"/>
      <c r="HVV45" s="16"/>
      <c r="HVW45" s="16"/>
      <c r="HVX45" s="16"/>
      <c r="HVY45" s="16"/>
      <c r="HVZ45" s="16"/>
      <c r="HWA45" s="16"/>
      <c r="HWB45" s="16"/>
      <c r="HWC45" s="16"/>
      <c r="HWD45" s="16"/>
      <c r="HWE45" s="16"/>
      <c r="HWF45" s="16"/>
      <c r="HWG45" s="16"/>
      <c r="HWH45" s="16"/>
      <c r="HWI45" s="16"/>
      <c r="HWJ45" s="16"/>
      <c r="HWK45" s="16"/>
      <c r="HWL45" s="16"/>
      <c r="HWM45" s="16"/>
      <c r="HWN45" s="16"/>
      <c r="HWO45" s="16"/>
      <c r="HWP45" s="16"/>
      <c r="HWQ45" s="16"/>
      <c r="HWR45" s="16"/>
      <c r="HWS45" s="16"/>
      <c r="HWT45" s="16"/>
      <c r="HWU45" s="16"/>
      <c r="HWV45" s="16"/>
      <c r="HWW45" s="16"/>
      <c r="HWX45" s="16"/>
      <c r="HWY45" s="16"/>
      <c r="HWZ45" s="16"/>
      <c r="HXA45" s="16"/>
      <c r="HXB45" s="16"/>
      <c r="HXC45" s="16"/>
      <c r="HXD45" s="16"/>
      <c r="HXE45" s="16"/>
      <c r="HXF45" s="16"/>
      <c r="HXG45" s="16"/>
      <c r="HXH45" s="16"/>
      <c r="HXI45" s="16"/>
      <c r="HXJ45" s="16"/>
      <c r="HXK45" s="16"/>
      <c r="HXL45" s="16"/>
      <c r="HXM45" s="16"/>
      <c r="HXN45" s="16"/>
      <c r="HXO45" s="16"/>
      <c r="HXP45" s="16"/>
      <c r="HXQ45" s="16"/>
      <c r="HXR45" s="16"/>
      <c r="HXS45" s="16"/>
      <c r="HXT45" s="16"/>
      <c r="HXU45" s="16"/>
      <c r="HXV45" s="16"/>
      <c r="HXW45" s="16"/>
      <c r="HXX45" s="16"/>
      <c r="HXY45" s="16"/>
      <c r="HXZ45" s="16"/>
      <c r="HYA45" s="16"/>
      <c r="HYB45" s="16"/>
      <c r="HYC45" s="16"/>
      <c r="HYD45" s="16"/>
      <c r="HYE45" s="16"/>
      <c r="HYF45" s="16"/>
      <c r="HYG45" s="16"/>
      <c r="HYH45" s="16"/>
      <c r="HYI45" s="16"/>
      <c r="HYJ45" s="16"/>
      <c r="HYK45" s="16"/>
      <c r="HYL45" s="16"/>
      <c r="HYM45" s="16"/>
      <c r="HYN45" s="16"/>
      <c r="HYO45" s="16"/>
      <c r="HYP45" s="16"/>
      <c r="HYQ45" s="16"/>
      <c r="HYR45" s="16"/>
      <c r="HYS45" s="16"/>
      <c r="HYT45" s="16"/>
      <c r="HYU45" s="16"/>
      <c r="HYV45" s="16"/>
      <c r="HYW45" s="16"/>
      <c r="HYX45" s="16"/>
      <c r="HYY45" s="16"/>
      <c r="HYZ45" s="16"/>
      <c r="HZA45" s="16"/>
      <c r="HZB45" s="16"/>
      <c r="HZC45" s="16"/>
      <c r="HZD45" s="16"/>
      <c r="HZE45" s="16"/>
      <c r="HZF45" s="16"/>
      <c r="HZG45" s="16"/>
      <c r="HZH45" s="16"/>
      <c r="HZI45" s="16"/>
      <c r="HZJ45" s="16"/>
      <c r="HZK45" s="16"/>
      <c r="HZL45" s="16"/>
      <c r="HZM45" s="16"/>
      <c r="HZN45" s="16"/>
      <c r="HZO45" s="16"/>
      <c r="HZP45" s="16"/>
      <c r="HZQ45" s="16"/>
      <c r="HZR45" s="16"/>
      <c r="HZS45" s="16"/>
      <c r="HZT45" s="16"/>
      <c r="HZU45" s="16"/>
      <c r="HZV45" s="16"/>
      <c r="HZW45" s="16"/>
      <c r="HZX45" s="16"/>
      <c r="HZY45" s="16"/>
      <c r="HZZ45" s="16"/>
      <c r="IAA45" s="16"/>
      <c r="IAB45" s="16"/>
      <c r="IAC45" s="16"/>
      <c r="IAD45" s="16"/>
      <c r="IAE45" s="16"/>
      <c r="IAF45" s="16"/>
      <c r="IAG45" s="16"/>
      <c r="IAH45" s="16"/>
      <c r="IAI45" s="16"/>
      <c r="IAJ45" s="16"/>
      <c r="IAK45" s="16"/>
      <c r="IAL45" s="16"/>
      <c r="IAM45" s="16"/>
      <c r="IAN45" s="16"/>
      <c r="IAO45" s="16"/>
      <c r="IAP45" s="16"/>
      <c r="IAQ45" s="16"/>
      <c r="IAR45" s="16"/>
      <c r="IAS45" s="16"/>
      <c r="IAT45" s="16"/>
      <c r="IAU45" s="16"/>
      <c r="IAV45" s="16"/>
      <c r="IAW45" s="16"/>
      <c r="IAX45" s="16"/>
      <c r="IAY45" s="16"/>
      <c r="IAZ45" s="16"/>
      <c r="IBA45" s="16"/>
      <c r="IBB45" s="16"/>
      <c r="IBC45" s="16"/>
      <c r="IBD45" s="16"/>
      <c r="IBE45" s="16"/>
      <c r="IBF45" s="16"/>
      <c r="IBG45" s="16"/>
      <c r="IBH45" s="16"/>
      <c r="IBI45" s="16"/>
      <c r="IBJ45" s="16"/>
      <c r="IBK45" s="16"/>
      <c r="IBL45" s="16"/>
      <c r="IBM45" s="16"/>
      <c r="IBN45" s="16"/>
      <c r="IBO45" s="16"/>
      <c r="IBP45" s="16"/>
      <c r="IBQ45" s="16"/>
      <c r="IBR45" s="16"/>
      <c r="IBS45" s="16"/>
      <c r="IBT45" s="16"/>
      <c r="IBU45" s="16"/>
      <c r="IBV45" s="16"/>
      <c r="IBW45" s="16"/>
      <c r="IBX45" s="16"/>
      <c r="IBY45" s="16"/>
      <c r="IBZ45" s="16"/>
      <c r="ICA45" s="16"/>
      <c r="ICB45" s="16"/>
      <c r="ICC45" s="16"/>
      <c r="ICD45" s="16"/>
      <c r="ICE45" s="16"/>
      <c r="ICF45" s="16"/>
      <c r="ICG45" s="16"/>
      <c r="ICH45" s="16"/>
      <c r="ICI45" s="16"/>
      <c r="ICJ45" s="16"/>
      <c r="ICK45" s="16"/>
      <c r="ICL45" s="16"/>
      <c r="ICM45" s="16"/>
      <c r="ICN45" s="16"/>
      <c r="ICO45" s="16"/>
      <c r="ICP45" s="16"/>
      <c r="ICQ45" s="16"/>
      <c r="ICR45" s="16"/>
      <c r="ICS45" s="16"/>
      <c r="ICT45" s="16"/>
      <c r="ICU45" s="16"/>
      <c r="ICV45" s="16"/>
      <c r="ICW45" s="16"/>
      <c r="ICX45" s="16"/>
      <c r="ICY45" s="16"/>
      <c r="ICZ45" s="16"/>
      <c r="IDA45" s="16"/>
      <c r="IDB45" s="16"/>
      <c r="IDC45" s="16"/>
      <c r="IDD45" s="16"/>
      <c r="IDE45" s="16"/>
      <c r="IDF45" s="16"/>
      <c r="IDG45" s="16"/>
      <c r="IDH45" s="16"/>
      <c r="IDI45" s="16"/>
      <c r="IDJ45" s="16"/>
      <c r="IDK45" s="16"/>
      <c r="IDL45" s="16"/>
      <c r="IDM45" s="16"/>
      <c r="IDN45" s="16"/>
      <c r="IDO45" s="16"/>
      <c r="IDP45" s="16"/>
      <c r="IDQ45" s="16"/>
      <c r="IDR45" s="16"/>
      <c r="IDS45" s="16"/>
      <c r="IDT45" s="16"/>
      <c r="IDU45" s="16"/>
      <c r="IDV45" s="16"/>
      <c r="IDW45" s="16"/>
      <c r="IDX45" s="16"/>
      <c r="IDY45" s="16"/>
      <c r="IDZ45" s="16"/>
      <c r="IEA45" s="16"/>
      <c r="IEB45" s="16"/>
      <c r="IEC45" s="16"/>
      <c r="IED45" s="16"/>
      <c r="IEE45" s="16"/>
      <c r="IEF45" s="16"/>
      <c r="IEG45" s="16"/>
      <c r="IEH45" s="16"/>
      <c r="IEI45" s="16"/>
      <c r="IEJ45" s="16"/>
      <c r="IEK45" s="16"/>
      <c r="IEL45" s="16"/>
      <c r="IEM45" s="16"/>
      <c r="IEN45" s="16"/>
      <c r="IEO45" s="16"/>
      <c r="IEP45" s="16"/>
      <c r="IEQ45" s="16"/>
      <c r="IER45" s="16"/>
      <c r="IES45" s="16"/>
      <c r="IET45" s="16"/>
      <c r="IEU45" s="16"/>
      <c r="IEV45" s="16"/>
      <c r="IEW45" s="16"/>
      <c r="IEX45" s="16"/>
      <c r="IEY45" s="16"/>
      <c r="IEZ45" s="16"/>
      <c r="IFA45" s="16"/>
      <c r="IFB45" s="16"/>
      <c r="IFC45" s="16"/>
      <c r="IFD45" s="16"/>
      <c r="IFE45" s="16"/>
      <c r="IFF45" s="16"/>
      <c r="IFG45" s="16"/>
      <c r="IFH45" s="16"/>
      <c r="IFI45" s="16"/>
      <c r="IFJ45" s="16"/>
      <c r="IFK45" s="16"/>
      <c r="IFL45" s="16"/>
      <c r="IFM45" s="16"/>
      <c r="IFN45" s="16"/>
      <c r="IFO45" s="16"/>
      <c r="IFP45" s="16"/>
      <c r="IFQ45" s="16"/>
      <c r="IFR45" s="16"/>
      <c r="IFS45" s="16"/>
      <c r="IFT45" s="16"/>
      <c r="IFU45" s="16"/>
      <c r="IFV45" s="16"/>
      <c r="IFW45" s="16"/>
      <c r="IFX45" s="16"/>
      <c r="IFY45" s="16"/>
      <c r="IFZ45" s="16"/>
      <c r="IGA45" s="16"/>
      <c r="IGB45" s="16"/>
      <c r="IGC45" s="16"/>
      <c r="IGD45" s="16"/>
      <c r="IGE45" s="16"/>
      <c r="IGF45" s="16"/>
      <c r="IGG45" s="16"/>
      <c r="IGH45" s="16"/>
      <c r="IGI45" s="16"/>
      <c r="IGJ45" s="16"/>
      <c r="IGK45" s="16"/>
      <c r="IGL45" s="16"/>
      <c r="IGM45" s="16"/>
      <c r="IGN45" s="16"/>
      <c r="IGO45" s="16"/>
      <c r="IGP45" s="16"/>
      <c r="IGQ45" s="16"/>
      <c r="IGR45" s="16"/>
      <c r="IGS45" s="16"/>
      <c r="IGT45" s="16"/>
      <c r="IGU45" s="16"/>
      <c r="IGV45" s="16"/>
      <c r="IGW45" s="16"/>
      <c r="IGX45" s="16"/>
      <c r="IGY45" s="16"/>
      <c r="IGZ45" s="16"/>
      <c r="IHA45" s="16"/>
      <c r="IHB45" s="16"/>
      <c r="IHC45" s="16"/>
      <c r="IHD45" s="16"/>
      <c r="IHE45" s="16"/>
      <c r="IHF45" s="16"/>
      <c r="IHG45" s="16"/>
      <c r="IHH45" s="16"/>
      <c r="IHI45" s="16"/>
      <c r="IHJ45" s="16"/>
      <c r="IHK45" s="16"/>
      <c r="IHL45" s="16"/>
      <c r="IHM45" s="16"/>
      <c r="IHN45" s="16"/>
      <c r="IHO45" s="16"/>
      <c r="IHP45" s="16"/>
      <c r="IHQ45" s="16"/>
      <c r="IHR45" s="16"/>
      <c r="IHS45" s="16"/>
      <c r="IHT45" s="16"/>
      <c r="IHU45" s="16"/>
      <c r="IHV45" s="16"/>
      <c r="IHW45" s="16"/>
      <c r="IHX45" s="16"/>
      <c r="IHY45" s="16"/>
      <c r="IHZ45" s="16"/>
      <c r="IIA45" s="16"/>
      <c r="IIB45" s="16"/>
      <c r="IIC45" s="16"/>
      <c r="IID45" s="16"/>
      <c r="IIE45" s="16"/>
      <c r="IIF45" s="16"/>
      <c r="IIG45" s="16"/>
      <c r="IIH45" s="16"/>
      <c r="III45" s="16"/>
      <c r="IIJ45" s="16"/>
      <c r="IIK45" s="16"/>
      <c r="IIL45" s="16"/>
      <c r="IIM45" s="16"/>
      <c r="IIN45" s="16"/>
      <c r="IIO45" s="16"/>
      <c r="IIP45" s="16"/>
      <c r="IIQ45" s="16"/>
      <c r="IIR45" s="16"/>
      <c r="IIS45" s="16"/>
      <c r="IIT45" s="16"/>
      <c r="IIU45" s="16"/>
      <c r="IIV45" s="16"/>
      <c r="IIW45" s="16"/>
      <c r="IIX45" s="16"/>
      <c r="IIY45" s="16"/>
      <c r="IIZ45" s="16"/>
      <c r="IJA45" s="16"/>
      <c r="IJB45" s="16"/>
      <c r="IJC45" s="16"/>
      <c r="IJD45" s="16"/>
      <c r="IJE45" s="16"/>
      <c r="IJF45" s="16"/>
      <c r="IJG45" s="16"/>
      <c r="IJH45" s="16"/>
      <c r="IJI45" s="16"/>
      <c r="IJJ45" s="16"/>
      <c r="IJK45" s="16"/>
      <c r="IJL45" s="16"/>
      <c r="IJM45" s="16"/>
      <c r="IJN45" s="16"/>
      <c r="IJO45" s="16"/>
      <c r="IJP45" s="16"/>
      <c r="IJQ45" s="16"/>
      <c r="IJR45" s="16"/>
      <c r="IJS45" s="16"/>
      <c r="IJT45" s="16"/>
      <c r="IJU45" s="16"/>
      <c r="IJV45" s="16"/>
      <c r="IJW45" s="16"/>
      <c r="IJX45" s="16"/>
      <c r="IJY45" s="16"/>
      <c r="IJZ45" s="16"/>
      <c r="IKA45" s="16"/>
      <c r="IKB45" s="16"/>
      <c r="IKC45" s="16"/>
      <c r="IKD45" s="16"/>
      <c r="IKE45" s="16"/>
      <c r="IKF45" s="16"/>
      <c r="IKG45" s="16"/>
      <c r="IKH45" s="16"/>
      <c r="IKI45" s="16"/>
      <c r="IKJ45" s="16"/>
      <c r="IKK45" s="16"/>
      <c r="IKL45" s="16"/>
      <c r="IKM45" s="16"/>
      <c r="IKN45" s="16"/>
      <c r="IKO45" s="16"/>
      <c r="IKP45" s="16"/>
      <c r="IKQ45" s="16"/>
      <c r="IKR45" s="16"/>
      <c r="IKS45" s="16"/>
      <c r="IKT45" s="16"/>
      <c r="IKU45" s="16"/>
      <c r="IKV45" s="16"/>
      <c r="IKW45" s="16"/>
      <c r="IKX45" s="16"/>
      <c r="IKY45" s="16"/>
      <c r="IKZ45" s="16"/>
      <c r="ILA45" s="16"/>
      <c r="ILB45" s="16"/>
      <c r="ILC45" s="16"/>
      <c r="ILD45" s="16"/>
      <c r="ILE45" s="16"/>
      <c r="ILF45" s="16"/>
      <c r="ILG45" s="16"/>
      <c r="ILH45" s="16"/>
      <c r="ILI45" s="16"/>
      <c r="ILJ45" s="16"/>
      <c r="ILK45" s="16"/>
      <c r="ILL45" s="16"/>
      <c r="ILM45" s="16"/>
      <c r="ILN45" s="16"/>
      <c r="ILO45" s="16"/>
      <c r="ILP45" s="16"/>
      <c r="ILQ45" s="16"/>
      <c r="ILR45" s="16"/>
      <c r="ILS45" s="16"/>
      <c r="ILT45" s="16"/>
      <c r="ILU45" s="16"/>
      <c r="ILV45" s="16"/>
      <c r="ILW45" s="16"/>
      <c r="ILX45" s="16"/>
      <c r="ILY45" s="16"/>
      <c r="ILZ45" s="16"/>
      <c r="IMA45" s="16"/>
      <c r="IMB45" s="16"/>
      <c r="IMC45" s="16"/>
      <c r="IMD45" s="16"/>
      <c r="IME45" s="16"/>
      <c r="IMF45" s="16"/>
      <c r="IMG45" s="16"/>
      <c r="IMH45" s="16"/>
      <c r="IMI45" s="16"/>
      <c r="IMJ45" s="16"/>
      <c r="IMK45" s="16"/>
      <c r="IML45" s="16"/>
      <c r="IMM45" s="16"/>
      <c r="IMN45" s="16"/>
      <c r="IMO45" s="16"/>
      <c r="IMP45" s="16"/>
      <c r="IMQ45" s="16"/>
      <c r="IMR45" s="16"/>
      <c r="IMS45" s="16"/>
      <c r="IMT45" s="16"/>
      <c r="IMU45" s="16"/>
      <c r="IMV45" s="16"/>
      <c r="IMW45" s="16"/>
      <c r="IMX45" s="16"/>
      <c r="IMY45" s="16"/>
      <c r="IMZ45" s="16"/>
      <c r="INA45" s="16"/>
      <c r="INB45" s="16"/>
      <c r="INC45" s="16"/>
      <c r="IND45" s="16"/>
      <c r="INE45" s="16"/>
      <c r="INF45" s="16"/>
      <c r="ING45" s="16"/>
      <c r="INH45" s="16"/>
      <c r="INI45" s="16"/>
      <c r="INJ45" s="16"/>
      <c r="INK45" s="16"/>
      <c r="INL45" s="16"/>
      <c r="INM45" s="16"/>
      <c r="INN45" s="16"/>
      <c r="INO45" s="16"/>
      <c r="INP45" s="16"/>
      <c r="INQ45" s="16"/>
      <c r="INR45" s="16"/>
      <c r="INS45" s="16"/>
      <c r="INT45" s="16"/>
      <c r="INU45" s="16"/>
      <c r="INV45" s="16"/>
      <c r="INW45" s="16"/>
      <c r="INX45" s="16"/>
      <c r="INY45" s="16"/>
      <c r="INZ45" s="16"/>
      <c r="IOA45" s="16"/>
      <c r="IOB45" s="16"/>
      <c r="IOC45" s="16"/>
      <c r="IOD45" s="16"/>
      <c r="IOE45" s="16"/>
      <c r="IOF45" s="16"/>
      <c r="IOG45" s="16"/>
      <c r="IOH45" s="16"/>
      <c r="IOI45" s="16"/>
      <c r="IOJ45" s="16"/>
      <c r="IOK45" s="16"/>
      <c r="IOL45" s="16"/>
      <c r="IOM45" s="16"/>
      <c r="ION45" s="16"/>
      <c r="IOO45" s="16"/>
      <c r="IOP45" s="16"/>
      <c r="IOQ45" s="16"/>
      <c r="IOR45" s="16"/>
      <c r="IOS45" s="16"/>
      <c r="IOT45" s="16"/>
      <c r="IOU45" s="16"/>
      <c r="IOV45" s="16"/>
      <c r="IOW45" s="16"/>
      <c r="IOX45" s="16"/>
      <c r="IOY45" s="16"/>
      <c r="IOZ45" s="16"/>
      <c r="IPA45" s="16"/>
      <c r="IPB45" s="16"/>
      <c r="IPC45" s="16"/>
      <c r="IPD45" s="16"/>
      <c r="IPE45" s="16"/>
      <c r="IPF45" s="16"/>
      <c r="IPG45" s="16"/>
      <c r="IPH45" s="16"/>
      <c r="IPI45" s="16"/>
      <c r="IPJ45" s="16"/>
      <c r="IPK45" s="16"/>
      <c r="IPL45" s="16"/>
      <c r="IPM45" s="16"/>
      <c r="IPN45" s="16"/>
      <c r="IPO45" s="16"/>
      <c r="IPP45" s="16"/>
      <c r="IPQ45" s="16"/>
      <c r="IPR45" s="16"/>
      <c r="IPS45" s="16"/>
      <c r="IPT45" s="16"/>
      <c r="IPU45" s="16"/>
      <c r="IPV45" s="16"/>
      <c r="IPW45" s="16"/>
      <c r="IPX45" s="16"/>
      <c r="IPY45" s="16"/>
      <c r="IPZ45" s="16"/>
      <c r="IQA45" s="16"/>
      <c r="IQB45" s="16"/>
      <c r="IQC45" s="16"/>
      <c r="IQD45" s="16"/>
      <c r="IQE45" s="16"/>
      <c r="IQF45" s="16"/>
      <c r="IQG45" s="16"/>
      <c r="IQH45" s="16"/>
      <c r="IQI45" s="16"/>
      <c r="IQJ45" s="16"/>
      <c r="IQK45" s="16"/>
      <c r="IQL45" s="16"/>
      <c r="IQM45" s="16"/>
      <c r="IQN45" s="16"/>
      <c r="IQO45" s="16"/>
      <c r="IQP45" s="16"/>
      <c r="IQQ45" s="16"/>
      <c r="IQR45" s="16"/>
      <c r="IQS45" s="16"/>
      <c r="IQT45" s="16"/>
      <c r="IQU45" s="16"/>
      <c r="IQV45" s="16"/>
      <c r="IQW45" s="16"/>
      <c r="IQX45" s="16"/>
      <c r="IQY45" s="16"/>
      <c r="IQZ45" s="16"/>
      <c r="IRA45" s="16"/>
      <c r="IRB45" s="16"/>
      <c r="IRC45" s="16"/>
      <c r="IRD45" s="16"/>
      <c r="IRE45" s="16"/>
      <c r="IRF45" s="16"/>
      <c r="IRG45" s="16"/>
      <c r="IRH45" s="16"/>
      <c r="IRI45" s="16"/>
      <c r="IRJ45" s="16"/>
      <c r="IRK45" s="16"/>
      <c r="IRL45" s="16"/>
      <c r="IRM45" s="16"/>
      <c r="IRN45" s="16"/>
      <c r="IRO45" s="16"/>
      <c r="IRP45" s="16"/>
      <c r="IRQ45" s="16"/>
      <c r="IRR45" s="16"/>
      <c r="IRS45" s="16"/>
      <c r="IRT45" s="16"/>
      <c r="IRU45" s="16"/>
      <c r="IRV45" s="16"/>
      <c r="IRW45" s="16"/>
      <c r="IRX45" s="16"/>
      <c r="IRY45" s="16"/>
      <c r="IRZ45" s="16"/>
      <c r="ISA45" s="16"/>
      <c r="ISB45" s="16"/>
      <c r="ISC45" s="16"/>
      <c r="ISD45" s="16"/>
      <c r="ISE45" s="16"/>
      <c r="ISF45" s="16"/>
      <c r="ISG45" s="16"/>
      <c r="ISH45" s="16"/>
      <c r="ISI45" s="16"/>
      <c r="ISJ45" s="16"/>
      <c r="ISK45" s="16"/>
      <c r="ISL45" s="16"/>
      <c r="ISM45" s="16"/>
      <c r="ISN45" s="16"/>
      <c r="ISO45" s="16"/>
      <c r="ISP45" s="16"/>
      <c r="ISQ45" s="16"/>
      <c r="ISR45" s="16"/>
      <c r="ISS45" s="16"/>
      <c r="IST45" s="16"/>
      <c r="ISU45" s="16"/>
      <c r="ISV45" s="16"/>
      <c r="ISW45" s="16"/>
      <c r="ISX45" s="16"/>
      <c r="ISY45" s="16"/>
      <c r="ISZ45" s="16"/>
      <c r="ITA45" s="16"/>
      <c r="ITB45" s="16"/>
      <c r="ITC45" s="16"/>
      <c r="ITD45" s="16"/>
      <c r="ITE45" s="16"/>
      <c r="ITF45" s="16"/>
      <c r="ITG45" s="16"/>
      <c r="ITH45" s="16"/>
      <c r="ITI45" s="16"/>
      <c r="ITJ45" s="16"/>
      <c r="ITK45" s="16"/>
      <c r="ITL45" s="16"/>
      <c r="ITM45" s="16"/>
      <c r="ITN45" s="16"/>
      <c r="ITO45" s="16"/>
      <c r="ITP45" s="16"/>
      <c r="ITQ45" s="16"/>
      <c r="ITR45" s="16"/>
      <c r="ITS45" s="16"/>
      <c r="ITT45" s="16"/>
      <c r="ITU45" s="16"/>
      <c r="ITV45" s="16"/>
      <c r="ITW45" s="16"/>
      <c r="ITX45" s="16"/>
      <c r="ITY45" s="16"/>
      <c r="ITZ45" s="16"/>
      <c r="IUA45" s="16"/>
      <c r="IUB45" s="16"/>
      <c r="IUC45" s="16"/>
      <c r="IUD45" s="16"/>
      <c r="IUE45" s="16"/>
      <c r="IUF45" s="16"/>
      <c r="IUG45" s="16"/>
      <c r="IUH45" s="16"/>
      <c r="IUI45" s="16"/>
      <c r="IUJ45" s="16"/>
      <c r="IUK45" s="16"/>
      <c r="IUL45" s="16"/>
      <c r="IUM45" s="16"/>
      <c r="IUN45" s="16"/>
      <c r="IUO45" s="16"/>
      <c r="IUP45" s="16"/>
      <c r="IUQ45" s="16"/>
      <c r="IUR45" s="16"/>
      <c r="IUS45" s="16"/>
      <c r="IUT45" s="16"/>
      <c r="IUU45" s="16"/>
      <c r="IUV45" s="16"/>
      <c r="IUW45" s="16"/>
      <c r="IUX45" s="16"/>
      <c r="IUY45" s="16"/>
      <c r="IUZ45" s="16"/>
      <c r="IVA45" s="16"/>
      <c r="IVB45" s="16"/>
      <c r="IVC45" s="16"/>
      <c r="IVD45" s="16"/>
      <c r="IVE45" s="16"/>
      <c r="IVF45" s="16"/>
      <c r="IVG45" s="16"/>
      <c r="IVH45" s="16"/>
      <c r="IVI45" s="16"/>
      <c r="IVJ45" s="16"/>
      <c r="IVK45" s="16"/>
      <c r="IVL45" s="16"/>
      <c r="IVM45" s="16"/>
      <c r="IVN45" s="16"/>
      <c r="IVO45" s="16"/>
      <c r="IVP45" s="16"/>
      <c r="IVQ45" s="16"/>
      <c r="IVR45" s="16"/>
      <c r="IVS45" s="16"/>
      <c r="IVT45" s="16"/>
      <c r="IVU45" s="16"/>
      <c r="IVV45" s="16"/>
      <c r="IVW45" s="16"/>
      <c r="IVX45" s="16"/>
      <c r="IVY45" s="16"/>
      <c r="IVZ45" s="16"/>
      <c r="IWA45" s="16"/>
      <c r="IWB45" s="16"/>
      <c r="IWC45" s="16"/>
      <c r="IWD45" s="16"/>
      <c r="IWE45" s="16"/>
      <c r="IWF45" s="16"/>
      <c r="IWG45" s="16"/>
      <c r="IWH45" s="16"/>
      <c r="IWI45" s="16"/>
      <c r="IWJ45" s="16"/>
      <c r="IWK45" s="16"/>
      <c r="IWL45" s="16"/>
      <c r="IWM45" s="16"/>
      <c r="IWN45" s="16"/>
      <c r="IWO45" s="16"/>
      <c r="IWP45" s="16"/>
      <c r="IWQ45" s="16"/>
      <c r="IWR45" s="16"/>
      <c r="IWS45" s="16"/>
      <c r="IWT45" s="16"/>
      <c r="IWU45" s="16"/>
      <c r="IWV45" s="16"/>
      <c r="IWW45" s="16"/>
      <c r="IWX45" s="16"/>
      <c r="IWY45" s="16"/>
      <c r="IWZ45" s="16"/>
      <c r="IXA45" s="16"/>
      <c r="IXB45" s="16"/>
      <c r="IXC45" s="16"/>
      <c r="IXD45" s="16"/>
      <c r="IXE45" s="16"/>
      <c r="IXF45" s="16"/>
      <c r="IXG45" s="16"/>
      <c r="IXH45" s="16"/>
      <c r="IXI45" s="16"/>
      <c r="IXJ45" s="16"/>
      <c r="IXK45" s="16"/>
      <c r="IXL45" s="16"/>
      <c r="IXM45" s="16"/>
      <c r="IXN45" s="16"/>
      <c r="IXO45" s="16"/>
      <c r="IXP45" s="16"/>
      <c r="IXQ45" s="16"/>
      <c r="IXR45" s="16"/>
      <c r="IXS45" s="16"/>
      <c r="IXT45" s="16"/>
      <c r="IXU45" s="16"/>
      <c r="IXV45" s="16"/>
      <c r="IXW45" s="16"/>
      <c r="IXX45" s="16"/>
      <c r="IXY45" s="16"/>
      <c r="IXZ45" s="16"/>
      <c r="IYA45" s="16"/>
      <c r="IYB45" s="16"/>
      <c r="IYC45" s="16"/>
      <c r="IYD45" s="16"/>
      <c r="IYE45" s="16"/>
      <c r="IYF45" s="16"/>
      <c r="IYG45" s="16"/>
      <c r="IYH45" s="16"/>
      <c r="IYI45" s="16"/>
      <c r="IYJ45" s="16"/>
      <c r="IYK45" s="16"/>
      <c r="IYL45" s="16"/>
      <c r="IYM45" s="16"/>
      <c r="IYN45" s="16"/>
      <c r="IYO45" s="16"/>
      <c r="IYP45" s="16"/>
      <c r="IYQ45" s="16"/>
      <c r="IYR45" s="16"/>
      <c r="IYS45" s="16"/>
      <c r="IYT45" s="16"/>
      <c r="IYU45" s="16"/>
      <c r="IYV45" s="16"/>
      <c r="IYW45" s="16"/>
      <c r="IYX45" s="16"/>
      <c r="IYY45" s="16"/>
      <c r="IYZ45" s="16"/>
      <c r="IZA45" s="16"/>
      <c r="IZB45" s="16"/>
      <c r="IZC45" s="16"/>
      <c r="IZD45" s="16"/>
      <c r="IZE45" s="16"/>
      <c r="IZF45" s="16"/>
      <c r="IZG45" s="16"/>
      <c r="IZH45" s="16"/>
      <c r="IZI45" s="16"/>
      <c r="IZJ45" s="16"/>
      <c r="IZK45" s="16"/>
      <c r="IZL45" s="16"/>
      <c r="IZM45" s="16"/>
      <c r="IZN45" s="16"/>
      <c r="IZO45" s="16"/>
      <c r="IZP45" s="16"/>
      <c r="IZQ45" s="16"/>
      <c r="IZR45" s="16"/>
      <c r="IZS45" s="16"/>
      <c r="IZT45" s="16"/>
      <c r="IZU45" s="16"/>
      <c r="IZV45" s="16"/>
      <c r="IZW45" s="16"/>
      <c r="IZX45" s="16"/>
      <c r="IZY45" s="16"/>
      <c r="IZZ45" s="16"/>
      <c r="JAA45" s="16"/>
      <c r="JAB45" s="16"/>
      <c r="JAC45" s="16"/>
      <c r="JAD45" s="16"/>
      <c r="JAE45" s="16"/>
      <c r="JAF45" s="16"/>
      <c r="JAG45" s="16"/>
      <c r="JAH45" s="16"/>
      <c r="JAI45" s="16"/>
      <c r="JAJ45" s="16"/>
      <c r="JAK45" s="16"/>
      <c r="JAL45" s="16"/>
      <c r="JAM45" s="16"/>
      <c r="JAN45" s="16"/>
      <c r="JAO45" s="16"/>
      <c r="JAP45" s="16"/>
      <c r="JAQ45" s="16"/>
      <c r="JAR45" s="16"/>
      <c r="JAS45" s="16"/>
      <c r="JAT45" s="16"/>
      <c r="JAU45" s="16"/>
      <c r="JAV45" s="16"/>
      <c r="JAW45" s="16"/>
      <c r="JAX45" s="16"/>
      <c r="JAY45" s="16"/>
      <c r="JAZ45" s="16"/>
      <c r="JBA45" s="16"/>
      <c r="JBB45" s="16"/>
      <c r="JBC45" s="16"/>
      <c r="JBD45" s="16"/>
      <c r="JBE45" s="16"/>
      <c r="JBF45" s="16"/>
      <c r="JBG45" s="16"/>
      <c r="JBH45" s="16"/>
      <c r="JBI45" s="16"/>
      <c r="JBJ45" s="16"/>
      <c r="JBK45" s="16"/>
      <c r="JBL45" s="16"/>
      <c r="JBM45" s="16"/>
      <c r="JBN45" s="16"/>
      <c r="JBO45" s="16"/>
      <c r="JBP45" s="16"/>
      <c r="JBQ45" s="16"/>
      <c r="JBR45" s="16"/>
      <c r="JBS45" s="16"/>
      <c r="JBT45" s="16"/>
      <c r="JBU45" s="16"/>
      <c r="JBV45" s="16"/>
      <c r="JBW45" s="16"/>
      <c r="JBX45" s="16"/>
      <c r="JBY45" s="16"/>
      <c r="JBZ45" s="16"/>
      <c r="JCA45" s="16"/>
      <c r="JCB45" s="16"/>
      <c r="JCC45" s="16"/>
      <c r="JCD45" s="16"/>
      <c r="JCE45" s="16"/>
      <c r="JCF45" s="16"/>
      <c r="JCG45" s="16"/>
      <c r="JCH45" s="16"/>
      <c r="JCI45" s="16"/>
      <c r="JCJ45" s="16"/>
      <c r="JCK45" s="16"/>
      <c r="JCL45" s="16"/>
      <c r="JCM45" s="16"/>
      <c r="JCN45" s="16"/>
      <c r="JCO45" s="16"/>
      <c r="JCP45" s="16"/>
      <c r="JCQ45" s="16"/>
      <c r="JCR45" s="16"/>
      <c r="JCS45" s="16"/>
      <c r="JCT45" s="16"/>
      <c r="JCU45" s="16"/>
      <c r="JCV45" s="16"/>
      <c r="JCW45" s="16"/>
      <c r="JCX45" s="16"/>
      <c r="JCY45" s="16"/>
      <c r="JCZ45" s="16"/>
      <c r="JDA45" s="16"/>
      <c r="JDB45" s="16"/>
      <c r="JDC45" s="16"/>
      <c r="JDD45" s="16"/>
      <c r="JDE45" s="16"/>
      <c r="JDF45" s="16"/>
      <c r="JDG45" s="16"/>
      <c r="JDH45" s="16"/>
      <c r="JDI45" s="16"/>
      <c r="JDJ45" s="16"/>
      <c r="JDK45" s="16"/>
      <c r="JDL45" s="16"/>
      <c r="JDM45" s="16"/>
      <c r="JDN45" s="16"/>
      <c r="JDO45" s="16"/>
      <c r="JDP45" s="16"/>
      <c r="JDQ45" s="16"/>
      <c r="JDR45" s="16"/>
      <c r="JDS45" s="16"/>
      <c r="JDT45" s="16"/>
      <c r="JDU45" s="16"/>
      <c r="JDV45" s="16"/>
      <c r="JDW45" s="16"/>
      <c r="JDX45" s="16"/>
      <c r="JDY45" s="16"/>
      <c r="JDZ45" s="16"/>
      <c r="JEA45" s="16"/>
      <c r="JEB45" s="16"/>
      <c r="JEC45" s="16"/>
      <c r="JED45" s="16"/>
      <c r="JEE45" s="16"/>
      <c r="JEF45" s="16"/>
      <c r="JEG45" s="16"/>
      <c r="JEH45" s="16"/>
      <c r="JEI45" s="16"/>
      <c r="JEJ45" s="16"/>
      <c r="JEK45" s="16"/>
      <c r="JEL45" s="16"/>
      <c r="JEM45" s="16"/>
      <c r="JEN45" s="16"/>
      <c r="JEO45" s="16"/>
      <c r="JEP45" s="16"/>
      <c r="JEQ45" s="16"/>
      <c r="JER45" s="16"/>
      <c r="JES45" s="16"/>
      <c r="JET45" s="16"/>
      <c r="JEU45" s="16"/>
      <c r="JEV45" s="16"/>
      <c r="JEW45" s="16"/>
      <c r="JEX45" s="16"/>
      <c r="JEY45" s="16"/>
      <c r="JEZ45" s="16"/>
      <c r="JFA45" s="16"/>
      <c r="JFB45" s="16"/>
      <c r="JFC45" s="16"/>
      <c r="JFD45" s="16"/>
      <c r="JFE45" s="16"/>
      <c r="JFF45" s="16"/>
      <c r="JFG45" s="16"/>
      <c r="JFH45" s="16"/>
      <c r="JFI45" s="16"/>
      <c r="JFJ45" s="16"/>
      <c r="JFK45" s="16"/>
      <c r="JFL45" s="16"/>
      <c r="JFM45" s="16"/>
      <c r="JFN45" s="16"/>
      <c r="JFO45" s="16"/>
      <c r="JFP45" s="16"/>
      <c r="JFQ45" s="16"/>
      <c r="JFR45" s="16"/>
      <c r="JFS45" s="16"/>
      <c r="JFT45" s="16"/>
      <c r="JFU45" s="16"/>
      <c r="JFV45" s="16"/>
      <c r="JFW45" s="16"/>
      <c r="JFX45" s="16"/>
      <c r="JFY45" s="16"/>
      <c r="JFZ45" s="16"/>
      <c r="JGA45" s="16"/>
      <c r="JGB45" s="16"/>
      <c r="JGC45" s="16"/>
      <c r="JGD45" s="16"/>
      <c r="JGE45" s="16"/>
      <c r="JGF45" s="16"/>
      <c r="JGG45" s="16"/>
      <c r="JGH45" s="16"/>
      <c r="JGI45" s="16"/>
      <c r="JGJ45" s="16"/>
      <c r="JGK45" s="16"/>
      <c r="JGL45" s="16"/>
      <c r="JGM45" s="16"/>
      <c r="JGN45" s="16"/>
      <c r="JGO45" s="16"/>
      <c r="JGP45" s="16"/>
      <c r="JGQ45" s="16"/>
      <c r="JGR45" s="16"/>
      <c r="JGS45" s="16"/>
      <c r="JGT45" s="16"/>
      <c r="JGU45" s="16"/>
      <c r="JGV45" s="16"/>
      <c r="JGW45" s="16"/>
      <c r="JGX45" s="16"/>
      <c r="JGY45" s="16"/>
      <c r="JGZ45" s="16"/>
      <c r="JHA45" s="16"/>
      <c r="JHB45" s="16"/>
      <c r="JHC45" s="16"/>
      <c r="JHD45" s="16"/>
      <c r="JHE45" s="16"/>
      <c r="JHF45" s="16"/>
      <c r="JHG45" s="16"/>
      <c r="JHH45" s="16"/>
      <c r="JHI45" s="16"/>
      <c r="JHJ45" s="16"/>
      <c r="JHK45" s="16"/>
      <c r="JHL45" s="16"/>
      <c r="JHM45" s="16"/>
      <c r="JHN45" s="16"/>
      <c r="JHO45" s="16"/>
      <c r="JHP45" s="16"/>
      <c r="JHQ45" s="16"/>
      <c r="JHR45" s="16"/>
      <c r="JHS45" s="16"/>
      <c r="JHT45" s="16"/>
      <c r="JHU45" s="16"/>
      <c r="JHV45" s="16"/>
      <c r="JHW45" s="16"/>
      <c r="JHX45" s="16"/>
      <c r="JHY45" s="16"/>
      <c r="JHZ45" s="16"/>
      <c r="JIA45" s="16"/>
      <c r="JIB45" s="16"/>
      <c r="JIC45" s="16"/>
      <c r="JID45" s="16"/>
      <c r="JIE45" s="16"/>
      <c r="JIF45" s="16"/>
      <c r="JIG45" s="16"/>
      <c r="JIH45" s="16"/>
      <c r="JII45" s="16"/>
      <c r="JIJ45" s="16"/>
      <c r="JIK45" s="16"/>
      <c r="JIL45" s="16"/>
      <c r="JIM45" s="16"/>
      <c r="JIN45" s="16"/>
      <c r="JIO45" s="16"/>
      <c r="JIP45" s="16"/>
      <c r="JIQ45" s="16"/>
      <c r="JIR45" s="16"/>
      <c r="JIS45" s="16"/>
      <c r="JIT45" s="16"/>
      <c r="JIU45" s="16"/>
      <c r="JIV45" s="16"/>
      <c r="JIW45" s="16"/>
      <c r="JIX45" s="16"/>
      <c r="JIY45" s="16"/>
      <c r="JIZ45" s="16"/>
      <c r="JJA45" s="16"/>
      <c r="JJB45" s="16"/>
      <c r="JJC45" s="16"/>
      <c r="JJD45" s="16"/>
      <c r="JJE45" s="16"/>
      <c r="JJF45" s="16"/>
      <c r="JJG45" s="16"/>
      <c r="JJH45" s="16"/>
      <c r="JJI45" s="16"/>
      <c r="JJJ45" s="16"/>
      <c r="JJK45" s="16"/>
      <c r="JJL45" s="16"/>
      <c r="JJM45" s="16"/>
      <c r="JJN45" s="16"/>
      <c r="JJO45" s="16"/>
      <c r="JJP45" s="16"/>
      <c r="JJQ45" s="16"/>
      <c r="JJR45" s="16"/>
      <c r="JJS45" s="16"/>
      <c r="JJT45" s="16"/>
      <c r="JJU45" s="16"/>
      <c r="JJV45" s="16"/>
      <c r="JJW45" s="16"/>
      <c r="JJX45" s="16"/>
      <c r="JJY45" s="16"/>
      <c r="JJZ45" s="16"/>
      <c r="JKA45" s="16"/>
      <c r="JKB45" s="16"/>
      <c r="JKC45" s="16"/>
      <c r="JKD45" s="16"/>
      <c r="JKE45" s="16"/>
      <c r="JKF45" s="16"/>
      <c r="JKG45" s="16"/>
      <c r="JKH45" s="16"/>
      <c r="JKI45" s="16"/>
      <c r="JKJ45" s="16"/>
      <c r="JKK45" s="16"/>
      <c r="JKL45" s="16"/>
      <c r="JKM45" s="16"/>
      <c r="JKN45" s="16"/>
      <c r="JKO45" s="16"/>
      <c r="JKP45" s="16"/>
      <c r="JKQ45" s="16"/>
      <c r="JKR45" s="16"/>
      <c r="JKS45" s="16"/>
      <c r="JKT45" s="16"/>
      <c r="JKU45" s="16"/>
      <c r="JKV45" s="16"/>
      <c r="JKW45" s="16"/>
      <c r="JKX45" s="16"/>
      <c r="JKY45" s="16"/>
      <c r="JKZ45" s="16"/>
      <c r="JLA45" s="16"/>
      <c r="JLB45" s="16"/>
      <c r="JLC45" s="16"/>
      <c r="JLD45" s="16"/>
      <c r="JLE45" s="16"/>
      <c r="JLF45" s="16"/>
      <c r="JLG45" s="16"/>
      <c r="JLH45" s="16"/>
      <c r="JLI45" s="16"/>
      <c r="JLJ45" s="16"/>
      <c r="JLK45" s="16"/>
      <c r="JLL45" s="16"/>
      <c r="JLM45" s="16"/>
      <c r="JLN45" s="16"/>
      <c r="JLO45" s="16"/>
      <c r="JLP45" s="16"/>
      <c r="JLQ45" s="16"/>
      <c r="JLR45" s="16"/>
      <c r="JLS45" s="16"/>
      <c r="JLT45" s="16"/>
      <c r="JLU45" s="16"/>
      <c r="JLV45" s="16"/>
      <c r="JLW45" s="16"/>
      <c r="JLX45" s="16"/>
      <c r="JLY45" s="16"/>
      <c r="JLZ45" s="16"/>
      <c r="JMA45" s="16"/>
      <c r="JMB45" s="16"/>
      <c r="JMC45" s="16"/>
      <c r="JMD45" s="16"/>
      <c r="JME45" s="16"/>
      <c r="JMF45" s="16"/>
      <c r="JMG45" s="16"/>
      <c r="JMH45" s="16"/>
      <c r="JMI45" s="16"/>
      <c r="JMJ45" s="16"/>
      <c r="JMK45" s="16"/>
      <c r="JML45" s="16"/>
      <c r="JMM45" s="16"/>
      <c r="JMN45" s="16"/>
      <c r="JMO45" s="16"/>
      <c r="JMP45" s="16"/>
      <c r="JMQ45" s="16"/>
      <c r="JMR45" s="16"/>
      <c r="JMS45" s="16"/>
      <c r="JMT45" s="16"/>
      <c r="JMU45" s="16"/>
      <c r="JMV45" s="16"/>
      <c r="JMW45" s="16"/>
      <c r="JMX45" s="16"/>
      <c r="JMY45" s="16"/>
      <c r="JMZ45" s="16"/>
      <c r="JNA45" s="16"/>
      <c r="JNB45" s="16"/>
      <c r="JNC45" s="16"/>
      <c r="JND45" s="16"/>
      <c r="JNE45" s="16"/>
      <c r="JNF45" s="16"/>
      <c r="JNG45" s="16"/>
      <c r="JNH45" s="16"/>
      <c r="JNI45" s="16"/>
      <c r="JNJ45" s="16"/>
      <c r="JNK45" s="16"/>
      <c r="JNL45" s="16"/>
      <c r="JNM45" s="16"/>
      <c r="JNN45" s="16"/>
      <c r="JNO45" s="16"/>
      <c r="JNP45" s="16"/>
      <c r="JNQ45" s="16"/>
      <c r="JNR45" s="16"/>
      <c r="JNS45" s="16"/>
      <c r="JNT45" s="16"/>
      <c r="JNU45" s="16"/>
      <c r="JNV45" s="16"/>
      <c r="JNW45" s="16"/>
      <c r="JNX45" s="16"/>
      <c r="JNY45" s="16"/>
      <c r="JNZ45" s="16"/>
      <c r="JOA45" s="16"/>
      <c r="JOB45" s="16"/>
      <c r="JOC45" s="16"/>
      <c r="JOD45" s="16"/>
      <c r="JOE45" s="16"/>
      <c r="JOF45" s="16"/>
      <c r="JOG45" s="16"/>
      <c r="JOH45" s="16"/>
      <c r="JOI45" s="16"/>
      <c r="JOJ45" s="16"/>
      <c r="JOK45" s="16"/>
      <c r="JOL45" s="16"/>
      <c r="JOM45" s="16"/>
      <c r="JON45" s="16"/>
      <c r="JOO45" s="16"/>
      <c r="JOP45" s="16"/>
      <c r="JOQ45" s="16"/>
      <c r="JOR45" s="16"/>
      <c r="JOS45" s="16"/>
      <c r="JOT45" s="16"/>
      <c r="JOU45" s="16"/>
      <c r="JOV45" s="16"/>
      <c r="JOW45" s="16"/>
      <c r="JOX45" s="16"/>
      <c r="JOY45" s="16"/>
      <c r="JOZ45" s="16"/>
      <c r="JPA45" s="16"/>
      <c r="JPB45" s="16"/>
      <c r="JPC45" s="16"/>
      <c r="JPD45" s="16"/>
      <c r="JPE45" s="16"/>
      <c r="JPF45" s="16"/>
      <c r="JPG45" s="16"/>
      <c r="JPH45" s="16"/>
      <c r="JPI45" s="16"/>
      <c r="JPJ45" s="16"/>
      <c r="JPK45" s="16"/>
      <c r="JPL45" s="16"/>
      <c r="JPM45" s="16"/>
      <c r="JPN45" s="16"/>
      <c r="JPO45" s="16"/>
      <c r="JPP45" s="16"/>
      <c r="JPQ45" s="16"/>
      <c r="JPR45" s="16"/>
      <c r="JPS45" s="16"/>
      <c r="JPT45" s="16"/>
      <c r="JPU45" s="16"/>
      <c r="JPV45" s="16"/>
      <c r="JPW45" s="16"/>
      <c r="JPX45" s="16"/>
      <c r="JPY45" s="16"/>
      <c r="JPZ45" s="16"/>
      <c r="JQA45" s="16"/>
      <c r="JQB45" s="16"/>
      <c r="JQC45" s="16"/>
      <c r="JQD45" s="16"/>
      <c r="JQE45" s="16"/>
      <c r="JQF45" s="16"/>
      <c r="JQG45" s="16"/>
      <c r="JQH45" s="16"/>
      <c r="JQI45" s="16"/>
      <c r="JQJ45" s="16"/>
      <c r="JQK45" s="16"/>
      <c r="JQL45" s="16"/>
      <c r="JQM45" s="16"/>
      <c r="JQN45" s="16"/>
      <c r="JQO45" s="16"/>
      <c r="JQP45" s="16"/>
      <c r="JQQ45" s="16"/>
      <c r="JQR45" s="16"/>
      <c r="JQS45" s="16"/>
      <c r="JQT45" s="16"/>
      <c r="JQU45" s="16"/>
      <c r="JQV45" s="16"/>
      <c r="JQW45" s="16"/>
      <c r="JQX45" s="16"/>
      <c r="JQY45" s="16"/>
      <c r="JQZ45" s="16"/>
      <c r="JRA45" s="16"/>
      <c r="JRB45" s="16"/>
      <c r="JRC45" s="16"/>
      <c r="JRD45" s="16"/>
      <c r="JRE45" s="16"/>
      <c r="JRF45" s="16"/>
      <c r="JRG45" s="16"/>
      <c r="JRH45" s="16"/>
      <c r="JRI45" s="16"/>
      <c r="JRJ45" s="16"/>
      <c r="JRK45" s="16"/>
      <c r="JRL45" s="16"/>
      <c r="JRM45" s="16"/>
      <c r="JRN45" s="16"/>
      <c r="JRO45" s="16"/>
      <c r="JRP45" s="16"/>
      <c r="JRQ45" s="16"/>
      <c r="JRR45" s="16"/>
      <c r="JRS45" s="16"/>
      <c r="JRT45" s="16"/>
      <c r="JRU45" s="16"/>
      <c r="JRV45" s="16"/>
      <c r="JRW45" s="16"/>
      <c r="JRX45" s="16"/>
      <c r="JRY45" s="16"/>
      <c r="JRZ45" s="16"/>
      <c r="JSA45" s="16"/>
      <c r="JSB45" s="16"/>
      <c r="JSC45" s="16"/>
      <c r="JSD45" s="16"/>
      <c r="JSE45" s="16"/>
      <c r="JSF45" s="16"/>
      <c r="JSG45" s="16"/>
      <c r="JSH45" s="16"/>
      <c r="JSI45" s="16"/>
      <c r="JSJ45" s="16"/>
      <c r="JSK45" s="16"/>
      <c r="JSL45" s="16"/>
      <c r="JSM45" s="16"/>
      <c r="JSN45" s="16"/>
      <c r="JSO45" s="16"/>
      <c r="JSP45" s="16"/>
      <c r="JSQ45" s="16"/>
      <c r="JSR45" s="16"/>
      <c r="JSS45" s="16"/>
      <c r="JST45" s="16"/>
      <c r="JSU45" s="16"/>
      <c r="JSV45" s="16"/>
      <c r="JSW45" s="16"/>
      <c r="JSX45" s="16"/>
      <c r="JSY45" s="16"/>
      <c r="JSZ45" s="16"/>
      <c r="JTA45" s="16"/>
      <c r="JTB45" s="16"/>
      <c r="JTC45" s="16"/>
      <c r="JTD45" s="16"/>
      <c r="JTE45" s="16"/>
      <c r="JTF45" s="16"/>
      <c r="JTG45" s="16"/>
      <c r="JTH45" s="16"/>
      <c r="JTI45" s="16"/>
      <c r="JTJ45" s="16"/>
      <c r="JTK45" s="16"/>
      <c r="JTL45" s="16"/>
      <c r="JTM45" s="16"/>
      <c r="JTN45" s="16"/>
      <c r="JTO45" s="16"/>
      <c r="JTP45" s="16"/>
      <c r="JTQ45" s="16"/>
      <c r="JTR45" s="16"/>
      <c r="JTS45" s="16"/>
      <c r="JTT45" s="16"/>
      <c r="JTU45" s="16"/>
      <c r="JTV45" s="16"/>
      <c r="JTW45" s="16"/>
      <c r="JTX45" s="16"/>
      <c r="JTY45" s="16"/>
      <c r="JTZ45" s="16"/>
      <c r="JUA45" s="16"/>
      <c r="JUB45" s="16"/>
      <c r="JUC45" s="16"/>
      <c r="JUD45" s="16"/>
      <c r="JUE45" s="16"/>
      <c r="JUF45" s="16"/>
      <c r="JUG45" s="16"/>
      <c r="JUH45" s="16"/>
      <c r="JUI45" s="16"/>
      <c r="JUJ45" s="16"/>
      <c r="JUK45" s="16"/>
      <c r="JUL45" s="16"/>
      <c r="JUM45" s="16"/>
      <c r="JUN45" s="16"/>
      <c r="JUO45" s="16"/>
      <c r="JUP45" s="16"/>
      <c r="JUQ45" s="16"/>
      <c r="JUR45" s="16"/>
      <c r="JUS45" s="16"/>
      <c r="JUT45" s="16"/>
      <c r="JUU45" s="16"/>
      <c r="JUV45" s="16"/>
      <c r="JUW45" s="16"/>
      <c r="JUX45" s="16"/>
      <c r="JUY45" s="16"/>
      <c r="JUZ45" s="16"/>
      <c r="JVA45" s="16"/>
      <c r="JVB45" s="16"/>
      <c r="JVC45" s="16"/>
      <c r="JVD45" s="16"/>
      <c r="JVE45" s="16"/>
      <c r="JVF45" s="16"/>
      <c r="JVG45" s="16"/>
      <c r="JVH45" s="16"/>
      <c r="JVI45" s="16"/>
      <c r="JVJ45" s="16"/>
      <c r="JVK45" s="16"/>
      <c r="JVL45" s="16"/>
      <c r="JVM45" s="16"/>
      <c r="JVN45" s="16"/>
      <c r="JVO45" s="16"/>
      <c r="JVP45" s="16"/>
      <c r="JVQ45" s="16"/>
      <c r="JVR45" s="16"/>
      <c r="JVS45" s="16"/>
      <c r="JVT45" s="16"/>
      <c r="JVU45" s="16"/>
      <c r="JVV45" s="16"/>
      <c r="JVW45" s="16"/>
      <c r="JVX45" s="16"/>
      <c r="JVY45" s="16"/>
      <c r="JVZ45" s="16"/>
      <c r="JWA45" s="16"/>
      <c r="JWB45" s="16"/>
      <c r="JWC45" s="16"/>
      <c r="JWD45" s="16"/>
      <c r="JWE45" s="16"/>
      <c r="JWF45" s="16"/>
      <c r="JWG45" s="16"/>
      <c r="JWH45" s="16"/>
      <c r="JWI45" s="16"/>
      <c r="JWJ45" s="16"/>
      <c r="JWK45" s="16"/>
      <c r="JWL45" s="16"/>
      <c r="JWM45" s="16"/>
      <c r="JWN45" s="16"/>
      <c r="JWO45" s="16"/>
      <c r="JWP45" s="16"/>
      <c r="JWQ45" s="16"/>
      <c r="JWR45" s="16"/>
      <c r="JWS45" s="16"/>
      <c r="JWT45" s="16"/>
      <c r="JWU45" s="16"/>
      <c r="JWV45" s="16"/>
      <c r="JWW45" s="16"/>
      <c r="JWX45" s="16"/>
      <c r="JWY45" s="16"/>
      <c r="JWZ45" s="16"/>
      <c r="JXA45" s="16"/>
      <c r="JXB45" s="16"/>
      <c r="JXC45" s="16"/>
      <c r="JXD45" s="16"/>
      <c r="JXE45" s="16"/>
      <c r="JXF45" s="16"/>
      <c r="JXG45" s="16"/>
      <c r="JXH45" s="16"/>
      <c r="JXI45" s="16"/>
      <c r="JXJ45" s="16"/>
      <c r="JXK45" s="16"/>
      <c r="JXL45" s="16"/>
      <c r="JXM45" s="16"/>
      <c r="JXN45" s="16"/>
      <c r="JXO45" s="16"/>
      <c r="JXP45" s="16"/>
      <c r="JXQ45" s="16"/>
      <c r="JXR45" s="16"/>
      <c r="JXS45" s="16"/>
      <c r="JXT45" s="16"/>
      <c r="JXU45" s="16"/>
      <c r="JXV45" s="16"/>
      <c r="JXW45" s="16"/>
      <c r="JXX45" s="16"/>
      <c r="JXY45" s="16"/>
      <c r="JXZ45" s="16"/>
      <c r="JYA45" s="16"/>
      <c r="JYB45" s="16"/>
      <c r="JYC45" s="16"/>
      <c r="JYD45" s="16"/>
      <c r="JYE45" s="16"/>
      <c r="JYF45" s="16"/>
      <c r="JYG45" s="16"/>
      <c r="JYH45" s="16"/>
      <c r="JYI45" s="16"/>
      <c r="JYJ45" s="16"/>
      <c r="JYK45" s="16"/>
      <c r="JYL45" s="16"/>
      <c r="JYM45" s="16"/>
      <c r="JYN45" s="16"/>
      <c r="JYO45" s="16"/>
      <c r="JYP45" s="16"/>
      <c r="JYQ45" s="16"/>
      <c r="JYR45" s="16"/>
      <c r="JYS45" s="16"/>
      <c r="JYT45" s="16"/>
      <c r="JYU45" s="16"/>
      <c r="JYV45" s="16"/>
      <c r="JYW45" s="16"/>
      <c r="JYX45" s="16"/>
      <c r="JYY45" s="16"/>
      <c r="JYZ45" s="16"/>
      <c r="JZA45" s="16"/>
      <c r="JZB45" s="16"/>
      <c r="JZC45" s="16"/>
      <c r="JZD45" s="16"/>
      <c r="JZE45" s="16"/>
      <c r="JZF45" s="16"/>
      <c r="JZG45" s="16"/>
      <c r="JZH45" s="16"/>
      <c r="JZI45" s="16"/>
      <c r="JZJ45" s="16"/>
      <c r="JZK45" s="16"/>
      <c r="JZL45" s="16"/>
      <c r="JZM45" s="16"/>
      <c r="JZN45" s="16"/>
      <c r="JZO45" s="16"/>
      <c r="JZP45" s="16"/>
      <c r="JZQ45" s="16"/>
      <c r="JZR45" s="16"/>
      <c r="JZS45" s="16"/>
      <c r="JZT45" s="16"/>
      <c r="JZU45" s="16"/>
      <c r="JZV45" s="16"/>
      <c r="JZW45" s="16"/>
      <c r="JZX45" s="16"/>
      <c r="JZY45" s="16"/>
      <c r="JZZ45" s="16"/>
      <c r="KAA45" s="16"/>
      <c r="KAB45" s="16"/>
      <c r="KAC45" s="16"/>
      <c r="KAD45" s="16"/>
      <c r="KAE45" s="16"/>
      <c r="KAF45" s="16"/>
      <c r="KAG45" s="16"/>
      <c r="KAH45" s="16"/>
      <c r="KAI45" s="16"/>
      <c r="KAJ45" s="16"/>
      <c r="KAK45" s="16"/>
      <c r="KAL45" s="16"/>
      <c r="KAM45" s="16"/>
      <c r="KAN45" s="16"/>
      <c r="KAO45" s="16"/>
      <c r="KAP45" s="16"/>
      <c r="KAQ45" s="16"/>
      <c r="KAR45" s="16"/>
      <c r="KAS45" s="16"/>
      <c r="KAT45" s="16"/>
      <c r="KAU45" s="16"/>
      <c r="KAV45" s="16"/>
      <c r="KAW45" s="16"/>
      <c r="KAX45" s="16"/>
      <c r="KAY45" s="16"/>
      <c r="KAZ45" s="16"/>
      <c r="KBA45" s="16"/>
      <c r="KBB45" s="16"/>
      <c r="KBC45" s="16"/>
      <c r="KBD45" s="16"/>
      <c r="KBE45" s="16"/>
      <c r="KBF45" s="16"/>
      <c r="KBG45" s="16"/>
      <c r="KBH45" s="16"/>
      <c r="KBI45" s="16"/>
      <c r="KBJ45" s="16"/>
      <c r="KBK45" s="16"/>
      <c r="KBL45" s="16"/>
      <c r="KBM45" s="16"/>
      <c r="KBN45" s="16"/>
      <c r="KBO45" s="16"/>
      <c r="KBP45" s="16"/>
      <c r="KBQ45" s="16"/>
      <c r="KBR45" s="16"/>
      <c r="KBS45" s="16"/>
      <c r="KBT45" s="16"/>
      <c r="KBU45" s="16"/>
      <c r="KBV45" s="16"/>
      <c r="KBW45" s="16"/>
      <c r="KBX45" s="16"/>
      <c r="KBY45" s="16"/>
      <c r="KBZ45" s="16"/>
      <c r="KCA45" s="16"/>
      <c r="KCB45" s="16"/>
      <c r="KCC45" s="16"/>
      <c r="KCD45" s="16"/>
      <c r="KCE45" s="16"/>
      <c r="KCF45" s="16"/>
      <c r="KCG45" s="16"/>
      <c r="KCH45" s="16"/>
      <c r="KCI45" s="16"/>
      <c r="KCJ45" s="16"/>
      <c r="KCK45" s="16"/>
      <c r="KCL45" s="16"/>
      <c r="KCM45" s="16"/>
      <c r="KCN45" s="16"/>
      <c r="KCO45" s="16"/>
      <c r="KCP45" s="16"/>
      <c r="KCQ45" s="16"/>
      <c r="KCR45" s="16"/>
      <c r="KCS45" s="16"/>
      <c r="KCT45" s="16"/>
      <c r="KCU45" s="16"/>
      <c r="KCV45" s="16"/>
      <c r="KCW45" s="16"/>
      <c r="KCX45" s="16"/>
      <c r="KCY45" s="16"/>
      <c r="KCZ45" s="16"/>
      <c r="KDA45" s="16"/>
      <c r="KDB45" s="16"/>
      <c r="KDC45" s="16"/>
      <c r="KDD45" s="16"/>
      <c r="KDE45" s="16"/>
      <c r="KDF45" s="16"/>
      <c r="KDG45" s="16"/>
      <c r="KDH45" s="16"/>
      <c r="KDI45" s="16"/>
      <c r="KDJ45" s="16"/>
      <c r="KDK45" s="16"/>
      <c r="KDL45" s="16"/>
      <c r="KDM45" s="16"/>
      <c r="KDN45" s="16"/>
      <c r="KDO45" s="16"/>
      <c r="KDP45" s="16"/>
      <c r="KDQ45" s="16"/>
      <c r="KDR45" s="16"/>
      <c r="KDS45" s="16"/>
      <c r="KDT45" s="16"/>
      <c r="KDU45" s="16"/>
      <c r="KDV45" s="16"/>
      <c r="KDW45" s="16"/>
      <c r="KDX45" s="16"/>
      <c r="KDY45" s="16"/>
      <c r="KDZ45" s="16"/>
      <c r="KEA45" s="16"/>
      <c r="KEB45" s="16"/>
      <c r="KEC45" s="16"/>
      <c r="KED45" s="16"/>
      <c r="KEE45" s="16"/>
      <c r="KEF45" s="16"/>
      <c r="KEG45" s="16"/>
      <c r="KEH45" s="16"/>
      <c r="KEI45" s="16"/>
      <c r="KEJ45" s="16"/>
      <c r="KEK45" s="16"/>
      <c r="KEL45" s="16"/>
      <c r="KEM45" s="16"/>
      <c r="KEN45" s="16"/>
      <c r="KEO45" s="16"/>
      <c r="KEP45" s="16"/>
      <c r="KEQ45" s="16"/>
      <c r="KER45" s="16"/>
      <c r="KES45" s="16"/>
      <c r="KET45" s="16"/>
      <c r="KEU45" s="16"/>
      <c r="KEV45" s="16"/>
      <c r="KEW45" s="16"/>
      <c r="KEX45" s="16"/>
      <c r="KEY45" s="16"/>
      <c r="KEZ45" s="16"/>
      <c r="KFA45" s="16"/>
      <c r="KFB45" s="16"/>
      <c r="KFC45" s="16"/>
      <c r="KFD45" s="16"/>
      <c r="KFE45" s="16"/>
      <c r="KFF45" s="16"/>
      <c r="KFG45" s="16"/>
      <c r="KFH45" s="16"/>
      <c r="KFI45" s="16"/>
      <c r="KFJ45" s="16"/>
      <c r="KFK45" s="16"/>
      <c r="KFL45" s="16"/>
      <c r="KFM45" s="16"/>
      <c r="KFN45" s="16"/>
      <c r="KFO45" s="16"/>
      <c r="KFP45" s="16"/>
      <c r="KFQ45" s="16"/>
      <c r="KFR45" s="16"/>
      <c r="KFS45" s="16"/>
      <c r="KFT45" s="16"/>
      <c r="KFU45" s="16"/>
      <c r="KFV45" s="16"/>
      <c r="KFW45" s="16"/>
      <c r="KFX45" s="16"/>
      <c r="KFY45" s="16"/>
      <c r="KFZ45" s="16"/>
      <c r="KGA45" s="16"/>
      <c r="KGB45" s="16"/>
      <c r="KGC45" s="16"/>
      <c r="KGD45" s="16"/>
      <c r="KGE45" s="16"/>
      <c r="KGF45" s="16"/>
      <c r="KGG45" s="16"/>
      <c r="KGH45" s="16"/>
      <c r="KGI45" s="16"/>
      <c r="KGJ45" s="16"/>
      <c r="KGK45" s="16"/>
      <c r="KGL45" s="16"/>
      <c r="KGM45" s="16"/>
      <c r="KGN45" s="16"/>
      <c r="KGO45" s="16"/>
      <c r="KGP45" s="16"/>
      <c r="KGQ45" s="16"/>
      <c r="KGR45" s="16"/>
      <c r="KGS45" s="16"/>
      <c r="KGT45" s="16"/>
      <c r="KGU45" s="16"/>
      <c r="KGV45" s="16"/>
      <c r="KGW45" s="16"/>
      <c r="KGX45" s="16"/>
      <c r="KGY45" s="16"/>
      <c r="KGZ45" s="16"/>
      <c r="KHA45" s="16"/>
      <c r="KHB45" s="16"/>
      <c r="KHC45" s="16"/>
      <c r="KHD45" s="16"/>
      <c r="KHE45" s="16"/>
      <c r="KHF45" s="16"/>
      <c r="KHG45" s="16"/>
      <c r="KHH45" s="16"/>
      <c r="KHI45" s="16"/>
      <c r="KHJ45" s="16"/>
      <c r="KHK45" s="16"/>
      <c r="KHL45" s="16"/>
      <c r="KHM45" s="16"/>
      <c r="KHN45" s="16"/>
      <c r="KHO45" s="16"/>
      <c r="KHP45" s="16"/>
      <c r="KHQ45" s="16"/>
      <c r="KHR45" s="16"/>
      <c r="KHS45" s="16"/>
      <c r="KHT45" s="16"/>
      <c r="KHU45" s="16"/>
      <c r="KHV45" s="16"/>
      <c r="KHW45" s="16"/>
      <c r="KHX45" s="16"/>
      <c r="KHY45" s="16"/>
      <c r="KHZ45" s="16"/>
      <c r="KIA45" s="16"/>
      <c r="KIB45" s="16"/>
      <c r="KIC45" s="16"/>
      <c r="KID45" s="16"/>
      <c r="KIE45" s="16"/>
      <c r="KIF45" s="16"/>
      <c r="KIG45" s="16"/>
      <c r="KIH45" s="16"/>
      <c r="KII45" s="16"/>
      <c r="KIJ45" s="16"/>
      <c r="KIK45" s="16"/>
      <c r="KIL45" s="16"/>
      <c r="KIM45" s="16"/>
      <c r="KIN45" s="16"/>
      <c r="KIO45" s="16"/>
      <c r="KIP45" s="16"/>
      <c r="KIQ45" s="16"/>
      <c r="KIR45" s="16"/>
      <c r="KIS45" s="16"/>
      <c r="KIT45" s="16"/>
      <c r="KIU45" s="16"/>
      <c r="KIV45" s="16"/>
      <c r="KIW45" s="16"/>
      <c r="KIX45" s="16"/>
      <c r="KIY45" s="16"/>
      <c r="KIZ45" s="16"/>
      <c r="KJA45" s="16"/>
      <c r="KJB45" s="16"/>
      <c r="KJC45" s="16"/>
      <c r="KJD45" s="16"/>
      <c r="KJE45" s="16"/>
      <c r="KJF45" s="16"/>
      <c r="KJG45" s="16"/>
      <c r="KJH45" s="16"/>
      <c r="KJI45" s="16"/>
      <c r="KJJ45" s="16"/>
      <c r="KJK45" s="16"/>
      <c r="KJL45" s="16"/>
      <c r="KJM45" s="16"/>
      <c r="KJN45" s="16"/>
      <c r="KJO45" s="16"/>
      <c r="KJP45" s="16"/>
      <c r="KJQ45" s="16"/>
      <c r="KJR45" s="16"/>
      <c r="KJS45" s="16"/>
      <c r="KJT45" s="16"/>
      <c r="KJU45" s="16"/>
      <c r="KJV45" s="16"/>
      <c r="KJW45" s="16"/>
      <c r="KJX45" s="16"/>
      <c r="KJY45" s="16"/>
      <c r="KJZ45" s="16"/>
      <c r="KKA45" s="16"/>
      <c r="KKB45" s="16"/>
      <c r="KKC45" s="16"/>
      <c r="KKD45" s="16"/>
      <c r="KKE45" s="16"/>
      <c r="KKF45" s="16"/>
      <c r="KKG45" s="16"/>
      <c r="KKH45" s="16"/>
      <c r="KKI45" s="16"/>
      <c r="KKJ45" s="16"/>
      <c r="KKK45" s="16"/>
      <c r="KKL45" s="16"/>
      <c r="KKM45" s="16"/>
      <c r="KKN45" s="16"/>
      <c r="KKO45" s="16"/>
      <c r="KKP45" s="16"/>
      <c r="KKQ45" s="16"/>
      <c r="KKR45" s="16"/>
      <c r="KKS45" s="16"/>
      <c r="KKT45" s="16"/>
      <c r="KKU45" s="16"/>
      <c r="KKV45" s="16"/>
      <c r="KKW45" s="16"/>
      <c r="KKX45" s="16"/>
      <c r="KKY45" s="16"/>
      <c r="KKZ45" s="16"/>
      <c r="KLA45" s="16"/>
      <c r="KLB45" s="16"/>
      <c r="KLC45" s="16"/>
      <c r="KLD45" s="16"/>
      <c r="KLE45" s="16"/>
      <c r="KLF45" s="16"/>
      <c r="KLG45" s="16"/>
      <c r="KLH45" s="16"/>
      <c r="KLI45" s="16"/>
      <c r="KLJ45" s="16"/>
      <c r="KLK45" s="16"/>
      <c r="KLL45" s="16"/>
      <c r="KLM45" s="16"/>
      <c r="KLN45" s="16"/>
      <c r="KLO45" s="16"/>
      <c r="KLP45" s="16"/>
      <c r="KLQ45" s="16"/>
      <c r="KLR45" s="16"/>
      <c r="KLS45" s="16"/>
      <c r="KLT45" s="16"/>
      <c r="KLU45" s="16"/>
      <c r="KLV45" s="16"/>
      <c r="KLW45" s="16"/>
      <c r="KLX45" s="16"/>
      <c r="KLY45" s="16"/>
      <c r="KLZ45" s="16"/>
      <c r="KMA45" s="16"/>
      <c r="KMB45" s="16"/>
      <c r="KMC45" s="16"/>
      <c r="KMD45" s="16"/>
      <c r="KME45" s="16"/>
      <c r="KMF45" s="16"/>
      <c r="KMG45" s="16"/>
      <c r="KMH45" s="16"/>
      <c r="KMI45" s="16"/>
      <c r="KMJ45" s="16"/>
      <c r="KMK45" s="16"/>
      <c r="KML45" s="16"/>
      <c r="KMM45" s="16"/>
      <c r="KMN45" s="16"/>
      <c r="KMO45" s="16"/>
      <c r="KMP45" s="16"/>
      <c r="KMQ45" s="16"/>
      <c r="KMR45" s="16"/>
      <c r="KMS45" s="16"/>
      <c r="KMT45" s="16"/>
      <c r="KMU45" s="16"/>
      <c r="KMV45" s="16"/>
      <c r="KMW45" s="16"/>
      <c r="KMX45" s="16"/>
      <c r="KMY45" s="16"/>
      <c r="KMZ45" s="16"/>
      <c r="KNA45" s="16"/>
      <c r="KNB45" s="16"/>
      <c r="KNC45" s="16"/>
      <c r="KND45" s="16"/>
      <c r="KNE45" s="16"/>
      <c r="KNF45" s="16"/>
      <c r="KNG45" s="16"/>
      <c r="KNH45" s="16"/>
      <c r="KNI45" s="16"/>
      <c r="KNJ45" s="16"/>
      <c r="KNK45" s="16"/>
      <c r="KNL45" s="16"/>
      <c r="KNM45" s="16"/>
      <c r="KNN45" s="16"/>
      <c r="KNO45" s="16"/>
      <c r="KNP45" s="16"/>
      <c r="KNQ45" s="16"/>
      <c r="KNR45" s="16"/>
      <c r="KNS45" s="16"/>
      <c r="KNT45" s="16"/>
      <c r="KNU45" s="16"/>
      <c r="KNV45" s="16"/>
      <c r="KNW45" s="16"/>
      <c r="KNX45" s="16"/>
      <c r="KNY45" s="16"/>
      <c r="KNZ45" s="16"/>
      <c r="KOA45" s="16"/>
      <c r="KOB45" s="16"/>
      <c r="KOC45" s="16"/>
      <c r="KOD45" s="16"/>
      <c r="KOE45" s="16"/>
      <c r="KOF45" s="16"/>
      <c r="KOG45" s="16"/>
      <c r="KOH45" s="16"/>
      <c r="KOI45" s="16"/>
      <c r="KOJ45" s="16"/>
      <c r="KOK45" s="16"/>
      <c r="KOL45" s="16"/>
      <c r="KOM45" s="16"/>
      <c r="KON45" s="16"/>
      <c r="KOO45" s="16"/>
      <c r="KOP45" s="16"/>
      <c r="KOQ45" s="16"/>
      <c r="KOR45" s="16"/>
      <c r="KOS45" s="16"/>
      <c r="KOT45" s="16"/>
      <c r="KOU45" s="16"/>
      <c r="KOV45" s="16"/>
      <c r="KOW45" s="16"/>
      <c r="KOX45" s="16"/>
      <c r="KOY45" s="16"/>
      <c r="KOZ45" s="16"/>
      <c r="KPA45" s="16"/>
      <c r="KPB45" s="16"/>
      <c r="KPC45" s="16"/>
      <c r="KPD45" s="16"/>
      <c r="KPE45" s="16"/>
      <c r="KPF45" s="16"/>
      <c r="KPG45" s="16"/>
      <c r="KPH45" s="16"/>
      <c r="KPI45" s="16"/>
      <c r="KPJ45" s="16"/>
      <c r="KPK45" s="16"/>
      <c r="KPL45" s="16"/>
      <c r="KPM45" s="16"/>
      <c r="KPN45" s="16"/>
      <c r="KPO45" s="16"/>
      <c r="KPP45" s="16"/>
      <c r="KPQ45" s="16"/>
      <c r="KPR45" s="16"/>
      <c r="KPS45" s="16"/>
      <c r="KPT45" s="16"/>
      <c r="KPU45" s="16"/>
      <c r="KPV45" s="16"/>
      <c r="KPW45" s="16"/>
      <c r="KPX45" s="16"/>
      <c r="KPY45" s="16"/>
      <c r="KPZ45" s="16"/>
      <c r="KQA45" s="16"/>
      <c r="KQB45" s="16"/>
      <c r="KQC45" s="16"/>
      <c r="KQD45" s="16"/>
      <c r="KQE45" s="16"/>
      <c r="KQF45" s="16"/>
      <c r="KQG45" s="16"/>
      <c r="KQH45" s="16"/>
      <c r="KQI45" s="16"/>
      <c r="KQJ45" s="16"/>
      <c r="KQK45" s="16"/>
      <c r="KQL45" s="16"/>
      <c r="KQM45" s="16"/>
      <c r="KQN45" s="16"/>
      <c r="KQO45" s="16"/>
      <c r="KQP45" s="16"/>
      <c r="KQQ45" s="16"/>
      <c r="KQR45" s="16"/>
      <c r="KQS45" s="16"/>
      <c r="KQT45" s="16"/>
      <c r="KQU45" s="16"/>
      <c r="KQV45" s="16"/>
      <c r="KQW45" s="16"/>
      <c r="KQX45" s="16"/>
      <c r="KQY45" s="16"/>
      <c r="KQZ45" s="16"/>
      <c r="KRA45" s="16"/>
      <c r="KRB45" s="16"/>
      <c r="KRC45" s="16"/>
      <c r="KRD45" s="16"/>
      <c r="KRE45" s="16"/>
      <c r="KRF45" s="16"/>
      <c r="KRG45" s="16"/>
      <c r="KRH45" s="16"/>
      <c r="KRI45" s="16"/>
      <c r="KRJ45" s="16"/>
      <c r="KRK45" s="16"/>
      <c r="KRL45" s="16"/>
      <c r="KRM45" s="16"/>
      <c r="KRN45" s="16"/>
      <c r="KRO45" s="16"/>
      <c r="KRP45" s="16"/>
      <c r="KRQ45" s="16"/>
      <c r="KRR45" s="16"/>
      <c r="KRS45" s="16"/>
      <c r="KRT45" s="16"/>
      <c r="KRU45" s="16"/>
      <c r="KRV45" s="16"/>
      <c r="KRW45" s="16"/>
      <c r="KRX45" s="16"/>
      <c r="KRY45" s="16"/>
      <c r="KRZ45" s="16"/>
      <c r="KSA45" s="16"/>
      <c r="KSB45" s="16"/>
      <c r="KSC45" s="16"/>
      <c r="KSD45" s="16"/>
      <c r="KSE45" s="16"/>
      <c r="KSF45" s="16"/>
      <c r="KSG45" s="16"/>
      <c r="KSH45" s="16"/>
      <c r="KSI45" s="16"/>
      <c r="KSJ45" s="16"/>
      <c r="KSK45" s="16"/>
      <c r="KSL45" s="16"/>
      <c r="KSM45" s="16"/>
      <c r="KSN45" s="16"/>
      <c r="KSO45" s="16"/>
      <c r="KSP45" s="16"/>
      <c r="KSQ45" s="16"/>
      <c r="KSR45" s="16"/>
      <c r="KSS45" s="16"/>
      <c r="KST45" s="16"/>
      <c r="KSU45" s="16"/>
      <c r="KSV45" s="16"/>
      <c r="KSW45" s="16"/>
      <c r="KSX45" s="16"/>
      <c r="KSY45" s="16"/>
      <c r="KSZ45" s="16"/>
      <c r="KTA45" s="16"/>
      <c r="KTB45" s="16"/>
      <c r="KTC45" s="16"/>
      <c r="KTD45" s="16"/>
      <c r="KTE45" s="16"/>
      <c r="KTF45" s="16"/>
      <c r="KTG45" s="16"/>
      <c r="KTH45" s="16"/>
      <c r="KTI45" s="16"/>
      <c r="KTJ45" s="16"/>
      <c r="KTK45" s="16"/>
      <c r="KTL45" s="16"/>
      <c r="KTM45" s="16"/>
      <c r="KTN45" s="16"/>
      <c r="KTO45" s="16"/>
      <c r="KTP45" s="16"/>
      <c r="KTQ45" s="16"/>
      <c r="KTR45" s="16"/>
      <c r="KTS45" s="16"/>
      <c r="KTT45" s="16"/>
      <c r="KTU45" s="16"/>
      <c r="KTV45" s="16"/>
      <c r="KTW45" s="16"/>
      <c r="KTX45" s="16"/>
      <c r="KTY45" s="16"/>
      <c r="KTZ45" s="16"/>
      <c r="KUA45" s="16"/>
      <c r="KUB45" s="16"/>
      <c r="KUC45" s="16"/>
      <c r="KUD45" s="16"/>
      <c r="KUE45" s="16"/>
      <c r="KUF45" s="16"/>
      <c r="KUG45" s="16"/>
      <c r="KUH45" s="16"/>
      <c r="KUI45" s="16"/>
      <c r="KUJ45" s="16"/>
      <c r="KUK45" s="16"/>
      <c r="KUL45" s="16"/>
      <c r="KUM45" s="16"/>
      <c r="KUN45" s="16"/>
      <c r="KUO45" s="16"/>
      <c r="KUP45" s="16"/>
      <c r="KUQ45" s="16"/>
      <c r="KUR45" s="16"/>
      <c r="KUS45" s="16"/>
      <c r="KUT45" s="16"/>
      <c r="KUU45" s="16"/>
      <c r="KUV45" s="16"/>
      <c r="KUW45" s="16"/>
      <c r="KUX45" s="16"/>
      <c r="KUY45" s="16"/>
      <c r="KUZ45" s="16"/>
      <c r="KVA45" s="16"/>
      <c r="KVB45" s="16"/>
      <c r="KVC45" s="16"/>
      <c r="KVD45" s="16"/>
      <c r="KVE45" s="16"/>
      <c r="KVF45" s="16"/>
      <c r="KVG45" s="16"/>
      <c r="KVH45" s="16"/>
      <c r="KVI45" s="16"/>
      <c r="KVJ45" s="16"/>
      <c r="KVK45" s="16"/>
      <c r="KVL45" s="16"/>
      <c r="KVM45" s="16"/>
      <c r="KVN45" s="16"/>
      <c r="KVO45" s="16"/>
      <c r="KVP45" s="16"/>
      <c r="KVQ45" s="16"/>
      <c r="KVR45" s="16"/>
      <c r="KVS45" s="16"/>
      <c r="KVT45" s="16"/>
      <c r="KVU45" s="16"/>
      <c r="KVV45" s="16"/>
      <c r="KVW45" s="16"/>
      <c r="KVX45" s="16"/>
      <c r="KVY45" s="16"/>
      <c r="KVZ45" s="16"/>
      <c r="KWA45" s="16"/>
      <c r="KWB45" s="16"/>
      <c r="KWC45" s="16"/>
      <c r="KWD45" s="16"/>
      <c r="KWE45" s="16"/>
      <c r="KWF45" s="16"/>
      <c r="KWG45" s="16"/>
      <c r="KWH45" s="16"/>
      <c r="KWI45" s="16"/>
      <c r="KWJ45" s="16"/>
      <c r="KWK45" s="16"/>
      <c r="KWL45" s="16"/>
      <c r="KWM45" s="16"/>
      <c r="KWN45" s="16"/>
      <c r="KWO45" s="16"/>
      <c r="KWP45" s="16"/>
      <c r="KWQ45" s="16"/>
      <c r="KWR45" s="16"/>
      <c r="KWS45" s="16"/>
      <c r="KWT45" s="16"/>
      <c r="KWU45" s="16"/>
      <c r="KWV45" s="16"/>
      <c r="KWW45" s="16"/>
      <c r="KWX45" s="16"/>
      <c r="KWY45" s="16"/>
      <c r="KWZ45" s="16"/>
      <c r="KXA45" s="16"/>
      <c r="KXB45" s="16"/>
      <c r="KXC45" s="16"/>
      <c r="KXD45" s="16"/>
      <c r="KXE45" s="16"/>
      <c r="KXF45" s="16"/>
      <c r="KXG45" s="16"/>
      <c r="KXH45" s="16"/>
      <c r="KXI45" s="16"/>
      <c r="KXJ45" s="16"/>
      <c r="KXK45" s="16"/>
      <c r="KXL45" s="16"/>
      <c r="KXM45" s="16"/>
      <c r="KXN45" s="16"/>
      <c r="KXO45" s="16"/>
      <c r="KXP45" s="16"/>
      <c r="KXQ45" s="16"/>
      <c r="KXR45" s="16"/>
      <c r="KXS45" s="16"/>
      <c r="KXT45" s="16"/>
      <c r="KXU45" s="16"/>
      <c r="KXV45" s="16"/>
      <c r="KXW45" s="16"/>
      <c r="KXX45" s="16"/>
      <c r="KXY45" s="16"/>
      <c r="KXZ45" s="16"/>
      <c r="KYA45" s="16"/>
      <c r="KYB45" s="16"/>
      <c r="KYC45" s="16"/>
      <c r="KYD45" s="16"/>
      <c r="KYE45" s="16"/>
      <c r="KYF45" s="16"/>
      <c r="KYG45" s="16"/>
      <c r="KYH45" s="16"/>
      <c r="KYI45" s="16"/>
      <c r="KYJ45" s="16"/>
      <c r="KYK45" s="16"/>
      <c r="KYL45" s="16"/>
      <c r="KYM45" s="16"/>
      <c r="KYN45" s="16"/>
      <c r="KYO45" s="16"/>
      <c r="KYP45" s="16"/>
      <c r="KYQ45" s="16"/>
      <c r="KYR45" s="16"/>
      <c r="KYS45" s="16"/>
      <c r="KYT45" s="16"/>
      <c r="KYU45" s="16"/>
      <c r="KYV45" s="16"/>
      <c r="KYW45" s="16"/>
      <c r="KYX45" s="16"/>
      <c r="KYY45" s="16"/>
      <c r="KYZ45" s="16"/>
      <c r="KZA45" s="16"/>
      <c r="KZB45" s="16"/>
      <c r="KZC45" s="16"/>
      <c r="KZD45" s="16"/>
      <c r="KZE45" s="16"/>
      <c r="KZF45" s="16"/>
      <c r="KZG45" s="16"/>
      <c r="KZH45" s="16"/>
      <c r="KZI45" s="16"/>
      <c r="KZJ45" s="16"/>
      <c r="KZK45" s="16"/>
      <c r="KZL45" s="16"/>
      <c r="KZM45" s="16"/>
      <c r="KZN45" s="16"/>
      <c r="KZO45" s="16"/>
      <c r="KZP45" s="16"/>
      <c r="KZQ45" s="16"/>
      <c r="KZR45" s="16"/>
      <c r="KZS45" s="16"/>
      <c r="KZT45" s="16"/>
      <c r="KZU45" s="16"/>
      <c r="KZV45" s="16"/>
      <c r="KZW45" s="16"/>
      <c r="KZX45" s="16"/>
      <c r="KZY45" s="16"/>
      <c r="KZZ45" s="16"/>
      <c r="LAA45" s="16"/>
      <c r="LAB45" s="16"/>
      <c r="LAC45" s="16"/>
      <c r="LAD45" s="16"/>
      <c r="LAE45" s="16"/>
      <c r="LAF45" s="16"/>
      <c r="LAG45" s="16"/>
      <c r="LAH45" s="16"/>
      <c r="LAI45" s="16"/>
      <c r="LAJ45" s="16"/>
      <c r="LAK45" s="16"/>
      <c r="LAL45" s="16"/>
      <c r="LAM45" s="16"/>
      <c r="LAN45" s="16"/>
      <c r="LAO45" s="16"/>
      <c r="LAP45" s="16"/>
      <c r="LAQ45" s="16"/>
      <c r="LAR45" s="16"/>
      <c r="LAS45" s="16"/>
      <c r="LAT45" s="16"/>
      <c r="LAU45" s="16"/>
      <c r="LAV45" s="16"/>
      <c r="LAW45" s="16"/>
      <c r="LAX45" s="16"/>
      <c r="LAY45" s="16"/>
      <c r="LAZ45" s="16"/>
      <c r="LBA45" s="16"/>
      <c r="LBB45" s="16"/>
      <c r="LBC45" s="16"/>
      <c r="LBD45" s="16"/>
      <c r="LBE45" s="16"/>
      <c r="LBF45" s="16"/>
      <c r="LBG45" s="16"/>
      <c r="LBH45" s="16"/>
      <c r="LBI45" s="16"/>
      <c r="LBJ45" s="16"/>
      <c r="LBK45" s="16"/>
      <c r="LBL45" s="16"/>
      <c r="LBM45" s="16"/>
      <c r="LBN45" s="16"/>
      <c r="LBO45" s="16"/>
      <c r="LBP45" s="16"/>
      <c r="LBQ45" s="16"/>
      <c r="LBR45" s="16"/>
      <c r="LBS45" s="16"/>
      <c r="LBT45" s="16"/>
      <c r="LBU45" s="16"/>
      <c r="LBV45" s="16"/>
      <c r="LBW45" s="16"/>
      <c r="LBX45" s="16"/>
      <c r="LBY45" s="16"/>
      <c r="LBZ45" s="16"/>
      <c r="LCA45" s="16"/>
      <c r="LCB45" s="16"/>
      <c r="LCC45" s="16"/>
      <c r="LCD45" s="16"/>
      <c r="LCE45" s="16"/>
      <c r="LCF45" s="16"/>
      <c r="LCG45" s="16"/>
      <c r="LCH45" s="16"/>
      <c r="LCI45" s="16"/>
      <c r="LCJ45" s="16"/>
      <c r="LCK45" s="16"/>
      <c r="LCL45" s="16"/>
      <c r="LCM45" s="16"/>
      <c r="LCN45" s="16"/>
      <c r="LCO45" s="16"/>
      <c r="LCP45" s="16"/>
      <c r="LCQ45" s="16"/>
      <c r="LCR45" s="16"/>
      <c r="LCS45" s="16"/>
      <c r="LCT45" s="16"/>
      <c r="LCU45" s="16"/>
      <c r="LCV45" s="16"/>
      <c r="LCW45" s="16"/>
      <c r="LCX45" s="16"/>
      <c r="LCY45" s="16"/>
      <c r="LCZ45" s="16"/>
      <c r="LDA45" s="16"/>
      <c r="LDB45" s="16"/>
      <c r="LDC45" s="16"/>
      <c r="LDD45" s="16"/>
      <c r="LDE45" s="16"/>
      <c r="LDF45" s="16"/>
      <c r="LDG45" s="16"/>
      <c r="LDH45" s="16"/>
      <c r="LDI45" s="16"/>
      <c r="LDJ45" s="16"/>
      <c r="LDK45" s="16"/>
      <c r="LDL45" s="16"/>
      <c r="LDM45" s="16"/>
      <c r="LDN45" s="16"/>
      <c r="LDO45" s="16"/>
      <c r="LDP45" s="16"/>
      <c r="LDQ45" s="16"/>
      <c r="LDR45" s="16"/>
      <c r="LDS45" s="16"/>
      <c r="LDT45" s="16"/>
      <c r="LDU45" s="16"/>
      <c r="LDV45" s="16"/>
      <c r="LDW45" s="16"/>
      <c r="LDX45" s="16"/>
      <c r="LDY45" s="16"/>
      <c r="LDZ45" s="16"/>
      <c r="LEA45" s="16"/>
      <c r="LEB45" s="16"/>
      <c r="LEC45" s="16"/>
      <c r="LED45" s="16"/>
      <c r="LEE45" s="16"/>
      <c r="LEF45" s="16"/>
      <c r="LEG45" s="16"/>
      <c r="LEH45" s="16"/>
      <c r="LEI45" s="16"/>
      <c r="LEJ45" s="16"/>
      <c r="LEK45" s="16"/>
      <c r="LEL45" s="16"/>
      <c r="LEM45" s="16"/>
      <c r="LEN45" s="16"/>
      <c r="LEO45" s="16"/>
      <c r="LEP45" s="16"/>
      <c r="LEQ45" s="16"/>
      <c r="LER45" s="16"/>
      <c r="LES45" s="16"/>
      <c r="LET45" s="16"/>
      <c r="LEU45" s="16"/>
      <c r="LEV45" s="16"/>
      <c r="LEW45" s="16"/>
      <c r="LEX45" s="16"/>
      <c r="LEY45" s="16"/>
      <c r="LEZ45" s="16"/>
      <c r="LFA45" s="16"/>
      <c r="LFB45" s="16"/>
      <c r="LFC45" s="16"/>
      <c r="LFD45" s="16"/>
      <c r="LFE45" s="16"/>
      <c r="LFF45" s="16"/>
      <c r="LFG45" s="16"/>
      <c r="LFH45" s="16"/>
      <c r="LFI45" s="16"/>
      <c r="LFJ45" s="16"/>
      <c r="LFK45" s="16"/>
      <c r="LFL45" s="16"/>
      <c r="LFM45" s="16"/>
      <c r="LFN45" s="16"/>
      <c r="LFO45" s="16"/>
      <c r="LFP45" s="16"/>
      <c r="LFQ45" s="16"/>
      <c r="LFR45" s="16"/>
      <c r="LFS45" s="16"/>
      <c r="LFT45" s="16"/>
      <c r="LFU45" s="16"/>
      <c r="LFV45" s="16"/>
      <c r="LFW45" s="16"/>
      <c r="LFX45" s="16"/>
      <c r="LFY45" s="16"/>
      <c r="LFZ45" s="16"/>
      <c r="LGA45" s="16"/>
      <c r="LGB45" s="16"/>
      <c r="LGC45" s="16"/>
      <c r="LGD45" s="16"/>
      <c r="LGE45" s="16"/>
      <c r="LGF45" s="16"/>
      <c r="LGG45" s="16"/>
      <c r="LGH45" s="16"/>
      <c r="LGI45" s="16"/>
      <c r="LGJ45" s="16"/>
      <c r="LGK45" s="16"/>
      <c r="LGL45" s="16"/>
      <c r="LGM45" s="16"/>
      <c r="LGN45" s="16"/>
      <c r="LGO45" s="16"/>
      <c r="LGP45" s="16"/>
      <c r="LGQ45" s="16"/>
      <c r="LGR45" s="16"/>
      <c r="LGS45" s="16"/>
      <c r="LGT45" s="16"/>
      <c r="LGU45" s="16"/>
      <c r="LGV45" s="16"/>
      <c r="LGW45" s="16"/>
      <c r="LGX45" s="16"/>
      <c r="LGY45" s="16"/>
      <c r="LGZ45" s="16"/>
      <c r="LHA45" s="16"/>
      <c r="LHB45" s="16"/>
      <c r="LHC45" s="16"/>
      <c r="LHD45" s="16"/>
      <c r="LHE45" s="16"/>
      <c r="LHF45" s="16"/>
      <c r="LHG45" s="16"/>
      <c r="LHH45" s="16"/>
      <c r="LHI45" s="16"/>
      <c r="LHJ45" s="16"/>
      <c r="LHK45" s="16"/>
      <c r="LHL45" s="16"/>
      <c r="LHM45" s="16"/>
      <c r="LHN45" s="16"/>
      <c r="LHO45" s="16"/>
      <c r="LHP45" s="16"/>
      <c r="LHQ45" s="16"/>
      <c r="LHR45" s="16"/>
      <c r="LHS45" s="16"/>
      <c r="LHT45" s="16"/>
      <c r="LHU45" s="16"/>
      <c r="LHV45" s="16"/>
      <c r="LHW45" s="16"/>
      <c r="LHX45" s="16"/>
      <c r="LHY45" s="16"/>
      <c r="LHZ45" s="16"/>
      <c r="LIA45" s="16"/>
      <c r="LIB45" s="16"/>
      <c r="LIC45" s="16"/>
      <c r="LID45" s="16"/>
      <c r="LIE45" s="16"/>
      <c r="LIF45" s="16"/>
      <c r="LIG45" s="16"/>
      <c r="LIH45" s="16"/>
      <c r="LII45" s="16"/>
      <c r="LIJ45" s="16"/>
      <c r="LIK45" s="16"/>
      <c r="LIL45" s="16"/>
      <c r="LIM45" s="16"/>
      <c r="LIN45" s="16"/>
      <c r="LIO45" s="16"/>
      <c r="LIP45" s="16"/>
      <c r="LIQ45" s="16"/>
      <c r="LIR45" s="16"/>
      <c r="LIS45" s="16"/>
      <c r="LIT45" s="16"/>
      <c r="LIU45" s="16"/>
      <c r="LIV45" s="16"/>
      <c r="LIW45" s="16"/>
      <c r="LIX45" s="16"/>
      <c r="LIY45" s="16"/>
      <c r="LIZ45" s="16"/>
      <c r="LJA45" s="16"/>
      <c r="LJB45" s="16"/>
      <c r="LJC45" s="16"/>
      <c r="LJD45" s="16"/>
      <c r="LJE45" s="16"/>
      <c r="LJF45" s="16"/>
      <c r="LJG45" s="16"/>
      <c r="LJH45" s="16"/>
      <c r="LJI45" s="16"/>
      <c r="LJJ45" s="16"/>
      <c r="LJK45" s="16"/>
      <c r="LJL45" s="16"/>
      <c r="LJM45" s="16"/>
      <c r="LJN45" s="16"/>
      <c r="LJO45" s="16"/>
      <c r="LJP45" s="16"/>
      <c r="LJQ45" s="16"/>
      <c r="LJR45" s="16"/>
      <c r="LJS45" s="16"/>
      <c r="LJT45" s="16"/>
      <c r="LJU45" s="16"/>
      <c r="LJV45" s="16"/>
      <c r="LJW45" s="16"/>
      <c r="LJX45" s="16"/>
      <c r="LJY45" s="16"/>
      <c r="LJZ45" s="16"/>
      <c r="LKA45" s="16"/>
      <c r="LKB45" s="16"/>
      <c r="LKC45" s="16"/>
      <c r="LKD45" s="16"/>
      <c r="LKE45" s="16"/>
      <c r="LKF45" s="16"/>
      <c r="LKG45" s="16"/>
      <c r="LKH45" s="16"/>
      <c r="LKI45" s="16"/>
      <c r="LKJ45" s="16"/>
      <c r="LKK45" s="16"/>
      <c r="LKL45" s="16"/>
      <c r="LKM45" s="16"/>
      <c r="LKN45" s="16"/>
      <c r="LKO45" s="16"/>
      <c r="LKP45" s="16"/>
      <c r="LKQ45" s="16"/>
      <c r="LKR45" s="16"/>
      <c r="LKS45" s="16"/>
      <c r="LKT45" s="16"/>
      <c r="LKU45" s="16"/>
      <c r="LKV45" s="16"/>
      <c r="LKW45" s="16"/>
      <c r="LKX45" s="16"/>
      <c r="LKY45" s="16"/>
      <c r="LKZ45" s="16"/>
      <c r="LLA45" s="16"/>
      <c r="LLB45" s="16"/>
      <c r="LLC45" s="16"/>
      <c r="LLD45" s="16"/>
      <c r="LLE45" s="16"/>
      <c r="LLF45" s="16"/>
      <c r="LLG45" s="16"/>
      <c r="LLH45" s="16"/>
      <c r="LLI45" s="16"/>
      <c r="LLJ45" s="16"/>
      <c r="LLK45" s="16"/>
      <c r="LLL45" s="16"/>
      <c r="LLM45" s="16"/>
      <c r="LLN45" s="16"/>
      <c r="LLO45" s="16"/>
      <c r="LLP45" s="16"/>
      <c r="LLQ45" s="16"/>
      <c r="LLR45" s="16"/>
      <c r="LLS45" s="16"/>
      <c r="LLT45" s="16"/>
      <c r="LLU45" s="16"/>
      <c r="LLV45" s="16"/>
      <c r="LLW45" s="16"/>
      <c r="LLX45" s="16"/>
      <c r="LLY45" s="16"/>
      <c r="LLZ45" s="16"/>
      <c r="LMA45" s="16"/>
      <c r="LMB45" s="16"/>
      <c r="LMC45" s="16"/>
      <c r="LMD45" s="16"/>
      <c r="LME45" s="16"/>
      <c r="LMF45" s="16"/>
      <c r="LMG45" s="16"/>
      <c r="LMH45" s="16"/>
      <c r="LMI45" s="16"/>
      <c r="LMJ45" s="16"/>
      <c r="LMK45" s="16"/>
      <c r="LML45" s="16"/>
      <c r="LMM45" s="16"/>
      <c r="LMN45" s="16"/>
      <c r="LMO45" s="16"/>
      <c r="LMP45" s="16"/>
      <c r="LMQ45" s="16"/>
      <c r="LMR45" s="16"/>
      <c r="LMS45" s="16"/>
      <c r="LMT45" s="16"/>
      <c r="LMU45" s="16"/>
      <c r="LMV45" s="16"/>
      <c r="LMW45" s="16"/>
      <c r="LMX45" s="16"/>
      <c r="LMY45" s="16"/>
      <c r="LMZ45" s="16"/>
      <c r="LNA45" s="16"/>
      <c r="LNB45" s="16"/>
      <c r="LNC45" s="16"/>
      <c r="LND45" s="16"/>
      <c r="LNE45" s="16"/>
      <c r="LNF45" s="16"/>
      <c r="LNG45" s="16"/>
      <c r="LNH45" s="16"/>
      <c r="LNI45" s="16"/>
      <c r="LNJ45" s="16"/>
      <c r="LNK45" s="16"/>
      <c r="LNL45" s="16"/>
      <c r="LNM45" s="16"/>
      <c r="LNN45" s="16"/>
      <c r="LNO45" s="16"/>
      <c r="LNP45" s="16"/>
      <c r="LNQ45" s="16"/>
      <c r="LNR45" s="16"/>
      <c r="LNS45" s="16"/>
      <c r="LNT45" s="16"/>
      <c r="LNU45" s="16"/>
      <c r="LNV45" s="16"/>
      <c r="LNW45" s="16"/>
      <c r="LNX45" s="16"/>
      <c r="LNY45" s="16"/>
      <c r="LNZ45" s="16"/>
      <c r="LOA45" s="16"/>
      <c r="LOB45" s="16"/>
      <c r="LOC45" s="16"/>
      <c r="LOD45" s="16"/>
      <c r="LOE45" s="16"/>
      <c r="LOF45" s="16"/>
      <c r="LOG45" s="16"/>
      <c r="LOH45" s="16"/>
      <c r="LOI45" s="16"/>
      <c r="LOJ45" s="16"/>
      <c r="LOK45" s="16"/>
      <c r="LOL45" s="16"/>
      <c r="LOM45" s="16"/>
      <c r="LON45" s="16"/>
      <c r="LOO45" s="16"/>
      <c r="LOP45" s="16"/>
      <c r="LOQ45" s="16"/>
      <c r="LOR45" s="16"/>
      <c r="LOS45" s="16"/>
      <c r="LOT45" s="16"/>
      <c r="LOU45" s="16"/>
      <c r="LOV45" s="16"/>
      <c r="LOW45" s="16"/>
      <c r="LOX45" s="16"/>
      <c r="LOY45" s="16"/>
      <c r="LOZ45" s="16"/>
      <c r="LPA45" s="16"/>
      <c r="LPB45" s="16"/>
      <c r="LPC45" s="16"/>
      <c r="LPD45" s="16"/>
      <c r="LPE45" s="16"/>
      <c r="LPF45" s="16"/>
      <c r="LPG45" s="16"/>
      <c r="LPH45" s="16"/>
      <c r="LPI45" s="16"/>
      <c r="LPJ45" s="16"/>
      <c r="LPK45" s="16"/>
      <c r="LPL45" s="16"/>
      <c r="LPM45" s="16"/>
      <c r="LPN45" s="16"/>
      <c r="LPO45" s="16"/>
      <c r="LPP45" s="16"/>
      <c r="LPQ45" s="16"/>
      <c r="LPR45" s="16"/>
      <c r="LPS45" s="16"/>
      <c r="LPT45" s="16"/>
      <c r="LPU45" s="16"/>
      <c r="LPV45" s="16"/>
      <c r="LPW45" s="16"/>
      <c r="LPX45" s="16"/>
      <c r="LPY45" s="16"/>
      <c r="LPZ45" s="16"/>
      <c r="LQA45" s="16"/>
      <c r="LQB45" s="16"/>
      <c r="LQC45" s="16"/>
      <c r="LQD45" s="16"/>
      <c r="LQE45" s="16"/>
      <c r="LQF45" s="16"/>
      <c r="LQG45" s="16"/>
      <c r="LQH45" s="16"/>
      <c r="LQI45" s="16"/>
      <c r="LQJ45" s="16"/>
      <c r="LQK45" s="16"/>
      <c r="LQL45" s="16"/>
      <c r="LQM45" s="16"/>
      <c r="LQN45" s="16"/>
      <c r="LQO45" s="16"/>
      <c r="LQP45" s="16"/>
      <c r="LQQ45" s="16"/>
      <c r="LQR45" s="16"/>
      <c r="LQS45" s="16"/>
      <c r="LQT45" s="16"/>
      <c r="LQU45" s="16"/>
      <c r="LQV45" s="16"/>
      <c r="LQW45" s="16"/>
      <c r="LQX45" s="16"/>
      <c r="LQY45" s="16"/>
      <c r="LQZ45" s="16"/>
      <c r="LRA45" s="16"/>
      <c r="LRB45" s="16"/>
      <c r="LRC45" s="16"/>
      <c r="LRD45" s="16"/>
      <c r="LRE45" s="16"/>
      <c r="LRF45" s="16"/>
      <c r="LRG45" s="16"/>
      <c r="LRH45" s="16"/>
      <c r="LRI45" s="16"/>
      <c r="LRJ45" s="16"/>
      <c r="LRK45" s="16"/>
      <c r="LRL45" s="16"/>
      <c r="LRM45" s="16"/>
      <c r="LRN45" s="16"/>
      <c r="LRO45" s="16"/>
      <c r="LRP45" s="16"/>
      <c r="LRQ45" s="16"/>
      <c r="LRR45" s="16"/>
      <c r="LRS45" s="16"/>
      <c r="LRT45" s="16"/>
      <c r="LRU45" s="16"/>
      <c r="LRV45" s="16"/>
      <c r="LRW45" s="16"/>
      <c r="LRX45" s="16"/>
      <c r="LRY45" s="16"/>
      <c r="LRZ45" s="16"/>
      <c r="LSA45" s="16"/>
      <c r="LSB45" s="16"/>
      <c r="LSC45" s="16"/>
      <c r="LSD45" s="16"/>
      <c r="LSE45" s="16"/>
      <c r="LSF45" s="16"/>
      <c r="LSG45" s="16"/>
      <c r="LSH45" s="16"/>
      <c r="LSI45" s="16"/>
      <c r="LSJ45" s="16"/>
      <c r="LSK45" s="16"/>
      <c r="LSL45" s="16"/>
      <c r="LSM45" s="16"/>
      <c r="LSN45" s="16"/>
      <c r="LSO45" s="16"/>
      <c r="LSP45" s="16"/>
      <c r="LSQ45" s="16"/>
      <c r="LSR45" s="16"/>
      <c r="LSS45" s="16"/>
      <c r="LST45" s="16"/>
      <c r="LSU45" s="16"/>
      <c r="LSV45" s="16"/>
      <c r="LSW45" s="16"/>
      <c r="LSX45" s="16"/>
      <c r="LSY45" s="16"/>
      <c r="LSZ45" s="16"/>
      <c r="LTA45" s="16"/>
      <c r="LTB45" s="16"/>
      <c r="LTC45" s="16"/>
      <c r="LTD45" s="16"/>
      <c r="LTE45" s="16"/>
      <c r="LTF45" s="16"/>
      <c r="LTG45" s="16"/>
      <c r="LTH45" s="16"/>
      <c r="LTI45" s="16"/>
      <c r="LTJ45" s="16"/>
      <c r="LTK45" s="16"/>
      <c r="LTL45" s="16"/>
      <c r="LTM45" s="16"/>
      <c r="LTN45" s="16"/>
      <c r="LTO45" s="16"/>
      <c r="LTP45" s="16"/>
      <c r="LTQ45" s="16"/>
      <c r="LTR45" s="16"/>
      <c r="LTS45" s="16"/>
      <c r="LTT45" s="16"/>
      <c r="LTU45" s="16"/>
      <c r="LTV45" s="16"/>
      <c r="LTW45" s="16"/>
      <c r="LTX45" s="16"/>
      <c r="LTY45" s="16"/>
      <c r="LTZ45" s="16"/>
      <c r="LUA45" s="16"/>
      <c r="LUB45" s="16"/>
      <c r="LUC45" s="16"/>
      <c r="LUD45" s="16"/>
      <c r="LUE45" s="16"/>
      <c r="LUF45" s="16"/>
      <c r="LUG45" s="16"/>
      <c r="LUH45" s="16"/>
      <c r="LUI45" s="16"/>
      <c r="LUJ45" s="16"/>
      <c r="LUK45" s="16"/>
      <c r="LUL45" s="16"/>
      <c r="LUM45" s="16"/>
      <c r="LUN45" s="16"/>
      <c r="LUO45" s="16"/>
      <c r="LUP45" s="16"/>
      <c r="LUQ45" s="16"/>
      <c r="LUR45" s="16"/>
      <c r="LUS45" s="16"/>
      <c r="LUT45" s="16"/>
      <c r="LUU45" s="16"/>
      <c r="LUV45" s="16"/>
      <c r="LUW45" s="16"/>
      <c r="LUX45" s="16"/>
      <c r="LUY45" s="16"/>
      <c r="LUZ45" s="16"/>
      <c r="LVA45" s="16"/>
      <c r="LVB45" s="16"/>
      <c r="LVC45" s="16"/>
      <c r="LVD45" s="16"/>
      <c r="LVE45" s="16"/>
      <c r="LVF45" s="16"/>
      <c r="LVG45" s="16"/>
      <c r="LVH45" s="16"/>
      <c r="LVI45" s="16"/>
      <c r="LVJ45" s="16"/>
      <c r="LVK45" s="16"/>
      <c r="LVL45" s="16"/>
      <c r="LVM45" s="16"/>
      <c r="LVN45" s="16"/>
      <c r="LVO45" s="16"/>
      <c r="LVP45" s="16"/>
      <c r="LVQ45" s="16"/>
      <c r="LVR45" s="16"/>
      <c r="LVS45" s="16"/>
      <c r="LVT45" s="16"/>
      <c r="LVU45" s="16"/>
      <c r="LVV45" s="16"/>
      <c r="LVW45" s="16"/>
      <c r="LVX45" s="16"/>
      <c r="LVY45" s="16"/>
      <c r="LVZ45" s="16"/>
      <c r="LWA45" s="16"/>
      <c r="LWB45" s="16"/>
      <c r="LWC45" s="16"/>
      <c r="LWD45" s="16"/>
      <c r="LWE45" s="16"/>
      <c r="LWF45" s="16"/>
      <c r="LWG45" s="16"/>
      <c r="LWH45" s="16"/>
      <c r="LWI45" s="16"/>
      <c r="LWJ45" s="16"/>
      <c r="LWK45" s="16"/>
      <c r="LWL45" s="16"/>
      <c r="LWM45" s="16"/>
      <c r="LWN45" s="16"/>
      <c r="LWO45" s="16"/>
      <c r="LWP45" s="16"/>
      <c r="LWQ45" s="16"/>
      <c r="LWR45" s="16"/>
      <c r="LWS45" s="16"/>
      <c r="LWT45" s="16"/>
      <c r="LWU45" s="16"/>
      <c r="LWV45" s="16"/>
      <c r="LWW45" s="16"/>
      <c r="LWX45" s="16"/>
      <c r="LWY45" s="16"/>
      <c r="LWZ45" s="16"/>
      <c r="LXA45" s="16"/>
      <c r="LXB45" s="16"/>
      <c r="LXC45" s="16"/>
      <c r="LXD45" s="16"/>
      <c r="LXE45" s="16"/>
      <c r="LXF45" s="16"/>
      <c r="LXG45" s="16"/>
      <c r="LXH45" s="16"/>
      <c r="LXI45" s="16"/>
      <c r="LXJ45" s="16"/>
      <c r="LXK45" s="16"/>
      <c r="LXL45" s="16"/>
      <c r="LXM45" s="16"/>
      <c r="LXN45" s="16"/>
      <c r="LXO45" s="16"/>
      <c r="LXP45" s="16"/>
      <c r="LXQ45" s="16"/>
      <c r="LXR45" s="16"/>
      <c r="LXS45" s="16"/>
      <c r="LXT45" s="16"/>
      <c r="LXU45" s="16"/>
      <c r="LXV45" s="16"/>
      <c r="LXW45" s="16"/>
      <c r="LXX45" s="16"/>
      <c r="LXY45" s="16"/>
      <c r="LXZ45" s="16"/>
      <c r="LYA45" s="16"/>
      <c r="LYB45" s="16"/>
      <c r="LYC45" s="16"/>
      <c r="LYD45" s="16"/>
      <c r="LYE45" s="16"/>
      <c r="LYF45" s="16"/>
      <c r="LYG45" s="16"/>
      <c r="LYH45" s="16"/>
      <c r="LYI45" s="16"/>
      <c r="LYJ45" s="16"/>
      <c r="LYK45" s="16"/>
      <c r="LYL45" s="16"/>
      <c r="LYM45" s="16"/>
      <c r="LYN45" s="16"/>
      <c r="LYO45" s="16"/>
      <c r="LYP45" s="16"/>
      <c r="LYQ45" s="16"/>
      <c r="LYR45" s="16"/>
      <c r="LYS45" s="16"/>
      <c r="LYT45" s="16"/>
      <c r="LYU45" s="16"/>
      <c r="LYV45" s="16"/>
      <c r="LYW45" s="16"/>
      <c r="LYX45" s="16"/>
      <c r="LYY45" s="16"/>
      <c r="LYZ45" s="16"/>
      <c r="LZA45" s="16"/>
      <c r="LZB45" s="16"/>
      <c r="LZC45" s="16"/>
      <c r="LZD45" s="16"/>
      <c r="LZE45" s="16"/>
      <c r="LZF45" s="16"/>
      <c r="LZG45" s="16"/>
      <c r="LZH45" s="16"/>
      <c r="LZI45" s="16"/>
      <c r="LZJ45" s="16"/>
      <c r="LZK45" s="16"/>
      <c r="LZL45" s="16"/>
      <c r="LZM45" s="16"/>
      <c r="LZN45" s="16"/>
      <c r="LZO45" s="16"/>
      <c r="LZP45" s="16"/>
      <c r="LZQ45" s="16"/>
      <c r="LZR45" s="16"/>
      <c r="LZS45" s="16"/>
      <c r="LZT45" s="16"/>
      <c r="LZU45" s="16"/>
      <c r="LZV45" s="16"/>
      <c r="LZW45" s="16"/>
      <c r="LZX45" s="16"/>
      <c r="LZY45" s="16"/>
      <c r="LZZ45" s="16"/>
      <c r="MAA45" s="16"/>
      <c r="MAB45" s="16"/>
      <c r="MAC45" s="16"/>
      <c r="MAD45" s="16"/>
      <c r="MAE45" s="16"/>
      <c r="MAF45" s="16"/>
      <c r="MAG45" s="16"/>
      <c r="MAH45" s="16"/>
      <c r="MAI45" s="16"/>
      <c r="MAJ45" s="16"/>
      <c r="MAK45" s="16"/>
      <c r="MAL45" s="16"/>
      <c r="MAM45" s="16"/>
      <c r="MAN45" s="16"/>
      <c r="MAO45" s="16"/>
      <c r="MAP45" s="16"/>
      <c r="MAQ45" s="16"/>
      <c r="MAR45" s="16"/>
      <c r="MAS45" s="16"/>
      <c r="MAT45" s="16"/>
      <c r="MAU45" s="16"/>
      <c r="MAV45" s="16"/>
      <c r="MAW45" s="16"/>
      <c r="MAX45" s="16"/>
      <c r="MAY45" s="16"/>
      <c r="MAZ45" s="16"/>
      <c r="MBA45" s="16"/>
      <c r="MBB45" s="16"/>
      <c r="MBC45" s="16"/>
      <c r="MBD45" s="16"/>
      <c r="MBE45" s="16"/>
      <c r="MBF45" s="16"/>
      <c r="MBG45" s="16"/>
      <c r="MBH45" s="16"/>
      <c r="MBI45" s="16"/>
      <c r="MBJ45" s="16"/>
      <c r="MBK45" s="16"/>
      <c r="MBL45" s="16"/>
      <c r="MBM45" s="16"/>
      <c r="MBN45" s="16"/>
      <c r="MBO45" s="16"/>
      <c r="MBP45" s="16"/>
      <c r="MBQ45" s="16"/>
      <c r="MBR45" s="16"/>
      <c r="MBS45" s="16"/>
      <c r="MBT45" s="16"/>
      <c r="MBU45" s="16"/>
      <c r="MBV45" s="16"/>
      <c r="MBW45" s="16"/>
      <c r="MBX45" s="16"/>
      <c r="MBY45" s="16"/>
      <c r="MBZ45" s="16"/>
      <c r="MCA45" s="16"/>
      <c r="MCB45" s="16"/>
      <c r="MCC45" s="16"/>
      <c r="MCD45" s="16"/>
      <c r="MCE45" s="16"/>
      <c r="MCF45" s="16"/>
      <c r="MCG45" s="16"/>
      <c r="MCH45" s="16"/>
      <c r="MCI45" s="16"/>
      <c r="MCJ45" s="16"/>
      <c r="MCK45" s="16"/>
      <c r="MCL45" s="16"/>
      <c r="MCM45" s="16"/>
      <c r="MCN45" s="16"/>
      <c r="MCO45" s="16"/>
      <c r="MCP45" s="16"/>
      <c r="MCQ45" s="16"/>
      <c r="MCR45" s="16"/>
      <c r="MCS45" s="16"/>
      <c r="MCT45" s="16"/>
      <c r="MCU45" s="16"/>
      <c r="MCV45" s="16"/>
      <c r="MCW45" s="16"/>
      <c r="MCX45" s="16"/>
      <c r="MCY45" s="16"/>
      <c r="MCZ45" s="16"/>
      <c r="MDA45" s="16"/>
      <c r="MDB45" s="16"/>
      <c r="MDC45" s="16"/>
      <c r="MDD45" s="16"/>
      <c r="MDE45" s="16"/>
      <c r="MDF45" s="16"/>
      <c r="MDG45" s="16"/>
      <c r="MDH45" s="16"/>
      <c r="MDI45" s="16"/>
      <c r="MDJ45" s="16"/>
      <c r="MDK45" s="16"/>
      <c r="MDL45" s="16"/>
      <c r="MDM45" s="16"/>
      <c r="MDN45" s="16"/>
      <c r="MDO45" s="16"/>
      <c r="MDP45" s="16"/>
      <c r="MDQ45" s="16"/>
      <c r="MDR45" s="16"/>
      <c r="MDS45" s="16"/>
      <c r="MDT45" s="16"/>
      <c r="MDU45" s="16"/>
      <c r="MDV45" s="16"/>
      <c r="MDW45" s="16"/>
      <c r="MDX45" s="16"/>
      <c r="MDY45" s="16"/>
      <c r="MDZ45" s="16"/>
      <c r="MEA45" s="16"/>
      <c r="MEB45" s="16"/>
      <c r="MEC45" s="16"/>
      <c r="MED45" s="16"/>
      <c r="MEE45" s="16"/>
      <c r="MEF45" s="16"/>
      <c r="MEG45" s="16"/>
      <c r="MEH45" s="16"/>
      <c r="MEI45" s="16"/>
      <c r="MEJ45" s="16"/>
      <c r="MEK45" s="16"/>
      <c r="MEL45" s="16"/>
      <c r="MEM45" s="16"/>
      <c r="MEN45" s="16"/>
      <c r="MEO45" s="16"/>
      <c r="MEP45" s="16"/>
      <c r="MEQ45" s="16"/>
      <c r="MER45" s="16"/>
      <c r="MES45" s="16"/>
      <c r="MET45" s="16"/>
      <c r="MEU45" s="16"/>
      <c r="MEV45" s="16"/>
      <c r="MEW45" s="16"/>
      <c r="MEX45" s="16"/>
      <c r="MEY45" s="16"/>
      <c r="MEZ45" s="16"/>
      <c r="MFA45" s="16"/>
      <c r="MFB45" s="16"/>
      <c r="MFC45" s="16"/>
      <c r="MFD45" s="16"/>
      <c r="MFE45" s="16"/>
      <c r="MFF45" s="16"/>
      <c r="MFG45" s="16"/>
      <c r="MFH45" s="16"/>
      <c r="MFI45" s="16"/>
      <c r="MFJ45" s="16"/>
      <c r="MFK45" s="16"/>
      <c r="MFL45" s="16"/>
      <c r="MFM45" s="16"/>
      <c r="MFN45" s="16"/>
      <c r="MFO45" s="16"/>
      <c r="MFP45" s="16"/>
      <c r="MFQ45" s="16"/>
      <c r="MFR45" s="16"/>
      <c r="MFS45" s="16"/>
      <c r="MFT45" s="16"/>
      <c r="MFU45" s="16"/>
      <c r="MFV45" s="16"/>
      <c r="MFW45" s="16"/>
      <c r="MFX45" s="16"/>
      <c r="MFY45" s="16"/>
      <c r="MFZ45" s="16"/>
      <c r="MGA45" s="16"/>
      <c r="MGB45" s="16"/>
      <c r="MGC45" s="16"/>
      <c r="MGD45" s="16"/>
      <c r="MGE45" s="16"/>
      <c r="MGF45" s="16"/>
      <c r="MGG45" s="16"/>
      <c r="MGH45" s="16"/>
      <c r="MGI45" s="16"/>
      <c r="MGJ45" s="16"/>
      <c r="MGK45" s="16"/>
      <c r="MGL45" s="16"/>
      <c r="MGM45" s="16"/>
      <c r="MGN45" s="16"/>
      <c r="MGO45" s="16"/>
      <c r="MGP45" s="16"/>
      <c r="MGQ45" s="16"/>
      <c r="MGR45" s="16"/>
      <c r="MGS45" s="16"/>
      <c r="MGT45" s="16"/>
      <c r="MGU45" s="16"/>
      <c r="MGV45" s="16"/>
      <c r="MGW45" s="16"/>
      <c r="MGX45" s="16"/>
      <c r="MGY45" s="16"/>
      <c r="MGZ45" s="16"/>
      <c r="MHA45" s="16"/>
      <c r="MHB45" s="16"/>
      <c r="MHC45" s="16"/>
      <c r="MHD45" s="16"/>
      <c r="MHE45" s="16"/>
      <c r="MHF45" s="16"/>
      <c r="MHG45" s="16"/>
      <c r="MHH45" s="16"/>
      <c r="MHI45" s="16"/>
      <c r="MHJ45" s="16"/>
      <c r="MHK45" s="16"/>
      <c r="MHL45" s="16"/>
      <c r="MHM45" s="16"/>
      <c r="MHN45" s="16"/>
      <c r="MHO45" s="16"/>
      <c r="MHP45" s="16"/>
      <c r="MHQ45" s="16"/>
      <c r="MHR45" s="16"/>
      <c r="MHS45" s="16"/>
      <c r="MHT45" s="16"/>
      <c r="MHU45" s="16"/>
      <c r="MHV45" s="16"/>
      <c r="MHW45" s="16"/>
      <c r="MHX45" s="16"/>
      <c r="MHY45" s="16"/>
      <c r="MHZ45" s="16"/>
      <c r="MIA45" s="16"/>
      <c r="MIB45" s="16"/>
      <c r="MIC45" s="16"/>
      <c r="MID45" s="16"/>
      <c r="MIE45" s="16"/>
      <c r="MIF45" s="16"/>
      <c r="MIG45" s="16"/>
      <c r="MIH45" s="16"/>
      <c r="MII45" s="16"/>
      <c r="MIJ45" s="16"/>
      <c r="MIK45" s="16"/>
      <c r="MIL45" s="16"/>
      <c r="MIM45" s="16"/>
      <c r="MIN45" s="16"/>
      <c r="MIO45" s="16"/>
      <c r="MIP45" s="16"/>
      <c r="MIQ45" s="16"/>
      <c r="MIR45" s="16"/>
      <c r="MIS45" s="16"/>
      <c r="MIT45" s="16"/>
      <c r="MIU45" s="16"/>
      <c r="MIV45" s="16"/>
      <c r="MIW45" s="16"/>
      <c r="MIX45" s="16"/>
      <c r="MIY45" s="16"/>
      <c r="MIZ45" s="16"/>
      <c r="MJA45" s="16"/>
      <c r="MJB45" s="16"/>
      <c r="MJC45" s="16"/>
      <c r="MJD45" s="16"/>
      <c r="MJE45" s="16"/>
      <c r="MJF45" s="16"/>
      <c r="MJG45" s="16"/>
      <c r="MJH45" s="16"/>
      <c r="MJI45" s="16"/>
      <c r="MJJ45" s="16"/>
      <c r="MJK45" s="16"/>
      <c r="MJL45" s="16"/>
      <c r="MJM45" s="16"/>
      <c r="MJN45" s="16"/>
      <c r="MJO45" s="16"/>
      <c r="MJP45" s="16"/>
      <c r="MJQ45" s="16"/>
      <c r="MJR45" s="16"/>
      <c r="MJS45" s="16"/>
      <c r="MJT45" s="16"/>
      <c r="MJU45" s="16"/>
      <c r="MJV45" s="16"/>
      <c r="MJW45" s="16"/>
      <c r="MJX45" s="16"/>
      <c r="MJY45" s="16"/>
      <c r="MJZ45" s="16"/>
      <c r="MKA45" s="16"/>
      <c r="MKB45" s="16"/>
      <c r="MKC45" s="16"/>
      <c r="MKD45" s="16"/>
      <c r="MKE45" s="16"/>
      <c r="MKF45" s="16"/>
      <c r="MKG45" s="16"/>
      <c r="MKH45" s="16"/>
      <c r="MKI45" s="16"/>
      <c r="MKJ45" s="16"/>
      <c r="MKK45" s="16"/>
      <c r="MKL45" s="16"/>
      <c r="MKM45" s="16"/>
      <c r="MKN45" s="16"/>
      <c r="MKO45" s="16"/>
      <c r="MKP45" s="16"/>
      <c r="MKQ45" s="16"/>
      <c r="MKR45" s="16"/>
      <c r="MKS45" s="16"/>
      <c r="MKT45" s="16"/>
      <c r="MKU45" s="16"/>
      <c r="MKV45" s="16"/>
      <c r="MKW45" s="16"/>
      <c r="MKX45" s="16"/>
      <c r="MKY45" s="16"/>
      <c r="MKZ45" s="16"/>
      <c r="MLA45" s="16"/>
      <c r="MLB45" s="16"/>
      <c r="MLC45" s="16"/>
      <c r="MLD45" s="16"/>
      <c r="MLE45" s="16"/>
      <c r="MLF45" s="16"/>
      <c r="MLG45" s="16"/>
      <c r="MLH45" s="16"/>
      <c r="MLI45" s="16"/>
      <c r="MLJ45" s="16"/>
      <c r="MLK45" s="16"/>
      <c r="MLL45" s="16"/>
      <c r="MLM45" s="16"/>
      <c r="MLN45" s="16"/>
      <c r="MLO45" s="16"/>
      <c r="MLP45" s="16"/>
      <c r="MLQ45" s="16"/>
      <c r="MLR45" s="16"/>
      <c r="MLS45" s="16"/>
      <c r="MLT45" s="16"/>
      <c r="MLU45" s="16"/>
      <c r="MLV45" s="16"/>
      <c r="MLW45" s="16"/>
      <c r="MLX45" s="16"/>
      <c r="MLY45" s="16"/>
      <c r="MLZ45" s="16"/>
      <c r="MMA45" s="16"/>
      <c r="MMB45" s="16"/>
      <c r="MMC45" s="16"/>
      <c r="MMD45" s="16"/>
      <c r="MME45" s="16"/>
      <c r="MMF45" s="16"/>
      <c r="MMG45" s="16"/>
      <c r="MMH45" s="16"/>
      <c r="MMI45" s="16"/>
      <c r="MMJ45" s="16"/>
      <c r="MMK45" s="16"/>
      <c r="MML45" s="16"/>
      <c r="MMM45" s="16"/>
      <c r="MMN45" s="16"/>
      <c r="MMO45" s="16"/>
      <c r="MMP45" s="16"/>
      <c r="MMQ45" s="16"/>
      <c r="MMR45" s="16"/>
      <c r="MMS45" s="16"/>
      <c r="MMT45" s="16"/>
      <c r="MMU45" s="16"/>
      <c r="MMV45" s="16"/>
      <c r="MMW45" s="16"/>
      <c r="MMX45" s="16"/>
      <c r="MMY45" s="16"/>
      <c r="MMZ45" s="16"/>
      <c r="MNA45" s="16"/>
      <c r="MNB45" s="16"/>
      <c r="MNC45" s="16"/>
      <c r="MND45" s="16"/>
      <c r="MNE45" s="16"/>
      <c r="MNF45" s="16"/>
      <c r="MNG45" s="16"/>
      <c r="MNH45" s="16"/>
      <c r="MNI45" s="16"/>
      <c r="MNJ45" s="16"/>
      <c r="MNK45" s="16"/>
      <c r="MNL45" s="16"/>
      <c r="MNM45" s="16"/>
      <c r="MNN45" s="16"/>
      <c r="MNO45" s="16"/>
      <c r="MNP45" s="16"/>
      <c r="MNQ45" s="16"/>
      <c r="MNR45" s="16"/>
      <c r="MNS45" s="16"/>
      <c r="MNT45" s="16"/>
      <c r="MNU45" s="16"/>
      <c r="MNV45" s="16"/>
      <c r="MNW45" s="16"/>
      <c r="MNX45" s="16"/>
      <c r="MNY45" s="16"/>
      <c r="MNZ45" s="16"/>
      <c r="MOA45" s="16"/>
      <c r="MOB45" s="16"/>
      <c r="MOC45" s="16"/>
      <c r="MOD45" s="16"/>
      <c r="MOE45" s="16"/>
      <c r="MOF45" s="16"/>
      <c r="MOG45" s="16"/>
      <c r="MOH45" s="16"/>
      <c r="MOI45" s="16"/>
      <c r="MOJ45" s="16"/>
      <c r="MOK45" s="16"/>
      <c r="MOL45" s="16"/>
      <c r="MOM45" s="16"/>
      <c r="MON45" s="16"/>
      <c r="MOO45" s="16"/>
      <c r="MOP45" s="16"/>
      <c r="MOQ45" s="16"/>
      <c r="MOR45" s="16"/>
      <c r="MOS45" s="16"/>
      <c r="MOT45" s="16"/>
      <c r="MOU45" s="16"/>
      <c r="MOV45" s="16"/>
      <c r="MOW45" s="16"/>
      <c r="MOX45" s="16"/>
      <c r="MOY45" s="16"/>
      <c r="MOZ45" s="16"/>
      <c r="MPA45" s="16"/>
      <c r="MPB45" s="16"/>
      <c r="MPC45" s="16"/>
      <c r="MPD45" s="16"/>
      <c r="MPE45" s="16"/>
      <c r="MPF45" s="16"/>
      <c r="MPG45" s="16"/>
      <c r="MPH45" s="16"/>
      <c r="MPI45" s="16"/>
      <c r="MPJ45" s="16"/>
      <c r="MPK45" s="16"/>
      <c r="MPL45" s="16"/>
      <c r="MPM45" s="16"/>
      <c r="MPN45" s="16"/>
      <c r="MPO45" s="16"/>
      <c r="MPP45" s="16"/>
      <c r="MPQ45" s="16"/>
      <c r="MPR45" s="16"/>
      <c r="MPS45" s="16"/>
      <c r="MPT45" s="16"/>
      <c r="MPU45" s="16"/>
      <c r="MPV45" s="16"/>
      <c r="MPW45" s="16"/>
      <c r="MPX45" s="16"/>
      <c r="MPY45" s="16"/>
      <c r="MPZ45" s="16"/>
      <c r="MQA45" s="16"/>
      <c r="MQB45" s="16"/>
      <c r="MQC45" s="16"/>
      <c r="MQD45" s="16"/>
      <c r="MQE45" s="16"/>
      <c r="MQF45" s="16"/>
      <c r="MQG45" s="16"/>
      <c r="MQH45" s="16"/>
      <c r="MQI45" s="16"/>
      <c r="MQJ45" s="16"/>
      <c r="MQK45" s="16"/>
      <c r="MQL45" s="16"/>
      <c r="MQM45" s="16"/>
      <c r="MQN45" s="16"/>
      <c r="MQO45" s="16"/>
      <c r="MQP45" s="16"/>
      <c r="MQQ45" s="16"/>
      <c r="MQR45" s="16"/>
      <c r="MQS45" s="16"/>
      <c r="MQT45" s="16"/>
      <c r="MQU45" s="16"/>
      <c r="MQV45" s="16"/>
      <c r="MQW45" s="16"/>
      <c r="MQX45" s="16"/>
      <c r="MQY45" s="16"/>
      <c r="MQZ45" s="16"/>
      <c r="MRA45" s="16"/>
      <c r="MRB45" s="16"/>
      <c r="MRC45" s="16"/>
      <c r="MRD45" s="16"/>
      <c r="MRE45" s="16"/>
      <c r="MRF45" s="16"/>
      <c r="MRG45" s="16"/>
      <c r="MRH45" s="16"/>
      <c r="MRI45" s="16"/>
      <c r="MRJ45" s="16"/>
      <c r="MRK45" s="16"/>
      <c r="MRL45" s="16"/>
      <c r="MRM45" s="16"/>
      <c r="MRN45" s="16"/>
      <c r="MRO45" s="16"/>
      <c r="MRP45" s="16"/>
      <c r="MRQ45" s="16"/>
      <c r="MRR45" s="16"/>
      <c r="MRS45" s="16"/>
      <c r="MRT45" s="16"/>
      <c r="MRU45" s="16"/>
      <c r="MRV45" s="16"/>
      <c r="MRW45" s="16"/>
      <c r="MRX45" s="16"/>
      <c r="MRY45" s="16"/>
      <c r="MRZ45" s="16"/>
      <c r="MSA45" s="16"/>
      <c r="MSB45" s="16"/>
      <c r="MSC45" s="16"/>
      <c r="MSD45" s="16"/>
      <c r="MSE45" s="16"/>
      <c r="MSF45" s="16"/>
      <c r="MSG45" s="16"/>
      <c r="MSH45" s="16"/>
      <c r="MSI45" s="16"/>
      <c r="MSJ45" s="16"/>
      <c r="MSK45" s="16"/>
      <c r="MSL45" s="16"/>
      <c r="MSM45" s="16"/>
      <c r="MSN45" s="16"/>
      <c r="MSO45" s="16"/>
      <c r="MSP45" s="16"/>
      <c r="MSQ45" s="16"/>
      <c r="MSR45" s="16"/>
      <c r="MSS45" s="16"/>
      <c r="MST45" s="16"/>
      <c r="MSU45" s="16"/>
      <c r="MSV45" s="16"/>
      <c r="MSW45" s="16"/>
      <c r="MSX45" s="16"/>
      <c r="MSY45" s="16"/>
      <c r="MSZ45" s="16"/>
      <c r="MTA45" s="16"/>
      <c r="MTB45" s="16"/>
      <c r="MTC45" s="16"/>
      <c r="MTD45" s="16"/>
      <c r="MTE45" s="16"/>
      <c r="MTF45" s="16"/>
      <c r="MTG45" s="16"/>
      <c r="MTH45" s="16"/>
      <c r="MTI45" s="16"/>
      <c r="MTJ45" s="16"/>
      <c r="MTK45" s="16"/>
      <c r="MTL45" s="16"/>
      <c r="MTM45" s="16"/>
      <c r="MTN45" s="16"/>
      <c r="MTO45" s="16"/>
      <c r="MTP45" s="16"/>
      <c r="MTQ45" s="16"/>
      <c r="MTR45" s="16"/>
      <c r="MTS45" s="16"/>
      <c r="MTT45" s="16"/>
      <c r="MTU45" s="16"/>
      <c r="MTV45" s="16"/>
      <c r="MTW45" s="16"/>
      <c r="MTX45" s="16"/>
      <c r="MTY45" s="16"/>
      <c r="MTZ45" s="16"/>
      <c r="MUA45" s="16"/>
      <c r="MUB45" s="16"/>
      <c r="MUC45" s="16"/>
      <c r="MUD45" s="16"/>
      <c r="MUE45" s="16"/>
      <c r="MUF45" s="16"/>
      <c r="MUG45" s="16"/>
      <c r="MUH45" s="16"/>
      <c r="MUI45" s="16"/>
      <c r="MUJ45" s="16"/>
      <c r="MUK45" s="16"/>
      <c r="MUL45" s="16"/>
      <c r="MUM45" s="16"/>
      <c r="MUN45" s="16"/>
      <c r="MUO45" s="16"/>
      <c r="MUP45" s="16"/>
      <c r="MUQ45" s="16"/>
      <c r="MUR45" s="16"/>
      <c r="MUS45" s="16"/>
      <c r="MUT45" s="16"/>
      <c r="MUU45" s="16"/>
      <c r="MUV45" s="16"/>
      <c r="MUW45" s="16"/>
      <c r="MUX45" s="16"/>
      <c r="MUY45" s="16"/>
      <c r="MUZ45" s="16"/>
      <c r="MVA45" s="16"/>
      <c r="MVB45" s="16"/>
      <c r="MVC45" s="16"/>
      <c r="MVD45" s="16"/>
      <c r="MVE45" s="16"/>
      <c r="MVF45" s="16"/>
      <c r="MVG45" s="16"/>
      <c r="MVH45" s="16"/>
      <c r="MVI45" s="16"/>
      <c r="MVJ45" s="16"/>
      <c r="MVK45" s="16"/>
      <c r="MVL45" s="16"/>
      <c r="MVM45" s="16"/>
      <c r="MVN45" s="16"/>
      <c r="MVO45" s="16"/>
      <c r="MVP45" s="16"/>
      <c r="MVQ45" s="16"/>
      <c r="MVR45" s="16"/>
      <c r="MVS45" s="16"/>
      <c r="MVT45" s="16"/>
      <c r="MVU45" s="16"/>
      <c r="MVV45" s="16"/>
      <c r="MVW45" s="16"/>
      <c r="MVX45" s="16"/>
      <c r="MVY45" s="16"/>
      <c r="MVZ45" s="16"/>
      <c r="MWA45" s="16"/>
      <c r="MWB45" s="16"/>
      <c r="MWC45" s="16"/>
      <c r="MWD45" s="16"/>
      <c r="MWE45" s="16"/>
      <c r="MWF45" s="16"/>
      <c r="MWG45" s="16"/>
      <c r="MWH45" s="16"/>
      <c r="MWI45" s="16"/>
      <c r="MWJ45" s="16"/>
      <c r="MWK45" s="16"/>
      <c r="MWL45" s="16"/>
      <c r="MWM45" s="16"/>
      <c r="MWN45" s="16"/>
      <c r="MWO45" s="16"/>
      <c r="MWP45" s="16"/>
      <c r="MWQ45" s="16"/>
      <c r="MWR45" s="16"/>
      <c r="MWS45" s="16"/>
      <c r="MWT45" s="16"/>
      <c r="MWU45" s="16"/>
      <c r="MWV45" s="16"/>
      <c r="MWW45" s="16"/>
      <c r="MWX45" s="16"/>
      <c r="MWY45" s="16"/>
      <c r="MWZ45" s="16"/>
      <c r="MXA45" s="16"/>
      <c r="MXB45" s="16"/>
      <c r="MXC45" s="16"/>
      <c r="MXD45" s="16"/>
      <c r="MXE45" s="16"/>
      <c r="MXF45" s="16"/>
      <c r="MXG45" s="16"/>
      <c r="MXH45" s="16"/>
      <c r="MXI45" s="16"/>
      <c r="MXJ45" s="16"/>
      <c r="MXK45" s="16"/>
      <c r="MXL45" s="16"/>
      <c r="MXM45" s="16"/>
      <c r="MXN45" s="16"/>
      <c r="MXO45" s="16"/>
      <c r="MXP45" s="16"/>
      <c r="MXQ45" s="16"/>
      <c r="MXR45" s="16"/>
      <c r="MXS45" s="16"/>
      <c r="MXT45" s="16"/>
      <c r="MXU45" s="16"/>
      <c r="MXV45" s="16"/>
      <c r="MXW45" s="16"/>
      <c r="MXX45" s="16"/>
      <c r="MXY45" s="16"/>
      <c r="MXZ45" s="16"/>
      <c r="MYA45" s="16"/>
      <c r="MYB45" s="16"/>
      <c r="MYC45" s="16"/>
      <c r="MYD45" s="16"/>
      <c r="MYE45" s="16"/>
      <c r="MYF45" s="16"/>
      <c r="MYG45" s="16"/>
      <c r="MYH45" s="16"/>
      <c r="MYI45" s="16"/>
      <c r="MYJ45" s="16"/>
      <c r="MYK45" s="16"/>
      <c r="MYL45" s="16"/>
      <c r="MYM45" s="16"/>
      <c r="MYN45" s="16"/>
      <c r="MYO45" s="16"/>
      <c r="MYP45" s="16"/>
      <c r="MYQ45" s="16"/>
      <c r="MYR45" s="16"/>
      <c r="MYS45" s="16"/>
      <c r="MYT45" s="16"/>
      <c r="MYU45" s="16"/>
      <c r="MYV45" s="16"/>
      <c r="MYW45" s="16"/>
      <c r="MYX45" s="16"/>
      <c r="MYY45" s="16"/>
      <c r="MYZ45" s="16"/>
      <c r="MZA45" s="16"/>
      <c r="MZB45" s="16"/>
      <c r="MZC45" s="16"/>
      <c r="MZD45" s="16"/>
      <c r="MZE45" s="16"/>
      <c r="MZF45" s="16"/>
      <c r="MZG45" s="16"/>
      <c r="MZH45" s="16"/>
      <c r="MZI45" s="16"/>
      <c r="MZJ45" s="16"/>
      <c r="MZK45" s="16"/>
      <c r="MZL45" s="16"/>
      <c r="MZM45" s="16"/>
      <c r="MZN45" s="16"/>
      <c r="MZO45" s="16"/>
      <c r="MZP45" s="16"/>
      <c r="MZQ45" s="16"/>
      <c r="MZR45" s="16"/>
      <c r="MZS45" s="16"/>
      <c r="MZT45" s="16"/>
      <c r="MZU45" s="16"/>
      <c r="MZV45" s="16"/>
      <c r="MZW45" s="16"/>
      <c r="MZX45" s="16"/>
      <c r="MZY45" s="16"/>
      <c r="MZZ45" s="16"/>
      <c r="NAA45" s="16"/>
      <c r="NAB45" s="16"/>
      <c r="NAC45" s="16"/>
      <c r="NAD45" s="16"/>
      <c r="NAE45" s="16"/>
      <c r="NAF45" s="16"/>
      <c r="NAG45" s="16"/>
      <c r="NAH45" s="16"/>
      <c r="NAI45" s="16"/>
      <c r="NAJ45" s="16"/>
      <c r="NAK45" s="16"/>
      <c r="NAL45" s="16"/>
      <c r="NAM45" s="16"/>
      <c r="NAN45" s="16"/>
      <c r="NAO45" s="16"/>
      <c r="NAP45" s="16"/>
      <c r="NAQ45" s="16"/>
      <c r="NAR45" s="16"/>
      <c r="NAS45" s="16"/>
      <c r="NAT45" s="16"/>
      <c r="NAU45" s="16"/>
      <c r="NAV45" s="16"/>
      <c r="NAW45" s="16"/>
      <c r="NAX45" s="16"/>
      <c r="NAY45" s="16"/>
      <c r="NAZ45" s="16"/>
      <c r="NBA45" s="16"/>
      <c r="NBB45" s="16"/>
      <c r="NBC45" s="16"/>
      <c r="NBD45" s="16"/>
      <c r="NBE45" s="16"/>
      <c r="NBF45" s="16"/>
      <c r="NBG45" s="16"/>
      <c r="NBH45" s="16"/>
      <c r="NBI45" s="16"/>
      <c r="NBJ45" s="16"/>
      <c r="NBK45" s="16"/>
      <c r="NBL45" s="16"/>
      <c r="NBM45" s="16"/>
      <c r="NBN45" s="16"/>
      <c r="NBO45" s="16"/>
      <c r="NBP45" s="16"/>
      <c r="NBQ45" s="16"/>
      <c r="NBR45" s="16"/>
      <c r="NBS45" s="16"/>
      <c r="NBT45" s="16"/>
      <c r="NBU45" s="16"/>
      <c r="NBV45" s="16"/>
      <c r="NBW45" s="16"/>
      <c r="NBX45" s="16"/>
      <c r="NBY45" s="16"/>
      <c r="NBZ45" s="16"/>
      <c r="NCA45" s="16"/>
      <c r="NCB45" s="16"/>
      <c r="NCC45" s="16"/>
      <c r="NCD45" s="16"/>
      <c r="NCE45" s="16"/>
      <c r="NCF45" s="16"/>
      <c r="NCG45" s="16"/>
      <c r="NCH45" s="16"/>
      <c r="NCI45" s="16"/>
      <c r="NCJ45" s="16"/>
      <c r="NCK45" s="16"/>
      <c r="NCL45" s="16"/>
      <c r="NCM45" s="16"/>
      <c r="NCN45" s="16"/>
      <c r="NCO45" s="16"/>
      <c r="NCP45" s="16"/>
      <c r="NCQ45" s="16"/>
      <c r="NCR45" s="16"/>
      <c r="NCS45" s="16"/>
      <c r="NCT45" s="16"/>
      <c r="NCU45" s="16"/>
      <c r="NCV45" s="16"/>
      <c r="NCW45" s="16"/>
      <c r="NCX45" s="16"/>
      <c r="NCY45" s="16"/>
      <c r="NCZ45" s="16"/>
      <c r="NDA45" s="16"/>
      <c r="NDB45" s="16"/>
      <c r="NDC45" s="16"/>
      <c r="NDD45" s="16"/>
      <c r="NDE45" s="16"/>
      <c r="NDF45" s="16"/>
      <c r="NDG45" s="16"/>
      <c r="NDH45" s="16"/>
      <c r="NDI45" s="16"/>
      <c r="NDJ45" s="16"/>
      <c r="NDK45" s="16"/>
      <c r="NDL45" s="16"/>
      <c r="NDM45" s="16"/>
      <c r="NDN45" s="16"/>
      <c r="NDO45" s="16"/>
      <c r="NDP45" s="16"/>
      <c r="NDQ45" s="16"/>
      <c r="NDR45" s="16"/>
      <c r="NDS45" s="16"/>
      <c r="NDT45" s="16"/>
      <c r="NDU45" s="16"/>
      <c r="NDV45" s="16"/>
      <c r="NDW45" s="16"/>
      <c r="NDX45" s="16"/>
      <c r="NDY45" s="16"/>
      <c r="NDZ45" s="16"/>
      <c r="NEA45" s="16"/>
      <c r="NEB45" s="16"/>
      <c r="NEC45" s="16"/>
      <c r="NED45" s="16"/>
      <c r="NEE45" s="16"/>
      <c r="NEF45" s="16"/>
      <c r="NEG45" s="16"/>
      <c r="NEH45" s="16"/>
      <c r="NEI45" s="16"/>
      <c r="NEJ45" s="16"/>
      <c r="NEK45" s="16"/>
      <c r="NEL45" s="16"/>
      <c r="NEM45" s="16"/>
      <c r="NEN45" s="16"/>
      <c r="NEO45" s="16"/>
      <c r="NEP45" s="16"/>
      <c r="NEQ45" s="16"/>
      <c r="NER45" s="16"/>
      <c r="NES45" s="16"/>
      <c r="NET45" s="16"/>
      <c r="NEU45" s="16"/>
      <c r="NEV45" s="16"/>
      <c r="NEW45" s="16"/>
      <c r="NEX45" s="16"/>
      <c r="NEY45" s="16"/>
      <c r="NEZ45" s="16"/>
      <c r="NFA45" s="16"/>
      <c r="NFB45" s="16"/>
      <c r="NFC45" s="16"/>
      <c r="NFD45" s="16"/>
      <c r="NFE45" s="16"/>
      <c r="NFF45" s="16"/>
      <c r="NFG45" s="16"/>
      <c r="NFH45" s="16"/>
      <c r="NFI45" s="16"/>
      <c r="NFJ45" s="16"/>
      <c r="NFK45" s="16"/>
      <c r="NFL45" s="16"/>
      <c r="NFM45" s="16"/>
      <c r="NFN45" s="16"/>
      <c r="NFO45" s="16"/>
      <c r="NFP45" s="16"/>
      <c r="NFQ45" s="16"/>
      <c r="NFR45" s="16"/>
      <c r="NFS45" s="16"/>
      <c r="NFT45" s="16"/>
      <c r="NFU45" s="16"/>
      <c r="NFV45" s="16"/>
      <c r="NFW45" s="16"/>
      <c r="NFX45" s="16"/>
      <c r="NFY45" s="16"/>
      <c r="NFZ45" s="16"/>
      <c r="NGA45" s="16"/>
      <c r="NGB45" s="16"/>
      <c r="NGC45" s="16"/>
      <c r="NGD45" s="16"/>
      <c r="NGE45" s="16"/>
      <c r="NGF45" s="16"/>
      <c r="NGG45" s="16"/>
      <c r="NGH45" s="16"/>
      <c r="NGI45" s="16"/>
      <c r="NGJ45" s="16"/>
      <c r="NGK45" s="16"/>
      <c r="NGL45" s="16"/>
      <c r="NGM45" s="16"/>
      <c r="NGN45" s="16"/>
      <c r="NGO45" s="16"/>
      <c r="NGP45" s="16"/>
      <c r="NGQ45" s="16"/>
      <c r="NGR45" s="16"/>
      <c r="NGS45" s="16"/>
      <c r="NGT45" s="16"/>
      <c r="NGU45" s="16"/>
      <c r="NGV45" s="16"/>
      <c r="NGW45" s="16"/>
      <c r="NGX45" s="16"/>
      <c r="NGY45" s="16"/>
      <c r="NGZ45" s="16"/>
      <c r="NHA45" s="16"/>
      <c r="NHB45" s="16"/>
      <c r="NHC45" s="16"/>
      <c r="NHD45" s="16"/>
      <c r="NHE45" s="16"/>
      <c r="NHF45" s="16"/>
      <c r="NHG45" s="16"/>
      <c r="NHH45" s="16"/>
      <c r="NHI45" s="16"/>
      <c r="NHJ45" s="16"/>
      <c r="NHK45" s="16"/>
      <c r="NHL45" s="16"/>
      <c r="NHM45" s="16"/>
      <c r="NHN45" s="16"/>
      <c r="NHO45" s="16"/>
      <c r="NHP45" s="16"/>
      <c r="NHQ45" s="16"/>
      <c r="NHR45" s="16"/>
      <c r="NHS45" s="16"/>
      <c r="NHT45" s="16"/>
      <c r="NHU45" s="16"/>
      <c r="NHV45" s="16"/>
      <c r="NHW45" s="16"/>
      <c r="NHX45" s="16"/>
      <c r="NHY45" s="16"/>
      <c r="NHZ45" s="16"/>
      <c r="NIA45" s="16"/>
      <c r="NIB45" s="16"/>
      <c r="NIC45" s="16"/>
      <c r="NID45" s="16"/>
      <c r="NIE45" s="16"/>
      <c r="NIF45" s="16"/>
      <c r="NIG45" s="16"/>
      <c r="NIH45" s="16"/>
      <c r="NII45" s="16"/>
      <c r="NIJ45" s="16"/>
      <c r="NIK45" s="16"/>
      <c r="NIL45" s="16"/>
      <c r="NIM45" s="16"/>
      <c r="NIN45" s="16"/>
      <c r="NIO45" s="16"/>
      <c r="NIP45" s="16"/>
      <c r="NIQ45" s="16"/>
      <c r="NIR45" s="16"/>
      <c r="NIS45" s="16"/>
      <c r="NIT45" s="16"/>
      <c r="NIU45" s="16"/>
      <c r="NIV45" s="16"/>
      <c r="NIW45" s="16"/>
      <c r="NIX45" s="16"/>
      <c r="NIY45" s="16"/>
      <c r="NIZ45" s="16"/>
      <c r="NJA45" s="16"/>
      <c r="NJB45" s="16"/>
      <c r="NJC45" s="16"/>
      <c r="NJD45" s="16"/>
      <c r="NJE45" s="16"/>
      <c r="NJF45" s="16"/>
      <c r="NJG45" s="16"/>
      <c r="NJH45" s="16"/>
      <c r="NJI45" s="16"/>
      <c r="NJJ45" s="16"/>
      <c r="NJK45" s="16"/>
      <c r="NJL45" s="16"/>
      <c r="NJM45" s="16"/>
      <c r="NJN45" s="16"/>
      <c r="NJO45" s="16"/>
      <c r="NJP45" s="16"/>
      <c r="NJQ45" s="16"/>
      <c r="NJR45" s="16"/>
      <c r="NJS45" s="16"/>
      <c r="NJT45" s="16"/>
      <c r="NJU45" s="16"/>
      <c r="NJV45" s="16"/>
      <c r="NJW45" s="16"/>
      <c r="NJX45" s="16"/>
      <c r="NJY45" s="16"/>
      <c r="NJZ45" s="16"/>
      <c r="NKA45" s="16"/>
      <c r="NKB45" s="16"/>
      <c r="NKC45" s="16"/>
      <c r="NKD45" s="16"/>
      <c r="NKE45" s="16"/>
      <c r="NKF45" s="16"/>
      <c r="NKG45" s="16"/>
      <c r="NKH45" s="16"/>
      <c r="NKI45" s="16"/>
      <c r="NKJ45" s="16"/>
      <c r="NKK45" s="16"/>
      <c r="NKL45" s="16"/>
      <c r="NKM45" s="16"/>
      <c r="NKN45" s="16"/>
      <c r="NKO45" s="16"/>
      <c r="NKP45" s="16"/>
      <c r="NKQ45" s="16"/>
      <c r="NKR45" s="16"/>
      <c r="NKS45" s="16"/>
      <c r="NKT45" s="16"/>
      <c r="NKU45" s="16"/>
      <c r="NKV45" s="16"/>
      <c r="NKW45" s="16"/>
      <c r="NKX45" s="16"/>
      <c r="NKY45" s="16"/>
      <c r="NKZ45" s="16"/>
      <c r="NLA45" s="16"/>
      <c r="NLB45" s="16"/>
      <c r="NLC45" s="16"/>
      <c r="NLD45" s="16"/>
      <c r="NLE45" s="16"/>
      <c r="NLF45" s="16"/>
      <c r="NLG45" s="16"/>
      <c r="NLH45" s="16"/>
      <c r="NLI45" s="16"/>
      <c r="NLJ45" s="16"/>
      <c r="NLK45" s="16"/>
      <c r="NLL45" s="16"/>
      <c r="NLM45" s="16"/>
      <c r="NLN45" s="16"/>
      <c r="NLO45" s="16"/>
      <c r="NLP45" s="16"/>
      <c r="NLQ45" s="16"/>
      <c r="NLR45" s="16"/>
      <c r="NLS45" s="16"/>
      <c r="NLT45" s="16"/>
      <c r="NLU45" s="16"/>
      <c r="NLV45" s="16"/>
      <c r="NLW45" s="16"/>
      <c r="NLX45" s="16"/>
      <c r="NLY45" s="16"/>
      <c r="NLZ45" s="16"/>
      <c r="NMA45" s="16"/>
      <c r="NMB45" s="16"/>
      <c r="NMC45" s="16"/>
      <c r="NMD45" s="16"/>
      <c r="NME45" s="16"/>
      <c r="NMF45" s="16"/>
      <c r="NMG45" s="16"/>
      <c r="NMH45" s="16"/>
      <c r="NMI45" s="16"/>
      <c r="NMJ45" s="16"/>
      <c r="NMK45" s="16"/>
      <c r="NML45" s="16"/>
      <c r="NMM45" s="16"/>
      <c r="NMN45" s="16"/>
      <c r="NMO45" s="16"/>
      <c r="NMP45" s="16"/>
      <c r="NMQ45" s="16"/>
      <c r="NMR45" s="16"/>
      <c r="NMS45" s="16"/>
      <c r="NMT45" s="16"/>
      <c r="NMU45" s="16"/>
      <c r="NMV45" s="16"/>
      <c r="NMW45" s="16"/>
      <c r="NMX45" s="16"/>
      <c r="NMY45" s="16"/>
      <c r="NMZ45" s="16"/>
      <c r="NNA45" s="16"/>
      <c r="NNB45" s="16"/>
      <c r="NNC45" s="16"/>
      <c r="NND45" s="16"/>
      <c r="NNE45" s="16"/>
      <c r="NNF45" s="16"/>
      <c r="NNG45" s="16"/>
      <c r="NNH45" s="16"/>
      <c r="NNI45" s="16"/>
      <c r="NNJ45" s="16"/>
      <c r="NNK45" s="16"/>
      <c r="NNL45" s="16"/>
      <c r="NNM45" s="16"/>
      <c r="NNN45" s="16"/>
      <c r="NNO45" s="16"/>
      <c r="NNP45" s="16"/>
      <c r="NNQ45" s="16"/>
      <c r="NNR45" s="16"/>
      <c r="NNS45" s="16"/>
      <c r="NNT45" s="16"/>
      <c r="NNU45" s="16"/>
      <c r="NNV45" s="16"/>
      <c r="NNW45" s="16"/>
      <c r="NNX45" s="16"/>
      <c r="NNY45" s="16"/>
      <c r="NNZ45" s="16"/>
      <c r="NOA45" s="16"/>
      <c r="NOB45" s="16"/>
      <c r="NOC45" s="16"/>
      <c r="NOD45" s="16"/>
      <c r="NOE45" s="16"/>
      <c r="NOF45" s="16"/>
      <c r="NOG45" s="16"/>
      <c r="NOH45" s="16"/>
      <c r="NOI45" s="16"/>
      <c r="NOJ45" s="16"/>
      <c r="NOK45" s="16"/>
      <c r="NOL45" s="16"/>
      <c r="NOM45" s="16"/>
      <c r="NON45" s="16"/>
      <c r="NOO45" s="16"/>
      <c r="NOP45" s="16"/>
      <c r="NOQ45" s="16"/>
      <c r="NOR45" s="16"/>
      <c r="NOS45" s="16"/>
      <c r="NOT45" s="16"/>
      <c r="NOU45" s="16"/>
      <c r="NOV45" s="16"/>
      <c r="NOW45" s="16"/>
      <c r="NOX45" s="16"/>
      <c r="NOY45" s="16"/>
      <c r="NOZ45" s="16"/>
      <c r="NPA45" s="16"/>
      <c r="NPB45" s="16"/>
      <c r="NPC45" s="16"/>
      <c r="NPD45" s="16"/>
      <c r="NPE45" s="16"/>
      <c r="NPF45" s="16"/>
      <c r="NPG45" s="16"/>
      <c r="NPH45" s="16"/>
      <c r="NPI45" s="16"/>
      <c r="NPJ45" s="16"/>
      <c r="NPK45" s="16"/>
      <c r="NPL45" s="16"/>
      <c r="NPM45" s="16"/>
      <c r="NPN45" s="16"/>
      <c r="NPO45" s="16"/>
      <c r="NPP45" s="16"/>
      <c r="NPQ45" s="16"/>
      <c r="NPR45" s="16"/>
      <c r="NPS45" s="16"/>
      <c r="NPT45" s="16"/>
      <c r="NPU45" s="16"/>
      <c r="NPV45" s="16"/>
      <c r="NPW45" s="16"/>
      <c r="NPX45" s="16"/>
      <c r="NPY45" s="16"/>
      <c r="NPZ45" s="16"/>
      <c r="NQA45" s="16"/>
      <c r="NQB45" s="16"/>
      <c r="NQC45" s="16"/>
      <c r="NQD45" s="16"/>
      <c r="NQE45" s="16"/>
      <c r="NQF45" s="16"/>
      <c r="NQG45" s="16"/>
      <c r="NQH45" s="16"/>
      <c r="NQI45" s="16"/>
      <c r="NQJ45" s="16"/>
      <c r="NQK45" s="16"/>
      <c r="NQL45" s="16"/>
      <c r="NQM45" s="16"/>
      <c r="NQN45" s="16"/>
      <c r="NQO45" s="16"/>
      <c r="NQP45" s="16"/>
      <c r="NQQ45" s="16"/>
      <c r="NQR45" s="16"/>
      <c r="NQS45" s="16"/>
      <c r="NQT45" s="16"/>
      <c r="NQU45" s="16"/>
      <c r="NQV45" s="16"/>
      <c r="NQW45" s="16"/>
      <c r="NQX45" s="16"/>
      <c r="NQY45" s="16"/>
      <c r="NQZ45" s="16"/>
      <c r="NRA45" s="16"/>
      <c r="NRB45" s="16"/>
      <c r="NRC45" s="16"/>
      <c r="NRD45" s="16"/>
      <c r="NRE45" s="16"/>
      <c r="NRF45" s="16"/>
      <c r="NRG45" s="16"/>
      <c r="NRH45" s="16"/>
      <c r="NRI45" s="16"/>
      <c r="NRJ45" s="16"/>
      <c r="NRK45" s="16"/>
      <c r="NRL45" s="16"/>
      <c r="NRM45" s="16"/>
      <c r="NRN45" s="16"/>
      <c r="NRO45" s="16"/>
      <c r="NRP45" s="16"/>
      <c r="NRQ45" s="16"/>
      <c r="NRR45" s="16"/>
      <c r="NRS45" s="16"/>
      <c r="NRT45" s="16"/>
      <c r="NRU45" s="16"/>
      <c r="NRV45" s="16"/>
      <c r="NRW45" s="16"/>
      <c r="NRX45" s="16"/>
      <c r="NRY45" s="16"/>
      <c r="NRZ45" s="16"/>
      <c r="NSA45" s="16"/>
      <c r="NSB45" s="16"/>
      <c r="NSC45" s="16"/>
      <c r="NSD45" s="16"/>
      <c r="NSE45" s="16"/>
      <c r="NSF45" s="16"/>
      <c r="NSG45" s="16"/>
      <c r="NSH45" s="16"/>
      <c r="NSI45" s="16"/>
      <c r="NSJ45" s="16"/>
      <c r="NSK45" s="16"/>
      <c r="NSL45" s="16"/>
      <c r="NSM45" s="16"/>
      <c r="NSN45" s="16"/>
      <c r="NSO45" s="16"/>
      <c r="NSP45" s="16"/>
      <c r="NSQ45" s="16"/>
      <c r="NSR45" s="16"/>
      <c r="NSS45" s="16"/>
      <c r="NST45" s="16"/>
      <c r="NSU45" s="16"/>
      <c r="NSV45" s="16"/>
      <c r="NSW45" s="16"/>
      <c r="NSX45" s="16"/>
      <c r="NSY45" s="16"/>
      <c r="NSZ45" s="16"/>
      <c r="NTA45" s="16"/>
      <c r="NTB45" s="16"/>
      <c r="NTC45" s="16"/>
      <c r="NTD45" s="16"/>
      <c r="NTE45" s="16"/>
      <c r="NTF45" s="16"/>
      <c r="NTG45" s="16"/>
      <c r="NTH45" s="16"/>
      <c r="NTI45" s="16"/>
      <c r="NTJ45" s="16"/>
      <c r="NTK45" s="16"/>
      <c r="NTL45" s="16"/>
      <c r="NTM45" s="16"/>
      <c r="NTN45" s="16"/>
      <c r="NTO45" s="16"/>
      <c r="NTP45" s="16"/>
      <c r="NTQ45" s="16"/>
      <c r="NTR45" s="16"/>
      <c r="NTS45" s="16"/>
      <c r="NTT45" s="16"/>
      <c r="NTU45" s="16"/>
      <c r="NTV45" s="16"/>
      <c r="NTW45" s="16"/>
      <c r="NTX45" s="16"/>
      <c r="NTY45" s="16"/>
      <c r="NTZ45" s="16"/>
      <c r="NUA45" s="16"/>
      <c r="NUB45" s="16"/>
      <c r="NUC45" s="16"/>
      <c r="NUD45" s="16"/>
      <c r="NUE45" s="16"/>
      <c r="NUF45" s="16"/>
      <c r="NUG45" s="16"/>
      <c r="NUH45" s="16"/>
      <c r="NUI45" s="16"/>
      <c r="NUJ45" s="16"/>
      <c r="NUK45" s="16"/>
      <c r="NUL45" s="16"/>
      <c r="NUM45" s="16"/>
      <c r="NUN45" s="16"/>
      <c r="NUO45" s="16"/>
      <c r="NUP45" s="16"/>
      <c r="NUQ45" s="16"/>
      <c r="NUR45" s="16"/>
      <c r="NUS45" s="16"/>
      <c r="NUT45" s="16"/>
      <c r="NUU45" s="16"/>
      <c r="NUV45" s="16"/>
      <c r="NUW45" s="16"/>
      <c r="NUX45" s="16"/>
      <c r="NUY45" s="16"/>
      <c r="NUZ45" s="16"/>
      <c r="NVA45" s="16"/>
      <c r="NVB45" s="16"/>
      <c r="NVC45" s="16"/>
      <c r="NVD45" s="16"/>
      <c r="NVE45" s="16"/>
      <c r="NVF45" s="16"/>
      <c r="NVG45" s="16"/>
      <c r="NVH45" s="16"/>
      <c r="NVI45" s="16"/>
      <c r="NVJ45" s="16"/>
      <c r="NVK45" s="16"/>
      <c r="NVL45" s="16"/>
      <c r="NVM45" s="16"/>
      <c r="NVN45" s="16"/>
      <c r="NVO45" s="16"/>
      <c r="NVP45" s="16"/>
      <c r="NVQ45" s="16"/>
      <c r="NVR45" s="16"/>
      <c r="NVS45" s="16"/>
      <c r="NVT45" s="16"/>
      <c r="NVU45" s="16"/>
      <c r="NVV45" s="16"/>
      <c r="NVW45" s="16"/>
      <c r="NVX45" s="16"/>
      <c r="NVY45" s="16"/>
      <c r="NVZ45" s="16"/>
      <c r="NWA45" s="16"/>
      <c r="NWB45" s="16"/>
      <c r="NWC45" s="16"/>
      <c r="NWD45" s="16"/>
      <c r="NWE45" s="16"/>
      <c r="NWF45" s="16"/>
      <c r="NWG45" s="16"/>
      <c r="NWH45" s="16"/>
      <c r="NWI45" s="16"/>
      <c r="NWJ45" s="16"/>
      <c r="NWK45" s="16"/>
      <c r="NWL45" s="16"/>
      <c r="NWM45" s="16"/>
      <c r="NWN45" s="16"/>
      <c r="NWO45" s="16"/>
      <c r="NWP45" s="16"/>
      <c r="NWQ45" s="16"/>
      <c r="NWR45" s="16"/>
      <c r="NWS45" s="16"/>
      <c r="NWT45" s="16"/>
      <c r="NWU45" s="16"/>
      <c r="NWV45" s="16"/>
      <c r="NWW45" s="16"/>
      <c r="NWX45" s="16"/>
      <c r="NWY45" s="16"/>
      <c r="NWZ45" s="16"/>
      <c r="NXA45" s="16"/>
      <c r="NXB45" s="16"/>
      <c r="NXC45" s="16"/>
      <c r="NXD45" s="16"/>
      <c r="NXE45" s="16"/>
      <c r="NXF45" s="16"/>
      <c r="NXG45" s="16"/>
      <c r="NXH45" s="16"/>
      <c r="NXI45" s="16"/>
      <c r="NXJ45" s="16"/>
      <c r="NXK45" s="16"/>
      <c r="NXL45" s="16"/>
      <c r="NXM45" s="16"/>
      <c r="NXN45" s="16"/>
      <c r="NXO45" s="16"/>
      <c r="NXP45" s="16"/>
      <c r="NXQ45" s="16"/>
      <c r="NXR45" s="16"/>
      <c r="NXS45" s="16"/>
      <c r="NXT45" s="16"/>
      <c r="NXU45" s="16"/>
      <c r="NXV45" s="16"/>
      <c r="NXW45" s="16"/>
      <c r="NXX45" s="16"/>
      <c r="NXY45" s="16"/>
      <c r="NXZ45" s="16"/>
      <c r="NYA45" s="16"/>
      <c r="NYB45" s="16"/>
      <c r="NYC45" s="16"/>
      <c r="NYD45" s="16"/>
      <c r="NYE45" s="16"/>
      <c r="NYF45" s="16"/>
      <c r="NYG45" s="16"/>
      <c r="NYH45" s="16"/>
      <c r="NYI45" s="16"/>
      <c r="NYJ45" s="16"/>
      <c r="NYK45" s="16"/>
      <c r="NYL45" s="16"/>
      <c r="NYM45" s="16"/>
      <c r="NYN45" s="16"/>
      <c r="NYO45" s="16"/>
      <c r="NYP45" s="16"/>
      <c r="NYQ45" s="16"/>
      <c r="NYR45" s="16"/>
      <c r="NYS45" s="16"/>
      <c r="NYT45" s="16"/>
      <c r="NYU45" s="16"/>
      <c r="NYV45" s="16"/>
      <c r="NYW45" s="16"/>
      <c r="NYX45" s="16"/>
      <c r="NYY45" s="16"/>
      <c r="NYZ45" s="16"/>
      <c r="NZA45" s="16"/>
      <c r="NZB45" s="16"/>
      <c r="NZC45" s="16"/>
      <c r="NZD45" s="16"/>
      <c r="NZE45" s="16"/>
      <c r="NZF45" s="16"/>
      <c r="NZG45" s="16"/>
      <c r="NZH45" s="16"/>
      <c r="NZI45" s="16"/>
      <c r="NZJ45" s="16"/>
      <c r="NZK45" s="16"/>
      <c r="NZL45" s="16"/>
      <c r="NZM45" s="16"/>
      <c r="NZN45" s="16"/>
      <c r="NZO45" s="16"/>
      <c r="NZP45" s="16"/>
      <c r="NZQ45" s="16"/>
      <c r="NZR45" s="16"/>
      <c r="NZS45" s="16"/>
      <c r="NZT45" s="16"/>
      <c r="NZU45" s="16"/>
      <c r="NZV45" s="16"/>
      <c r="NZW45" s="16"/>
      <c r="NZX45" s="16"/>
      <c r="NZY45" s="16"/>
      <c r="NZZ45" s="16"/>
      <c r="OAA45" s="16"/>
      <c r="OAB45" s="16"/>
      <c r="OAC45" s="16"/>
      <c r="OAD45" s="16"/>
      <c r="OAE45" s="16"/>
      <c r="OAF45" s="16"/>
      <c r="OAG45" s="16"/>
      <c r="OAH45" s="16"/>
      <c r="OAI45" s="16"/>
      <c r="OAJ45" s="16"/>
      <c r="OAK45" s="16"/>
      <c r="OAL45" s="16"/>
      <c r="OAM45" s="16"/>
      <c r="OAN45" s="16"/>
      <c r="OAO45" s="16"/>
      <c r="OAP45" s="16"/>
      <c r="OAQ45" s="16"/>
      <c r="OAR45" s="16"/>
      <c r="OAS45" s="16"/>
      <c r="OAT45" s="16"/>
      <c r="OAU45" s="16"/>
      <c r="OAV45" s="16"/>
      <c r="OAW45" s="16"/>
      <c r="OAX45" s="16"/>
      <c r="OAY45" s="16"/>
      <c r="OAZ45" s="16"/>
      <c r="OBA45" s="16"/>
      <c r="OBB45" s="16"/>
      <c r="OBC45" s="16"/>
      <c r="OBD45" s="16"/>
      <c r="OBE45" s="16"/>
      <c r="OBF45" s="16"/>
      <c r="OBG45" s="16"/>
      <c r="OBH45" s="16"/>
      <c r="OBI45" s="16"/>
      <c r="OBJ45" s="16"/>
      <c r="OBK45" s="16"/>
      <c r="OBL45" s="16"/>
      <c r="OBM45" s="16"/>
      <c r="OBN45" s="16"/>
      <c r="OBO45" s="16"/>
      <c r="OBP45" s="16"/>
      <c r="OBQ45" s="16"/>
      <c r="OBR45" s="16"/>
      <c r="OBS45" s="16"/>
      <c r="OBT45" s="16"/>
      <c r="OBU45" s="16"/>
      <c r="OBV45" s="16"/>
      <c r="OBW45" s="16"/>
      <c r="OBX45" s="16"/>
      <c r="OBY45" s="16"/>
      <c r="OBZ45" s="16"/>
      <c r="OCA45" s="16"/>
      <c r="OCB45" s="16"/>
      <c r="OCC45" s="16"/>
      <c r="OCD45" s="16"/>
      <c r="OCE45" s="16"/>
      <c r="OCF45" s="16"/>
      <c r="OCG45" s="16"/>
      <c r="OCH45" s="16"/>
      <c r="OCI45" s="16"/>
      <c r="OCJ45" s="16"/>
      <c r="OCK45" s="16"/>
      <c r="OCL45" s="16"/>
      <c r="OCM45" s="16"/>
      <c r="OCN45" s="16"/>
      <c r="OCO45" s="16"/>
      <c r="OCP45" s="16"/>
      <c r="OCQ45" s="16"/>
      <c r="OCR45" s="16"/>
      <c r="OCS45" s="16"/>
      <c r="OCT45" s="16"/>
      <c r="OCU45" s="16"/>
      <c r="OCV45" s="16"/>
      <c r="OCW45" s="16"/>
      <c r="OCX45" s="16"/>
      <c r="OCY45" s="16"/>
      <c r="OCZ45" s="16"/>
      <c r="ODA45" s="16"/>
      <c r="ODB45" s="16"/>
      <c r="ODC45" s="16"/>
      <c r="ODD45" s="16"/>
      <c r="ODE45" s="16"/>
      <c r="ODF45" s="16"/>
      <c r="ODG45" s="16"/>
      <c r="ODH45" s="16"/>
      <c r="ODI45" s="16"/>
      <c r="ODJ45" s="16"/>
      <c r="ODK45" s="16"/>
      <c r="ODL45" s="16"/>
      <c r="ODM45" s="16"/>
      <c r="ODN45" s="16"/>
      <c r="ODO45" s="16"/>
      <c r="ODP45" s="16"/>
      <c r="ODQ45" s="16"/>
      <c r="ODR45" s="16"/>
      <c r="ODS45" s="16"/>
      <c r="ODT45" s="16"/>
      <c r="ODU45" s="16"/>
      <c r="ODV45" s="16"/>
      <c r="ODW45" s="16"/>
      <c r="ODX45" s="16"/>
      <c r="ODY45" s="16"/>
      <c r="ODZ45" s="16"/>
      <c r="OEA45" s="16"/>
      <c r="OEB45" s="16"/>
      <c r="OEC45" s="16"/>
      <c r="OED45" s="16"/>
      <c r="OEE45" s="16"/>
      <c r="OEF45" s="16"/>
      <c r="OEG45" s="16"/>
      <c r="OEH45" s="16"/>
      <c r="OEI45" s="16"/>
      <c r="OEJ45" s="16"/>
      <c r="OEK45" s="16"/>
      <c r="OEL45" s="16"/>
      <c r="OEM45" s="16"/>
      <c r="OEN45" s="16"/>
      <c r="OEO45" s="16"/>
      <c r="OEP45" s="16"/>
      <c r="OEQ45" s="16"/>
      <c r="OER45" s="16"/>
      <c r="OES45" s="16"/>
      <c r="OET45" s="16"/>
      <c r="OEU45" s="16"/>
      <c r="OEV45" s="16"/>
      <c r="OEW45" s="16"/>
      <c r="OEX45" s="16"/>
      <c r="OEY45" s="16"/>
      <c r="OEZ45" s="16"/>
      <c r="OFA45" s="16"/>
      <c r="OFB45" s="16"/>
      <c r="OFC45" s="16"/>
      <c r="OFD45" s="16"/>
      <c r="OFE45" s="16"/>
      <c r="OFF45" s="16"/>
      <c r="OFG45" s="16"/>
      <c r="OFH45" s="16"/>
      <c r="OFI45" s="16"/>
      <c r="OFJ45" s="16"/>
      <c r="OFK45" s="16"/>
      <c r="OFL45" s="16"/>
      <c r="OFM45" s="16"/>
      <c r="OFN45" s="16"/>
      <c r="OFO45" s="16"/>
      <c r="OFP45" s="16"/>
      <c r="OFQ45" s="16"/>
      <c r="OFR45" s="16"/>
      <c r="OFS45" s="16"/>
      <c r="OFT45" s="16"/>
      <c r="OFU45" s="16"/>
      <c r="OFV45" s="16"/>
      <c r="OFW45" s="16"/>
      <c r="OFX45" s="16"/>
      <c r="OFY45" s="16"/>
      <c r="OFZ45" s="16"/>
      <c r="OGA45" s="16"/>
      <c r="OGB45" s="16"/>
      <c r="OGC45" s="16"/>
      <c r="OGD45" s="16"/>
      <c r="OGE45" s="16"/>
      <c r="OGF45" s="16"/>
      <c r="OGG45" s="16"/>
      <c r="OGH45" s="16"/>
      <c r="OGI45" s="16"/>
      <c r="OGJ45" s="16"/>
      <c r="OGK45" s="16"/>
      <c r="OGL45" s="16"/>
      <c r="OGM45" s="16"/>
      <c r="OGN45" s="16"/>
      <c r="OGO45" s="16"/>
      <c r="OGP45" s="16"/>
      <c r="OGQ45" s="16"/>
      <c r="OGR45" s="16"/>
      <c r="OGS45" s="16"/>
      <c r="OGT45" s="16"/>
      <c r="OGU45" s="16"/>
      <c r="OGV45" s="16"/>
      <c r="OGW45" s="16"/>
      <c r="OGX45" s="16"/>
      <c r="OGY45" s="16"/>
      <c r="OGZ45" s="16"/>
      <c r="OHA45" s="16"/>
      <c r="OHB45" s="16"/>
      <c r="OHC45" s="16"/>
      <c r="OHD45" s="16"/>
      <c r="OHE45" s="16"/>
      <c r="OHF45" s="16"/>
      <c r="OHG45" s="16"/>
      <c r="OHH45" s="16"/>
      <c r="OHI45" s="16"/>
      <c r="OHJ45" s="16"/>
      <c r="OHK45" s="16"/>
      <c r="OHL45" s="16"/>
      <c r="OHM45" s="16"/>
      <c r="OHN45" s="16"/>
      <c r="OHO45" s="16"/>
      <c r="OHP45" s="16"/>
      <c r="OHQ45" s="16"/>
      <c r="OHR45" s="16"/>
      <c r="OHS45" s="16"/>
      <c r="OHT45" s="16"/>
      <c r="OHU45" s="16"/>
      <c r="OHV45" s="16"/>
      <c r="OHW45" s="16"/>
      <c r="OHX45" s="16"/>
      <c r="OHY45" s="16"/>
      <c r="OHZ45" s="16"/>
      <c r="OIA45" s="16"/>
      <c r="OIB45" s="16"/>
      <c r="OIC45" s="16"/>
      <c r="OID45" s="16"/>
      <c r="OIE45" s="16"/>
      <c r="OIF45" s="16"/>
      <c r="OIG45" s="16"/>
      <c r="OIH45" s="16"/>
      <c r="OII45" s="16"/>
      <c r="OIJ45" s="16"/>
      <c r="OIK45" s="16"/>
      <c r="OIL45" s="16"/>
      <c r="OIM45" s="16"/>
      <c r="OIN45" s="16"/>
      <c r="OIO45" s="16"/>
      <c r="OIP45" s="16"/>
      <c r="OIQ45" s="16"/>
      <c r="OIR45" s="16"/>
      <c r="OIS45" s="16"/>
      <c r="OIT45" s="16"/>
      <c r="OIU45" s="16"/>
      <c r="OIV45" s="16"/>
      <c r="OIW45" s="16"/>
      <c r="OIX45" s="16"/>
      <c r="OIY45" s="16"/>
      <c r="OIZ45" s="16"/>
      <c r="OJA45" s="16"/>
      <c r="OJB45" s="16"/>
      <c r="OJC45" s="16"/>
      <c r="OJD45" s="16"/>
      <c r="OJE45" s="16"/>
      <c r="OJF45" s="16"/>
      <c r="OJG45" s="16"/>
      <c r="OJH45" s="16"/>
      <c r="OJI45" s="16"/>
      <c r="OJJ45" s="16"/>
      <c r="OJK45" s="16"/>
      <c r="OJL45" s="16"/>
      <c r="OJM45" s="16"/>
      <c r="OJN45" s="16"/>
      <c r="OJO45" s="16"/>
      <c r="OJP45" s="16"/>
      <c r="OJQ45" s="16"/>
      <c r="OJR45" s="16"/>
      <c r="OJS45" s="16"/>
      <c r="OJT45" s="16"/>
      <c r="OJU45" s="16"/>
      <c r="OJV45" s="16"/>
      <c r="OJW45" s="16"/>
      <c r="OJX45" s="16"/>
      <c r="OJY45" s="16"/>
      <c r="OJZ45" s="16"/>
      <c r="OKA45" s="16"/>
      <c r="OKB45" s="16"/>
      <c r="OKC45" s="16"/>
      <c r="OKD45" s="16"/>
      <c r="OKE45" s="16"/>
      <c r="OKF45" s="16"/>
      <c r="OKG45" s="16"/>
      <c r="OKH45" s="16"/>
      <c r="OKI45" s="16"/>
      <c r="OKJ45" s="16"/>
      <c r="OKK45" s="16"/>
      <c r="OKL45" s="16"/>
      <c r="OKM45" s="16"/>
      <c r="OKN45" s="16"/>
      <c r="OKO45" s="16"/>
      <c r="OKP45" s="16"/>
      <c r="OKQ45" s="16"/>
      <c r="OKR45" s="16"/>
      <c r="OKS45" s="16"/>
      <c r="OKT45" s="16"/>
      <c r="OKU45" s="16"/>
      <c r="OKV45" s="16"/>
      <c r="OKW45" s="16"/>
      <c r="OKX45" s="16"/>
      <c r="OKY45" s="16"/>
      <c r="OKZ45" s="16"/>
      <c r="OLA45" s="16"/>
      <c r="OLB45" s="16"/>
      <c r="OLC45" s="16"/>
      <c r="OLD45" s="16"/>
      <c r="OLE45" s="16"/>
      <c r="OLF45" s="16"/>
      <c r="OLG45" s="16"/>
      <c r="OLH45" s="16"/>
      <c r="OLI45" s="16"/>
      <c r="OLJ45" s="16"/>
      <c r="OLK45" s="16"/>
      <c r="OLL45" s="16"/>
      <c r="OLM45" s="16"/>
      <c r="OLN45" s="16"/>
      <c r="OLO45" s="16"/>
      <c r="OLP45" s="16"/>
      <c r="OLQ45" s="16"/>
      <c r="OLR45" s="16"/>
      <c r="OLS45" s="16"/>
      <c r="OLT45" s="16"/>
      <c r="OLU45" s="16"/>
      <c r="OLV45" s="16"/>
      <c r="OLW45" s="16"/>
      <c r="OLX45" s="16"/>
      <c r="OLY45" s="16"/>
      <c r="OLZ45" s="16"/>
      <c r="OMA45" s="16"/>
      <c r="OMB45" s="16"/>
      <c r="OMC45" s="16"/>
      <c r="OMD45" s="16"/>
      <c r="OME45" s="16"/>
      <c r="OMF45" s="16"/>
      <c r="OMG45" s="16"/>
      <c r="OMH45" s="16"/>
      <c r="OMI45" s="16"/>
      <c r="OMJ45" s="16"/>
      <c r="OMK45" s="16"/>
      <c r="OML45" s="16"/>
      <c r="OMM45" s="16"/>
      <c r="OMN45" s="16"/>
      <c r="OMO45" s="16"/>
      <c r="OMP45" s="16"/>
      <c r="OMQ45" s="16"/>
      <c r="OMR45" s="16"/>
      <c r="OMS45" s="16"/>
      <c r="OMT45" s="16"/>
      <c r="OMU45" s="16"/>
      <c r="OMV45" s="16"/>
      <c r="OMW45" s="16"/>
      <c r="OMX45" s="16"/>
      <c r="OMY45" s="16"/>
      <c r="OMZ45" s="16"/>
      <c r="ONA45" s="16"/>
      <c r="ONB45" s="16"/>
      <c r="ONC45" s="16"/>
      <c r="OND45" s="16"/>
      <c r="ONE45" s="16"/>
      <c r="ONF45" s="16"/>
      <c r="ONG45" s="16"/>
      <c r="ONH45" s="16"/>
      <c r="ONI45" s="16"/>
      <c r="ONJ45" s="16"/>
      <c r="ONK45" s="16"/>
      <c r="ONL45" s="16"/>
      <c r="ONM45" s="16"/>
      <c r="ONN45" s="16"/>
      <c r="ONO45" s="16"/>
      <c r="ONP45" s="16"/>
      <c r="ONQ45" s="16"/>
      <c r="ONR45" s="16"/>
      <c r="ONS45" s="16"/>
      <c r="ONT45" s="16"/>
      <c r="ONU45" s="16"/>
      <c r="ONV45" s="16"/>
      <c r="ONW45" s="16"/>
      <c r="ONX45" s="16"/>
      <c r="ONY45" s="16"/>
      <c r="ONZ45" s="16"/>
      <c r="OOA45" s="16"/>
      <c r="OOB45" s="16"/>
      <c r="OOC45" s="16"/>
      <c r="OOD45" s="16"/>
      <c r="OOE45" s="16"/>
      <c r="OOF45" s="16"/>
      <c r="OOG45" s="16"/>
      <c r="OOH45" s="16"/>
      <c r="OOI45" s="16"/>
      <c r="OOJ45" s="16"/>
      <c r="OOK45" s="16"/>
      <c r="OOL45" s="16"/>
      <c r="OOM45" s="16"/>
      <c r="OON45" s="16"/>
      <c r="OOO45" s="16"/>
      <c r="OOP45" s="16"/>
      <c r="OOQ45" s="16"/>
      <c r="OOR45" s="16"/>
      <c r="OOS45" s="16"/>
      <c r="OOT45" s="16"/>
      <c r="OOU45" s="16"/>
      <c r="OOV45" s="16"/>
      <c r="OOW45" s="16"/>
      <c r="OOX45" s="16"/>
      <c r="OOY45" s="16"/>
      <c r="OOZ45" s="16"/>
      <c r="OPA45" s="16"/>
      <c r="OPB45" s="16"/>
      <c r="OPC45" s="16"/>
      <c r="OPD45" s="16"/>
      <c r="OPE45" s="16"/>
      <c r="OPF45" s="16"/>
      <c r="OPG45" s="16"/>
      <c r="OPH45" s="16"/>
      <c r="OPI45" s="16"/>
      <c r="OPJ45" s="16"/>
      <c r="OPK45" s="16"/>
      <c r="OPL45" s="16"/>
      <c r="OPM45" s="16"/>
      <c r="OPN45" s="16"/>
      <c r="OPO45" s="16"/>
      <c r="OPP45" s="16"/>
      <c r="OPQ45" s="16"/>
      <c r="OPR45" s="16"/>
      <c r="OPS45" s="16"/>
      <c r="OPT45" s="16"/>
      <c r="OPU45" s="16"/>
      <c r="OPV45" s="16"/>
      <c r="OPW45" s="16"/>
      <c r="OPX45" s="16"/>
      <c r="OPY45" s="16"/>
      <c r="OPZ45" s="16"/>
      <c r="OQA45" s="16"/>
      <c r="OQB45" s="16"/>
      <c r="OQC45" s="16"/>
      <c r="OQD45" s="16"/>
      <c r="OQE45" s="16"/>
      <c r="OQF45" s="16"/>
      <c r="OQG45" s="16"/>
      <c r="OQH45" s="16"/>
      <c r="OQI45" s="16"/>
      <c r="OQJ45" s="16"/>
      <c r="OQK45" s="16"/>
      <c r="OQL45" s="16"/>
      <c r="OQM45" s="16"/>
      <c r="OQN45" s="16"/>
      <c r="OQO45" s="16"/>
      <c r="OQP45" s="16"/>
      <c r="OQQ45" s="16"/>
      <c r="OQR45" s="16"/>
      <c r="OQS45" s="16"/>
      <c r="OQT45" s="16"/>
      <c r="OQU45" s="16"/>
      <c r="OQV45" s="16"/>
      <c r="OQW45" s="16"/>
      <c r="OQX45" s="16"/>
      <c r="OQY45" s="16"/>
      <c r="OQZ45" s="16"/>
      <c r="ORA45" s="16"/>
      <c r="ORB45" s="16"/>
      <c r="ORC45" s="16"/>
      <c r="ORD45" s="16"/>
      <c r="ORE45" s="16"/>
      <c r="ORF45" s="16"/>
      <c r="ORG45" s="16"/>
      <c r="ORH45" s="16"/>
      <c r="ORI45" s="16"/>
      <c r="ORJ45" s="16"/>
      <c r="ORK45" s="16"/>
      <c r="ORL45" s="16"/>
      <c r="ORM45" s="16"/>
      <c r="ORN45" s="16"/>
      <c r="ORO45" s="16"/>
      <c r="ORP45" s="16"/>
      <c r="ORQ45" s="16"/>
      <c r="ORR45" s="16"/>
      <c r="ORS45" s="16"/>
      <c r="ORT45" s="16"/>
      <c r="ORU45" s="16"/>
      <c r="ORV45" s="16"/>
      <c r="ORW45" s="16"/>
      <c r="ORX45" s="16"/>
      <c r="ORY45" s="16"/>
      <c r="ORZ45" s="16"/>
      <c r="OSA45" s="16"/>
      <c r="OSB45" s="16"/>
      <c r="OSC45" s="16"/>
      <c r="OSD45" s="16"/>
      <c r="OSE45" s="16"/>
      <c r="OSF45" s="16"/>
      <c r="OSG45" s="16"/>
      <c r="OSH45" s="16"/>
      <c r="OSI45" s="16"/>
      <c r="OSJ45" s="16"/>
      <c r="OSK45" s="16"/>
      <c r="OSL45" s="16"/>
      <c r="OSM45" s="16"/>
      <c r="OSN45" s="16"/>
      <c r="OSO45" s="16"/>
      <c r="OSP45" s="16"/>
      <c r="OSQ45" s="16"/>
      <c r="OSR45" s="16"/>
      <c r="OSS45" s="16"/>
      <c r="OST45" s="16"/>
      <c r="OSU45" s="16"/>
      <c r="OSV45" s="16"/>
      <c r="OSW45" s="16"/>
      <c r="OSX45" s="16"/>
      <c r="OSY45" s="16"/>
      <c r="OSZ45" s="16"/>
      <c r="OTA45" s="16"/>
      <c r="OTB45" s="16"/>
      <c r="OTC45" s="16"/>
      <c r="OTD45" s="16"/>
      <c r="OTE45" s="16"/>
      <c r="OTF45" s="16"/>
      <c r="OTG45" s="16"/>
      <c r="OTH45" s="16"/>
      <c r="OTI45" s="16"/>
      <c r="OTJ45" s="16"/>
      <c r="OTK45" s="16"/>
      <c r="OTL45" s="16"/>
      <c r="OTM45" s="16"/>
      <c r="OTN45" s="16"/>
      <c r="OTO45" s="16"/>
      <c r="OTP45" s="16"/>
      <c r="OTQ45" s="16"/>
      <c r="OTR45" s="16"/>
      <c r="OTS45" s="16"/>
      <c r="OTT45" s="16"/>
      <c r="OTU45" s="16"/>
      <c r="OTV45" s="16"/>
      <c r="OTW45" s="16"/>
      <c r="OTX45" s="16"/>
      <c r="OTY45" s="16"/>
      <c r="OTZ45" s="16"/>
      <c r="OUA45" s="16"/>
      <c r="OUB45" s="16"/>
      <c r="OUC45" s="16"/>
      <c r="OUD45" s="16"/>
      <c r="OUE45" s="16"/>
      <c r="OUF45" s="16"/>
      <c r="OUG45" s="16"/>
      <c r="OUH45" s="16"/>
      <c r="OUI45" s="16"/>
      <c r="OUJ45" s="16"/>
      <c r="OUK45" s="16"/>
      <c r="OUL45" s="16"/>
      <c r="OUM45" s="16"/>
      <c r="OUN45" s="16"/>
      <c r="OUO45" s="16"/>
      <c r="OUP45" s="16"/>
      <c r="OUQ45" s="16"/>
      <c r="OUR45" s="16"/>
      <c r="OUS45" s="16"/>
      <c r="OUT45" s="16"/>
      <c r="OUU45" s="16"/>
      <c r="OUV45" s="16"/>
      <c r="OUW45" s="16"/>
      <c r="OUX45" s="16"/>
      <c r="OUY45" s="16"/>
      <c r="OUZ45" s="16"/>
      <c r="OVA45" s="16"/>
      <c r="OVB45" s="16"/>
      <c r="OVC45" s="16"/>
      <c r="OVD45" s="16"/>
      <c r="OVE45" s="16"/>
      <c r="OVF45" s="16"/>
      <c r="OVG45" s="16"/>
      <c r="OVH45" s="16"/>
      <c r="OVI45" s="16"/>
      <c r="OVJ45" s="16"/>
      <c r="OVK45" s="16"/>
      <c r="OVL45" s="16"/>
      <c r="OVM45" s="16"/>
      <c r="OVN45" s="16"/>
      <c r="OVO45" s="16"/>
      <c r="OVP45" s="16"/>
      <c r="OVQ45" s="16"/>
      <c r="OVR45" s="16"/>
      <c r="OVS45" s="16"/>
      <c r="OVT45" s="16"/>
      <c r="OVU45" s="16"/>
      <c r="OVV45" s="16"/>
      <c r="OVW45" s="16"/>
      <c r="OVX45" s="16"/>
      <c r="OVY45" s="16"/>
      <c r="OVZ45" s="16"/>
      <c r="OWA45" s="16"/>
      <c r="OWB45" s="16"/>
      <c r="OWC45" s="16"/>
      <c r="OWD45" s="16"/>
      <c r="OWE45" s="16"/>
      <c r="OWF45" s="16"/>
      <c r="OWG45" s="16"/>
      <c r="OWH45" s="16"/>
      <c r="OWI45" s="16"/>
      <c r="OWJ45" s="16"/>
      <c r="OWK45" s="16"/>
      <c r="OWL45" s="16"/>
      <c r="OWM45" s="16"/>
      <c r="OWN45" s="16"/>
      <c r="OWO45" s="16"/>
      <c r="OWP45" s="16"/>
      <c r="OWQ45" s="16"/>
      <c r="OWR45" s="16"/>
      <c r="OWS45" s="16"/>
      <c r="OWT45" s="16"/>
      <c r="OWU45" s="16"/>
      <c r="OWV45" s="16"/>
      <c r="OWW45" s="16"/>
      <c r="OWX45" s="16"/>
      <c r="OWY45" s="16"/>
      <c r="OWZ45" s="16"/>
      <c r="OXA45" s="16"/>
      <c r="OXB45" s="16"/>
      <c r="OXC45" s="16"/>
      <c r="OXD45" s="16"/>
      <c r="OXE45" s="16"/>
      <c r="OXF45" s="16"/>
      <c r="OXG45" s="16"/>
      <c r="OXH45" s="16"/>
      <c r="OXI45" s="16"/>
      <c r="OXJ45" s="16"/>
      <c r="OXK45" s="16"/>
      <c r="OXL45" s="16"/>
      <c r="OXM45" s="16"/>
      <c r="OXN45" s="16"/>
      <c r="OXO45" s="16"/>
      <c r="OXP45" s="16"/>
      <c r="OXQ45" s="16"/>
      <c r="OXR45" s="16"/>
      <c r="OXS45" s="16"/>
      <c r="OXT45" s="16"/>
      <c r="OXU45" s="16"/>
      <c r="OXV45" s="16"/>
      <c r="OXW45" s="16"/>
      <c r="OXX45" s="16"/>
      <c r="OXY45" s="16"/>
      <c r="OXZ45" s="16"/>
      <c r="OYA45" s="16"/>
      <c r="OYB45" s="16"/>
      <c r="OYC45" s="16"/>
      <c r="OYD45" s="16"/>
      <c r="OYE45" s="16"/>
      <c r="OYF45" s="16"/>
      <c r="OYG45" s="16"/>
      <c r="OYH45" s="16"/>
      <c r="OYI45" s="16"/>
      <c r="OYJ45" s="16"/>
      <c r="OYK45" s="16"/>
      <c r="OYL45" s="16"/>
      <c r="OYM45" s="16"/>
      <c r="OYN45" s="16"/>
      <c r="OYO45" s="16"/>
      <c r="OYP45" s="16"/>
      <c r="OYQ45" s="16"/>
      <c r="OYR45" s="16"/>
      <c r="OYS45" s="16"/>
      <c r="OYT45" s="16"/>
      <c r="OYU45" s="16"/>
      <c r="OYV45" s="16"/>
      <c r="OYW45" s="16"/>
      <c r="OYX45" s="16"/>
      <c r="OYY45" s="16"/>
      <c r="OYZ45" s="16"/>
      <c r="OZA45" s="16"/>
      <c r="OZB45" s="16"/>
      <c r="OZC45" s="16"/>
      <c r="OZD45" s="16"/>
      <c r="OZE45" s="16"/>
      <c r="OZF45" s="16"/>
      <c r="OZG45" s="16"/>
      <c r="OZH45" s="16"/>
      <c r="OZI45" s="16"/>
      <c r="OZJ45" s="16"/>
      <c r="OZK45" s="16"/>
      <c r="OZL45" s="16"/>
      <c r="OZM45" s="16"/>
      <c r="OZN45" s="16"/>
      <c r="OZO45" s="16"/>
      <c r="OZP45" s="16"/>
      <c r="OZQ45" s="16"/>
      <c r="OZR45" s="16"/>
      <c r="OZS45" s="16"/>
      <c r="OZT45" s="16"/>
      <c r="OZU45" s="16"/>
      <c r="OZV45" s="16"/>
      <c r="OZW45" s="16"/>
      <c r="OZX45" s="16"/>
      <c r="OZY45" s="16"/>
      <c r="OZZ45" s="16"/>
      <c r="PAA45" s="16"/>
      <c r="PAB45" s="16"/>
      <c r="PAC45" s="16"/>
      <c r="PAD45" s="16"/>
      <c r="PAE45" s="16"/>
      <c r="PAF45" s="16"/>
      <c r="PAG45" s="16"/>
      <c r="PAH45" s="16"/>
      <c r="PAI45" s="16"/>
      <c r="PAJ45" s="16"/>
      <c r="PAK45" s="16"/>
      <c r="PAL45" s="16"/>
      <c r="PAM45" s="16"/>
      <c r="PAN45" s="16"/>
      <c r="PAO45" s="16"/>
      <c r="PAP45" s="16"/>
      <c r="PAQ45" s="16"/>
      <c r="PAR45" s="16"/>
      <c r="PAS45" s="16"/>
      <c r="PAT45" s="16"/>
      <c r="PAU45" s="16"/>
      <c r="PAV45" s="16"/>
      <c r="PAW45" s="16"/>
      <c r="PAX45" s="16"/>
      <c r="PAY45" s="16"/>
      <c r="PAZ45" s="16"/>
      <c r="PBA45" s="16"/>
      <c r="PBB45" s="16"/>
      <c r="PBC45" s="16"/>
      <c r="PBD45" s="16"/>
      <c r="PBE45" s="16"/>
      <c r="PBF45" s="16"/>
      <c r="PBG45" s="16"/>
      <c r="PBH45" s="16"/>
      <c r="PBI45" s="16"/>
      <c r="PBJ45" s="16"/>
      <c r="PBK45" s="16"/>
      <c r="PBL45" s="16"/>
      <c r="PBM45" s="16"/>
      <c r="PBN45" s="16"/>
      <c r="PBO45" s="16"/>
      <c r="PBP45" s="16"/>
      <c r="PBQ45" s="16"/>
      <c r="PBR45" s="16"/>
      <c r="PBS45" s="16"/>
      <c r="PBT45" s="16"/>
      <c r="PBU45" s="16"/>
      <c r="PBV45" s="16"/>
      <c r="PBW45" s="16"/>
      <c r="PBX45" s="16"/>
      <c r="PBY45" s="16"/>
      <c r="PBZ45" s="16"/>
      <c r="PCA45" s="16"/>
      <c r="PCB45" s="16"/>
      <c r="PCC45" s="16"/>
      <c r="PCD45" s="16"/>
      <c r="PCE45" s="16"/>
      <c r="PCF45" s="16"/>
      <c r="PCG45" s="16"/>
      <c r="PCH45" s="16"/>
      <c r="PCI45" s="16"/>
      <c r="PCJ45" s="16"/>
      <c r="PCK45" s="16"/>
      <c r="PCL45" s="16"/>
      <c r="PCM45" s="16"/>
      <c r="PCN45" s="16"/>
      <c r="PCO45" s="16"/>
      <c r="PCP45" s="16"/>
      <c r="PCQ45" s="16"/>
      <c r="PCR45" s="16"/>
      <c r="PCS45" s="16"/>
      <c r="PCT45" s="16"/>
      <c r="PCU45" s="16"/>
      <c r="PCV45" s="16"/>
      <c r="PCW45" s="16"/>
      <c r="PCX45" s="16"/>
      <c r="PCY45" s="16"/>
      <c r="PCZ45" s="16"/>
      <c r="PDA45" s="16"/>
      <c r="PDB45" s="16"/>
      <c r="PDC45" s="16"/>
      <c r="PDD45" s="16"/>
      <c r="PDE45" s="16"/>
      <c r="PDF45" s="16"/>
      <c r="PDG45" s="16"/>
      <c r="PDH45" s="16"/>
      <c r="PDI45" s="16"/>
      <c r="PDJ45" s="16"/>
      <c r="PDK45" s="16"/>
      <c r="PDL45" s="16"/>
      <c r="PDM45" s="16"/>
      <c r="PDN45" s="16"/>
      <c r="PDO45" s="16"/>
      <c r="PDP45" s="16"/>
      <c r="PDQ45" s="16"/>
      <c r="PDR45" s="16"/>
      <c r="PDS45" s="16"/>
      <c r="PDT45" s="16"/>
      <c r="PDU45" s="16"/>
      <c r="PDV45" s="16"/>
      <c r="PDW45" s="16"/>
      <c r="PDX45" s="16"/>
      <c r="PDY45" s="16"/>
      <c r="PDZ45" s="16"/>
      <c r="PEA45" s="16"/>
      <c r="PEB45" s="16"/>
      <c r="PEC45" s="16"/>
      <c r="PED45" s="16"/>
      <c r="PEE45" s="16"/>
      <c r="PEF45" s="16"/>
      <c r="PEG45" s="16"/>
      <c r="PEH45" s="16"/>
      <c r="PEI45" s="16"/>
      <c r="PEJ45" s="16"/>
      <c r="PEK45" s="16"/>
      <c r="PEL45" s="16"/>
      <c r="PEM45" s="16"/>
      <c r="PEN45" s="16"/>
      <c r="PEO45" s="16"/>
      <c r="PEP45" s="16"/>
      <c r="PEQ45" s="16"/>
      <c r="PER45" s="16"/>
      <c r="PES45" s="16"/>
      <c r="PET45" s="16"/>
      <c r="PEU45" s="16"/>
      <c r="PEV45" s="16"/>
      <c r="PEW45" s="16"/>
      <c r="PEX45" s="16"/>
      <c r="PEY45" s="16"/>
      <c r="PEZ45" s="16"/>
      <c r="PFA45" s="16"/>
      <c r="PFB45" s="16"/>
      <c r="PFC45" s="16"/>
      <c r="PFD45" s="16"/>
      <c r="PFE45" s="16"/>
      <c r="PFF45" s="16"/>
      <c r="PFG45" s="16"/>
      <c r="PFH45" s="16"/>
      <c r="PFI45" s="16"/>
      <c r="PFJ45" s="16"/>
      <c r="PFK45" s="16"/>
      <c r="PFL45" s="16"/>
      <c r="PFM45" s="16"/>
      <c r="PFN45" s="16"/>
      <c r="PFO45" s="16"/>
      <c r="PFP45" s="16"/>
      <c r="PFQ45" s="16"/>
      <c r="PFR45" s="16"/>
      <c r="PFS45" s="16"/>
      <c r="PFT45" s="16"/>
      <c r="PFU45" s="16"/>
      <c r="PFV45" s="16"/>
      <c r="PFW45" s="16"/>
      <c r="PFX45" s="16"/>
      <c r="PFY45" s="16"/>
      <c r="PFZ45" s="16"/>
      <c r="PGA45" s="16"/>
      <c r="PGB45" s="16"/>
      <c r="PGC45" s="16"/>
      <c r="PGD45" s="16"/>
      <c r="PGE45" s="16"/>
      <c r="PGF45" s="16"/>
      <c r="PGG45" s="16"/>
      <c r="PGH45" s="16"/>
      <c r="PGI45" s="16"/>
      <c r="PGJ45" s="16"/>
      <c r="PGK45" s="16"/>
      <c r="PGL45" s="16"/>
      <c r="PGM45" s="16"/>
      <c r="PGN45" s="16"/>
      <c r="PGO45" s="16"/>
      <c r="PGP45" s="16"/>
      <c r="PGQ45" s="16"/>
      <c r="PGR45" s="16"/>
      <c r="PGS45" s="16"/>
      <c r="PGT45" s="16"/>
      <c r="PGU45" s="16"/>
      <c r="PGV45" s="16"/>
      <c r="PGW45" s="16"/>
      <c r="PGX45" s="16"/>
      <c r="PGY45" s="16"/>
      <c r="PGZ45" s="16"/>
      <c r="PHA45" s="16"/>
      <c r="PHB45" s="16"/>
      <c r="PHC45" s="16"/>
      <c r="PHD45" s="16"/>
      <c r="PHE45" s="16"/>
      <c r="PHF45" s="16"/>
      <c r="PHG45" s="16"/>
      <c r="PHH45" s="16"/>
      <c r="PHI45" s="16"/>
      <c r="PHJ45" s="16"/>
      <c r="PHK45" s="16"/>
      <c r="PHL45" s="16"/>
      <c r="PHM45" s="16"/>
      <c r="PHN45" s="16"/>
      <c r="PHO45" s="16"/>
      <c r="PHP45" s="16"/>
      <c r="PHQ45" s="16"/>
      <c r="PHR45" s="16"/>
      <c r="PHS45" s="16"/>
      <c r="PHT45" s="16"/>
      <c r="PHU45" s="16"/>
      <c r="PHV45" s="16"/>
      <c r="PHW45" s="16"/>
      <c r="PHX45" s="16"/>
      <c r="PHY45" s="16"/>
      <c r="PHZ45" s="16"/>
      <c r="PIA45" s="16"/>
      <c r="PIB45" s="16"/>
      <c r="PIC45" s="16"/>
      <c r="PID45" s="16"/>
      <c r="PIE45" s="16"/>
      <c r="PIF45" s="16"/>
      <c r="PIG45" s="16"/>
      <c r="PIH45" s="16"/>
      <c r="PII45" s="16"/>
      <c r="PIJ45" s="16"/>
      <c r="PIK45" s="16"/>
      <c r="PIL45" s="16"/>
      <c r="PIM45" s="16"/>
      <c r="PIN45" s="16"/>
      <c r="PIO45" s="16"/>
      <c r="PIP45" s="16"/>
      <c r="PIQ45" s="16"/>
      <c r="PIR45" s="16"/>
      <c r="PIS45" s="16"/>
      <c r="PIT45" s="16"/>
      <c r="PIU45" s="16"/>
      <c r="PIV45" s="16"/>
      <c r="PIW45" s="16"/>
      <c r="PIX45" s="16"/>
      <c r="PIY45" s="16"/>
      <c r="PIZ45" s="16"/>
      <c r="PJA45" s="16"/>
      <c r="PJB45" s="16"/>
      <c r="PJC45" s="16"/>
      <c r="PJD45" s="16"/>
      <c r="PJE45" s="16"/>
      <c r="PJF45" s="16"/>
      <c r="PJG45" s="16"/>
      <c r="PJH45" s="16"/>
      <c r="PJI45" s="16"/>
      <c r="PJJ45" s="16"/>
      <c r="PJK45" s="16"/>
      <c r="PJL45" s="16"/>
      <c r="PJM45" s="16"/>
      <c r="PJN45" s="16"/>
      <c r="PJO45" s="16"/>
      <c r="PJP45" s="16"/>
      <c r="PJQ45" s="16"/>
      <c r="PJR45" s="16"/>
      <c r="PJS45" s="16"/>
      <c r="PJT45" s="16"/>
      <c r="PJU45" s="16"/>
      <c r="PJV45" s="16"/>
      <c r="PJW45" s="16"/>
      <c r="PJX45" s="16"/>
      <c r="PJY45" s="16"/>
      <c r="PJZ45" s="16"/>
      <c r="PKA45" s="16"/>
      <c r="PKB45" s="16"/>
      <c r="PKC45" s="16"/>
      <c r="PKD45" s="16"/>
      <c r="PKE45" s="16"/>
      <c r="PKF45" s="16"/>
      <c r="PKG45" s="16"/>
      <c r="PKH45" s="16"/>
      <c r="PKI45" s="16"/>
      <c r="PKJ45" s="16"/>
      <c r="PKK45" s="16"/>
      <c r="PKL45" s="16"/>
      <c r="PKM45" s="16"/>
      <c r="PKN45" s="16"/>
      <c r="PKO45" s="16"/>
      <c r="PKP45" s="16"/>
      <c r="PKQ45" s="16"/>
      <c r="PKR45" s="16"/>
      <c r="PKS45" s="16"/>
      <c r="PKT45" s="16"/>
      <c r="PKU45" s="16"/>
      <c r="PKV45" s="16"/>
      <c r="PKW45" s="16"/>
      <c r="PKX45" s="16"/>
      <c r="PKY45" s="16"/>
      <c r="PKZ45" s="16"/>
      <c r="PLA45" s="16"/>
      <c r="PLB45" s="16"/>
      <c r="PLC45" s="16"/>
      <c r="PLD45" s="16"/>
      <c r="PLE45" s="16"/>
      <c r="PLF45" s="16"/>
      <c r="PLG45" s="16"/>
      <c r="PLH45" s="16"/>
      <c r="PLI45" s="16"/>
      <c r="PLJ45" s="16"/>
      <c r="PLK45" s="16"/>
      <c r="PLL45" s="16"/>
      <c r="PLM45" s="16"/>
      <c r="PLN45" s="16"/>
      <c r="PLO45" s="16"/>
      <c r="PLP45" s="16"/>
      <c r="PLQ45" s="16"/>
      <c r="PLR45" s="16"/>
      <c r="PLS45" s="16"/>
      <c r="PLT45" s="16"/>
      <c r="PLU45" s="16"/>
      <c r="PLV45" s="16"/>
      <c r="PLW45" s="16"/>
      <c r="PLX45" s="16"/>
      <c r="PLY45" s="16"/>
      <c r="PLZ45" s="16"/>
      <c r="PMA45" s="16"/>
      <c r="PMB45" s="16"/>
      <c r="PMC45" s="16"/>
      <c r="PMD45" s="16"/>
      <c r="PME45" s="16"/>
      <c r="PMF45" s="16"/>
      <c r="PMG45" s="16"/>
      <c r="PMH45" s="16"/>
      <c r="PMI45" s="16"/>
      <c r="PMJ45" s="16"/>
      <c r="PMK45" s="16"/>
      <c r="PML45" s="16"/>
      <c r="PMM45" s="16"/>
      <c r="PMN45" s="16"/>
      <c r="PMO45" s="16"/>
      <c r="PMP45" s="16"/>
      <c r="PMQ45" s="16"/>
      <c r="PMR45" s="16"/>
      <c r="PMS45" s="16"/>
      <c r="PMT45" s="16"/>
      <c r="PMU45" s="16"/>
      <c r="PMV45" s="16"/>
      <c r="PMW45" s="16"/>
      <c r="PMX45" s="16"/>
      <c r="PMY45" s="16"/>
      <c r="PMZ45" s="16"/>
      <c r="PNA45" s="16"/>
      <c r="PNB45" s="16"/>
      <c r="PNC45" s="16"/>
      <c r="PND45" s="16"/>
      <c r="PNE45" s="16"/>
      <c r="PNF45" s="16"/>
      <c r="PNG45" s="16"/>
      <c r="PNH45" s="16"/>
      <c r="PNI45" s="16"/>
      <c r="PNJ45" s="16"/>
      <c r="PNK45" s="16"/>
      <c r="PNL45" s="16"/>
      <c r="PNM45" s="16"/>
      <c r="PNN45" s="16"/>
      <c r="PNO45" s="16"/>
      <c r="PNP45" s="16"/>
      <c r="PNQ45" s="16"/>
      <c r="PNR45" s="16"/>
      <c r="PNS45" s="16"/>
      <c r="PNT45" s="16"/>
      <c r="PNU45" s="16"/>
      <c r="PNV45" s="16"/>
      <c r="PNW45" s="16"/>
      <c r="PNX45" s="16"/>
      <c r="PNY45" s="16"/>
      <c r="PNZ45" s="16"/>
      <c r="POA45" s="16"/>
      <c r="POB45" s="16"/>
      <c r="POC45" s="16"/>
      <c r="POD45" s="16"/>
      <c r="POE45" s="16"/>
      <c r="POF45" s="16"/>
      <c r="POG45" s="16"/>
      <c r="POH45" s="16"/>
      <c r="POI45" s="16"/>
      <c r="POJ45" s="16"/>
      <c r="POK45" s="16"/>
      <c r="POL45" s="16"/>
      <c r="POM45" s="16"/>
      <c r="PON45" s="16"/>
      <c r="POO45" s="16"/>
      <c r="POP45" s="16"/>
      <c r="POQ45" s="16"/>
      <c r="POR45" s="16"/>
      <c r="POS45" s="16"/>
      <c r="POT45" s="16"/>
      <c r="POU45" s="16"/>
      <c r="POV45" s="16"/>
      <c r="POW45" s="16"/>
      <c r="POX45" s="16"/>
      <c r="POY45" s="16"/>
      <c r="POZ45" s="16"/>
      <c r="PPA45" s="16"/>
      <c r="PPB45" s="16"/>
      <c r="PPC45" s="16"/>
      <c r="PPD45" s="16"/>
      <c r="PPE45" s="16"/>
      <c r="PPF45" s="16"/>
      <c r="PPG45" s="16"/>
      <c r="PPH45" s="16"/>
      <c r="PPI45" s="16"/>
      <c r="PPJ45" s="16"/>
      <c r="PPK45" s="16"/>
      <c r="PPL45" s="16"/>
      <c r="PPM45" s="16"/>
      <c r="PPN45" s="16"/>
      <c r="PPO45" s="16"/>
      <c r="PPP45" s="16"/>
      <c r="PPQ45" s="16"/>
      <c r="PPR45" s="16"/>
      <c r="PPS45" s="16"/>
      <c r="PPT45" s="16"/>
      <c r="PPU45" s="16"/>
      <c r="PPV45" s="16"/>
      <c r="PPW45" s="16"/>
      <c r="PPX45" s="16"/>
      <c r="PPY45" s="16"/>
      <c r="PPZ45" s="16"/>
      <c r="PQA45" s="16"/>
      <c r="PQB45" s="16"/>
      <c r="PQC45" s="16"/>
      <c r="PQD45" s="16"/>
      <c r="PQE45" s="16"/>
      <c r="PQF45" s="16"/>
      <c r="PQG45" s="16"/>
      <c r="PQH45" s="16"/>
      <c r="PQI45" s="16"/>
      <c r="PQJ45" s="16"/>
      <c r="PQK45" s="16"/>
      <c r="PQL45" s="16"/>
      <c r="PQM45" s="16"/>
      <c r="PQN45" s="16"/>
      <c r="PQO45" s="16"/>
      <c r="PQP45" s="16"/>
      <c r="PQQ45" s="16"/>
      <c r="PQR45" s="16"/>
      <c r="PQS45" s="16"/>
      <c r="PQT45" s="16"/>
      <c r="PQU45" s="16"/>
      <c r="PQV45" s="16"/>
      <c r="PQW45" s="16"/>
      <c r="PQX45" s="16"/>
      <c r="PQY45" s="16"/>
      <c r="PQZ45" s="16"/>
      <c r="PRA45" s="16"/>
      <c r="PRB45" s="16"/>
      <c r="PRC45" s="16"/>
      <c r="PRD45" s="16"/>
      <c r="PRE45" s="16"/>
      <c r="PRF45" s="16"/>
      <c r="PRG45" s="16"/>
      <c r="PRH45" s="16"/>
      <c r="PRI45" s="16"/>
      <c r="PRJ45" s="16"/>
      <c r="PRK45" s="16"/>
      <c r="PRL45" s="16"/>
      <c r="PRM45" s="16"/>
      <c r="PRN45" s="16"/>
      <c r="PRO45" s="16"/>
      <c r="PRP45" s="16"/>
      <c r="PRQ45" s="16"/>
      <c r="PRR45" s="16"/>
      <c r="PRS45" s="16"/>
      <c r="PRT45" s="16"/>
      <c r="PRU45" s="16"/>
      <c r="PRV45" s="16"/>
      <c r="PRW45" s="16"/>
      <c r="PRX45" s="16"/>
      <c r="PRY45" s="16"/>
      <c r="PRZ45" s="16"/>
      <c r="PSA45" s="16"/>
      <c r="PSB45" s="16"/>
      <c r="PSC45" s="16"/>
      <c r="PSD45" s="16"/>
      <c r="PSE45" s="16"/>
      <c r="PSF45" s="16"/>
      <c r="PSG45" s="16"/>
      <c r="PSH45" s="16"/>
      <c r="PSI45" s="16"/>
      <c r="PSJ45" s="16"/>
      <c r="PSK45" s="16"/>
      <c r="PSL45" s="16"/>
      <c r="PSM45" s="16"/>
      <c r="PSN45" s="16"/>
      <c r="PSO45" s="16"/>
      <c r="PSP45" s="16"/>
      <c r="PSQ45" s="16"/>
      <c r="PSR45" s="16"/>
      <c r="PSS45" s="16"/>
      <c r="PST45" s="16"/>
      <c r="PSU45" s="16"/>
      <c r="PSV45" s="16"/>
      <c r="PSW45" s="16"/>
      <c r="PSX45" s="16"/>
      <c r="PSY45" s="16"/>
      <c r="PSZ45" s="16"/>
      <c r="PTA45" s="16"/>
      <c r="PTB45" s="16"/>
      <c r="PTC45" s="16"/>
      <c r="PTD45" s="16"/>
      <c r="PTE45" s="16"/>
      <c r="PTF45" s="16"/>
      <c r="PTG45" s="16"/>
      <c r="PTH45" s="16"/>
      <c r="PTI45" s="16"/>
      <c r="PTJ45" s="16"/>
      <c r="PTK45" s="16"/>
      <c r="PTL45" s="16"/>
      <c r="PTM45" s="16"/>
      <c r="PTN45" s="16"/>
      <c r="PTO45" s="16"/>
      <c r="PTP45" s="16"/>
      <c r="PTQ45" s="16"/>
      <c r="PTR45" s="16"/>
      <c r="PTS45" s="16"/>
      <c r="PTT45" s="16"/>
      <c r="PTU45" s="16"/>
      <c r="PTV45" s="16"/>
      <c r="PTW45" s="16"/>
      <c r="PTX45" s="16"/>
      <c r="PTY45" s="16"/>
      <c r="PTZ45" s="16"/>
      <c r="PUA45" s="16"/>
      <c r="PUB45" s="16"/>
      <c r="PUC45" s="16"/>
      <c r="PUD45" s="16"/>
      <c r="PUE45" s="16"/>
      <c r="PUF45" s="16"/>
      <c r="PUG45" s="16"/>
      <c r="PUH45" s="16"/>
      <c r="PUI45" s="16"/>
      <c r="PUJ45" s="16"/>
      <c r="PUK45" s="16"/>
      <c r="PUL45" s="16"/>
      <c r="PUM45" s="16"/>
      <c r="PUN45" s="16"/>
      <c r="PUO45" s="16"/>
      <c r="PUP45" s="16"/>
      <c r="PUQ45" s="16"/>
      <c r="PUR45" s="16"/>
      <c r="PUS45" s="16"/>
      <c r="PUT45" s="16"/>
      <c r="PUU45" s="16"/>
      <c r="PUV45" s="16"/>
      <c r="PUW45" s="16"/>
      <c r="PUX45" s="16"/>
      <c r="PUY45" s="16"/>
      <c r="PUZ45" s="16"/>
      <c r="PVA45" s="16"/>
      <c r="PVB45" s="16"/>
      <c r="PVC45" s="16"/>
      <c r="PVD45" s="16"/>
      <c r="PVE45" s="16"/>
      <c r="PVF45" s="16"/>
      <c r="PVG45" s="16"/>
      <c r="PVH45" s="16"/>
      <c r="PVI45" s="16"/>
      <c r="PVJ45" s="16"/>
      <c r="PVK45" s="16"/>
      <c r="PVL45" s="16"/>
      <c r="PVM45" s="16"/>
      <c r="PVN45" s="16"/>
      <c r="PVO45" s="16"/>
      <c r="PVP45" s="16"/>
      <c r="PVQ45" s="16"/>
      <c r="PVR45" s="16"/>
      <c r="PVS45" s="16"/>
      <c r="PVT45" s="16"/>
      <c r="PVU45" s="16"/>
      <c r="PVV45" s="16"/>
      <c r="PVW45" s="16"/>
      <c r="PVX45" s="16"/>
      <c r="PVY45" s="16"/>
      <c r="PVZ45" s="16"/>
      <c r="PWA45" s="16"/>
      <c r="PWB45" s="16"/>
      <c r="PWC45" s="16"/>
      <c r="PWD45" s="16"/>
      <c r="PWE45" s="16"/>
      <c r="PWF45" s="16"/>
      <c r="PWG45" s="16"/>
      <c r="PWH45" s="16"/>
      <c r="PWI45" s="16"/>
      <c r="PWJ45" s="16"/>
      <c r="PWK45" s="16"/>
      <c r="PWL45" s="16"/>
      <c r="PWM45" s="16"/>
      <c r="PWN45" s="16"/>
      <c r="PWO45" s="16"/>
      <c r="PWP45" s="16"/>
      <c r="PWQ45" s="16"/>
      <c r="PWR45" s="16"/>
      <c r="PWS45" s="16"/>
      <c r="PWT45" s="16"/>
      <c r="PWU45" s="16"/>
      <c r="PWV45" s="16"/>
      <c r="PWW45" s="16"/>
      <c r="PWX45" s="16"/>
      <c r="PWY45" s="16"/>
      <c r="PWZ45" s="16"/>
      <c r="PXA45" s="16"/>
      <c r="PXB45" s="16"/>
      <c r="PXC45" s="16"/>
      <c r="PXD45" s="16"/>
      <c r="PXE45" s="16"/>
      <c r="PXF45" s="16"/>
      <c r="PXG45" s="16"/>
      <c r="PXH45" s="16"/>
      <c r="PXI45" s="16"/>
      <c r="PXJ45" s="16"/>
      <c r="PXK45" s="16"/>
      <c r="PXL45" s="16"/>
      <c r="PXM45" s="16"/>
      <c r="PXN45" s="16"/>
      <c r="PXO45" s="16"/>
      <c r="PXP45" s="16"/>
      <c r="PXQ45" s="16"/>
      <c r="PXR45" s="16"/>
      <c r="PXS45" s="16"/>
      <c r="PXT45" s="16"/>
      <c r="PXU45" s="16"/>
      <c r="PXV45" s="16"/>
      <c r="PXW45" s="16"/>
      <c r="PXX45" s="16"/>
      <c r="PXY45" s="16"/>
      <c r="PXZ45" s="16"/>
      <c r="PYA45" s="16"/>
      <c r="PYB45" s="16"/>
      <c r="PYC45" s="16"/>
      <c r="PYD45" s="16"/>
      <c r="PYE45" s="16"/>
      <c r="PYF45" s="16"/>
      <c r="PYG45" s="16"/>
      <c r="PYH45" s="16"/>
      <c r="PYI45" s="16"/>
      <c r="PYJ45" s="16"/>
      <c r="PYK45" s="16"/>
      <c r="PYL45" s="16"/>
      <c r="PYM45" s="16"/>
      <c r="PYN45" s="16"/>
      <c r="PYO45" s="16"/>
      <c r="PYP45" s="16"/>
      <c r="PYQ45" s="16"/>
      <c r="PYR45" s="16"/>
      <c r="PYS45" s="16"/>
      <c r="PYT45" s="16"/>
      <c r="PYU45" s="16"/>
      <c r="PYV45" s="16"/>
      <c r="PYW45" s="16"/>
      <c r="PYX45" s="16"/>
      <c r="PYY45" s="16"/>
      <c r="PYZ45" s="16"/>
      <c r="PZA45" s="16"/>
      <c r="PZB45" s="16"/>
      <c r="PZC45" s="16"/>
      <c r="PZD45" s="16"/>
      <c r="PZE45" s="16"/>
      <c r="PZF45" s="16"/>
      <c r="PZG45" s="16"/>
      <c r="PZH45" s="16"/>
      <c r="PZI45" s="16"/>
      <c r="PZJ45" s="16"/>
      <c r="PZK45" s="16"/>
      <c r="PZL45" s="16"/>
      <c r="PZM45" s="16"/>
      <c r="PZN45" s="16"/>
      <c r="PZO45" s="16"/>
      <c r="PZP45" s="16"/>
      <c r="PZQ45" s="16"/>
      <c r="PZR45" s="16"/>
      <c r="PZS45" s="16"/>
      <c r="PZT45" s="16"/>
      <c r="PZU45" s="16"/>
      <c r="PZV45" s="16"/>
      <c r="PZW45" s="16"/>
      <c r="PZX45" s="16"/>
      <c r="PZY45" s="16"/>
      <c r="PZZ45" s="16"/>
      <c r="QAA45" s="16"/>
      <c r="QAB45" s="16"/>
      <c r="QAC45" s="16"/>
      <c r="QAD45" s="16"/>
      <c r="QAE45" s="16"/>
      <c r="QAF45" s="16"/>
      <c r="QAG45" s="16"/>
      <c r="QAH45" s="16"/>
      <c r="QAI45" s="16"/>
      <c r="QAJ45" s="16"/>
      <c r="QAK45" s="16"/>
      <c r="QAL45" s="16"/>
      <c r="QAM45" s="16"/>
      <c r="QAN45" s="16"/>
      <c r="QAO45" s="16"/>
      <c r="QAP45" s="16"/>
      <c r="QAQ45" s="16"/>
      <c r="QAR45" s="16"/>
      <c r="QAS45" s="16"/>
      <c r="QAT45" s="16"/>
      <c r="QAU45" s="16"/>
      <c r="QAV45" s="16"/>
      <c r="QAW45" s="16"/>
      <c r="QAX45" s="16"/>
      <c r="QAY45" s="16"/>
      <c r="QAZ45" s="16"/>
      <c r="QBA45" s="16"/>
      <c r="QBB45" s="16"/>
      <c r="QBC45" s="16"/>
      <c r="QBD45" s="16"/>
      <c r="QBE45" s="16"/>
      <c r="QBF45" s="16"/>
      <c r="QBG45" s="16"/>
      <c r="QBH45" s="16"/>
      <c r="QBI45" s="16"/>
      <c r="QBJ45" s="16"/>
      <c r="QBK45" s="16"/>
      <c r="QBL45" s="16"/>
      <c r="QBM45" s="16"/>
      <c r="QBN45" s="16"/>
      <c r="QBO45" s="16"/>
      <c r="QBP45" s="16"/>
      <c r="QBQ45" s="16"/>
      <c r="QBR45" s="16"/>
      <c r="QBS45" s="16"/>
      <c r="QBT45" s="16"/>
      <c r="QBU45" s="16"/>
      <c r="QBV45" s="16"/>
      <c r="QBW45" s="16"/>
      <c r="QBX45" s="16"/>
      <c r="QBY45" s="16"/>
      <c r="QBZ45" s="16"/>
      <c r="QCA45" s="16"/>
      <c r="QCB45" s="16"/>
      <c r="QCC45" s="16"/>
      <c r="QCD45" s="16"/>
      <c r="QCE45" s="16"/>
      <c r="QCF45" s="16"/>
      <c r="QCG45" s="16"/>
      <c r="QCH45" s="16"/>
      <c r="QCI45" s="16"/>
      <c r="QCJ45" s="16"/>
      <c r="QCK45" s="16"/>
      <c r="QCL45" s="16"/>
      <c r="QCM45" s="16"/>
      <c r="QCN45" s="16"/>
      <c r="QCO45" s="16"/>
      <c r="QCP45" s="16"/>
      <c r="QCQ45" s="16"/>
      <c r="QCR45" s="16"/>
      <c r="QCS45" s="16"/>
      <c r="QCT45" s="16"/>
      <c r="QCU45" s="16"/>
      <c r="QCV45" s="16"/>
      <c r="QCW45" s="16"/>
      <c r="QCX45" s="16"/>
      <c r="QCY45" s="16"/>
      <c r="QCZ45" s="16"/>
      <c r="QDA45" s="16"/>
      <c r="QDB45" s="16"/>
      <c r="QDC45" s="16"/>
      <c r="QDD45" s="16"/>
      <c r="QDE45" s="16"/>
      <c r="QDF45" s="16"/>
      <c r="QDG45" s="16"/>
      <c r="QDH45" s="16"/>
      <c r="QDI45" s="16"/>
      <c r="QDJ45" s="16"/>
      <c r="QDK45" s="16"/>
      <c r="QDL45" s="16"/>
      <c r="QDM45" s="16"/>
      <c r="QDN45" s="16"/>
      <c r="QDO45" s="16"/>
      <c r="QDP45" s="16"/>
      <c r="QDQ45" s="16"/>
      <c r="QDR45" s="16"/>
      <c r="QDS45" s="16"/>
      <c r="QDT45" s="16"/>
      <c r="QDU45" s="16"/>
      <c r="QDV45" s="16"/>
      <c r="QDW45" s="16"/>
      <c r="QDX45" s="16"/>
      <c r="QDY45" s="16"/>
      <c r="QDZ45" s="16"/>
      <c r="QEA45" s="16"/>
      <c r="QEB45" s="16"/>
      <c r="QEC45" s="16"/>
      <c r="QED45" s="16"/>
      <c r="QEE45" s="16"/>
      <c r="QEF45" s="16"/>
      <c r="QEG45" s="16"/>
      <c r="QEH45" s="16"/>
      <c r="QEI45" s="16"/>
      <c r="QEJ45" s="16"/>
      <c r="QEK45" s="16"/>
      <c r="QEL45" s="16"/>
      <c r="QEM45" s="16"/>
      <c r="QEN45" s="16"/>
      <c r="QEO45" s="16"/>
      <c r="QEP45" s="16"/>
      <c r="QEQ45" s="16"/>
      <c r="QER45" s="16"/>
      <c r="QES45" s="16"/>
      <c r="QET45" s="16"/>
      <c r="QEU45" s="16"/>
      <c r="QEV45" s="16"/>
      <c r="QEW45" s="16"/>
      <c r="QEX45" s="16"/>
      <c r="QEY45" s="16"/>
      <c r="QEZ45" s="16"/>
      <c r="QFA45" s="16"/>
      <c r="QFB45" s="16"/>
      <c r="QFC45" s="16"/>
      <c r="QFD45" s="16"/>
      <c r="QFE45" s="16"/>
      <c r="QFF45" s="16"/>
      <c r="QFG45" s="16"/>
      <c r="QFH45" s="16"/>
      <c r="QFI45" s="16"/>
      <c r="QFJ45" s="16"/>
      <c r="QFK45" s="16"/>
      <c r="QFL45" s="16"/>
      <c r="QFM45" s="16"/>
      <c r="QFN45" s="16"/>
      <c r="QFO45" s="16"/>
      <c r="QFP45" s="16"/>
      <c r="QFQ45" s="16"/>
      <c r="QFR45" s="16"/>
      <c r="QFS45" s="16"/>
      <c r="QFT45" s="16"/>
      <c r="QFU45" s="16"/>
      <c r="QFV45" s="16"/>
      <c r="QFW45" s="16"/>
      <c r="QFX45" s="16"/>
      <c r="QFY45" s="16"/>
      <c r="QFZ45" s="16"/>
      <c r="QGA45" s="16"/>
      <c r="QGB45" s="16"/>
      <c r="QGC45" s="16"/>
      <c r="QGD45" s="16"/>
      <c r="QGE45" s="16"/>
      <c r="QGF45" s="16"/>
      <c r="QGG45" s="16"/>
      <c r="QGH45" s="16"/>
      <c r="QGI45" s="16"/>
      <c r="QGJ45" s="16"/>
      <c r="QGK45" s="16"/>
      <c r="QGL45" s="16"/>
      <c r="QGM45" s="16"/>
      <c r="QGN45" s="16"/>
      <c r="QGO45" s="16"/>
      <c r="QGP45" s="16"/>
      <c r="QGQ45" s="16"/>
      <c r="QGR45" s="16"/>
      <c r="QGS45" s="16"/>
      <c r="QGT45" s="16"/>
      <c r="QGU45" s="16"/>
      <c r="QGV45" s="16"/>
      <c r="QGW45" s="16"/>
      <c r="QGX45" s="16"/>
      <c r="QGY45" s="16"/>
      <c r="QGZ45" s="16"/>
      <c r="QHA45" s="16"/>
      <c r="QHB45" s="16"/>
      <c r="QHC45" s="16"/>
      <c r="QHD45" s="16"/>
      <c r="QHE45" s="16"/>
      <c r="QHF45" s="16"/>
      <c r="QHG45" s="16"/>
      <c r="QHH45" s="16"/>
      <c r="QHI45" s="16"/>
      <c r="QHJ45" s="16"/>
      <c r="QHK45" s="16"/>
      <c r="QHL45" s="16"/>
      <c r="QHM45" s="16"/>
      <c r="QHN45" s="16"/>
      <c r="QHO45" s="16"/>
      <c r="QHP45" s="16"/>
      <c r="QHQ45" s="16"/>
      <c r="QHR45" s="16"/>
      <c r="QHS45" s="16"/>
      <c r="QHT45" s="16"/>
      <c r="QHU45" s="16"/>
      <c r="QHV45" s="16"/>
      <c r="QHW45" s="16"/>
      <c r="QHX45" s="16"/>
      <c r="QHY45" s="16"/>
      <c r="QHZ45" s="16"/>
      <c r="QIA45" s="16"/>
      <c r="QIB45" s="16"/>
      <c r="QIC45" s="16"/>
      <c r="QID45" s="16"/>
      <c r="QIE45" s="16"/>
      <c r="QIF45" s="16"/>
      <c r="QIG45" s="16"/>
      <c r="QIH45" s="16"/>
      <c r="QII45" s="16"/>
      <c r="QIJ45" s="16"/>
      <c r="QIK45" s="16"/>
      <c r="QIL45" s="16"/>
      <c r="QIM45" s="16"/>
      <c r="QIN45" s="16"/>
      <c r="QIO45" s="16"/>
      <c r="QIP45" s="16"/>
      <c r="QIQ45" s="16"/>
      <c r="QIR45" s="16"/>
      <c r="QIS45" s="16"/>
      <c r="QIT45" s="16"/>
      <c r="QIU45" s="16"/>
      <c r="QIV45" s="16"/>
      <c r="QIW45" s="16"/>
      <c r="QIX45" s="16"/>
      <c r="QIY45" s="16"/>
      <c r="QIZ45" s="16"/>
      <c r="QJA45" s="16"/>
      <c r="QJB45" s="16"/>
      <c r="QJC45" s="16"/>
      <c r="QJD45" s="16"/>
      <c r="QJE45" s="16"/>
      <c r="QJF45" s="16"/>
      <c r="QJG45" s="16"/>
      <c r="QJH45" s="16"/>
      <c r="QJI45" s="16"/>
      <c r="QJJ45" s="16"/>
      <c r="QJK45" s="16"/>
      <c r="QJL45" s="16"/>
      <c r="QJM45" s="16"/>
      <c r="QJN45" s="16"/>
      <c r="QJO45" s="16"/>
      <c r="QJP45" s="16"/>
      <c r="QJQ45" s="16"/>
      <c r="QJR45" s="16"/>
      <c r="QJS45" s="16"/>
      <c r="QJT45" s="16"/>
      <c r="QJU45" s="16"/>
      <c r="QJV45" s="16"/>
      <c r="QJW45" s="16"/>
      <c r="QJX45" s="16"/>
      <c r="QJY45" s="16"/>
      <c r="QJZ45" s="16"/>
      <c r="QKA45" s="16"/>
      <c r="QKB45" s="16"/>
      <c r="QKC45" s="16"/>
      <c r="QKD45" s="16"/>
      <c r="QKE45" s="16"/>
      <c r="QKF45" s="16"/>
      <c r="QKG45" s="16"/>
      <c r="QKH45" s="16"/>
      <c r="QKI45" s="16"/>
      <c r="QKJ45" s="16"/>
      <c r="QKK45" s="16"/>
      <c r="QKL45" s="16"/>
      <c r="QKM45" s="16"/>
      <c r="QKN45" s="16"/>
      <c r="QKO45" s="16"/>
      <c r="QKP45" s="16"/>
      <c r="QKQ45" s="16"/>
      <c r="QKR45" s="16"/>
      <c r="QKS45" s="16"/>
      <c r="QKT45" s="16"/>
      <c r="QKU45" s="16"/>
      <c r="QKV45" s="16"/>
      <c r="QKW45" s="16"/>
      <c r="QKX45" s="16"/>
      <c r="QKY45" s="16"/>
      <c r="QKZ45" s="16"/>
      <c r="QLA45" s="16"/>
      <c r="QLB45" s="16"/>
      <c r="QLC45" s="16"/>
      <c r="QLD45" s="16"/>
      <c r="QLE45" s="16"/>
      <c r="QLF45" s="16"/>
      <c r="QLG45" s="16"/>
      <c r="QLH45" s="16"/>
      <c r="QLI45" s="16"/>
      <c r="QLJ45" s="16"/>
      <c r="QLK45" s="16"/>
      <c r="QLL45" s="16"/>
      <c r="QLM45" s="16"/>
      <c r="QLN45" s="16"/>
      <c r="QLO45" s="16"/>
      <c r="QLP45" s="16"/>
      <c r="QLQ45" s="16"/>
      <c r="QLR45" s="16"/>
      <c r="QLS45" s="16"/>
      <c r="QLT45" s="16"/>
      <c r="QLU45" s="16"/>
      <c r="QLV45" s="16"/>
      <c r="QLW45" s="16"/>
      <c r="QLX45" s="16"/>
      <c r="QLY45" s="16"/>
      <c r="QLZ45" s="16"/>
      <c r="QMA45" s="16"/>
      <c r="QMB45" s="16"/>
      <c r="QMC45" s="16"/>
      <c r="QMD45" s="16"/>
      <c r="QME45" s="16"/>
      <c r="QMF45" s="16"/>
      <c r="QMG45" s="16"/>
      <c r="QMH45" s="16"/>
      <c r="QMI45" s="16"/>
      <c r="QMJ45" s="16"/>
      <c r="QMK45" s="16"/>
      <c r="QML45" s="16"/>
      <c r="QMM45" s="16"/>
      <c r="QMN45" s="16"/>
      <c r="QMO45" s="16"/>
      <c r="QMP45" s="16"/>
      <c r="QMQ45" s="16"/>
      <c r="QMR45" s="16"/>
      <c r="QMS45" s="16"/>
      <c r="QMT45" s="16"/>
      <c r="QMU45" s="16"/>
      <c r="QMV45" s="16"/>
      <c r="QMW45" s="16"/>
      <c r="QMX45" s="16"/>
      <c r="QMY45" s="16"/>
      <c r="QMZ45" s="16"/>
      <c r="QNA45" s="16"/>
      <c r="QNB45" s="16"/>
      <c r="QNC45" s="16"/>
      <c r="QND45" s="16"/>
      <c r="QNE45" s="16"/>
      <c r="QNF45" s="16"/>
      <c r="QNG45" s="16"/>
      <c r="QNH45" s="16"/>
      <c r="QNI45" s="16"/>
      <c r="QNJ45" s="16"/>
      <c r="QNK45" s="16"/>
      <c r="QNL45" s="16"/>
      <c r="QNM45" s="16"/>
      <c r="QNN45" s="16"/>
      <c r="QNO45" s="16"/>
      <c r="QNP45" s="16"/>
      <c r="QNQ45" s="16"/>
      <c r="QNR45" s="16"/>
      <c r="QNS45" s="16"/>
      <c r="QNT45" s="16"/>
      <c r="QNU45" s="16"/>
      <c r="QNV45" s="16"/>
      <c r="QNW45" s="16"/>
      <c r="QNX45" s="16"/>
      <c r="QNY45" s="16"/>
      <c r="QNZ45" s="16"/>
      <c r="QOA45" s="16"/>
      <c r="QOB45" s="16"/>
      <c r="QOC45" s="16"/>
      <c r="QOD45" s="16"/>
      <c r="QOE45" s="16"/>
      <c r="QOF45" s="16"/>
      <c r="QOG45" s="16"/>
      <c r="QOH45" s="16"/>
      <c r="QOI45" s="16"/>
      <c r="QOJ45" s="16"/>
      <c r="QOK45" s="16"/>
      <c r="QOL45" s="16"/>
      <c r="QOM45" s="16"/>
      <c r="QON45" s="16"/>
      <c r="QOO45" s="16"/>
      <c r="QOP45" s="16"/>
      <c r="QOQ45" s="16"/>
      <c r="QOR45" s="16"/>
      <c r="QOS45" s="16"/>
      <c r="QOT45" s="16"/>
      <c r="QOU45" s="16"/>
      <c r="QOV45" s="16"/>
      <c r="QOW45" s="16"/>
      <c r="QOX45" s="16"/>
      <c r="QOY45" s="16"/>
      <c r="QOZ45" s="16"/>
      <c r="QPA45" s="16"/>
      <c r="QPB45" s="16"/>
      <c r="QPC45" s="16"/>
      <c r="QPD45" s="16"/>
      <c r="QPE45" s="16"/>
      <c r="QPF45" s="16"/>
      <c r="QPG45" s="16"/>
      <c r="QPH45" s="16"/>
      <c r="QPI45" s="16"/>
      <c r="QPJ45" s="16"/>
      <c r="QPK45" s="16"/>
      <c r="QPL45" s="16"/>
      <c r="QPM45" s="16"/>
      <c r="QPN45" s="16"/>
      <c r="QPO45" s="16"/>
      <c r="QPP45" s="16"/>
      <c r="QPQ45" s="16"/>
      <c r="QPR45" s="16"/>
      <c r="QPS45" s="16"/>
      <c r="QPT45" s="16"/>
      <c r="QPU45" s="16"/>
      <c r="QPV45" s="16"/>
      <c r="QPW45" s="16"/>
      <c r="QPX45" s="16"/>
      <c r="QPY45" s="16"/>
      <c r="QPZ45" s="16"/>
      <c r="QQA45" s="16"/>
      <c r="QQB45" s="16"/>
      <c r="QQC45" s="16"/>
      <c r="QQD45" s="16"/>
      <c r="QQE45" s="16"/>
      <c r="QQF45" s="16"/>
      <c r="QQG45" s="16"/>
      <c r="QQH45" s="16"/>
      <c r="QQI45" s="16"/>
      <c r="QQJ45" s="16"/>
      <c r="QQK45" s="16"/>
      <c r="QQL45" s="16"/>
      <c r="QQM45" s="16"/>
      <c r="QQN45" s="16"/>
      <c r="QQO45" s="16"/>
      <c r="QQP45" s="16"/>
      <c r="QQQ45" s="16"/>
      <c r="QQR45" s="16"/>
      <c r="QQS45" s="16"/>
      <c r="QQT45" s="16"/>
      <c r="QQU45" s="16"/>
      <c r="QQV45" s="16"/>
      <c r="QQW45" s="16"/>
      <c r="QQX45" s="16"/>
      <c r="QQY45" s="16"/>
      <c r="QQZ45" s="16"/>
      <c r="QRA45" s="16"/>
      <c r="QRB45" s="16"/>
      <c r="QRC45" s="16"/>
      <c r="QRD45" s="16"/>
      <c r="QRE45" s="16"/>
      <c r="QRF45" s="16"/>
      <c r="QRG45" s="16"/>
      <c r="QRH45" s="16"/>
      <c r="QRI45" s="16"/>
      <c r="QRJ45" s="16"/>
      <c r="QRK45" s="16"/>
      <c r="QRL45" s="16"/>
      <c r="QRM45" s="16"/>
      <c r="QRN45" s="16"/>
      <c r="QRO45" s="16"/>
      <c r="QRP45" s="16"/>
      <c r="QRQ45" s="16"/>
      <c r="QRR45" s="16"/>
      <c r="QRS45" s="16"/>
      <c r="QRT45" s="16"/>
      <c r="QRU45" s="16"/>
      <c r="QRV45" s="16"/>
      <c r="QRW45" s="16"/>
      <c r="QRX45" s="16"/>
      <c r="QRY45" s="16"/>
      <c r="QRZ45" s="16"/>
      <c r="QSA45" s="16"/>
      <c r="QSB45" s="16"/>
      <c r="QSC45" s="16"/>
      <c r="QSD45" s="16"/>
      <c r="QSE45" s="16"/>
      <c r="QSF45" s="16"/>
      <c r="QSG45" s="16"/>
      <c r="QSH45" s="16"/>
      <c r="QSI45" s="16"/>
      <c r="QSJ45" s="16"/>
      <c r="QSK45" s="16"/>
      <c r="QSL45" s="16"/>
      <c r="QSM45" s="16"/>
      <c r="QSN45" s="16"/>
      <c r="QSO45" s="16"/>
      <c r="QSP45" s="16"/>
      <c r="QSQ45" s="16"/>
      <c r="QSR45" s="16"/>
      <c r="QSS45" s="16"/>
      <c r="QST45" s="16"/>
      <c r="QSU45" s="16"/>
      <c r="QSV45" s="16"/>
      <c r="QSW45" s="16"/>
      <c r="QSX45" s="16"/>
      <c r="QSY45" s="16"/>
      <c r="QSZ45" s="16"/>
      <c r="QTA45" s="16"/>
      <c r="QTB45" s="16"/>
      <c r="QTC45" s="16"/>
      <c r="QTD45" s="16"/>
      <c r="QTE45" s="16"/>
      <c r="QTF45" s="16"/>
      <c r="QTG45" s="16"/>
      <c r="QTH45" s="16"/>
      <c r="QTI45" s="16"/>
      <c r="QTJ45" s="16"/>
      <c r="QTK45" s="16"/>
      <c r="QTL45" s="16"/>
      <c r="QTM45" s="16"/>
      <c r="QTN45" s="16"/>
      <c r="QTO45" s="16"/>
      <c r="QTP45" s="16"/>
      <c r="QTQ45" s="16"/>
      <c r="QTR45" s="16"/>
      <c r="QTS45" s="16"/>
      <c r="QTT45" s="16"/>
      <c r="QTU45" s="16"/>
      <c r="QTV45" s="16"/>
      <c r="QTW45" s="16"/>
      <c r="QTX45" s="16"/>
      <c r="QTY45" s="16"/>
      <c r="QTZ45" s="16"/>
      <c r="QUA45" s="16"/>
      <c r="QUB45" s="16"/>
      <c r="QUC45" s="16"/>
      <c r="QUD45" s="16"/>
      <c r="QUE45" s="16"/>
      <c r="QUF45" s="16"/>
      <c r="QUG45" s="16"/>
      <c r="QUH45" s="16"/>
      <c r="QUI45" s="16"/>
      <c r="QUJ45" s="16"/>
      <c r="QUK45" s="16"/>
      <c r="QUL45" s="16"/>
      <c r="QUM45" s="16"/>
      <c r="QUN45" s="16"/>
      <c r="QUO45" s="16"/>
      <c r="QUP45" s="16"/>
      <c r="QUQ45" s="16"/>
      <c r="QUR45" s="16"/>
      <c r="QUS45" s="16"/>
      <c r="QUT45" s="16"/>
      <c r="QUU45" s="16"/>
      <c r="QUV45" s="16"/>
      <c r="QUW45" s="16"/>
      <c r="QUX45" s="16"/>
      <c r="QUY45" s="16"/>
      <c r="QUZ45" s="16"/>
      <c r="QVA45" s="16"/>
      <c r="QVB45" s="16"/>
      <c r="QVC45" s="16"/>
      <c r="QVD45" s="16"/>
      <c r="QVE45" s="16"/>
      <c r="QVF45" s="16"/>
      <c r="QVG45" s="16"/>
      <c r="QVH45" s="16"/>
      <c r="QVI45" s="16"/>
      <c r="QVJ45" s="16"/>
      <c r="QVK45" s="16"/>
      <c r="QVL45" s="16"/>
      <c r="QVM45" s="16"/>
      <c r="QVN45" s="16"/>
      <c r="QVO45" s="16"/>
      <c r="QVP45" s="16"/>
      <c r="QVQ45" s="16"/>
      <c r="QVR45" s="16"/>
      <c r="QVS45" s="16"/>
      <c r="QVT45" s="16"/>
      <c r="QVU45" s="16"/>
      <c r="QVV45" s="16"/>
      <c r="QVW45" s="16"/>
      <c r="QVX45" s="16"/>
      <c r="QVY45" s="16"/>
      <c r="QVZ45" s="16"/>
      <c r="QWA45" s="16"/>
      <c r="QWB45" s="16"/>
      <c r="QWC45" s="16"/>
      <c r="QWD45" s="16"/>
      <c r="QWE45" s="16"/>
      <c r="QWF45" s="16"/>
      <c r="QWG45" s="16"/>
      <c r="QWH45" s="16"/>
      <c r="QWI45" s="16"/>
      <c r="QWJ45" s="16"/>
      <c r="QWK45" s="16"/>
      <c r="QWL45" s="16"/>
      <c r="QWM45" s="16"/>
      <c r="QWN45" s="16"/>
      <c r="QWO45" s="16"/>
      <c r="QWP45" s="16"/>
      <c r="QWQ45" s="16"/>
      <c r="QWR45" s="16"/>
      <c r="QWS45" s="16"/>
      <c r="QWT45" s="16"/>
      <c r="QWU45" s="16"/>
      <c r="QWV45" s="16"/>
      <c r="QWW45" s="16"/>
      <c r="QWX45" s="16"/>
      <c r="QWY45" s="16"/>
      <c r="QWZ45" s="16"/>
      <c r="QXA45" s="16"/>
      <c r="QXB45" s="16"/>
      <c r="QXC45" s="16"/>
      <c r="QXD45" s="16"/>
      <c r="QXE45" s="16"/>
      <c r="QXF45" s="16"/>
      <c r="QXG45" s="16"/>
      <c r="QXH45" s="16"/>
      <c r="QXI45" s="16"/>
      <c r="QXJ45" s="16"/>
      <c r="QXK45" s="16"/>
      <c r="QXL45" s="16"/>
      <c r="QXM45" s="16"/>
      <c r="QXN45" s="16"/>
      <c r="QXO45" s="16"/>
      <c r="QXP45" s="16"/>
      <c r="QXQ45" s="16"/>
      <c r="QXR45" s="16"/>
      <c r="QXS45" s="16"/>
      <c r="QXT45" s="16"/>
      <c r="QXU45" s="16"/>
      <c r="QXV45" s="16"/>
      <c r="QXW45" s="16"/>
      <c r="QXX45" s="16"/>
      <c r="QXY45" s="16"/>
      <c r="QXZ45" s="16"/>
      <c r="QYA45" s="16"/>
      <c r="QYB45" s="16"/>
      <c r="QYC45" s="16"/>
      <c r="QYD45" s="16"/>
      <c r="QYE45" s="16"/>
      <c r="QYF45" s="16"/>
      <c r="QYG45" s="16"/>
      <c r="QYH45" s="16"/>
      <c r="QYI45" s="16"/>
      <c r="QYJ45" s="16"/>
      <c r="QYK45" s="16"/>
      <c r="QYL45" s="16"/>
      <c r="QYM45" s="16"/>
      <c r="QYN45" s="16"/>
      <c r="QYO45" s="16"/>
      <c r="QYP45" s="16"/>
      <c r="QYQ45" s="16"/>
      <c r="QYR45" s="16"/>
      <c r="QYS45" s="16"/>
      <c r="QYT45" s="16"/>
      <c r="QYU45" s="16"/>
      <c r="QYV45" s="16"/>
      <c r="QYW45" s="16"/>
      <c r="QYX45" s="16"/>
      <c r="QYY45" s="16"/>
      <c r="QYZ45" s="16"/>
      <c r="QZA45" s="16"/>
      <c r="QZB45" s="16"/>
      <c r="QZC45" s="16"/>
      <c r="QZD45" s="16"/>
      <c r="QZE45" s="16"/>
      <c r="QZF45" s="16"/>
      <c r="QZG45" s="16"/>
      <c r="QZH45" s="16"/>
      <c r="QZI45" s="16"/>
      <c r="QZJ45" s="16"/>
      <c r="QZK45" s="16"/>
      <c r="QZL45" s="16"/>
      <c r="QZM45" s="16"/>
      <c r="QZN45" s="16"/>
      <c r="QZO45" s="16"/>
      <c r="QZP45" s="16"/>
      <c r="QZQ45" s="16"/>
      <c r="QZR45" s="16"/>
      <c r="QZS45" s="16"/>
      <c r="QZT45" s="16"/>
      <c r="QZU45" s="16"/>
      <c r="QZV45" s="16"/>
      <c r="QZW45" s="16"/>
      <c r="QZX45" s="16"/>
      <c r="QZY45" s="16"/>
      <c r="QZZ45" s="16"/>
      <c r="RAA45" s="16"/>
      <c r="RAB45" s="16"/>
      <c r="RAC45" s="16"/>
      <c r="RAD45" s="16"/>
      <c r="RAE45" s="16"/>
      <c r="RAF45" s="16"/>
      <c r="RAG45" s="16"/>
      <c r="RAH45" s="16"/>
      <c r="RAI45" s="16"/>
      <c r="RAJ45" s="16"/>
      <c r="RAK45" s="16"/>
      <c r="RAL45" s="16"/>
      <c r="RAM45" s="16"/>
      <c r="RAN45" s="16"/>
      <c r="RAO45" s="16"/>
      <c r="RAP45" s="16"/>
      <c r="RAQ45" s="16"/>
      <c r="RAR45" s="16"/>
      <c r="RAS45" s="16"/>
      <c r="RAT45" s="16"/>
      <c r="RAU45" s="16"/>
      <c r="RAV45" s="16"/>
      <c r="RAW45" s="16"/>
      <c r="RAX45" s="16"/>
      <c r="RAY45" s="16"/>
      <c r="RAZ45" s="16"/>
      <c r="RBA45" s="16"/>
      <c r="RBB45" s="16"/>
      <c r="RBC45" s="16"/>
      <c r="RBD45" s="16"/>
      <c r="RBE45" s="16"/>
      <c r="RBF45" s="16"/>
      <c r="RBG45" s="16"/>
      <c r="RBH45" s="16"/>
      <c r="RBI45" s="16"/>
      <c r="RBJ45" s="16"/>
      <c r="RBK45" s="16"/>
      <c r="RBL45" s="16"/>
      <c r="RBM45" s="16"/>
      <c r="RBN45" s="16"/>
      <c r="RBO45" s="16"/>
      <c r="RBP45" s="16"/>
      <c r="RBQ45" s="16"/>
      <c r="RBR45" s="16"/>
      <c r="RBS45" s="16"/>
      <c r="RBT45" s="16"/>
      <c r="RBU45" s="16"/>
      <c r="RBV45" s="16"/>
      <c r="RBW45" s="16"/>
      <c r="RBX45" s="16"/>
      <c r="RBY45" s="16"/>
      <c r="RBZ45" s="16"/>
      <c r="RCA45" s="16"/>
      <c r="RCB45" s="16"/>
      <c r="RCC45" s="16"/>
      <c r="RCD45" s="16"/>
      <c r="RCE45" s="16"/>
      <c r="RCF45" s="16"/>
      <c r="RCG45" s="16"/>
      <c r="RCH45" s="16"/>
      <c r="RCI45" s="16"/>
      <c r="RCJ45" s="16"/>
      <c r="RCK45" s="16"/>
      <c r="RCL45" s="16"/>
      <c r="RCM45" s="16"/>
      <c r="RCN45" s="16"/>
      <c r="RCO45" s="16"/>
      <c r="RCP45" s="16"/>
      <c r="RCQ45" s="16"/>
      <c r="RCR45" s="16"/>
      <c r="RCS45" s="16"/>
      <c r="RCT45" s="16"/>
      <c r="RCU45" s="16"/>
      <c r="RCV45" s="16"/>
      <c r="RCW45" s="16"/>
      <c r="RCX45" s="16"/>
      <c r="RCY45" s="16"/>
      <c r="RCZ45" s="16"/>
      <c r="RDA45" s="16"/>
      <c r="RDB45" s="16"/>
      <c r="RDC45" s="16"/>
      <c r="RDD45" s="16"/>
      <c r="RDE45" s="16"/>
      <c r="RDF45" s="16"/>
      <c r="RDG45" s="16"/>
      <c r="RDH45" s="16"/>
      <c r="RDI45" s="16"/>
      <c r="RDJ45" s="16"/>
      <c r="RDK45" s="16"/>
      <c r="RDL45" s="16"/>
      <c r="RDM45" s="16"/>
      <c r="RDN45" s="16"/>
      <c r="RDO45" s="16"/>
      <c r="RDP45" s="16"/>
      <c r="RDQ45" s="16"/>
      <c r="RDR45" s="16"/>
      <c r="RDS45" s="16"/>
      <c r="RDT45" s="16"/>
      <c r="RDU45" s="16"/>
      <c r="RDV45" s="16"/>
      <c r="RDW45" s="16"/>
      <c r="RDX45" s="16"/>
      <c r="RDY45" s="16"/>
      <c r="RDZ45" s="16"/>
      <c r="REA45" s="16"/>
      <c r="REB45" s="16"/>
      <c r="REC45" s="16"/>
      <c r="RED45" s="16"/>
      <c r="REE45" s="16"/>
      <c r="REF45" s="16"/>
      <c r="REG45" s="16"/>
      <c r="REH45" s="16"/>
      <c r="REI45" s="16"/>
      <c r="REJ45" s="16"/>
      <c r="REK45" s="16"/>
      <c r="REL45" s="16"/>
      <c r="REM45" s="16"/>
      <c r="REN45" s="16"/>
      <c r="REO45" s="16"/>
      <c r="REP45" s="16"/>
      <c r="REQ45" s="16"/>
      <c r="RER45" s="16"/>
      <c r="RES45" s="16"/>
      <c r="RET45" s="16"/>
      <c r="REU45" s="16"/>
      <c r="REV45" s="16"/>
      <c r="REW45" s="16"/>
      <c r="REX45" s="16"/>
      <c r="REY45" s="16"/>
      <c r="REZ45" s="16"/>
      <c r="RFA45" s="16"/>
      <c r="RFB45" s="16"/>
      <c r="RFC45" s="16"/>
      <c r="RFD45" s="16"/>
      <c r="RFE45" s="16"/>
      <c r="RFF45" s="16"/>
      <c r="RFG45" s="16"/>
      <c r="RFH45" s="16"/>
      <c r="RFI45" s="16"/>
      <c r="RFJ45" s="16"/>
      <c r="RFK45" s="16"/>
      <c r="RFL45" s="16"/>
      <c r="RFM45" s="16"/>
      <c r="RFN45" s="16"/>
      <c r="RFO45" s="16"/>
      <c r="RFP45" s="16"/>
      <c r="RFQ45" s="16"/>
      <c r="RFR45" s="16"/>
      <c r="RFS45" s="16"/>
      <c r="RFT45" s="16"/>
      <c r="RFU45" s="16"/>
      <c r="RFV45" s="16"/>
      <c r="RFW45" s="16"/>
      <c r="RFX45" s="16"/>
      <c r="RFY45" s="16"/>
      <c r="RFZ45" s="16"/>
      <c r="RGA45" s="16"/>
      <c r="RGB45" s="16"/>
      <c r="RGC45" s="16"/>
      <c r="RGD45" s="16"/>
      <c r="RGE45" s="16"/>
      <c r="RGF45" s="16"/>
      <c r="RGG45" s="16"/>
      <c r="RGH45" s="16"/>
      <c r="RGI45" s="16"/>
      <c r="RGJ45" s="16"/>
      <c r="RGK45" s="16"/>
      <c r="RGL45" s="16"/>
      <c r="RGM45" s="16"/>
      <c r="RGN45" s="16"/>
      <c r="RGO45" s="16"/>
      <c r="RGP45" s="16"/>
      <c r="RGQ45" s="16"/>
      <c r="RGR45" s="16"/>
      <c r="RGS45" s="16"/>
      <c r="RGT45" s="16"/>
      <c r="RGU45" s="16"/>
      <c r="RGV45" s="16"/>
      <c r="RGW45" s="16"/>
      <c r="RGX45" s="16"/>
      <c r="RGY45" s="16"/>
      <c r="RGZ45" s="16"/>
      <c r="RHA45" s="16"/>
      <c r="RHB45" s="16"/>
      <c r="RHC45" s="16"/>
      <c r="RHD45" s="16"/>
      <c r="RHE45" s="16"/>
      <c r="RHF45" s="16"/>
      <c r="RHG45" s="16"/>
      <c r="RHH45" s="16"/>
      <c r="RHI45" s="16"/>
      <c r="RHJ45" s="16"/>
      <c r="RHK45" s="16"/>
      <c r="RHL45" s="16"/>
      <c r="RHM45" s="16"/>
      <c r="RHN45" s="16"/>
      <c r="RHO45" s="16"/>
      <c r="RHP45" s="16"/>
      <c r="RHQ45" s="16"/>
      <c r="RHR45" s="16"/>
      <c r="RHS45" s="16"/>
      <c r="RHT45" s="16"/>
      <c r="RHU45" s="16"/>
      <c r="RHV45" s="16"/>
      <c r="RHW45" s="16"/>
      <c r="RHX45" s="16"/>
      <c r="RHY45" s="16"/>
      <c r="RHZ45" s="16"/>
      <c r="RIA45" s="16"/>
      <c r="RIB45" s="16"/>
      <c r="RIC45" s="16"/>
      <c r="RID45" s="16"/>
      <c r="RIE45" s="16"/>
      <c r="RIF45" s="16"/>
      <c r="RIG45" s="16"/>
      <c r="RIH45" s="16"/>
      <c r="RII45" s="16"/>
      <c r="RIJ45" s="16"/>
      <c r="RIK45" s="16"/>
      <c r="RIL45" s="16"/>
      <c r="RIM45" s="16"/>
      <c r="RIN45" s="16"/>
      <c r="RIO45" s="16"/>
      <c r="RIP45" s="16"/>
      <c r="RIQ45" s="16"/>
      <c r="RIR45" s="16"/>
      <c r="RIS45" s="16"/>
      <c r="RIT45" s="16"/>
      <c r="RIU45" s="16"/>
      <c r="RIV45" s="16"/>
      <c r="RIW45" s="16"/>
      <c r="RIX45" s="16"/>
      <c r="RIY45" s="16"/>
      <c r="RIZ45" s="16"/>
      <c r="RJA45" s="16"/>
      <c r="RJB45" s="16"/>
      <c r="RJC45" s="16"/>
      <c r="RJD45" s="16"/>
      <c r="RJE45" s="16"/>
      <c r="RJF45" s="16"/>
      <c r="RJG45" s="16"/>
      <c r="RJH45" s="16"/>
      <c r="RJI45" s="16"/>
      <c r="RJJ45" s="16"/>
      <c r="RJK45" s="16"/>
      <c r="RJL45" s="16"/>
      <c r="RJM45" s="16"/>
      <c r="RJN45" s="16"/>
      <c r="RJO45" s="16"/>
      <c r="RJP45" s="16"/>
      <c r="RJQ45" s="16"/>
      <c r="RJR45" s="16"/>
      <c r="RJS45" s="16"/>
      <c r="RJT45" s="16"/>
      <c r="RJU45" s="16"/>
      <c r="RJV45" s="16"/>
      <c r="RJW45" s="16"/>
      <c r="RJX45" s="16"/>
      <c r="RJY45" s="16"/>
      <c r="RJZ45" s="16"/>
      <c r="RKA45" s="16"/>
      <c r="RKB45" s="16"/>
      <c r="RKC45" s="16"/>
      <c r="RKD45" s="16"/>
      <c r="RKE45" s="16"/>
      <c r="RKF45" s="16"/>
      <c r="RKG45" s="16"/>
      <c r="RKH45" s="16"/>
      <c r="RKI45" s="16"/>
      <c r="RKJ45" s="16"/>
      <c r="RKK45" s="16"/>
      <c r="RKL45" s="16"/>
      <c r="RKM45" s="16"/>
      <c r="RKN45" s="16"/>
      <c r="RKO45" s="16"/>
      <c r="RKP45" s="16"/>
      <c r="RKQ45" s="16"/>
      <c r="RKR45" s="16"/>
      <c r="RKS45" s="16"/>
      <c r="RKT45" s="16"/>
      <c r="RKU45" s="16"/>
      <c r="RKV45" s="16"/>
      <c r="RKW45" s="16"/>
      <c r="RKX45" s="16"/>
      <c r="RKY45" s="16"/>
      <c r="RKZ45" s="16"/>
      <c r="RLA45" s="16"/>
      <c r="RLB45" s="16"/>
      <c r="RLC45" s="16"/>
      <c r="RLD45" s="16"/>
      <c r="RLE45" s="16"/>
      <c r="RLF45" s="16"/>
      <c r="RLG45" s="16"/>
      <c r="RLH45" s="16"/>
      <c r="RLI45" s="16"/>
      <c r="RLJ45" s="16"/>
      <c r="RLK45" s="16"/>
      <c r="RLL45" s="16"/>
      <c r="RLM45" s="16"/>
      <c r="RLN45" s="16"/>
      <c r="RLO45" s="16"/>
      <c r="RLP45" s="16"/>
      <c r="RLQ45" s="16"/>
      <c r="RLR45" s="16"/>
      <c r="RLS45" s="16"/>
      <c r="RLT45" s="16"/>
      <c r="RLU45" s="16"/>
      <c r="RLV45" s="16"/>
      <c r="RLW45" s="16"/>
      <c r="RLX45" s="16"/>
      <c r="RLY45" s="16"/>
      <c r="RLZ45" s="16"/>
      <c r="RMA45" s="16"/>
      <c r="RMB45" s="16"/>
      <c r="RMC45" s="16"/>
      <c r="RMD45" s="16"/>
      <c r="RME45" s="16"/>
      <c r="RMF45" s="16"/>
      <c r="RMG45" s="16"/>
      <c r="RMH45" s="16"/>
      <c r="RMI45" s="16"/>
      <c r="RMJ45" s="16"/>
      <c r="RMK45" s="16"/>
      <c r="RML45" s="16"/>
      <c r="RMM45" s="16"/>
      <c r="RMN45" s="16"/>
      <c r="RMO45" s="16"/>
      <c r="RMP45" s="16"/>
      <c r="RMQ45" s="16"/>
      <c r="RMR45" s="16"/>
      <c r="RMS45" s="16"/>
      <c r="RMT45" s="16"/>
      <c r="RMU45" s="16"/>
      <c r="RMV45" s="16"/>
      <c r="RMW45" s="16"/>
      <c r="RMX45" s="16"/>
      <c r="RMY45" s="16"/>
      <c r="RMZ45" s="16"/>
      <c r="RNA45" s="16"/>
      <c r="RNB45" s="16"/>
      <c r="RNC45" s="16"/>
      <c r="RND45" s="16"/>
      <c r="RNE45" s="16"/>
      <c r="RNF45" s="16"/>
      <c r="RNG45" s="16"/>
      <c r="RNH45" s="16"/>
      <c r="RNI45" s="16"/>
      <c r="RNJ45" s="16"/>
      <c r="RNK45" s="16"/>
      <c r="RNL45" s="16"/>
      <c r="RNM45" s="16"/>
      <c r="RNN45" s="16"/>
      <c r="RNO45" s="16"/>
      <c r="RNP45" s="16"/>
      <c r="RNQ45" s="16"/>
      <c r="RNR45" s="16"/>
      <c r="RNS45" s="16"/>
      <c r="RNT45" s="16"/>
      <c r="RNU45" s="16"/>
      <c r="RNV45" s="16"/>
      <c r="RNW45" s="16"/>
      <c r="RNX45" s="16"/>
      <c r="RNY45" s="16"/>
      <c r="RNZ45" s="16"/>
      <c r="ROA45" s="16"/>
      <c r="ROB45" s="16"/>
      <c r="ROC45" s="16"/>
      <c r="ROD45" s="16"/>
      <c r="ROE45" s="16"/>
      <c r="ROF45" s="16"/>
      <c r="ROG45" s="16"/>
      <c r="ROH45" s="16"/>
      <c r="ROI45" s="16"/>
      <c r="ROJ45" s="16"/>
      <c r="ROK45" s="16"/>
      <c r="ROL45" s="16"/>
      <c r="ROM45" s="16"/>
      <c r="RON45" s="16"/>
      <c r="ROO45" s="16"/>
      <c r="ROP45" s="16"/>
      <c r="ROQ45" s="16"/>
      <c r="ROR45" s="16"/>
      <c r="ROS45" s="16"/>
      <c r="ROT45" s="16"/>
      <c r="ROU45" s="16"/>
      <c r="ROV45" s="16"/>
      <c r="ROW45" s="16"/>
      <c r="ROX45" s="16"/>
      <c r="ROY45" s="16"/>
      <c r="ROZ45" s="16"/>
      <c r="RPA45" s="16"/>
      <c r="RPB45" s="16"/>
      <c r="RPC45" s="16"/>
      <c r="RPD45" s="16"/>
      <c r="RPE45" s="16"/>
      <c r="RPF45" s="16"/>
      <c r="RPG45" s="16"/>
      <c r="RPH45" s="16"/>
      <c r="RPI45" s="16"/>
      <c r="RPJ45" s="16"/>
      <c r="RPK45" s="16"/>
      <c r="RPL45" s="16"/>
      <c r="RPM45" s="16"/>
      <c r="RPN45" s="16"/>
      <c r="RPO45" s="16"/>
      <c r="RPP45" s="16"/>
      <c r="RPQ45" s="16"/>
      <c r="RPR45" s="16"/>
      <c r="RPS45" s="16"/>
      <c r="RPT45" s="16"/>
      <c r="RPU45" s="16"/>
      <c r="RPV45" s="16"/>
      <c r="RPW45" s="16"/>
      <c r="RPX45" s="16"/>
      <c r="RPY45" s="16"/>
      <c r="RPZ45" s="16"/>
      <c r="RQA45" s="16"/>
      <c r="RQB45" s="16"/>
      <c r="RQC45" s="16"/>
      <c r="RQD45" s="16"/>
      <c r="RQE45" s="16"/>
      <c r="RQF45" s="16"/>
      <c r="RQG45" s="16"/>
      <c r="RQH45" s="16"/>
      <c r="RQI45" s="16"/>
      <c r="RQJ45" s="16"/>
      <c r="RQK45" s="16"/>
      <c r="RQL45" s="16"/>
      <c r="RQM45" s="16"/>
      <c r="RQN45" s="16"/>
      <c r="RQO45" s="16"/>
      <c r="RQP45" s="16"/>
      <c r="RQQ45" s="16"/>
      <c r="RQR45" s="16"/>
      <c r="RQS45" s="16"/>
      <c r="RQT45" s="16"/>
      <c r="RQU45" s="16"/>
      <c r="RQV45" s="16"/>
      <c r="RQW45" s="16"/>
      <c r="RQX45" s="16"/>
      <c r="RQY45" s="16"/>
      <c r="RQZ45" s="16"/>
      <c r="RRA45" s="16"/>
      <c r="RRB45" s="16"/>
      <c r="RRC45" s="16"/>
      <c r="RRD45" s="16"/>
      <c r="RRE45" s="16"/>
      <c r="RRF45" s="16"/>
      <c r="RRG45" s="16"/>
      <c r="RRH45" s="16"/>
      <c r="RRI45" s="16"/>
      <c r="RRJ45" s="16"/>
      <c r="RRK45" s="16"/>
      <c r="RRL45" s="16"/>
      <c r="RRM45" s="16"/>
      <c r="RRN45" s="16"/>
      <c r="RRO45" s="16"/>
      <c r="RRP45" s="16"/>
      <c r="RRQ45" s="16"/>
      <c r="RRR45" s="16"/>
      <c r="RRS45" s="16"/>
      <c r="RRT45" s="16"/>
      <c r="RRU45" s="16"/>
      <c r="RRV45" s="16"/>
      <c r="RRW45" s="16"/>
      <c r="RRX45" s="16"/>
      <c r="RRY45" s="16"/>
      <c r="RRZ45" s="16"/>
      <c r="RSA45" s="16"/>
      <c r="RSB45" s="16"/>
      <c r="RSC45" s="16"/>
      <c r="RSD45" s="16"/>
      <c r="RSE45" s="16"/>
      <c r="RSF45" s="16"/>
      <c r="RSG45" s="16"/>
      <c r="RSH45" s="16"/>
      <c r="RSI45" s="16"/>
      <c r="RSJ45" s="16"/>
      <c r="RSK45" s="16"/>
      <c r="RSL45" s="16"/>
      <c r="RSM45" s="16"/>
      <c r="RSN45" s="16"/>
      <c r="RSO45" s="16"/>
      <c r="RSP45" s="16"/>
      <c r="RSQ45" s="16"/>
      <c r="RSR45" s="16"/>
      <c r="RSS45" s="16"/>
      <c r="RST45" s="16"/>
      <c r="RSU45" s="16"/>
      <c r="RSV45" s="16"/>
      <c r="RSW45" s="16"/>
      <c r="RSX45" s="16"/>
      <c r="RSY45" s="16"/>
      <c r="RSZ45" s="16"/>
      <c r="RTA45" s="16"/>
      <c r="RTB45" s="16"/>
      <c r="RTC45" s="16"/>
      <c r="RTD45" s="16"/>
      <c r="RTE45" s="16"/>
      <c r="RTF45" s="16"/>
      <c r="RTG45" s="16"/>
      <c r="RTH45" s="16"/>
      <c r="RTI45" s="16"/>
      <c r="RTJ45" s="16"/>
      <c r="RTK45" s="16"/>
      <c r="RTL45" s="16"/>
      <c r="RTM45" s="16"/>
      <c r="RTN45" s="16"/>
      <c r="RTO45" s="16"/>
      <c r="RTP45" s="16"/>
      <c r="RTQ45" s="16"/>
      <c r="RTR45" s="16"/>
      <c r="RTS45" s="16"/>
      <c r="RTT45" s="16"/>
      <c r="RTU45" s="16"/>
      <c r="RTV45" s="16"/>
      <c r="RTW45" s="16"/>
      <c r="RTX45" s="16"/>
      <c r="RTY45" s="16"/>
      <c r="RTZ45" s="16"/>
      <c r="RUA45" s="16"/>
      <c r="RUB45" s="16"/>
      <c r="RUC45" s="16"/>
      <c r="RUD45" s="16"/>
      <c r="RUE45" s="16"/>
      <c r="RUF45" s="16"/>
      <c r="RUG45" s="16"/>
      <c r="RUH45" s="16"/>
      <c r="RUI45" s="16"/>
      <c r="RUJ45" s="16"/>
      <c r="RUK45" s="16"/>
      <c r="RUL45" s="16"/>
      <c r="RUM45" s="16"/>
      <c r="RUN45" s="16"/>
      <c r="RUO45" s="16"/>
      <c r="RUP45" s="16"/>
      <c r="RUQ45" s="16"/>
      <c r="RUR45" s="16"/>
      <c r="RUS45" s="16"/>
      <c r="RUT45" s="16"/>
      <c r="RUU45" s="16"/>
      <c r="RUV45" s="16"/>
      <c r="RUW45" s="16"/>
      <c r="RUX45" s="16"/>
      <c r="RUY45" s="16"/>
      <c r="RUZ45" s="16"/>
      <c r="RVA45" s="16"/>
      <c r="RVB45" s="16"/>
      <c r="RVC45" s="16"/>
      <c r="RVD45" s="16"/>
      <c r="RVE45" s="16"/>
      <c r="RVF45" s="16"/>
      <c r="RVG45" s="16"/>
      <c r="RVH45" s="16"/>
      <c r="RVI45" s="16"/>
      <c r="RVJ45" s="16"/>
      <c r="RVK45" s="16"/>
      <c r="RVL45" s="16"/>
      <c r="RVM45" s="16"/>
      <c r="RVN45" s="16"/>
      <c r="RVO45" s="16"/>
      <c r="RVP45" s="16"/>
      <c r="RVQ45" s="16"/>
      <c r="RVR45" s="16"/>
      <c r="RVS45" s="16"/>
      <c r="RVT45" s="16"/>
      <c r="RVU45" s="16"/>
      <c r="RVV45" s="16"/>
      <c r="RVW45" s="16"/>
      <c r="RVX45" s="16"/>
      <c r="RVY45" s="16"/>
      <c r="RVZ45" s="16"/>
      <c r="RWA45" s="16"/>
      <c r="RWB45" s="16"/>
      <c r="RWC45" s="16"/>
      <c r="RWD45" s="16"/>
      <c r="RWE45" s="16"/>
      <c r="RWF45" s="16"/>
      <c r="RWG45" s="16"/>
      <c r="RWH45" s="16"/>
      <c r="RWI45" s="16"/>
      <c r="RWJ45" s="16"/>
      <c r="RWK45" s="16"/>
      <c r="RWL45" s="16"/>
      <c r="RWM45" s="16"/>
      <c r="RWN45" s="16"/>
      <c r="RWO45" s="16"/>
      <c r="RWP45" s="16"/>
      <c r="RWQ45" s="16"/>
      <c r="RWR45" s="16"/>
      <c r="RWS45" s="16"/>
      <c r="RWT45" s="16"/>
      <c r="RWU45" s="16"/>
      <c r="RWV45" s="16"/>
      <c r="RWW45" s="16"/>
      <c r="RWX45" s="16"/>
      <c r="RWY45" s="16"/>
      <c r="RWZ45" s="16"/>
      <c r="RXA45" s="16"/>
      <c r="RXB45" s="16"/>
      <c r="RXC45" s="16"/>
      <c r="RXD45" s="16"/>
      <c r="RXE45" s="16"/>
      <c r="RXF45" s="16"/>
      <c r="RXG45" s="16"/>
      <c r="RXH45" s="16"/>
      <c r="RXI45" s="16"/>
      <c r="RXJ45" s="16"/>
      <c r="RXK45" s="16"/>
      <c r="RXL45" s="16"/>
      <c r="RXM45" s="16"/>
      <c r="RXN45" s="16"/>
      <c r="RXO45" s="16"/>
      <c r="RXP45" s="16"/>
      <c r="RXQ45" s="16"/>
      <c r="RXR45" s="16"/>
      <c r="RXS45" s="16"/>
      <c r="RXT45" s="16"/>
      <c r="RXU45" s="16"/>
      <c r="RXV45" s="16"/>
      <c r="RXW45" s="16"/>
      <c r="RXX45" s="16"/>
      <c r="RXY45" s="16"/>
      <c r="RXZ45" s="16"/>
      <c r="RYA45" s="16"/>
      <c r="RYB45" s="16"/>
      <c r="RYC45" s="16"/>
      <c r="RYD45" s="16"/>
      <c r="RYE45" s="16"/>
      <c r="RYF45" s="16"/>
      <c r="RYG45" s="16"/>
      <c r="RYH45" s="16"/>
      <c r="RYI45" s="16"/>
      <c r="RYJ45" s="16"/>
      <c r="RYK45" s="16"/>
      <c r="RYL45" s="16"/>
      <c r="RYM45" s="16"/>
      <c r="RYN45" s="16"/>
      <c r="RYO45" s="16"/>
      <c r="RYP45" s="16"/>
      <c r="RYQ45" s="16"/>
      <c r="RYR45" s="16"/>
      <c r="RYS45" s="16"/>
      <c r="RYT45" s="16"/>
      <c r="RYU45" s="16"/>
      <c r="RYV45" s="16"/>
      <c r="RYW45" s="16"/>
      <c r="RYX45" s="16"/>
      <c r="RYY45" s="16"/>
      <c r="RYZ45" s="16"/>
      <c r="RZA45" s="16"/>
      <c r="RZB45" s="16"/>
      <c r="RZC45" s="16"/>
      <c r="RZD45" s="16"/>
      <c r="RZE45" s="16"/>
      <c r="RZF45" s="16"/>
      <c r="RZG45" s="16"/>
      <c r="RZH45" s="16"/>
      <c r="RZI45" s="16"/>
      <c r="RZJ45" s="16"/>
      <c r="RZK45" s="16"/>
      <c r="RZL45" s="16"/>
      <c r="RZM45" s="16"/>
      <c r="RZN45" s="16"/>
      <c r="RZO45" s="16"/>
      <c r="RZP45" s="16"/>
      <c r="RZQ45" s="16"/>
      <c r="RZR45" s="16"/>
      <c r="RZS45" s="16"/>
      <c r="RZT45" s="16"/>
      <c r="RZU45" s="16"/>
      <c r="RZV45" s="16"/>
      <c r="RZW45" s="16"/>
      <c r="RZX45" s="16"/>
      <c r="RZY45" s="16"/>
      <c r="RZZ45" s="16"/>
      <c r="SAA45" s="16"/>
      <c r="SAB45" s="16"/>
      <c r="SAC45" s="16"/>
      <c r="SAD45" s="16"/>
      <c r="SAE45" s="16"/>
      <c r="SAF45" s="16"/>
      <c r="SAG45" s="16"/>
      <c r="SAH45" s="16"/>
      <c r="SAI45" s="16"/>
      <c r="SAJ45" s="16"/>
      <c r="SAK45" s="16"/>
      <c r="SAL45" s="16"/>
      <c r="SAM45" s="16"/>
      <c r="SAN45" s="16"/>
      <c r="SAO45" s="16"/>
      <c r="SAP45" s="16"/>
      <c r="SAQ45" s="16"/>
      <c r="SAR45" s="16"/>
      <c r="SAS45" s="16"/>
      <c r="SAT45" s="16"/>
      <c r="SAU45" s="16"/>
      <c r="SAV45" s="16"/>
      <c r="SAW45" s="16"/>
      <c r="SAX45" s="16"/>
      <c r="SAY45" s="16"/>
      <c r="SAZ45" s="16"/>
      <c r="SBA45" s="16"/>
      <c r="SBB45" s="16"/>
      <c r="SBC45" s="16"/>
      <c r="SBD45" s="16"/>
      <c r="SBE45" s="16"/>
      <c r="SBF45" s="16"/>
      <c r="SBG45" s="16"/>
      <c r="SBH45" s="16"/>
      <c r="SBI45" s="16"/>
      <c r="SBJ45" s="16"/>
      <c r="SBK45" s="16"/>
      <c r="SBL45" s="16"/>
      <c r="SBM45" s="16"/>
      <c r="SBN45" s="16"/>
      <c r="SBO45" s="16"/>
      <c r="SBP45" s="16"/>
      <c r="SBQ45" s="16"/>
      <c r="SBR45" s="16"/>
      <c r="SBS45" s="16"/>
      <c r="SBT45" s="16"/>
      <c r="SBU45" s="16"/>
      <c r="SBV45" s="16"/>
      <c r="SBW45" s="16"/>
      <c r="SBX45" s="16"/>
      <c r="SBY45" s="16"/>
      <c r="SBZ45" s="16"/>
      <c r="SCA45" s="16"/>
      <c r="SCB45" s="16"/>
      <c r="SCC45" s="16"/>
      <c r="SCD45" s="16"/>
      <c r="SCE45" s="16"/>
      <c r="SCF45" s="16"/>
      <c r="SCG45" s="16"/>
      <c r="SCH45" s="16"/>
      <c r="SCI45" s="16"/>
      <c r="SCJ45" s="16"/>
      <c r="SCK45" s="16"/>
      <c r="SCL45" s="16"/>
      <c r="SCM45" s="16"/>
      <c r="SCN45" s="16"/>
      <c r="SCO45" s="16"/>
      <c r="SCP45" s="16"/>
      <c r="SCQ45" s="16"/>
      <c r="SCR45" s="16"/>
      <c r="SCS45" s="16"/>
      <c r="SCT45" s="16"/>
      <c r="SCU45" s="16"/>
      <c r="SCV45" s="16"/>
      <c r="SCW45" s="16"/>
      <c r="SCX45" s="16"/>
      <c r="SCY45" s="16"/>
      <c r="SCZ45" s="16"/>
      <c r="SDA45" s="16"/>
      <c r="SDB45" s="16"/>
      <c r="SDC45" s="16"/>
      <c r="SDD45" s="16"/>
      <c r="SDE45" s="16"/>
      <c r="SDF45" s="16"/>
      <c r="SDG45" s="16"/>
      <c r="SDH45" s="16"/>
      <c r="SDI45" s="16"/>
      <c r="SDJ45" s="16"/>
      <c r="SDK45" s="16"/>
      <c r="SDL45" s="16"/>
      <c r="SDM45" s="16"/>
      <c r="SDN45" s="16"/>
      <c r="SDO45" s="16"/>
      <c r="SDP45" s="16"/>
      <c r="SDQ45" s="16"/>
      <c r="SDR45" s="16"/>
      <c r="SDS45" s="16"/>
      <c r="SDT45" s="16"/>
      <c r="SDU45" s="16"/>
      <c r="SDV45" s="16"/>
      <c r="SDW45" s="16"/>
      <c r="SDX45" s="16"/>
      <c r="SDY45" s="16"/>
      <c r="SDZ45" s="16"/>
      <c r="SEA45" s="16"/>
      <c r="SEB45" s="16"/>
      <c r="SEC45" s="16"/>
      <c r="SED45" s="16"/>
      <c r="SEE45" s="16"/>
      <c r="SEF45" s="16"/>
      <c r="SEG45" s="16"/>
      <c r="SEH45" s="16"/>
      <c r="SEI45" s="16"/>
      <c r="SEJ45" s="16"/>
      <c r="SEK45" s="16"/>
      <c r="SEL45" s="16"/>
      <c r="SEM45" s="16"/>
      <c r="SEN45" s="16"/>
      <c r="SEO45" s="16"/>
      <c r="SEP45" s="16"/>
      <c r="SEQ45" s="16"/>
      <c r="SER45" s="16"/>
      <c r="SES45" s="16"/>
      <c r="SET45" s="16"/>
      <c r="SEU45" s="16"/>
      <c r="SEV45" s="16"/>
      <c r="SEW45" s="16"/>
      <c r="SEX45" s="16"/>
      <c r="SEY45" s="16"/>
      <c r="SEZ45" s="16"/>
      <c r="SFA45" s="16"/>
      <c r="SFB45" s="16"/>
      <c r="SFC45" s="16"/>
      <c r="SFD45" s="16"/>
      <c r="SFE45" s="16"/>
      <c r="SFF45" s="16"/>
      <c r="SFG45" s="16"/>
      <c r="SFH45" s="16"/>
      <c r="SFI45" s="16"/>
      <c r="SFJ45" s="16"/>
      <c r="SFK45" s="16"/>
      <c r="SFL45" s="16"/>
      <c r="SFM45" s="16"/>
      <c r="SFN45" s="16"/>
      <c r="SFO45" s="16"/>
      <c r="SFP45" s="16"/>
      <c r="SFQ45" s="16"/>
      <c r="SFR45" s="16"/>
      <c r="SFS45" s="16"/>
      <c r="SFT45" s="16"/>
      <c r="SFU45" s="16"/>
      <c r="SFV45" s="16"/>
      <c r="SFW45" s="16"/>
      <c r="SFX45" s="16"/>
      <c r="SFY45" s="16"/>
      <c r="SFZ45" s="16"/>
      <c r="SGA45" s="16"/>
      <c r="SGB45" s="16"/>
      <c r="SGC45" s="16"/>
      <c r="SGD45" s="16"/>
      <c r="SGE45" s="16"/>
      <c r="SGF45" s="16"/>
      <c r="SGG45" s="16"/>
      <c r="SGH45" s="16"/>
      <c r="SGI45" s="16"/>
      <c r="SGJ45" s="16"/>
      <c r="SGK45" s="16"/>
      <c r="SGL45" s="16"/>
      <c r="SGM45" s="16"/>
      <c r="SGN45" s="16"/>
      <c r="SGO45" s="16"/>
      <c r="SGP45" s="16"/>
      <c r="SGQ45" s="16"/>
      <c r="SGR45" s="16"/>
      <c r="SGS45" s="16"/>
      <c r="SGT45" s="16"/>
      <c r="SGU45" s="16"/>
      <c r="SGV45" s="16"/>
      <c r="SGW45" s="16"/>
      <c r="SGX45" s="16"/>
      <c r="SGY45" s="16"/>
      <c r="SGZ45" s="16"/>
      <c r="SHA45" s="16"/>
      <c r="SHB45" s="16"/>
      <c r="SHC45" s="16"/>
      <c r="SHD45" s="16"/>
      <c r="SHE45" s="16"/>
      <c r="SHF45" s="16"/>
      <c r="SHG45" s="16"/>
      <c r="SHH45" s="16"/>
      <c r="SHI45" s="16"/>
      <c r="SHJ45" s="16"/>
      <c r="SHK45" s="16"/>
      <c r="SHL45" s="16"/>
      <c r="SHM45" s="16"/>
      <c r="SHN45" s="16"/>
      <c r="SHO45" s="16"/>
      <c r="SHP45" s="16"/>
      <c r="SHQ45" s="16"/>
      <c r="SHR45" s="16"/>
      <c r="SHS45" s="16"/>
      <c r="SHT45" s="16"/>
      <c r="SHU45" s="16"/>
      <c r="SHV45" s="16"/>
      <c r="SHW45" s="16"/>
      <c r="SHX45" s="16"/>
      <c r="SHY45" s="16"/>
      <c r="SHZ45" s="16"/>
      <c r="SIA45" s="16"/>
      <c r="SIB45" s="16"/>
      <c r="SIC45" s="16"/>
      <c r="SID45" s="16"/>
      <c r="SIE45" s="16"/>
      <c r="SIF45" s="16"/>
      <c r="SIG45" s="16"/>
      <c r="SIH45" s="16"/>
      <c r="SII45" s="16"/>
      <c r="SIJ45" s="16"/>
      <c r="SIK45" s="16"/>
      <c r="SIL45" s="16"/>
      <c r="SIM45" s="16"/>
      <c r="SIN45" s="16"/>
      <c r="SIO45" s="16"/>
      <c r="SIP45" s="16"/>
      <c r="SIQ45" s="16"/>
      <c r="SIR45" s="16"/>
      <c r="SIS45" s="16"/>
      <c r="SIT45" s="16"/>
      <c r="SIU45" s="16"/>
      <c r="SIV45" s="16"/>
      <c r="SIW45" s="16"/>
      <c r="SIX45" s="16"/>
      <c r="SIY45" s="16"/>
      <c r="SIZ45" s="16"/>
      <c r="SJA45" s="16"/>
      <c r="SJB45" s="16"/>
      <c r="SJC45" s="16"/>
      <c r="SJD45" s="16"/>
      <c r="SJE45" s="16"/>
      <c r="SJF45" s="16"/>
      <c r="SJG45" s="16"/>
      <c r="SJH45" s="16"/>
      <c r="SJI45" s="16"/>
      <c r="SJJ45" s="16"/>
      <c r="SJK45" s="16"/>
      <c r="SJL45" s="16"/>
      <c r="SJM45" s="16"/>
      <c r="SJN45" s="16"/>
      <c r="SJO45" s="16"/>
      <c r="SJP45" s="16"/>
      <c r="SJQ45" s="16"/>
      <c r="SJR45" s="16"/>
      <c r="SJS45" s="16"/>
      <c r="SJT45" s="16"/>
      <c r="SJU45" s="16"/>
      <c r="SJV45" s="16"/>
      <c r="SJW45" s="16"/>
      <c r="SJX45" s="16"/>
      <c r="SJY45" s="16"/>
      <c r="SJZ45" s="16"/>
      <c r="SKA45" s="16"/>
      <c r="SKB45" s="16"/>
      <c r="SKC45" s="16"/>
      <c r="SKD45" s="16"/>
      <c r="SKE45" s="16"/>
      <c r="SKF45" s="16"/>
      <c r="SKG45" s="16"/>
      <c r="SKH45" s="16"/>
      <c r="SKI45" s="16"/>
      <c r="SKJ45" s="16"/>
      <c r="SKK45" s="16"/>
      <c r="SKL45" s="16"/>
      <c r="SKM45" s="16"/>
      <c r="SKN45" s="16"/>
      <c r="SKO45" s="16"/>
      <c r="SKP45" s="16"/>
      <c r="SKQ45" s="16"/>
      <c r="SKR45" s="16"/>
      <c r="SKS45" s="16"/>
      <c r="SKT45" s="16"/>
      <c r="SKU45" s="16"/>
      <c r="SKV45" s="16"/>
      <c r="SKW45" s="16"/>
      <c r="SKX45" s="16"/>
      <c r="SKY45" s="16"/>
      <c r="SKZ45" s="16"/>
      <c r="SLA45" s="16"/>
      <c r="SLB45" s="16"/>
      <c r="SLC45" s="16"/>
      <c r="SLD45" s="16"/>
      <c r="SLE45" s="16"/>
      <c r="SLF45" s="16"/>
      <c r="SLG45" s="16"/>
      <c r="SLH45" s="16"/>
      <c r="SLI45" s="16"/>
      <c r="SLJ45" s="16"/>
      <c r="SLK45" s="16"/>
      <c r="SLL45" s="16"/>
      <c r="SLM45" s="16"/>
      <c r="SLN45" s="16"/>
      <c r="SLO45" s="16"/>
      <c r="SLP45" s="16"/>
      <c r="SLQ45" s="16"/>
      <c r="SLR45" s="16"/>
      <c r="SLS45" s="16"/>
      <c r="SLT45" s="16"/>
      <c r="SLU45" s="16"/>
      <c r="SLV45" s="16"/>
      <c r="SLW45" s="16"/>
      <c r="SLX45" s="16"/>
      <c r="SLY45" s="16"/>
      <c r="SLZ45" s="16"/>
      <c r="SMA45" s="16"/>
      <c r="SMB45" s="16"/>
      <c r="SMC45" s="16"/>
      <c r="SMD45" s="16"/>
      <c r="SME45" s="16"/>
      <c r="SMF45" s="16"/>
      <c r="SMG45" s="16"/>
      <c r="SMH45" s="16"/>
      <c r="SMI45" s="16"/>
      <c r="SMJ45" s="16"/>
      <c r="SMK45" s="16"/>
      <c r="SML45" s="16"/>
      <c r="SMM45" s="16"/>
      <c r="SMN45" s="16"/>
      <c r="SMO45" s="16"/>
      <c r="SMP45" s="16"/>
      <c r="SMQ45" s="16"/>
      <c r="SMR45" s="16"/>
      <c r="SMS45" s="16"/>
      <c r="SMT45" s="16"/>
      <c r="SMU45" s="16"/>
      <c r="SMV45" s="16"/>
      <c r="SMW45" s="16"/>
      <c r="SMX45" s="16"/>
      <c r="SMY45" s="16"/>
      <c r="SMZ45" s="16"/>
      <c r="SNA45" s="16"/>
      <c r="SNB45" s="16"/>
      <c r="SNC45" s="16"/>
      <c r="SND45" s="16"/>
      <c r="SNE45" s="16"/>
      <c r="SNF45" s="16"/>
      <c r="SNG45" s="16"/>
      <c r="SNH45" s="16"/>
      <c r="SNI45" s="16"/>
      <c r="SNJ45" s="16"/>
      <c r="SNK45" s="16"/>
      <c r="SNL45" s="16"/>
      <c r="SNM45" s="16"/>
      <c r="SNN45" s="16"/>
      <c r="SNO45" s="16"/>
      <c r="SNP45" s="16"/>
      <c r="SNQ45" s="16"/>
      <c r="SNR45" s="16"/>
      <c r="SNS45" s="16"/>
      <c r="SNT45" s="16"/>
      <c r="SNU45" s="16"/>
      <c r="SNV45" s="16"/>
      <c r="SNW45" s="16"/>
      <c r="SNX45" s="16"/>
      <c r="SNY45" s="16"/>
      <c r="SNZ45" s="16"/>
      <c r="SOA45" s="16"/>
      <c r="SOB45" s="16"/>
      <c r="SOC45" s="16"/>
      <c r="SOD45" s="16"/>
      <c r="SOE45" s="16"/>
      <c r="SOF45" s="16"/>
      <c r="SOG45" s="16"/>
      <c r="SOH45" s="16"/>
      <c r="SOI45" s="16"/>
      <c r="SOJ45" s="16"/>
      <c r="SOK45" s="16"/>
      <c r="SOL45" s="16"/>
      <c r="SOM45" s="16"/>
      <c r="SON45" s="16"/>
      <c r="SOO45" s="16"/>
      <c r="SOP45" s="16"/>
      <c r="SOQ45" s="16"/>
      <c r="SOR45" s="16"/>
      <c r="SOS45" s="16"/>
      <c r="SOT45" s="16"/>
      <c r="SOU45" s="16"/>
      <c r="SOV45" s="16"/>
      <c r="SOW45" s="16"/>
      <c r="SOX45" s="16"/>
      <c r="SOY45" s="16"/>
      <c r="SOZ45" s="16"/>
      <c r="SPA45" s="16"/>
      <c r="SPB45" s="16"/>
      <c r="SPC45" s="16"/>
      <c r="SPD45" s="16"/>
      <c r="SPE45" s="16"/>
      <c r="SPF45" s="16"/>
      <c r="SPG45" s="16"/>
      <c r="SPH45" s="16"/>
      <c r="SPI45" s="16"/>
      <c r="SPJ45" s="16"/>
      <c r="SPK45" s="16"/>
      <c r="SPL45" s="16"/>
      <c r="SPM45" s="16"/>
      <c r="SPN45" s="16"/>
      <c r="SPO45" s="16"/>
      <c r="SPP45" s="16"/>
      <c r="SPQ45" s="16"/>
      <c r="SPR45" s="16"/>
      <c r="SPS45" s="16"/>
      <c r="SPT45" s="16"/>
      <c r="SPU45" s="16"/>
      <c r="SPV45" s="16"/>
      <c r="SPW45" s="16"/>
      <c r="SPX45" s="16"/>
      <c r="SPY45" s="16"/>
      <c r="SPZ45" s="16"/>
      <c r="SQA45" s="16"/>
      <c r="SQB45" s="16"/>
      <c r="SQC45" s="16"/>
      <c r="SQD45" s="16"/>
      <c r="SQE45" s="16"/>
      <c r="SQF45" s="16"/>
      <c r="SQG45" s="16"/>
      <c r="SQH45" s="16"/>
      <c r="SQI45" s="16"/>
      <c r="SQJ45" s="16"/>
      <c r="SQK45" s="16"/>
      <c r="SQL45" s="16"/>
      <c r="SQM45" s="16"/>
      <c r="SQN45" s="16"/>
      <c r="SQO45" s="16"/>
      <c r="SQP45" s="16"/>
      <c r="SQQ45" s="16"/>
      <c r="SQR45" s="16"/>
      <c r="SQS45" s="16"/>
      <c r="SQT45" s="16"/>
      <c r="SQU45" s="16"/>
      <c r="SQV45" s="16"/>
      <c r="SQW45" s="16"/>
      <c r="SQX45" s="16"/>
      <c r="SQY45" s="16"/>
      <c r="SQZ45" s="16"/>
      <c r="SRA45" s="16"/>
      <c r="SRB45" s="16"/>
      <c r="SRC45" s="16"/>
      <c r="SRD45" s="16"/>
      <c r="SRE45" s="16"/>
      <c r="SRF45" s="16"/>
      <c r="SRG45" s="16"/>
      <c r="SRH45" s="16"/>
      <c r="SRI45" s="16"/>
      <c r="SRJ45" s="16"/>
      <c r="SRK45" s="16"/>
      <c r="SRL45" s="16"/>
      <c r="SRM45" s="16"/>
      <c r="SRN45" s="16"/>
      <c r="SRO45" s="16"/>
      <c r="SRP45" s="16"/>
      <c r="SRQ45" s="16"/>
      <c r="SRR45" s="16"/>
      <c r="SRS45" s="16"/>
      <c r="SRT45" s="16"/>
      <c r="SRU45" s="16"/>
      <c r="SRV45" s="16"/>
      <c r="SRW45" s="16"/>
      <c r="SRX45" s="16"/>
      <c r="SRY45" s="16"/>
      <c r="SRZ45" s="16"/>
      <c r="SSA45" s="16"/>
      <c r="SSB45" s="16"/>
      <c r="SSC45" s="16"/>
      <c r="SSD45" s="16"/>
      <c r="SSE45" s="16"/>
      <c r="SSF45" s="16"/>
      <c r="SSG45" s="16"/>
      <c r="SSH45" s="16"/>
      <c r="SSI45" s="16"/>
      <c r="SSJ45" s="16"/>
      <c r="SSK45" s="16"/>
      <c r="SSL45" s="16"/>
      <c r="SSM45" s="16"/>
      <c r="SSN45" s="16"/>
      <c r="SSO45" s="16"/>
      <c r="SSP45" s="16"/>
      <c r="SSQ45" s="16"/>
      <c r="SSR45" s="16"/>
      <c r="SSS45" s="16"/>
      <c r="SST45" s="16"/>
      <c r="SSU45" s="16"/>
      <c r="SSV45" s="16"/>
      <c r="SSW45" s="16"/>
      <c r="SSX45" s="16"/>
      <c r="SSY45" s="16"/>
      <c r="SSZ45" s="16"/>
      <c r="STA45" s="16"/>
      <c r="STB45" s="16"/>
      <c r="STC45" s="16"/>
      <c r="STD45" s="16"/>
      <c r="STE45" s="16"/>
      <c r="STF45" s="16"/>
      <c r="STG45" s="16"/>
      <c r="STH45" s="16"/>
      <c r="STI45" s="16"/>
      <c r="STJ45" s="16"/>
      <c r="STK45" s="16"/>
      <c r="STL45" s="16"/>
      <c r="STM45" s="16"/>
      <c r="STN45" s="16"/>
      <c r="STO45" s="16"/>
      <c r="STP45" s="16"/>
      <c r="STQ45" s="16"/>
      <c r="STR45" s="16"/>
      <c r="STS45" s="16"/>
      <c r="STT45" s="16"/>
      <c r="STU45" s="16"/>
      <c r="STV45" s="16"/>
      <c r="STW45" s="16"/>
      <c r="STX45" s="16"/>
      <c r="STY45" s="16"/>
      <c r="STZ45" s="16"/>
      <c r="SUA45" s="16"/>
      <c r="SUB45" s="16"/>
      <c r="SUC45" s="16"/>
      <c r="SUD45" s="16"/>
      <c r="SUE45" s="16"/>
      <c r="SUF45" s="16"/>
      <c r="SUG45" s="16"/>
      <c r="SUH45" s="16"/>
      <c r="SUI45" s="16"/>
      <c r="SUJ45" s="16"/>
      <c r="SUK45" s="16"/>
      <c r="SUL45" s="16"/>
      <c r="SUM45" s="16"/>
      <c r="SUN45" s="16"/>
      <c r="SUO45" s="16"/>
      <c r="SUP45" s="16"/>
      <c r="SUQ45" s="16"/>
      <c r="SUR45" s="16"/>
      <c r="SUS45" s="16"/>
      <c r="SUT45" s="16"/>
      <c r="SUU45" s="16"/>
      <c r="SUV45" s="16"/>
      <c r="SUW45" s="16"/>
      <c r="SUX45" s="16"/>
      <c r="SUY45" s="16"/>
      <c r="SUZ45" s="16"/>
      <c r="SVA45" s="16"/>
      <c r="SVB45" s="16"/>
      <c r="SVC45" s="16"/>
      <c r="SVD45" s="16"/>
      <c r="SVE45" s="16"/>
      <c r="SVF45" s="16"/>
      <c r="SVG45" s="16"/>
      <c r="SVH45" s="16"/>
      <c r="SVI45" s="16"/>
      <c r="SVJ45" s="16"/>
      <c r="SVK45" s="16"/>
      <c r="SVL45" s="16"/>
      <c r="SVM45" s="16"/>
      <c r="SVN45" s="16"/>
      <c r="SVO45" s="16"/>
      <c r="SVP45" s="16"/>
      <c r="SVQ45" s="16"/>
      <c r="SVR45" s="16"/>
      <c r="SVS45" s="16"/>
      <c r="SVT45" s="16"/>
      <c r="SVU45" s="16"/>
      <c r="SVV45" s="16"/>
      <c r="SVW45" s="16"/>
      <c r="SVX45" s="16"/>
      <c r="SVY45" s="16"/>
      <c r="SVZ45" s="16"/>
      <c r="SWA45" s="16"/>
      <c r="SWB45" s="16"/>
      <c r="SWC45" s="16"/>
      <c r="SWD45" s="16"/>
      <c r="SWE45" s="16"/>
      <c r="SWF45" s="16"/>
      <c r="SWG45" s="16"/>
      <c r="SWH45" s="16"/>
      <c r="SWI45" s="16"/>
      <c r="SWJ45" s="16"/>
      <c r="SWK45" s="16"/>
      <c r="SWL45" s="16"/>
      <c r="SWM45" s="16"/>
      <c r="SWN45" s="16"/>
      <c r="SWO45" s="16"/>
      <c r="SWP45" s="16"/>
      <c r="SWQ45" s="16"/>
      <c r="SWR45" s="16"/>
      <c r="SWS45" s="16"/>
      <c r="SWT45" s="16"/>
      <c r="SWU45" s="16"/>
      <c r="SWV45" s="16"/>
      <c r="SWW45" s="16"/>
      <c r="SWX45" s="16"/>
      <c r="SWY45" s="16"/>
      <c r="SWZ45" s="16"/>
      <c r="SXA45" s="16"/>
      <c r="SXB45" s="16"/>
      <c r="SXC45" s="16"/>
      <c r="SXD45" s="16"/>
      <c r="SXE45" s="16"/>
      <c r="SXF45" s="16"/>
      <c r="SXG45" s="16"/>
      <c r="SXH45" s="16"/>
      <c r="SXI45" s="16"/>
      <c r="SXJ45" s="16"/>
      <c r="SXK45" s="16"/>
      <c r="SXL45" s="16"/>
      <c r="SXM45" s="16"/>
      <c r="SXN45" s="16"/>
      <c r="SXO45" s="16"/>
      <c r="SXP45" s="16"/>
      <c r="SXQ45" s="16"/>
      <c r="SXR45" s="16"/>
      <c r="SXS45" s="16"/>
      <c r="SXT45" s="16"/>
      <c r="SXU45" s="16"/>
      <c r="SXV45" s="16"/>
      <c r="SXW45" s="16"/>
      <c r="SXX45" s="16"/>
      <c r="SXY45" s="16"/>
      <c r="SXZ45" s="16"/>
      <c r="SYA45" s="16"/>
      <c r="SYB45" s="16"/>
      <c r="SYC45" s="16"/>
      <c r="SYD45" s="16"/>
      <c r="SYE45" s="16"/>
      <c r="SYF45" s="16"/>
      <c r="SYG45" s="16"/>
      <c r="SYH45" s="16"/>
      <c r="SYI45" s="16"/>
      <c r="SYJ45" s="16"/>
      <c r="SYK45" s="16"/>
      <c r="SYL45" s="16"/>
      <c r="SYM45" s="16"/>
      <c r="SYN45" s="16"/>
      <c r="SYO45" s="16"/>
      <c r="SYP45" s="16"/>
      <c r="SYQ45" s="16"/>
      <c r="SYR45" s="16"/>
      <c r="SYS45" s="16"/>
      <c r="SYT45" s="16"/>
      <c r="SYU45" s="16"/>
      <c r="SYV45" s="16"/>
      <c r="SYW45" s="16"/>
      <c r="SYX45" s="16"/>
      <c r="SYY45" s="16"/>
      <c r="SYZ45" s="16"/>
      <c r="SZA45" s="16"/>
      <c r="SZB45" s="16"/>
      <c r="SZC45" s="16"/>
      <c r="SZD45" s="16"/>
      <c r="SZE45" s="16"/>
      <c r="SZF45" s="16"/>
      <c r="SZG45" s="16"/>
      <c r="SZH45" s="16"/>
      <c r="SZI45" s="16"/>
      <c r="SZJ45" s="16"/>
      <c r="SZK45" s="16"/>
      <c r="SZL45" s="16"/>
      <c r="SZM45" s="16"/>
      <c r="SZN45" s="16"/>
      <c r="SZO45" s="16"/>
      <c r="SZP45" s="16"/>
      <c r="SZQ45" s="16"/>
      <c r="SZR45" s="16"/>
      <c r="SZS45" s="16"/>
      <c r="SZT45" s="16"/>
      <c r="SZU45" s="16"/>
      <c r="SZV45" s="16"/>
      <c r="SZW45" s="16"/>
      <c r="SZX45" s="16"/>
      <c r="SZY45" s="16"/>
      <c r="SZZ45" s="16"/>
      <c r="TAA45" s="16"/>
      <c r="TAB45" s="16"/>
      <c r="TAC45" s="16"/>
      <c r="TAD45" s="16"/>
      <c r="TAE45" s="16"/>
      <c r="TAF45" s="16"/>
      <c r="TAG45" s="16"/>
      <c r="TAH45" s="16"/>
      <c r="TAI45" s="16"/>
      <c r="TAJ45" s="16"/>
      <c r="TAK45" s="16"/>
      <c r="TAL45" s="16"/>
      <c r="TAM45" s="16"/>
      <c r="TAN45" s="16"/>
      <c r="TAO45" s="16"/>
      <c r="TAP45" s="16"/>
      <c r="TAQ45" s="16"/>
      <c r="TAR45" s="16"/>
      <c r="TAS45" s="16"/>
      <c r="TAT45" s="16"/>
      <c r="TAU45" s="16"/>
      <c r="TAV45" s="16"/>
      <c r="TAW45" s="16"/>
      <c r="TAX45" s="16"/>
      <c r="TAY45" s="16"/>
      <c r="TAZ45" s="16"/>
      <c r="TBA45" s="16"/>
      <c r="TBB45" s="16"/>
      <c r="TBC45" s="16"/>
      <c r="TBD45" s="16"/>
      <c r="TBE45" s="16"/>
      <c r="TBF45" s="16"/>
      <c r="TBG45" s="16"/>
      <c r="TBH45" s="16"/>
      <c r="TBI45" s="16"/>
      <c r="TBJ45" s="16"/>
      <c r="TBK45" s="16"/>
      <c r="TBL45" s="16"/>
      <c r="TBM45" s="16"/>
      <c r="TBN45" s="16"/>
      <c r="TBO45" s="16"/>
      <c r="TBP45" s="16"/>
      <c r="TBQ45" s="16"/>
      <c r="TBR45" s="16"/>
      <c r="TBS45" s="16"/>
      <c r="TBT45" s="16"/>
      <c r="TBU45" s="16"/>
      <c r="TBV45" s="16"/>
      <c r="TBW45" s="16"/>
      <c r="TBX45" s="16"/>
      <c r="TBY45" s="16"/>
      <c r="TBZ45" s="16"/>
      <c r="TCA45" s="16"/>
      <c r="TCB45" s="16"/>
      <c r="TCC45" s="16"/>
      <c r="TCD45" s="16"/>
      <c r="TCE45" s="16"/>
      <c r="TCF45" s="16"/>
      <c r="TCG45" s="16"/>
      <c r="TCH45" s="16"/>
      <c r="TCI45" s="16"/>
      <c r="TCJ45" s="16"/>
      <c r="TCK45" s="16"/>
      <c r="TCL45" s="16"/>
      <c r="TCM45" s="16"/>
      <c r="TCN45" s="16"/>
      <c r="TCO45" s="16"/>
      <c r="TCP45" s="16"/>
      <c r="TCQ45" s="16"/>
      <c r="TCR45" s="16"/>
      <c r="TCS45" s="16"/>
      <c r="TCT45" s="16"/>
      <c r="TCU45" s="16"/>
      <c r="TCV45" s="16"/>
      <c r="TCW45" s="16"/>
      <c r="TCX45" s="16"/>
      <c r="TCY45" s="16"/>
      <c r="TCZ45" s="16"/>
      <c r="TDA45" s="16"/>
      <c r="TDB45" s="16"/>
      <c r="TDC45" s="16"/>
      <c r="TDD45" s="16"/>
      <c r="TDE45" s="16"/>
      <c r="TDF45" s="16"/>
      <c r="TDG45" s="16"/>
      <c r="TDH45" s="16"/>
      <c r="TDI45" s="16"/>
      <c r="TDJ45" s="16"/>
      <c r="TDK45" s="16"/>
      <c r="TDL45" s="16"/>
      <c r="TDM45" s="16"/>
      <c r="TDN45" s="16"/>
      <c r="TDO45" s="16"/>
      <c r="TDP45" s="16"/>
      <c r="TDQ45" s="16"/>
      <c r="TDR45" s="16"/>
      <c r="TDS45" s="16"/>
      <c r="TDT45" s="16"/>
      <c r="TDU45" s="16"/>
      <c r="TDV45" s="16"/>
      <c r="TDW45" s="16"/>
      <c r="TDX45" s="16"/>
      <c r="TDY45" s="16"/>
      <c r="TDZ45" s="16"/>
      <c r="TEA45" s="16"/>
      <c r="TEB45" s="16"/>
      <c r="TEC45" s="16"/>
      <c r="TED45" s="16"/>
      <c r="TEE45" s="16"/>
      <c r="TEF45" s="16"/>
      <c r="TEG45" s="16"/>
      <c r="TEH45" s="16"/>
      <c r="TEI45" s="16"/>
      <c r="TEJ45" s="16"/>
      <c r="TEK45" s="16"/>
      <c r="TEL45" s="16"/>
      <c r="TEM45" s="16"/>
      <c r="TEN45" s="16"/>
      <c r="TEO45" s="16"/>
      <c r="TEP45" s="16"/>
      <c r="TEQ45" s="16"/>
      <c r="TER45" s="16"/>
      <c r="TES45" s="16"/>
      <c r="TET45" s="16"/>
      <c r="TEU45" s="16"/>
      <c r="TEV45" s="16"/>
      <c r="TEW45" s="16"/>
      <c r="TEX45" s="16"/>
      <c r="TEY45" s="16"/>
      <c r="TEZ45" s="16"/>
      <c r="TFA45" s="16"/>
      <c r="TFB45" s="16"/>
      <c r="TFC45" s="16"/>
      <c r="TFD45" s="16"/>
      <c r="TFE45" s="16"/>
      <c r="TFF45" s="16"/>
      <c r="TFG45" s="16"/>
      <c r="TFH45" s="16"/>
      <c r="TFI45" s="16"/>
      <c r="TFJ45" s="16"/>
      <c r="TFK45" s="16"/>
      <c r="TFL45" s="16"/>
      <c r="TFM45" s="16"/>
      <c r="TFN45" s="16"/>
      <c r="TFO45" s="16"/>
      <c r="TFP45" s="16"/>
      <c r="TFQ45" s="16"/>
      <c r="TFR45" s="16"/>
      <c r="TFS45" s="16"/>
      <c r="TFT45" s="16"/>
      <c r="TFU45" s="16"/>
      <c r="TFV45" s="16"/>
      <c r="TFW45" s="16"/>
      <c r="TFX45" s="16"/>
      <c r="TFY45" s="16"/>
      <c r="TFZ45" s="16"/>
      <c r="TGA45" s="16"/>
      <c r="TGB45" s="16"/>
      <c r="TGC45" s="16"/>
      <c r="TGD45" s="16"/>
      <c r="TGE45" s="16"/>
      <c r="TGF45" s="16"/>
      <c r="TGG45" s="16"/>
      <c r="TGH45" s="16"/>
      <c r="TGI45" s="16"/>
      <c r="TGJ45" s="16"/>
      <c r="TGK45" s="16"/>
      <c r="TGL45" s="16"/>
      <c r="TGM45" s="16"/>
      <c r="TGN45" s="16"/>
      <c r="TGO45" s="16"/>
      <c r="TGP45" s="16"/>
      <c r="TGQ45" s="16"/>
      <c r="TGR45" s="16"/>
      <c r="TGS45" s="16"/>
      <c r="TGT45" s="16"/>
      <c r="TGU45" s="16"/>
      <c r="TGV45" s="16"/>
      <c r="TGW45" s="16"/>
      <c r="TGX45" s="16"/>
      <c r="TGY45" s="16"/>
      <c r="TGZ45" s="16"/>
      <c r="THA45" s="16"/>
      <c r="THB45" s="16"/>
      <c r="THC45" s="16"/>
      <c r="THD45" s="16"/>
      <c r="THE45" s="16"/>
      <c r="THF45" s="16"/>
      <c r="THG45" s="16"/>
      <c r="THH45" s="16"/>
      <c r="THI45" s="16"/>
      <c r="THJ45" s="16"/>
      <c r="THK45" s="16"/>
      <c r="THL45" s="16"/>
      <c r="THM45" s="16"/>
      <c r="THN45" s="16"/>
      <c r="THO45" s="16"/>
      <c r="THP45" s="16"/>
      <c r="THQ45" s="16"/>
      <c r="THR45" s="16"/>
      <c r="THS45" s="16"/>
      <c r="THT45" s="16"/>
      <c r="THU45" s="16"/>
      <c r="THV45" s="16"/>
      <c r="THW45" s="16"/>
      <c r="THX45" s="16"/>
      <c r="THY45" s="16"/>
      <c r="THZ45" s="16"/>
      <c r="TIA45" s="16"/>
      <c r="TIB45" s="16"/>
      <c r="TIC45" s="16"/>
      <c r="TID45" s="16"/>
      <c r="TIE45" s="16"/>
      <c r="TIF45" s="16"/>
      <c r="TIG45" s="16"/>
      <c r="TIH45" s="16"/>
      <c r="TII45" s="16"/>
      <c r="TIJ45" s="16"/>
      <c r="TIK45" s="16"/>
      <c r="TIL45" s="16"/>
      <c r="TIM45" s="16"/>
      <c r="TIN45" s="16"/>
      <c r="TIO45" s="16"/>
      <c r="TIP45" s="16"/>
      <c r="TIQ45" s="16"/>
      <c r="TIR45" s="16"/>
      <c r="TIS45" s="16"/>
      <c r="TIT45" s="16"/>
      <c r="TIU45" s="16"/>
      <c r="TIV45" s="16"/>
      <c r="TIW45" s="16"/>
      <c r="TIX45" s="16"/>
      <c r="TIY45" s="16"/>
      <c r="TIZ45" s="16"/>
      <c r="TJA45" s="16"/>
      <c r="TJB45" s="16"/>
      <c r="TJC45" s="16"/>
      <c r="TJD45" s="16"/>
      <c r="TJE45" s="16"/>
      <c r="TJF45" s="16"/>
      <c r="TJG45" s="16"/>
      <c r="TJH45" s="16"/>
      <c r="TJI45" s="16"/>
      <c r="TJJ45" s="16"/>
      <c r="TJK45" s="16"/>
      <c r="TJL45" s="16"/>
      <c r="TJM45" s="16"/>
      <c r="TJN45" s="16"/>
      <c r="TJO45" s="16"/>
      <c r="TJP45" s="16"/>
      <c r="TJQ45" s="16"/>
      <c r="TJR45" s="16"/>
      <c r="TJS45" s="16"/>
      <c r="TJT45" s="16"/>
      <c r="TJU45" s="16"/>
      <c r="TJV45" s="16"/>
      <c r="TJW45" s="16"/>
      <c r="TJX45" s="16"/>
      <c r="TJY45" s="16"/>
      <c r="TJZ45" s="16"/>
      <c r="TKA45" s="16"/>
      <c r="TKB45" s="16"/>
      <c r="TKC45" s="16"/>
      <c r="TKD45" s="16"/>
      <c r="TKE45" s="16"/>
      <c r="TKF45" s="16"/>
      <c r="TKG45" s="16"/>
      <c r="TKH45" s="16"/>
      <c r="TKI45" s="16"/>
      <c r="TKJ45" s="16"/>
      <c r="TKK45" s="16"/>
      <c r="TKL45" s="16"/>
      <c r="TKM45" s="16"/>
      <c r="TKN45" s="16"/>
      <c r="TKO45" s="16"/>
      <c r="TKP45" s="16"/>
      <c r="TKQ45" s="16"/>
      <c r="TKR45" s="16"/>
      <c r="TKS45" s="16"/>
      <c r="TKT45" s="16"/>
      <c r="TKU45" s="16"/>
      <c r="TKV45" s="16"/>
      <c r="TKW45" s="16"/>
      <c r="TKX45" s="16"/>
      <c r="TKY45" s="16"/>
      <c r="TKZ45" s="16"/>
      <c r="TLA45" s="16"/>
      <c r="TLB45" s="16"/>
      <c r="TLC45" s="16"/>
      <c r="TLD45" s="16"/>
      <c r="TLE45" s="16"/>
      <c r="TLF45" s="16"/>
      <c r="TLG45" s="16"/>
      <c r="TLH45" s="16"/>
      <c r="TLI45" s="16"/>
      <c r="TLJ45" s="16"/>
      <c r="TLK45" s="16"/>
      <c r="TLL45" s="16"/>
      <c r="TLM45" s="16"/>
      <c r="TLN45" s="16"/>
      <c r="TLO45" s="16"/>
      <c r="TLP45" s="16"/>
      <c r="TLQ45" s="16"/>
      <c r="TLR45" s="16"/>
      <c r="TLS45" s="16"/>
      <c r="TLT45" s="16"/>
      <c r="TLU45" s="16"/>
      <c r="TLV45" s="16"/>
      <c r="TLW45" s="16"/>
      <c r="TLX45" s="16"/>
      <c r="TLY45" s="16"/>
      <c r="TLZ45" s="16"/>
      <c r="TMA45" s="16"/>
      <c r="TMB45" s="16"/>
      <c r="TMC45" s="16"/>
      <c r="TMD45" s="16"/>
      <c r="TME45" s="16"/>
      <c r="TMF45" s="16"/>
      <c r="TMG45" s="16"/>
      <c r="TMH45" s="16"/>
      <c r="TMI45" s="16"/>
      <c r="TMJ45" s="16"/>
      <c r="TMK45" s="16"/>
      <c r="TML45" s="16"/>
      <c r="TMM45" s="16"/>
      <c r="TMN45" s="16"/>
      <c r="TMO45" s="16"/>
      <c r="TMP45" s="16"/>
      <c r="TMQ45" s="16"/>
      <c r="TMR45" s="16"/>
      <c r="TMS45" s="16"/>
      <c r="TMT45" s="16"/>
      <c r="TMU45" s="16"/>
      <c r="TMV45" s="16"/>
      <c r="TMW45" s="16"/>
      <c r="TMX45" s="16"/>
      <c r="TMY45" s="16"/>
      <c r="TMZ45" s="16"/>
      <c r="TNA45" s="16"/>
      <c r="TNB45" s="16"/>
      <c r="TNC45" s="16"/>
      <c r="TND45" s="16"/>
      <c r="TNE45" s="16"/>
      <c r="TNF45" s="16"/>
      <c r="TNG45" s="16"/>
      <c r="TNH45" s="16"/>
      <c r="TNI45" s="16"/>
      <c r="TNJ45" s="16"/>
      <c r="TNK45" s="16"/>
      <c r="TNL45" s="16"/>
      <c r="TNM45" s="16"/>
      <c r="TNN45" s="16"/>
      <c r="TNO45" s="16"/>
      <c r="TNP45" s="16"/>
      <c r="TNQ45" s="16"/>
      <c r="TNR45" s="16"/>
      <c r="TNS45" s="16"/>
      <c r="TNT45" s="16"/>
      <c r="TNU45" s="16"/>
      <c r="TNV45" s="16"/>
      <c r="TNW45" s="16"/>
      <c r="TNX45" s="16"/>
      <c r="TNY45" s="16"/>
      <c r="TNZ45" s="16"/>
      <c r="TOA45" s="16"/>
      <c r="TOB45" s="16"/>
      <c r="TOC45" s="16"/>
      <c r="TOD45" s="16"/>
      <c r="TOE45" s="16"/>
      <c r="TOF45" s="16"/>
      <c r="TOG45" s="16"/>
      <c r="TOH45" s="16"/>
      <c r="TOI45" s="16"/>
      <c r="TOJ45" s="16"/>
      <c r="TOK45" s="16"/>
      <c r="TOL45" s="16"/>
      <c r="TOM45" s="16"/>
      <c r="TON45" s="16"/>
      <c r="TOO45" s="16"/>
      <c r="TOP45" s="16"/>
      <c r="TOQ45" s="16"/>
      <c r="TOR45" s="16"/>
      <c r="TOS45" s="16"/>
      <c r="TOT45" s="16"/>
      <c r="TOU45" s="16"/>
      <c r="TOV45" s="16"/>
      <c r="TOW45" s="16"/>
      <c r="TOX45" s="16"/>
      <c r="TOY45" s="16"/>
      <c r="TOZ45" s="16"/>
      <c r="TPA45" s="16"/>
      <c r="TPB45" s="16"/>
      <c r="TPC45" s="16"/>
      <c r="TPD45" s="16"/>
      <c r="TPE45" s="16"/>
      <c r="TPF45" s="16"/>
      <c r="TPG45" s="16"/>
      <c r="TPH45" s="16"/>
      <c r="TPI45" s="16"/>
      <c r="TPJ45" s="16"/>
      <c r="TPK45" s="16"/>
      <c r="TPL45" s="16"/>
      <c r="TPM45" s="16"/>
      <c r="TPN45" s="16"/>
      <c r="TPO45" s="16"/>
      <c r="TPP45" s="16"/>
      <c r="TPQ45" s="16"/>
      <c r="TPR45" s="16"/>
      <c r="TPS45" s="16"/>
      <c r="TPT45" s="16"/>
      <c r="TPU45" s="16"/>
      <c r="TPV45" s="16"/>
      <c r="TPW45" s="16"/>
      <c r="TPX45" s="16"/>
      <c r="TPY45" s="16"/>
      <c r="TPZ45" s="16"/>
      <c r="TQA45" s="16"/>
      <c r="TQB45" s="16"/>
      <c r="TQC45" s="16"/>
      <c r="TQD45" s="16"/>
      <c r="TQE45" s="16"/>
      <c r="TQF45" s="16"/>
      <c r="TQG45" s="16"/>
      <c r="TQH45" s="16"/>
      <c r="TQI45" s="16"/>
      <c r="TQJ45" s="16"/>
      <c r="TQK45" s="16"/>
      <c r="TQL45" s="16"/>
      <c r="TQM45" s="16"/>
      <c r="TQN45" s="16"/>
      <c r="TQO45" s="16"/>
      <c r="TQP45" s="16"/>
      <c r="TQQ45" s="16"/>
      <c r="TQR45" s="16"/>
      <c r="TQS45" s="16"/>
      <c r="TQT45" s="16"/>
      <c r="TQU45" s="16"/>
      <c r="TQV45" s="16"/>
      <c r="TQW45" s="16"/>
      <c r="TQX45" s="16"/>
      <c r="TQY45" s="16"/>
      <c r="TQZ45" s="16"/>
      <c r="TRA45" s="16"/>
      <c r="TRB45" s="16"/>
      <c r="TRC45" s="16"/>
      <c r="TRD45" s="16"/>
      <c r="TRE45" s="16"/>
      <c r="TRF45" s="16"/>
      <c r="TRG45" s="16"/>
      <c r="TRH45" s="16"/>
      <c r="TRI45" s="16"/>
      <c r="TRJ45" s="16"/>
      <c r="TRK45" s="16"/>
      <c r="TRL45" s="16"/>
      <c r="TRM45" s="16"/>
      <c r="TRN45" s="16"/>
      <c r="TRO45" s="16"/>
      <c r="TRP45" s="16"/>
      <c r="TRQ45" s="16"/>
      <c r="TRR45" s="16"/>
      <c r="TRS45" s="16"/>
      <c r="TRT45" s="16"/>
      <c r="TRU45" s="16"/>
      <c r="TRV45" s="16"/>
      <c r="TRW45" s="16"/>
      <c r="TRX45" s="16"/>
      <c r="TRY45" s="16"/>
      <c r="TRZ45" s="16"/>
      <c r="TSA45" s="16"/>
      <c r="TSB45" s="16"/>
      <c r="TSC45" s="16"/>
      <c r="TSD45" s="16"/>
      <c r="TSE45" s="16"/>
      <c r="TSF45" s="16"/>
      <c r="TSG45" s="16"/>
      <c r="TSH45" s="16"/>
      <c r="TSI45" s="16"/>
      <c r="TSJ45" s="16"/>
      <c r="TSK45" s="16"/>
      <c r="TSL45" s="16"/>
      <c r="TSM45" s="16"/>
      <c r="TSN45" s="16"/>
      <c r="TSO45" s="16"/>
      <c r="TSP45" s="16"/>
      <c r="TSQ45" s="16"/>
      <c r="TSR45" s="16"/>
      <c r="TSS45" s="16"/>
      <c r="TST45" s="16"/>
      <c r="TSU45" s="16"/>
      <c r="TSV45" s="16"/>
      <c r="TSW45" s="16"/>
      <c r="TSX45" s="16"/>
      <c r="TSY45" s="16"/>
      <c r="TSZ45" s="16"/>
      <c r="TTA45" s="16"/>
      <c r="TTB45" s="16"/>
      <c r="TTC45" s="16"/>
      <c r="TTD45" s="16"/>
      <c r="TTE45" s="16"/>
      <c r="TTF45" s="16"/>
      <c r="TTG45" s="16"/>
      <c r="TTH45" s="16"/>
      <c r="TTI45" s="16"/>
      <c r="TTJ45" s="16"/>
      <c r="TTK45" s="16"/>
      <c r="TTL45" s="16"/>
      <c r="TTM45" s="16"/>
      <c r="TTN45" s="16"/>
      <c r="TTO45" s="16"/>
      <c r="TTP45" s="16"/>
      <c r="TTQ45" s="16"/>
      <c r="TTR45" s="16"/>
      <c r="TTS45" s="16"/>
      <c r="TTT45" s="16"/>
      <c r="TTU45" s="16"/>
      <c r="TTV45" s="16"/>
      <c r="TTW45" s="16"/>
      <c r="TTX45" s="16"/>
      <c r="TTY45" s="16"/>
      <c r="TTZ45" s="16"/>
      <c r="TUA45" s="16"/>
      <c r="TUB45" s="16"/>
      <c r="TUC45" s="16"/>
      <c r="TUD45" s="16"/>
      <c r="TUE45" s="16"/>
      <c r="TUF45" s="16"/>
      <c r="TUG45" s="16"/>
      <c r="TUH45" s="16"/>
      <c r="TUI45" s="16"/>
      <c r="TUJ45" s="16"/>
      <c r="TUK45" s="16"/>
      <c r="TUL45" s="16"/>
      <c r="TUM45" s="16"/>
      <c r="TUN45" s="16"/>
      <c r="TUO45" s="16"/>
      <c r="TUP45" s="16"/>
      <c r="TUQ45" s="16"/>
      <c r="TUR45" s="16"/>
      <c r="TUS45" s="16"/>
      <c r="TUT45" s="16"/>
      <c r="TUU45" s="16"/>
      <c r="TUV45" s="16"/>
      <c r="TUW45" s="16"/>
      <c r="TUX45" s="16"/>
      <c r="TUY45" s="16"/>
      <c r="TUZ45" s="16"/>
      <c r="TVA45" s="16"/>
      <c r="TVB45" s="16"/>
      <c r="TVC45" s="16"/>
      <c r="TVD45" s="16"/>
      <c r="TVE45" s="16"/>
      <c r="TVF45" s="16"/>
      <c r="TVG45" s="16"/>
      <c r="TVH45" s="16"/>
      <c r="TVI45" s="16"/>
      <c r="TVJ45" s="16"/>
      <c r="TVK45" s="16"/>
      <c r="TVL45" s="16"/>
      <c r="TVM45" s="16"/>
      <c r="TVN45" s="16"/>
      <c r="TVO45" s="16"/>
      <c r="TVP45" s="16"/>
      <c r="TVQ45" s="16"/>
      <c r="TVR45" s="16"/>
      <c r="TVS45" s="16"/>
      <c r="TVT45" s="16"/>
      <c r="TVU45" s="16"/>
      <c r="TVV45" s="16"/>
      <c r="TVW45" s="16"/>
      <c r="TVX45" s="16"/>
      <c r="TVY45" s="16"/>
      <c r="TVZ45" s="16"/>
      <c r="TWA45" s="16"/>
      <c r="TWB45" s="16"/>
      <c r="TWC45" s="16"/>
      <c r="TWD45" s="16"/>
      <c r="TWE45" s="16"/>
      <c r="TWF45" s="16"/>
      <c r="TWG45" s="16"/>
      <c r="TWH45" s="16"/>
      <c r="TWI45" s="16"/>
      <c r="TWJ45" s="16"/>
      <c r="TWK45" s="16"/>
      <c r="TWL45" s="16"/>
      <c r="TWM45" s="16"/>
      <c r="TWN45" s="16"/>
      <c r="TWO45" s="16"/>
      <c r="TWP45" s="16"/>
      <c r="TWQ45" s="16"/>
      <c r="TWR45" s="16"/>
      <c r="TWS45" s="16"/>
      <c r="TWT45" s="16"/>
      <c r="TWU45" s="16"/>
      <c r="TWV45" s="16"/>
      <c r="TWW45" s="16"/>
      <c r="TWX45" s="16"/>
      <c r="TWY45" s="16"/>
      <c r="TWZ45" s="16"/>
      <c r="TXA45" s="16"/>
      <c r="TXB45" s="16"/>
      <c r="TXC45" s="16"/>
      <c r="TXD45" s="16"/>
      <c r="TXE45" s="16"/>
      <c r="TXF45" s="16"/>
      <c r="TXG45" s="16"/>
      <c r="TXH45" s="16"/>
      <c r="TXI45" s="16"/>
      <c r="TXJ45" s="16"/>
      <c r="TXK45" s="16"/>
      <c r="TXL45" s="16"/>
      <c r="TXM45" s="16"/>
      <c r="TXN45" s="16"/>
      <c r="TXO45" s="16"/>
      <c r="TXP45" s="16"/>
      <c r="TXQ45" s="16"/>
      <c r="TXR45" s="16"/>
      <c r="TXS45" s="16"/>
      <c r="TXT45" s="16"/>
      <c r="TXU45" s="16"/>
      <c r="TXV45" s="16"/>
      <c r="TXW45" s="16"/>
      <c r="TXX45" s="16"/>
      <c r="TXY45" s="16"/>
      <c r="TXZ45" s="16"/>
      <c r="TYA45" s="16"/>
      <c r="TYB45" s="16"/>
      <c r="TYC45" s="16"/>
      <c r="TYD45" s="16"/>
      <c r="TYE45" s="16"/>
      <c r="TYF45" s="16"/>
      <c r="TYG45" s="16"/>
      <c r="TYH45" s="16"/>
      <c r="TYI45" s="16"/>
      <c r="TYJ45" s="16"/>
      <c r="TYK45" s="16"/>
      <c r="TYL45" s="16"/>
      <c r="TYM45" s="16"/>
      <c r="TYN45" s="16"/>
      <c r="TYO45" s="16"/>
      <c r="TYP45" s="16"/>
      <c r="TYQ45" s="16"/>
      <c r="TYR45" s="16"/>
      <c r="TYS45" s="16"/>
      <c r="TYT45" s="16"/>
      <c r="TYU45" s="16"/>
      <c r="TYV45" s="16"/>
      <c r="TYW45" s="16"/>
      <c r="TYX45" s="16"/>
      <c r="TYY45" s="16"/>
      <c r="TYZ45" s="16"/>
      <c r="TZA45" s="16"/>
      <c r="TZB45" s="16"/>
      <c r="TZC45" s="16"/>
      <c r="TZD45" s="16"/>
      <c r="TZE45" s="16"/>
      <c r="TZF45" s="16"/>
      <c r="TZG45" s="16"/>
      <c r="TZH45" s="16"/>
      <c r="TZI45" s="16"/>
      <c r="TZJ45" s="16"/>
      <c r="TZK45" s="16"/>
      <c r="TZL45" s="16"/>
      <c r="TZM45" s="16"/>
      <c r="TZN45" s="16"/>
      <c r="TZO45" s="16"/>
      <c r="TZP45" s="16"/>
      <c r="TZQ45" s="16"/>
      <c r="TZR45" s="16"/>
      <c r="TZS45" s="16"/>
      <c r="TZT45" s="16"/>
      <c r="TZU45" s="16"/>
      <c r="TZV45" s="16"/>
      <c r="TZW45" s="16"/>
      <c r="TZX45" s="16"/>
      <c r="TZY45" s="16"/>
      <c r="TZZ45" s="16"/>
      <c r="UAA45" s="16"/>
      <c r="UAB45" s="16"/>
      <c r="UAC45" s="16"/>
      <c r="UAD45" s="16"/>
      <c r="UAE45" s="16"/>
      <c r="UAF45" s="16"/>
      <c r="UAG45" s="16"/>
      <c r="UAH45" s="16"/>
      <c r="UAI45" s="16"/>
      <c r="UAJ45" s="16"/>
      <c r="UAK45" s="16"/>
      <c r="UAL45" s="16"/>
      <c r="UAM45" s="16"/>
      <c r="UAN45" s="16"/>
      <c r="UAO45" s="16"/>
      <c r="UAP45" s="16"/>
      <c r="UAQ45" s="16"/>
      <c r="UAR45" s="16"/>
      <c r="UAS45" s="16"/>
      <c r="UAT45" s="16"/>
      <c r="UAU45" s="16"/>
      <c r="UAV45" s="16"/>
      <c r="UAW45" s="16"/>
      <c r="UAX45" s="16"/>
      <c r="UAY45" s="16"/>
      <c r="UAZ45" s="16"/>
      <c r="UBA45" s="16"/>
      <c r="UBB45" s="16"/>
      <c r="UBC45" s="16"/>
      <c r="UBD45" s="16"/>
      <c r="UBE45" s="16"/>
      <c r="UBF45" s="16"/>
      <c r="UBG45" s="16"/>
      <c r="UBH45" s="16"/>
      <c r="UBI45" s="16"/>
      <c r="UBJ45" s="16"/>
      <c r="UBK45" s="16"/>
      <c r="UBL45" s="16"/>
      <c r="UBM45" s="16"/>
      <c r="UBN45" s="16"/>
      <c r="UBO45" s="16"/>
      <c r="UBP45" s="16"/>
      <c r="UBQ45" s="16"/>
      <c r="UBR45" s="16"/>
      <c r="UBS45" s="16"/>
      <c r="UBT45" s="16"/>
      <c r="UBU45" s="16"/>
      <c r="UBV45" s="16"/>
      <c r="UBW45" s="16"/>
      <c r="UBX45" s="16"/>
      <c r="UBY45" s="16"/>
      <c r="UBZ45" s="16"/>
      <c r="UCA45" s="16"/>
      <c r="UCB45" s="16"/>
      <c r="UCC45" s="16"/>
      <c r="UCD45" s="16"/>
      <c r="UCE45" s="16"/>
      <c r="UCF45" s="16"/>
      <c r="UCG45" s="16"/>
      <c r="UCH45" s="16"/>
      <c r="UCI45" s="16"/>
      <c r="UCJ45" s="16"/>
      <c r="UCK45" s="16"/>
      <c r="UCL45" s="16"/>
      <c r="UCM45" s="16"/>
      <c r="UCN45" s="16"/>
      <c r="UCO45" s="16"/>
      <c r="UCP45" s="16"/>
      <c r="UCQ45" s="16"/>
      <c r="UCR45" s="16"/>
      <c r="UCS45" s="16"/>
      <c r="UCT45" s="16"/>
      <c r="UCU45" s="16"/>
      <c r="UCV45" s="16"/>
      <c r="UCW45" s="16"/>
      <c r="UCX45" s="16"/>
      <c r="UCY45" s="16"/>
      <c r="UCZ45" s="16"/>
      <c r="UDA45" s="16"/>
      <c r="UDB45" s="16"/>
      <c r="UDC45" s="16"/>
      <c r="UDD45" s="16"/>
      <c r="UDE45" s="16"/>
      <c r="UDF45" s="16"/>
      <c r="UDG45" s="16"/>
      <c r="UDH45" s="16"/>
      <c r="UDI45" s="16"/>
      <c r="UDJ45" s="16"/>
      <c r="UDK45" s="16"/>
      <c r="UDL45" s="16"/>
      <c r="UDM45" s="16"/>
      <c r="UDN45" s="16"/>
      <c r="UDO45" s="16"/>
      <c r="UDP45" s="16"/>
      <c r="UDQ45" s="16"/>
      <c r="UDR45" s="16"/>
      <c r="UDS45" s="16"/>
      <c r="UDT45" s="16"/>
      <c r="UDU45" s="16"/>
      <c r="UDV45" s="16"/>
      <c r="UDW45" s="16"/>
      <c r="UDX45" s="16"/>
      <c r="UDY45" s="16"/>
      <c r="UDZ45" s="16"/>
      <c r="UEA45" s="16"/>
      <c r="UEB45" s="16"/>
      <c r="UEC45" s="16"/>
      <c r="UED45" s="16"/>
      <c r="UEE45" s="16"/>
      <c r="UEF45" s="16"/>
      <c r="UEG45" s="16"/>
      <c r="UEH45" s="16"/>
      <c r="UEI45" s="16"/>
      <c r="UEJ45" s="16"/>
      <c r="UEK45" s="16"/>
      <c r="UEL45" s="16"/>
      <c r="UEM45" s="16"/>
      <c r="UEN45" s="16"/>
      <c r="UEO45" s="16"/>
      <c r="UEP45" s="16"/>
      <c r="UEQ45" s="16"/>
      <c r="UER45" s="16"/>
      <c r="UES45" s="16"/>
      <c r="UET45" s="16"/>
      <c r="UEU45" s="16"/>
      <c r="UEV45" s="16"/>
      <c r="UEW45" s="16"/>
      <c r="UEX45" s="16"/>
      <c r="UEY45" s="16"/>
      <c r="UEZ45" s="16"/>
      <c r="UFA45" s="16"/>
      <c r="UFB45" s="16"/>
      <c r="UFC45" s="16"/>
      <c r="UFD45" s="16"/>
      <c r="UFE45" s="16"/>
      <c r="UFF45" s="16"/>
      <c r="UFG45" s="16"/>
      <c r="UFH45" s="16"/>
      <c r="UFI45" s="16"/>
      <c r="UFJ45" s="16"/>
      <c r="UFK45" s="16"/>
      <c r="UFL45" s="16"/>
      <c r="UFM45" s="16"/>
      <c r="UFN45" s="16"/>
      <c r="UFO45" s="16"/>
      <c r="UFP45" s="16"/>
      <c r="UFQ45" s="16"/>
      <c r="UFR45" s="16"/>
      <c r="UFS45" s="16"/>
      <c r="UFT45" s="16"/>
      <c r="UFU45" s="16"/>
      <c r="UFV45" s="16"/>
      <c r="UFW45" s="16"/>
      <c r="UFX45" s="16"/>
      <c r="UFY45" s="16"/>
      <c r="UFZ45" s="16"/>
      <c r="UGA45" s="16"/>
      <c r="UGB45" s="16"/>
      <c r="UGC45" s="16"/>
      <c r="UGD45" s="16"/>
      <c r="UGE45" s="16"/>
      <c r="UGF45" s="16"/>
      <c r="UGG45" s="16"/>
      <c r="UGH45" s="16"/>
      <c r="UGI45" s="16"/>
      <c r="UGJ45" s="16"/>
      <c r="UGK45" s="16"/>
      <c r="UGL45" s="16"/>
      <c r="UGM45" s="16"/>
      <c r="UGN45" s="16"/>
      <c r="UGO45" s="16"/>
      <c r="UGP45" s="16"/>
      <c r="UGQ45" s="16"/>
      <c r="UGR45" s="16"/>
      <c r="UGS45" s="16"/>
      <c r="UGT45" s="16"/>
      <c r="UGU45" s="16"/>
      <c r="UGV45" s="16"/>
      <c r="UGW45" s="16"/>
      <c r="UGX45" s="16"/>
      <c r="UGY45" s="16"/>
      <c r="UGZ45" s="16"/>
      <c r="UHA45" s="16"/>
      <c r="UHB45" s="16"/>
      <c r="UHC45" s="16"/>
      <c r="UHD45" s="16"/>
      <c r="UHE45" s="16"/>
      <c r="UHF45" s="16"/>
      <c r="UHG45" s="16"/>
      <c r="UHH45" s="16"/>
      <c r="UHI45" s="16"/>
      <c r="UHJ45" s="16"/>
      <c r="UHK45" s="16"/>
      <c r="UHL45" s="16"/>
      <c r="UHM45" s="16"/>
      <c r="UHN45" s="16"/>
      <c r="UHO45" s="16"/>
      <c r="UHP45" s="16"/>
      <c r="UHQ45" s="16"/>
      <c r="UHR45" s="16"/>
      <c r="UHS45" s="16"/>
      <c r="UHT45" s="16"/>
      <c r="UHU45" s="16"/>
      <c r="UHV45" s="16"/>
      <c r="UHW45" s="16"/>
      <c r="UHX45" s="16"/>
      <c r="UHY45" s="16"/>
      <c r="UHZ45" s="16"/>
      <c r="UIA45" s="16"/>
      <c r="UIB45" s="16"/>
      <c r="UIC45" s="16"/>
      <c r="UID45" s="16"/>
      <c r="UIE45" s="16"/>
      <c r="UIF45" s="16"/>
      <c r="UIG45" s="16"/>
      <c r="UIH45" s="16"/>
      <c r="UII45" s="16"/>
      <c r="UIJ45" s="16"/>
      <c r="UIK45" s="16"/>
      <c r="UIL45" s="16"/>
      <c r="UIM45" s="16"/>
      <c r="UIN45" s="16"/>
      <c r="UIO45" s="16"/>
      <c r="UIP45" s="16"/>
      <c r="UIQ45" s="16"/>
      <c r="UIR45" s="16"/>
      <c r="UIS45" s="16"/>
      <c r="UIT45" s="16"/>
      <c r="UIU45" s="16"/>
      <c r="UIV45" s="16"/>
      <c r="UIW45" s="16"/>
      <c r="UIX45" s="16"/>
      <c r="UIY45" s="16"/>
      <c r="UIZ45" s="16"/>
      <c r="UJA45" s="16"/>
      <c r="UJB45" s="16"/>
      <c r="UJC45" s="16"/>
      <c r="UJD45" s="16"/>
      <c r="UJE45" s="16"/>
      <c r="UJF45" s="16"/>
      <c r="UJG45" s="16"/>
      <c r="UJH45" s="16"/>
      <c r="UJI45" s="16"/>
      <c r="UJJ45" s="16"/>
      <c r="UJK45" s="16"/>
      <c r="UJL45" s="16"/>
      <c r="UJM45" s="16"/>
      <c r="UJN45" s="16"/>
      <c r="UJO45" s="16"/>
      <c r="UJP45" s="16"/>
      <c r="UJQ45" s="16"/>
      <c r="UJR45" s="16"/>
      <c r="UJS45" s="16"/>
      <c r="UJT45" s="16"/>
      <c r="UJU45" s="16"/>
      <c r="UJV45" s="16"/>
      <c r="UJW45" s="16"/>
      <c r="UJX45" s="16"/>
      <c r="UJY45" s="16"/>
      <c r="UJZ45" s="16"/>
      <c r="UKA45" s="16"/>
      <c r="UKB45" s="16"/>
      <c r="UKC45" s="16"/>
      <c r="UKD45" s="16"/>
      <c r="UKE45" s="16"/>
      <c r="UKF45" s="16"/>
      <c r="UKG45" s="16"/>
      <c r="UKH45" s="16"/>
      <c r="UKI45" s="16"/>
      <c r="UKJ45" s="16"/>
      <c r="UKK45" s="16"/>
      <c r="UKL45" s="16"/>
      <c r="UKM45" s="16"/>
      <c r="UKN45" s="16"/>
      <c r="UKO45" s="16"/>
      <c r="UKP45" s="16"/>
      <c r="UKQ45" s="16"/>
      <c r="UKR45" s="16"/>
      <c r="UKS45" s="16"/>
      <c r="UKT45" s="16"/>
      <c r="UKU45" s="16"/>
      <c r="UKV45" s="16"/>
      <c r="UKW45" s="16"/>
      <c r="UKX45" s="16"/>
      <c r="UKY45" s="16"/>
      <c r="UKZ45" s="16"/>
      <c r="ULA45" s="16"/>
      <c r="ULB45" s="16"/>
      <c r="ULC45" s="16"/>
      <c r="ULD45" s="16"/>
      <c r="ULE45" s="16"/>
      <c r="ULF45" s="16"/>
      <c r="ULG45" s="16"/>
      <c r="ULH45" s="16"/>
      <c r="ULI45" s="16"/>
      <c r="ULJ45" s="16"/>
      <c r="ULK45" s="16"/>
      <c r="ULL45" s="16"/>
      <c r="ULM45" s="16"/>
      <c r="ULN45" s="16"/>
      <c r="ULO45" s="16"/>
      <c r="ULP45" s="16"/>
      <c r="ULQ45" s="16"/>
      <c r="ULR45" s="16"/>
      <c r="ULS45" s="16"/>
      <c r="ULT45" s="16"/>
      <c r="ULU45" s="16"/>
      <c r="ULV45" s="16"/>
      <c r="ULW45" s="16"/>
      <c r="ULX45" s="16"/>
      <c r="ULY45" s="16"/>
      <c r="ULZ45" s="16"/>
      <c r="UMA45" s="16"/>
      <c r="UMB45" s="16"/>
      <c r="UMC45" s="16"/>
      <c r="UMD45" s="16"/>
      <c r="UME45" s="16"/>
      <c r="UMF45" s="16"/>
      <c r="UMG45" s="16"/>
      <c r="UMH45" s="16"/>
      <c r="UMI45" s="16"/>
      <c r="UMJ45" s="16"/>
      <c r="UMK45" s="16"/>
      <c r="UML45" s="16"/>
      <c r="UMM45" s="16"/>
      <c r="UMN45" s="16"/>
      <c r="UMO45" s="16"/>
      <c r="UMP45" s="16"/>
      <c r="UMQ45" s="16"/>
      <c r="UMR45" s="16"/>
      <c r="UMS45" s="16"/>
      <c r="UMT45" s="16"/>
      <c r="UMU45" s="16"/>
      <c r="UMV45" s="16"/>
      <c r="UMW45" s="16"/>
      <c r="UMX45" s="16"/>
      <c r="UMY45" s="16"/>
      <c r="UMZ45" s="16"/>
      <c r="UNA45" s="16"/>
      <c r="UNB45" s="16"/>
      <c r="UNC45" s="16"/>
      <c r="UND45" s="16"/>
      <c r="UNE45" s="16"/>
      <c r="UNF45" s="16"/>
      <c r="UNG45" s="16"/>
      <c r="UNH45" s="16"/>
      <c r="UNI45" s="16"/>
      <c r="UNJ45" s="16"/>
      <c r="UNK45" s="16"/>
      <c r="UNL45" s="16"/>
      <c r="UNM45" s="16"/>
      <c r="UNN45" s="16"/>
      <c r="UNO45" s="16"/>
      <c r="UNP45" s="16"/>
      <c r="UNQ45" s="16"/>
      <c r="UNR45" s="16"/>
      <c r="UNS45" s="16"/>
      <c r="UNT45" s="16"/>
      <c r="UNU45" s="16"/>
      <c r="UNV45" s="16"/>
      <c r="UNW45" s="16"/>
      <c r="UNX45" s="16"/>
      <c r="UNY45" s="16"/>
      <c r="UNZ45" s="16"/>
      <c r="UOA45" s="16"/>
      <c r="UOB45" s="16"/>
      <c r="UOC45" s="16"/>
      <c r="UOD45" s="16"/>
      <c r="UOE45" s="16"/>
      <c r="UOF45" s="16"/>
      <c r="UOG45" s="16"/>
      <c r="UOH45" s="16"/>
      <c r="UOI45" s="16"/>
      <c r="UOJ45" s="16"/>
      <c r="UOK45" s="16"/>
      <c r="UOL45" s="16"/>
      <c r="UOM45" s="16"/>
      <c r="UON45" s="16"/>
      <c r="UOO45" s="16"/>
      <c r="UOP45" s="16"/>
      <c r="UOQ45" s="16"/>
      <c r="UOR45" s="16"/>
      <c r="UOS45" s="16"/>
      <c r="UOT45" s="16"/>
      <c r="UOU45" s="16"/>
      <c r="UOV45" s="16"/>
      <c r="UOW45" s="16"/>
      <c r="UOX45" s="16"/>
      <c r="UOY45" s="16"/>
      <c r="UOZ45" s="16"/>
      <c r="UPA45" s="16"/>
      <c r="UPB45" s="16"/>
      <c r="UPC45" s="16"/>
      <c r="UPD45" s="16"/>
      <c r="UPE45" s="16"/>
      <c r="UPF45" s="16"/>
      <c r="UPG45" s="16"/>
      <c r="UPH45" s="16"/>
      <c r="UPI45" s="16"/>
      <c r="UPJ45" s="16"/>
      <c r="UPK45" s="16"/>
      <c r="UPL45" s="16"/>
      <c r="UPM45" s="16"/>
      <c r="UPN45" s="16"/>
      <c r="UPO45" s="16"/>
      <c r="UPP45" s="16"/>
      <c r="UPQ45" s="16"/>
      <c r="UPR45" s="16"/>
      <c r="UPS45" s="16"/>
      <c r="UPT45" s="16"/>
      <c r="UPU45" s="16"/>
      <c r="UPV45" s="16"/>
      <c r="UPW45" s="16"/>
      <c r="UPX45" s="16"/>
      <c r="UPY45" s="16"/>
      <c r="UPZ45" s="16"/>
      <c r="UQA45" s="16"/>
      <c r="UQB45" s="16"/>
      <c r="UQC45" s="16"/>
      <c r="UQD45" s="16"/>
      <c r="UQE45" s="16"/>
      <c r="UQF45" s="16"/>
      <c r="UQG45" s="16"/>
      <c r="UQH45" s="16"/>
      <c r="UQI45" s="16"/>
      <c r="UQJ45" s="16"/>
      <c r="UQK45" s="16"/>
      <c r="UQL45" s="16"/>
      <c r="UQM45" s="16"/>
      <c r="UQN45" s="16"/>
      <c r="UQO45" s="16"/>
      <c r="UQP45" s="16"/>
      <c r="UQQ45" s="16"/>
      <c r="UQR45" s="16"/>
      <c r="UQS45" s="16"/>
      <c r="UQT45" s="16"/>
      <c r="UQU45" s="16"/>
      <c r="UQV45" s="16"/>
      <c r="UQW45" s="16"/>
      <c r="UQX45" s="16"/>
      <c r="UQY45" s="16"/>
      <c r="UQZ45" s="16"/>
      <c r="URA45" s="16"/>
      <c r="URB45" s="16"/>
      <c r="URC45" s="16"/>
      <c r="URD45" s="16"/>
      <c r="URE45" s="16"/>
      <c r="URF45" s="16"/>
      <c r="URG45" s="16"/>
      <c r="URH45" s="16"/>
      <c r="URI45" s="16"/>
      <c r="URJ45" s="16"/>
      <c r="URK45" s="16"/>
      <c r="URL45" s="16"/>
      <c r="URM45" s="16"/>
      <c r="URN45" s="16"/>
      <c r="URO45" s="16"/>
      <c r="URP45" s="16"/>
      <c r="URQ45" s="16"/>
      <c r="URR45" s="16"/>
      <c r="URS45" s="16"/>
      <c r="URT45" s="16"/>
      <c r="URU45" s="16"/>
      <c r="URV45" s="16"/>
      <c r="URW45" s="16"/>
      <c r="URX45" s="16"/>
      <c r="URY45" s="16"/>
      <c r="URZ45" s="16"/>
      <c r="USA45" s="16"/>
      <c r="USB45" s="16"/>
      <c r="USC45" s="16"/>
      <c r="USD45" s="16"/>
      <c r="USE45" s="16"/>
      <c r="USF45" s="16"/>
      <c r="USG45" s="16"/>
      <c r="USH45" s="16"/>
      <c r="USI45" s="16"/>
      <c r="USJ45" s="16"/>
      <c r="USK45" s="16"/>
      <c r="USL45" s="16"/>
      <c r="USM45" s="16"/>
      <c r="USN45" s="16"/>
      <c r="USO45" s="16"/>
      <c r="USP45" s="16"/>
      <c r="USQ45" s="16"/>
      <c r="USR45" s="16"/>
      <c r="USS45" s="16"/>
      <c r="UST45" s="16"/>
      <c r="USU45" s="16"/>
      <c r="USV45" s="16"/>
      <c r="USW45" s="16"/>
      <c r="USX45" s="16"/>
      <c r="USY45" s="16"/>
      <c r="USZ45" s="16"/>
      <c r="UTA45" s="16"/>
      <c r="UTB45" s="16"/>
      <c r="UTC45" s="16"/>
      <c r="UTD45" s="16"/>
      <c r="UTE45" s="16"/>
      <c r="UTF45" s="16"/>
      <c r="UTG45" s="16"/>
      <c r="UTH45" s="16"/>
      <c r="UTI45" s="16"/>
      <c r="UTJ45" s="16"/>
      <c r="UTK45" s="16"/>
      <c r="UTL45" s="16"/>
      <c r="UTM45" s="16"/>
      <c r="UTN45" s="16"/>
      <c r="UTO45" s="16"/>
      <c r="UTP45" s="16"/>
      <c r="UTQ45" s="16"/>
      <c r="UTR45" s="16"/>
      <c r="UTS45" s="16"/>
      <c r="UTT45" s="16"/>
      <c r="UTU45" s="16"/>
      <c r="UTV45" s="16"/>
      <c r="UTW45" s="16"/>
      <c r="UTX45" s="16"/>
      <c r="UTY45" s="16"/>
      <c r="UTZ45" s="16"/>
      <c r="UUA45" s="16"/>
      <c r="UUB45" s="16"/>
      <c r="UUC45" s="16"/>
      <c r="UUD45" s="16"/>
      <c r="UUE45" s="16"/>
      <c r="UUF45" s="16"/>
      <c r="UUG45" s="16"/>
      <c r="UUH45" s="16"/>
      <c r="UUI45" s="16"/>
      <c r="UUJ45" s="16"/>
      <c r="UUK45" s="16"/>
      <c r="UUL45" s="16"/>
      <c r="UUM45" s="16"/>
      <c r="UUN45" s="16"/>
      <c r="UUO45" s="16"/>
      <c r="UUP45" s="16"/>
      <c r="UUQ45" s="16"/>
      <c r="UUR45" s="16"/>
      <c r="UUS45" s="16"/>
      <c r="UUT45" s="16"/>
      <c r="UUU45" s="16"/>
      <c r="UUV45" s="16"/>
      <c r="UUW45" s="16"/>
      <c r="UUX45" s="16"/>
      <c r="UUY45" s="16"/>
      <c r="UUZ45" s="16"/>
      <c r="UVA45" s="16"/>
      <c r="UVB45" s="16"/>
      <c r="UVC45" s="16"/>
      <c r="UVD45" s="16"/>
      <c r="UVE45" s="16"/>
      <c r="UVF45" s="16"/>
      <c r="UVG45" s="16"/>
      <c r="UVH45" s="16"/>
      <c r="UVI45" s="16"/>
      <c r="UVJ45" s="16"/>
      <c r="UVK45" s="16"/>
      <c r="UVL45" s="16"/>
      <c r="UVM45" s="16"/>
      <c r="UVN45" s="16"/>
      <c r="UVO45" s="16"/>
      <c r="UVP45" s="16"/>
      <c r="UVQ45" s="16"/>
      <c r="UVR45" s="16"/>
      <c r="UVS45" s="16"/>
      <c r="UVT45" s="16"/>
      <c r="UVU45" s="16"/>
      <c r="UVV45" s="16"/>
      <c r="UVW45" s="16"/>
      <c r="UVX45" s="16"/>
      <c r="UVY45" s="16"/>
      <c r="UVZ45" s="16"/>
      <c r="UWA45" s="16"/>
      <c r="UWB45" s="16"/>
      <c r="UWC45" s="16"/>
      <c r="UWD45" s="16"/>
      <c r="UWE45" s="16"/>
      <c r="UWF45" s="16"/>
      <c r="UWG45" s="16"/>
      <c r="UWH45" s="16"/>
      <c r="UWI45" s="16"/>
      <c r="UWJ45" s="16"/>
      <c r="UWK45" s="16"/>
      <c r="UWL45" s="16"/>
      <c r="UWM45" s="16"/>
      <c r="UWN45" s="16"/>
      <c r="UWO45" s="16"/>
      <c r="UWP45" s="16"/>
      <c r="UWQ45" s="16"/>
      <c r="UWR45" s="16"/>
      <c r="UWS45" s="16"/>
      <c r="UWT45" s="16"/>
      <c r="UWU45" s="16"/>
      <c r="UWV45" s="16"/>
      <c r="UWW45" s="16"/>
      <c r="UWX45" s="16"/>
      <c r="UWY45" s="16"/>
      <c r="UWZ45" s="16"/>
      <c r="UXA45" s="16"/>
      <c r="UXB45" s="16"/>
      <c r="UXC45" s="16"/>
      <c r="UXD45" s="16"/>
      <c r="UXE45" s="16"/>
      <c r="UXF45" s="16"/>
      <c r="UXG45" s="16"/>
      <c r="UXH45" s="16"/>
      <c r="UXI45" s="16"/>
      <c r="UXJ45" s="16"/>
      <c r="UXK45" s="16"/>
      <c r="UXL45" s="16"/>
      <c r="UXM45" s="16"/>
      <c r="UXN45" s="16"/>
      <c r="UXO45" s="16"/>
      <c r="UXP45" s="16"/>
      <c r="UXQ45" s="16"/>
      <c r="UXR45" s="16"/>
      <c r="UXS45" s="16"/>
      <c r="UXT45" s="16"/>
      <c r="UXU45" s="16"/>
      <c r="UXV45" s="16"/>
      <c r="UXW45" s="16"/>
      <c r="UXX45" s="16"/>
      <c r="UXY45" s="16"/>
      <c r="UXZ45" s="16"/>
      <c r="UYA45" s="16"/>
      <c r="UYB45" s="16"/>
      <c r="UYC45" s="16"/>
      <c r="UYD45" s="16"/>
      <c r="UYE45" s="16"/>
      <c r="UYF45" s="16"/>
      <c r="UYG45" s="16"/>
      <c r="UYH45" s="16"/>
      <c r="UYI45" s="16"/>
      <c r="UYJ45" s="16"/>
      <c r="UYK45" s="16"/>
      <c r="UYL45" s="16"/>
      <c r="UYM45" s="16"/>
      <c r="UYN45" s="16"/>
      <c r="UYO45" s="16"/>
      <c r="UYP45" s="16"/>
      <c r="UYQ45" s="16"/>
      <c r="UYR45" s="16"/>
      <c r="UYS45" s="16"/>
      <c r="UYT45" s="16"/>
      <c r="UYU45" s="16"/>
      <c r="UYV45" s="16"/>
      <c r="UYW45" s="16"/>
      <c r="UYX45" s="16"/>
      <c r="UYY45" s="16"/>
      <c r="UYZ45" s="16"/>
      <c r="UZA45" s="16"/>
      <c r="UZB45" s="16"/>
      <c r="UZC45" s="16"/>
      <c r="UZD45" s="16"/>
      <c r="UZE45" s="16"/>
      <c r="UZF45" s="16"/>
      <c r="UZG45" s="16"/>
      <c r="UZH45" s="16"/>
      <c r="UZI45" s="16"/>
      <c r="UZJ45" s="16"/>
      <c r="UZK45" s="16"/>
      <c r="UZL45" s="16"/>
      <c r="UZM45" s="16"/>
      <c r="UZN45" s="16"/>
      <c r="UZO45" s="16"/>
      <c r="UZP45" s="16"/>
      <c r="UZQ45" s="16"/>
      <c r="UZR45" s="16"/>
      <c r="UZS45" s="16"/>
      <c r="UZT45" s="16"/>
      <c r="UZU45" s="16"/>
      <c r="UZV45" s="16"/>
      <c r="UZW45" s="16"/>
      <c r="UZX45" s="16"/>
      <c r="UZY45" s="16"/>
      <c r="UZZ45" s="16"/>
      <c r="VAA45" s="16"/>
      <c r="VAB45" s="16"/>
      <c r="VAC45" s="16"/>
      <c r="VAD45" s="16"/>
      <c r="VAE45" s="16"/>
      <c r="VAF45" s="16"/>
      <c r="VAG45" s="16"/>
      <c r="VAH45" s="16"/>
      <c r="VAI45" s="16"/>
      <c r="VAJ45" s="16"/>
      <c r="VAK45" s="16"/>
      <c r="VAL45" s="16"/>
      <c r="VAM45" s="16"/>
      <c r="VAN45" s="16"/>
      <c r="VAO45" s="16"/>
      <c r="VAP45" s="16"/>
      <c r="VAQ45" s="16"/>
      <c r="VAR45" s="16"/>
      <c r="VAS45" s="16"/>
      <c r="VAT45" s="16"/>
      <c r="VAU45" s="16"/>
      <c r="VAV45" s="16"/>
      <c r="VAW45" s="16"/>
      <c r="VAX45" s="16"/>
      <c r="VAY45" s="16"/>
      <c r="VAZ45" s="16"/>
      <c r="VBA45" s="16"/>
      <c r="VBB45" s="16"/>
      <c r="VBC45" s="16"/>
      <c r="VBD45" s="16"/>
      <c r="VBE45" s="16"/>
      <c r="VBF45" s="16"/>
      <c r="VBG45" s="16"/>
      <c r="VBH45" s="16"/>
      <c r="VBI45" s="16"/>
      <c r="VBJ45" s="16"/>
      <c r="VBK45" s="16"/>
      <c r="VBL45" s="16"/>
      <c r="VBM45" s="16"/>
      <c r="VBN45" s="16"/>
      <c r="VBO45" s="16"/>
      <c r="VBP45" s="16"/>
      <c r="VBQ45" s="16"/>
      <c r="VBR45" s="16"/>
      <c r="VBS45" s="16"/>
      <c r="VBT45" s="16"/>
      <c r="VBU45" s="16"/>
      <c r="VBV45" s="16"/>
      <c r="VBW45" s="16"/>
      <c r="VBX45" s="16"/>
      <c r="VBY45" s="16"/>
      <c r="VBZ45" s="16"/>
      <c r="VCA45" s="16"/>
      <c r="VCB45" s="16"/>
      <c r="VCC45" s="16"/>
      <c r="VCD45" s="16"/>
      <c r="VCE45" s="16"/>
      <c r="VCF45" s="16"/>
      <c r="VCG45" s="16"/>
      <c r="VCH45" s="16"/>
      <c r="VCI45" s="16"/>
      <c r="VCJ45" s="16"/>
      <c r="VCK45" s="16"/>
      <c r="VCL45" s="16"/>
      <c r="VCM45" s="16"/>
      <c r="VCN45" s="16"/>
      <c r="VCO45" s="16"/>
      <c r="VCP45" s="16"/>
      <c r="VCQ45" s="16"/>
      <c r="VCR45" s="16"/>
      <c r="VCS45" s="16"/>
      <c r="VCT45" s="16"/>
      <c r="VCU45" s="16"/>
      <c r="VCV45" s="16"/>
      <c r="VCW45" s="16"/>
      <c r="VCX45" s="16"/>
      <c r="VCY45" s="16"/>
      <c r="VCZ45" s="16"/>
      <c r="VDA45" s="16"/>
      <c r="VDB45" s="16"/>
      <c r="VDC45" s="16"/>
      <c r="VDD45" s="16"/>
      <c r="VDE45" s="16"/>
      <c r="VDF45" s="16"/>
      <c r="VDG45" s="16"/>
      <c r="VDH45" s="16"/>
      <c r="VDI45" s="16"/>
      <c r="VDJ45" s="16"/>
      <c r="VDK45" s="16"/>
      <c r="VDL45" s="16"/>
      <c r="VDM45" s="16"/>
      <c r="VDN45" s="16"/>
      <c r="VDO45" s="16"/>
      <c r="VDP45" s="16"/>
      <c r="VDQ45" s="16"/>
      <c r="VDR45" s="16"/>
      <c r="VDS45" s="16"/>
      <c r="VDT45" s="16"/>
      <c r="VDU45" s="16"/>
      <c r="VDV45" s="16"/>
      <c r="VDW45" s="16"/>
      <c r="VDX45" s="16"/>
      <c r="VDY45" s="16"/>
      <c r="VDZ45" s="16"/>
      <c r="VEA45" s="16"/>
      <c r="VEB45" s="16"/>
      <c r="VEC45" s="16"/>
      <c r="VED45" s="16"/>
      <c r="VEE45" s="16"/>
      <c r="VEF45" s="16"/>
      <c r="VEG45" s="16"/>
      <c r="VEH45" s="16"/>
      <c r="VEI45" s="16"/>
      <c r="VEJ45" s="16"/>
      <c r="VEK45" s="16"/>
      <c r="VEL45" s="16"/>
      <c r="VEM45" s="16"/>
      <c r="VEN45" s="16"/>
      <c r="VEO45" s="16"/>
      <c r="VEP45" s="16"/>
      <c r="VEQ45" s="16"/>
      <c r="VER45" s="16"/>
      <c r="VES45" s="16"/>
      <c r="VET45" s="16"/>
      <c r="VEU45" s="16"/>
      <c r="VEV45" s="16"/>
      <c r="VEW45" s="16"/>
      <c r="VEX45" s="16"/>
      <c r="VEY45" s="16"/>
      <c r="VEZ45" s="16"/>
      <c r="VFA45" s="16"/>
      <c r="VFB45" s="16"/>
      <c r="VFC45" s="16"/>
      <c r="VFD45" s="16"/>
      <c r="VFE45" s="16"/>
      <c r="VFF45" s="16"/>
      <c r="VFG45" s="16"/>
      <c r="VFH45" s="16"/>
      <c r="VFI45" s="16"/>
      <c r="VFJ45" s="16"/>
      <c r="VFK45" s="16"/>
      <c r="VFL45" s="16"/>
      <c r="VFM45" s="16"/>
      <c r="VFN45" s="16"/>
      <c r="VFO45" s="16"/>
      <c r="VFP45" s="16"/>
      <c r="VFQ45" s="16"/>
      <c r="VFR45" s="16"/>
      <c r="VFS45" s="16"/>
      <c r="VFT45" s="16"/>
      <c r="VFU45" s="16"/>
      <c r="VFV45" s="16"/>
      <c r="VFW45" s="16"/>
      <c r="VFX45" s="16"/>
      <c r="VFY45" s="16"/>
      <c r="VFZ45" s="16"/>
      <c r="VGA45" s="16"/>
      <c r="VGB45" s="16"/>
      <c r="VGC45" s="16"/>
      <c r="VGD45" s="16"/>
      <c r="VGE45" s="16"/>
      <c r="VGF45" s="16"/>
      <c r="VGG45" s="16"/>
      <c r="VGH45" s="16"/>
      <c r="VGI45" s="16"/>
    </row>
    <row r="46" spans="1:15063" s="1" customFormat="1" x14ac:dyDescent="0.25">
      <c r="C46" s="15"/>
      <c r="D46" s="14" t="s">
        <v>70</v>
      </c>
      <c r="E46" s="261"/>
      <c r="F46" s="20" t="s">
        <v>14</v>
      </c>
      <c r="G46" s="33">
        <f>G48+G49</f>
        <v>0</v>
      </c>
      <c r="H46" s="33">
        <f t="shared" ref="H46:AJ46" si="21">H48+H49</f>
        <v>0</v>
      </c>
      <c r="I46" s="33">
        <f t="shared" si="21"/>
        <v>0</v>
      </c>
      <c r="J46" s="33">
        <f t="shared" si="21"/>
        <v>0</v>
      </c>
      <c r="K46" s="33">
        <f t="shared" si="21"/>
        <v>0</v>
      </c>
      <c r="L46" s="33">
        <f t="shared" si="21"/>
        <v>0</v>
      </c>
      <c r="M46" s="33">
        <f t="shared" ref="M46:N46" si="22">M48+M49</f>
        <v>0</v>
      </c>
      <c r="N46" s="33">
        <f t="shared" si="22"/>
        <v>0</v>
      </c>
      <c r="O46" s="33">
        <f t="shared" si="21"/>
        <v>0</v>
      </c>
      <c r="P46" s="33">
        <f t="shared" si="21"/>
        <v>0</v>
      </c>
      <c r="Q46" s="33">
        <f t="shared" si="21"/>
        <v>0</v>
      </c>
      <c r="R46" s="33">
        <f t="shared" si="21"/>
        <v>0</v>
      </c>
      <c r="S46" s="33">
        <f t="shared" ref="S46" si="23">S48+S49</f>
        <v>0</v>
      </c>
      <c r="T46" s="33">
        <f t="shared" si="21"/>
        <v>0</v>
      </c>
      <c r="U46" s="33">
        <f t="shared" si="21"/>
        <v>0</v>
      </c>
      <c r="V46" s="33">
        <f t="shared" si="21"/>
        <v>0</v>
      </c>
      <c r="W46" s="33">
        <f t="shared" si="21"/>
        <v>0</v>
      </c>
      <c r="X46" s="33">
        <f t="shared" si="21"/>
        <v>0</v>
      </c>
      <c r="Y46" s="33">
        <f t="shared" si="21"/>
        <v>0</v>
      </c>
      <c r="Z46" s="33">
        <f t="shared" si="21"/>
        <v>0</v>
      </c>
      <c r="AA46" s="33">
        <f t="shared" si="21"/>
        <v>0</v>
      </c>
      <c r="AB46" s="33">
        <f t="shared" si="21"/>
        <v>0</v>
      </c>
      <c r="AC46" s="33">
        <f>AC48+AC49</f>
        <v>0</v>
      </c>
      <c r="AD46" s="33">
        <f t="shared" ref="AD46" si="24">AD48+AD49</f>
        <v>0</v>
      </c>
      <c r="AE46" s="33">
        <f t="shared" si="21"/>
        <v>0</v>
      </c>
      <c r="AF46" s="33">
        <f t="shared" si="21"/>
        <v>0</v>
      </c>
      <c r="AG46" s="33">
        <f t="shared" si="21"/>
        <v>0</v>
      </c>
      <c r="AH46" s="33">
        <f t="shared" si="21"/>
        <v>0</v>
      </c>
      <c r="AI46" s="33">
        <f t="shared" si="21"/>
        <v>0</v>
      </c>
      <c r="AJ46" s="33">
        <f t="shared" si="21"/>
        <v>0</v>
      </c>
      <c r="AK46" s="33">
        <f>AK48+AK49</f>
        <v>0</v>
      </c>
      <c r="AM46" s="57">
        <f t="shared" si="20"/>
        <v>0</v>
      </c>
      <c r="AN46" s="148"/>
      <c r="BM46" s="149"/>
      <c r="CT46" s="146"/>
    </row>
    <row r="47" spans="1:15063" s="1" customFormat="1" x14ac:dyDescent="0.25">
      <c r="C47" s="15"/>
      <c r="D47" s="67" t="s">
        <v>69</v>
      </c>
      <c r="E47" s="261"/>
      <c r="F47" s="68" t="s">
        <v>14</v>
      </c>
      <c r="G47" s="276">
        <v>0</v>
      </c>
      <c r="H47" s="276">
        <v>0</v>
      </c>
      <c r="I47" s="276">
        <v>0</v>
      </c>
      <c r="J47" s="276">
        <v>0</v>
      </c>
      <c r="K47" s="276">
        <v>0</v>
      </c>
      <c r="L47" s="276">
        <v>0</v>
      </c>
      <c r="M47" s="276">
        <v>0</v>
      </c>
      <c r="N47" s="276">
        <v>0</v>
      </c>
      <c r="O47" s="276">
        <v>0</v>
      </c>
      <c r="P47" s="276">
        <v>0</v>
      </c>
      <c r="Q47" s="276">
        <v>0</v>
      </c>
      <c r="R47" s="276">
        <v>0</v>
      </c>
      <c r="S47" s="276">
        <v>0</v>
      </c>
      <c r="T47" s="276">
        <v>0</v>
      </c>
      <c r="U47" s="276">
        <v>0</v>
      </c>
      <c r="V47" s="276">
        <v>0</v>
      </c>
      <c r="W47" s="276">
        <v>0</v>
      </c>
      <c r="X47" s="276">
        <v>0</v>
      </c>
      <c r="Y47" s="276">
        <v>0</v>
      </c>
      <c r="Z47" s="276">
        <v>0</v>
      </c>
      <c r="AA47" s="276">
        <v>0</v>
      </c>
      <c r="AB47" s="276">
        <v>0</v>
      </c>
      <c r="AC47" s="276">
        <v>0</v>
      </c>
      <c r="AD47" s="276">
        <v>0</v>
      </c>
      <c r="AE47" s="276">
        <v>0</v>
      </c>
      <c r="AF47" s="276">
        <v>0</v>
      </c>
      <c r="AG47" s="276">
        <v>0</v>
      </c>
      <c r="AH47" s="276">
        <v>0</v>
      </c>
      <c r="AI47" s="276">
        <v>0</v>
      </c>
      <c r="AJ47" s="276">
        <v>0</v>
      </c>
      <c r="AK47" s="276">
        <v>0</v>
      </c>
      <c r="AM47" s="60">
        <f t="shared" si="20"/>
        <v>0</v>
      </c>
      <c r="AN47" s="146"/>
      <c r="CT47" s="146"/>
    </row>
    <row r="48" spans="1:15063" s="1" customFormat="1" x14ac:dyDescent="0.25">
      <c r="C48" s="15"/>
      <c r="D48" s="67" t="s">
        <v>68</v>
      </c>
      <c r="E48" s="261"/>
      <c r="F48" s="68" t="s">
        <v>14</v>
      </c>
      <c r="G48" s="276">
        <v>0</v>
      </c>
      <c r="H48" s="276">
        <v>0</v>
      </c>
      <c r="I48" s="276">
        <v>0</v>
      </c>
      <c r="J48" s="276">
        <v>0</v>
      </c>
      <c r="K48" s="276">
        <v>0</v>
      </c>
      <c r="L48" s="276">
        <v>0</v>
      </c>
      <c r="M48" s="276">
        <v>0</v>
      </c>
      <c r="N48" s="276">
        <v>0</v>
      </c>
      <c r="O48" s="276">
        <v>0</v>
      </c>
      <c r="P48" s="276">
        <v>0</v>
      </c>
      <c r="Q48" s="276">
        <v>0</v>
      </c>
      <c r="R48" s="276">
        <v>0</v>
      </c>
      <c r="S48" s="276">
        <v>0</v>
      </c>
      <c r="T48" s="276">
        <v>0</v>
      </c>
      <c r="U48" s="276">
        <v>0</v>
      </c>
      <c r="V48" s="276">
        <v>0</v>
      </c>
      <c r="W48" s="276">
        <v>0</v>
      </c>
      <c r="X48" s="276">
        <v>0</v>
      </c>
      <c r="Y48" s="276">
        <v>0</v>
      </c>
      <c r="Z48" s="276">
        <v>0</v>
      </c>
      <c r="AA48" s="276">
        <v>0</v>
      </c>
      <c r="AB48" s="276">
        <v>0</v>
      </c>
      <c r="AC48" s="276">
        <v>0</v>
      </c>
      <c r="AD48" s="276">
        <v>0</v>
      </c>
      <c r="AE48" s="276">
        <v>0</v>
      </c>
      <c r="AF48" s="276">
        <v>0</v>
      </c>
      <c r="AG48" s="276">
        <v>0</v>
      </c>
      <c r="AH48" s="276">
        <v>0</v>
      </c>
      <c r="AI48" s="276">
        <v>0</v>
      </c>
      <c r="AJ48" s="276">
        <v>0</v>
      </c>
      <c r="AK48" s="276">
        <v>0</v>
      </c>
      <c r="AM48" s="60">
        <f t="shared" si="20"/>
        <v>0</v>
      </c>
      <c r="AN48" s="150"/>
      <c r="BM48" s="146"/>
      <c r="CT48" s="146"/>
    </row>
    <row r="49" spans="3:98" s="1" customFormat="1" x14ac:dyDescent="0.25">
      <c r="C49" s="15"/>
      <c r="D49" s="67" t="s">
        <v>67</v>
      </c>
      <c r="E49" s="261"/>
      <c r="F49" s="68" t="s">
        <v>14</v>
      </c>
      <c r="G49" s="276">
        <v>0</v>
      </c>
      <c r="H49" s="276">
        <v>0</v>
      </c>
      <c r="I49" s="276">
        <v>0</v>
      </c>
      <c r="J49" s="276">
        <v>0</v>
      </c>
      <c r="K49" s="276">
        <v>0</v>
      </c>
      <c r="L49" s="276">
        <v>0</v>
      </c>
      <c r="M49" s="276">
        <v>0</v>
      </c>
      <c r="N49" s="276">
        <v>0</v>
      </c>
      <c r="O49" s="276">
        <v>0</v>
      </c>
      <c r="P49" s="276">
        <v>0</v>
      </c>
      <c r="Q49" s="276">
        <v>0</v>
      </c>
      <c r="R49" s="276">
        <v>0</v>
      </c>
      <c r="S49" s="276">
        <v>0</v>
      </c>
      <c r="T49" s="276">
        <v>0</v>
      </c>
      <c r="U49" s="276">
        <v>0</v>
      </c>
      <c r="V49" s="276">
        <v>0</v>
      </c>
      <c r="W49" s="276">
        <v>0</v>
      </c>
      <c r="X49" s="276">
        <v>0</v>
      </c>
      <c r="Y49" s="276">
        <v>0</v>
      </c>
      <c r="Z49" s="276">
        <v>0</v>
      </c>
      <c r="AA49" s="276">
        <v>0</v>
      </c>
      <c r="AB49" s="276">
        <v>0</v>
      </c>
      <c r="AC49" s="276">
        <v>0</v>
      </c>
      <c r="AD49" s="276">
        <v>0</v>
      </c>
      <c r="AE49" s="276">
        <v>0</v>
      </c>
      <c r="AF49" s="276">
        <v>0</v>
      </c>
      <c r="AG49" s="276">
        <v>0</v>
      </c>
      <c r="AH49" s="276">
        <v>0</v>
      </c>
      <c r="AI49" s="276">
        <v>0</v>
      </c>
      <c r="AJ49" s="276">
        <v>0</v>
      </c>
      <c r="AK49" s="276">
        <v>0</v>
      </c>
      <c r="AM49" s="60">
        <f t="shared" si="20"/>
        <v>0</v>
      </c>
      <c r="CT49" s="146"/>
    </row>
    <row r="50" spans="3:98" s="1" customFormat="1" x14ac:dyDescent="0.25">
      <c r="C50" s="15"/>
      <c r="D50" s="77" t="s">
        <v>113</v>
      </c>
      <c r="E50" s="261"/>
      <c r="F50" s="13" t="s">
        <v>25</v>
      </c>
      <c r="G50" s="280">
        <v>0</v>
      </c>
      <c r="H50" s="280">
        <v>0</v>
      </c>
      <c r="I50" s="280">
        <v>0</v>
      </c>
      <c r="J50" s="280">
        <v>0</v>
      </c>
      <c r="K50" s="280">
        <v>0</v>
      </c>
      <c r="L50" s="280">
        <v>0</v>
      </c>
      <c r="M50" s="280">
        <v>0</v>
      </c>
      <c r="N50" s="280">
        <v>0</v>
      </c>
      <c r="O50" s="280">
        <v>0</v>
      </c>
      <c r="P50" s="280">
        <v>0</v>
      </c>
      <c r="Q50" s="280">
        <v>0</v>
      </c>
      <c r="R50" s="280">
        <v>0</v>
      </c>
      <c r="S50" s="280">
        <v>0</v>
      </c>
      <c r="T50" s="280">
        <v>0</v>
      </c>
      <c r="U50" s="280">
        <v>0</v>
      </c>
      <c r="V50" s="280">
        <v>0</v>
      </c>
      <c r="W50" s="280">
        <v>0</v>
      </c>
      <c r="X50" s="280">
        <v>0</v>
      </c>
      <c r="Y50" s="280">
        <v>0</v>
      </c>
      <c r="Z50" s="280">
        <v>0</v>
      </c>
      <c r="AA50" s="280">
        <v>0</v>
      </c>
      <c r="AB50" s="280">
        <v>0</v>
      </c>
      <c r="AC50" s="280">
        <v>0</v>
      </c>
      <c r="AD50" s="280">
        <v>0</v>
      </c>
      <c r="AE50" s="280">
        <v>0</v>
      </c>
      <c r="AF50" s="280">
        <v>0</v>
      </c>
      <c r="AG50" s="280">
        <v>0</v>
      </c>
      <c r="AH50" s="280">
        <v>0</v>
      </c>
      <c r="AI50" s="280">
        <v>0</v>
      </c>
      <c r="AJ50" s="280">
        <v>0</v>
      </c>
      <c r="AK50" s="280"/>
      <c r="AL50" s="65"/>
      <c r="AM50" s="60">
        <f t="shared" si="20"/>
        <v>0</v>
      </c>
      <c r="CT50" s="146"/>
    </row>
    <row r="51" spans="3:98" x14ac:dyDescent="0.25">
      <c r="C51" s="8"/>
      <c r="D51" s="78" t="s">
        <v>66</v>
      </c>
      <c r="E51" s="79"/>
      <c r="F51" s="80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M51" s="81" t="s">
        <v>128</v>
      </c>
    </row>
    <row r="52" spans="3:98" x14ac:dyDescent="0.25">
      <c r="C52" s="15"/>
      <c r="D52" s="77" t="s">
        <v>65</v>
      </c>
      <c r="E52" s="130">
        <v>94.2</v>
      </c>
      <c r="F52" s="72" t="s">
        <v>25</v>
      </c>
      <c r="G52" s="281">
        <f>(G18/(G9))*100</f>
        <v>88.585579713709478</v>
      </c>
      <c r="H52" s="281">
        <f t="shared" ref="H52:AJ52" si="25">(H18/(H9))*100</f>
        <v>94.045144288216335</v>
      </c>
      <c r="I52" s="281">
        <f t="shared" si="25"/>
        <v>96.786379549157346</v>
      </c>
      <c r="J52" s="281">
        <f t="shared" si="25"/>
        <v>94.918436854479921</v>
      </c>
      <c r="K52" s="281">
        <f t="shared" si="25"/>
        <v>95.770417568984158</v>
      </c>
      <c r="L52" s="281">
        <f t="shared" si="25"/>
        <v>93.492589226676969</v>
      </c>
      <c r="M52" s="281">
        <f>(M18/(M9))*100</f>
        <v>95.324948034113788</v>
      </c>
      <c r="N52" s="281">
        <f>(N18/(N9))*100</f>
        <v>94.381362467201114</v>
      </c>
      <c r="O52" s="281">
        <f t="shared" si="25"/>
        <v>92.40361342254559</v>
      </c>
      <c r="P52" s="281">
        <f t="shared" si="25"/>
        <v>96.936911021764573</v>
      </c>
      <c r="Q52" s="281">
        <f t="shared" si="25"/>
        <v>97.221858013568536</v>
      </c>
      <c r="R52" s="281">
        <f t="shared" si="25"/>
        <v>93.757881552642715</v>
      </c>
      <c r="S52" s="281">
        <f>(S18/(S9))*100</f>
        <v>94.419467016784353</v>
      </c>
      <c r="T52" s="281">
        <f t="shared" si="25"/>
        <v>94.204446234367296</v>
      </c>
      <c r="U52" s="281">
        <f t="shared" si="25"/>
        <v>95.642606992006421</v>
      </c>
      <c r="V52" s="281" t="e">
        <f t="shared" si="25"/>
        <v>#DIV/0!</v>
      </c>
      <c r="W52" s="281">
        <f t="shared" si="25"/>
        <v>96.718372926751016</v>
      </c>
      <c r="X52" s="281">
        <f t="shared" si="25"/>
        <v>95.354638257021108</v>
      </c>
      <c r="Y52" s="281">
        <f t="shared" si="25"/>
        <v>94.857492997959682</v>
      </c>
      <c r="Z52" s="281">
        <f t="shared" si="25"/>
        <v>95.549978321936806</v>
      </c>
      <c r="AA52" s="281">
        <f t="shared" si="25"/>
        <v>93.514997960044298</v>
      </c>
      <c r="AB52" s="281">
        <f t="shared" si="25"/>
        <v>71.438645980253881</v>
      </c>
      <c r="AC52" s="281" t="e">
        <f t="shared" si="25"/>
        <v>#DIV/0!</v>
      </c>
      <c r="AD52" s="281" t="e">
        <f t="shared" si="25"/>
        <v>#DIV/0!</v>
      </c>
      <c r="AE52" s="281">
        <f t="shared" si="25"/>
        <v>92.995869694193701</v>
      </c>
      <c r="AF52" s="281">
        <f t="shared" si="25"/>
        <v>94.951239302311393</v>
      </c>
      <c r="AG52" s="281">
        <f t="shared" si="25"/>
        <v>95.528857845102195</v>
      </c>
      <c r="AH52" s="281">
        <f t="shared" si="25"/>
        <v>94.529703071114326</v>
      </c>
      <c r="AI52" s="281">
        <f t="shared" si="25"/>
        <v>92.331945690938639</v>
      </c>
      <c r="AJ52" s="281">
        <f t="shared" si="25"/>
        <v>95.881202864101894</v>
      </c>
      <c r="AK52" s="281" t="e">
        <f>(AK18/(AK9))*100</f>
        <v>#DIV/0!</v>
      </c>
      <c r="AL52" s="65"/>
      <c r="AM52" s="309">
        <f>(AM18/(AM9))*100</f>
        <v>94.748466395439806</v>
      </c>
    </row>
    <row r="53" spans="3:98" x14ac:dyDescent="0.25">
      <c r="C53" s="15"/>
      <c r="D53" s="77" t="s">
        <v>64</v>
      </c>
      <c r="E53" s="130">
        <v>5</v>
      </c>
      <c r="F53" s="72" t="s">
        <v>25</v>
      </c>
      <c r="G53" s="281">
        <f>(G19/(G9))*100</f>
        <v>5.5016847852821096</v>
      </c>
      <c r="H53" s="281">
        <f t="shared" ref="H53:AJ53" si="26">(H19/(H9))*100</f>
        <v>3.9051118786112977</v>
      </c>
      <c r="I53" s="281">
        <f t="shared" si="26"/>
        <v>4.1860296445939031</v>
      </c>
      <c r="J53" s="281">
        <f t="shared" si="26"/>
        <v>3.9978906334218065</v>
      </c>
      <c r="K53" s="281">
        <f t="shared" si="26"/>
        <v>4.0700406494714256</v>
      </c>
      <c r="L53" s="281">
        <f t="shared" si="26"/>
        <v>3.7930961604072375</v>
      </c>
      <c r="M53" s="281">
        <f>(M19/(M9))*100</f>
        <v>4.2431595258817056</v>
      </c>
      <c r="N53" s="281">
        <f>(N19/(N9))*100</f>
        <v>4.3374753523131302</v>
      </c>
      <c r="O53" s="281">
        <f t="shared" si="26"/>
        <v>3.8398135106825237</v>
      </c>
      <c r="P53" s="281">
        <f t="shared" si="26"/>
        <v>3.9999659351879102</v>
      </c>
      <c r="Q53" s="281">
        <f t="shared" si="26"/>
        <v>4.2268703571201129</v>
      </c>
      <c r="R53" s="281">
        <f t="shared" si="26"/>
        <v>5.2991107115020437</v>
      </c>
      <c r="S53" s="281">
        <f>(S19/(S9))*100</f>
        <v>2.8776480607501509</v>
      </c>
      <c r="T53" s="281">
        <f t="shared" si="26"/>
        <v>4.3445608811261991</v>
      </c>
      <c r="U53" s="281">
        <f t="shared" si="26"/>
        <v>4.524721030745658</v>
      </c>
      <c r="V53" s="281" t="e">
        <f t="shared" si="26"/>
        <v>#DIV/0!</v>
      </c>
      <c r="W53" s="281">
        <f t="shared" si="26"/>
        <v>2.5695035362060068</v>
      </c>
      <c r="X53" s="281">
        <f t="shared" si="26"/>
        <v>3.9045645238709992</v>
      </c>
      <c r="Y53" s="281">
        <f t="shared" si="26"/>
        <v>4.2163617782393903</v>
      </c>
      <c r="Z53" s="281">
        <f t="shared" si="26"/>
        <v>4.2928956672635676</v>
      </c>
      <c r="AA53" s="281">
        <f t="shared" si="26"/>
        <v>4.3756764138835846</v>
      </c>
      <c r="AB53" s="281">
        <f t="shared" si="26"/>
        <v>2.6044453090802975</v>
      </c>
      <c r="AC53" s="281" t="e">
        <f t="shared" si="26"/>
        <v>#DIV/0!</v>
      </c>
      <c r="AD53" s="281" t="e">
        <f t="shared" si="26"/>
        <v>#DIV/0!</v>
      </c>
      <c r="AE53" s="281">
        <f t="shared" si="26"/>
        <v>6.4351619275366607</v>
      </c>
      <c r="AF53" s="281">
        <f t="shared" si="26"/>
        <v>4.3591675594884212</v>
      </c>
      <c r="AG53" s="281">
        <f t="shared" si="26"/>
        <v>2.9753237877327856</v>
      </c>
      <c r="AH53" s="281">
        <f t="shared" si="26"/>
        <v>4.0378744195220948</v>
      </c>
      <c r="AI53" s="281">
        <f t="shared" si="26"/>
        <v>3.6904441066190805</v>
      </c>
      <c r="AJ53" s="281">
        <f t="shared" si="26"/>
        <v>4.6521480764151777</v>
      </c>
      <c r="AK53" s="281" t="e">
        <f>(AK19/(AK9))*100</f>
        <v>#DIV/0!</v>
      </c>
      <c r="AL53" s="65"/>
      <c r="AM53" s="309">
        <f>(AM19/(AM9))*100</f>
        <v>4.1524825659176523</v>
      </c>
      <c r="BI53" s="3"/>
    </row>
    <row r="54" spans="3:98" x14ac:dyDescent="0.25">
      <c r="C54" s="15"/>
      <c r="D54" s="77" t="s">
        <v>63</v>
      </c>
      <c r="E54" s="130">
        <v>82</v>
      </c>
      <c r="F54" s="72" t="s">
        <v>25</v>
      </c>
      <c r="G54" s="281" t="e">
        <f>G29/(G29+G30)*100</f>
        <v>#DIV/0!</v>
      </c>
      <c r="H54" s="281" t="e">
        <f t="shared" ref="H54:AJ54" si="27">H29/(H29+H30)*100</f>
        <v>#DIV/0!</v>
      </c>
      <c r="I54" s="281" t="e">
        <f t="shared" si="27"/>
        <v>#DIV/0!</v>
      </c>
      <c r="J54" s="281" t="e">
        <f t="shared" si="27"/>
        <v>#DIV/0!</v>
      </c>
      <c r="K54" s="281">
        <f t="shared" si="27"/>
        <v>85.416068351522114</v>
      </c>
      <c r="L54" s="281" t="e">
        <f t="shared" si="27"/>
        <v>#DIV/0!</v>
      </c>
      <c r="M54" s="281" t="e">
        <f t="shared" ref="M54:N54" si="28">M29/(M29+M30)*100</f>
        <v>#DIV/0!</v>
      </c>
      <c r="N54" s="281" t="e">
        <f t="shared" si="28"/>
        <v>#DIV/0!</v>
      </c>
      <c r="O54" s="281">
        <f t="shared" si="27"/>
        <v>83.927491917749407</v>
      </c>
      <c r="P54" s="281">
        <f t="shared" ref="P54" si="29">P29/(P29+P30)*100</f>
        <v>81.674088546622514</v>
      </c>
      <c r="Q54" s="281">
        <f t="shared" si="27"/>
        <v>83.815776479943722</v>
      </c>
      <c r="R54" s="281">
        <f t="shared" si="27"/>
        <v>81.936943245267386</v>
      </c>
      <c r="S54" s="281">
        <f t="shared" ref="S54" si="30">S29/(S29+S30)*100</f>
        <v>82.154590993114979</v>
      </c>
      <c r="T54" s="281">
        <f t="shared" si="27"/>
        <v>82.942540354647278</v>
      </c>
      <c r="U54" s="281">
        <f t="shared" si="27"/>
        <v>84.79096506446237</v>
      </c>
      <c r="V54" s="281">
        <f t="shared" si="27"/>
        <v>82.226232971484933</v>
      </c>
      <c r="W54" s="281" t="e">
        <f t="shared" si="27"/>
        <v>#DIV/0!</v>
      </c>
      <c r="X54" s="281">
        <f t="shared" si="27"/>
        <v>84.049135563276323</v>
      </c>
      <c r="Y54" s="281">
        <f t="shared" si="27"/>
        <v>81.511862995778088</v>
      </c>
      <c r="Z54" s="281">
        <f t="shared" si="27"/>
        <v>84.079483047159727</v>
      </c>
      <c r="AA54" s="281">
        <f t="shared" si="27"/>
        <v>82.419265096580546</v>
      </c>
      <c r="AB54" s="281">
        <f t="shared" si="27"/>
        <v>79.532487636668691</v>
      </c>
      <c r="AC54" s="281" t="e">
        <f t="shared" si="27"/>
        <v>#DIV/0!</v>
      </c>
      <c r="AD54" s="281" t="e">
        <f t="shared" si="27"/>
        <v>#DIV/0!</v>
      </c>
      <c r="AE54" s="281">
        <f t="shared" si="27"/>
        <v>88.790500285644342</v>
      </c>
      <c r="AF54" s="281">
        <f t="shared" si="27"/>
        <v>82.401675744869337</v>
      </c>
      <c r="AG54" s="281">
        <f t="shared" si="27"/>
        <v>85.156874431608443</v>
      </c>
      <c r="AH54" s="281">
        <f t="shared" si="27"/>
        <v>83.679452795837534</v>
      </c>
      <c r="AI54" s="281">
        <f t="shared" si="27"/>
        <v>83.830121988016728</v>
      </c>
      <c r="AJ54" s="281" t="e">
        <f t="shared" si="27"/>
        <v>#DIV/0!</v>
      </c>
      <c r="AK54" s="281" t="e">
        <f>AK29/(AK29+AK30)*100</f>
        <v>#DIV/0!</v>
      </c>
      <c r="AL54" s="65"/>
      <c r="AM54" s="309">
        <f>AM29/(AM29+AM30)*100</f>
        <v>83.238810506354824</v>
      </c>
    </row>
    <row r="55" spans="3:98" x14ac:dyDescent="0.25">
      <c r="C55" s="15"/>
      <c r="D55" s="77" t="s">
        <v>62</v>
      </c>
      <c r="E55" s="130">
        <v>18</v>
      </c>
      <c r="F55" s="72" t="s">
        <v>25</v>
      </c>
      <c r="G55" s="281" t="e">
        <f>(G32/G30)*100</f>
        <v>#DIV/0!</v>
      </c>
      <c r="H55" s="281" t="e">
        <f>(H32/H30)*100</f>
        <v>#DIV/0!</v>
      </c>
      <c r="I55" s="281" t="e">
        <f>(I32/I30)*100</f>
        <v>#DIV/0!</v>
      </c>
      <c r="J55" s="281" t="e">
        <f>(J32/J30)*100</f>
        <v>#DIV/0!</v>
      </c>
      <c r="K55" s="281">
        <f>(K30/K28)*100</f>
        <v>14.583931648477884</v>
      </c>
      <c r="L55" s="281"/>
      <c r="M55" s="281"/>
      <c r="N55" s="281"/>
      <c r="O55" s="281">
        <f>(O30/O28)*100</f>
        <v>16.072508082250589</v>
      </c>
      <c r="P55" s="281">
        <f>(P30/P28)*100</f>
        <v>18.325911453377483</v>
      </c>
      <c r="Q55" s="281">
        <f>(Q30/Q28)*100</f>
        <v>16.184223520056271</v>
      </c>
      <c r="R55" s="281">
        <f>(R30/R28)*100</f>
        <v>18.063056754732607</v>
      </c>
      <c r="S55" s="281">
        <f>(S30/S28)*100</f>
        <v>17.845409006885017</v>
      </c>
      <c r="T55" s="281">
        <f t="shared" ref="T55:W55" si="31">(T30/T28)*100</f>
        <v>17.057459645352722</v>
      </c>
      <c r="U55" s="281">
        <f t="shared" si="31"/>
        <v>15.209034935537641</v>
      </c>
      <c r="V55" s="281">
        <f t="shared" si="31"/>
        <v>17.773767028515064</v>
      </c>
      <c r="W55" s="281" t="e">
        <f t="shared" si="31"/>
        <v>#DIV/0!</v>
      </c>
      <c r="X55" s="281">
        <f>(X30/X28)*100</f>
        <v>15.950864436723677</v>
      </c>
      <c r="Y55" s="281">
        <f t="shared" ref="Y55:AJ55" si="32">(Y30/Y28)*100</f>
        <v>18.488137004221919</v>
      </c>
      <c r="Z55" s="281">
        <f t="shared" si="32"/>
        <v>15.920516952840266</v>
      </c>
      <c r="AA55" s="281">
        <f t="shared" si="32"/>
        <v>17.580734903419462</v>
      </c>
      <c r="AB55" s="281">
        <f t="shared" si="32"/>
        <v>20.467512363331309</v>
      </c>
      <c r="AC55" s="281" t="e">
        <f t="shared" si="32"/>
        <v>#DIV/0!</v>
      </c>
      <c r="AD55" s="281" t="e">
        <f t="shared" si="32"/>
        <v>#DIV/0!</v>
      </c>
      <c r="AE55" s="281">
        <f t="shared" si="32"/>
        <v>11.209499714355669</v>
      </c>
      <c r="AF55" s="281">
        <f t="shared" si="32"/>
        <v>17.598324255130652</v>
      </c>
      <c r="AG55" s="281">
        <f t="shared" si="32"/>
        <v>14.84312556839156</v>
      </c>
      <c r="AH55" s="281">
        <f t="shared" si="32"/>
        <v>16.32054720416247</v>
      </c>
      <c r="AI55" s="281">
        <f t="shared" si="32"/>
        <v>16.169878011983275</v>
      </c>
      <c r="AJ55" s="281" t="e">
        <f t="shared" si="32"/>
        <v>#DIV/0!</v>
      </c>
      <c r="AK55" s="281" t="e">
        <f>AK30/(AK29+AK30)*100</f>
        <v>#DIV/0!</v>
      </c>
      <c r="AL55" s="65"/>
      <c r="AM55" s="1542">
        <f>AM30/(AM29+AM30)*100</f>
        <v>16.761189493645173</v>
      </c>
    </row>
    <row r="56" spans="3:98" x14ac:dyDescent="0.25">
      <c r="C56" s="15"/>
      <c r="D56" s="77" t="s">
        <v>107</v>
      </c>
      <c r="E56" s="130">
        <v>75</v>
      </c>
      <c r="F56" s="82"/>
      <c r="G56" s="281" t="e">
        <f>(G33/G32)*100</f>
        <v>#DIV/0!</v>
      </c>
      <c r="H56" s="281" t="e">
        <f t="shared" ref="H56:AJ56" si="33">(H33/H32)*100</f>
        <v>#DIV/0!</v>
      </c>
      <c r="I56" s="281" t="e">
        <f t="shared" si="33"/>
        <v>#DIV/0!</v>
      </c>
      <c r="J56" s="281" t="e">
        <f t="shared" si="33"/>
        <v>#DIV/0!</v>
      </c>
      <c r="K56" s="281" t="e">
        <f t="shared" si="33"/>
        <v>#DIV/0!</v>
      </c>
      <c r="L56" s="281" t="e">
        <f t="shared" si="33"/>
        <v>#DIV/0!</v>
      </c>
      <c r="M56" s="281" t="e">
        <f t="shared" ref="M56:N56" si="34">(M33/M32)*100</f>
        <v>#DIV/0!</v>
      </c>
      <c r="N56" s="281" t="e">
        <f t="shared" si="34"/>
        <v>#DIV/0!</v>
      </c>
      <c r="O56" s="281" t="e">
        <f t="shared" si="33"/>
        <v>#DIV/0!</v>
      </c>
      <c r="P56" s="281" t="e">
        <f t="shared" si="33"/>
        <v>#DIV/0!</v>
      </c>
      <c r="Q56" s="281" t="e">
        <f t="shared" si="33"/>
        <v>#DIV/0!</v>
      </c>
      <c r="R56" s="281" t="e">
        <f t="shared" si="33"/>
        <v>#DIV/0!</v>
      </c>
      <c r="S56" s="281" t="e">
        <f t="shared" ref="S56" si="35">(S33/S32)*100</f>
        <v>#DIV/0!</v>
      </c>
      <c r="T56" s="281" t="e">
        <f t="shared" si="33"/>
        <v>#DIV/0!</v>
      </c>
      <c r="U56" s="281" t="e">
        <f t="shared" si="33"/>
        <v>#DIV/0!</v>
      </c>
      <c r="V56" s="281" t="e">
        <f t="shared" si="33"/>
        <v>#DIV/0!</v>
      </c>
      <c r="W56" s="281" t="e">
        <f t="shared" si="33"/>
        <v>#DIV/0!</v>
      </c>
      <c r="X56" s="281" t="e">
        <f t="shared" si="33"/>
        <v>#DIV/0!</v>
      </c>
      <c r="Y56" s="281" t="e">
        <f t="shared" si="33"/>
        <v>#DIV/0!</v>
      </c>
      <c r="Z56" s="281" t="e">
        <f t="shared" si="33"/>
        <v>#DIV/0!</v>
      </c>
      <c r="AA56" s="281" t="e">
        <f t="shared" si="33"/>
        <v>#DIV/0!</v>
      </c>
      <c r="AB56" s="281" t="e">
        <f t="shared" si="33"/>
        <v>#DIV/0!</v>
      </c>
      <c r="AC56" s="281" t="e">
        <f t="shared" si="33"/>
        <v>#DIV/0!</v>
      </c>
      <c r="AD56" s="281" t="e">
        <f t="shared" si="33"/>
        <v>#DIV/0!</v>
      </c>
      <c r="AE56" s="281" t="e">
        <f t="shared" si="33"/>
        <v>#DIV/0!</v>
      </c>
      <c r="AF56" s="281" t="e">
        <f t="shared" si="33"/>
        <v>#DIV/0!</v>
      </c>
      <c r="AG56" s="281" t="e">
        <f t="shared" si="33"/>
        <v>#DIV/0!</v>
      </c>
      <c r="AH56" s="281" t="e">
        <f t="shared" si="33"/>
        <v>#DIV/0!</v>
      </c>
      <c r="AI56" s="281" t="e">
        <f t="shared" si="33"/>
        <v>#DIV/0!</v>
      </c>
      <c r="AJ56" s="281" t="e">
        <f t="shared" si="33"/>
        <v>#DIV/0!</v>
      </c>
      <c r="AK56" s="281" t="e">
        <f>(AK33/AK32)*100</f>
        <v>#DIV/0!</v>
      </c>
      <c r="AL56" s="65"/>
      <c r="AM56" s="309">
        <f>(AM38/AM37)*100</f>
        <v>75.213675213675216</v>
      </c>
    </row>
    <row r="57" spans="3:98" x14ac:dyDescent="0.25">
      <c r="C57" s="15"/>
      <c r="D57" s="77" t="s">
        <v>62</v>
      </c>
      <c r="E57" s="130">
        <v>25</v>
      </c>
      <c r="F57" s="82"/>
      <c r="G57" s="281" t="e">
        <f t="shared" ref="G57:AK57" si="36">(G34/G32)*100</f>
        <v>#DIV/0!</v>
      </c>
      <c r="H57" s="281" t="e">
        <f t="shared" si="36"/>
        <v>#DIV/0!</v>
      </c>
      <c r="I57" s="281" t="e">
        <f t="shared" si="36"/>
        <v>#DIV/0!</v>
      </c>
      <c r="J57" s="281" t="e">
        <f t="shared" si="36"/>
        <v>#DIV/0!</v>
      </c>
      <c r="K57" s="281" t="e">
        <f t="shared" si="36"/>
        <v>#DIV/0!</v>
      </c>
      <c r="L57" s="281" t="e">
        <f t="shared" si="36"/>
        <v>#DIV/0!</v>
      </c>
      <c r="M57" s="281" t="e">
        <f t="shared" ref="M57:N57" si="37">(M34/M32)*100</f>
        <v>#DIV/0!</v>
      </c>
      <c r="N57" s="281" t="e">
        <f t="shared" si="37"/>
        <v>#DIV/0!</v>
      </c>
      <c r="O57" s="281" t="e">
        <f t="shared" si="36"/>
        <v>#DIV/0!</v>
      </c>
      <c r="P57" s="281" t="e">
        <f t="shared" si="36"/>
        <v>#DIV/0!</v>
      </c>
      <c r="Q57" s="281" t="e">
        <f t="shared" si="36"/>
        <v>#DIV/0!</v>
      </c>
      <c r="R57" s="281" t="e">
        <f t="shared" si="36"/>
        <v>#DIV/0!</v>
      </c>
      <c r="S57" s="281" t="e">
        <f t="shared" ref="S57" si="38">(S34/S32)*100</f>
        <v>#DIV/0!</v>
      </c>
      <c r="T57" s="281" t="e">
        <f t="shared" si="36"/>
        <v>#DIV/0!</v>
      </c>
      <c r="U57" s="281" t="e">
        <f t="shared" si="36"/>
        <v>#DIV/0!</v>
      </c>
      <c r="V57" s="281" t="e">
        <f t="shared" si="36"/>
        <v>#DIV/0!</v>
      </c>
      <c r="W57" s="281" t="e">
        <f t="shared" si="36"/>
        <v>#DIV/0!</v>
      </c>
      <c r="X57" s="281" t="e">
        <f t="shared" si="36"/>
        <v>#DIV/0!</v>
      </c>
      <c r="Y57" s="281" t="e">
        <f t="shared" si="36"/>
        <v>#DIV/0!</v>
      </c>
      <c r="Z57" s="281" t="e">
        <f t="shared" si="36"/>
        <v>#DIV/0!</v>
      </c>
      <c r="AA57" s="281" t="e">
        <f t="shared" si="36"/>
        <v>#DIV/0!</v>
      </c>
      <c r="AB57" s="281" t="e">
        <f t="shared" si="36"/>
        <v>#DIV/0!</v>
      </c>
      <c r="AC57" s="281" t="e">
        <f t="shared" si="36"/>
        <v>#DIV/0!</v>
      </c>
      <c r="AD57" s="281" t="e">
        <f t="shared" si="36"/>
        <v>#DIV/0!</v>
      </c>
      <c r="AE57" s="281" t="e">
        <f t="shared" si="36"/>
        <v>#DIV/0!</v>
      </c>
      <c r="AF57" s="281" t="e">
        <f t="shared" si="36"/>
        <v>#DIV/0!</v>
      </c>
      <c r="AG57" s="281" t="e">
        <f t="shared" si="36"/>
        <v>#DIV/0!</v>
      </c>
      <c r="AH57" s="281" t="e">
        <f t="shared" si="36"/>
        <v>#DIV/0!</v>
      </c>
      <c r="AI57" s="281" t="e">
        <f t="shared" si="36"/>
        <v>#DIV/0!</v>
      </c>
      <c r="AJ57" s="281" t="e">
        <f t="shared" si="36"/>
        <v>#DIV/0!</v>
      </c>
      <c r="AK57" s="281" t="e">
        <f t="shared" si="36"/>
        <v>#DIV/0!</v>
      </c>
      <c r="AL57" s="65"/>
      <c r="AM57" s="309">
        <f>(AM39/AM37)*100</f>
        <v>24.786324786324787</v>
      </c>
    </row>
    <row r="58" spans="3:98" x14ac:dyDescent="0.25">
      <c r="C58" s="15"/>
      <c r="D58" s="77" t="s">
        <v>109</v>
      </c>
      <c r="E58" s="130">
        <v>75</v>
      </c>
      <c r="F58" s="72" t="s">
        <v>25</v>
      </c>
      <c r="G58" s="281" t="e">
        <f>G38/G37*100</f>
        <v>#DIV/0!</v>
      </c>
      <c r="H58" s="281" t="e">
        <f t="shared" ref="H58:AJ58" si="39">H38/H37*100</f>
        <v>#DIV/0!</v>
      </c>
      <c r="I58" s="281" t="e">
        <f t="shared" si="39"/>
        <v>#DIV/0!</v>
      </c>
      <c r="J58" s="281" t="e">
        <f t="shared" si="39"/>
        <v>#DIV/0!</v>
      </c>
      <c r="K58" s="281" t="e">
        <f t="shared" si="39"/>
        <v>#DIV/0!</v>
      </c>
      <c r="L58" s="281" t="e">
        <f t="shared" si="39"/>
        <v>#DIV/0!</v>
      </c>
      <c r="M58" s="281" t="e">
        <f t="shared" ref="M58:N58" si="40">M38/M37*100</f>
        <v>#DIV/0!</v>
      </c>
      <c r="N58" s="281" t="e">
        <f t="shared" si="40"/>
        <v>#DIV/0!</v>
      </c>
      <c r="O58" s="281" t="e">
        <f t="shared" si="39"/>
        <v>#DIV/0!</v>
      </c>
      <c r="P58" s="281" t="e">
        <f t="shared" si="39"/>
        <v>#DIV/0!</v>
      </c>
      <c r="Q58" s="281" t="e">
        <f t="shared" si="39"/>
        <v>#DIV/0!</v>
      </c>
      <c r="R58" s="281" t="e">
        <f t="shared" si="39"/>
        <v>#DIV/0!</v>
      </c>
      <c r="S58" s="281" t="e">
        <f t="shared" ref="S58" si="41">S38/S37*100</f>
        <v>#DIV/0!</v>
      </c>
      <c r="T58" s="281" t="e">
        <f t="shared" si="39"/>
        <v>#DIV/0!</v>
      </c>
      <c r="U58" s="281" t="e">
        <f t="shared" si="39"/>
        <v>#DIV/0!</v>
      </c>
      <c r="V58" s="281" t="e">
        <f t="shared" si="39"/>
        <v>#DIV/0!</v>
      </c>
      <c r="W58" s="281" t="e">
        <f t="shared" si="39"/>
        <v>#DIV/0!</v>
      </c>
      <c r="X58" s="281" t="e">
        <f t="shared" si="39"/>
        <v>#DIV/0!</v>
      </c>
      <c r="Y58" s="281">
        <f t="shared" si="39"/>
        <v>75.213675213675216</v>
      </c>
      <c r="Z58" s="281" t="e">
        <f t="shared" si="39"/>
        <v>#DIV/0!</v>
      </c>
      <c r="AA58" s="281" t="e">
        <f t="shared" si="39"/>
        <v>#DIV/0!</v>
      </c>
      <c r="AB58" s="281" t="e">
        <f t="shared" si="39"/>
        <v>#DIV/0!</v>
      </c>
      <c r="AC58" s="281" t="e">
        <f t="shared" si="39"/>
        <v>#DIV/0!</v>
      </c>
      <c r="AD58" s="281" t="e">
        <f t="shared" si="39"/>
        <v>#DIV/0!</v>
      </c>
      <c r="AE58" s="281" t="e">
        <f t="shared" si="39"/>
        <v>#DIV/0!</v>
      </c>
      <c r="AF58" s="281" t="e">
        <f t="shared" si="39"/>
        <v>#DIV/0!</v>
      </c>
      <c r="AG58" s="281" t="e">
        <f t="shared" si="39"/>
        <v>#DIV/0!</v>
      </c>
      <c r="AH58" s="281" t="e">
        <f t="shared" si="39"/>
        <v>#DIV/0!</v>
      </c>
      <c r="AI58" s="281" t="e">
        <f t="shared" si="39"/>
        <v>#DIV/0!</v>
      </c>
      <c r="AJ58" s="281" t="e">
        <f t="shared" si="39"/>
        <v>#DIV/0!</v>
      </c>
      <c r="AK58" s="281" t="e">
        <f>AK38/AK37*100</f>
        <v>#DIV/0!</v>
      </c>
      <c r="AL58" s="65"/>
      <c r="AM58" s="309">
        <f>AM38/AM37*100</f>
        <v>75.213675213675216</v>
      </c>
      <c r="BI58" s="3"/>
    </row>
    <row r="59" spans="3:98" x14ac:dyDescent="0.25">
      <c r="C59" s="15"/>
      <c r="D59" s="77" t="s">
        <v>62</v>
      </c>
      <c r="E59" s="130">
        <v>25</v>
      </c>
      <c r="F59" s="72" t="s">
        <v>25</v>
      </c>
      <c r="G59" s="281" t="e">
        <f>G39/G37*100</f>
        <v>#DIV/0!</v>
      </c>
      <c r="H59" s="281" t="e">
        <f t="shared" ref="H59:AJ59" si="42">H39/H37*100</f>
        <v>#DIV/0!</v>
      </c>
      <c r="I59" s="281" t="e">
        <f t="shared" si="42"/>
        <v>#DIV/0!</v>
      </c>
      <c r="J59" s="281" t="e">
        <f t="shared" si="42"/>
        <v>#DIV/0!</v>
      </c>
      <c r="K59" s="281" t="e">
        <f t="shared" si="42"/>
        <v>#DIV/0!</v>
      </c>
      <c r="L59" s="281" t="e">
        <f t="shared" si="42"/>
        <v>#DIV/0!</v>
      </c>
      <c r="M59" s="281" t="e">
        <f t="shared" ref="M59:N59" si="43">M39/M37*100</f>
        <v>#DIV/0!</v>
      </c>
      <c r="N59" s="281" t="e">
        <f t="shared" si="43"/>
        <v>#DIV/0!</v>
      </c>
      <c r="O59" s="281" t="e">
        <f t="shared" si="42"/>
        <v>#DIV/0!</v>
      </c>
      <c r="P59" s="281" t="e">
        <f t="shared" si="42"/>
        <v>#DIV/0!</v>
      </c>
      <c r="Q59" s="281" t="e">
        <f t="shared" si="42"/>
        <v>#DIV/0!</v>
      </c>
      <c r="R59" s="281" t="e">
        <f t="shared" si="42"/>
        <v>#DIV/0!</v>
      </c>
      <c r="S59" s="281" t="e">
        <f t="shared" ref="S59" si="44">S39/S37*100</f>
        <v>#DIV/0!</v>
      </c>
      <c r="T59" s="281" t="e">
        <f t="shared" si="42"/>
        <v>#DIV/0!</v>
      </c>
      <c r="U59" s="281" t="e">
        <f t="shared" si="42"/>
        <v>#DIV/0!</v>
      </c>
      <c r="V59" s="281" t="e">
        <f t="shared" si="42"/>
        <v>#DIV/0!</v>
      </c>
      <c r="W59" s="281" t="e">
        <f t="shared" si="42"/>
        <v>#DIV/0!</v>
      </c>
      <c r="X59" s="281" t="e">
        <f t="shared" si="42"/>
        <v>#DIV/0!</v>
      </c>
      <c r="Y59" s="281">
        <f t="shared" si="42"/>
        <v>24.786324786324787</v>
      </c>
      <c r="Z59" s="281" t="e">
        <f t="shared" si="42"/>
        <v>#DIV/0!</v>
      </c>
      <c r="AA59" s="281" t="e">
        <f t="shared" si="42"/>
        <v>#DIV/0!</v>
      </c>
      <c r="AB59" s="281" t="e">
        <f t="shared" si="42"/>
        <v>#DIV/0!</v>
      </c>
      <c r="AC59" s="281" t="e">
        <f t="shared" si="42"/>
        <v>#DIV/0!</v>
      </c>
      <c r="AD59" s="281" t="e">
        <f t="shared" si="42"/>
        <v>#DIV/0!</v>
      </c>
      <c r="AE59" s="281" t="e">
        <f t="shared" si="42"/>
        <v>#DIV/0!</v>
      </c>
      <c r="AF59" s="281" t="e">
        <f t="shared" si="42"/>
        <v>#DIV/0!</v>
      </c>
      <c r="AG59" s="281" t="e">
        <f t="shared" si="42"/>
        <v>#DIV/0!</v>
      </c>
      <c r="AH59" s="281" t="e">
        <f t="shared" si="42"/>
        <v>#DIV/0!</v>
      </c>
      <c r="AI59" s="281" t="e">
        <f t="shared" si="42"/>
        <v>#DIV/0!</v>
      </c>
      <c r="AJ59" s="281" t="e">
        <f t="shared" si="42"/>
        <v>#DIV/0!</v>
      </c>
      <c r="AK59" s="281" t="e">
        <f>AK39/AK37*100</f>
        <v>#DIV/0!</v>
      </c>
      <c r="AL59" s="18"/>
      <c r="AM59" s="309">
        <f>AM39/AM37*100</f>
        <v>24.786324786324787</v>
      </c>
    </row>
    <row r="60" spans="3:98" x14ac:dyDescent="0.25">
      <c r="C60" s="15"/>
      <c r="D60" s="77" t="s">
        <v>111</v>
      </c>
      <c r="E60" s="130">
        <v>70</v>
      </c>
      <c r="F60" s="72" t="s">
        <v>25</v>
      </c>
      <c r="G60" s="281">
        <f>G42/(G42+G43)*100</f>
        <v>72.568211450339419</v>
      </c>
      <c r="H60" s="281">
        <f t="shared" ref="H60:AJ60" si="45">H42/(H42+H43)*100</f>
        <v>67.694399368448757</v>
      </c>
      <c r="I60" s="281">
        <f t="shared" si="45"/>
        <v>75.507918486731967</v>
      </c>
      <c r="J60" s="281">
        <f t="shared" si="45"/>
        <v>70.658676144008254</v>
      </c>
      <c r="K60" s="281">
        <f t="shared" si="45"/>
        <v>70.243662780013423</v>
      </c>
      <c r="L60" s="281">
        <f t="shared" si="45"/>
        <v>72.244897243274821</v>
      </c>
      <c r="M60" s="281">
        <f t="shared" ref="M60:N60" si="46">M42/(M42+M43)*100</f>
        <v>72.754135172336049</v>
      </c>
      <c r="N60" s="281">
        <f t="shared" si="46"/>
        <v>74.236023562544702</v>
      </c>
      <c r="O60" s="281">
        <f t="shared" si="45"/>
        <v>76.005673611875721</v>
      </c>
      <c r="P60" s="281" t="e">
        <f t="shared" si="45"/>
        <v>#DIV/0!</v>
      </c>
      <c r="Q60" s="281" t="e">
        <f t="shared" si="45"/>
        <v>#DIV/0!</v>
      </c>
      <c r="R60" s="281" t="e">
        <f t="shared" si="45"/>
        <v>#DIV/0!</v>
      </c>
      <c r="S60" s="281" t="e">
        <f t="shared" ref="S60" si="47">S42/(S42+S43)*100</f>
        <v>#DIV/0!</v>
      </c>
      <c r="T60" s="281" t="e">
        <f t="shared" si="45"/>
        <v>#DIV/0!</v>
      </c>
      <c r="U60" s="281" t="e">
        <f t="shared" si="45"/>
        <v>#DIV/0!</v>
      </c>
      <c r="V60" s="281" t="e">
        <f t="shared" si="45"/>
        <v>#DIV/0!</v>
      </c>
      <c r="W60" s="281">
        <f t="shared" si="45"/>
        <v>0</v>
      </c>
      <c r="X60" s="281" t="e">
        <f t="shared" si="45"/>
        <v>#DIV/0!</v>
      </c>
      <c r="Y60" s="281" t="e">
        <f t="shared" si="45"/>
        <v>#DIV/0!</v>
      </c>
      <c r="Z60" s="281" t="e">
        <f t="shared" si="45"/>
        <v>#DIV/0!</v>
      </c>
      <c r="AA60" s="281" t="e">
        <f t="shared" si="45"/>
        <v>#DIV/0!</v>
      </c>
      <c r="AB60" s="281" t="e">
        <f t="shared" si="45"/>
        <v>#DIV/0!</v>
      </c>
      <c r="AC60" s="281" t="e">
        <f t="shared" si="45"/>
        <v>#DIV/0!</v>
      </c>
      <c r="AD60" s="281" t="e">
        <f t="shared" si="45"/>
        <v>#DIV/0!</v>
      </c>
      <c r="AE60" s="281" t="e">
        <f t="shared" si="45"/>
        <v>#DIV/0!</v>
      </c>
      <c r="AF60" s="281" t="e">
        <f t="shared" si="45"/>
        <v>#DIV/0!</v>
      </c>
      <c r="AG60" s="281" t="e">
        <f t="shared" si="45"/>
        <v>#DIV/0!</v>
      </c>
      <c r="AH60" s="281" t="e">
        <f t="shared" si="45"/>
        <v>#DIV/0!</v>
      </c>
      <c r="AI60" s="281">
        <f t="shared" si="45"/>
        <v>76.17615102299392</v>
      </c>
      <c r="AJ60" s="281">
        <f t="shared" si="45"/>
        <v>73.570254496780208</v>
      </c>
      <c r="AK60" s="281" t="e">
        <f>AK42/AK41*100</f>
        <v>#DIV/0!</v>
      </c>
      <c r="AL60" s="18"/>
      <c r="AM60" s="1542">
        <f>AM42/(AM42+AM43)*100</f>
        <v>72.7581276694021</v>
      </c>
    </row>
    <row r="61" spans="3:98" x14ac:dyDescent="0.25">
      <c r="C61" s="15"/>
      <c r="D61" s="77" t="s">
        <v>62</v>
      </c>
      <c r="E61" s="130">
        <v>30</v>
      </c>
      <c r="F61" s="72" t="s">
        <v>25</v>
      </c>
      <c r="G61" s="281">
        <f>G43/(G43+G42)*100</f>
        <v>27.431788549660585</v>
      </c>
      <c r="H61" s="281">
        <f t="shared" ref="H61:AJ61" si="48">H43/(H43+H42)*100</f>
        <v>32.305600631551243</v>
      </c>
      <c r="I61" s="281">
        <f t="shared" si="48"/>
        <v>24.492081513268037</v>
      </c>
      <c r="J61" s="281">
        <f t="shared" si="48"/>
        <v>29.341323855991742</v>
      </c>
      <c r="K61" s="281">
        <f t="shared" si="48"/>
        <v>29.756337219986573</v>
      </c>
      <c r="L61" s="281">
        <f t="shared" si="48"/>
        <v>27.755102756725186</v>
      </c>
      <c r="M61" s="281">
        <f t="shared" ref="M61:N61" si="49">M43/(M43+M42)*100</f>
        <v>27.245864827663961</v>
      </c>
      <c r="N61" s="281">
        <f t="shared" si="49"/>
        <v>25.763976437455305</v>
      </c>
      <c r="O61" s="281">
        <f t="shared" si="48"/>
        <v>23.994326388124275</v>
      </c>
      <c r="P61" s="281" t="e">
        <f t="shared" si="48"/>
        <v>#DIV/0!</v>
      </c>
      <c r="Q61" s="281" t="e">
        <f t="shared" si="48"/>
        <v>#DIV/0!</v>
      </c>
      <c r="R61" s="281" t="e">
        <f t="shared" si="48"/>
        <v>#DIV/0!</v>
      </c>
      <c r="S61" s="281" t="e">
        <f t="shared" ref="S61" si="50">S43/(S43+S42)*100</f>
        <v>#DIV/0!</v>
      </c>
      <c r="T61" s="281" t="e">
        <f t="shared" si="48"/>
        <v>#DIV/0!</v>
      </c>
      <c r="U61" s="281" t="e">
        <f t="shared" si="48"/>
        <v>#DIV/0!</v>
      </c>
      <c r="V61" s="281" t="e">
        <f t="shared" si="48"/>
        <v>#DIV/0!</v>
      </c>
      <c r="W61" s="281">
        <f t="shared" si="48"/>
        <v>100</v>
      </c>
      <c r="X61" s="281" t="e">
        <f t="shared" si="48"/>
        <v>#DIV/0!</v>
      </c>
      <c r="Y61" s="281" t="e">
        <f t="shared" si="48"/>
        <v>#DIV/0!</v>
      </c>
      <c r="Z61" s="281" t="e">
        <f t="shared" si="48"/>
        <v>#DIV/0!</v>
      </c>
      <c r="AA61" s="281" t="e">
        <f t="shared" si="48"/>
        <v>#DIV/0!</v>
      </c>
      <c r="AB61" s="281" t="e">
        <f t="shared" si="48"/>
        <v>#DIV/0!</v>
      </c>
      <c r="AC61" s="281" t="e">
        <f t="shared" si="48"/>
        <v>#DIV/0!</v>
      </c>
      <c r="AD61" s="281" t="e">
        <f t="shared" si="48"/>
        <v>#DIV/0!</v>
      </c>
      <c r="AE61" s="281" t="e">
        <f t="shared" si="48"/>
        <v>#DIV/0!</v>
      </c>
      <c r="AF61" s="281" t="e">
        <f t="shared" si="48"/>
        <v>#DIV/0!</v>
      </c>
      <c r="AG61" s="281" t="e">
        <f t="shared" si="48"/>
        <v>#DIV/0!</v>
      </c>
      <c r="AH61" s="281" t="e">
        <f t="shared" si="48"/>
        <v>#DIV/0!</v>
      </c>
      <c r="AI61" s="281">
        <f t="shared" si="48"/>
        <v>23.823848977006083</v>
      </c>
      <c r="AJ61" s="281">
        <f t="shared" si="48"/>
        <v>26.429745503219788</v>
      </c>
      <c r="AK61" s="281" t="e">
        <f>AK43/AK41*100</f>
        <v>#DIV/0!</v>
      </c>
      <c r="AL61" s="18"/>
      <c r="AM61" s="309">
        <f>AM43/AM41*100</f>
        <v>27.2418723305979</v>
      </c>
    </row>
    <row r="62" spans="3:98" x14ac:dyDescent="0.25">
      <c r="C62" s="15"/>
      <c r="D62" s="77" t="s">
        <v>61</v>
      </c>
      <c r="E62" s="130">
        <v>60</v>
      </c>
      <c r="F62" s="72" t="s">
        <v>25</v>
      </c>
      <c r="G62" s="281" t="e">
        <f>G47/G46*100</f>
        <v>#DIV/0!</v>
      </c>
      <c r="H62" s="281" t="e">
        <f t="shared" ref="H62:AJ62" si="51">H47/H46*100</f>
        <v>#DIV/0!</v>
      </c>
      <c r="I62" s="281" t="e">
        <f t="shared" si="51"/>
        <v>#DIV/0!</v>
      </c>
      <c r="J62" s="281" t="e">
        <f t="shared" si="51"/>
        <v>#DIV/0!</v>
      </c>
      <c r="K62" s="281" t="e">
        <f t="shared" si="51"/>
        <v>#DIV/0!</v>
      </c>
      <c r="L62" s="281" t="e">
        <f t="shared" si="51"/>
        <v>#DIV/0!</v>
      </c>
      <c r="M62" s="281" t="e">
        <f t="shared" ref="M62:N62" si="52">M47/M46*100</f>
        <v>#DIV/0!</v>
      </c>
      <c r="N62" s="281" t="e">
        <f t="shared" si="52"/>
        <v>#DIV/0!</v>
      </c>
      <c r="O62" s="281" t="e">
        <f t="shared" si="51"/>
        <v>#DIV/0!</v>
      </c>
      <c r="P62" s="281" t="e">
        <f t="shared" si="51"/>
        <v>#DIV/0!</v>
      </c>
      <c r="Q62" s="281" t="e">
        <f t="shared" si="51"/>
        <v>#DIV/0!</v>
      </c>
      <c r="R62" s="281" t="e">
        <f t="shared" si="51"/>
        <v>#DIV/0!</v>
      </c>
      <c r="S62" s="281" t="e">
        <f t="shared" ref="S62" si="53">S47/S46*100</f>
        <v>#DIV/0!</v>
      </c>
      <c r="T62" s="281" t="e">
        <f t="shared" si="51"/>
        <v>#DIV/0!</v>
      </c>
      <c r="U62" s="281" t="e">
        <f t="shared" si="51"/>
        <v>#DIV/0!</v>
      </c>
      <c r="V62" s="281" t="e">
        <f t="shared" si="51"/>
        <v>#DIV/0!</v>
      </c>
      <c r="W62" s="281" t="e">
        <f t="shared" si="51"/>
        <v>#DIV/0!</v>
      </c>
      <c r="X62" s="281" t="e">
        <f t="shared" si="51"/>
        <v>#DIV/0!</v>
      </c>
      <c r="Y62" s="281" t="e">
        <f t="shared" si="51"/>
        <v>#DIV/0!</v>
      </c>
      <c r="Z62" s="281" t="e">
        <f t="shared" si="51"/>
        <v>#DIV/0!</v>
      </c>
      <c r="AA62" s="281" t="e">
        <f t="shared" si="51"/>
        <v>#DIV/0!</v>
      </c>
      <c r="AB62" s="281" t="e">
        <f t="shared" si="51"/>
        <v>#DIV/0!</v>
      </c>
      <c r="AC62" s="281" t="e">
        <f t="shared" si="51"/>
        <v>#DIV/0!</v>
      </c>
      <c r="AD62" s="281" t="e">
        <f t="shared" si="51"/>
        <v>#DIV/0!</v>
      </c>
      <c r="AE62" s="281" t="e">
        <f t="shared" si="51"/>
        <v>#DIV/0!</v>
      </c>
      <c r="AF62" s="281" t="e">
        <f t="shared" si="51"/>
        <v>#DIV/0!</v>
      </c>
      <c r="AG62" s="281" t="e">
        <f t="shared" si="51"/>
        <v>#DIV/0!</v>
      </c>
      <c r="AH62" s="281" t="e">
        <f t="shared" si="51"/>
        <v>#DIV/0!</v>
      </c>
      <c r="AI62" s="281" t="e">
        <f t="shared" si="51"/>
        <v>#DIV/0!</v>
      </c>
      <c r="AJ62" s="281" t="e">
        <f t="shared" si="51"/>
        <v>#DIV/0!</v>
      </c>
      <c r="AK62" s="281" t="e">
        <f>AK47/AK46*100</f>
        <v>#DIV/0!</v>
      </c>
      <c r="AL62" s="65"/>
      <c r="AM62" s="309" t="e">
        <f>(AM48+AM47)/AM46*100</f>
        <v>#DIV/0!</v>
      </c>
    </row>
    <row r="63" spans="3:98" ht="15.75" thickBot="1" x14ac:dyDescent="0.3">
      <c r="C63" s="19"/>
      <c r="D63" s="77" t="s">
        <v>60</v>
      </c>
      <c r="E63" s="130">
        <v>40</v>
      </c>
      <c r="F63" s="72" t="s">
        <v>25</v>
      </c>
      <c r="G63" s="281" t="e">
        <f>G49/G46*100</f>
        <v>#DIV/0!</v>
      </c>
      <c r="H63" s="281" t="e">
        <f t="shared" ref="H63:AJ63" si="54">H49/H46*100</f>
        <v>#DIV/0!</v>
      </c>
      <c r="I63" s="281" t="e">
        <f t="shared" si="54"/>
        <v>#DIV/0!</v>
      </c>
      <c r="J63" s="281" t="e">
        <f t="shared" si="54"/>
        <v>#DIV/0!</v>
      </c>
      <c r="K63" s="281" t="e">
        <f t="shared" si="54"/>
        <v>#DIV/0!</v>
      </c>
      <c r="L63" s="281" t="e">
        <f t="shared" si="54"/>
        <v>#DIV/0!</v>
      </c>
      <c r="M63" s="281" t="e">
        <f t="shared" ref="M63:N63" si="55">M49/M46*100</f>
        <v>#DIV/0!</v>
      </c>
      <c r="N63" s="281" t="e">
        <f t="shared" si="55"/>
        <v>#DIV/0!</v>
      </c>
      <c r="O63" s="281" t="e">
        <f t="shared" si="54"/>
        <v>#DIV/0!</v>
      </c>
      <c r="P63" s="281" t="e">
        <f t="shared" si="54"/>
        <v>#DIV/0!</v>
      </c>
      <c r="Q63" s="281" t="e">
        <f t="shared" si="54"/>
        <v>#DIV/0!</v>
      </c>
      <c r="R63" s="281" t="e">
        <f t="shared" si="54"/>
        <v>#DIV/0!</v>
      </c>
      <c r="S63" s="281" t="e">
        <f t="shared" ref="S63" si="56">S49/S46*100</f>
        <v>#DIV/0!</v>
      </c>
      <c r="T63" s="281" t="e">
        <f t="shared" si="54"/>
        <v>#DIV/0!</v>
      </c>
      <c r="U63" s="281" t="e">
        <f t="shared" si="54"/>
        <v>#DIV/0!</v>
      </c>
      <c r="V63" s="281" t="e">
        <f t="shared" si="54"/>
        <v>#DIV/0!</v>
      </c>
      <c r="W63" s="281" t="e">
        <f t="shared" si="54"/>
        <v>#DIV/0!</v>
      </c>
      <c r="X63" s="281" t="e">
        <f t="shared" si="54"/>
        <v>#DIV/0!</v>
      </c>
      <c r="Y63" s="281" t="e">
        <f t="shared" si="54"/>
        <v>#DIV/0!</v>
      </c>
      <c r="Z63" s="281" t="e">
        <f t="shared" si="54"/>
        <v>#DIV/0!</v>
      </c>
      <c r="AA63" s="281" t="e">
        <f t="shared" si="54"/>
        <v>#DIV/0!</v>
      </c>
      <c r="AB63" s="281" t="e">
        <f t="shared" si="54"/>
        <v>#DIV/0!</v>
      </c>
      <c r="AC63" s="281" t="e">
        <f t="shared" si="54"/>
        <v>#DIV/0!</v>
      </c>
      <c r="AD63" s="281" t="e">
        <f t="shared" si="54"/>
        <v>#DIV/0!</v>
      </c>
      <c r="AE63" s="281" t="e">
        <f t="shared" si="54"/>
        <v>#DIV/0!</v>
      </c>
      <c r="AF63" s="281" t="e">
        <f t="shared" si="54"/>
        <v>#DIV/0!</v>
      </c>
      <c r="AG63" s="281" t="e">
        <f t="shared" si="54"/>
        <v>#DIV/0!</v>
      </c>
      <c r="AH63" s="281" t="e">
        <f t="shared" si="54"/>
        <v>#DIV/0!</v>
      </c>
      <c r="AI63" s="281" t="e">
        <f t="shared" si="54"/>
        <v>#DIV/0!</v>
      </c>
      <c r="AJ63" s="281" t="e">
        <f t="shared" si="54"/>
        <v>#DIV/0!</v>
      </c>
      <c r="AK63" s="281" t="e">
        <f>AK49/AK46*100</f>
        <v>#DIV/0!</v>
      </c>
      <c r="AL63" s="18"/>
      <c r="AM63" s="309" t="e">
        <f>AM49/AM46*100</f>
        <v>#DIV/0!</v>
      </c>
    </row>
    <row r="64" spans="3:98" x14ac:dyDescent="0.25">
      <c r="C64" s="8">
        <v>2</v>
      </c>
      <c r="D64" s="83" t="s">
        <v>59</v>
      </c>
      <c r="E64" s="79"/>
      <c r="F64" s="80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M64" s="84" t="s">
        <v>129</v>
      </c>
    </row>
    <row r="65" spans="3:98 15064:15077" x14ac:dyDescent="0.25">
      <c r="C65" s="8"/>
      <c r="D65" s="241" t="s">
        <v>58</v>
      </c>
      <c r="E65" s="258">
        <v>8</v>
      </c>
      <c r="F65" s="242" t="s">
        <v>56</v>
      </c>
      <c r="G65" s="282">
        <v>3762</v>
      </c>
      <c r="H65" s="282">
        <v>2459</v>
      </c>
      <c r="I65" s="282">
        <v>9966</v>
      </c>
      <c r="J65" s="282">
        <v>5601</v>
      </c>
      <c r="K65" s="282">
        <v>4735</v>
      </c>
      <c r="L65" s="282">
        <v>5264</v>
      </c>
      <c r="M65" s="282">
        <v>5082</v>
      </c>
      <c r="N65" s="282">
        <v>2855</v>
      </c>
      <c r="O65" s="282">
        <v>8216</v>
      </c>
      <c r="P65" s="282">
        <v>8077</v>
      </c>
      <c r="Q65" s="282">
        <v>8300</v>
      </c>
      <c r="R65" s="282">
        <v>5470</v>
      </c>
      <c r="S65" s="282">
        <v>4586</v>
      </c>
      <c r="T65" s="282">
        <v>4497</v>
      </c>
      <c r="U65" s="282">
        <v>12333</v>
      </c>
      <c r="V65" s="282">
        <v>0</v>
      </c>
      <c r="W65" s="282">
        <v>3391</v>
      </c>
      <c r="X65" s="282">
        <v>8060</v>
      </c>
      <c r="Y65" s="282">
        <v>9010</v>
      </c>
      <c r="Z65" s="282">
        <v>5931</v>
      </c>
      <c r="AA65" s="282">
        <v>5907</v>
      </c>
      <c r="AB65" s="282">
        <v>297</v>
      </c>
      <c r="AC65" s="282">
        <v>0</v>
      </c>
      <c r="AD65" s="282">
        <v>0</v>
      </c>
      <c r="AE65" s="282">
        <v>6213</v>
      </c>
      <c r="AF65" s="282">
        <v>13100</v>
      </c>
      <c r="AG65" s="282">
        <v>13498</v>
      </c>
      <c r="AH65" s="282">
        <v>14923</v>
      </c>
      <c r="AI65" s="282">
        <v>12218</v>
      </c>
      <c r="AJ65" s="282">
        <v>3762</v>
      </c>
      <c r="AK65" s="282"/>
      <c r="AM65" s="85">
        <f>SUM(G65:AK65)</f>
        <v>187513</v>
      </c>
      <c r="AN65" s="3"/>
      <c r="AR65" s="3"/>
    </row>
    <row r="66" spans="3:98 15064:15077" x14ac:dyDescent="0.25">
      <c r="C66" s="15"/>
      <c r="D66" s="21"/>
      <c r="E66" s="260"/>
      <c r="F66" s="20" t="s">
        <v>25</v>
      </c>
      <c r="G66" s="283">
        <f>G65/(G11)*100</f>
        <v>1.1565989473166414</v>
      </c>
      <c r="H66" s="283">
        <f t="shared" ref="H66:AJ66" si="57">H65/(H11)*100</f>
        <v>1.0062527621822466</v>
      </c>
      <c r="I66" s="283">
        <f t="shared" si="57"/>
        <v>0.88148353874158181</v>
      </c>
      <c r="J66" s="283">
        <f t="shared" si="57"/>
        <v>0.81592280417561347</v>
      </c>
      <c r="K66" s="283">
        <f t="shared" si="57"/>
        <v>0.7779921067073271</v>
      </c>
      <c r="L66" s="283">
        <f t="shared" si="57"/>
        <v>0.79466919479358833</v>
      </c>
      <c r="M66" s="283">
        <f>M65/(M11)*100</f>
        <v>0.82982131572888573</v>
      </c>
      <c r="N66" s="283">
        <f>N65/(N11)*100</f>
        <v>0.73878368517205506</v>
      </c>
      <c r="O66" s="283">
        <f t="shared" si="57"/>
        <v>0.78881601749681496</v>
      </c>
      <c r="P66" s="283">
        <f t="shared" si="57"/>
        <v>0.76428190902991933</v>
      </c>
      <c r="Q66" s="283">
        <f t="shared" si="57"/>
        <v>0.77732532657029085</v>
      </c>
      <c r="R66" s="283">
        <f t="shared" si="57"/>
        <v>0.77942766925478446</v>
      </c>
      <c r="S66" s="283">
        <f>S65/(S11)*100</f>
        <v>0.81366878393243669</v>
      </c>
      <c r="T66" s="283">
        <f t="shared" si="57"/>
        <v>0.74224945985960478</v>
      </c>
      <c r="U66" s="283">
        <f t="shared" si="57"/>
        <v>0.77668667843483752</v>
      </c>
      <c r="V66" s="283" t="e">
        <f t="shared" si="57"/>
        <v>#DIV/0!</v>
      </c>
      <c r="W66" s="283">
        <f t="shared" si="57"/>
        <v>0.78838097098032656</v>
      </c>
      <c r="X66" s="283">
        <f t="shared" si="57"/>
        <v>0.69834217380229124</v>
      </c>
      <c r="Y66" s="283">
        <f t="shared" si="57"/>
        <v>0.65258219022807062</v>
      </c>
      <c r="Z66" s="283">
        <f t="shared" si="57"/>
        <v>0.63180635257798512</v>
      </c>
      <c r="AA66" s="283">
        <f t="shared" si="57"/>
        <v>0.67507105559993552</v>
      </c>
      <c r="AB66" s="283">
        <f t="shared" si="57"/>
        <v>0.72224113613151109</v>
      </c>
      <c r="AC66" s="283" t="e">
        <f t="shared" si="57"/>
        <v>#DIV/0!</v>
      </c>
      <c r="AD66" s="283" t="e">
        <f t="shared" si="57"/>
        <v>#DIV/0!</v>
      </c>
      <c r="AE66" s="283">
        <f t="shared" si="57"/>
        <v>0.70615272356956627</v>
      </c>
      <c r="AF66" s="283">
        <f t="shared" si="57"/>
        <v>0.80708211475229041</v>
      </c>
      <c r="AG66" s="283">
        <f t="shared" si="57"/>
        <v>0.81855819022108589</v>
      </c>
      <c r="AH66" s="283">
        <f t="shared" si="57"/>
        <v>0.86830941210629187</v>
      </c>
      <c r="AI66" s="283">
        <f t="shared" si="57"/>
        <v>0.79922445530020958</v>
      </c>
      <c r="AJ66" s="283">
        <f t="shared" si="57"/>
        <v>0.6899815124570825</v>
      </c>
      <c r="AK66" s="283" t="e">
        <f>AK65/(AK11)*100</f>
        <v>#DIV/0!</v>
      </c>
      <c r="AM66" s="310">
        <f>AM65/(AM11)*100</f>
        <v>0.7798001271713848</v>
      </c>
      <c r="AN66" s="144">
        <f>AM66*10</f>
        <v>7.798001271713848</v>
      </c>
      <c r="AO66" s="144"/>
      <c r="AP66" s="144"/>
      <c r="BH66" s="144" t="e">
        <v>#DIV/0!</v>
      </c>
      <c r="BI66" s="144" t="e">
        <v>#DIV/0!</v>
      </c>
    </row>
    <row r="67" spans="3:98 15064:15077" s="1" customFormat="1" x14ac:dyDescent="0.25">
      <c r="C67" s="8"/>
      <c r="D67" s="243" t="s">
        <v>57</v>
      </c>
      <c r="E67" s="263">
        <v>18</v>
      </c>
      <c r="F67" s="244" t="s">
        <v>56</v>
      </c>
      <c r="G67" s="284">
        <v>0</v>
      </c>
      <c r="H67" s="284">
        <v>0</v>
      </c>
      <c r="I67" s="284">
        <v>0</v>
      </c>
      <c r="J67" s="284">
        <v>0</v>
      </c>
      <c r="K67" s="284">
        <v>0</v>
      </c>
      <c r="L67" s="284">
        <v>0</v>
      </c>
      <c r="M67" s="284">
        <v>0</v>
      </c>
      <c r="N67" s="284">
        <v>0</v>
      </c>
      <c r="O67" s="284">
        <v>0</v>
      </c>
      <c r="P67" s="284">
        <v>0</v>
      </c>
      <c r="Q67" s="284">
        <v>0</v>
      </c>
      <c r="R67" s="284">
        <v>0</v>
      </c>
      <c r="S67" s="284">
        <v>0</v>
      </c>
      <c r="T67" s="284">
        <v>0</v>
      </c>
      <c r="U67" s="284">
        <v>0</v>
      </c>
      <c r="V67" s="284">
        <v>0</v>
      </c>
      <c r="W67" s="284">
        <v>0</v>
      </c>
      <c r="X67" s="284">
        <v>0</v>
      </c>
      <c r="Y67" s="284">
        <v>0</v>
      </c>
      <c r="Z67" s="284">
        <v>0</v>
      </c>
      <c r="AA67" s="284">
        <v>0</v>
      </c>
      <c r="AB67" s="284">
        <v>0</v>
      </c>
      <c r="AC67" s="284">
        <v>0</v>
      </c>
      <c r="AD67" s="284"/>
      <c r="AE67" s="284"/>
      <c r="AF67" s="284"/>
      <c r="AG67" s="284"/>
      <c r="AH67" s="284"/>
      <c r="AI67" s="284"/>
      <c r="AJ67" s="284"/>
      <c r="AK67" s="284">
        <v>0</v>
      </c>
      <c r="AM67" s="85">
        <f>SUM(G67:AK67)</f>
        <v>0</v>
      </c>
      <c r="CT67" s="145"/>
      <c r="VGJ67" s="47"/>
      <c r="VGK67" s="47"/>
      <c r="VGL67" s="47"/>
      <c r="VGM67" s="47"/>
      <c r="VGN67" s="47"/>
      <c r="VGO67" s="47"/>
      <c r="VGP67" s="47"/>
      <c r="VGQ67" s="47"/>
      <c r="VGR67" s="47"/>
      <c r="VGS67" s="47"/>
      <c r="VGT67" s="47"/>
      <c r="VGU67" s="47"/>
      <c r="VGV67" s="47"/>
      <c r="VGW67" s="47"/>
    </row>
    <row r="68" spans="3:98 15064:15077" s="1" customFormat="1" x14ac:dyDescent="0.25">
      <c r="C68" s="15"/>
      <c r="D68" s="22"/>
      <c r="E68" s="264"/>
      <c r="F68" s="23" t="s">
        <v>25</v>
      </c>
      <c r="G68" s="285" t="e">
        <f t="shared" ref="G68:AJ68" si="58">G67/(G12)*100</f>
        <v>#DIV/0!</v>
      </c>
      <c r="H68" s="285" t="e">
        <f t="shared" si="58"/>
        <v>#DIV/0!</v>
      </c>
      <c r="I68" s="285" t="e">
        <f t="shared" si="58"/>
        <v>#DIV/0!</v>
      </c>
      <c r="J68" s="285" t="e">
        <f t="shared" si="58"/>
        <v>#DIV/0!</v>
      </c>
      <c r="K68" s="285" t="e">
        <f t="shared" si="58"/>
        <v>#DIV/0!</v>
      </c>
      <c r="L68" s="285" t="e">
        <f t="shared" si="58"/>
        <v>#DIV/0!</v>
      </c>
      <c r="M68" s="285" t="e">
        <f>M67/(#REF!)*100</f>
        <v>#REF!</v>
      </c>
      <c r="N68" s="285" t="e">
        <f>N67/(#REF!)*100</f>
        <v>#REF!</v>
      </c>
      <c r="O68" s="285" t="e">
        <f t="shared" si="58"/>
        <v>#DIV/0!</v>
      </c>
      <c r="P68" s="285" t="e">
        <f t="shared" si="58"/>
        <v>#DIV/0!</v>
      </c>
      <c r="Q68" s="285" t="e">
        <f t="shared" si="58"/>
        <v>#DIV/0!</v>
      </c>
      <c r="R68" s="285" t="e">
        <f t="shared" si="58"/>
        <v>#DIV/0!</v>
      </c>
      <c r="S68" s="285" t="e">
        <f>S67/(S12)*100</f>
        <v>#DIV/0!</v>
      </c>
      <c r="T68" s="285" t="e">
        <f t="shared" si="58"/>
        <v>#DIV/0!</v>
      </c>
      <c r="U68" s="285" t="e">
        <f t="shared" si="58"/>
        <v>#DIV/0!</v>
      </c>
      <c r="V68" s="285" t="e">
        <f t="shared" si="58"/>
        <v>#DIV/0!</v>
      </c>
      <c r="W68" s="285" t="e">
        <f t="shared" si="58"/>
        <v>#DIV/0!</v>
      </c>
      <c r="X68" s="285" t="e">
        <f t="shared" si="58"/>
        <v>#DIV/0!</v>
      </c>
      <c r="Y68" s="285" t="e">
        <f t="shared" si="58"/>
        <v>#DIV/0!</v>
      </c>
      <c r="Z68" s="285" t="e">
        <f t="shared" si="58"/>
        <v>#DIV/0!</v>
      </c>
      <c r="AA68" s="285" t="e">
        <f t="shared" si="58"/>
        <v>#DIV/0!</v>
      </c>
      <c r="AB68" s="285" t="e">
        <f t="shared" si="58"/>
        <v>#DIV/0!</v>
      </c>
      <c r="AC68" s="285" t="e">
        <f t="shared" si="58"/>
        <v>#DIV/0!</v>
      </c>
      <c r="AD68" s="285" t="e">
        <f t="shared" si="58"/>
        <v>#DIV/0!</v>
      </c>
      <c r="AE68" s="285" t="e">
        <f t="shared" si="58"/>
        <v>#DIV/0!</v>
      </c>
      <c r="AF68" s="285" t="e">
        <f t="shared" si="58"/>
        <v>#DIV/0!</v>
      </c>
      <c r="AG68" s="285" t="e">
        <f t="shared" si="58"/>
        <v>#DIV/0!</v>
      </c>
      <c r="AH68" s="285" t="e">
        <f t="shared" si="58"/>
        <v>#DIV/0!</v>
      </c>
      <c r="AI68" s="285" t="e">
        <f t="shared" si="58"/>
        <v>#DIV/0!</v>
      </c>
      <c r="AJ68" s="285" t="e">
        <f t="shared" si="58"/>
        <v>#DIV/0!</v>
      </c>
      <c r="AK68" s="285" t="e">
        <f>AK67/(AK12)*100</f>
        <v>#DIV/0!</v>
      </c>
      <c r="AM68" s="310" t="e">
        <f>AM67/(AM12)*100</f>
        <v>#DIV/0!</v>
      </c>
      <c r="CT68" s="145"/>
      <c r="VGJ68" s="47"/>
      <c r="VGK68" s="47"/>
      <c r="VGL68" s="47"/>
      <c r="VGM68" s="47"/>
      <c r="VGN68" s="47"/>
      <c r="VGO68" s="47"/>
      <c r="VGP68" s="47"/>
      <c r="VGQ68" s="47"/>
      <c r="VGR68" s="47"/>
      <c r="VGS68" s="47"/>
      <c r="VGT68" s="47"/>
      <c r="VGU68" s="47"/>
      <c r="VGV68" s="47"/>
      <c r="VGW68" s="47"/>
    </row>
    <row r="69" spans="3:98 15064:15077" x14ac:dyDescent="0.25">
      <c r="C69" s="15"/>
      <c r="D69" s="241" t="s">
        <v>55</v>
      </c>
      <c r="E69" s="258">
        <v>0.6</v>
      </c>
      <c r="F69" s="242" t="s">
        <v>14</v>
      </c>
      <c r="G69" s="251">
        <v>170.23599999999999</v>
      </c>
      <c r="H69" s="251">
        <v>121.26</v>
      </c>
      <c r="I69" s="251">
        <v>580.66800000000001</v>
      </c>
      <c r="J69" s="251">
        <v>343.97</v>
      </c>
      <c r="K69" s="251">
        <v>301.99400000000003</v>
      </c>
      <c r="L69" s="251">
        <v>331.14400000000001</v>
      </c>
      <c r="M69" s="251">
        <v>325.32</v>
      </c>
      <c r="N69" s="251">
        <v>194.72200000000001</v>
      </c>
      <c r="O69" s="251">
        <v>546.85400000000004</v>
      </c>
      <c r="P69" s="251">
        <v>571.34</v>
      </c>
      <c r="Q69" s="251">
        <v>567.84199999999998</v>
      </c>
      <c r="R69" s="251">
        <v>369.62200000000001</v>
      </c>
      <c r="S69" s="251">
        <v>290.334</v>
      </c>
      <c r="T69" s="251">
        <v>300.82799999999997</v>
      </c>
      <c r="U69" s="251">
        <v>845.35</v>
      </c>
      <c r="V69" s="251">
        <v>0</v>
      </c>
      <c r="W69" s="251">
        <v>229.702</v>
      </c>
      <c r="X69" s="251">
        <v>576.00400000000002</v>
      </c>
      <c r="Y69" s="251">
        <v>745.07399999999996</v>
      </c>
      <c r="Z69" s="251">
        <v>496.71600000000001</v>
      </c>
      <c r="AA69" s="251">
        <v>447.74400000000003</v>
      </c>
      <c r="AB69" s="251">
        <v>20.988</v>
      </c>
      <c r="AC69" s="251">
        <v>0</v>
      </c>
      <c r="AD69" s="251">
        <v>0</v>
      </c>
      <c r="AE69" s="251">
        <v>488.55399999999997</v>
      </c>
      <c r="AF69" s="251">
        <v>817.36599999999999</v>
      </c>
      <c r="AG69" s="251">
        <v>825.52800000000002</v>
      </c>
      <c r="AH69" s="251">
        <v>876.83199999999999</v>
      </c>
      <c r="AI69" s="251">
        <v>815.03599999999994</v>
      </c>
      <c r="AJ69" s="251">
        <v>298.49</v>
      </c>
      <c r="AK69" s="251"/>
      <c r="AL69" s="315"/>
      <c r="AM69" s="316">
        <f>SUM(G69:AK69)</f>
        <v>12499.518</v>
      </c>
      <c r="AN69" s="315"/>
      <c r="AO69" s="315"/>
      <c r="AP69" s="315"/>
      <c r="AQ69" s="315"/>
      <c r="AR69" s="315"/>
      <c r="AS69" s="315"/>
      <c r="AT69" s="315"/>
      <c r="AU69" s="315"/>
      <c r="AV69" s="315"/>
      <c r="AW69" s="315"/>
      <c r="AX69" s="315"/>
      <c r="AY69" s="315"/>
      <c r="AZ69" s="315"/>
      <c r="BA69" s="315"/>
      <c r="BB69" s="315"/>
      <c r="BC69" s="315"/>
      <c r="BD69" s="315"/>
    </row>
    <row r="70" spans="3:98 15064:15077" ht="15.75" thickBot="1" x14ac:dyDescent="0.3">
      <c r="C70" s="19"/>
      <c r="D70" s="24"/>
      <c r="E70" s="260"/>
      <c r="F70" s="25" t="s">
        <v>25</v>
      </c>
      <c r="G70" s="286">
        <f>G69/(G9)*100</f>
        <v>5.2337793300211516E-2</v>
      </c>
      <c r="H70" s="286">
        <f t="shared" ref="H70:AJ70" si="59">H69/(H9)*100</f>
        <v>4.9621069516965946E-2</v>
      </c>
      <c r="I70" s="286">
        <f t="shared" si="59"/>
        <v>5.1359550820188331E-2</v>
      </c>
      <c r="J70" s="286">
        <f t="shared" si="59"/>
        <v>5.0107653446221354E-2</v>
      </c>
      <c r="K70" s="286">
        <f t="shared" si="59"/>
        <v>4.9619630047090302E-2</v>
      </c>
      <c r="L70" s="286">
        <f t="shared" si="59"/>
        <v>4.9990489331445294E-2</v>
      </c>
      <c r="M70" s="286">
        <f>M69/(M9)*100</f>
        <v>5.3120320825053351E-2</v>
      </c>
      <c r="N70" s="286">
        <f>N69/(N9)*100</f>
        <v>5.0387893780761091E-2</v>
      </c>
      <c r="O70" s="286">
        <f t="shared" si="59"/>
        <v>5.2503309935759891E-2</v>
      </c>
      <c r="P70" s="286">
        <f t="shared" si="59"/>
        <v>5.4062749276359304E-2</v>
      </c>
      <c r="Q70" s="286">
        <f t="shared" si="59"/>
        <v>5.3180478083171938E-2</v>
      </c>
      <c r="R70" s="286">
        <f t="shared" si="59"/>
        <v>5.2667936739541496E-2</v>
      </c>
      <c r="S70" s="286">
        <f>S69/(S9)*100</f>
        <v>5.1512366488059333E-2</v>
      </c>
      <c r="T70" s="286">
        <f t="shared" si="59"/>
        <v>4.9652973206725633E-2</v>
      </c>
      <c r="U70" s="286">
        <f t="shared" si="59"/>
        <v>5.3237013185347432E-2</v>
      </c>
      <c r="V70" s="286" t="e">
        <f t="shared" si="59"/>
        <v>#DIV/0!</v>
      </c>
      <c r="W70" s="286">
        <f t="shared" si="59"/>
        <v>5.3403917958160713E-2</v>
      </c>
      <c r="X70" s="286">
        <f t="shared" si="59"/>
        <v>4.9906685543277284E-2</v>
      </c>
      <c r="Y70" s="286">
        <f t="shared" si="59"/>
        <v>5.3964708413095391E-2</v>
      </c>
      <c r="Z70" s="286">
        <f t="shared" si="59"/>
        <v>5.2913222766333909E-2</v>
      </c>
      <c r="AA70" s="286">
        <f t="shared" si="59"/>
        <v>5.1169631745139249E-2</v>
      </c>
      <c r="AB70" s="286">
        <f t="shared" si="59"/>
        <v>5.1038373619960116E-2</v>
      </c>
      <c r="AC70" s="286" t="e">
        <f t="shared" si="59"/>
        <v>#DIV/0!</v>
      </c>
      <c r="AD70" s="286" t="e">
        <f t="shared" si="59"/>
        <v>#DIV/0!</v>
      </c>
      <c r="AE70" s="286">
        <f t="shared" si="59"/>
        <v>5.5527722148850121E-2</v>
      </c>
      <c r="AF70" s="286">
        <f t="shared" si="59"/>
        <v>5.0357364870734403E-2</v>
      </c>
      <c r="AG70" s="286">
        <f t="shared" si="59"/>
        <v>5.0062431890415815E-2</v>
      </c>
      <c r="AH70" s="286">
        <f t="shared" si="59"/>
        <v>5.1019331128860423E-2</v>
      </c>
      <c r="AI70" s="286">
        <f t="shared" si="59"/>
        <v>5.331451163447877E-2</v>
      </c>
      <c r="AJ70" s="286">
        <f t="shared" si="59"/>
        <v>5.4745502831822057E-2</v>
      </c>
      <c r="AK70" s="286" t="e">
        <f>AK69/(AK9)*100</f>
        <v>#DIV/0!</v>
      </c>
      <c r="AM70" s="1543">
        <f>AM69/(AM9)*100</f>
        <v>5.1981066517953492E-2</v>
      </c>
      <c r="AN70" s="144">
        <f>AM70*10</f>
        <v>0.51981066517953489</v>
      </c>
      <c r="AO70" s="144"/>
      <c r="AP70" s="144"/>
    </row>
    <row r="71" spans="3:98 15064:15077" s="141" customFormat="1" x14ac:dyDescent="0.25">
      <c r="C71" s="142">
        <v>3</v>
      </c>
      <c r="D71" s="245" t="s">
        <v>169</v>
      </c>
      <c r="E71" s="246">
        <v>0.8</v>
      </c>
      <c r="F71" s="247" t="s">
        <v>25</v>
      </c>
      <c r="G71" s="287">
        <f>((SUM(G18:G19))-(SUM(G9)))/(SUM(G9))*100</f>
        <v>-5.9127355010084113</v>
      </c>
      <c r="H71" s="287">
        <f t="shared" ref="H71:AJ71" si="60">((SUM(H18:H19))-(SUM(H9)))/(SUM(H9))*100</f>
        <v>-2.0497438331723767</v>
      </c>
      <c r="I71" s="287">
        <f t="shared" si="60"/>
        <v>0.97240919375124935</v>
      </c>
      <c r="J71" s="287">
        <f t="shared" si="60"/>
        <v>-1.0836725120982662</v>
      </c>
      <c r="K71" s="287">
        <f t="shared" si="60"/>
        <v>-0.15954178154441703</v>
      </c>
      <c r="L71" s="287">
        <f t="shared" si="60"/>
        <v>-2.71431461291579</v>
      </c>
      <c r="M71" s="287">
        <f>((SUM(M18:M19))-(SUM(M9)))/(SUM(M9))*100</f>
        <v>-0.43189244000450672</v>
      </c>
      <c r="N71" s="287">
        <f>((SUM(N18:N19))-(SUM(N9)))/(SUM(N9))*100</f>
        <v>-1.28116218048576</v>
      </c>
      <c r="O71" s="287">
        <f t="shared" si="60"/>
        <v>-3.7565730667718933</v>
      </c>
      <c r="P71" s="287">
        <f t="shared" si="60"/>
        <v>0.93687695695248618</v>
      </c>
      <c r="Q71" s="287">
        <f t="shared" si="60"/>
        <v>1.448728370688654</v>
      </c>
      <c r="R71" s="287">
        <f t="shared" si="60"/>
        <v>-0.94300773585524011</v>
      </c>
      <c r="S71" s="287">
        <f>((SUM(S18:S19))-(SUM(S9)))/(SUM(S9))*100</f>
        <v>-2.7028849224654912</v>
      </c>
      <c r="T71" s="287">
        <f t="shared" si="60"/>
        <v>-1.4509928845065123</v>
      </c>
      <c r="U71" s="287">
        <f t="shared" si="60"/>
        <v>0.16732802275207678</v>
      </c>
      <c r="V71" s="287" t="e">
        <f t="shared" si="60"/>
        <v>#DIV/0!</v>
      </c>
      <c r="W71" s="287">
        <f t="shared" si="60"/>
        <v>-0.71212353704297848</v>
      </c>
      <c r="X71" s="287">
        <f t="shared" si="60"/>
        <v>-0.74079721910788954</v>
      </c>
      <c r="Y71" s="287">
        <f t="shared" si="60"/>
        <v>-0.92614522380092545</v>
      </c>
      <c r="Z71" s="287">
        <f t="shared" si="60"/>
        <v>-0.15712601079961694</v>
      </c>
      <c r="AA71" s="287">
        <f t="shared" si="60"/>
        <v>-2.1093256260721196</v>
      </c>
      <c r="AB71" s="287">
        <f t="shared" si="60"/>
        <v>-25.956908710665822</v>
      </c>
      <c r="AC71" s="287" t="e">
        <f t="shared" si="60"/>
        <v>#DIV/0!</v>
      </c>
      <c r="AD71" s="287" t="e">
        <f t="shared" si="60"/>
        <v>#DIV/0!</v>
      </c>
      <c r="AE71" s="287">
        <f t="shared" si="60"/>
        <v>-0.56896837826963598</v>
      </c>
      <c r="AF71" s="287">
        <f t="shared" si="60"/>
        <v>-0.68959313820018231</v>
      </c>
      <c r="AG71" s="287">
        <f t="shared" si="60"/>
        <v>-1.49581836716501</v>
      </c>
      <c r="AH71" s="287">
        <f t="shared" si="60"/>
        <v>-1.4324225093635792</v>
      </c>
      <c r="AI71" s="287">
        <f t="shared" si="60"/>
        <v>-3.9776102024422855</v>
      </c>
      <c r="AJ71" s="287">
        <f t="shared" si="60"/>
        <v>0.53335094051706433</v>
      </c>
      <c r="AK71" s="287" t="e">
        <f>((SUM(AK18:AK19))-(SUM(AK9)))/(SUM(AK9))*100</f>
        <v>#DIV/0!</v>
      </c>
      <c r="AM71" s="1540">
        <f>((SUM(AM18:AM19))-(SUM(AM9)))/(SUM(AM9))*100</f>
        <v>-1.0990510386425516</v>
      </c>
      <c r="CT71" s="151"/>
    </row>
    <row r="72" spans="3:98 15064:15077" s="141" customFormat="1" x14ac:dyDescent="0.25">
      <c r="C72" s="142"/>
      <c r="D72" s="319"/>
      <c r="E72" s="320"/>
      <c r="F72" s="321" t="s">
        <v>14</v>
      </c>
      <c r="G72" s="322">
        <f>G71%*G9</f>
        <v>-19232</v>
      </c>
      <c r="H72" s="322">
        <f t="shared" ref="H72:AJ72" si="61">H71%*H9</f>
        <v>-5009</v>
      </c>
      <c r="I72" s="322">
        <f t="shared" si="61"/>
        <v>10994</v>
      </c>
      <c r="J72" s="322">
        <f t="shared" si="61"/>
        <v>-7439</v>
      </c>
      <c r="K72" s="322">
        <f t="shared" si="61"/>
        <v>-971</v>
      </c>
      <c r="L72" s="322">
        <f t="shared" si="61"/>
        <v>-17980</v>
      </c>
      <c r="M72" s="322">
        <f>M71%*M9</f>
        <v>-2645.0000000000005</v>
      </c>
      <c r="N72" s="322">
        <f>N71%*N9</f>
        <v>-4951</v>
      </c>
      <c r="O72" s="322">
        <f t="shared" si="61"/>
        <v>-39127</v>
      </c>
      <c r="P72" s="322">
        <f t="shared" si="61"/>
        <v>9901</v>
      </c>
      <c r="Q72" s="322">
        <f t="shared" si="61"/>
        <v>15469</v>
      </c>
      <c r="R72" s="322">
        <f t="shared" si="61"/>
        <v>-6618</v>
      </c>
      <c r="S72" s="322">
        <f>S71%*S9</f>
        <v>-15234.000000000002</v>
      </c>
      <c r="T72" s="322">
        <f t="shared" si="61"/>
        <v>-8791.0000000000018</v>
      </c>
      <c r="U72" s="322">
        <f t="shared" si="61"/>
        <v>2657</v>
      </c>
      <c r="V72" s="322" t="e">
        <f t="shared" si="61"/>
        <v>#DIV/0!</v>
      </c>
      <c r="W72" s="322">
        <f t="shared" si="61"/>
        <v>-3063</v>
      </c>
      <c r="X72" s="322">
        <f t="shared" si="61"/>
        <v>-8550</v>
      </c>
      <c r="Y72" s="322">
        <f t="shared" si="61"/>
        <v>-12787</v>
      </c>
      <c r="Z72" s="322">
        <f t="shared" si="61"/>
        <v>-1475</v>
      </c>
      <c r="AA72" s="322">
        <f t="shared" si="61"/>
        <v>-18457</v>
      </c>
      <c r="AB72" s="322">
        <f t="shared" si="61"/>
        <v>-10673.999999999998</v>
      </c>
      <c r="AC72" s="322" t="e">
        <f t="shared" si="61"/>
        <v>#DIV/0!</v>
      </c>
      <c r="AD72" s="322" t="e">
        <f t="shared" si="61"/>
        <v>#DIV/0!</v>
      </c>
      <c r="AE72" s="322">
        <f t="shared" si="61"/>
        <v>-5006</v>
      </c>
      <c r="AF72" s="322">
        <f t="shared" si="61"/>
        <v>-11193.000000000002</v>
      </c>
      <c r="AG72" s="322">
        <f t="shared" si="61"/>
        <v>-24666</v>
      </c>
      <c r="AH72" s="322">
        <f t="shared" si="61"/>
        <v>-24618</v>
      </c>
      <c r="AI72" s="322">
        <f t="shared" si="61"/>
        <v>-60807</v>
      </c>
      <c r="AJ72" s="322">
        <f t="shared" si="61"/>
        <v>2908.0000000000005</v>
      </c>
      <c r="AK72" s="322" t="e">
        <f>AK71%*AK9</f>
        <v>#DIV/0!</v>
      </c>
      <c r="AM72" s="323">
        <f>AM71%*AM9</f>
        <v>-264281.00000000006</v>
      </c>
      <c r="CT72" s="151"/>
    </row>
    <row r="73" spans="3:98 15064:15077" s="65" customFormat="1" x14ac:dyDescent="0.25">
      <c r="C73" s="71"/>
      <c r="D73" s="241" t="s">
        <v>54</v>
      </c>
      <c r="E73" s="265">
        <v>22</v>
      </c>
      <c r="F73" s="242" t="s">
        <v>25</v>
      </c>
      <c r="G73" s="288">
        <v>22.18</v>
      </c>
      <c r="H73" s="288">
        <v>22.23</v>
      </c>
      <c r="I73" s="288">
        <v>22.19</v>
      </c>
      <c r="J73" s="288">
        <v>22.2</v>
      </c>
      <c r="K73" s="288">
        <v>22.09</v>
      </c>
      <c r="L73" s="288">
        <v>22.13</v>
      </c>
      <c r="M73" s="288">
        <v>22.07</v>
      </c>
      <c r="N73" s="288">
        <v>22.09</v>
      </c>
      <c r="O73" s="288">
        <v>22.08</v>
      </c>
      <c r="P73" s="288">
        <v>22.09</v>
      </c>
      <c r="Q73" s="288">
        <v>22.03</v>
      </c>
      <c r="R73" s="288">
        <v>22</v>
      </c>
      <c r="S73" s="288">
        <v>22.02</v>
      </c>
      <c r="T73" s="288">
        <v>22.04</v>
      </c>
      <c r="U73" s="288">
        <v>22.05</v>
      </c>
      <c r="V73" s="288">
        <v>0</v>
      </c>
      <c r="W73" s="288">
        <v>22.02</v>
      </c>
      <c r="X73" s="288">
        <v>22.07</v>
      </c>
      <c r="Y73" s="288">
        <v>21.96</v>
      </c>
      <c r="Z73" s="288">
        <v>22.01</v>
      </c>
      <c r="AA73" s="288">
        <v>22.07</v>
      </c>
      <c r="AB73" s="288">
        <v>22.01</v>
      </c>
      <c r="AC73" s="288">
        <v>0</v>
      </c>
      <c r="AD73" s="288">
        <v>0</v>
      </c>
      <c r="AE73" s="288">
        <v>22.08</v>
      </c>
      <c r="AF73" s="288">
        <v>22</v>
      </c>
      <c r="AG73" s="288">
        <v>21.97</v>
      </c>
      <c r="AH73" s="288">
        <v>21.95</v>
      </c>
      <c r="AI73" s="288">
        <v>21.95</v>
      </c>
      <c r="AJ73" s="288">
        <v>21.99</v>
      </c>
      <c r="AK73" s="251"/>
      <c r="AM73" s="316">
        <f>SUM(G73:AJ73)/AM6</f>
        <v>22.058148148148149</v>
      </c>
      <c r="CT73" s="147"/>
    </row>
    <row r="74" spans="3:98 15064:15077" s="65" customFormat="1" ht="15.75" thickBot="1" x14ac:dyDescent="0.3">
      <c r="C74" s="88"/>
      <c r="D74" s="89" t="s">
        <v>53</v>
      </c>
      <c r="E74" s="260"/>
      <c r="F74" s="90" t="s">
        <v>14</v>
      </c>
      <c r="G74" s="283">
        <f>SUM(G65,G67)+(G73%*SUM(G65,G67))</f>
        <v>4596.4116000000004</v>
      </c>
      <c r="H74" s="283">
        <f t="shared" ref="H74:AI74" si="62">SUM(H65,H67)+(H73%*SUM(H65,H67))</f>
        <v>3005.6356999999998</v>
      </c>
      <c r="I74" s="283">
        <f t="shared" si="62"/>
        <v>12177.455400000001</v>
      </c>
      <c r="J74" s="283">
        <f t="shared" si="62"/>
        <v>6844.4220000000005</v>
      </c>
      <c r="K74" s="283">
        <f t="shared" si="62"/>
        <v>5780.9614999999994</v>
      </c>
      <c r="L74" s="283">
        <f t="shared" si="62"/>
        <v>6428.9232000000002</v>
      </c>
      <c r="M74" s="283">
        <f t="shared" ref="M74:N74" si="63">SUM(M65,M67)+(M73%*SUM(M65,M67))</f>
        <v>6203.5974000000006</v>
      </c>
      <c r="N74" s="283">
        <f t="shared" si="63"/>
        <v>3485.6695</v>
      </c>
      <c r="O74" s="283">
        <f t="shared" si="62"/>
        <v>10030.0928</v>
      </c>
      <c r="P74" s="283">
        <f t="shared" si="62"/>
        <v>9861.2093000000004</v>
      </c>
      <c r="Q74" s="283">
        <f t="shared" si="62"/>
        <v>10128.49</v>
      </c>
      <c r="R74" s="283">
        <f t="shared" si="62"/>
        <v>6673.4</v>
      </c>
      <c r="S74" s="283">
        <f t="shared" ref="S74" si="64">SUM(S65,S67)+(S73%*SUM(S65,S67))</f>
        <v>5595.8371999999999</v>
      </c>
      <c r="T74" s="283">
        <f t="shared" si="62"/>
        <v>5488.1387999999997</v>
      </c>
      <c r="U74" s="283">
        <f t="shared" si="62"/>
        <v>15052.4265</v>
      </c>
      <c r="V74" s="283">
        <f t="shared" si="62"/>
        <v>0</v>
      </c>
      <c r="W74" s="283">
        <f t="shared" si="62"/>
        <v>4137.6981999999998</v>
      </c>
      <c r="X74" s="283">
        <f t="shared" si="62"/>
        <v>9838.8420000000006</v>
      </c>
      <c r="Y74" s="283">
        <f t="shared" si="62"/>
        <v>10988.596</v>
      </c>
      <c r="Z74" s="283">
        <f t="shared" si="62"/>
        <v>7236.4130999999998</v>
      </c>
      <c r="AA74" s="283">
        <f t="shared" si="62"/>
        <v>7210.6749</v>
      </c>
      <c r="AB74" s="283">
        <f t="shared" si="62"/>
        <v>362.36970000000002</v>
      </c>
      <c r="AC74" s="283">
        <f t="shared" si="62"/>
        <v>0</v>
      </c>
      <c r="AD74" s="283">
        <f t="shared" si="62"/>
        <v>0</v>
      </c>
      <c r="AE74" s="283">
        <f t="shared" si="62"/>
        <v>7584.8303999999998</v>
      </c>
      <c r="AF74" s="283">
        <f t="shared" si="62"/>
        <v>15982</v>
      </c>
      <c r="AG74" s="283">
        <f t="shared" si="62"/>
        <v>16463.510600000001</v>
      </c>
      <c r="AH74" s="283">
        <f t="shared" si="62"/>
        <v>18198.5985</v>
      </c>
      <c r="AI74" s="283">
        <f t="shared" si="62"/>
        <v>14899.851000000001</v>
      </c>
      <c r="AJ74" s="283">
        <f>SUM(AJ65,AJ67)+(AJ73%*SUM(AJ65,AJ67))</f>
        <v>4589.2637999999997</v>
      </c>
      <c r="AK74" s="283">
        <f>SUM(AK65,AK67)+(AK73%*SUM(AK65,AK67))</f>
        <v>0</v>
      </c>
      <c r="AM74" s="993">
        <f>SUM(AM65,AM67)+(AM73%*SUM(AM65,AM67))/AM6</f>
        <v>189044.9220495199</v>
      </c>
      <c r="CT74" s="147"/>
    </row>
    <row r="75" spans="3:98 15064:15077" hidden="1" x14ac:dyDescent="0.25">
      <c r="C75" s="8">
        <v>4</v>
      </c>
      <c r="D75" s="48" t="s">
        <v>52</v>
      </c>
      <c r="E75" s="49"/>
      <c r="F75" s="50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3"/>
      <c r="AM75" s="81" t="s">
        <v>130</v>
      </c>
    </row>
    <row r="76" spans="3:98 15064:15077" s="2" customFormat="1" hidden="1" x14ac:dyDescent="0.25">
      <c r="C76" s="8"/>
      <c r="D76" s="26" t="s">
        <v>51</v>
      </c>
      <c r="E76" s="91"/>
      <c r="F76" s="12" t="s">
        <v>14</v>
      </c>
      <c r="G76" s="289"/>
      <c r="H76" s="289"/>
      <c r="I76" s="289"/>
      <c r="J76" s="289"/>
      <c r="K76" s="289"/>
      <c r="L76" s="289"/>
      <c r="M76" s="289"/>
      <c r="N76" s="289"/>
      <c r="O76" s="289"/>
      <c r="P76" s="289"/>
      <c r="Q76" s="289"/>
      <c r="R76" s="289"/>
      <c r="S76" s="289"/>
      <c r="T76" s="289"/>
      <c r="U76" s="289"/>
      <c r="V76" s="289"/>
      <c r="W76" s="289"/>
      <c r="X76" s="289"/>
      <c r="Y76" s="289"/>
      <c r="Z76" s="289"/>
      <c r="AA76" s="289"/>
      <c r="AB76" s="289"/>
      <c r="AC76" s="289"/>
      <c r="AD76" s="289"/>
      <c r="AE76" s="289"/>
      <c r="AF76" s="289"/>
      <c r="AG76" s="289"/>
      <c r="AH76" s="289"/>
      <c r="AI76" s="289"/>
      <c r="AJ76" s="289"/>
      <c r="AK76" s="289"/>
      <c r="AL76" s="27"/>
      <c r="AM76" s="92">
        <v>0</v>
      </c>
      <c r="AZ76" s="27"/>
      <c r="CT76" s="150"/>
    </row>
    <row r="77" spans="3:98 15064:15077" s="1" customFormat="1" hidden="1" x14ac:dyDescent="0.25">
      <c r="C77" s="15"/>
      <c r="D77" s="28" t="s">
        <v>46</v>
      </c>
      <c r="E77" s="93"/>
      <c r="F77" s="20" t="s">
        <v>14</v>
      </c>
      <c r="G77" s="290"/>
      <c r="H77" s="290"/>
      <c r="I77" s="290"/>
      <c r="J77" s="290"/>
      <c r="K77" s="290"/>
      <c r="L77" s="290"/>
      <c r="M77" s="290"/>
      <c r="N77" s="290"/>
      <c r="O77" s="290"/>
      <c r="P77" s="290"/>
      <c r="Q77" s="290"/>
      <c r="R77" s="290"/>
      <c r="S77" s="290"/>
      <c r="T77" s="290"/>
      <c r="U77" s="290"/>
      <c r="V77" s="290"/>
      <c r="W77" s="290"/>
      <c r="X77" s="290"/>
      <c r="Y77" s="290"/>
      <c r="Z77" s="290"/>
      <c r="AA77" s="290"/>
      <c r="AB77" s="290"/>
      <c r="AC77" s="290"/>
      <c r="AD77" s="290"/>
      <c r="AE77" s="290"/>
      <c r="AF77" s="290"/>
      <c r="AG77" s="290"/>
      <c r="AH77" s="290"/>
      <c r="AI77" s="290"/>
      <c r="AJ77" s="290"/>
      <c r="AK77" s="29"/>
      <c r="AL77" s="2"/>
      <c r="AM77" s="92">
        <v>0</v>
      </c>
      <c r="CT77" s="146"/>
    </row>
    <row r="78" spans="3:98 15064:15077" s="1" customFormat="1" hidden="1" x14ac:dyDescent="0.25">
      <c r="C78" s="15"/>
      <c r="D78" s="30" t="s">
        <v>39</v>
      </c>
      <c r="E78" s="63"/>
      <c r="F78" s="20" t="s">
        <v>14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4">
        <v>0</v>
      </c>
      <c r="U78" s="34">
        <v>0</v>
      </c>
      <c r="V78" s="34">
        <v>0</v>
      </c>
      <c r="W78" s="34">
        <v>0</v>
      </c>
      <c r="X78" s="34">
        <v>0</v>
      </c>
      <c r="Y78" s="34">
        <v>0</v>
      </c>
      <c r="Z78" s="34">
        <v>0</v>
      </c>
      <c r="AA78" s="34">
        <v>0</v>
      </c>
      <c r="AB78" s="34">
        <v>0</v>
      </c>
      <c r="AC78" s="34">
        <v>0</v>
      </c>
      <c r="AD78" s="34">
        <v>0</v>
      </c>
      <c r="AE78" s="34">
        <v>0</v>
      </c>
      <c r="AF78" s="34">
        <v>0</v>
      </c>
      <c r="AG78" s="34">
        <v>0</v>
      </c>
      <c r="AH78" s="34">
        <v>0</v>
      </c>
      <c r="AI78" s="34">
        <v>0</v>
      </c>
      <c r="AJ78" s="34">
        <v>0</v>
      </c>
      <c r="AK78" s="34">
        <v>0</v>
      </c>
      <c r="AM78" s="61">
        <v>0</v>
      </c>
      <c r="CT78" s="146"/>
    </row>
    <row r="79" spans="3:98 15064:15077" s="1" customFormat="1" hidden="1" x14ac:dyDescent="0.25">
      <c r="C79" s="15"/>
      <c r="D79" s="30" t="s">
        <v>38</v>
      </c>
      <c r="E79" s="63"/>
      <c r="F79" s="20" t="s">
        <v>14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4">
        <v>0</v>
      </c>
      <c r="U79" s="34">
        <v>0</v>
      </c>
      <c r="V79" s="34">
        <v>0</v>
      </c>
      <c r="W79" s="34">
        <v>0</v>
      </c>
      <c r="X79" s="34">
        <v>0</v>
      </c>
      <c r="Y79" s="34">
        <v>0</v>
      </c>
      <c r="Z79" s="34">
        <v>0</v>
      </c>
      <c r="AA79" s="34">
        <v>0</v>
      </c>
      <c r="AB79" s="34">
        <v>0</v>
      </c>
      <c r="AC79" s="34">
        <v>0</v>
      </c>
      <c r="AD79" s="34">
        <v>0</v>
      </c>
      <c r="AE79" s="34">
        <v>0</v>
      </c>
      <c r="AF79" s="34">
        <v>0</v>
      </c>
      <c r="AG79" s="34">
        <v>0</v>
      </c>
      <c r="AH79" s="34">
        <v>0</v>
      </c>
      <c r="AI79" s="34">
        <v>0</v>
      </c>
      <c r="AJ79" s="34">
        <v>0</v>
      </c>
      <c r="AK79" s="34">
        <v>0</v>
      </c>
      <c r="AM79" s="61">
        <v>0</v>
      </c>
      <c r="CT79" s="146"/>
    </row>
    <row r="80" spans="3:98 15064:15077" s="1" customFormat="1" hidden="1" x14ac:dyDescent="0.25">
      <c r="C80" s="15"/>
      <c r="D80" s="30" t="s">
        <v>50</v>
      </c>
      <c r="E80" s="63"/>
      <c r="F80" s="13" t="s">
        <v>14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4">
        <v>0</v>
      </c>
      <c r="U80" s="34">
        <v>0</v>
      </c>
      <c r="V80" s="34">
        <v>0</v>
      </c>
      <c r="W80" s="34">
        <v>0</v>
      </c>
      <c r="X80" s="34">
        <v>0</v>
      </c>
      <c r="Y80" s="34">
        <v>0</v>
      </c>
      <c r="Z80" s="34">
        <v>0</v>
      </c>
      <c r="AA80" s="34">
        <v>0</v>
      </c>
      <c r="AB80" s="34">
        <v>0</v>
      </c>
      <c r="AC80" s="34">
        <v>0</v>
      </c>
      <c r="AD80" s="34">
        <v>0</v>
      </c>
      <c r="AE80" s="34">
        <v>0</v>
      </c>
      <c r="AF80" s="34">
        <v>0</v>
      </c>
      <c r="AG80" s="34">
        <v>0</v>
      </c>
      <c r="AH80" s="34">
        <v>0</v>
      </c>
      <c r="AI80" s="34">
        <v>0</v>
      </c>
      <c r="AJ80" s="34">
        <v>0</v>
      </c>
      <c r="AK80" s="34">
        <v>0</v>
      </c>
      <c r="AM80" s="61">
        <v>0</v>
      </c>
      <c r="CT80" s="146"/>
    </row>
    <row r="81" spans="3:98 15064:15456" s="1" customFormat="1" hidden="1" x14ac:dyDescent="0.25">
      <c r="C81" s="15"/>
      <c r="D81" s="30" t="s">
        <v>29</v>
      </c>
      <c r="E81" s="63"/>
      <c r="F81" s="1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M81" s="66" t="s">
        <v>29</v>
      </c>
      <c r="CT81" s="146"/>
    </row>
    <row r="82" spans="3:98 15064:15456" s="16" customFormat="1" hidden="1" x14ac:dyDescent="0.2">
      <c r="C82" s="17"/>
      <c r="D82" s="31" t="s">
        <v>49</v>
      </c>
      <c r="E82" s="56"/>
      <c r="F82" s="32" t="s">
        <v>31</v>
      </c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M82" s="57">
        <v>0</v>
      </c>
      <c r="CT82" s="152"/>
    </row>
    <row r="83" spans="3:98 15064:15456" s="16" customFormat="1" hidden="1" x14ac:dyDescent="0.2">
      <c r="C83" s="17"/>
      <c r="D83" s="31" t="s">
        <v>48</v>
      </c>
      <c r="E83" s="56"/>
      <c r="F83" s="32" t="s">
        <v>31</v>
      </c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M83" s="57">
        <v>0</v>
      </c>
      <c r="CT83" s="152"/>
    </row>
    <row r="84" spans="3:98 15064:15456" s="1" customFormat="1" hidden="1" x14ac:dyDescent="0.25">
      <c r="C84" s="15"/>
      <c r="D84" s="30" t="s">
        <v>28</v>
      </c>
      <c r="E84" s="63"/>
      <c r="F84" s="1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M84" s="66" t="s">
        <v>28</v>
      </c>
      <c r="CT84" s="146"/>
    </row>
    <row r="85" spans="3:98 15064:15456" s="1" customFormat="1" hidden="1" x14ac:dyDescent="0.25">
      <c r="C85" s="15"/>
      <c r="D85" s="14" t="s">
        <v>49</v>
      </c>
      <c r="E85" s="63"/>
      <c r="F85" s="20" t="s">
        <v>28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0</v>
      </c>
      <c r="AG85" s="33">
        <v>0</v>
      </c>
      <c r="AH85" s="33">
        <v>0</v>
      </c>
      <c r="AI85" s="33">
        <v>0</v>
      </c>
      <c r="AJ85" s="33">
        <v>0</v>
      </c>
      <c r="AK85" s="33">
        <v>0</v>
      </c>
      <c r="AM85" s="57">
        <v>0</v>
      </c>
      <c r="CT85" s="146"/>
    </row>
    <row r="86" spans="3:98 15064:15456" s="1" customFormat="1" hidden="1" x14ac:dyDescent="0.25">
      <c r="C86" s="15"/>
      <c r="D86" s="14" t="s">
        <v>48</v>
      </c>
      <c r="E86" s="63"/>
      <c r="F86" s="20" t="s">
        <v>28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0</v>
      </c>
      <c r="AG86" s="33">
        <v>0</v>
      </c>
      <c r="AH86" s="33">
        <v>0</v>
      </c>
      <c r="AI86" s="33">
        <v>0</v>
      </c>
      <c r="AJ86" s="33">
        <v>0</v>
      </c>
      <c r="AK86" s="33">
        <v>0</v>
      </c>
      <c r="AM86" s="57">
        <v>0</v>
      </c>
      <c r="CT86" s="146"/>
    </row>
    <row r="87" spans="3:98 15064:15456" s="1" customFormat="1" hidden="1" x14ac:dyDescent="0.25">
      <c r="C87" s="15"/>
      <c r="D87" s="30" t="s">
        <v>36</v>
      </c>
      <c r="E87" s="63"/>
      <c r="F87" s="20" t="s">
        <v>35</v>
      </c>
      <c r="G87" s="291">
        <v>0</v>
      </c>
      <c r="H87" s="291">
        <v>0</v>
      </c>
      <c r="I87" s="291">
        <v>0</v>
      </c>
      <c r="J87" s="291">
        <v>0</v>
      </c>
      <c r="K87" s="291">
        <v>0</v>
      </c>
      <c r="L87" s="291">
        <v>0</v>
      </c>
      <c r="M87" s="291">
        <v>0</v>
      </c>
      <c r="N87" s="291">
        <v>0</v>
      </c>
      <c r="O87" s="291">
        <v>0</v>
      </c>
      <c r="P87" s="291">
        <v>0</v>
      </c>
      <c r="Q87" s="291">
        <v>0</v>
      </c>
      <c r="R87" s="291">
        <v>0</v>
      </c>
      <c r="S87" s="291">
        <v>0</v>
      </c>
      <c r="T87" s="291">
        <v>0</v>
      </c>
      <c r="U87" s="291">
        <v>0</v>
      </c>
      <c r="V87" s="291">
        <v>0</v>
      </c>
      <c r="W87" s="291">
        <v>0</v>
      </c>
      <c r="X87" s="291">
        <v>0</v>
      </c>
      <c r="Y87" s="291">
        <v>0</v>
      </c>
      <c r="Z87" s="291">
        <v>0</v>
      </c>
      <c r="AA87" s="291">
        <v>0</v>
      </c>
      <c r="AB87" s="291">
        <v>0</v>
      </c>
      <c r="AC87" s="291">
        <v>0</v>
      </c>
      <c r="AD87" s="291">
        <v>0</v>
      </c>
      <c r="AE87" s="291">
        <v>0</v>
      </c>
      <c r="AF87" s="291">
        <v>0</v>
      </c>
      <c r="AG87" s="291">
        <v>0</v>
      </c>
      <c r="AH87" s="291">
        <v>0</v>
      </c>
      <c r="AI87" s="291">
        <v>0</v>
      </c>
      <c r="AJ87" s="291">
        <v>0</v>
      </c>
      <c r="AK87" s="292">
        <v>0</v>
      </c>
      <c r="AM87" s="57">
        <v>0</v>
      </c>
      <c r="CT87" s="146"/>
    </row>
    <row r="88" spans="3:98 15064:15456" s="1" customFormat="1" hidden="1" x14ac:dyDescent="0.25">
      <c r="C88" s="15"/>
      <c r="D88" s="30" t="s">
        <v>34</v>
      </c>
      <c r="E88" s="63"/>
      <c r="F88" s="20" t="s">
        <v>33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3">
        <v>0</v>
      </c>
      <c r="O88" s="33">
        <v>0</v>
      </c>
      <c r="P88" s="33">
        <v>0</v>
      </c>
      <c r="Q88" s="33">
        <v>0</v>
      </c>
      <c r="R88" s="33">
        <v>0</v>
      </c>
      <c r="S88" s="33">
        <v>0</v>
      </c>
      <c r="T88" s="33">
        <v>0</v>
      </c>
      <c r="U88" s="33">
        <v>0</v>
      </c>
      <c r="V88" s="33">
        <v>0</v>
      </c>
      <c r="W88" s="33">
        <v>0</v>
      </c>
      <c r="X88" s="33">
        <v>0</v>
      </c>
      <c r="Y88" s="33">
        <v>0</v>
      </c>
      <c r="Z88" s="33">
        <v>0</v>
      </c>
      <c r="AA88" s="33">
        <v>0</v>
      </c>
      <c r="AB88" s="33">
        <v>0</v>
      </c>
      <c r="AC88" s="33">
        <v>0</v>
      </c>
      <c r="AD88" s="33">
        <v>0</v>
      </c>
      <c r="AE88" s="33">
        <v>0</v>
      </c>
      <c r="AF88" s="33">
        <v>0</v>
      </c>
      <c r="AG88" s="33">
        <v>0</v>
      </c>
      <c r="AH88" s="33">
        <v>0</v>
      </c>
      <c r="AI88" s="33">
        <v>0</v>
      </c>
      <c r="AJ88" s="33">
        <v>0</v>
      </c>
      <c r="AK88" s="33">
        <v>0</v>
      </c>
      <c r="AM88" s="57">
        <v>0</v>
      </c>
      <c r="CT88" s="146"/>
    </row>
    <row r="89" spans="3:98 15064:15456" s="1" customFormat="1" hidden="1" x14ac:dyDescent="0.25">
      <c r="C89" s="8"/>
      <c r="D89" s="48" t="s">
        <v>32</v>
      </c>
      <c r="E89" s="49"/>
      <c r="F89" s="50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3"/>
      <c r="AM89" s="81" t="s">
        <v>131</v>
      </c>
      <c r="CT89" s="145"/>
      <c r="VGJ89" s="47"/>
      <c r="VGK89" s="47"/>
      <c r="VGL89" s="47"/>
      <c r="VGM89" s="47"/>
      <c r="VGN89" s="47"/>
      <c r="VGO89" s="47"/>
      <c r="VGP89" s="47"/>
      <c r="VGQ89" s="47"/>
      <c r="VGR89" s="47"/>
      <c r="VGS89" s="47"/>
      <c r="VGT89" s="47"/>
      <c r="VGU89" s="47"/>
      <c r="VGV89" s="47"/>
      <c r="VGW89" s="47"/>
      <c r="VGX89" s="47"/>
      <c r="VGY89" s="47"/>
      <c r="VGZ89" s="47"/>
      <c r="VHA89" s="47"/>
      <c r="VHB89" s="47"/>
      <c r="VHC89" s="47"/>
      <c r="VHD89" s="47"/>
      <c r="VHE89" s="47"/>
      <c r="VHF89" s="47"/>
      <c r="VHG89" s="47"/>
      <c r="VHH89" s="47"/>
      <c r="VHI89" s="47"/>
      <c r="VHJ89" s="47"/>
      <c r="VHK89" s="47"/>
      <c r="VHL89" s="47"/>
      <c r="VHM89" s="47"/>
      <c r="VHN89" s="47"/>
      <c r="VHO89" s="47"/>
      <c r="VHP89" s="47"/>
      <c r="VHQ89" s="47"/>
      <c r="VHR89" s="47"/>
      <c r="VHS89" s="47"/>
      <c r="VHT89" s="47"/>
      <c r="VHU89" s="47"/>
      <c r="VHV89" s="47"/>
      <c r="VHW89" s="47"/>
      <c r="VHX89" s="47"/>
      <c r="VHY89" s="47"/>
      <c r="VHZ89" s="47"/>
      <c r="VIA89" s="47"/>
      <c r="VIB89" s="47"/>
      <c r="VIC89" s="47"/>
      <c r="VID89" s="47"/>
      <c r="VIE89" s="47"/>
      <c r="VIF89" s="47"/>
      <c r="VIG89" s="47"/>
      <c r="VIH89" s="47"/>
      <c r="VII89" s="47"/>
      <c r="VIJ89" s="47"/>
      <c r="VIK89" s="47"/>
      <c r="VIL89" s="47"/>
      <c r="VIM89" s="47"/>
      <c r="VIN89" s="47"/>
      <c r="VIO89" s="47"/>
      <c r="VIP89" s="47"/>
      <c r="VIQ89" s="47"/>
      <c r="VIR89" s="47"/>
      <c r="VIS89" s="47"/>
      <c r="VIT89" s="47"/>
      <c r="VIU89" s="47"/>
      <c r="VIV89" s="47"/>
      <c r="VIW89" s="47"/>
      <c r="VIX89" s="47"/>
      <c r="VIY89" s="47"/>
      <c r="VIZ89" s="47"/>
      <c r="VJA89" s="47"/>
      <c r="VJB89" s="47"/>
      <c r="VJC89" s="47"/>
      <c r="VJD89" s="47"/>
      <c r="VJE89" s="47"/>
      <c r="VJF89" s="47"/>
      <c r="VJG89" s="47"/>
      <c r="VJH89" s="47"/>
      <c r="VJI89" s="47"/>
      <c r="VJJ89" s="47"/>
      <c r="VJK89" s="47"/>
      <c r="VJL89" s="47"/>
      <c r="VJM89" s="47"/>
      <c r="VJN89" s="47"/>
      <c r="VJO89" s="47"/>
      <c r="VJP89" s="47"/>
      <c r="VJQ89" s="47"/>
      <c r="VJR89" s="47"/>
      <c r="VJS89" s="47"/>
      <c r="VJT89" s="47"/>
      <c r="VJU89" s="47"/>
      <c r="VJV89" s="47"/>
      <c r="VJW89" s="47"/>
      <c r="VJX89" s="47"/>
      <c r="VJY89" s="47"/>
      <c r="VJZ89" s="47"/>
      <c r="VKA89" s="47"/>
      <c r="VKB89" s="47"/>
      <c r="VKC89" s="47"/>
      <c r="VKD89" s="47"/>
      <c r="VKE89" s="47"/>
      <c r="VKF89" s="47"/>
      <c r="VKG89" s="47"/>
      <c r="VKH89" s="47"/>
      <c r="VKI89" s="47"/>
      <c r="VKJ89" s="47"/>
      <c r="VKK89" s="47"/>
      <c r="VKL89" s="47"/>
      <c r="VKM89" s="47"/>
      <c r="VKN89" s="47"/>
      <c r="VKO89" s="47"/>
      <c r="VKP89" s="47"/>
      <c r="VKQ89" s="47"/>
      <c r="VKR89" s="47"/>
      <c r="VKS89" s="47"/>
      <c r="VKT89" s="47"/>
      <c r="VKU89" s="47"/>
      <c r="VKV89" s="47"/>
      <c r="VKW89" s="47"/>
      <c r="VKX89" s="47"/>
      <c r="VKY89" s="47"/>
      <c r="VKZ89" s="47"/>
      <c r="VLA89" s="47"/>
      <c r="VLB89" s="47"/>
      <c r="VLC89" s="47"/>
      <c r="VLD89" s="47"/>
      <c r="VLE89" s="47"/>
      <c r="VLF89" s="47"/>
      <c r="VLG89" s="47"/>
      <c r="VLH89" s="47"/>
      <c r="VLI89" s="47"/>
      <c r="VLJ89" s="47"/>
      <c r="VLK89" s="47"/>
      <c r="VLL89" s="47"/>
      <c r="VLM89" s="47"/>
      <c r="VLN89" s="47"/>
      <c r="VLO89" s="47"/>
      <c r="VLP89" s="47"/>
      <c r="VLQ89" s="47"/>
      <c r="VLR89" s="47"/>
      <c r="VLS89" s="47"/>
      <c r="VLT89" s="47"/>
      <c r="VLU89" s="47"/>
      <c r="VLV89" s="47"/>
      <c r="VLW89" s="47"/>
      <c r="VLX89" s="47"/>
      <c r="VLY89" s="47"/>
      <c r="VLZ89" s="47"/>
      <c r="VMA89" s="47"/>
      <c r="VMB89" s="47"/>
      <c r="VMC89" s="47"/>
      <c r="VMD89" s="47"/>
      <c r="VME89" s="47"/>
      <c r="VMF89" s="47"/>
      <c r="VMG89" s="47"/>
      <c r="VMH89" s="47"/>
      <c r="VMI89" s="47"/>
      <c r="VMJ89" s="47"/>
      <c r="VMK89" s="47"/>
      <c r="VML89" s="47"/>
      <c r="VMM89" s="47"/>
      <c r="VMN89" s="47"/>
      <c r="VMO89" s="47"/>
      <c r="VMP89" s="47"/>
      <c r="VMQ89" s="47"/>
      <c r="VMR89" s="47"/>
      <c r="VMS89" s="47"/>
      <c r="VMT89" s="47"/>
      <c r="VMU89" s="47"/>
      <c r="VMV89" s="47"/>
      <c r="VMW89" s="47"/>
      <c r="VMX89" s="47"/>
      <c r="VMY89" s="47"/>
      <c r="VMZ89" s="47"/>
      <c r="VNA89" s="47"/>
      <c r="VNB89" s="47"/>
      <c r="VNC89" s="47"/>
      <c r="VND89" s="47"/>
      <c r="VNE89" s="47"/>
      <c r="VNF89" s="47"/>
      <c r="VNG89" s="47"/>
      <c r="VNH89" s="47"/>
      <c r="VNI89" s="47"/>
      <c r="VNJ89" s="47"/>
      <c r="VNK89" s="47"/>
      <c r="VNL89" s="47"/>
      <c r="VNM89" s="47"/>
      <c r="VNN89" s="47"/>
      <c r="VNO89" s="47"/>
      <c r="VNP89" s="47"/>
      <c r="VNQ89" s="47"/>
      <c r="VNR89" s="47"/>
      <c r="VNS89" s="47"/>
      <c r="VNT89" s="47"/>
      <c r="VNU89" s="47"/>
      <c r="VNV89" s="47"/>
      <c r="VNW89" s="47"/>
      <c r="VNX89" s="47"/>
      <c r="VNY89" s="47"/>
      <c r="VNZ89" s="47"/>
      <c r="VOA89" s="47"/>
      <c r="VOB89" s="47"/>
      <c r="VOC89" s="47"/>
      <c r="VOD89" s="47"/>
      <c r="VOE89" s="47"/>
      <c r="VOF89" s="47"/>
      <c r="VOG89" s="47"/>
      <c r="VOH89" s="47"/>
      <c r="VOI89" s="47"/>
      <c r="VOJ89" s="47"/>
      <c r="VOK89" s="47"/>
      <c r="VOL89" s="47"/>
      <c r="VOM89" s="47"/>
      <c r="VON89" s="47"/>
      <c r="VOO89" s="47"/>
      <c r="VOP89" s="47"/>
      <c r="VOQ89" s="47"/>
      <c r="VOR89" s="47"/>
      <c r="VOS89" s="47"/>
      <c r="VOT89" s="47"/>
      <c r="VOU89" s="47"/>
      <c r="VOV89" s="47"/>
      <c r="VOW89" s="47"/>
      <c r="VOX89" s="47"/>
      <c r="VOY89" s="47"/>
      <c r="VOZ89" s="47"/>
      <c r="VPA89" s="47"/>
      <c r="VPB89" s="47"/>
      <c r="VPC89" s="47"/>
      <c r="VPD89" s="47"/>
      <c r="VPE89" s="47"/>
      <c r="VPF89" s="47"/>
      <c r="VPG89" s="47"/>
      <c r="VPH89" s="47"/>
      <c r="VPI89" s="47"/>
      <c r="VPJ89" s="47"/>
      <c r="VPK89" s="47"/>
      <c r="VPL89" s="47"/>
      <c r="VPM89" s="47"/>
      <c r="VPN89" s="47"/>
      <c r="VPO89" s="47"/>
      <c r="VPP89" s="47"/>
      <c r="VPQ89" s="47"/>
      <c r="VPR89" s="47"/>
      <c r="VPS89" s="47"/>
      <c r="VPT89" s="47"/>
      <c r="VPU89" s="47"/>
      <c r="VPV89" s="47"/>
      <c r="VPW89" s="47"/>
      <c r="VPX89" s="47"/>
      <c r="VPY89" s="47"/>
      <c r="VPZ89" s="47"/>
      <c r="VQA89" s="47"/>
      <c r="VQB89" s="47"/>
      <c r="VQC89" s="47"/>
      <c r="VQD89" s="47"/>
      <c r="VQE89" s="47"/>
      <c r="VQF89" s="47"/>
      <c r="VQG89" s="47"/>
      <c r="VQH89" s="47"/>
      <c r="VQI89" s="47"/>
      <c r="VQJ89" s="47"/>
      <c r="VQK89" s="47"/>
      <c r="VQL89" s="47"/>
      <c r="VQM89" s="47"/>
      <c r="VQN89" s="47"/>
      <c r="VQO89" s="47"/>
      <c r="VQP89" s="47"/>
      <c r="VQQ89" s="47"/>
      <c r="VQR89" s="47"/>
      <c r="VQS89" s="47"/>
      <c r="VQT89" s="47"/>
      <c r="VQU89" s="47"/>
      <c r="VQV89" s="47"/>
      <c r="VQW89" s="47"/>
      <c r="VQX89" s="47"/>
      <c r="VQY89" s="47"/>
      <c r="VQZ89" s="47"/>
      <c r="VRA89" s="47"/>
      <c r="VRB89" s="47"/>
      <c r="VRC89" s="47"/>
      <c r="VRD89" s="47"/>
      <c r="VRE89" s="47"/>
      <c r="VRF89" s="47"/>
      <c r="VRG89" s="47"/>
      <c r="VRH89" s="47"/>
      <c r="VRI89" s="47"/>
      <c r="VRJ89" s="47"/>
      <c r="VRK89" s="47"/>
      <c r="VRL89" s="47"/>
      <c r="VRM89" s="47"/>
      <c r="VRN89" s="47"/>
      <c r="VRO89" s="47"/>
      <c r="VRP89" s="47"/>
      <c r="VRQ89" s="47"/>
      <c r="VRR89" s="47"/>
      <c r="VRS89" s="47"/>
      <c r="VRT89" s="47"/>
      <c r="VRU89" s="47"/>
      <c r="VRV89" s="47"/>
      <c r="VRW89" s="47"/>
      <c r="VRX89" s="47"/>
      <c r="VRY89" s="47"/>
      <c r="VRZ89" s="47"/>
      <c r="VSA89" s="47"/>
      <c r="VSB89" s="47"/>
      <c r="VSC89" s="47"/>
      <c r="VSD89" s="47"/>
      <c r="VSE89" s="47"/>
      <c r="VSF89" s="47"/>
      <c r="VSG89" s="47"/>
      <c r="VSH89" s="47"/>
      <c r="VSI89" s="47"/>
      <c r="VSJ89" s="47"/>
      <c r="VSK89" s="47"/>
      <c r="VSL89" s="47"/>
      <c r="VSM89" s="47"/>
      <c r="VSN89" s="47"/>
      <c r="VSO89" s="47"/>
      <c r="VSP89" s="47"/>
      <c r="VSQ89" s="47"/>
      <c r="VSR89" s="47"/>
      <c r="VSS89" s="47"/>
      <c r="VST89" s="47"/>
      <c r="VSU89" s="47"/>
      <c r="VSV89" s="47"/>
      <c r="VSW89" s="47"/>
      <c r="VSX89" s="47"/>
      <c r="VSY89" s="47"/>
      <c r="VSZ89" s="47"/>
      <c r="VTA89" s="47"/>
      <c r="VTB89" s="47"/>
      <c r="VTC89" s="47"/>
      <c r="VTD89" s="47"/>
      <c r="VTE89" s="47"/>
      <c r="VTF89" s="47"/>
      <c r="VTG89" s="47"/>
      <c r="VTH89" s="47"/>
      <c r="VTI89" s="47"/>
      <c r="VTJ89" s="47"/>
      <c r="VTK89" s="47"/>
      <c r="VTL89" s="47"/>
      <c r="VTM89" s="47"/>
      <c r="VTN89" s="47"/>
      <c r="VTO89" s="47"/>
      <c r="VTP89" s="47"/>
      <c r="VTQ89" s="47"/>
      <c r="VTR89" s="47"/>
      <c r="VTS89" s="47"/>
      <c r="VTT89" s="47"/>
      <c r="VTU89" s="47"/>
      <c r="VTV89" s="47"/>
      <c r="VTW89" s="47"/>
      <c r="VTX89" s="47"/>
      <c r="VTY89" s="47"/>
      <c r="VTZ89" s="47"/>
      <c r="VUA89" s="47"/>
      <c r="VUB89" s="47"/>
      <c r="VUC89" s="47"/>
      <c r="VUD89" s="47"/>
      <c r="VUE89" s="47"/>
      <c r="VUF89" s="47"/>
      <c r="VUG89" s="47"/>
      <c r="VUH89" s="47"/>
      <c r="VUI89" s="47"/>
      <c r="VUJ89" s="47"/>
      <c r="VUK89" s="47"/>
      <c r="VUL89" s="47"/>
      <c r="VUM89" s="47"/>
      <c r="VUN89" s="47"/>
      <c r="VUO89" s="47"/>
      <c r="VUP89" s="47"/>
      <c r="VUQ89" s="47"/>
      <c r="VUR89" s="47"/>
      <c r="VUS89" s="47"/>
      <c r="VUT89" s="47"/>
      <c r="VUU89" s="47"/>
      <c r="VUV89" s="47"/>
      <c r="VUW89" s="47"/>
      <c r="VUX89" s="47"/>
      <c r="VUY89" s="47"/>
      <c r="VUZ89" s="47"/>
      <c r="VVA89" s="47"/>
      <c r="VVB89" s="47"/>
      <c r="VVC89" s="47"/>
      <c r="VVD89" s="47"/>
      <c r="VVE89" s="47"/>
      <c r="VVF89" s="47"/>
      <c r="VVG89" s="47"/>
      <c r="VVH89" s="47"/>
      <c r="VVI89" s="47"/>
      <c r="VVJ89" s="47"/>
      <c r="VVK89" s="47"/>
      <c r="VVL89" s="47"/>
    </row>
    <row r="90" spans="3:98 15064:15456" s="1" customFormat="1" hidden="1" x14ac:dyDescent="0.25">
      <c r="C90" s="15"/>
      <c r="D90" s="30" t="s">
        <v>29</v>
      </c>
      <c r="E90" s="63"/>
      <c r="F90" s="1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M90" s="66" t="s">
        <v>29</v>
      </c>
      <c r="CT90" s="146"/>
    </row>
    <row r="91" spans="3:98 15064:15456" s="1" customFormat="1" hidden="1" x14ac:dyDescent="0.25">
      <c r="C91" s="15"/>
      <c r="D91" s="14" t="s">
        <v>49</v>
      </c>
      <c r="E91" s="63"/>
      <c r="F91" s="20" t="s">
        <v>31</v>
      </c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M91" s="57">
        <v>0</v>
      </c>
      <c r="CT91" s="146"/>
    </row>
    <row r="92" spans="3:98 15064:15456" s="1" customFormat="1" hidden="1" x14ac:dyDescent="0.25">
      <c r="C92" s="15"/>
      <c r="D92" s="14" t="s">
        <v>48</v>
      </c>
      <c r="E92" s="63"/>
      <c r="F92" s="20" t="s">
        <v>31</v>
      </c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M92" s="57">
        <v>0</v>
      </c>
      <c r="CT92" s="146"/>
    </row>
    <row r="93" spans="3:98 15064:15456" s="1" customFormat="1" hidden="1" x14ac:dyDescent="0.25">
      <c r="C93" s="15"/>
      <c r="D93" s="30" t="s">
        <v>28</v>
      </c>
      <c r="E93" s="63"/>
      <c r="F93" s="1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M93" s="66" t="s">
        <v>28</v>
      </c>
      <c r="CB93" s="146"/>
      <c r="CC93" s="146"/>
      <c r="CD93" s="146"/>
      <c r="CE93" s="146"/>
      <c r="CF93" s="146"/>
      <c r="CG93" s="146"/>
      <c r="CH93" s="146"/>
      <c r="CI93" s="146"/>
      <c r="CJ93" s="146"/>
      <c r="CK93" s="146"/>
      <c r="CT93" s="146"/>
    </row>
    <row r="94" spans="3:98 15064:15456" s="1" customFormat="1" hidden="1" x14ac:dyDescent="0.25">
      <c r="C94" s="15"/>
      <c r="D94" s="14" t="s">
        <v>49</v>
      </c>
      <c r="E94" s="63"/>
      <c r="F94" s="20" t="s">
        <v>28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0</v>
      </c>
      <c r="Z94" s="33">
        <v>0</v>
      </c>
      <c r="AA94" s="33">
        <v>0</v>
      </c>
      <c r="AB94" s="33">
        <v>0</v>
      </c>
      <c r="AC94" s="33">
        <v>0</v>
      </c>
      <c r="AD94" s="33">
        <v>0</v>
      </c>
      <c r="AE94" s="33">
        <v>0</v>
      </c>
      <c r="AF94" s="33">
        <v>0</v>
      </c>
      <c r="AG94" s="33">
        <v>0</v>
      </c>
      <c r="AH94" s="33">
        <v>0</v>
      </c>
      <c r="AI94" s="33">
        <v>0</v>
      </c>
      <c r="AJ94" s="33">
        <v>0</v>
      </c>
      <c r="AK94" s="33">
        <v>0</v>
      </c>
      <c r="AM94" s="57">
        <v>0</v>
      </c>
      <c r="CB94" s="150"/>
      <c r="CC94" s="146"/>
      <c r="CD94" s="146"/>
      <c r="CE94" s="146"/>
      <c r="CF94" s="153"/>
      <c r="CG94" s="146"/>
      <c r="CH94" s="146"/>
      <c r="CI94" s="146"/>
      <c r="CJ94" s="146"/>
      <c r="CK94" s="146"/>
      <c r="CT94" s="146"/>
    </row>
    <row r="95" spans="3:98 15064:15456" s="1" customFormat="1" hidden="1" x14ac:dyDescent="0.25">
      <c r="C95" s="15"/>
      <c r="D95" s="14" t="s">
        <v>48</v>
      </c>
      <c r="E95" s="63"/>
      <c r="F95" s="20" t="s">
        <v>28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0</v>
      </c>
      <c r="AF95" s="33">
        <v>0</v>
      </c>
      <c r="AG95" s="33">
        <v>0</v>
      </c>
      <c r="AH95" s="33">
        <v>0</v>
      </c>
      <c r="AI95" s="33">
        <v>0</v>
      </c>
      <c r="AJ95" s="33">
        <v>0</v>
      </c>
      <c r="AK95" s="33">
        <v>0</v>
      </c>
      <c r="AM95" s="57">
        <v>0</v>
      </c>
      <c r="CB95" s="145"/>
      <c r="CC95" s="146"/>
      <c r="CD95" s="146"/>
      <c r="CE95" s="146"/>
      <c r="CF95" s="146"/>
      <c r="CG95" s="146"/>
      <c r="CH95" s="146"/>
      <c r="CI95" s="146"/>
      <c r="CJ95" s="146"/>
      <c r="CK95" s="146"/>
      <c r="CT95" s="146"/>
    </row>
    <row r="96" spans="3:98 15064:15456" hidden="1" x14ac:dyDescent="0.25">
      <c r="C96" s="8"/>
      <c r="D96" s="48" t="s">
        <v>30</v>
      </c>
      <c r="E96" s="49"/>
      <c r="F96" s="50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3"/>
      <c r="AM96" s="81" t="s">
        <v>131</v>
      </c>
      <c r="CB96" s="145"/>
      <c r="CC96" s="145"/>
      <c r="CD96" s="145"/>
      <c r="CE96" s="145"/>
      <c r="CF96" s="145"/>
      <c r="CG96" s="145"/>
      <c r="CH96" s="145"/>
      <c r="CI96" s="145"/>
      <c r="CJ96" s="145"/>
      <c r="CK96" s="145"/>
    </row>
    <row r="97" spans="3:98 15064:15456" s="1" customFormat="1" hidden="1" x14ac:dyDescent="0.25">
      <c r="C97" s="15"/>
      <c r="D97" s="30" t="s">
        <v>29</v>
      </c>
      <c r="E97" s="63"/>
      <c r="F97" s="1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M97" s="66" t="s">
        <v>29</v>
      </c>
      <c r="CB97" s="146"/>
      <c r="CC97" s="146"/>
      <c r="CD97" s="146"/>
      <c r="CE97" s="146"/>
      <c r="CF97" s="146"/>
      <c r="CG97" s="146"/>
      <c r="CH97" s="146"/>
      <c r="CI97" s="146"/>
      <c r="CJ97" s="146"/>
      <c r="CK97" s="146"/>
      <c r="CT97" s="146"/>
    </row>
    <row r="98" spans="3:98 15064:15456" s="1" customFormat="1" hidden="1" x14ac:dyDescent="0.25">
      <c r="C98" s="15"/>
      <c r="D98" s="14" t="s">
        <v>49</v>
      </c>
      <c r="E98" s="130">
        <v>0.3</v>
      </c>
      <c r="F98" s="20" t="s">
        <v>25</v>
      </c>
      <c r="G98" s="34" t="e">
        <v>#DIV/0!</v>
      </c>
      <c r="H98" s="34" t="e">
        <v>#DIV/0!</v>
      </c>
      <c r="I98" s="34" t="e">
        <v>#DIV/0!</v>
      </c>
      <c r="J98" s="34" t="e">
        <v>#DIV/0!</v>
      </c>
      <c r="K98" s="34" t="e">
        <v>#DIV/0!</v>
      </c>
      <c r="L98" s="34" t="e">
        <v>#DIV/0!</v>
      </c>
      <c r="M98" s="34" t="e">
        <v>#DIV/0!</v>
      </c>
      <c r="N98" s="34" t="e">
        <v>#DIV/0!</v>
      </c>
      <c r="O98" s="34" t="e">
        <v>#DIV/0!</v>
      </c>
      <c r="P98" s="34" t="e">
        <v>#DIV/0!</v>
      </c>
      <c r="Q98" s="34" t="e">
        <v>#DIV/0!</v>
      </c>
      <c r="R98" s="34" t="e">
        <v>#DIV/0!</v>
      </c>
      <c r="S98" s="34" t="e">
        <v>#DIV/0!</v>
      </c>
      <c r="T98" s="34" t="e">
        <v>#DIV/0!</v>
      </c>
      <c r="U98" s="34" t="e">
        <v>#DIV/0!</v>
      </c>
      <c r="V98" s="34" t="e">
        <v>#DIV/0!</v>
      </c>
      <c r="W98" s="34" t="e">
        <v>#DIV/0!</v>
      </c>
      <c r="X98" s="34" t="e">
        <v>#DIV/0!</v>
      </c>
      <c r="Y98" s="34" t="e">
        <v>#DIV/0!</v>
      </c>
      <c r="Z98" s="34" t="e">
        <v>#DIV/0!</v>
      </c>
      <c r="AA98" s="34" t="e">
        <v>#DIV/0!</v>
      </c>
      <c r="AB98" s="34" t="e">
        <v>#DIV/0!</v>
      </c>
      <c r="AC98" s="34" t="e">
        <v>#DIV/0!</v>
      </c>
      <c r="AD98" s="34" t="e">
        <v>#DIV/0!</v>
      </c>
      <c r="AE98" s="34" t="e">
        <v>#DIV/0!</v>
      </c>
      <c r="AF98" s="34" t="e">
        <v>#DIV/0!</v>
      </c>
      <c r="AG98" s="34" t="e">
        <v>#DIV/0!</v>
      </c>
      <c r="AH98" s="34" t="e">
        <v>#DIV/0!</v>
      </c>
      <c r="AI98" s="34" t="e">
        <v>#DIV/0!</v>
      </c>
      <c r="AJ98" s="34" t="e">
        <v>#DIV/0!</v>
      </c>
      <c r="AK98" s="34" t="e">
        <v>#DIV/0!</v>
      </c>
      <c r="AM98" s="61" t="e">
        <v>#DIV/0!</v>
      </c>
      <c r="CB98" s="146"/>
      <c r="CC98" s="146"/>
      <c r="CD98" s="146"/>
      <c r="CE98" s="146"/>
      <c r="CF98" s="146"/>
      <c r="CG98" s="146"/>
      <c r="CH98" s="146"/>
      <c r="CI98" s="146"/>
      <c r="CJ98" s="146"/>
      <c r="CK98" s="146"/>
      <c r="CT98" s="146"/>
    </row>
    <row r="99" spans="3:98 15064:15456" s="1" customFormat="1" hidden="1" x14ac:dyDescent="0.25">
      <c r="C99" s="15"/>
      <c r="D99" s="14" t="s">
        <v>48</v>
      </c>
      <c r="E99" s="130">
        <v>0.3</v>
      </c>
      <c r="F99" s="20" t="s">
        <v>25</v>
      </c>
      <c r="G99" s="34" t="e">
        <v>#DIV/0!</v>
      </c>
      <c r="H99" s="34" t="e">
        <v>#DIV/0!</v>
      </c>
      <c r="I99" s="34" t="e">
        <v>#DIV/0!</v>
      </c>
      <c r="J99" s="34" t="e">
        <v>#DIV/0!</v>
      </c>
      <c r="K99" s="34" t="e">
        <v>#DIV/0!</v>
      </c>
      <c r="L99" s="34" t="e">
        <v>#DIV/0!</v>
      </c>
      <c r="M99" s="34" t="e">
        <v>#DIV/0!</v>
      </c>
      <c r="N99" s="34" t="e">
        <v>#DIV/0!</v>
      </c>
      <c r="O99" s="34" t="e">
        <v>#DIV/0!</v>
      </c>
      <c r="P99" s="34" t="e">
        <v>#DIV/0!</v>
      </c>
      <c r="Q99" s="34" t="e">
        <v>#DIV/0!</v>
      </c>
      <c r="R99" s="34" t="e">
        <v>#DIV/0!</v>
      </c>
      <c r="S99" s="34" t="e">
        <v>#DIV/0!</v>
      </c>
      <c r="T99" s="34" t="e">
        <v>#DIV/0!</v>
      </c>
      <c r="U99" s="34" t="e">
        <v>#DIV/0!</v>
      </c>
      <c r="V99" s="34" t="e">
        <v>#DIV/0!</v>
      </c>
      <c r="W99" s="34" t="e">
        <v>#DIV/0!</v>
      </c>
      <c r="X99" s="34" t="e">
        <v>#DIV/0!</v>
      </c>
      <c r="Y99" s="34" t="e">
        <v>#DIV/0!</v>
      </c>
      <c r="Z99" s="34" t="e">
        <v>#DIV/0!</v>
      </c>
      <c r="AA99" s="34" t="e">
        <v>#DIV/0!</v>
      </c>
      <c r="AB99" s="34" t="e">
        <v>#DIV/0!</v>
      </c>
      <c r="AC99" s="34" t="e">
        <v>#DIV/0!</v>
      </c>
      <c r="AD99" s="34" t="e">
        <v>#DIV/0!</v>
      </c>
      <c r="AE99" s="34" t="e">
        <v>#DIV/0!</v>
      </c>
      <c r="AF99" s="34" t="e">
        <v>#DIV/0!</v>
      </c>
      <c r="AG99" s="34" t="e">
        <v>#DIV/0!</v>
      </c>
      <c r="AH99" s="34" t="e">
        <v>#DIV/0!</v>
      </c>
      <c r="AI99" s="34" t="e">
        <v>#DIV/0!</v>
      </c>
      <c r="AJ99" s="34" t="e">
        <v>#DIV/0!</v>
      </c>
      <c r="AK99" s="34" t="e">
        <v>#DIV/0!</v>
      </c>
      <c r="AM99" s="61" t="e">
        <v>#DIV/0!</v>
      </c>
      <c r="CB99" s="146"/>
      <c r="CC99" s="146"/>
      <c r="CD99" s="146"/>
      <c r="CE99" s="146"/>
      <c r="CF99" s="146"/>
      <c r="CG99" s="146"/>
      <c r="CH99" s="146"/>
      <c r="CI99" s="146"/>
      <c r="CJ99" s="146"/>
      <c r="CK99" s="146"/>
      <c r="CT99" s="146"/>
    </row>
    <row r="100" spans="3:98 15064:15456" s="1" customFormat="1" hidden="1" x14ac:dyDescent="0.25">
      <c r="C100" s="15"/>
      <c r="D100" s="30" t="s">
        <v>28</v>
      </c>
      <c r="E100" s="130"/>
      <c r="F100" s="13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M100" s="66" t="s">
        <v>28</v>
      </c>
      <c r="CB100" s="146"/>
      <c r="CC100" s="146"/>
      <c r="CD100" s="146"/>
      <c r="CE100" s="146"/>
      <c r="CF100" s="146"/>
      <c r="CG100" s="146"/>
      <c r="CH100" s="146"/>
      <c r="CI100" s="146"/>
      <c r="CJ100" s="146"/>
      <c r="CK100" s="146"/>
      <c r="CT100" s="146"/>
    </row>
    <row r="101" spans="3:98 15064:15456" s="1" customFormat="1" hidden="1" x14ac:dyDescent="0.25">
      <c r="C101" s="15"/>
      <c r="D101" s="14" t="s">
        <v>49</v>
      </c>
      <c r="E101" s="130">
        <v>0.5</v>
      </c>
      <c r="F101" s="20" t="s">
        <v>25</v>
      </c>
      <c r="G101" s="34" t="e">
        <v>#DIV/0!</v>
      </c>
      <c r="H101" s="34" t="e">
        <v>#DIV/0!</v>
      </c>
      <c r="I101" s="34" t="e">
        <v>#DIV/0!</v>
      </c>
      <c r="J101" s="34" t="e">
        <v>#DIV/0!</v>
      </c>
      <c r="K101" s="34" t="e">
        <v>#DIV/0!</v>
      </c>
      <c r="L101" s="34" t="e">
        <v>#DIV/0!</v>
      </c>
      <c r="M101" s="34" t="e">
        <v>#DIV/0!</v>
      </c>
      <c r="N101" s="34" t="e">
        <v>#DIV/0!</v>
      </c>
      <c r="O101" s="34" t="e">
        <v>#DIV/0!</v>
      </c>
      <c r="P101" s="34" t="e">
        <v>#DIV/0!</v>
      </c>
      <c r="Q101" s="34" t="e">
        <v>#DIV/0!</v>
      </c>
      <c r="R101" s="34" t="e">
        <v>#DIV/0!</v>
      </c>
      <c r="S101" s="34" t="e">
        <v>#DIV/0!</v>
      </c>
      <c r="T101" s="34" t="e">
        <v>#DIV/0!</v>
      </c>
      <c r="U101" s="34" t="e">
        <v>#DIV/0!</v>
      </c>
      <c r="V101" s="34" t="e">
        <v>#DIV/0!</v>
      </c>
      <c r="W101" s="34" t="e">
        <v>#DIV/0!</v>
      </c>
      <c r="X101" s="34" t="e">
        <v>#DIV/0!</v>
      </c>
      <c r="Y101" s="34" t="e">
        <v>#DIV/0!</v>
      </c>
      <c r="Z101" s="34" t="e">
        <v>#DIV/0!</v>
      </c>
      <c r="AA101" s="34" t="e">
        <v>#DIV/0!</v>
      </c>
      <c r="AB101" s="34" t="e">
        <v>#DIV/0!</v>
      </c>
      <c r="AC101" s="34" t="e">
        <v>#DIV/0!</v>
      </c>
      <c r="AD101" s="34" t="e">
        <v>#DIV/0!</v>
      </c>
      <c r="AE101" s="34" t="e">
        <v>#DIV/0!</v>
      </c>
      <c r="AF101" s="34" t="e">
        <v>#DIV/0!</v>
      </c>
      <c r="AG101" s="34" t="e">
        <v>#DIV/0!</v>
      </c>
      <c r="AH101" s="34" t="e">
        <v>#DIV/0!</v>
      </c>
      <c r="AI101" s="34" t="e">
        <v>#DIV/0!</v>
      </c>
      <c r="AJ101" s="34" t="e">
        <v>#DIV/0!</v>
      </c>
      <c r="AK101" s="34" t="e">
        <v>#DIV/0!</v>
      </c>
      <c r="AM101" s="61" t="e">
        <v>#DIV/0!</v>
      </c>
      <c r="CB101" s="146"/>
      <c r="CC101" s="146"/>
      <c r="CD101" s="146"/>
      <c r="CE101" s="146"/>
      <c r="CF101" s="146"/>
      <c r="CG101" s="146"/>
      <c r="CH101" s="146"/>
      <c r="CI101" s="146"/>
      <c r="CJ101" s="146"/>
      <c r="CK101" s="146"/>
      <c r="CT101" s="146"/>
    </row>
    <row r="102" spans="3:98 15064:15456" s="1" customFormat="1" ht="15.75" hidden="1" thickBot="1" x14ac:dyDescent="0.3">
      <c r="C102" s="19"/>
      <c r="D102" s="14" t="s">
        <v>48</v>
      </c>
      <c r="E102" s="130">
        <v>0.5</v>
      </c>
      <c r="F102" s="20" t="s">
        <v>25</v>
      </c>
      <c r="G102" s="34" t="e">
        <v>#DIV/0!</v>
      </c>
      <c r="H102" s="34" t="e">
        <v>#DIV/0!</v>
      </c>
      <c r="I102" s="34" t="e">
        <v>#DIV/0!</v>
      </c>
      <c r="J102" s="34" t="e">
        <v>#DIV/0!</v>
      </c>
      <c r="K102" s="34" t="e">
        <v>#DIV/0!</v>
      </c>
      <c r="L102" s="34" t="e">
        <v>#DIV/0!</v>
      </c>
      <c r="M102" s="34" t="e">
        <v>#DIV/0!</v>
      </c>
      <c r="N102" s="34" t="e">
        <v>#DIV/0!</v>
      </c>
      <c r="O102" s="34" t="e">
        <v>#DIV/0!</v>
      </c>
      <c r="P102" s="34" t="e">
        <v>#DIV/0!</v>
      </c>
      <c r="Q102" s="34" t="e">
        <v>#DIV/0!</v>
      </c>
      <c r="R102" s="34" t="e">
        <v>#DIV/0!</v>
      </c>
      <c r="S102" s="34" t="e">
        <v>#DIV/0!</v>
      </c>
      <c r="T102" s="34" t="e">
        <v>#DIV/0!</v>
      </c>
      <c r="U102" s="34" t="e">
        <v>#DIV/0!</v>
      </c>
      <c r="V102" s="34" t="e">
        <v>#DIV/0!</v>
      </c>
      <c r="W102" s="34" t="e">
        <v>#DIV/0!</v>
      </c>
      <c r="X102" s="34" t="e">
        <v>#DIV/0!</v>
      </c>
      <c r="Y102" s="34" t="e">
        <v>#DIV/0!</v>
      </c>
      <c r="Z102" s="34" t="e">
        <v>#DIV/0!</v>
      </c>
      <c r="AA102" s="34" t="e">
        <v>#DIV/0!</v>
      </c>
      <c r="AB102" s="34" t="e">
        <v>#DIV/0!</v>
      </c>
      <c r="AC102" s="34" t="e">
        <v>#DIV/0!</v>
      </c>
      <c r="AD102" s="34" t="e">
        <v>#DIV/0!</v>
      </c>
      <c r="AE102" s="34" t="e">
        <v>#DIV/0!</v>
      </c>
      <c r="AF102" s="34" t="e">
        <v>#DIV/0!</v>
      </c>
      <c r="AG102" s="34" t="e">
        <v>#DIV/0!</v>
      </c>
      <c r="AH102" s="34" t="e">
        <v>#DIV/0!</v>
      </c>
      <c r="AI102" s="34" t="e">
        <v>#DIV/0!</v>
      </c>
      <c r="AJ102" s="34" t="e">
        <v>#DIV/0!</v>
      </c>
      <c r="AK102" s="34" t="e">
        <v>#DIV/0!</v>
      </c>
      <c r="AM102" s="61" t="e">
        <v>#DIV/0!</v>
      </c>
      <c r="CB102" s="146"/>
      <c r="CC102" s="146"/>
      <c r="CD102" s="146"/>
      <c r="CE102" s="146"/>
      <c r="CF102" s="146"/>
      <c r="CG102" s="146"/>
      <c r="CH102" s="146"/>
      <c r="CI102" s="146"/>
      <c r="CJ102" s="146"/>
      <c r="CK102" s="146"/>
      <c r="CT102" s="146"/>
    </row>
    <row r="103" spans="3:98 15064:15456" s="1" customFormat="1" hidden="1" x14ac:dyDescent="0.25">
      <c r="C103" s="8">
        <v>5</v>
      </c>
      <c r="D103" s="48" t="s">
        <v>47</v>
      </c>
      <c r="E103" s="49"/>
      <c r="F103" s="50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3"/>
      <c r="AM103" s="81" t="s">
        <v>130</v>
      </c>
      <c r="CB103" s="145"/>
      <c r="CC103" s="145"/>
      <c r="CD103" s="146"/>
      <c r="CE103" s="146"/>
      <c r="CF103" s="145"/>
      <c r="CG103" s="146"/>
      <c r="CH103" s="145"/>
      <c r="CI103" s="145"/>
      <c r="CJ103" s="145"/>
      <c r="CK103" s="145"/>
      <c r="CT103" s="145"/>
      <c r="VGJ103" s="47"/>
      <c r="VGK103" s="47"/>
      <c r="VGL103" s="47"/>
      <c r="VGM103" s="47"/>
      <c r="VGN103" s="47"/>
      <c r="VGO103" s="47"/>
      <c r="VGP103" s="47"/>
      <c r="VGQ103" s="47"/>
      <c r="VGR103" s="47"/>
      <c r="VGS103" s="47"/>
      <c r="VGT103" s="47"/>
      <c r="VGU103" s="47"/>
      <c r="VGV103" s="47"/>
      <c r="VGW103" s="47"/>
      <c r="VGX103" s="47"/>
      <c r="VGY103" s="47"/>
      <c r="VGZ103" s="47"/>
      <c r="VHA103" s="47"/>
      <c r="VHB103" s="47"/>
      <c r="VHC103" s="47"/>
      <c r="VHD103" s="47"/>
      <c r="VHE103" s="47"/>
      <c r="VHF103" s="47"/>
      <c r="VHG103" s="47"/>
      <c r="VHH103" s="47"/>
      <c r="VHI103" s="47"/>
      <c r="VHJ103" s="47"/>
      <c r="VHK103" s="47"/>
      <c r="VHL103" s="47"/>
      <c r="VHM103" s="47"/>
      <c r="VHN103" s="47"/>
      <c r="VHO103" s="47"/>
      <c r="VHP103" s="47"/>
      <c r="VHQ103" s="47"/>
      <c r="VHR103" s="47"/>
      <c r="VHS103" s="47"/>
      <c r="VHT103" s="47"/>
      <c r="VHU103" s="47"/>
      <c r="VHV103" s="47"/>
      <c r="VHW103" s="47"/>
      <c r="VHX103" s="47"/>
      <c r="VHY103" s="47"/>
      <c r="VHZ103" s="47"/>
      <c r="VIA103" s="47"/>
      <c r="VIB103" s="47"/>
      <c r="VIC103" s="47"/>
      <c r="VID103" s="47"/>
      <c r="VIE103" s="47"/>
      <c r="VIF103" s="47"/>
      <c r="VIG103" s="47"/>
      <c r="VIH103" s="47"/>
      <c r="VII103" s="47"/>
      <c r="VIJ103" s="47"/>
      <c r="VIK103" s="47"/>
      <c r="VIL103" s="47"/>
      <c r="VIM103" s="47"/>
      <c r="VIN103" s="47"/>
      <c r="VIO103" s="47"/>
      <c r="VIP103" s="47"/>
      <c r="VIQ103" s="47"/>
      <c r="VIR103" s="47"/>
      <c r="VIS103" s="47"/>
      <c r="VIT103" s="47"/>
      <c r="VIU103" s="47"/>
      <c r="VIV103" s="47"/>
      <c r="VIW103" s="47"/>
      <c r="VIX103" s="47"/>
      <c r="VIY103" s="47"/>
      <c r="VIZ103" s="47"/>
      <c r="VJA103" s="47"/>
      <c r="VJB103" s="47"/>
      <c r="VJC103" s="47"/>
      <c r="VJD103" s="47"/>
      <c r="VJE103" s="47"/>
      <c r="VJF103" s="47"/>
      <c r="VJG103" s="47"/>
      <c r="VJH103" s="47"/>
      <c r="VJI103" s="47"/>
      <c r="VJJ103" s="47"/>
      <c r="VJK103" s="47"/>
      <c r="VJL103" s="47"/>
      <c r="VJM103" s="47"/>
      <c r="VJN103" s="47"/>
      <c r="VJO103" s="47"/>
      <c r="VJP103" s="47"/>
      <c r="VJQ103" s="47"/>
      <c r="VJR103" s="47"/>
      <c r="VJS103" s="47"/>
      <c r="VJT103" s="47"/>
      <c r="VJU103" s="47"/>
      <c r="VJV103" s="47"/>
      <c r="VJW103" s="47"/>
      <c r="VJX103" s="47"/>
      <c r="VJY103" s="47"/>
      <c r="VJZ103" s="47"/>
      <c r="VKA103" s="47"/>
      <c r="VKB103" s="47"/>
      <c r="VKC103" s="47"/>
      <c r="VKD103" s="47"/>
      <c r="VKE103" s="47"/>
      <c r="VKF103" s="47"/>
      <c r="VKG103" s="47"/>
      <c r="VKH103" s="47"/>
      <c r="VKI103" s="47"/>
      <c r="VKJ103" s="47"/>
      <c r="VKK103" s="47"/>
      <c r="VKL103" s="47"/>
      <c r="VKM103" s="47"/>
      <c r="VKN103" s="47"/>
      <c r="VKO103" s="47"/>
      <c r="VKP103" s="47"/>
      <c r="VKQ103" s="47"/>
      <c r="VKR103" s="47"/>
      <c r="VKS103" s="47"/>
      <c r="VKT103" s="47"/>
      <c r="VKU103" s="47"/>
      <c r="VKV103" s="47"/>
      <c r="VKW103" s="47"/>
      <c r="VKX103" s="47"/>
      <c r="VKY103" s="47"/>
      <c r="VKZ103" s="47"/>
      <c r="VLA103" s="47"/>
      <c r="VLB103" s="47"/>
      <c r="VLC103" s="47"/>
      <c r="VLD103" s="47"/>
      <c r="VLE103" s="47"/>
      <c r="VLF103" s="47"/>
      <c r="VLG103" s="47"/>
      <c r="VLH103" s="47"/>
      <c r="VLI103" s="47"/>
      <c r="VLJ103" s="47"/>
      <c r="VLK103" s="47"/>
      <c r="VLL103" s="47"/>
      <c r="VLM103" s="47"/>
      <c r="VLN103" s="47"/>
      <c r="VLO103" s="47"/>
      <c r="VLP103" s="47"/>
      <c r="VLQ103" s="47"/>
      <c r="VLR103" s="47"/>
      <c r="VLS103" s="47"/>
      <c r="VLT103" s="47"/>
      <c r="VLU103" s="47"/>
      <c r="VLV103" s="47"/>
      <c r="VLW103" s="47"/>
      <c r="VLX103" s="47"/>
      <c r="VLY103" s="47"/>
      <c r="VLZ103" s="47"/>
      <c r="VMA103" s="47"/>
      <c r="VMB103" s="47"/>
      <c r="VMC103" s="47"/>
      <c r="VMD103" s="47"/>
      <c r="VME103" s="47"/>
      <c r="VMF103" s="47"/>
      <c r="VMG103" s="47"/>
      <c r="VMH103" s="47"/>
      <c r="VMI103" s="47"/>
      <c r="VMJ103" s="47"/>
      <c r="VMK103" s="47"/>
      <c r="VML103" s="47"/>
      <c r="VMM103" s="47"/>
      <c r="VMN103" s="47"/>
      <c r="VMO103" s="47"/>
      <c r="VMP103" s="47"/>
      <c r="VMQ103" s="47"/>
      <c r="VMR103" s="47"/>
      <c r="VMS103" s="47"/>
      <c r="VMT103" s="47"/>
      <c r="VMU103" s="47"/>
      <c r="VMV103" s="47"/>
      <c r="VMW103" s="47"/>
      <c r="VMX103" s="47"/>
      <c r="VMY103" s="47"/>
      <c r="VMZ103" s="47"/>
      <c r="VNA103" s="47"/>
      <c r="VNB103" s="47"/>
      <c r="VNC103" s="47"/>
      <c r="VND103" s="47"/>
      <c r="VNE103" s="47"/>
      <c r="VNF103" s="47"/>
      <c r="VNG103" s="47"/>
      <c r="VNH103" s="47"/>
      <c r="VNI103" s="47"/>
      <c r="VNJ103" s="47"/>
      <c r="VNK103" s="47"/>
      <c r="VNL103" s="47"/>
      <c r="VNM103" s="47"/>
      <c r="VNN103" s="47"/>
      <c r="VNO103" s="47"/>
      <c r="VNP103" s="47"/>
      <c r="VNQ103" s="47"/>
      <c r="VNR103" s="47"/>
      <c r="VNS103" s="47"/>
      <c r="VNT103" s="47"/>
      <c r="VNU103" s="47"/>
      <c r="VNV103" s="47"/>
      <c r="VNW103" s="47"/>
      <c r="VNX103" s="47"/>
      <c r="VNY103" s="47"/>
      <c r="VNZ103" s="47"/>
      <c r="VOA103" s="47"/>
      <c r="VOB103" s="47"/>
      <c r="VOC103" s="47"/>
      <c r="VOD103" s="47"/>
      <c r="VOE103" s="47"/>
      <c r="VOF103" s="47"/>
      <c r="VOG103" s="47"/>
      <c r="VOH103" s="47"/>
      <c r="VOI103" s="47"/>
      <c r="VOJ103" s="47"/>
      <c r="VOK103" s="47"/>
      <c r="VOL103" s="47"/>
      <c r="VOM103" s="47"/>
      <c r="VON103" s="47"/>
      <c r="VOO103" s="47"/>
      <c r="VOP103" s="47"/>
      <c r="VOQ103" s="47"/>
      <c r="VOR103" s="47"/>
      <c r="VOS103" s="47"/>
      <c r="VOT103" s="47"/>
      <c r="VOU103" s="47"/>
      <c r="VOV103" s="47"/>
      <c r="VOW103" s="47"/>
      <c r="VOX103" s="47"/>
      <c r="VOY103" s="47"/>
      <c r="VOZ103" s="47"/>
      <c r="VPA103" s="47"/>
      <c r="VPB103" s="47"/>
      <c r="VPC103" s="47"/>
      <c r="VPD103" s="47"/>
      <c r="VPE103" s="47"/>
      <c r="VPF103" s="47"/>
      <c r="VPG103" s="47"/>
      <c r="VPH103" s="47"/>
      <c r="VPI103" s="47"/>
      <c r="VPJ103" s="47"/>
      <c r="VPK103" s="47"/>
      <c r="VPL103" s="47"/>
      <c r="VPM103" s="47"/>
      <c r="VPN103" s="47"/>
      <c r="VPO103" s="47"/>
      <c r="VPP103" s="47"/>
      <c r="VPQ103" s="47"/>
      <c r="VPR103" s="47"/>
      <c r="VPS103" s="47"/>
      <c r="VPT103" s="47"/>
      <c r="VPU103" s="47"/>
      <c r="VPV103" s="47"/>
      <c r="VPW103" s="47"/>
      <c r="VPX103" s="47"/>
      <c r="VPY103" s="47"/>
      <c r="VPZ103" s="47"/>
      <c r="VQA103" s="47"/>
      <c r="VQB103" s="47"/>
      <c r="VQC103" s="47"/>
      <c r="VQD103" s="47"/>
      <c r="VQE103" s="47"/>
      <c r="VQF103" s="47"/>
      <c r="VQG103" s="47"/>
      <c r="VQH103" s="47"/>
      <c r="VQI103" s="47"/>
      <c r="VQJ103" s="47"/>
      <c r="VQK103" s="47"/>
      <c r="VQL103" s="47"/>
      <c r="VQM103" s="47"/>
      <c r="VQN103" s="47"/>
      <c r="VQO103" s="47"/>
      <c r="VQP103" s="47"/>
      <c r="VQQ103" s="47"/>
      <c r="VQR103" s="47"/>
      <c r="VQS103" s="47"/>
      <c r="VQT103" s="47"/>
      <c r="VQU103" s="47"/>
      <c r="VQV103" s="47"/>
      <c r="VQW103" s="47"/>
      <c r="VQX103" s="47"/>
      <c r="VQY103" s="47"/>
      <c r="VQZ103" s="47"/>
      <c r="VRA103" s="47"/>
      <c r="VRB103" s="47"/>
      <c r="VRC103" s="47"/>
      <c r="VRD103" s="47"/>
      <c r="VRE103" s="47"/>
      <c r="VRF103" s="47"/>
      <c r="VRG103" s="47"/>
      <c r="VRH103" s="47"/>
      <c r="VRI103" s="47"/>
      <c r="VRJ103" s="47"/>
      <c r="VRK103" s="47"/>
      <c r="VRL103" s="47"/>
      <c r="VRM103" s="47"/>
      <c r="VRN103" s="47"/>
      <c r="VRO103" s="47"/>
      <c r="VRP103" s="47"/>
      <c r="VRQ103" s="47"/>
      <c r="VRR103" s="47"/>
      <c r="VRS103" s="47"/>
      <c r="VRT103" s="47"/>
      <c r="VRU103" s="47"/>
      <c r="VRV103" s="47"/>
      <c r="VRW103" s="47"/>
      <c r="VRX103" s="47"/>
      <c r="VRY103" s="47"/>
      <c r="VRZ103" s="47"/>
      <c r="VSA103" s="47"/>
      <c r="VSB103" s="47"/>
      <c r="VSC103" s="47"/>
      <c r="VSD103" s="47"/>
      <c r="VSE103" s="47"/>
      <c r="VSF103" s="47"/>
      <c r="VSG103" s="47"/>
      <c r="VSH103" s="47"/>
      <c r="VSI103" s="47"/>
      <c r="VSJ103" s="47"/>
      <c r="VSK103" s="47"/>
      <c r="VSL103" s="47"/>
      <c r="VSM103" s="47"/>
      <c r="VSN103" s="47"/>
      <c r="VSO103" s="47"/>
      <c r="VSP103" s="47"/>
      <c r="VSQ103" s="47"/>
      <c r="VSR103" s="47"/>
      <c r="VSS103" s="47"/>
      <c r="VST103" s="47"/>
      <c r="VSU103" s="47"/>
      <c r="VSV103" s="47"/>
      <c r="VSW103" s="47"/>
      <c r="VSX103" s="47"/>
      <c r="VSY103" s="47"/>
      <c r="VSZ103" s="47"/>
      <c r="VTA103" s="47"/>
      <c r="VTB103" s="47"/>
      <c r="VTC103" s="47"/>
      <c r="VTD103" s="47"/>
      <c r="VTE103" s="47"/>
      <c r="VTF103" s="47"/>
      <c r="VTG103" s="47"/>
      <c r="VTH103" s="47"/>
      <c r="VTI103" s="47"/>
      <c r="VTJ103" s="47"/>
      <c r="VTK103" s="47"/>
      <c r="VTL103" s="47"/>
      <c r="VTM103" s="47"/>
      <c r="VTN103" s="47"/>
      <c r="VTO103" s="47"/>
      <c r="VTP103" s="47"/>
      <c r="VTQ103" s="47"/>
      <c r="VTR103" s="47"/>
      <c r="VTS103" s="47"/>
      <c r="VTT103" s="47"/>
      <c r="VTU103" s="47"/>
      <c r="VTV103" s="47"/>
      <c r="VTW103" s="47"/>
      <c r="VTX103" s="47"/>
      <c r="VTY103" s="47"/>
      <c r="VTZ103" s="47"/>
      <c r="VUA103" s="47"/>
      <c r="VUB103" s="47"/>
      <c r="VUC103" s="47"/>
      <c r="VUD103" s="47"/>
      <c r="VUE103" s="47"/>
      <c r="VUF103" s="47"/>
      <c r="VUG103" s="47"/>
      <c r="VUH103" s="47"/>
      <c r="VUI103" s="47"/>
      <c r="VUJ103" s="47"/>
      <c r="VUK103" s="47"/>
      <c r="VUL103" s="47"/>
      <c r="VUM103" s="47"/>
      <c r="VUN103" s="47"/>
      <c r="VUO103" s="47"/>
      <c r="VUP103" s="47"/>
      <c r="VUQ103" s="47"/>
      <c r="VUR103" s="47"/>
      <c r="VUS103" s="47"/>
      <c r="VUT103" s="47"/>
      <c r="VUU103" s="47"/>
      <c r="VUV103" s="47"/>
      <c r="VUW103" s="47"/>
      <c r="VUX103" s="47"/>
      <c r="VUY103" s="47"/>
      <c r="VUZ103" s="47"/>
      <c r="VVA103" s="47"/>
      <c r="VVB103" s="47"/>
      <c r="VVC103" s="47"/>
      <c r="VVD103" s="47"/>
      <c r="VVE103" s="47"/>
      <c r="VVF103" s="47"/>
      <c r="VVG103" s="47"/>
      <c r="VVH103" s="47"/>
      <c r="VVI103" s="47"/>
      <c r="VVJ103" s="47"/>
      <c r="VVK103" s="47"/>
      <c r="VVL103" s="47"/>
    </row>
    <row r="104" spans="3:98 15064:15456" s="1" customFormat="1" hidden="1" x14ac:dyDescent="0.25">
      <c r="C104" s="15"/>
      <c r="D104" s="28" t="s">
        <v>46</v>
      </c>
      <c r="E104" s="93"/>
      <c r="F104" s="20" t="s">
        <v>14</v>
      </c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2"/>
      <c r="AM104" s="92">
        <v>0</v>
      </c>
      <c r="CB104" s="145"/>
      <c r="CC104" s="146"/>
      <c r="CD104" s="146"/>
      <c r="CE104" s="146"/>
      <c r="CF104" s="145"/>
      <c r="CG104" s="146"/>
      <c r="CH104" s="146"/>
      <c r="CI104" s="146"/>
      <c r="CJ104" s="146"/>
      <c r="CK104" s="146"/>
      <c r="CT104" s="146"/>
    </row>
    <row r="105" spans="3:98 15064:15456" s="1" customFormat="1" hidden="1" x14ac:dyDescent="0.25">
      <c r="C105" s="15"/>
      <c r="D105" s="30" t="s">
        <v>39</v>
      </c>
      <c r="E105" s="63"/>
      <c r="F105" s="20" t="s">
        <v>14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4">
        <v>0</v>
      </c>
      <c r="U105" s="34">
        <v>0</v>
      </c>
      <c r="V105" s="34">
        <v>0</v>
      </c>
      <c r="W105" s="34">
        <v>0</v>
      </c>
      <c r="X105" s="34">
        <v>0</v>
      </c>
      <c r="Y105" s="34">
        <v>0</v>
      </c>
      <c r="Z105" s="34">
        <v>0</v>
      </c>
      <c r="AA105" s="34">
        <v>0</v>
      </c>
      <c r="AB105" s="34">
        <v>0</v>
      </c>
      <c r="AC105" s="34">
        <v>0</v>
      </c>
      <c r="AD105" s="34">
        <v>0</v>
      </c>
      <c r="AE105" s="34">
        <v>0</v>
      </c>
      <c r="AF105" s="34">
        <v>0</v>
      </c>
      <c r="AG105" s="34">
        <v>0</v>
      </c>
      <c r="AH105" s="34">
        <v>0</v>
      </c>
      <c r="AI105" s="34">
        <v>0</v>
      </c>
      <c r="AJ105" s="34">
        <v>0</v>
      </c>
      <c r="AK105" s="34">
        <v>0</v>
      </c>
      <c r="AM105" s="61">
        <v>0</v>
      </c>
      <c r="CB105" s="154"/>
      <c r="CC105" s="150"/>
      <c r="CD105" s="150"/>
      <c r="CE105" s="150"/>
      <c r="CF105" s="150"/>
      <c r="CG105" s="150"/>
      <c r="CH105" s="146"/>
      <c r="CI105" s="146"/>
      <c r="CJ105" s="146"/>
      <c r="CK105" s="146"/>
      <c r="CT105" s="146"/>
    </row>
    <row r="106" spans="3:98 15064:15456" s="1" customFormat="1" hidden="1" x14ac:dyDescent="0.25">
      <c r="C106" s="15"/>
      <c r="D106" s="30" t="s">
        <v>38</v>
      </c>
      <c r="E106" s="63"/>
      <c r="F106" s="20" t="s">
        <v>14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4">
        <v>0</v>
      </c>
      <c r="U106" s="34">
        <v>0</v>
      </c>
      <c r="V106" s="34">
        <v>0</v>
      </c>
      <c r="W106" s="34">
        <v>0</v>
      </c>
      <c r="X106" s="34">
        <v>0</v>
      </c>
      <c r="Y106" s="34">
        <v>0</v>
      </c>
      <c r="Z106" s="34">
        <v>0</v>
      </c>
      <c r="AA106" s="34">
        <v>0</v>
      </c>
      <c r="AB106" s="34">
        <v>0</v>
      </c>
      <c r="AC106" s="34">
        <v>0</v>
      </c>
      <c r="AD106" s="34">
        <v>0</v>
      </c>
      <c r="AE106" s="34">
        <v>0</v>
      </c>
      <c r="AF106" s="34">
        <v>0</v>
      </c>
      <c r="AG106" s="34">
        <v>0</v>
      </c>
      <c r="AH106" s="34">
        <v>0</v>
      </c>
      <c r="AI106" s="34">
        <v>0</v>
      </c>
      <c r="AJ106" s="34">
        <v>0</v>
      </c>
      <c r="AK106" s="34">
        <v>0</v>
      </c>
      <c r="AM106" s="61">
        <v>0</v>
      </c>
      <c r="CB106" s="146"/>
      <c r="CC106" s="146"/>
      <c r="CD106" s="146"/>
      <c r="CE106" s="146"/>
      <c r="CF106" s="146"/>
      <c r="CG106" s="146"/>
      <c r="CH106" s="146"/>
      <c r="CI106" s="146"/>
      <c r="CJ106" s="146"/>
      <c r="CK106" s="146"/>
      <c r="CT106" s="146"/>
    </row>
    <row r="107" spans="3:98 15064:15456" s="1" customFormat="1" hidden="1" x14ac:dyDescent="0.25">
      <c r="C107" s="15"/>
      <c r="D107" s="30" t="s">
        <v>50</v>
      </c>
      <c r="E107" s="63"/>
      <c r="F107" s="13" t="s">
        <v>14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4">
        <v>0</v>
      </c>
      <c r="U107" s="34">
        <v>0</v>
      </c>
      <c r="V107" s="34">
        <v>0</v>
      </c>
      <c r="W107" s="34">
        <v>0</v>
      </c>
      <c r="X107" s="34">
        <v>0</v>
      </c>
      <c r="Y107" s="34">
        <v>0</v>
      </c>
      <c r="Z107" s="34">
        <v>0</v>
      </c>
      <c r="AA107" s="34">
        <v>0</v>
      </c>
      <c r="AB107" s="34">
        <v>0</v>
      </c>
      <c r="AC107" s="34">
        <v>0</v>
      </c>
      <c r="AD107" s="34">
        <v>0</v>
      </c>
      <c r="AE107" s="34">
        <v>0</v>
      </c>
      <c r="AF107" s="34">
        <v>0</v>
      </c>
      <c r="AG107" s="34">
        <v>0</v>
      </c>
      <c r="AH107" s="34">
        <v>0</v>
      </c>
      <c r="AI107" s="34">
        <v>0</v>
      </c>
      <c r="AJ107" s="34">
        <v>0</v>
      </c>
      <c r="AK107" s="34">
        <v>0</v>
      </c>
      <c r="AM107" s="61">
        <v>0</v>
      </c>
      <c r="CT107" s="146"/>
    </row>
    <row r="108" spans="3:98 15064:15456" s="1" customFormat="1" hidden="1" x14ac:dyDescent="0.25">
      <c r="C108" s="15"/>
      <c r="D108" s="30" t="s">
        <v>29</v>
      </c>
      <c r="E108" s="63"/>
      <c r="F108" s="1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M108" s="66" t="s">
        <v>29</v>
      </c>
      <c r="CB108" s="146"/>
      <c r="CC108" s="146"/>
      <c r="CD108" s="146"/>
      <c r="CE108" s="146"/>
      <c r="CF108" s="146"/>
      <c r="CG108" s="146"/>
      <c r="CH108" s="146"/>
      <c r="CI108" s="146"/>
      <c r="CJ108" s="146"/>
      <c r="CK108" s="146"/>
      <c r="CT108" s="146"/>
    </row>
    <row r="109" spans="3:98 15064:15456" s="16" customFormat="1" hidden="1" x14ac:dyDescent="0.25">
      <c r="C109" s="17"/>
      <c r="D109" s="11" t="s">
        <v>45</v>
      </c>
      <c r="E109" s="56"/>
      <c r="F109" s="32" t="s">
        <v>31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M109" s="94">
        <v>0</v>
      </c>
      <c r="CB109" s="152"/>
      <c r="CC109" s="152"/>
      <c r="CD109" s="152"/>
      <c r="CE109" s="152"/>
      <c r="CF109" s="152"/>
      <c r="CG109" s="152"/>
      <c r="CH109" s="152"/>
      <c r="CI109" s="152"/>
      <c r="CJ109" s="152"/>
      <c r="CK109" s="152"/>
      <c r="CT109" s="152"/>
    </row>
    <row r="110" spans="3:98 15064:15456" s="16" customFormat="1" hidden="1" x14ac:dyDescent="0.25">
      <c r="C110" s="17"/>
      <c r="D110" s="11" t="s">
        <v>44</v>
      </c>
      <c r="E110" s="56"/>
      <c r="F110" s="32" t="s">
        <v>31</v>
      </c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M110" s="94">
        <v>0</v>
      </c>
      <c r="CB110" s="152"/>
      <c r="CC110" s="152"/>
      <c r="CD110" s="152"/>
      <c r="CE110" s="152"/>
      <c r="CF110" s="152"/>
      <c r="CG110" s="152"/>
      <c r="CH110" s="152"/>
      <c r="CI110" s="152"/>
      <c r="CJ110" s="152"/>
      <c r="CK110" s="152"/>
      <c r="CT110" s="152"/>
    </row>
    <row r="111" spans="3:98 15064:15456" s="1" customFormat="1" hidden="1" x14ac:dyDescent="0.25">
      <c r="C111" s="15"/>
      <c r="D111" s="30" t="s">
        <v>28</v>
      </c>
      <c r="E111" s="63"/>
      <c r="F111" s="1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M111" s="66" t="s">
        <v>28</v>
      </c>
      <c r="CB111" s="146"/>
      <c r="CC111" s="146"/>
      <c r="CD111" s="146"/>
      <c r="CE111" s="146"/>
      <c r="CF111" s="146"/>
      <c r="CG111" s="146"/>
      <c r="CH111" s="146"/>
      <c r="CI111" s="146"/>
      <c r="CJ111" s="146"/>
      <c r="CK111" s="146"/>
      <c r="CT111" s="146"/>
    </row>
    <row r="112" spans="3:98 15064:15456" s="1" customFormat="1" hidden="1" x14ac:dyDescent="0.25">
      <c r="C112" s="15"/>
      <c r="D112" s="11" t="s">
        <v>45</v>
      </c>
      <c r="E112" s="63"/>
      <c r="F112" s="20" t="s">
        <v>28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33">
        <v>0</v>
      </c>
      <c r="AH112" s="33">
        <v>0</v>
      </c>
      <c r="AI112" s="33">
        <v>0</v>
      </c>
      <c r="AJ112" s="33">
        <v>0</v>
      </c>
      <c r="AK112" s="33">
        <v>0</v>
      </c>
      <c r="AM112" s="57">
        <v>0</v>
      </c>
      <c r="CB112" s="146"/>
      <c r="CC112" s="146"/>
      <c r="CD112" s="146"/>
      <c r="CE112" s="146"/>
      <c r="CF112" s="146"/>
      <c r="CG112" s="146"/>
      <c r="CH112" s="146"/>
      <c r="CI112" s="146"/>
      <c r="CJ112" s="146"/>
      <c r="CK112" s="146"/>
      <c r="CT112" s="146"/>
    </row>
    <row r="113" spans="3:98 15064:15456" s="1" customFormat="1" hidden="1" x14ac:dyDescent="0.25">
      <c r="C113" s="15"/>
      <c r="D113" s="11" t="s">
        <v>44</v>
      </c>
      <c r="E113" s="63"/>
      <c r="F113" s="20" t="s">
        <v>28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X113" s="33">
        <v>0</v>
      </c>
      <c r="Y113" s="33">
        <v>0</v>
      </c>
      <c r="Z113" s="33">
        <v>0</v>
      </c>
      <c r="AA113" s="33">
        <v>0</v>
      </c>
      <c r="AB113" s="33">
        <v>0</v>
      </c>
      <c r="AC113" s="33">
        <v>0</v>
      </c>
      <c r="AD113" s="33">
        <v>0</v>
      </c>
      <c r="AE113" s="33">
        <v>0</v>
      </c>
      <c r="AF113" s="33">
        <v>0</v>
      </c>
      <c r="AG113" s="33">
        <v>0</v>
      </c>
      <c r="AH113" s="33">
        <v>0</v>
      </c>
      <c r="AI113" s="33">
        <v>0</v>
      </c>
      <c r="AJ113" s="33">
        <v>0</v>
      </c>
      <c r="AK113" s="33">
        <v>0</v>
      </c>
      <c r="AM113" s="57">
        <v>0</v>
      </c>
      <c r="CB113" s="146"/>
      <c r="CC113" s="146"/>
      <c r="CD113" s="146"/>
      <c r="CE113" s="146"/>
      <c r="CF113" s="146"/>
      <c r="CG113" s="146"/>
      <c r="CH113" s="146"/>
      <c r="CI113" s="146"/>
      <c r="CJ113" s="146"/>
      <c r="CK113" s="146"/>
      <c r="CT113" s="146"/>
    </row>
    <row r="114" spans="3:98 15064:15456" s="1" customFormat="1" hidden="1" x14ac:dyDescent="0.25">
      <c r="C114" s="15"/>
      <c r="D114" s="30" t="s">
        <v>36</v>
      </c>
      <c r="E114" s="63"/>
      <c r="F114" s="20" t="s">
        <v>35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0</v>
      </c>
      <c r="M114" s="33">
        <v>0</v>
      </c>
      <c r="N114" s="33">
        <v>0</v>
      </c>
      <c r="O114" s="33">
        <v>0</v>
      </c>
      <c r="P114" s="33">
        <v>0</v>
      </c>
      <c r="Q114" s="33">
        <v>0</v>
      </c>
      <c r="R114" s="33">
        <v>0</v>
      </c>
      <c r="S114" s="33">
        <v>0</v>
      </c>
      <c r="T114" s="33">
        <v>0</v>
      </c>
      <c r="U114" s="33">
        <v>0</v>
      </c>
      <c r="V114" s="33">
        <v>0</v>
      </c>
      <c r="W114" s="33">
        <v>0</v>
      </c>
      <c r="X114" s="33">
        <v>0</v>
      </c>
      <c r="Y114" s="33">
        <v>0</v>
      </c>
      <c r="Z114" s="33">
        <v>0</v>
      </c>
      <c r="AA114" s="33">
        <v>0</v>
      </c>
      <c r="AB114" s="33">
        <v>0</v>
      </c>
      <c r="AC114" s="33">
        <v>0</v>
      </c>
      <c r="AD114" s="33">
        <v>0</v>
      </c>
      <c r="AE114" s="33">
        <v>0</v>
      </c>
      <c r="AF114" s="33">
        <v>0</v>
      </c>
      <c r="AG114" s="33">
        <v>0</v>
      </c>
      <c r="AH114" s="33">
        <v>0</v>
      </c>
      <c r="AI114" s="33">
        <v>0</v>
      </c>
      <c r="AJ114" s="33">
        <v>0</v>
      </c>
      <c r="AK114" s="33">
        <v>0</v>
      </c>
      <c r="AM114" s="57">
        <v>0</v>
      </c>
      <c r="CB114" s="146"/>
      <c r="CC114" s="146"/>
      <c r="CD114" s="146"/>
      <c r="CE114" s="146"/>
      <c r="CF114" s="146"/>
      <c r="CG114" s="146"/>
      <c r="CH114" s="146"/>
      <c r="CI114" s="146"/>
      <c r="CJ114" s="146"/>
      <c r="CK114" s="146"/>
      <c r="CT114" s="146"/>
    </row>
    <row r="115" spans="3:98 15064:15456" s="1" customFormat="1" hidden="1" x14ac:dyDescent="0.25">
      <c r="C115" s="15"/>
      <c r="D115" s="30" t="s">
        <v>34</v>
      </c>
      <c r="E115" s="63"/>
      <c r="F115" s="20" t="s">
        <v>33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Z115" s="33">
        <v>0</v>
      </c>
      <c r="AA115" s="33">
        <v>0</v>
      </c>
      <c r="AB115" s="33">
        <v>0</v>
      </c>
      <c r="AC115" s="33">
        <v>0</v>
      </c>
      <c r="AD115" s="33">
        <v>0</v>
      </c>
      <c r="AE115" s="33">
        <v>0</v>
      </c>
      <c r="AF115" s="33">
        <v>0</v>
      </c>
      <c r="AG115" s="33">
        <v>0</v>
      </c>
      <c r="AH115" s="33">
        <v>0</v>
      </c>
      <c r="AI115" s="33">
        <v>0</v>
      </c>
      <c r="AJ115" s="33">
        <v>0</v>
      </c>
      <c r="AK115" s="33">
        <v>0</v>
      </c>
      <c r="AM115" s="57">
        <v>0</v>
      </c>
      <c r="CB115" s="146"/>
      <c r="CC115" s="146"/>
      <c r="CD115" s="146"/>
      <c r="CE115" s="146"/>
      <c r="CF115" s="146"/>
      <c r="CG115" s="146"/>
      <c r="CH115" s="146"/>
      <c r="CI115" s="146"/>
      <c r="CJ115" s="146"/>
      <c r="CK115" s="146"/>
      <c r="CT115" s="146"/>
    </row>
    <row r="116" spans="3:98 15064:15456" s="1" customFormat="1" hidden="1" x14ac:dyDescent="0.25">
      <c r="C116" s="8"/>
      <c r="D116" s="48" t="s">
        <v>32</v>
      </c>
      <c r="E116" s="49"/>
      <c r="F116" s="50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3"/>
      <c r="AM116" s="81" t="s">
        <v>131</v>
      </c>
      <c r="CB116" s="145"/>
      <c r="CC116" s="145"/>
      <c r="CD116" s="145"/>
      <c r="CE116" s="145"/>
      <c r="CF116" s="145"/>
      <c r="CG116" s="145"/>
      <c r="CH116" s="145"/>
      <c r="CI116" s="145"/>
      <c r="CJ116" s="145"/>
      <c r="CK116" s="145"/>
      <c r="CT116" s="145"/>
      <c r="VGJ116" s="47"/>
      <c r="VGK116" s="47"/>
      <c r="VGL116" s="47"/>
      <c r="VGM116" s="47"/>
      <c r="VGN116" s="47"/>
      <c r="VGO116" s="47"/>
      <c r="VGP116" s="47"/>
      <c r="VGQ116" s="47"/>
      <c r="VGR116" s="47"/>
      <c r="VGS116" s="47"/>
      <c r="VGT116" s="47"/>
      <c r="VGU116" s="47"/>
      <c r="VGV116" s="47"/>
      <c r="VGW116" s="47"/>
      <c r="VGX116" s="47"/>
      <c r="VGY116" s="47"/>
      <c r="VGZ116" s="47"/>
      <c r="VHA116" s="47"/>
      <c r="VHB116" s="47"/>
      <c r="VHC116" s="47"/>
      <c r="VHD116" s="47"/>
      <c r="VHE116" s="47"/>
      <c r="VHF116" s="47"/>
      <c r="VHG116" s="47"/>
      <c r="VHH116" s="47"/>
      <c r="VHI116" s="47"/>
      <c r="VHJ116" s="47"/>
      <c r="VHK116" s="47"/>
      <c r="VHL116" s="47"/>
      <c r="VHM116" s="47"/>
      <c r="VHN116" s="47"/>
      <c r="VHO116" s="47"/>
      <c r="VHP116" s="47"/>
      <c r="VHQ116" s="47"/>
      <c r="VHR116" s="47"/>
      <c r="VHS116" s="47"/>
      <c r="VHT116" s="47"/>
      <c r="VHU116" s="47"/>
      <c r="VHV116" s="47"/>
      <c r="VHW116" s="47"/>
      <c r="VHX116" s="47"/>
      <c r="VHY116" s="47"/>
      <c r="VHZ116" s="47"/>
      <c r="VIA116" s="47"/>
      <c r="VIB116" s="47"/>
      <c r="VIC116" s="47"/>
      <c r="VID116" s="47"/>
      <c r="VIE116" s="47"/>
      <c r="VIF116" s="47"/>
      <c r="VIG116" s="47"/>
      <c r="VIH116" s="47"/>
      <c r="VII116" s="47"/>
      <c r="VIJ116" s="47"/>
      <c r="VIK116" s="47"/>
      <c r="VIL116" s="47"/>
      <c r="VIM116" s="47"/>
      <c r="VIN116" s="47"/>
      <c r="VIO116" s="47"/>
      <c r="VIP116" s="47"/>
      <c r="VIQ116" s="47"/>
      <c r="VIR116" s="47"/>
      <c r="VIS116" s="47"/>
      <c r="VIT116" s="47"/>
      <c r="VIU116" s="47"/>
      <c r="VIV116" s="47"/>
      <c r="VIW116" s="47"/>
      <c r="VIX116" s="47"/>
      <c r="VIY116" s="47"/>
      <c r="VIZ116" s="47"/>
      <c r="VJA116" s="47"/>
      <c r="VJB116" s="47"/>
      <c r="VJC116" s="47"/>
      <c r="VJD116" s="47"/>
      <c r="VJE116" s="47"/>
      <c r="VJF116" s="47"/>
      <c r="VJG116" s="47"/>
      <c r="VJH116" s="47"/>
      <c r="VJI116" s="47"/>
      <c r="VJJ116" s="47"/>
      <c r="VJK116" s="47"/>
      <c r="VJL116" s="47"/>
      <c r="VJM116" s="47"/>
      <c r="VJN116" s="47"/>
      <c r="VJO116" s="47"/>
      <c r="VJP116" s="47"/>
      <c r="VJQ116" s="47"/>
      <c r="VJR116" s="47"/>
      <c r="VJS116" s="47"/>
      <c r="VJT116" s="47"/>
      <c r="VJU116" s="47"/>
      <c r="VJV116" s="47"/>
      <c r="VJW116" s="47"/>
      <c r="VJX116" s="47"/>
      <c r="VJY116" s="47"/>
      <c r="VJZ116" s="47"/>
      <c r="VKA116" s="47"/>
      <c r="VKB116" s="47"/>
      <c r="VKC116" s="47"/>
      <c r="VKD116" s="47"/>
      <c r="VKE116" s="47"/>
      <c r="VKF116" s="47"/>
      <c r="VKG116" s="47"/>
      <c r="VKH116" s="47"/>
      <c r="VKI116" s="47"/>
      <c r="VKJ116" s="47"/>
      <c r="VKK116" s="47"/>
      <c r="VKL116" s="47"/>
      <c r="VKM116" s="47"/>
      <c r="VKN116" s="47"/>
      <c r="VKO116" s="47"/>
      <c r="VKP116" s="47"/>
      <c r="VKQ116" s="47"/>
      <c r="VKR116" s="47"/>
      <c r="VKS116" s="47"/>
      <c r="VKT116" s="47"/>
      <c r="VKU116" s="47"/>
      <c r="VKV116" s="47"/>
      <c r="VKW116" s="47"/>
      <c r="VKX116" s="47"/>
      <c r="VKY116" s="47"/>
      <c r="VKZ116" s="47"/>
      <c r="VLA116" s="47"/>
      <c r="VLB116" s="47"/>
      <c r="VLC116" s="47"/>
      <c r="VLD116" s="47"/>
      <c r="VLE116" s="47"/>
      <c r="VLF116" s="47"/>
      <c r="VLG116" s="47"/>
      <c r="VLH116" s="47"/>
      <c r="VLI116" s="47"/>
      <c r="VLJ116" s="47"/>
      <c r="VLK116" s="47"/>
      <c r="VLL116" s="47"/>
      <c r="VLM116" s="47"/>
      <c r="VLN116" s="47"/>
      <c r="VLO116" s="47"/>
      <c r="VLP116" s="47"/>
      <c r="VLQ116" s="47"/>
      <c r="VLR116" s="47"/>
      <c r="VLS116" s="47"/>
      <c r="VLT116" s="47"/>
      <c r="VLU116" s="47"/>
      <c r="VLV116" s="47"/>
      <c r="VLW116" s="47"/>
      <c r="VLX116" s="47"/>
      <c r="VLY116" s="47"/>
      <c r="VLZ116" s="47"/>
      <c r="VMA116" s="47"/>
      <c r="VMB116" s="47"/>
      <c r="VMC116" s="47"/>
      <c r="VMD116" s="47"/>
      <c r="VME116" s="47"/>
      <c r="VMF116" s="47"/>
      <c r="VMG116" s="47"/>
      <c r="VMH116" s="47"/>
      <c r="VMI116" s="47"/>
      <c r="VMJ116" s="47"/>
      <c r="VMK116" s="47"/>
      <c r="VML116" s="47"/>
      <c r="VMM116" s="47"/>
      <c r="VMN116" s="47"/>
      <c r="VMO116" s="47"/>
      <c r="VMP116" s="47"/>
      <c r="VMQ116" s="47"/>
      <c r="VMR116" s="47"/>
      <c r="VMS116" s="47"/>
      <c r="VMT116" s="47"/>
      <c r="VMU116" s="47"/>
      <c r="VMV116" s="47"/>
      <c r="VMW116" s="47"/>
      <c r="VMX116" s="47"/>
      <c r="VMY116" s="47"/>
      <c r="VMZ116" s="47"/>
      <c r="VNA116" s="47"/>
      <c r="VNB116" s="47"/>
      <c r="VNC116" s="47"/>
      <c r="VND116" s="47"/>
      <c r="VNE116" s="47"/>
      <c r="VNF116" s="47"/>
      <c r="VNG116" s="47"/>
      <c r="VNH116" s="47"/>
      <c r="VNI116" s="47"/>
      <c r="VNJ116" s="47"/>
      <c r="VNK116" s="47"/>
      <c r="VNL116" s="47"/>
      <c r="VNM116" s="47"/>
      <c r="VNN116" s="47"/>
      <c r="VNO116" s="47"/>
      <c r="VNP116" s="47"/>
      <c r="VNQ116" s="47"/>
      <c r="VNR116" s="47"/>
      <c r="VNS116" s="47"/>
      <c r="VNT116" s="47"/>
      <c r="VNU116" s="47"/>
      <c r="VNV116" s="47"/>
      <c r="VNW116" s="47"/>
      <c r="VNX116" s="47"/>
      <c r="VNY116" s="47"/>
      <c r="VNZ116" s="47"/>
      <c r="VOA116" s="47"/>
      <c r="VOB116" s="47"/>
      <c r="VOC116" s="47"/>
      <c r="VOD116" s="47"/>
      <c r="VOE116" s="47"/>
      <c r="VOF116" s="47"/>
      <c r="VOG116" s="47"/>
      <c r="VOH116" s="47"/>
      <c r="VOI116" s="47"/>
      <c r="VOJ116" s="47"/>
      <c r="VOK116" s="47"/>
      <c r="VOL116" s="47"/>
      <c r="VOM116" s="47"/>
      <c r="VON116" s="47"/>
      <c r="VOO116" s="47"/>
      <c r="VOP116" s="47"/>
      <c r="VOQ116" s="47"/>
      <c r="VOR116" s="47"/>
      <c r="VOS116" s="47"/>
      <c r="VOT116" s="47"/>
      <c r="VOU116" s="47"/>
      <c r="VOV116" s="47"/>
      <c r="VOW116" s="47"/>
      <c r="VOX116" s="47"/>
      <c r="VOY116" s="47"/>
      <c r="VOZ116" s="47"/>
      <c r="VPA116" s="47"/>
      <c r="VPB116" s="47"/>
      <c r="VPC116" s="47"/>
      <c r="VPD116" s="47"/>
      <c r="VPE116" s="47"/>
      <c r="VPF116" s="47"/>
      <c r="VPG116" s="47"/>
      <c r="VPH116" s="47"/>
      <c r="VPI116" s="47"/>
      <c r="VPJ116" s="47"/>
      <c r="VPK116" s="47"/>
      <c r="VPL116" s="47"/>
      <c r="VPM116" s="47"/>
      <c r="VPN116" s="47"/>
      <c r="VPO116" s="47"/>
      <c r="VPP116" s="47"/>
      <c r="VPQ116" s="47"/>
      <c r="VPR116" s="47"/>
      <c r="VPS116" s="47"/>
      <c r="VPT116" s="47"/>
      <c r="VPU116" s="47"/>
      <c r="VPV116" s="47"/>
      <c r="VPW116" s="47"/>
      <c r="VPX116" s="47"/>
      <c r="VPY116" s="47"/>
      <c r="VPZ116" s="47"/>
      <c r="VQA116" s="47"/>
      <c r="VQB116" s="47"/>
      <c r="VQC116" s="47"/>
      <c r="VQD116" s="47"/>
      <c r="VQE116" s="47"/>
      <c r="VQF116" s="47"/>
      <c r="VQG116" s="47"/>
      <c r="VQH116" s="47"/>
      <c r="VQI116" s="47"/>
      <c r="VQJ116" s="47"/>
      <c r="VQK116" s="47"/>
      <c r="VQL116" s="47"/>
      <c r="VQM116" s="47"/>
      <c r="VQN116" s="47"/>
      <c r="VQO116" s="47"/>
      <c r="VQP116" s="47"/>
      <c r="VQQ116" s="47"/>
      <c r="VQR116" s="47"/>
      <c r="VQS116" s="47"/>
      <c r="VQT116" s="47"/>
      <c r="VQU116" s="47"/>
      <c r="VQV116" s="47"/>
      <c r="VQW116" s="47"/>
      <c r="VQX116" s="47"/>
      <c r="VQY116" s="47"/>
      <c r="VQZ116" s="47"/>
      <c r="VRA116" s="47"/>
      <c r="VRB116" s="47"/>
      <c r="VRC116" s="47"/>
      <c r="VRD116" s="47"/>
      <c r="VRE116" s="47"/>
      <c r="VRF116" s="47"/>
      <c r="VRG116" s="47"/>
      <c r="VRH116" s="47"/>
      <c r="VRI116" s="47"/>
      <c r="VRJ116" s="47"/>
      <c r="VRK116" s="47"/>
      <c r="VRL116" s="47"/>
      <c r="VRM116" s="47"/>
      <c r="VRN116" s="47"/>
      <c r="VRO116" s="47"/>
      <c r="VRP116" s="47"/>
      <c r="VRQ116" s="47"/>
      <c r="VRR116" s="47"/>
      <c r="VRS116" s="47"/>
      <c r="VRT116" s="47"/>
      <c r="VRU116" s="47"/>
      <c r="VRV116" s="47"/>
      <c r="VRW116" s="47"/>
      <c r="VRX116" s="47"/>
      <c r="VRY116" s="47"/>
      <c r="VRZ116" s="47"/>
      <c r="VSA116" s="47"/>
      <c r="VSB116" s="47"/>
      <c r="VSC116" s="47"/>
      <c r="VSD116" s="47"/>
      <c r="VSE116" s="47"/>
      <c r="VSF116" s="47"/>
      <c r="VSG116" s="47"/>
      <c r="VSH116" s="47"/>
      <c r="VSI116" s="47"/>
      <c r="VSJ116" s="47"/>
      <c r="VSK116" s="47"/>
      <c r="VSL116" s="47"/>
      <c r="VSM116" s="47"/>
      <c r="VSN116" s="47"/>
      <c r="VSO116" s="47"/>
      <c r="VSP116" s="47"/>
      <c r="VSQ116" s="47"/>
      <c r="VSR116" s="47"/>
      <c r="VSS116" s="47"/>
      <c r="VST116" s="47"/>
      <c r="VSU116" s="47"/>
      <c r="VSV116" s="47"/>
      <c r="VSW116" s="47"/>
      <c r="VSX116" s="47"/>
      <c r="VSY116" s="47"/>
      <c r="VSZ116" s="47"/>
      <c r="VTA116" s="47"/>
      <c r="VTB116" s="47"/>
      <c r="VTC116" s="47"/>
      <c r="VTD116" s="47"/>
      <c r="VTE116" s="47"/>
      <c r="VTF116" s="47"/>
      <c r="VTG116" s="47"/>
      <c r="VTH116" s="47"/>
      <c r="VTI116" s="47"/>
      <c r="VTJ116" s="47"/>
      <c r="VTK116" s="47"/>
      <c r="VTL116" s="47"/>
      <c r="VTM116" s="47"/>
      <c r="VTN116" s="47"/>
      <c r="VTO116" s="47"/>
      <c r="VTP116" s="47"/>
      <c r="VTQ116" s="47"/>
      <c r="VTR116" s="47"/>
      <c r="VTS116" s="47"/>
      <c r="VTT116" s="47"/>
      <c r="VTU116" s="47"/>
      <c r="VTV116" s="47"/>
      <c r="VTW116" s="47"/>
      <c r="VTX116" s="47"/>
      <c r="VTY116" s="47"/>
      <c r="VTZ116" s="47"/>
      <c r="VUA116" s="47"/>
      <c r="VUB116" s="47"/>
      <c r="VUC116" s="47"/>
      <c r="VUD116" s="47"/>
      <c r="VUE116" s="47"/>
      <c r="VUF116" s="47"/>
      <c r="VUG116" s="47"/>
      <c r="VUH116" s="47"/>
      <c r="VUI116" s="47"/>
      <c r="VUJ116" s="47"/>
      <c r="VUK116" s="47"/>
      <c r="VUL116" s="47"/>
      <c r="VUM116" s="47"/>
      <c r="VUN116" s="47"/>
      <c r="VUO116" s="47"/>
      <c r="VUP116" s="47"/>
      <c r="VUQ116" s="47"/>
      <c r="VUR116" s="47"/>
      <c r="VUS116" s="47"/>
      <c r="VUT116" s="47"/>
      <c r="VUU116" s="47"/>
      <c r="VUV116" s="47"/>
      <c r="VUW116" s="47"/>
      <c r="VUX116" s="47"/>
      <c r="VUY116" s="47"/>
      <c r="VUZ116" s="47"/>
      <c r="VVA116" s="47"/>
      <c r="VVB116" s="47"/>
      <c r="VVC116" s="47"/>
      <c r="VVD116" s="47"/>
      <c r="VVE116" s="47"/>
      <c r="VVF116" s="47"/>
      <c r="VVG116" s="47"/>
      <c r="VVH116" s="47"/>
      <c r="VVI116" s="47"/>
      <c r="VVJ116" s="47"/>
      <c r="VVK116" s="47"/>
      <c r="VVL116" s="47"/>
    </row>
    <row r="117" spans="3:98 15064:15456" s="1" customFormat="1" hidden="1" x14ac:dyDescent="0.25">
      <c r="C117" s="15"/>
      <c r="D117" s="30" t="s">
        <v>29</v>
      </c>
      <c r="E117" s="63"/>
      <c r="F117" s="1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M117" s="66" t="s">
        <v>29</v>
      </c>
      <c r="CT117" s="146"/>
    </row>
    <row r="118" spans="3:98 15064:15456" s="1" customFormat="1" hidden="1" x14ac:dyDescent="0.25">
      <c r="C118" s="15"/>
      <c r="D118" s="11" t="s">
        <v>45</v>
      </c>
      <c r="E118" s="63"/>
      <c r="F118" s="20" t="s">
        <v>31</v>
      </c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M118" s="57">
        <v>0</v>
      </c>
      <c r="CT118" s="146"/>
    </row>
    <row r="119" spans="3:98 15064:15456" s="1" customFormat="1" hidden="1" x14ac:dyDescent="0.25">
      <c r="C119" s="15"/>
      <c r="D119" s="11" t="s">
        <v>44</v>
      </c>
      <c r="E119" s="63"/>
      <c r="F119" s="20" t="s">
        <v>31</v>
      </c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M119" s="57">
        <v>0</v>
      </c>
      <c r="CT119" s="146"/>
    </row>
    <row r="120" spans="3:98 15064:15456" s="1" customFormat="1" hidden="1" x14ac:dyDescent="0.25">
      <c r="C120" s="15"/>
      <c r="D120" s="30" t="s">
        <v>28</v>
      </c>
      <c r="E120" s="63"/>
      <c r="F120" s="1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M120" s="66" t="s">
        <v>28</v>
      </c>
      <c r="CT120" s="146"/>
    </row>
    <row r="121" spans="3:98 15064:15456" s="1" customFormat="1" hidden="1" x14ac:dyDescent="0.25">
      <c r="C121" s="15"/>
      <c r="D121" s="11" t="s">
        <v>45</v>
      </c>
      <c r="E121" s="63"/>
      <c r="F121" s="20" t="s">
        <v>28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  <c r="Y121" s="33">
        <v>0</v>
      </c>
      <c r="Z121" s="33">
        <v>0</v>
      </c>
      <c r="AA121" s="33">
        <v>0</v>
      </c>
      <c r="AB121" s="33">
        <v>0</v>
      </c>
      <c r="AC121" s="33">
        <v>0</v>
      </c>
      <c r="AD121" s="33">
        <v>0</v>
      </c>
      <c r="AE121" s="33">
        <v>0</v>
      </c>
      <c r="AF121" s="33">
        <v>0</v>
      </c>
      <c r="AG121" s="33">
        <v>0</v>
      </c>
      <c r="AH121" s="33">
        <v>0</v>
      </c>
      <c r="AI121" s="33">
        <v>0</v>
      </c>
      <c r="AJ121" s="33">
        <v>0</v>
      </c>
      <c r="AK121" s="33">
        <v>0</v>
      </c>
      <c r="AM121" s="57">
        <v>0</v>
      </c>
      <c r="CT121" s="146"/>
    </row>
    <row r="122" spans="3:98 15064:15456" s="1" customFormat="1" hidden="1" x14ac:dyDescent="0.25">
      <c r="C122" s="15"/>
      <c r="D122" s="11" t="s">
        <v>44</v>
      </c>
      <c r="E122" s="63"/>
      <c r="F122" s="20" t="s">
        <v>28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Z122" s="33">
        <v>0</v>
      </c>
      <c r="AA122" s="33">
        <v>0</v>
      </c>
      <c r="AB122" s="33">
        <v>0</v>
      </c>
      <c r="AC122" s="33">
        <v>0</v>
      </c>
      <c r="AD122" s="33">
        <v>0</v>
      </c>
      <c r="AE122" s="33">
        <v>0</v>
      </c>
      <c r="AF122" s="33">
        <v>0</v>
      </c>
      <c r="AG122" s="33">
        <v>0</v>
      </c>
      <c r="AH122" s="33">
        <v>0</v>
      </c>
      <c r="AI122" s="33">
        <v>0</v>
      </c>
      <c r="AJ122" s="33">
        <v>0</v>
      </c>
      <c r="AK122" s="33">
        <v>0</v>
      </c>
      <c r="AM122" s="57">
        <v>0</v>
      </c>
      <c r="CT122" s="146"/>
    </row>
    <row r="123" spans="3:98 15064:15456" s="1" customFormat="1" hidden="1" x14ac:dyDescent="0.25">
      <c r="C123" s="8"/>
      <c r="D123" s="48" t="s">
        <v>30</v>
      </c>
      <c r="E123" s="49"/>
      <c r="F123" s="50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3"/>
      <c r="AM123" s="81" t="s">
        <v>131</v>
      </c>
      <c r="CT123" s="145"/>
      <c r="VGJ123" s="47"/>
      <c r="VGK123" s="47"/>
      <c r="VGL123" s="47"/>
      <c r="VGM123" s="47"/>
      <c r="VGN123" s="47"/>
      <c r="VGO123" s="47"/>
      <c r="VGP123" s="47"/>
      <c r="VGQ123" s="47"/>
      <c r="VGR123" s="47"/>
      <c r="VGS123" s="47"/>
      <c r="VGT123" s="47"/>
      <c r="VGU123" s="47"/>
      <c r="VGV123" s="47"/>
      <c r="VGW123" s="47"/>
      <c r="VGX123" s="47"/>
      <c r="VGY123" s="47"/>
      <c r="VGZ123" s="47"/>
      <c r="VHA123" s="47"/>
      <c r="VHB123" s="47"/>
      <c r="VHC123" s="47"/>
      <c r="VHD123" s="47"/>
      <c r="VHE123" s="47"/>
      <c r="VHF123" s="47"/>
      <c r="VHG123" s="47"/>
      <c r="VHH123" s="47"/>
      <c r="VHI123" s="47"/>
      <c r="VHJ123" s="47"/>
      <c r="VHK123" s="47"/>
      <c r="VHL123" s="47"/>
      <c r="VHM123" s="47"/>
      <c r="VHN123" s="47"/>
      <c r="VHO123" s="47"/>
      <c r="VHP123" s="47"/>
      <c r="VHQ123" s="47"/>
      <c r="VHR123" s="47"/>
      <c r="VHS123" s="47"/>
      <c r="VHT123" s="47"/>
      <c r="VHU123" s="47"/>
      <c r="VHV123" s="47"/>
      <c r="VHW123" s="47"/>
      <c r="VHX123" s="47"/>
      <c r="VHY123" s="47"/>
      <c r="VHZ123" s="47"/>
      <c r="VIA123" s="47"/>
      <c r="VIB123" s="47"/>
      <c r="VIC123" s="47"/>
      <c r="VID123" s="47"/>
      <c r="VIE123" s="47"/>
      <c r="VIF123" s="47"/>
      <c r="VIG123" s="47"/>
      <c r="VIH123" s="47"/>
      <c r="VII123" s="47"/>
      <c r="VIJ123" s="47"/>
      <c r="VIK123" s="47"/>
      <c r="VIL123" s="47"/>
      <c r="VIM123" s="47"/>
      <c r="VIN123" s="47"/>
      <c r="VIO123" s="47"/>
      <c r="VIP123" s="47"/>
      <c r="VIQ123" s="47"/>
      <c r="VIR123" s="47"/>
      <c r="VIS123" s="47"/>
      <c r="VIT123" s="47"/>
      <c r="VIU123" s="47"/>
      <c r="VIV123" s="47"/>
      <c r="VIW123" s="47"/>
      <c r="VIX123" s="47"/>
      <c r="VIY123" s="47"/>
      <c r="VIZ123" s="47"/>
      <c r="VJA123" s="47"/>
      <c r="VJB123" s="47"/>
      <c r="VJC123" s="47"/>
      <c r="VJD123" s="47"/>
      <c r="VJE123" s="47"/>
      <c r="VJF123" s="47"/>
      <c r="VJG123" s="47"/>
      <c r="VJH123" s="47"/>
      <c r="VJI123" s="47"/>
      <c r="VJJ123" s="47"/>
      <c r="VJK123" s="47"/>
      <c r="VJL123" s="47"/>
      <c r="VJM123" s="47"/>
      <c r="VJN123" s="47"/>
      <c r="VJO123" s="47"/>
      <c r="VJP123" s="47"/>
      <c r="VJQ123" s="47"/>
      <c r="VJR123" s="47"/>
      <c r="VJS123" s="47"/>
      <c r="VJT123" s="47"/>
      <c r="VJU123" s="47"/>
      <c r="VJV123" s="47"/>
      <c r="VJW123" s="47"/>
      <c r="VJX123" s="47"/>
      <c r="VJY123" s="47"/>
      <c r="VJZ123" s="47"/>
      <c r="VKA123" s="47"/>
      <c r="VKB123" s="47"/>
      <c r="VKC123" s="47"/>
      <c r="VKD123" s="47"/>
      <c r="VKE123" s="47"/>
      <c r="VKF123" s="47"/>
      <c r="VKG123" s="47"/>
      <c r="VKH123" s="47"/>
      <c r="VKI123" s="47"/>
      <c r="VKJ123" s="47"/>
      <c r="VKK123" s="47"/>
      <c r="VKL123" s="47"/>
      <c r="VKM123" s="47"/>
      <c r="VKN123" s="47"/>
      <c r="VKO123" s="47"/>
      <c r="VKP123" s="47"/>
      <c r="VKQ123" s="47"/>
      <c r="VKR123" s="47"/>
      <c r="VKS123" s="47"/>
      <c r="VKT123" s="47"/>
      <c r="VKU123" s="47"/>
      <c r="VKV123" s="47"/>
      <c r="VKW123" s="47"/>
      <c r="VKX123" s="47"/>
      <c r="VKY123" s="47"/>
      <c r="VKZ123" s="47"/>
      <c r="VLA123" s="47"/>
      <c r="VLB123" s="47"/>
      <c r="VLC123" s="47"/>
      <c r="VLD123" s="47"/>
      <c r="VLE123" s="47"/>
      <c r="VLF123" s="47"/>
      <c r="VLG123" s="47"/>
      <c r="VLH123" s="47"/>
      <c r="VLI123" s="47"/>
      <c r="VLJ123" s="47"/>
      <c r="VLK123" s="47"/>
      <c r="VLL123" s="47"/>
      <c r="VLM123" s="47"/>
      <c r="VLN123" s="47"/>
      <c r="VLO123" s="47"/>
      <c r="VLP123" s="47"/>
      <c r="VLQ123" s="47"/>
      <c r="VLR123" s="47"/>
      <c r="VLS123" s="47"/>
      <c r="VLT123" s="47"/>
      <c r="VLU123" s="47"/>
      <c r="VLV123" s="47"/>
      <c r="VLW123" s="47"/>
      <c r="VLX123" s="47"/>
      <c r="VLY123" s="47"/>
      <c r="VLZ123" s="47"/>
      <c r="VMA123" s="47"/>
      <c r="VMB123" s="47"/>
      <c r="VMC123" s="47"/>
      <c r="VMD123" s="47"/>
      <c r="VME123" s="47"/>
      <c r="VMF123" s="47"/>
      <c r="VMG123" s="47"/>
      <c r="VMH123" s="47"/>
      <c r="VMI123" s="47"/>
      <c r="VMJ123" s="47"/>
      <c r="VMK123" s="47"/>
      <c r="VML123" s="47"/>
      <c r="VMM123" s="47"/>
      <c r="VMN123" s="47"/>
      <c r="VMO123" s="47"/>
      <c r="VMP123" s="47"/>
      <c r="VMQ123" s="47"/>
      <c r="VMR123" s="47"/>
      <c r="VMS123" s="47"/>
      <c r="VMT123" s="47"/>
      <c r="VMU123" s="47"/>
      <c r="VMV123" s="47"/>
      <c r="VMW123" s="47"/>
      <c r="VMX123" s="47"/>
      <c r="VMY123" s="47"/>
      <c r="VMZ123" s="47"/>
      <c r="VNA123" s="47"/>
      <c r="VNB123" s="47"/>
      <c r="VNC123" s="47"/>
      <c r="VND123" s="47"/>
      <c r="VNE123" s="47"/>
      <c r="VNF123" s="47"/>
      <c r="VNG123" s="47"/>
      <c r="VNH123" s="47"/>
      <c r="VNI123" s="47"/>
      <c r="VNJ123" s="47"/>
      <c r="VNK123" s="47"/>
      <c r="VNL123" s="47"/>
      <c r="VNM123" s="47"/>
      <c r="VNN123" s="47"/>
      <c r="VNO123" s="47"/>
      <c r="VNP123" s="47"/>
      <c r="VNQ123" s="47"/>
      <c r="VNR123" s="47"/>
      <c r="VNS123" s="47"/>
      <c r="VNT123" s="47"/>
      <c r="VNU123" s="47"/>
      <c r="VNV123" s="47"/>
      <c r="VNW123" s="47"/>
      <c r="VNX123" s="47"/>
      <c r="VNY123" s="47"/>
      <c r="VNZ123" s="47"/>
      <c r="VOA123" s="47"/>
      <c r="VOB123" s="47"/>
      <c r="VOC123" s="47"/>
      <c r="VOD123" s="47"/>
      <c r="VOE123" s="47"/>
      <c r="VOF123" s="47"/>
      <c r="VOG123" s="47"/>
      <c r="VOH123" s="47"/>
      <c r="VOI123" s="47"/>
      <c r="VOJ123" s="47"/>
      <c r="VOK123" s="47"/>
      <c r="VOL123" s="47"/>
      <c r="VOM123" s="47"/>
      <c r="VON123" s="47"/>
      <c r="VOO123" s="47"/>
      <c r="VOP123" s="47"/>
      <c r="VOQ123" s="47"/>
      <c r="VOR123" s="47"/>
      <c r="VOS123" s="47"/>
      <c r="VOT123" s="47"/>
      <c r="VOU123" s="47"/>
      <c r="VOV123" s="47"/>
      <c r="VOW123" s="47"/>
      <c r="VOX123" s="47"/>
      <c r="VOY123" s="47"/>
      <c r="VOZ123" s="47"/>
      <c r="VPA123" s="47"/>
      <c r="VPB123" s="47"/>
      <c r="VPC123" s="47"/>
      <c r="VPD123" s="47"/>
      <c r="VPE123" s="47"/>
      <c r="VPF123" s="47"/>
      <c r="VPG123" s="47"/>
      <c r="VPH123" s="47"/>
      <c r="VPI123" s="47"/>
      <c r="VPJ123" s="47"/>
      <c r="VPK123" s="47"/>
      <c r="VPL123" s="47"/>
      <c r="VPM123" s="47"/>
      <c r="VPN123" s="47"/>
      <c r="VPO123" s="47"/>
      <c r="VPP123" s="47"/>
      <c r="VPQ123" s="47"/>
      <c r="VPR123" s="47"/>
      <c r="VPS123" s="47"/>
      <c r="VPT123" s="47"/>
      <c r="VPU123" s="47"/>
      <c r="VPV123" s="47"/>
      <c r="VPW123" s="47"/>
      <c r="VPX123" s="47"/>
      <c r="VPY123" s="47"/>
      <c r="VPZ123" s="47"/>
      <c r="VQA123" s="47"/>
      <c r="VQB123" s="47"/>
      <c r="VQC123" s="47"/>
      <c r="VQD123" s="47"/>
      <c r="VQE123" s="47"/>
      <c r="VQF123" s="47"/>
      <c r="VQG123" s="47"/>
      <c r="VQH123" s="47"/>
      <c r="VQI123" s="47"/>
      <c r="VQJ123" s="47"/>
      <c r="VQK123" s="47"/>
      <c r="VQL123" s="47"/>
      <c r="VQM123" s="47"/>
      <c r="VQN123" s="47"/>
      <c r="VQO123" s="47"/>
      <c r="VQP123" s="47"/>
      <c r="VQQ123" s="47"/>
      <c r="VQR123" s="47"/>
      <c r="VQS123" s="47"/>
      <c r="VQT123" s="47"/>
      <c r="VQU123" s="47"/>
      <c r="VQV123" s="47"/>
      <c r="VQW123" s="47"/>
      <c r="VQX123" s="47"/>
      <c r="VQY123" s="47"/>
      <c r="VQZ123" s="47"/>
      <c r="VRA123" s="47"/>
      <c r="VRB123" s="47"/>
      <c r="VRC123" s="47"/>
      <c r="VRD123" s="47"/>
      <c r="VRE123" s="47"/>
      <c r="VRF123" s="47"/>
      <c r="VRG123" s="47"/>
      <c r="VRH123" s="47"/>
      <c r="VRI123" s="47"/>
      <c r="VRJ123" s="47"/>
      <c r="VRK123" s="47"/>
      <c r="VRL123" s="47"/>
      <c r="VRM123" s="47"/>
      <c r="VRN123" s="47"/>
      <c r="VRO123" s="47"/>
      <c r="VRP123" s="47"/>
      <c r="VRQ123" s="47"/>
      <c r="VRR123" s="47"/>
      <c r="VRS123" s="47"/>
      <c r="VRT123" s="47"/>
      <c r="VRU123" s="47"/>
      <c r="VRV123" s="47"/>
      <c r="VRW123" s="47"/>
      <c r="VRX123" s="47"/>
      <c r="VRY123" s="47"/>
      <c r="VRZ123" s="47"/>
      <c r="VSA123" s="47"/>
      <c r="VSB123" s="47"/>
      <c r="VSC123" s="47"/>
      <c r="VSD123" s="47"/>
      <c r="VSE123" s="47"/>
      <c r="VSF123" s="47"/>
      <c r="VSG123" s="47"/>
      <c r="VSH123" s="47"/>
      <c r="VSI123" s="47"/>
      <c r="VSJ123" s="47"/>
      <c r="VSK123" s="47"/>
      <c r="VSL123" s="47"/>
      <c r="VSM123" s="47"/>
      <c r="VSN123" s="47"/>
      <c r="VSO123" s="47"/>
      <c r="VSP123" s="47"/>
      <c r="VSQ123" s="47"/>
      <c r="VSR123" s="47"/>
      <c r="VSS123" s="47"/>
      <c r="VST123" s="47"/>
      <c r="VSU123" s="47"/>
      <c r="VSV123" s="47"/>
      <c r="VSW123" s="47"/>
      <c r="VSX123" s="47"/>
      <c r="VSY123" s="47"/>
      <c r="VSZ123" s="47"/>
      <c r="VTA123" s="47"/>
      <c r="VTB123" s="47"/>
      <c r="VTC123" s="47"/>
      <c r="VTD123" s="47"/>
      <c r="VTE123" s="47"/>
      <c r="VTF123" s="47"/>
      <c r="VTG123" s="47"/>
      <c r="VTH123" s="47"/>
      <c r="VTI123" s="47"/>
      <c r="VTJ123" s="47"/>
      <c r="VTK123" s="47"/>
      <c r="VTL123" s="47"/>
      <c r="VTM123" s="47"/>
      <c r="VTN123" s="47"/>
      <c r="VTO123" s="47"/>
      <c r="VTP123" s="47"/>
      <c r="VTQ123" s="47"/>
      <c r="VTR123" s="47"/>
      <c r="VTS123" s="47"/>
      <c r="VTT123" s="47"/>
      <c r="VTU123" s="47"/>
      <c r="VTV123" s="47"/>
      <c r="VTW123" s="47"/>
      <c r="VTX123" s="47"/>
      <c r="VTY123" s="47"/>
      <c r="VTZ123" s="47"/>
      <c r="VUA123" s="47"/>
      <c r="VUB123" s="47"/>
      <c r="VUC123" s="47"/>
      <c r="VUD123" s="47"/>
      <c r="VUE123" s="47"/>
      <c r="VUF123" s="47"/>
      <c r="VUG123" s="47"/>
      <c r="VUH123" s="47"/>
      <c r="VUI123" s="47"/>
      <c r="VUJ123" s="47"/>
      <c r="VUK123" s="47"/>
      <c r="VUL123" s="47"/>
      <c r="VUM123" s="47"/>
      <c r="VUN123" s="47"/>
      <c r="VUO123" s="47"/>
      <c r="VUP123" s="47"/>
      <c r="VUQ123" s="47"/>
      <c r="VUR123" s="47"/>
      <c r="VUS123" s="47"/>
      <c r="VUT123" s="47"/>
      <c r="VUU123" s="47"/>
      <c r="VUV123" s="47"/>
      <c r="VUW123" s="47"/>
      <c r="VUX123" s="47"/>
      <c r="VUY123" s="47"/>
      <c r="VUZ123" s="47"/>
      <c r="VVA123" s="47"/>
      <c r="VVB123" s="47"/>
      <c r="VVC123" s="47"/>
      <c r="VVD123" s="47"/>
      <c r="VVE123" s="47"/>
      <c r="VVF123" s="47"/>
      <c r="VVG123" s="47"/>
      <c r="VVH123" s="47"/>
      <c r="VVI123" s="47"/>
      <c r="VVJ123" s="47"/>
      <c r="VVK123" s="47"/>
      <c r="VVL123" s="47"/>
    </row>
    <row r="124" spans="3:98 15064:15456" s="1" customFormat="1" hidden="1" x14ac:dyDescent="0.25">
      <c r="C124" s="15"/>
      <c r="D124" s="30" t="s">
        <v>29</v>
      </c>
      <c r="E124" s="63"/>
      <c r="F124" s="1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M124" s="66" t="s">
        <v>29</v>
      </c>
      <c r="CT124" s="146"/>
    </row>
    <row r="125" spans="3:98 15064:15456" s="1" customFormat="1" hidden="1" x14ac:dyDescent="0.25">
      <c r="C125" s="15"/>
      <c r="D125" s="11" t="s">
        <v>45</v>
      </c>
      <c r="E125" s="130">
        <v>0.3</v>
      </c>
      <c r="F125" s="20" t="s">
        <v>25</v>
      </c>
      <c r="G125" s="34" t="e">
        <v>#DIV/0!</v>
      </c>
      <c r="H125" s="34" t="e">
        <v>#DIV/0!</v>
      </c>
      <c r="I125" s="34" t="e">
        <v>#DIV/0!</v>
      </c>
      <c r="J125" s="34" t="e">
        <v>#DIV/0!</v>
      </c>
      <c r="K125" s="34" t="e">
        <v>#DIV/0!</v>
      </c>
      <c r="L125" s="34" t="e">
        <v>#DIV/0!</v>
      </c>
      <c r="M125" s="34" t="e">
        <v>#DIV/0!</v>
      </c>
      <c r="N125" s="34" t="e">
        <v>#DIV/0!</v>
      </c>
      <c r="O125" s="34" t="e">
        <v>#DIV/0!</v>
      </c>
      <c r="P125" s="34" t="e">
        <v>#DIV/0!</v>
      </c>
      <c r="Q125" s="34" t="e">
        <v>#DIV/0!</v>
      </c>
      <c r="R125" s="34" t="e">
        <v>#DIV/0!</v>
      </c>
      <c r="S125" s="34" t="e">
        <v>#DIV/0!</v>
      </c>
      <c r="T125" s="34" t="e">
        <v>#DIV/0!</v>
      </c>
      <c r="U125" s="34" t="e">
        <v>#DIV/0!</v>
      </c>
      <c r="V125" s="34" t="e">
        <v>#DIV/0!</v>
      </c>
      <c r="W125" s="34" t="e">
        <v>#DIV/0!</v>
      </c>
      <c r="X125" s="34" t="e">
        <v>#DIV/0!</v>
      </c>
      <c r="Y125" s="34" t="e">
        <v>#DIV/0!</v>
      </c>
      <c r="Z125" s="34" t="e">
        <v>#DIV/0!</v>
      </c>
      <c r="AA125" s="34" t="e">
        <v>#DIV/0!</v>
      </c>
      <c r="AB125" s="34" t="e">
        <v>#DIV/0!</v>
      </c>
      <c r="AC125" s="34" t="e">
        <v>#DIV/0!</v>
      </c>
      <c r="AD125" s="34" t="e">
        <v>#DIV/0!</v>
      </c>
      <c r="AE125" s="34" t="e">
        <v>#DIV/0!</v>
      </c>
      <c r="AF125" s="34" t="e">
        <v>#DIV/0!</v>
      </c>
      <c r="AG125" s="34" t="e">
        <v>#DIV/0!</v>
      </c>
      <c r="AH125" s="34" t="e">
        <v>#DIV/0!</v>
      </c>
      <c r="AI125" s="34" t="e">
        <v>#DIV/0!</v>
      </c>
      <c r="AJ125" s="34" t="e">
        <v>#DIV/0!</v>
      </c>
      <c r="AK125" s="34" t="e">
        <v>#DIV/0!</v>
      </c>
      <c r="AM125" s="61" t="e">
        <v>#DIV/0!</v>
      </c>
      <c r="CT125" s="146"/>
    </row>
    <row r="126" spans="3:98 15064:15456" s="1" customFormat="1" hidden="1" x14ac:dyDescent="0.25">
      <c r="C126" s="15"/>
      <c r="D126" s="11" t="s">
        <v>44</v>
      </c>
      <c r="E126" s="130">
        <v>0.3</v>
      </c>
      <c r="F126" s="20" t="s">
        <v>25</v>
      </c>
      <c r="G126" s="34" t="e">
        <v>#DIV/0!</v>
      </c>
      <c r="H126" s="34" t="e">
        <v>#DIV/0!</v>
      </c>
      <c r="I126" s="34" t="e">
        <v>#DIV/0!</v>
      </c>
      <c r="J126" s="34" t="e">
        <v>#DIV/0!</v>
      </c>
      <c r="K126" s="34" t="e">
        <v>#DIV/0!</v>
      </c>
      <c r="L126" s="34" t="e">
        <v>#DIV/0!</v>
      </c>
      <c r="M126" s="34" t="e">
        <v>#DIV/0!</v>
      </c>
      <c r="N126" s="34" t="e">
        <v>#DIV/0!</v>
      </c>
      <c r="O126" s="34" t="e">
        <v>#DIV/0!</v>
      </c>
      <c r="P126" s="34" t="e">
        <v>#DIV/0!</v>
      </c>
      <c r="Q126" s="34" t="e">
        <v>#DIV/0!</v>
      </c>
      <c r="R126" s="34" t="e">
        <v>#DIV/0!</v>
      </c>
      <c r="S126" s="34" t="e">
        <v>#DIV/0!</v>
      </c>
      <c r="T126" s="34" t="e">
        <v>#DIV/0!</v>
      </c>
      <c r="U126" s="34" t="e">
        <v>#DIV/0!</v>
      </c>
      <c r="V126" s="34" t="e">
        <v>#DIV/0!</v>
      </c>
      <c r="W126" s="34" t="e">
        <v>#DIV/0!</v>
      </c>
      <c r="X126" s="34" t="e">
        <v>#DIV/0!</v>
      </c>
      <c r="Y126" s="34" t="e">
        <v>#DIV/0!</v>
      </c>
      <c r="Z126" s="34" t="e">
        <v>#DIV/0!</v>
      </c>
      <c r="AA126" s="34" t="e">
        <v>#DIV/0!</v>
      </c>
      <c r="AB126" s="34" t="e">
        <v>#DIV/0!</v>
      </c>
      <c r="AC126" s="34" t="e">
        <v>#DIV/0!</v>
      </c>
      <c r="AD126" s="34" t="e">
        <v>#DIV/0!</v>
      </c>
      <c r="AE126" s="34" t="e">
        <v>#DIV/0!</v>
      </c>
      <c r="AF126" s="34" t="e">
        <v>#DIV/0!</v>
      </c>
      <c r="AG126" s="34" t="e">
        <v>#DIV/0!</v>
      </c>
      <c r="AH126" s="34" t="e">
        <v>#DIV/0!</v>
      </c>
      <c r="AI126" s="34" t="e">
        <v>#DIV/0!</v>
      </c>
      <c r="AJ126" s="34" t="e">
        <v>#DIV/0!</v>
      </c>
      <c r="AK126" s="34" t="e">
        <v>#DIV/0!</v>
      </c>
      <c r="AM126" s="61" t="e">
        <v>#DIV/0!</v>
      </c>
      <c r="CT126" s="146"/>
    </row>
    <row r="127" spans="3:98 15064:15456" s="1" customFormat="1" hidden="1" x14ac:dyDescent="0.25">
      <c r="C127" s="15"/>
      <c r="D127" s="30" t="s">
        <v>28</v>
      </c>
      <c r="E127" s="130"/>
      <c r="F127" s="13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M127" s="66" t="s">
        <v>28</v>
      </c>
      <c r="CT127" s="146"/>
    </row>
    <row r="128" spans="3:98 15064:15456" s="1" customFormat="1" hidden="1" x14ac:dyDescent="0.25">
      <c r="C128" s="15"/>
      <c r="D128" s="11" t="s">
        <v>45</v>
      </c>
      <c r="E128" s="130">
        <v>0.5</v>
      </c>
      <c r="F128" s="20" t="s">
        <v>25</v>
      </c>
      <c r="G128" s="34" t="e">
        <v>#DIV/0!</v>
      </c>
      <c r="H128" s="34" t="e">
        <v>#DIV/0!</v>
      </c>
      <c r="I128" s="34" t="e">
        <v>#DIV/0!</v>
      </c>
      <c r="J128" s="34" t="e">
        <v>#DIV/0!</v>
      </c>
      <c r="K128" s="34" t="e">
        <v>#DIV/0!</v>
      </c>
      <c r="L128" s="34" t="e">
        <v>#DIV/0!</v>
      </c>
      <c r="M128" s="34" t="e">
        <v>#DIV/0!</v>
      </c>
      <c r="N128" s="34" t="e">
        <v>#DIV/0!</v>
      </c>
      <c r="O128" s="34" t="e">
        <v>#DIV/0!</v>
      </c>
      <c r="P128" s="34" t="e">
        <v>#DIV/0!</v>
      </c>
      <c r="Q128" s="34" t="e">
        <v>#DIV/0!</v>
      </c>
      <c r="R128" s="34" t="e">
        <v>#DIV/0!</v>
      </c>
      <c r="S128" s="34" t="e">
        <v>#DIV/0!</v>
      </c>
      <c r="T128" s="34" t="e">
        <v>#DIV/0!</v>
      </c>
      <c r="U128" s="34" t="e">
        <v>#DIV/0!</v>
      </c>
      <c r="V128" s="34" t="e">
        <v>#DIV/0!</v>
      </c>
      <c r="W128" s="34" t="e">
        <v>#DIV/0!</v>
      </c>
      <c r="X128" s="34" t="e">
        <v>#DIV/0!</v>
      </c>
      <c r="Y128" s="34" t="e">
        <v>#DIV/0!</v>
      </c>
      <c r="Z128" s="34" t="e">
        <v>#DIV/0!</v>
      </c>
      <c r="AA128" s="34" t="e">
        <v>#DIV/0!</v>
      </c>
      <c r="AB128" s="34" t="e">
        <v>#DIV/0!</v>
      </c>
      <c r="AC128" s="34" t="e">
        <v>#DIV/0!</v>
      </c>
      <c r="AD128" s="34" t="e">
        <v>#DIV/0!</v>
      </c>
      <c r="AE128" s="34" t="e">
        <v>#DIV/0!</v>
      </c>
      <c r="AF128" s="34" t="e">
        <v>#DIV/0!</v>
      </c>
      <c r="AG128" s="34" t="e">
        <v>#DIV/0!</v>
      </c>
      <c r="AH128" s="34" t="e">
        <v>#DIV/0!</v>
      </c>
      <c r="AI128" s="34" t="e">
        <v>#DIV/0!</v>
      </c>
      <c r="AJ128" s="34" t="e">
        <v>#DIV/0!</v>
      </c>
      <c r="AK128" s="34" t="e">
        <v>#DIV/0!</v>
      </c>
      <c r="AM128" s="61" t="e">
        <v>#DIV/0!</v>
      </c>
      <c r="CT128" s="146"/>
    </row>
    <row r="129" spans="3:98" s="1" customFormat="1" hidden="1" x14ac:dyDescent="0.25">
      <c r="C129" s="15"/>
      <c r="D129" s="11" t="s">
        <v>44</v>
      </c>
      <c r="E129" s="130">
        <v>0.5</v>
      </c>
      <c r="F129" s="20" t="s">
        <v>25</v>
      </c>
      <c r="G129" s="34" t="e">
        <v>#DIV/0!</v>
      </c>
      <c r="H129" s="34" t="e">
        <v>#DIV/0!</v>
      </c>
      <c r="I129" s="34" t="e">
        <v>#DIV/0!</v>
      </c>
      <c r="J129" s="34" t="e">
        <v>#DIV/0!</v>
      </c>
      <c r="K129" s="34" t="e">
        <v>#DIV/0!</v>
      </c>
      <c r="L129" s="34" t="e">
        <v>#DIV/0!</v>
      </c>
      <c r="M129" s="34" t="e">
        <v>#DIV/0!</v>
      </c>
      <c r="N129" s="34" t="e">
        <v>#DIV/0!</v>
      </c>
      <c r="O129" s="34" t="e">
        <v>#DIV/0!</v>
      </c>
      <c r="P129" s="34" t="e">
        <v>#DIV/0!</v>
      </c>
      <c r="Q129" s="34" t="e">
        <v>#DIV/0!</v>
      </c>
      <c r="R129" s="34" t="e">
        <v>#DIV/0!</v>
      </c>
      <c r="S129" s="34" t="e">
        <v>#DIV/0!</v>
      </c>
      <c r="T129" s="34" t="e">
        <v>#DIV/0!</v>
      </c>
      <c r="U129" s="34" t="e">
        <v>#DIV/0!</v>
      </c>
      <c r="V129" s="34" t="e">
        <v>#DIV/0!</v>
      </c>
      <c r="W129" s="34" t="e">
        <v>#DIV/0!</v>
      </c>
      <c r="X129" s="34" t="e">
        <v>#DIV/0!</v>
      </c>
      <c r="Y129" s="34" t="e">
        <v>#DIV/0!</v>
      </c>
      <c r="Z129" s="34" t="e">
        <v>#DIV/0!</v>
      </c>
      <c r="AA129" s="34" t="e">
        <v>#DIV/0!</v>
      </c>
      <c r="AB129" s="34" t="e">
        <v>#DIV/0!</v>
      </c>
      <c r="AC129" s="34" t="e">
        <v>#DIV/0!</v>
      </c>
      <c r="AD129" s="34" t="e">
        <v>#DIV/0!</v>
      </c>
      <c r="AE129" s="34" t="e">
        <v>#DIV/0!</v>
      </c>
      <c r="AF129" s="34" t="e">
        <v>#DIV/0!</v>
      </c>
      <c r="AG129" s="34" t="e">
        <v>#DIV/0!</v>
      </c>
      <c r="AH129" s="34" t="e">
        <v>#DIV/0!</v>
      </c>
      <c r="AI129" s="34" t="e">
        <v>#DIV/0!</v>
      </c>
      <c r="AJ129" s="34" t="e">
        <v>#DIV/0!</v>
      </c>
      <c r="AK129" s="34" t="e">
        <v>#DIV/0!</v>
      </c>
      <c r="AM129" s="61" t="e">
        <v>#DIV/0!</v>
      </c>
      <c r="CT129" s="146"/>
    </row>
    <row r="130" spans="3:98" s="1" customFormat="1" hidden="1" x14ac:dyDescent="0.25">
      <c r="C130" s="15"/>
      <c r="D130" s="48" t="s">
        <v>43</v>
      </c>
      <c r="E130" s="131"/>
      <c r="F130" s="95"/>
      <c r="G130" s="293"/>
      <c r="H130" s="293"/>
      <c r="I130" s="293"/>
      <c r="J130" s="293"/>
      <c r="K130" s="293"/>
      <c r="L130" s="293"/>
      <c r="M130" s="293"/>
      <c r="N130" s="293"/>
      <c r="O130" s="293"/>
      <c r="P130" s="293"/>
      <c r="Q130" s="293"/>
      <c r="R130" s="293"/>
      <c r="S130" s="293"/>
      <c r="T130" s="293"/>
      <c r="U130" s="293"/>
      <c r="V130" s="293"/>
      <c r="W130" s="293"/>
      <c r="X130" s="293"/>
      <c r="Y130" s="293"/>
      <c r="Z130" s="293"/>
      <c r="AA130" s="293"/>
      <c r="AB130" s="293"/>
      <c r="AC130" s="293"/>
      <c r="AD130" s="293"/>
      <c r="AE130" s="293"/>
      <c r="AF130" s="293"/>
      <c r="AG130" s="293"/>
      <c r="AH130" s="293"/>
      <c r="AI130" s="293"/>
      <c r="AJ130" s="293"/>
      <c r="AK130" s="293"/>
      <c r="AL130" s="18"/>
      <c r="AM130" s="81" t="s">
        <v>130</v>
      </c>
    </row>
    <row r="131" spans="3:98" s="1" customFormat="1" hidden="1" x14ac:dyDescent="0.25">
      <c r="C131" s="15"/>
      <c r="D131" s="28" t="s">
        <v>114</v>
      </c>
      <c r="E131" s="130"/>
      <c r="F131" s="20" t="s">
        <v>14</v>
      </c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35"/>
      <c r="AM131" s="92">
        <v>0</v>
      </c>
    </row>
    <row r="132" spans="3:98" s="1" customFormat="1" hidden="1" x14ac:dyDescent="0.25">
      <c r="C132" s="15"/>
      <c r="D132" s="28" t="s">
        <v>115</v>
      </c>
      <c r="E132" s="130"/>
      <c r="F132" s="20" t="s">
        <v>14</v>
      </c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6"/>
      <c r="AM132" s="96">
        <v>0</v>
      </c>
    </row>
    <row r="133" spans="3:98" s="1" customFormat="1" hidden="1" x14ac:dyDescent="0.25">
      <c r="C133" s="15"/>
      <c r="D133" s="30" t="s">
        <v>39</v>
      </c>
      <c r="E133" s="130"/>
      <c r="F133" s="20" t="s">
        <v>14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4">
        <v>0</v>
      </c>
      <c r="U133" s="34">
        <v>0</v>
      </c>
      <c r="V133" s="34">
        <v>0</v>
      </c>
      <c r="W133" s="34">
        <v>0</v>
      </c>
      <c r="X133" s="34">
        <v>0</v>
      </c>
      <c r="Y133" s="34">
        <v>0</v>
      </c>
      <c r="Z133" s="34">
        <v>0</v>
      </c>
      <c r="AA133" s="34">
        <v>0</v>
      </c>
      <c r="AB133" s="34">
        <v>0</v>
      </c>
      <c r="AC133" s="34">
        <v>0</v>
      </c>
      <c r="AD133" s="34">
        <v>0</v>
      </c>
      <c r="AE133" s="34">
        <v>0</v>
      </c>
      <c r="AF133" s="34">
        <v>0</v>
      </c>
      <c r="AG133" s="34">
        <v>0</v>
      </c>
      <c r="AH133" s="34">
        <v>0</v>
      </c>
      <c r="AI133" s="34">
        <v>0</v>
      </c>
      <c r="AJ133" s="34">
        <v>0</v>
      </c>
      <c r="AK133" s="34">
        <v>0</v>
      </c>
      <c r="AL133" s="18"/>
      <c r="AM133" s="61">
        <v>0</v>
      </c>
    </row>
    <row r="134" spans="3:98" s="1" customFormat="1" hidden="1" x14ac:dyDescent="0.25">
      <c r="C134" s="15"/>
      <c r="D134" s="30" t="s">
        <v>38</v>
      </c>
      <c r="E134" s="130"/>
      <c r="F134" s="20" t="s">
        <v>14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4">
        <v>0</v>
      </c>
      <c r="U134" s="34">
        <v>0</v>
      </c>
      <c r="V134" s="34">
        <v>0</v>
      </c>
      <c r="W134" s="34">
        <v>0</v>
      </c>
      <c r="X134" s="34">
        <v>0</v>
      </c>
      <c r="Y134" s="34">
        <v>0</v>
      </c>
      <c r="Z134" s="34">
        <v>0</v>
      </c>
      <c r="AA134" s="34">
        <v>0</v>
      </c>
      <c r="AB134" s="34">
        <v>0</v>
      </c>
      <c r="AC134" s="34">
        <v>0</v>
      </c>
      <c r="AD134" s="34">
        <v>0</v>
      </c>
      <c r="AE134" s="34">
        <v>0</v>
      </c>
      <c r="AF134" s="34">
        <v>0</v>
      </c>
      <c r="AG134" s="34">
        <v>0</v>
      </c>
      <c r="AH134" s="34">
        <v>0</v>
      </c>
      <c r="AI134" s="34">
        <v>0</v>
      </c>
      <c r="AJ134" s="34">
        <v>0</v>
      </c>
      <c r="AK134" s="34">
        <v>0</v>
      </c>
      <c r="AL134" s="18"/>
      <c r="AM134" s="61">
        <v>0</v>
      </c>
    </row>
    <row r="135" spans="3:98" s="1" customFormat="1" hidden="1" x14ac:dyDescent="0.25">
      <c r="C135" s="15"/>
      <c r="D135" s="30" t="s">
        <v>29</v>
      </c>
      <c r="E135" s="130"/>
      <c r="F135" s="1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6"/>
      <c r="AM135" s="66" t="s">
        <v>29</v>
      </c>
    </row>
    <row r="136" spans="3:98" s="1" customFormat="1" hidden="1" x14ac:dyDescent="0.2">
      <c r="C136" s="15"/>
      <c r="D136" s="11" t="s">
        <v>42</v>
      </c>
      <c r="E136" s="130"/>
      <c r="F136" s="32" t="s">
        <v>31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7"/>
      <c r="AM136" s="94">
        <v>0</v>
      </c>
    </row>
    <row r="137" spans="3:98" s="1" customFormat="1" hidden="1" x14ac:dyDescent="0.2">
      <c r="C137" s="15"/>
      <c r="D137" s="11" t="s">
        <v>41</v>
      </c>
      <c r="E137" s="130"/>
      <c r="F137" s="32" t="s">
        <v>31</v>
      </c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7"/>
      <c r="AM137" s="94">
        <v>0</v>
      </c>
    </row>
    <row r="138" spans="3:98" s="1" customFormat="1" hidden="1" x14ac:dyDescent="0.25">
      <c r="C138" s="15"/>
      <c r="D138" s="30" t="s">
        <v>28</v>
      </c>
      <c r="E138" s="130"/>
      <c r="F138" s="1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6"/>
      <c r="AM138" s="66" t="s">
        <v>28</v>
      </c>
    </row>
    <row r="139" spans="3:98" s="1" customFormat="1" hidden="1" x14ac:dyDescent="0.25">
      <c r="C139" s="15"/>
      <c r="D139" s="11" t="s">
        <v>42</v>
      </c>
      <c r="E139" s="130"/>
      <c r="F139" s="20" t="s">
        <v>28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</v>
      </c>
      <c r="AC139" s="33">
        <v>0</v>
      </c>
      <c r="AD139" s="33">
        <v>0</v>
      </c>
      <c r="AE139" s="33">
        <v>0</v>
      </c>
      <c r="AF139" s="33">
        <v>0</v>
      </c>
      <c r="AG139" s="33">
        <v>0</v>
      </c>
      <c r="AH139" s="33">
        <v>0</v>
      </c>
      <c r="AI139" s="33">
        <v>0</v>
      </c>
      <c r="AJ139" s="33">
        <v>0</v>
      </c>
      <c r="AK139" s="33">
        <v>0</v>
      </c>
      <c r="AL139" s="6"/>
      <c r="AM139" s="57">
        <v>0</v>
      </c>
    </row>
    <row r="140" spans="3:98" s="1" customFormat="1" hidden="1" x14ac:dyDescent="0.25">
      <c r="C140" s="15"/>
      <c r="D140" s="11" t="s">
        <v>41</v>
      </c>
      <c r="E140" s="130"/>
      <c r="F140" s="20" t="s">
        <v>28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0</v>
      </c>
      <c r="AC140" s="33">
        <v>0</v>
      </c>
      <c r="AD140" s="33">
        <v>0</v>
      </c>
      <c r="AE140" s="33">
        <v>0</v>
      </c>
      <c r="AF140" s="33">
        <v>0</v>
      </c>
      <c r="AG140" s="33">
        <v>0</v>
      </c>
      <c r="AH140" s="33">
        <v>0</v>
      </c>
      <c r="AI140" s="33">
        <v>0</v>
      </c>
      <c r="AJ140" s="33">
        <v>0</v>
      </c>
      <c r="AK140" s="33">
        <v>0</v>
      </c>
      <c r="AL140" s="6"/>
      <c r="AM140" s="57">
        <v>0</v>
      </c>
    </row>
    <row r="141" spans="3:98" s="1" customFormat="1" hidden="1" x14ac:dyDescent="0.25">
      <c r="C141" s="15"/>
      <c r="D141" s="30" t="s">
        <v>36</v>
      </c>
      <c r="E141" s="130"/>
      <c r="F141" s="20" t="s">
        <v>35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3">
        <v>0</v>
      </c>
      <c r="AB141" s="33">
        <v>0</v>
      </c>
      <c r="AC141" s="33">
        <v>0</v>
      </c>
      <c r="AD141" s="33">
        <v>0</v>
      </c>
      <c r="AE141" s="33">
        <v>0</v>
      </c>
      <c r="AF141" s="33">
        <v>0</v>
      </c>
      <c r="AG141" s="33">
        <v>0</v>
      </c>
      <c r="AH141" s="33">
        <v>0</v>
      </c>
      <c r="AI141" s="33">
        <v>0</v>
      </c>
      <c r="AJ141" s="33">
        <v>0</v>
      </c>
      <c r="AK141" s="33">
        <v>0</v>
      </c>
      <c r="AL141" s="6"/>
      <c r="AM141" s="57">
        <v>0</v>
      </c>
    </row>
    <row r="142" spans="3:98" s="1" customFormat="1" hidden="1" x14ac:dyDescent="0.25">
      <c r="C142" s="15"/>
      <c r="D142" s="30" t="s">
        <v>34</v>
      </c>
      <c r="E142" s="130"/>
      <c r="F142" s="20" t="s">
        <v>33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  <c r="AC142" s="33">
        <v>0</v>
      </c>
      <c r="AD142" s="33">
        <v>0</v>
      </c>
      <c r="AE142" s="33">
        <v>0</v>
      </c>
      <c r="AF142" s="33">
        <v>0</v>
      </c>
      <c r="AG142" s="33">
        <v>0</v>
      </c>
      <c r="AH142" s="33">
        <v>0</v>
      </c>
      <c r="AI142" s="33">
        <v>0</v>
      </c>
      <c r="AJ142" s="33">
        <v>0</v>
      </c>
      <c r="AK142" s="33">
        <v>0</v>
      </c>
      <c r="AL142" s="6"/>
      <c r="AM142" s="57">
        <v>0</v>
      </c>
    </row>
    <row r="143" spans="3:98" s="1" customFormat="1" hidden="1" x14ac:dyDescent="0.25">
      <c r="C143" s="15"/>
      <c r="D143" s="48" t="s">
        <v>32</v>
      </c>
      <c r="E143" s="131"/>
      <c r="F143" s="50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18"/>
      <c r="AM143" s="81" t="s">
        <v>131</v>
      </c>
    </row>
    <row r="144" spans="3:98" s="1" customFormat="1" hidden="1" x14ac:dyDescent="0.25">
      <c r="C144" s="15"/>
      <c r="D144" s="30" t="s">
        <v>29</v>
      </c>
      <c r="E144" s="130"/>
      <c r="F144" s="1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18"/>
      <c r="AM144" s="66" t="s">
        <v>29</v>
      </c>
    </row>
    <row r="145" spans="3:98 15064:15456" s="1" customFormat="1" hidden="1" x14ac:dyDescent="0.25">
      <c r="C145" s="15"/>
      <c r="D145" s="11" t="s">
        <v>42</v>
      </c>
      <c r="E145" s="130"/>
      <c r="F145" s="20" t="s">
        <v>31</v>
      </c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18"/>
      <c r="AM145" s="57">
        <v>0</v>
      </c>
    </row>
    <row r="146" spans="3:98 15064:15456" s="1" customFormat="1" hidden="1" x14ac:dyDescent="0.25">
      <c r="C146" s="15"/>
      <c r="D146" s="11" t="s">
        <v>41</v>
      </c>
      <c r="E146" s="130"/>
      <c r="F146" s="20" t="s">
        <v>31</v>
      </c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18"/>
      <c r="AM146" s="57">
        <v>0</v>
      </c>
    </row>
    <row r="147" spans="3:98 15064:15456" s="1" customFormat="1" hidden="1" x14ac:dyDescent="0.25">
      <c r="C147" s="15"/>
      <c r="D147" s="30" t="s">
        <v>28</v>
      </c>
      <c r="E147" s="130"/>
      <c r="F147" s="1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18"/>
      <c r="AM147" s="66" t="s">
        <v>28</v>
      </c>
    </row>
    <row r="148" spans="3:98 15064:15456" s="1" customFormat="1" hidden="1" x14ac:dyDescent="0.25">
      <c r="C148" s="15"/>
      <c r="D148" s="11" t="s">
        <v>42</v>
      </c>
      <c r="E148" s="130"/>
      <c r="F148" s="20" t="s">
        <v>28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3">
        <v>0</v>
      </c>
      <c r="O148" s="33">
        <v>0</v>
      </c>
      <c r="P148" s="33">
        <v>0</v>
      </c>
      <c r="Q148" s="33">
        <v>0</v>
      </c>
      <c r="R148" s="33">
        <v>0</v>
      </c>
      <c r="S148" s="33">
        <v>0</v>
      </c>
      <c r="T148" s="33">
        <v>0</v>
      </c>
      <c r="U148" s="33">
        <v>0</v>
      </c>
      <c r="V148" s="33">
        <v>0</v>
      </c>
      <c r="W148" s="33">
        <v>0</v>
      </c>
      <c r="X148" s="33">
        <v>0</v>
      </c>
      <c r="Y148" s="33">
        <v>0</v>
      </c>
      <c r="Z148" s="33">
        <v>0</v>
      </c>
      <c r="AA148" s="33">
        <v>0</v>
      </c>
      <c r="AB148" s="33">
        <v>0</v>
      </c>
      <c r="AC148" s="33">
        <v>0</v>
      </c>
      <c r="AD148" s="33">
        <v>0</v>
      </c>
      <c r="AE148" s="33">
        <v>0</v>
      </c>
      <c r="AF148" s="33">
        <v>0</v>
      </c>
      <c r="AG148" s="33">
        <v>0</v>
      </c>
      <c r="AH148" s="33">
        <v>0</v>
      </c>
      <c r="AI148" s="33">
        <v>0</v>
      </c>
      <c r="AJ148" s="33">
        <v>0</v>
      </c>
      <c r="AK148" s="33">
        <v>0</v>
      </c>
      <c r="AL148" s="18"/>
      <c r="AM148" s="57">
        <v>0</v>
      </c>
    </row>
    <row r="149" spans="3:98 15064:15456" s="1" customFormat="1" hidden="1" x14ac:dyDescent="0.25">
      <c r="C149" s="15"/>
      <c r="D149" s="11" t="s">
        <v>41</v>
      </c>
      <c r="E149" s="130"/>
      <c r="F149" s="20" t="s">
        <v>28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3">
        <v>0</v>
      </c>
      <c r="O149" s="33">
        <v>0</v>
      </c>
      <c r="P149" s="33">
        <v>0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33">
        <v>0</v>
      </c>
      <c r="Y149" s="33">
        <v>0</v>
      </c>
      <c r="Z149" s="33">
        <v>0</v>
      </c>
      <c r="AA149" s="33">
        <v>0</v>
      </c>
      <c r="AB149" s="33">
        <v>0</v>
      </c>
      <c r="AC149" s="33">
        <v>0</v>
      </c>
      <c r="AD149" s="33">
        <v>0</v>
      </c>
      <c r="AE149" s="33">
        <v>0</v>
      </c>
      <c r="AF149" s="33">
        <v>0</v>
      </c>
      <c r="AG149" s="33">
        <v>0</v>
      </c>
      <c r="AH149" s="33">
        <v>0</v>
      </c>
      <c r="AI149" s="33">
        <v>0</v>
      </c>
      <c r="AJ149" s="33">
        <v>0</v>
      </c>
      <c r="AK149" s="33">
        <v>0</v>
      </c>
      <c r="AL149" s="18"/>
      <c r="AM149" s="57">
        <v>0</v>
      </c>
    </row>
    <row r="150" spans="3:98 15064:15456" s="1" customFormat="1" hidden="1" x14ac:dyDescent="0.25">
      <c r="C150" s="15"/>
      <c r="D150" s="48" t="s">
        <v>30</v>
      </c>
      <c r="E150" s="131"/>
      <c r="F150" s="95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  <c r="AL150" s="18"/>
      <c r="AM150" s="98"/>
    </row>
    <row r="151" spans="3:98 15064:15456" s="1" customFormat="1" hidden="1" x14ac:dyDescent="0.25">
      <c r="C151" s="15"/>
      <c r="D151" s="30" t="s">
        <v>29</v>
      </c>
      <c r="E151" s="130"/>
      <c r="F151" s="20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18"/>
      <c r="AM151" s="57"/>
    </row>
    <row r="152" spans="3:98 15064:15456" s="1" customFormat="1" hidden="1" x14ac:dyDescent="0.25">
      <c r="C152" s="15"/>
      <c r="D152" s="11" t="s">
        <v>42</v>
      </c>
      <c r="E152" s="130"/>
      <c r="F152" s="20" t="s">
        <v>25</v>
      </c>
      <c r="G152" s="33" t="e">
        <v>#DIV/0!</v>
      </c>
      <c r="H152" s="33" t="e">
        <v>#DIV/0!</v>
      </c>
      <c r="I152" s="33" t="e">
        <v>#DIV/0!</v>
      </c>
      <c r="J152" s="33" t="e">
        <v>#DIV/0!</v>
      </c>
      <c r="K152" s="33" t="e">
        <v>#DIV/0!</v>
      </c>
      <c r="L152" s="33" t="e">
        <v>#DIV/0!</v>
      </c>
      <c r="M152" s="33" t="e">
        <v>#DIV/0!</v>
      </c>
      <c r="N152" s="33" t="e">
        <v>#DIV/0!</v>
      </c>
      <c r="O152" s="33" t="e">
        <v>#DIV/0!</v>
      </c>
      <c r="P152" s="33" t="e">
        <v>#DIV/0!</v>
      </c>
      <c r="Q152" s="33" t="e">
        <v>#DIV/0!</v>
      </c>
      <c r="R152" s="33" t="e">
        <v>#DIV/0!</v>
      </c>
      <c r="S152" s="33" t="e">
        <v>#DIV/0!</v>
      </c>
      <c r="T152" s="33" t="e">
        <v>#DIV/0!</v>
      </c>
      <c r="U152" s="33" t="e">
        <v>#DIV/0!</v>
      </c>
      <c r="V152" s="33" t="e">
        <v>#DIV/0!</v>
      </c>
      <c r="W152" s="33" t="e">
        <v>#DIV/0!</v>
      </c>
      <c r="X152" s="33" t="e">
        <v>#DIV/0!</v>
      </c>
      <c r="Y152" s="33" t="e">
        <v>#DIV/0!</v>
      </c>
      <c r="Z152" s="33" t="e">
        <v>#DIV/0!</v>
      </c>
      <c r="AA152" s="33" t="e">
        <v>#DIV/0!</v>
      </c>
      <c r="AB152" s="33" t="e">
        <v>#DIV/0!</v>
      </c>
      <c r="AC152" s="33" t="e">
        <v>#DIV/0!</v>
      </c>
      <c r="AD152" s="33" t="e">
        <v>#DIV/0!</v>
      </c>
      <c r="AE152" s="33" t="e">
        <v>#DIV/0!</v>
      </c>
      <c r="AF152" s="33" t="e">
        <v>#DIV/0!</v>
      </c>
      <c r="AG152" s="33" t="e">
        <v>#DIV/0!</v>
      </c>
      <c r="AH152" s="33" t="e">
        <v>#DIV/0!</v>
      </c>
      <c r="AI152" s="33" t="e">
        <v>#DIV/0!</v>
      </c>
      <c r="AJ152" s="33" t="e">
        <v>#DIV/0!</v>
      </c>
      <c r="AK152" s="33" t="e">
        <v>#DIV/0!</v>
      </c>
      <c r="AL152" s="37"/>
      <c r="AM152" s="57" t="e">
        <v>#DIV/0!</v>
      </c>
    </row>
    <row r="153" spans="3:98 15064:15456" s="1" customFormat="1" hidden="1" x14ac:dyDescent="0.25">
      <c r="C153" s="15"/>
      <c r="D153" s="11" t="s">
        <v>92</v>
      </c>
      <c r="E153" s="130"/>
      <c r="F153" s="20" t="s">
        <v>25</v>
      </c>
      <c r="G153" s="33" t="e">
        <v>#DIV/0!</v>
      </c>
      <c r="H153" s="33" t="e">
        <v>#DIV/0!</v>
      </c>
      <c r="I153" s="33" t="e">
        <v>#DIV/0!</v>
      </c>
      <c r="J153" s="33" t="e">
        <v>#DIV/0!</v>
      </c>
      <c r="K153" s="33" t="e">
        <v>#DIV/0!</v>
      </c>
      <c r="L153" s="33" t="e">
        <v>#DIV/0!</v>
      </c>
      <c r="M153" s="33" t="e">
        <v>#DIV/0!</v>
      </c>
      <c r="N153" s="33" t="e">
        <v>#DIV/0!</v>
      </c>
      <c r="O153" s="33" t="e">
        <v>#DIV/0!</v>
      </c>
      <c r="P153" s="33" t="e">
        <v>#DIV/0!</v>
      </c>
      <c r="Q153" s="33" t="e">
        <v>#DIV/0!</v>
      </c>
      <c r="R153" s="33" t="e">
        <v>#DIV/0!</v>
      </c>
      <c r="S153" s="33" t="e">
        <v>#DIV/0!</v>
      </c>
      <c r="T153" s="33" t="e">
        <v>#DIV/0!</v>
      </c>
      <c r="U153" s="33" t="e">
        <v>#DIV/0!</v>
      </c>
      <c r="V153" s="33" t="e">
        <v>#DIV/0!</v>
      </c>
      <c r="W153" s="33" t="e">
        <v>#DIV/0!</v>
      </c>
      <c r="X153" s="33" t="e">
        <v>#DIV/0!</v>
      </c>
      <c r="Y153" s="33" t="e">
        <v>#DIV/0!</v>
      </c>
      <c r="Z153" s="33" t="e">
        <v>#DIV/0!</v>
      </c>
      <c r="AA153" s="33" t="e">
        <v>#DIV/0!</v>
      </c>
      <c r="AB153" s="33" t="e">
        <v>#DIV/0!</v>
      </c>
      <c r="AC153" s="33" t="e">
        <v>#DIV/0!</v>
      </c>
      <c r="AD153" s="33" t="e">
        <v>#DIV/0!</v>
      </c>
      <c r="AE153" s="33" t="e">
        <v>#DIV/0!</v>
      </c>
      <c r="AF153" s="33" t="e">
        <v>#DIV/0!</v>
      </c>
      <c r="AG153" s="33" t="e">
        <v>#DIV/0!</v>
      </c>
      <c r="AH153" s="33" t="e">
        <v>#DIV/0!</v>
      </c>
      <c r="AI153" s="33" t="e">
        <v>#DIV/0!</v>
      </c>
      <c r="AJ153" s="33" t="e">
        <v>#DIV/0!</v>
      </c>
      <c r="AK153" s="33" t="e">
        <v>#DIV/0!</v>
      </c>
      <c r="AL153" s="37"/>
      <c r="AM153" s="57" t="e">
        <v>#DIV/0!</v>
      </c>
    </row>
    <row r="154" spans="3:98 15064:15456" s="1" customFormat="1" hidden="1" x14ac:dyDescent="0.25">
      <c r="C154" s="15"/>
      <c r="D154" s="30" t="s">
        <v>28</v>
      </c>
      <c r="E154" s="130"/>
      <c r="F154" s="1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7"/>
      <c r="AM154" s="57"/>
    </row>
    <row r="155" spans="3:98 15064:15456" s="1" customFormat="1" hidden="1" x14ac:dyDescent="0.25">
      <c r="C155" s="15"/>
      <c r="D155" s="11" t="s">
        <v>42</v>
      </c>
      <c r="E155" s="130"/>
      <c r="F155" s="20" t="s">
        <v>25</v>
      </c>
      <c r="G155" s="33" t="e">
        <v>#DIV/0!</v>
      </c>
      <c r="H155" s="33" t="e">
        <v>#DIV/0!</v>
      </c>
      <c r="I155" s="33" t="e">
        <v>#DIV/0!</v>
      </c>
      <c r="J155" s="33" t="e">
        <v>#DIV/0!</v>
      </c>
      <c r="K155" s="33" t="e">
        <v>#DIV/0!</v>
      </c>
      <c r="L155" s="33" t="e">
        <v>#DIV/0!</v>
      </c>
      <c r="M155" s="33" t="e">
        <v>#DIV/0!</v>
      </c>
      <c r="N155" s="33" t="e">
        <v>#DIV/0!</v>
      </c>
      <c r="O155" s="33" t="e">
        <v>#DIV/0!</v>
      </c>
      <c r="P155" s="33" t="e">
        <v>#DIV/0!</v>
      </c>
      <c r="Q155" s="33" t="e">
        <v>#DIV/0!</v>
      </c>
      <c r="R155" s="33" t="e">
        <v>#DIV/0!</v>
      </c>
      <c r="S155" s="33" t="e">
        <v>#DIV/0!</v>
      </c>
      <c r="T155" s="33" t="e">
        <v>#DIV/0!</v>
      </c>
      <c r="U155" s="33" t="e">
        <v>#DIV/0!</v>
      </c>
      <c r="V155" s="33" t="e">
        <v>#DIV/0!</v>
      </c>
      <c r="W155" s="33" t="e">
        <v>#DIV/0!</v>
      </c>
      <c r="X155" s="33" t="e">
        <v>#DIV/0!</v>
      </c>
      <c r="Y155" s="33" t="e">
        <v>#DIV/0!</v>
      </c>
      <c r="Z155" s="33" t="e">
        <v>#DIV/0!</v>
      </c>
      <c r="AA155" s="33" t="e">
        <v>#DIV/0!</v>
      </c>
      <c r="AB155" s="33" t="e">
        <v>#DIV/0!</v>
      </c>
      <c r="AC155" s="33" t="e">
        <v>#DIV/0!</v>
      </c>
      <c r="AD155" s="33" t="e">
        <v>#DIV/0!</v>
      </c>
      <c r="AE155" s="33" t="e">
        <v>#DIV/0!</v>
      </c>
      <c r="AF155" s="33" t="e">
        <v>#DIV/0!</v>
      </c>
      <c r="AG155" s="33" t="e">
        <v>#DIV/0!</v>
      </c>
      <c r="AH155" s="33" t="e">
        <v>#DIV/0!</v>
      </c>
      <c r="AI155" s="33" t="e">
        <v>#DIV/0!</v>
      </c>
      <c r="AJ155" s="33" t="e">
        <v>#DIV/0!</v>
      </c>
      <c r="AK155" s="33" t="e">
        <v>#DIV/0!</v>
      </c>
      <c r="AL155" s="37"/>
      <c r="AM155" s="57" t="e">
        <v>#DIV/0!</v>
      </c>
    </row>
    <row r="156" spans="3:98 15064:15456" s="1" customFormat="1" ht="15.75" hidden="1" thickBot="1" x14ac:dyDescent="0.3">
      <c r="C156" s="19"/>
      <c r="D156" s="11" t="s">
        <v>92</v>
      </c>
      <c r="E156" s="130"/>
      <c r="F156" s="20" t="s">
        <v>25</v>
      </c>
      <c r="G156" s="33" t="e">
        <v>#DIV/0!</v>
      </c>
      <c r="H156" s="33" t="e">
        <v>#DIV/0!</v>
      </c>
      <c r="I156" s="33" t="e">
        <v>#DIV/0!</v>
      </c>
      <c r="J156" s="33" t="e">
        <v>#DIV/0!</v>
      </c>
      <c r="K156" s="33" t="e">
        <v>#DIV/0!</v>
      </c>
      <c r="L156" s="33" t="e">
        <v>#DIV/0!</v>
      </c>
      <c r="M156" s="33" t="e">
        <v>#DIV/0!</v>
      </c>
      <c r="N156" s="33" t="e">
        <v>#DIV/0!</v>
      </c>
      <c r="O156" s="33" t="e">
        <v>#DIV/0!</v>
      </c>
      <c r="P156" s="33" t="e">
        <v>#DIV/0!</v>
      </c>
      <c r="Q156" s="33" t="e">
        <v>#DIV/0!</v>
      </c>
      <c r="R156" s="33" t="e">
        <v>#DIV/0!</v>
      </c>
      <c r="S156" s="33" t="e">
        <v>#DIV/0!</v>
      </c>
      <c r="T156" s="33" t="e">
        <v>#DIV/0!</v>
      </c>
      <c r="U156" s="33" t="e">
        <v>#DIV/0!</v>
      </c>
      <c r="V156" s="33" t="e">
        <v>#DIV/0!</v>
      </c>
      <c r="W156" s="33" t="e">
        <v>#DIV/0!</v>
      </c>
      <c r="X156" s="33" t="e">
        <v>#DIV/0!</v>
      </c>
      <c r="Y156" s="33" t="e">
        <v>#DIV/0!</v>
      </c>
      <c r="Z156" s="33" t="e">
        <v>#DIV/0!</v>
      </c>
      <c r="AA156" s="33" t="e">
        <v>#DIV/0!</v>
      </c>
      <c r="AB156" s="33" t="e">
        <v>#DIV/0!</v>
      </c>
      <c r="AC156" s="33" t="e">
        <v>#DIV/0!</v>
      </c>
      <c r="AD156" s="33" t="e">
        <v>#DIV/0!</v>
      </c>
      <c r="AE156" s="33" t="e">
        <v>#DIV/0!</v>
      </c>
      <c r="AF156" s="33" t="e">
        <v>#DIV/0!</v>
      </c>
      <c r="AG156" s="33" t="e">
        <v>#DIV/0!</v>
      </c>
      <c r="AH156" s="33" t="e">
        <v>#DIV/0!</v>
      </c>
      <c r="AI156" s="33" t="e">
        <v>#DIV/0!</v>
      </c>
      <c r="AJ156" s="33" t="e">
        <v>#DIV/0!</v>
      </c>
      <c r="AK156" s="33" t="e">
        <v>#DIV/0!</v>
      </c>
      <c r="AL156" s="37"/>
      <c r="AM156" s="57" t="e">
        <v>#DIV/0!</v>
      </c>
    </row>
    <row r="157" spans="3:98 15064:15456" s="1" customFormat="1" hidden="1" x14ac:dyDescent="0.25">
      <c r="C157" s="8">
        <v>6</v>
      </c>
      <c r="D157" s="48" t="s">
        <v>40</v>
      </c>
      <c r="E157" s="49"/>
      <c r="F157" s="50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  <c r="AL157" s="3"/>
      <c r="AM157" s="81" t="s">
        <v>130</v>
      </c>
      <c r="CT157" s="145"/>
      <c r="VGJ157" s="47"/>
      <c r="VGK157" s="47"/>
      <c r="VGL157" s="47"/>
      <c r="VGM157" s="47"/>
      <c r="VGN157" s="47"/>
      <c r="VGO157" s="47"/>
      <c r="VGP157" s="47"/>
      <c r="VGQ157" s="47"/>
      <c r="VGR157" s="47"/>
      <c r="VGS157" s="47"/>
      <c r="VGT157" s="47"/>
      <c r="VGU157" s="47"/>
      <c r="VGV157" s="47"/>
      <c r="VGW157" s="47"/>
      <c r="VGX157" s="47"/>
      <c r="VGY157" s="47"/>
      <c r="VGZ157" s="47"/>
      <c r="VHA157" s="47"/>
      <c r="VHB157" s="47"/>
      <c r="VHC157" s="47"/>
      <c r="VHD157" s="47"/>
      <c r="VHE157" s="47"/>
      <c r="VHF157" s="47"/>
      <c r="VHG157" s="47"/>
      <c r="VHH157" s="47"/>
      <c r="VHI157" s="47"/>
      <c r="VHJ157" s="47"/>
      <c r="VHK157" s="47"/>
      <c r="VHL157" s="47"/>
      <c r="VHM157" s="47"/>
      <c r="VHN157" s="47"/>
      <c r="VHO157" s="47"/>
      <c r="VHP157" s="47"/>
      <c r="VHQ157" s="47"/>
      <c r="VHR157" s="47"/>
      <c r="VHS157" s="47"/>
      <c r="VHT157" s="47"/>
      <c r="VHU157" s="47"/>
      <c r="VHV157" s="47"/>
      <c r="VHW157" s="47"/>
      <c r="VHX157" s="47"/>
      <c r="VHY157" s="47"/>
      <c r="VHZ157" s="47"/>
      <c r="VIA157" s="47"/>
      <c r="VIB157" s="47"/>
      <c r="VIC157" s="47"/>
      <c r="VID157" s="47"/>
      <c r="VIE157" s="47"/>
      <c r="VIF157" s="47"/>
      <c r="VIG157" s="47"/>
      <c r="VIH157" s="47"/>
      <c r="VII157" s="47"/>
      <c r="VIJ157" s="47"/>
      <c r="VIK157" s="47"/>
      <c r="VIL157" s="47"/>
      <c r="VIM157" s="47"/>
      <c r="VIN157" s="47"/>
      <c r="VIO157" s="47"/>
      <c r="VIP157" s="47"/>
      <c r="VIQ157" s="47"/>
      <c r="VIR157" s="47"/>
      <c r="VIS157" s="47"/>
      <c r="VIT157" s="47"/>
      <c r="VIU157" s="47"/>
      <c r="VIV157" s="47"/>
      <c r="VIW157" s="47"/>
      <c r="VIX157" s="47"/>
      <c r="VIY157" s="47"/>
      <c r="VIZ157" s="47"/>
      <c r="VJA157" s="47"/>
      <c r="VJB157" s="47"/>
      <c r="VJC157" s="47"/>
      <c r="VJD157" s="47"/>
      <c r="VJE157" s="47"/>
      <c r="VJF157" s="47"/>
      <c r="VJG157" s="47"/>
      <c r="VJH157" s="47"/>
      <c r="VJI157" s="47"/>
      <c r="VJJ157" s="47"/>
      <c r="VJK157" s="47"/>
      <c r="VJL157" s="47"/>
      <c r="VJM157" s="47"/>
      <c r="VJN157" s="47"/>
      <c r="VJO157" s="47"/>
      <c r="VJP157" s="47"/>
      <c r="VJQ157" s="47"/>
      <c r="VJR157" s="47"/>
      <c r="VJS157" s="47"/>
      <c r="VJT157" s="47"/>
      <c r="VJU157" s="47"/>
      <c r="VJV157" s="47"/>
      <c r="VJW157" s="47"/>
      <c r="VJX157" s="47"/>
      <c r="VJY157" s="47"/>
      <c r="VJZ157" s="47"/>
      <c r="VKA157" s="47"/>
      <c r="VKB157" s="47"/>
      <c r="VKC157" s="47"/>
      <c r="VKD157" s="47"/>
      <c r="VKE157" s="47"/>
      <c r="VKF157" s="47"/>
      <c r="VKG157" s="47"/>
      <c r="VKH157" s="47"/>
      <c r="VKI157" s="47"/>
      <c r="VKJ157" s="47"/>
      <c r="VKK157" s="47"/>
      <c r="VKL157" s="47"/>
      <c r="VKM157" s="47"/>
      <c r="VKN157" s="47"/>
      <c r="VKO157" s="47"/>
      <c r="VKP157" s="47"/>
      <c r="VKQ157" s="47"/>
      <c r="VKR157" s="47"/>
      <c r="VKS157" s="47"/>
      <c r="VKT157" s="47"/>
      <c r="VKU157" s="47"/>
      <c r="VKV157" s="47"/>
      <c r="VKW157" s="47"/>
      <c r="VKX157" s="47"/>
      <c r="VKY157" s="47"/>
      <c r="VKZ157" s="47"/>
      <c r="VLA157" s="47"/>
      <c r="VLB157" s="47"/>
      <c r="VLC157" s="47"/>
      <c r="VLD157" s="47"/>
      <c r="VLE157" s="47"/>
      <c r="VLF157" s="47"/>
      <c r="VLG157" s="47"/>
      <c r="VLH157" s="47"/>
      <c r="VLI157" s="47"/>
      <c r="VLJ157" s="47"/>
      <c r="VLK157" s="47"/>
      <c r="VLL157" s="47"/>
      <c r="VLM157" s="47"/>
      <c r="VLN157" s="47"/>
      <c r="VLO157" s="47"/>
      <c r="VLP157" s="47"/>
      <c r="VLQ157" s="47"/>
      <c r="VLR157" s="47"/>
      <c r="VLS157" s="47"/>
      <c r="VLT157" s="47"/>
      <c r="VLU157" s="47"/>
      <c r="VLV157" s="47"/>
      <c r="VLW157" s="47"/>
      <c r="VLX157" s="47"/>
      <c r="VLY157" s="47"/>
      <c r="VLZ157" s="47"/>
      <c r="VMA157" s="47"/>
      <c r="VMB157" s="47"/>
      <c r="VMC157" s="47"/>
      <c r="VMD157" s="47"/>
      <c r="VME157" s="47"/>
      <c r="VMF157" s="47"/>
      <c r="VMG157" s="47"/>
      <c r="VMH157" s="47"/>
      <c r="VMI157" s="47"/>
      <c r="VMJ157" s="47"/>
      <c r="VMK157" s="47"/>
      <c r="VML157" s="47"/>
      <c r="VMM157" s="47"/>
      <c r="VMN157" s="47"/>
      <c r="VMO157" s="47"/>
      <c r="VMP157" s="47"/>
      <c r="VMQ157" s="47"/>
      <c r="VMR157" s="47"/>
      <c r="VMS157" s="47"/>
      <c r="VMT157" s="47"/>
      <c r="VMU157" s="47"/>
      <c r="VMV157" s="47"/>
      <c r="VMW157" s="47"/>
      <c r="VMX157" s="47"/>
      <c r="VMY157" s="47"/>
      <c r="VMZ157" s="47"/>
      <c r="VNA157" s="47"/>
      <c r="VNB157" s="47"/>
      <c r="VNC157" s="47"/>
      <c r="VND157" s="47"/>
      <c r="VNE157" s="47"/>
      <c r="VNF157" s="47"/>
      <c r="VNG157" s="47"/>
      <c r="VNH157" s="47"/>
      <c r="VNI157" s="47"/>
      <c r="VNJ157" s="47"/>
      <c r="VNK157" s="47"/>
      <c r="VNL157" s="47"/>
      <c r="VNM157" s="47"/>
      <c r="VNN157" s="47"/>
      <c r="VNO157" s="47"/>
      <c r="VNP157" s="47"/>
      <c r="VNQ157" s="47"/>
      <c r="VNR157" s="47"/>
      <c r="VNS157" s="47"/>
      <c r="VNT157" s="47"/>
      <c r="VNU157" s="47"/>
      <c r="VNV157" s="47"/>
      <c r="VNW157" s="47"/>
      <c r="VNX157" s="47"/>
      <c r="VNY157" s="47"/>
      <c r="VNZ157" s="47"/>
      <c r="VOA157" s="47"/>
      <c r="VOB157" s="47"/>
      <c r="VOC157" s="47"/>
      <c r="VOD157" s="47"/>
      <c r="VOE157" s="47"/>
      <c r="VOF157" s="47"/>
      <c r="VOG157" s="47"/>
      <c r="VOH157" s="47"/>
      <c r="VOI157" s="47"/>
      <c r="VOJ157" s="47"/>
      <c r="VOK157" s="47"/>
      <c r="VOL157" s="47"/>
      <c r="VOM157" s="47"/>
      <c r="VON157" s="47"/>
      <c r="VOO157" s="47"/>
      <c r="VOP157" s="47"/>
      <c r="VOQ157" s="47"/>
      <c r="VOR157" s="47"/>
      <c r="VOS157" s="47"/>
      <c r="VOT157" s="47"/>
      <c r="VOU157" s="47"/>
      <c r="VOV157" s="47"/>
      <c r="VOW157" s="47"/>
      <c r="VOX157" s="47"/>
      <c r="VOY157" s="47"/>
      <c r="VOZ157" s="47"/>
      <c r="VPA157" s="47"/>
      <c r="VPB157" s="47"/>
      <c r="VPC157" s="47"/>
      <c r="VPD157" s="47"/>
      <c r="VPE157" s="47"/>
      <c r="VPF157" s="47"/>
      <c r="VPG157" s="47"/>
      <c r="VPH157" s="47"/>
      <c r="VPI157" s="47"/>
      <c r="VPJ157" s="47"/>
      <c r="VPK157" s="47"/>
      <c r="VPL157" s="47"/>
      <c r="VPM157" s="47"/>
      <c r="VPN157" s="47"/>
      <c r="VPO157" s="47"/>
      <c r="VPP157" s="47"/>
      <c r="VPQ157" s="47"/>
      <c r="VPR157" s="47"/>
      <c r="VPS157" s="47"/>
      <c r="VPT157" s="47"/>
      <c r="VPU157" s="47"/>
      <c r="VPV157" s="47"/>
      <c r="VPW157" s="47"/>
      <c r="VPX157" s="47"/>
      <c r="VPY157" s="47"/>
      <c r="VPZ157" s="47"/>
      <c r="VQA157" s="47"/>
      <c r="VQB157" s="47"/>
      <c r="VQC157" s="47"/>
      <c r="VQD157" s="47"/>
      <c r="VQE157" s="47"/>
      <c r="VQF157" s="47"/>
      <c r="VQG157" s="47"/>
      <c r="VQH157" s="47"/>
      <c r="VQI157" s="47"/>
      <c r="VQJ157" s="47"/>
      <c r="VQK157" s="47"/>
      <c r="VQL157" s="47"/>
      <c r="VQM157" s="47"/>
      <c r="VQN157" s="47"/>
      <c r="VQO157" s="47"/>
      <c r="VQP157" s="47"/>
      <c r="VQQ157" s="47"/>
      <c r="VQR157" s="47"/>
      <c r="VQS157" s="47"/>
      <c r="VQT157" s="47"/>
      <c r="VQU157" s="47"/>
      <c r="VQV157" s="47"/>
      <c r="VQW157" s="47"/>
      <c r="VQX157" s="47"/>
      <c r="VQY157" s="47"/>
      <c r="VQZ157" s="47"/>
      <c r="VRA157" s="47"/>
      <c r="VRB157" s="47"/>
      <c r="VRC157" s="47"/>
      <c r="VRD157" s="47"/>
      <c r="VRE157" s="47"/>
      <c r="VRF157" s="47"/>
      <c r="VRG157" s="47"/>
      <c r="VRH157" s="47"/>
      <c r="VRI157" s="47"/>
      <c r="VRJ157" s="47"/>
      <c r="VRK157" s="47"/>
      <c r="VRL157" s="47"/>
      <c r="VRM157" s="47"/>
      <c r="VRN157" s="47"/>
      <c r="VRO157" s="47"/>
      <c r="VRP157" s="47"/>
      <c r="VRQ157" s="47"/>
      <c r="VRR157" s="47"/>
      <c r="VRS157" s="47"/>
      <c r="VRT157" s="47"/>
      <c r="VRU157" s="47"/>
      <c r="VRV157" s="47"/>
      <c r="VRW157" s="47"/>
      <c r="VRX157" s="47"/>
      <c r="VRY157" s="47"/>
      <c r="VRZ157" s="47"/>
      <c r="VSA157" s="47"/>
      <c r="VSB157" s="47"/>
      <c r="VSC157" s="47"/>
      <c r="VSD157" s="47"/>
      <c r="VSE157" s="47"/>
      <c r="VSF157" s="47"/>
      <c r="VSG157" s="47"/>
      <c r="VSH157" s="47"/>
      <c r="VSI157" s="47"/>
      <c r="VSJ157" s="47"/>
      <c r="VSK157" s="47"/>
      <c r="VSL157" s="47"/>
      <c r="VSM157" s="47"/>
      <c r="VSN157" s="47"/>
      <c r="VSO157" s="47"/>
      <c r="VSP157" s="47"/>
      <c r="VSQ157" s="47"/>
      <c r="VSR157" s="47"/>
      <c r="VSS157" s="47"/>
      <c r="VST157" s="47"/>
      <c r="VSU157" s="47"/>
      <c r="VSV157" s="47"/>
      <c r="VSW157" s="47"/>
      <c r="VSX157" s="47"/>
      <c r="VSY157" s="47"/>
      <c r="VSZ157" s="47"/>
      <c r="VTA157" s="47"/>
      <c r="VTB157" s="47"/>
      <c r="VTC157" s="47"/>
      <c r="VTD157" s="47"/>
      <c r="VTE157" s="47"/>
      <c r="VTF157" s="47"/>
      <c r="VTG157" s="47"/>
      <c r="VTH157" s="47"/>
      <c r="VTI157" s="47"/>
      <c r="VTJ157" s="47"/>
      <c r="VTK157" s="47"/>
      <c r="VTL157" s="47"/>
      <c r="VTM157" s="47"/>
      <c r="VTN157" s="47"/>
      <c r="VTO157" s="47"/>
      <c r="VTP157" s="47"/>
      <c r="VTQ157" s="47"/>
      <c r="VTR157" s="47"/>
      <c r="VTS157" s="47"/>
      <c r="VTT157" s="47"/>
      <c r="VTU157" s="47"/>
      <c r="VTV157" s="47"/>
      <c r="VTW157" s="47"/>
      <c r="VTX157" s="47"/>
      <c r="VTY157" s="47"/>
      <c r="VTZ157" s="47"/>
      <c r="VUA157" s="47"/>
      <c r="VUB157" s="47"/>
      <c r="VUC157" s="47"/>
      <c r="VUD157" s="47"/>
      <c r="VUE157" s="47"/>
      <c r="VUF157" s="47"/>
      <c r="VUG157" s="47"/>
      <c r="VUH157" s="47"/>
      <c r="VUI157" s="47"/>
      <c r="VUJ157" s="47"/>
      <c r="VUK157" s="47"/>
      <c r="VUL157" s="47"/>
      <c r="VUM157" s="47"/>
      <c r="VUN157" s="47"/>
      <c r="VUO157" s="47"/>
      <c r="VUP157" s="47"/>
      <c r="VUQ157" s="47"/>
      <c r="VUR157" s="47"/>
      <c r="VUS157" s="47"/>
      <c r="VUT157" s="47"/>
      <c r="VUU157" s="47"/>
      <c r="VUV157" s="47"/>
      <c r="VUW157" s="47"/>
      <c r="VUX157" s="47"/>
      <c r="VUY157" s="47"/>
      <c r="VUZ157" s="47"/>
      <c r="VVA157" s="47"/>
      <c r="VVB157" s="47"/>
      <c r="VVC157" s="47"/>
      <c r="VVD157" s="47"/>
      <c r="VVE157" s="47"/>
      <c r="VVF157" s="47"/>
      <c r="VVG157" s="47"/>
      <c r="VVH157" s="47"/>
      <c r="VVI157" s="47"/>
      <c r="VVJ157" s="47"/>
      <c r="VVK157" s="47"/>
      <c r="VVL157" s="47"/>
    </row>
    <row r="158" spans="3:98 15064:15456" s="1" customFormat="1" hidden="1" x14ac:dyDescent="0.25">
      <c r="C158" s="15"/>
      <c r="D158" s="28" t="s">
        <v>115</v>
      </c>
      <c r="E158" s="93"/>
      <c r="F158" s="20" t="s">
        <v>14</v>
      </c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2"/>
      <c r="AM158" s="92">
        <v>0</v>
      </c>
      <c r="CT158" s="146"/>
    </row>
    <row r="159" spans="3:98 15064:15456" s="1" customFormat="1" hidden="1" x14ac:dyDescent="0.25">
      <c r="C159" s="15"/>
      <c r="D159" s="30" t="s">
        <v>39</v>
      </c>
      <c r="E159" s="63"/>
      <c r="F159" s="20" t="s">
        <v>14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4">
        <v>0</v>
      </c>
      <c r="U159" s="34">
        <v>0</v>
      </c>
      <c r="V159" s="34">
        <v>0</v>
      </c>
      <c r="W159" s="34">
        <v>0</v>
      </c>
      <c r="X159" s="34">
        <v>0</v>
      </c>
      <c r="Y159" s="34">
        <v>0</v>
      </c>
      <c r="Z159" s="34">
        <v>0</v>
      </c>
      <c r="AA159" s="34">
        <v>0</v>
      </c>
      <c r="AB159" s="34">
        <v>0</v>
      </c>
      <c r="AC159" s="34">
        <v>0</v>
      </c>
      <c r="AD159" s="34">
        <v>0</v>
      </c>
      <c r="AE159" s="34">
        <v>0</v>
      </c>
      <c r="AF159" s="34">
        <v>0</v>
      </c>
      <c r="AG159" s="34">
        <v>0</v>
      </c>
      <c r="AH159" s="34">
        <v>0</v>
      </c>
      <c r="AI159" s="34">
        <v>0</v>
      </c>
      <c r="AJ159" s="34">
        <v>0</v>
      </c>
      <c r="AK159" s="34">
        <v>0</v>
      </c>
      <c r="AM159" s="61">
        <v>0</v>
      </c>
      <c r="CT159" s="146"/>
    </row>
    <row r="160" spans="3:98 15064:15456" s="1" customFormat="1" hidden="1" x14ac:dyDescent="0.25">
      <c r="C160" s="15"/>
      <c r="D160" s="30" t="s">
        <v>38</v>
      </c>
      <c r="E160" s="63"/>
      <c r="F160" s="20" t="s">
        <v>14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4">
        <v>0</v>
      </c>
      <c r="U160" s="34">
        <v>0</v>
      </c>
      <c r="V160" s="34">
        <v>0</v>
      </c>
      <c r="W160" s="34">
        <v>0</v>
      </c>
      <c r="X160" s="34">
        <v>0</v>
      </c>
      <c r="Y160" s="34">
        <v>0</v>
      </c>
      <c r="Z160" s="34">
        <v>0</v>
      </c>
      <c r="AA160" s="34">
        <v>0</v>
      </c>
      <c r="AB160" s="34">
        <v>0</v>
      </c>
      <c r="AC160" s="34">
        <v>0</v>
      </c>
      <c r="AD160" s="34">
        <v>0</v>
      </c>
      <c r="AE160" s="34">
        <v>0</v>
      </c>
      <c r="AF160" s="34">
        <v>0</v>
      </c>
      <c r="AG160" s="34">
        <v>0</v>
      </c>
      <c r="AH160" s="34">
        <v>0</v>
      </c>
      <c r="AI160" s="34">
        <v>0</v>
      </c>
      <c r="AJ160" s="34">
        <v>0</v>
      </c>
      <c r="AK160" s="34">
        <v>0</v>
      </c>
      <c r="AM160" s="61">
        <v>0</v>
      </c>
      <c r="CT160" s="146"/>
    </row>
    <row r="161" spans="3:98 15064:15456" s="1" customFormat="1" hidden="1" x14ac:dyDescent="0.25">
      <c r="C161" s="15"/>
      <c r="D161" s="30" t="s">
        <v>29</v>
      </c>
      <c r="E161" s="63"/>
      <c r="F161" s="1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M161" s="66" t="s">
        <v>29</v>
      </c>
      <c r="CT161" s="146"/>
    </row>
    <row r="162" spans="3:98 15064:15456" s="1" customFormat="1" hidden="1" x14ac:dyDescent="0.2">
      <c r="C162" s="15"/>
      <c r="D162" s="11" t="s">
        <v>116</v>
      </c>
      <c r="E162" s="63"/>
      <c r="F162" s="32" t="s">
        <v>31</v>
      </c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M162" s="94">
        <v>0</v>
      </c>
      <c r="CT162" s="146"/>
    </row>
    <row r="163" spans="3:98 15064:15456" s="16" customFormat="1" hidden="1" x14ac:dyDescent="0.25">
      <c r="C163" s="17"/>
      <c r="D163" s="11" t="s">
        <v>27</v>
      </c>
      <c r="E163" s="56"/>
      <c r="F163" s="32" t="s">
        <v>31</v>
      </c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M163" s="94">
        <v>0</v>
      </c>
      <c r="CT163" s="152"/>
    </row>
    <row r="164" spans="3:98 15064:15456" s="16" customFormat="1" hidden="1" x14ac:dyDescent="0.25">
      <c r="C164" s="17"/>
      <c r="D164" s="11" t="s">
        <v>26</v>
      </c>
      <c r="E164" s="56"/>
      <c r="F164" s="32" t="s">
        <v>31</v>
      </c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M164" s="94">
        <v>0</v>
      </c>
      <c r="CT164" s="152"/>
    </row>
    <row r="165" spans="3:98 15064:15456" s="16" customFormat="1" hidden="1" x14ac:dyDescent="0.25">
      <c r="C165" s="17"/>
      <c r="D165" s="11" t="s">
        <v>37</v>
      </c>
      <c r="E165" s="56"/>
      <c r="F165" s="32" t="s">
        <v>31</v>
      </c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M165" s="94">
        <v>0</v>
      </c>
      <c r="CT165" s="152"/>
    </row>
    <row r="166" spans="3:98 15064:15456" s="1" customFormat="1" hidden="1" x14ac:dyDescent="0.25">
      <c r="C166" s="15"/>
      <c r="D166" s="30" t="s">
        <v>28</v>
      </c>
      <c r="E166" s="63"/>
      <c r="F166" s="1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M166" s="66" t="s">
        <v>28</v>
      </c>
      <c r="CT166" s="146"/>
    </row>
    <row r="167" spans="3:98 15064:15456" s="1" customFormat="1" hidden="1" x14ac:dyDescent="0.25">
      <c r="C167" s="15"/>
      <c r="D167" s="11" t="s">
        <v>116</v>
      </c>
      <c r="E167" s="63"/>
      <c r="F167" s="20" t="s">
        <v>28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Z167" s="33">
        <v>0</v>
      </c>
      <c r="AA167" s="33">
        <v>0</v>
      </c>
      <c r="AB167" s="33">
        <v>0</v>
      </c>
      <c r="AC167" s="33">
        <v>0</v>
      </c>
      <c r="AD167" s="33">
        <v>0</v>
      </c>
      <c r="AE167" s="33">
        <v>0</v>
      </c>
      <c r="AF167" s="33">
        <v>0</v>
      </c>
      <c r="AG167" s="33">
        <v>0</v>
      </c>
      <c r="AH167" s="33">
        <v>0</v>
      </c>
      <c r="AI167" s="33">
        <v>0</v>
      </c>
      <c r="AJ167" s="33">
        <v>0</v>
      </c>
      <c r="AK167" s="33">
        <v>0</v>
      </c>
      <c r="AM167" s="66"/>
      <c r="CT167" s="146"/>
    </row>
    <row r="168" spans="3:98 15064:15456" s="1" customFormat="1" hidden="1" x14ac:dyDescent="0.25">
      <c r="C168" s="15"/>
      <c r="D168" s="11" t="s">
        <v>27</v>
      </c>
      <c r="E168" s="63"/>
      <c r="F168" s="20" t="s">
        <v>28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33">
        <v>0</v>
      </c>
      <c r="Y168" s="33">
        <v>0</v>
      </c>
      <c r="Z168" s="33">
        <v>0</v>
      </c>
      <c r="AA168" s="33">
        <v>0</v>
      </c>
      <c r="AB168" s="33">
        <v>0</v>
      </c>
      <c r="AC168" s="33">
        <v>0</v>
      </c>
      <c r="AD168" s="33">
        <v>0</v>
      </c>
      <c r="AE168" s="33">
        <v>0</v>
      </c>
      <c r="AF168" s="33">
        <v>0</v>
      </c>
      <c r="AG168" s="33">
        <v>0</v>
      </c>
      <c r="AH168" s="33">
        <v>0</v>
      </c>
      <c r="AI168" s="33">
        <v>0</v>
      </c>
      <c r="AJ168" s="33">
        <v>0</v>
      </c>
      <c r="AK168" s="33">
        <v>0</v>
      </c>
      <c r="AM168" s="57">
        <v>0</v>
      </c>
      <c r="CT168" s="146"/>
    </row>
    <row r="169" spans="3:98 15064:15456" s="1" customFormat="1" hidden="1" x14ac:dyDescent="0.25">
      <c r="C169" s="15"/>
      <c r="D169" s="11" t="s">
        <v>26</v>
      </c>
      <c r="E169" s="63"/>
      <c r="F169" s="20" t="s">
        <v>28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0</v>
      </c>
      <c r="Z169" s="33">
        <v>0</v>
      </c>
      <c r="AA169" s="33">
        <v>0</v>
      </c>
      <c r="AB169" s="33">
        <v>0</v>
      </c>
      <c r="AC169" s="33">
        <v>0</v>
      </c>
      <c r="AD169" s="33">
        <v>0</v>
      </c>
      <c r="AE169" s="33">
        <v>0</v>
      </c>
      <c r="AF169" s="33">
        <v>0</v>
      </c>
      <c r="AG169" s="33">
        <v>0</v>
      </c>
      <c r="AH169" s="33">
        <v>0</v>
      </c>
      <c r="AI169" s="33">
        <v>0</v>
      </c>
      <c r="AJ169" s="33">
        <v>0</v>
      </c>
      <c r="AK169" s="33">
        <v>0</v>
      </c>
      <c r="AM169" s="57">
        <v>0</v>
      </c>
      <c r="CT169" s="146"/>
    </row>
    <row r="170" spans="3:98 15064:15456" s="1" customFormat="1" hidden="1" x14ac:dyDescent="0.25">
      <c r="C170" s="15"/>
      <c r="D170" s="11" t="s">
        <v>37</v>
      </c>
      <c r="E170" s="63"/>
      <c r="F170" s="20" t="s">
        <v>28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  <c r="AC170" s="33">
        <v>0</v>
      </c>
      <c r="AD170" s="33">
        <v>0</v>
      </c>
      <c r="AE170" s="33">
        <v>0</v>
      </c>
      <c r="AF170" s="33">
        <v>0</v>
      </c>
      <c r="AG170" s="33">
        <v>0</v>
      </c>
      <c r="AH170" s="33">
        <v>0</v>
      </c>
      <c r="AI170" s="33">
        <v>0</v>
      </c>
      <c r="AJ170" s="33">
        <v>0</v>
      </c>
      <c r="AK170" s="33">
        <v>0</v>
      </c>
      <c r="AM170" s="57">
        <v>0</v>
      </c>
      <c r="CT170" s="146"/>
    </row>
    <row r="171" spans="3:98 15064:15456" s="1" customFormat="1" hidden="1" x14ac:dyDescent="0.25">
      <c r="C171" s="15"/>
      <c r="D171" s="30" t="s">
        <v>36</v>
      </c>
      <c r="E171" s="63"/>
      <c r="F171" s="20" t="s">
        <v>35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3">
        <v>0</v>
      </c>
      <c r="O171" s="33">
        <v>0</v>
      </c>
      <c r="P171" s="33">
        <v>0</v>
      </c>
      <c r="Q171" s="33">
        <v>0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0</v>
      </c>
      <c r="Z171" s="33">
        <v>0</v>
      </c>
      <c r="AA171" s="33">
        <v>0</v>
      </c>
      <c r="AB171" s="33">
        <v>0</v>
      </c>
      <c r="AC171" s="33">
        <v>0</v>
      </c>
      <c r="AD171" s="33">
        <v>0</v>
      </c>
      <c r="AE171" s="33">
        <v>0</v>
      </c>
      <c r="AF171" s="33">
        <v>0</v>
      </c>
      <c r="AG171" s="33">
        <v>0</v>
      </c>
      <c r="AH171" s="33">
        <v>0</v>
      </c>
      <c r="AI171" s="33">
        <v>0</v>
      </c>
      <c r="AJ171" s="33">
        <v>0</v>
      </c>
      <c r="AK171" s="33">
        <v>0</v>
      </c>
      <c r="AM171" s="57">
        <v>0</v>
      </c>
      <c r="CT171" s="146"/>
    </row>
    <row r="172" spans="3:98 15064:15456" s="1" customFormat="1" hidden="1" x14ac:dyDescent="0.25">
      <c r="C172" s="15"/>
      <c r="D172" s="30" t="s">
        <v>34</v>
      </c>
      <c r="E172" s="63"/>
      <c r="F172" s="20" t="s">
        <v>33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Z172" s="33">
        <v>0</v>
      </c>
      <c r="AA172" s="33">
        <v>0</v>
      </c>
      <c r="AB172" s="33">
        <v>0</v>
      </c>
      <c r="AC172" s="33">
        <v>0</v>
      </c>
      <c r="AD172" s="33">
        <v>0</v>
      </c>
      <c r="AE172" s="33">
        <v>0</v>
      </c>
      <c r="AF172" s="33">
        <v>0</v>
      </c>
      <c r="AG172" s="33">
        <v>0</v>
      </c>
      <c r="AH172" s="33">
        <v>0</v>
      </c>
      <c r="AI172" s="33">
        <v>0</v>
      </c>
      <c r="AJ172" s="33">
        <v>0</v>
      </c>
      <c r="AK172" s="33">
        <v>0</v>
      </c>
      <c r="AM172" s="57">
        <v>0</v>
      </c>
      <c r="CT172" s="146"/>
    </row>
    <row r="173" spans="3:98 15064:15456" s="1" customFormat="1" hidden="1" x14ac:dyDescent="0.25">
      <c r="C173" s="8"/>
      <c r="D173" s="48" t="s">
        <v>32</v>
      </c>
      <c r="E173" s="49"/>
      <c r="F173" s="50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3"/>
      <c r="AM173" s="81" t="s">
        <v>131</v>
      </c>
      <c r="CT173" s="145"/>
      <c r="VGJ173" s="47"/>
      <c r="VGK173" s="47"/>
      <c r="VGL173" s="47"/>
      <c r="VGM173" s="47"/>
      <c r="VGN173" s="47"/>
      <c r="VGO173" s="47"/>
      <c r="VGP173" s="47"/>
      <c r="VGQ173" s="47"/>
      <c r="VGR173" s="47"/>
      <c r="VGS173" s="47"/>
      <c r="VGT173" s="47"/>
      <c r="VGU173" s="47"/>
      <c r="VGV173" s="47"/>
      <c r="VGW173" s="47"/>
      <c r="VGX173" s="47"/>
      <c r="VGY173" s="47"/>
      <c r="VGZ173" s="47"/>
      <c r="VHA173" s="47"/>
      <c r="VHB173" s="47"/>
      <c r="VHC173" s="47"/>
      <c r="VHD173" s="47"/>
      <c r="VHE173" s="47"/>
      <c r="VHF173" s="47"/>
      <c r="VHG173" s="47"/>
      <c r="VHH173" s="47"/>
      <c r="VHI173" s="47"/>
      <c r="VHJ173" s="47"/>
      <c r="VHK173" s="47"/>
      <c r="VHL173" s="47"/>
      <c r="VHM173" s="47"/>
      <c r="VHN173" s="47"/>
      <c r="VHO173" s="47"/>
      <c r="VHP173" s="47"/>
      <c r="VHQ173" s="47"/>
      <c r="VHR173" s="47"/>
      <c r="VHS173" s="47"/>
      <c r="VHT173" s="47"/>
      <c r="VHU173" s="47"/>
      <c r="VHV173" s="47"/>
      <c r="VHW173" s="47"/>
      <c r="VHX173" s="47"/>
      <c r="VHY173" s="47"/>
      <c r="VHZ173" s="47"/>
      <c r="VIA173" s="47"/>
      <c r="VIB173" s="47"/>
      <c r="VIC173" s="47"/>
      <c r="VID173" s="47"/>
      <c r="VIE173" s="47"/>
      <c r="VIF173" s="47"/>
      <c r="VIG173" s="47"/>
      <c r="VIH173" s="47"/>
      <c r="VII173" s="47"/>
      <c r="VIJ173" s="47"/>
      <c r="VIK173" s="47"/>
      <c r="VIL173" s="47"/>
      <c r="VIM173" s="47"/>
      <c r="VIN173" s="47"/>
      <c r="VIO173" s="47"/>
      <c r="VIP173" s="47"/>
      <c r="VIQ173" s="47"/>
      <c r="VIR173" s="47"/>
      <c r="VIS173" s="47"/>
      <c r="VIT173" s="47"/>
      <c r="VIU173" s="47"/>
      <c r="VIV173" s="47"/>
      <c r="VIW173" s="47"/>
      <c r="VIX173" s="47"/>
      <c r="VIY173" s="47"/>
      <c r="VIZ173" s="47"/>
      <c r="VJA173" s="47"/>
      <c r="VJB173" s="47"/>
      <c r="VJC173" s="47"/>
      <c r="VJD173" s="47"/>
      <c r="VJE173" s="47"/>
      <c r="VJF173" s="47"/>
      <c r="VJG173" s="47"/>
      <c r="VJH173" s="47"/>
      <c r="VJI173" s="47"/>
      <c r="VJJ173" s="47"/>
      <c r="VJK173" s="47"/>
      <c r="VJL173" s="47"/>
      <c r="VJM173" s="47"/>
      <c r="VJN173" s="47"/>
      <c r="VJO173" s="47"/>
      <c r="VJP173" s="47"/>
      <c r="VJQ173" s="47"/>
      <c r="VJR173" s="47"/>
      <c r="VJS173" s="47"/>
      <c r="VJT173" s="47"/>
      <c r="VJU173" s="47"/>
      <c r="VJV173" s="47"/>
      <c r="VJW173" s="47"/>
      <c r="VJX173" s="47"/>
      <c r="VJY173" s="47"/>
      <c r="VJZ173" s="47"/>
      <c r="VKA173" s="47"/>
      <c r="VKB173" s="47"/>
      <c r="VKC173" s="47"/>
      <c r="VKD173" s="47"/>
      <c r="VKE173" s="47"/>
      <c r="VKF173" s="47"/>
      <c r="VKG173" s="47"/>
      <c r="VKH173" s="47"/>
      <c r="VKI173" s="47"/>
      <c r="VKJ173" s="47"/>
      <c r="VKK173" s="47"/>
      <c r="VKL173" s="47"/>
      <c r="VKM173" s="47"/>
      <c r="VKN173" s="47"/>
      <c r="VKO173" s="47"/>
      <c r="VKP173" s="47"/>
      <c r="VKQ173" s="47"/>
      <c r="VKR173" s="47"/>
      <c r="VKS173" s="47"/>
      <c r="VKT173" s="47"/>
      <c r="VKU173" s="47"/>
      <c r="VKV173" s="47"/>
      <c r="VKW173" s="47"/>
      <c r="VKX173" s="47"/>
      <c r="VKY173" s="47"/>
      <c r="VKZ173" s="47"/>
      <c r="VLA173" s="47"/>
      <c r="VLB173" s="47"/>
      <c r="VLC173" s="47"/>
      <c r="VLD173" s="47"/>
      <c r="VLE173" s="47"/>
      <c r="VLF173" s="47"/>
      <c r="VLG173" s="47"/>
      <c r="VLH173" s="47"/>
      <c r="VLI173" s="47"/>
      <c r="VLJ173" s="47"/>
      <c r="VLK173" s="47"/>
      <c r="VLL173" s="47"/>
      <c r="VLM173" s="47"/>
      <c r="VLN173" s="47"/>
      <c r="VLO173" s="47"/>
      <c r="VLP173" s="47"/>
      <c r="VLQ173" s="47"/>
      <c r="VLR173" s="47"/>
      <c r="VLS173" s="47"/>
      <c r="VLT173" s="47"/>
      <c r="VLU173" s="47"/>
      <c r="VLV173" s="47"/>
      <c r="VLW173" s="47"/>
      <c r="VLX173" s="47"/>
      <c r="VLY173" s="47"/>
      <c r="VLZ173" s="47"/>
      <c r="VMA173" s="47"/>
      <c r="VMB173" s="47"/>
      <c r="VMC173" s="47"/>
      <c r="VMD173" s="47"/>
      <c r="VME173" s="47"/>
      <c r="VMF173" s="47"/>
      <c r="VMG173" s="47"/>
      <c r="VMH173" s="47"/>
      <c r="VMI173" s="47"/>
      <c r="VMJ173" s="47"/>
      <c r="VMK173" s="47"/>
      <c r="VML173" s="47"/>
      <c r="VMM173" s="47"/>
      <c r="VMN173" s="47"/>
      <c r="VMO173" s="47"/>
      <c r="VMP173" s="47"/>
      <c r="VMQ173" s="47"/>
      <c r="VMR173" s="47"/>
      <c r="VMS173" s="47"/>
      <c r="VMT173" s="47"/>
      <c r="VMU173" s="47"/>
      <c r="VMV173" s="47"/>
      <c r="VMW173" s="47"/>
      <c r="VMX173" s="47"/>
      <c r="VMY173" s="47"/>
      <c r="VMZ173" s="47"/>
      <c r="VNA173" s="47"/>
      <c r="VNB173" s="47"/>
      <c r="VNC173" s="47"/>
      <c r="VND173" s="47"/>
      <c r="VNE173" s="47"/>
      <c r="VNF173" s="47"/>
      <c r="VNG173" s="47"/>
      <c r="VNH173" s="47"/>
      <c r="VNI173" s="47"/>
      <c r="VNJ173" s="47"/>
      <c r="VNK173" s="47"/>
      <c r="VNL173" s="47"/>
      <c r="VNM173" s="47"/>
      <c r="VNN173" s="47"/>
      <c r="VNO173" s="47"/>
      <c r="VNP173" s="47"/>
      <c r="VNQ173" s="47"/>
      <c r="VNR173" s="47"/>
      <c r="VNS173" s="47"/>
      <c r="VNT173" s="47"/>
      <c r="VNU173" s="47"/>
      <c r="VNV173" s="47"/>
      <c r="VNW173" s="47"/>
      <c r="VNX173" s="47"/>
      <c r="VNY173" s="47"/>
      <c r="VNZ173" s="47"/>
      <c r="VOA173" s="47"/>
      <c r="VOB173" s="47"/>
      <c r="VOC173" s="47"/>
      <c r="VOD173" s="47"/>
      <c r="VOE173" s="47"/>
      <c r="VOF173" s="47"/>
      <c r="VOG173" s="47"/>
      <c r="VOH173" s="47"/>
      <c r="VOI173" s="47"/>
      <c r="VOJ173" s="47"/>
      <c r="VOK173" s="47"/>
      <c r="VOL173" s="47"/>
      <c r="VOM173" s="47"/>
      <c r="VON173" s="47"/>
      <c r="VOO173" s="47"/>
      <c r="VOP173" s="47"/>
      <c r="VOQ173" s="47"/>
      <c r="VOR173" s="47"/>
      <c r="VOS173" s="47"/>
      <c r="VOT173" s="47"/>
      <c r="VOU173" s="47"/>
      <c r="VOV173" s="47"/>
      <c r="VOW173" s="47"/>
      <c r="VOX173" s="47"/>
      <c r="VOY173" s="47"/>
      <c r="VOZ173" s="47"/>
      <c r="VPA173" s="47"/>
      <c r="VPB173" s="47"/>
      <c r="VPC173" s="47"/>
      <c r="VPD173" s="47"/>
      <c r="VPE173" s="47"/>
      <c r="VPF173" s="47"/>
      <c r="VPG173" s="47"/>
      <c r="VPH173" s="47"/>
      <c r="VPI173" s="47"/>
      <c r="VPJ173" s="47"/>
      <c r="VPK173" s="47"/>
      <c r="VPL173" s="47"/>
      <c r="VPM173" s="47"/>
      <c r="VPN173" s="47"/>
      <c r="VPO173" s="47"/>
      <c r="VPP173" s="47"/>
      <c r="VPQ173" s="47"/>
      <c r="VPR173" s="47"/>
      <c r="VPS173" s="47"/>
      <c r="VPT173" s="47"/>
      <c r="VPU173" s="47"/>
      <c r="VPV173" s="47"/>
      <c r="VPW173" s="47"/>
      <c r="VPX173" s="47"/>
      <c r="VPY173" s="47"/>
      <c r="VPZ173" s="47"/>
      <c r="VQA173" s="47"/>
      <c r="VQB173" s="47"/>
      <c r="VQC173" s="47"/>
      <c r="VQD173" s="47"/>
      <c r="VQE173" s="47"/>
      <c r="VQF173" s="47"/>
      <c r="VQG173" s="47"/>
      <c r="VQH173" s="47"/>
      <c r="VQI173" s="47"/>
      <c r="VQJ173" s="47"/>
      <c r="VQK173" s="47"/>
      <c r="VQL173" s="47"/>
      <c r="VQM173" s="47"/>
      <c r="VQN173" s="47"/>
      <c r="VQO173" s="47"/>
      <c r="VQP173" s="47"/>
      <c r="VQQ173" s="47"/>
      <c r="VQR173" s="47"/>
      <c r="VQS173" s="47"/>
      <c r="VQT173" s="47"/>
      <c r="VQU173" s="47"/>
      <c r="VQV173" s="47"/>
      <c r="VQW173" s="47"/>
      <c r="VQX173" s="47"/>
      <c r="VQY173" s="47"/>
      <c r="VQZ173" s="47"/>
      <c r="VRA173" s="47"/>
      <c r="VRB173" s="47"/>
      <c r="VRC173" s="47"/>
      <c r="VRD173" s="47"/>
      <c r="VRE173" s="47"/>
      <c r="VRF173" s="47"/>
      <c r="VRG173" s="47"/>
      <c r="VRH173" s="47"/>
      <c r="VRI173" s="47"/>
      <c r="VRJ173" s="47"/>
      <c r="VRK173" s="47"/>
      <c r="VRL173" s="47"/>
      <c r="VRM173" s="47"/>
      <c r="VRN173" s="47"/>
      <c r="VRO173" s="47"/>
      <c r="VRP173" s="47"/>
      <c r="VRQ173" s="47"/>
      <c r="VRR173" s="47"/>
      <c r="VRS173" s="47"/>
      <c r="VRT173" s="47"/>
      <c r="VRU173" s="47"/>
      <c r="VRV173" s="47"/>
      <c r="VRW173" s="47"/>
      <c r="VRX173" s="47"/>
      <c r="VRY173" s="47"/>
      <c r="VRZ173" s="47"/>
      <c r="VSA173" s="47"/>
      <c r="VSB173" s="47"/>
      <c r="VSC173" s="47"/>
      <c r="VSD173" s="47"/>
      <c r="VSE173" s="47"/>
      <c r="VSF173" s="47"/>
      <c r="VSG173" s="47"/>
      <c r="VSH173" s="47"/>
      <c r="VSI173" s="47"/>
      <c r="VSJ173" s="47"/>
      <c r="VSK173" s="47"/>
      <c r="VSL173" s="47"/>
      <c r="VSM173" s="47"/>
      <c r="VSN173" s="47"/>
      <c r="VSO173" s="47"/>
      <c r="VSP173" s="47"/>
      <c r="VSQ173" s="47"/>
      <c r="VSR173" s="47"/>
      <c r="VSS173" s="47"/>
      <c r="VST173" s="47"/>
      <c r="VSU173" s="47"/>
      <c r="VSV173" s="47"/>
      <c r="VSW173" s="47"/>
      <c r="VSX173" s="47"/>
      <c r="VSY173" s="47"/>
      <c r="VSZ173" s="47"/>
      <c r="VTA173" s="47"/>
      <c r="VTB173" s="47"/>
      <c r="VTC173" s="47"/>
      <c r="VTD173" s="47"/>
      <c r="VTE173" s="47"/>
      <c r="VTF173" s="47"/>
      <c r="VTG173" s="47"/>
      <c r="VTH173" s="47"/>
      <c r="VTI173" s="47"/>
      <c r="VTJ173" s="47"/>
      <c r="VTK173" s="47"/>
      <c r="VTL173" s="47"/>
      <c r="VTM173" s="47"/>
      <c r="VTN173" s="47"/>
      <c r="VTO173" s="47"/>
      <c r="VTP173" s="47"/>
      <c r="VTQ173" s="47"/>
      <c r="VTR173" s="47"/>
      <c r="VTS173" s="47"/>
      <c r="VTT173" s="47"/>
      <c r="VTU173" s="47"/>
      <c r="VTV173" s="47"/>
      <c r="VTW173" s="47"/>
      <c r="VTX173" s="47"/>
      <c r="VTY173" s="47"/>
      <c r="VTZ173" s="47"/>
      <c r="VUA173" s="47"/>
      <c r="VUB173" s="47"/>
      <c r="VUC173" s="47"/>
      <c r="VUD173" s="47"/>
      <c r="VUE173" s="47"/>
      <c r="VUF173" s="47"/>
      <c r="VUG173" s="47"/>
      <c r="VUH173" s="47"/>
      <c r="VUI173" s="47"/>
      <c r="VUJ173" s="47"/>
      <c r="VUK173" s="47"/>
      <c r="VUL173" s="47"/>
      <c r="VUM173" s="47"/>
      <c r="VUN173" s="47"/>
      <c r="VUO173" s="47"/>
      <c r="VUP173" s="47"/>
      <c r="VUQ173" s="47"/>
      <c r="VUR173" s="47"/>
      <c r="VUS173" s="47"/>
      <c r="VUT173" s="47"/>
      <c r="VUU173" s="47"/>
      <c r="VUV173" s="47"/>
      <c r="VUW173" s="47"/>
      <c r="VUX173" s="47"/>
      <c r="VUY173" s="47"/>
      <c r="VUZ173" s="47"/>
      <c r="VVA173" s="47"/>
      <c r="VVB173" s="47"/>
      <c r="VVC173" s="47"/>
      <c r="VVD173" s="47"/>
      <c r="VVE173" s="47"/>
      <c r="VVF173" s="47"/>
      <c r="VVG173" s="47"/>
      <c r="VVH173" s="47"/>
      <c r="VVI173" s="47"/>
      <c r="VVJ173" s="47"/>
      <c r="VVK173" s="47"/>
      <c r="VVL173" s="47"/>
    </row>
    <row r="174" spans="3:98 15064:15456" s="1" customFormat="1" hidden="1" x14ac:dyDescent="0.25">
      <c r="C174" s="15"/>
      <c r="D174" s="30" t="s">
        <v>29</v>
      </c>
      <c r="E174" s="63"/>
      <c r="F174" s="1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M174" s="66" t="s">
        <v>29</v>
      </c>
      <c r="CT174" s="146"/>
    </row>
    <row r="175" spans="3:98 15064:15456" s="1" customFormat="1" hidden="1" x14ac:dyDescent="0.25">
      <c r="C175" s="15"/>
      <c r="D175" s="11" t="s">
        <v>116</v>
      </c>
      <c r="E175" s="63"/>
      <c r="F175" s="20" t="s">
        <v>31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0</v>
      </c>
      <c r="AC175" s="33">
        <v>0</v>
      </c>
      <c r="AD175" s="33">
        <v>0</v>
      </c>
      <c r="AE175" s="33">
        <v>0</v>
      </c>
      <c r="AF175" s="33">
        <v>0</v>
      </c>
      <c r="AG175" s="33">
        <v>0</v>
      </c>
      <c r="AH175" s="33">
        <v>0</v>
      </c>
      <c r="AI175" s="33">
        <v>0</v>
      </c>
      <c r="AJ175" s="33">
        <v>0</v>
      </c>
      <c r="AK175" s="33"/>
      <c r="AM175" s="66"/>
      <c r="CT175" s="146"/>
    </row>
    <row r="176" spans="3:98 15064:15456" s="1" customFormat="1" hidden="1" x14ac:dyDescent="0.25">
      <c r="C176" s="15"/>
      <c r="D176" s="11" t="s">
        <v>27</v>
      </c>
      <c r="E176" s="63"/>
      <c r="F176" s="20" t="s">
        <v>31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0</v>
      </c>
      <c r="Y176" s="33">
        <v>0</v>
      </c>
      <c r="Z176" s="33">
        <v>0</v>
      </c>
      <c r="AA176" s="33">
        <v>0</v>
      </c>
      <c r="AB176" s="33">
        <v>0</v>
      </c>
      <c r="AC176" s="33">
        <v>0</v>
      </c>
      <c r="AD176" s="33">
        <v>0</v>
      </c>
      <c r="AE176" s="33">
        <v>0</v>
      </c>
      <c r="AF176" s="33">
        <v>0</v>
      </c>
      <c r="AG176" s="33">
        <v>0</v>
      </c>
      <c r="AH176" s="33">
        <v>0</v>
      </c>
      <c r="AI176" s="33">
        <v>0</v>
      </c>
      <c r="AJ176" s="33">
        <v>0</v>
      </c>
      <c r="AK176" s="33"/>
      <c r="AM176" s="57">
        <v>0</v>
      </c>
      <c r="CT176" s="146"/>
    </row>
    <row r="177" spans="3:98 15064:15456" s="1" customFormat="1" hidden="1" x14ac:dyDescent="0.25">
      <c r="C177" s="15"/>
      <c r="D177" s="11" t="s">
        <v>26</v>
      </c>
      <c r="E177" s="63"/>
      <c r="F177" s="20" t="s">
        <v>31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  <c r="AC177" s="33">
        <v>0</v>
      </c>
      <c r="AD177" s="33">
        <v>0</v>
      </c>
      <c r="AE177" s="33">
        <v>0</v>
      </c>
      <c r="AF177" s="33">
        <v>0</v>
      </c>
      <c r="AG177" s="33">
        <v>0</v>
      </c>
      <c r="AH177" s="33">
        <v>0</v>
      </c>
      <c r="AI177" s="33">
        <v>0</v>
      </c>
      <c r="AJ177" s="33">
        <v>0</v>
      </c>
      <c r="AK177" s="33"/>
      <c r="AM177" s="57">
        <v>0</v>
      </c>
      <c r="CT177" s="146"/>
    </row>
    <row r="178" spans="3:98 15064:15456" s="1" customFormat="1" hidden="1" x14ac:dyDescent="0.25">
      <c r="C178" s="15"/>
      <c r="D178" s="30" t="s">
        <v>28</v>
      </c>
      <c r="E178" s="63"/>
      <c r="F178" s="1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M178" s="66" t="s">
        <v>28</v>
      </c>
      <c r="CT178" s="146"/>
    </row>
    <row r="179" spans="3:98 15064:15456" s="1" customFormat="1" hidden="1" x14ac:dyDescent="0.25">
      <c r="C179" s="15"/>
      <c r="D179" s="11" t="s">
        <v>116</v>
      </c>
      <c r="E179" s="63"/>
      <c r="F179" s="20" t="s">
        <v>28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0</v>
      </c>
      <c r="AC179" s="33">
        <v>0</v>
      </c>
      <c r="AD179" s="33">
        <v>0</v>
      </c>
      <c r="AE179" s="33">
        <v>0</v>
      </c>
      <c r="AF179" s="33">
        <v>0</v>
      </c>
      <c r="AG179" s="33">
        <v>0</v>
      </c>
      <c r="AH179" s="33">
        <v>0</v>
      </c>
      <c r="AI179" s="33">
        <v>0</v>
      </c>
      <c r="AJ179" s="33">
        <v>0</v>
      </c>
      <c r="AK179" s="33"/>
      <c r="AM179" s="66"/>
      <c r="CT179" s="146"/>
    </row>
    <row r="180" spans="3:98 15064:15456" s="1" customFormat="1" hidden="1" x14ac:dyDescent="0.25">
      <c r="C180" s="15"/>
      <c r="D180" s="11" t="s">
        <v>27</v>
      </c>
      <c r="E180" s="63"/>
      <c r="F180" s="20" t="s">
        <v>28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3">
        <v>0</v>
      </c>
      <c r="O180" s="33">
        <v>0</v>
      </c>
      <c r="P180" s="33">
        <v>0</v>
      </c>
      <c r="Q180" s="33">
        <v>0</v>
      </c>
      <c r="R180" s="33">
        <v>0</v>
      </c>
      <c r="S180" s="33">
        <v>0</v>
      </c>
      <c r="T180" s="33">
        <v>0</v>
      </c>
      <c r="U180" s="33">
        <v>0</v>
      </c>
      <c r="V180" s="33">
        <v>0</v>
      </c>
      <c r="W180" s="33">
        <v>0</v>
      </c>
      <c r="X180" s="33">
        <v>0</v>
      </c>
      <c r="Y180" s="33">
        <v>0</v>
      </c>
      <c r="Z180" s="33">
        <v>0</v>
      </c>
      <c r="AA180" s="33">
        <v>0</v>
      </c>
      <c r="AB180" s="33">
        <v>0</v>
      </c>
      <c r="AC180" s="33">
        <v>0</v>
      </c>
      <c r="AD180" s="33">
        <v>0</v>
      </c>
      <c r="AE180" s="33">
        <v>0</v>
      </c>
      <c r="AF180" s="33">
        <v>0</v>
      </c>
      <c r="AG180" s="33">
        <v>0</v>
      </c>
      <c r="AH180" s="33">
        <v>0</v>
      </c>
      <c r="AI180" s="33">
        <v>0</v>
      </c>
      <c r="AJ180" s="33">
        <v>0</v>
      </c>
      <c r="AK180" s="33"/>
      <c r="AM180" s="57">
        <v>0</v>
      </c>
      <c r="CT180" s="146"/>
    </row>
    <row r="181" spans="3:98 15064:15456" s="1" customFormat="1" hidden="1" x14ac:dyDescent="0.25">
      <c r="C181" s="15"/>
      <c r="D181" s="11" t="s">
        <v>26</v>
      </c>
      <c r="E181" s="63"/>
      <c r="F181" s="20" t="s">
        <v>28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33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0</v>
      </c>
      <c r="Z181" s="33">
        <v>0</v>
      </c>
      <c r="AA181" s="33">
        <v>0</v>
      </c>
      <c r="AB181" s="33">
        <v>0</v>
      </c>
      <c r="AC181" s="33">
        <v>0</v>
      </c>
      <c r="AD181" s="33">
        <v>0</v>
      </c>
      <c r="AE181" s="33">
        <v>0</v>
      </c>
      <c r="AF181" s="33">
        <v>0</v>
      </c>
      <c r="AG181" s="33">
        <v>0</v>
      </c>
      <c r="AH181" s="33">
        <v>0</v>
      </c>
      <c r="AI181" s="33">
        <v>0</v>
      </c>
      <c r="AJ181" s="33">
        <v>0</v>
      </c>
      <c r="AK181" s="33"/>
      <c r="AM181" s="57">
        <v>0</v>
      </c>
      <c r="CT181" s="146"/>
    </row>
    <row r="182" spans="3:98 15064:15456" s="1" customFormat="1" hidden="1" x14ac:dyDescent="0.25">
      <c r="C182" s="8"/>
      <c r="D182" s="48" t="s">
        <v>30</v>
      </c>
      <c r="E182" s="49"/>
      <c r="F182" s="50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3"/>
      <c r="AM182" s="81" t="s">
        <v>131</v>
      </c>
      <c r="CT182" s="145"/>
      <c r="VGJ182" s="47"/>
      <c r="VGK182" s="47"/>
      <c r="VGL182" s="47"/>
      <c r="VGM182" s="47"/>
      <c r="VGN182" s="47"/>
      <c r="VGO182" s="47"/>
      <c r="VGP182" s="47"/>
      <c r="VGQ182" s="47"/>
      <c r="VGR182" s="47"/>
      <c r="VGS182" s="47"/>
      <c r="VGT182" s="47"/>
      <c r="VGU182" s="47"/>
      <c r="VGV182" s="47"/>
      <c r="VGW182" s="47"/>
      <c r="VGX182" s="47"/>
      <c r="VGY182" s="47"/>
      <c r="VGZ182" s="47"/>
      <c r="VHA182" s="47"/>
      <c r="VHB182" s="47"/>
      <c r="VHC182" s="47"/>
      <c r="VHD182" s="47"/>
      <c r="VHE182" s="47"/>
      <c r="VHF182" s="47"/>
      <c r="VHG182" s="47"/>
      <c r="VHH182" s="47"/>
      <c r="VHI182" s="47"/>
      <c r="VHJ182" s="47"/>
      <c r="VHK182" s="47"/>
      <c r="VHL182" s="47"/>
      <c r="VHM182" s="47"/>
      <c r="VHN182" s="47"/>
      <c r="VHO182" s="47"/>
      <c r="VHP182" s="47"/>
      <c r="VHQ182" s="47"/>
      <c r="VHR182" s="47"/>
      <c r="VHS182" s="47"/>
      <c r="VHT182" s="47"/>
      <c r="VHU182" s="47"/>
      <c r="VHV182" s="47"/>
      <c r="VHW182" s="47"/>
      <c r="VHX182" s="47"/>
      <c r="VHY182" s="47"/>
      <c r="VHZ182" s="47"/>
      <c r="VIA182" s="47"/>
      <c r="VIB182" s="47"/>
      <c r="VIC182" s="47"/>
      <c r="VID182" s="47"/>
      <c r="VIE182" s="47"/>
      <c r="VIF182" s="47"/>
      <c r="VIG182" s="47"/>
      <c r="VIH182" s="47"/>
      <c r="VII182" s="47"/>
      <c r="VIJ182" s="47"/>
      <c r="VIK182" s="47"/>
      <c r="VIL182" s="47"/>
      <c r="VIM182" s="47"/>
      <c r="VIN182" s="47"/>
      <c r="VIO182" s="47"/>
      <c r="VIP182" s="47"/>
      <c r="VIQ182" s="47"/>
      <c r="VIR182" s="47"/>
      <c r="VIS182" s="47"/>
      <c r="VIT182" s="47"/>
      <c r="VIU182" s="47"/>
      <c r="VIV182" s="47"/>
      <c r="VIW182" s="47"/>
      <c r="VIX182" s="47"/>
      <c r="VIY182" s="47"/>
      <c r="VIZ182" s="47"/>
      <c r="VJA182" s="47"/>
      <c r="VJB182" s="47"/>
      <c r="VJC182" s="47"/>
      <c r="VJD182" s="47"/>
      <c r="VJE182" s="47"/>
      <c r="VJF182" s="47"/>
      <c r="VJG182" s="47"/>
      <c r="VJH182" s="47"/>
      <c r="VJI182" s="47"/>
      <c r="VJJ182" s="47"/>
      <c r="VJK182" s="47"/>
      <c r="VJL182" s="47"/>
      <c r="VJM182" s="47"/>
      <c r="VJN182" s="47"/>
      <c r="VJO182" s="47"/>
      <c r="VJP182" s="47"/>
      <c r="VJQ182" s="47"/>
      <c r="VJR182" s="47"/>
      <c r="VJS182" s="47"/>
      <c r="VJT182" s="47"/>
      <c r="VJU182" s="47"/>
      <c r="VJV182" s="47"/>
      <c r="VJW182" s="47"/>
      <c r="VJX182" s="47"/>
      <c r="VJY182" s="47"/>
      <c r="VJZ182" s="47"/>
      <c r="VKA182" s="47"/>
      <c r="VKB182" s="47"/>
      <c r="VKC182" s="47"/>
      <c r="VKD182" s="47"/>
      <c r="VKE182" s="47"/>
      <c r="VKF182" s="47"/>
      <c r="VKG182" s="47"/>
      <c r="VKH182" s="47"/>
      <c r="VKI182" s="47"/>
      <c r="VKJ182" s="47"/>
      <c r="VKK182" s="47"/>
      <c r="VKL182" s="47"/>
      <c r="VKM182" s="47"/>
      <c r="VKN182" s="47"/>
      <c r="VKO182" s="47"/>
      <c r="VKP182" s="47"/>
      <c r="VKQ182" s="47"/>
      <c r="VKR182" s="47"/>
      <c r="VKS182" s="47"/>
      <c r="VKT182" s="47"/>
      <c r="VKU182" s="47"/>
      <c r="VKV182" s="47"/>
      <c r="VKW182" s="47"/>
      <c r="VKX182" s="47"/>
      <c r="VKY182" s="47"/>
      <c r="VKZ182" s="47"/>
      <c r="VLA182" s="47"/>
      <c r="VLB182" s="47"/>
      <c r="VLC182" s="47"/>
      <c r="VLD182" s="47"/>
      <c r="VLE182" s="47"/>
      <c r="VLF182" s="47"/>
      <c r="VLG182" s="47"/>
      <c r="VLH182" s="47"/>
      <c r="VLI182" s="47"/>
      <c r="VLJ182" s="47"/>
      <c r="VLK182" s="47"/>
      <c r="VLL182" s="47"/>
      <c r="VLM182" s="47"/>
      <c r="VLN182" s="47"/>
      <c r="VLO182" s="47"/>
      <c r="VLP182" s="47"/>
      <c r="VLQ182" s="47"/>
      <c r="VLR182" s="47"/>
      <c r="VLS182" s="47"/>
      <c r="VLT182" s="47"/>
      <c r="VLU182" s="47"/>
      <c r="VLV182" s="47"/>
      <c r="VLW182" s="47"/>
      <c r="VLX182" s="47"/>
      <c r="VLY182" s="47"/>
      <c r="VLZ182" s="47"/>
      <c r="VMA182" s="47"/>
      <c r="VMB182" s="47"/>
      <c r="VMC182" s="47"/>
      <c r="VMD182" s="47"/>
      <c r="VME182" s="47"/>
      <c r="VMF182" s="47"/>
      <c r="VMG182" s="47"/>
      <c r="VMH182" s="47"/>
      <c r="VMI182" s="47"/>
      <c r="VMJ182" s="47"/>
      <c r="VMK182" s="47"/>
      <c r="VML182" s="47"/>
      <c r="VMM182" s="47"/>
      <c r="VMN182" s="47"/>
      <c r="VMO182" s="47"/>
      <c r="VMP182" s="47"/>
      <c r="VMQ182" s="47"/>
      <c r="VMR182" s="47"/>
      <c r="VMS182" s="47"/>
      <c r="VMT182" s="47"/>
      <c r="VMU182" s="47"/>
      <c r="VMV182" s="47"/>
      <c r="VMW182" s="47"/>
      <c r="VMX182" s="47"/>
      <c r="VMY182" s="47"/>
      <c r="VMZ182" s="47"/>
      <c r="VNA182" s="47"/>
      <c r="VNB182" s="47"/>
      <c r="VNC182" s="47"/>
      <c r="VND182" s="47"/>
      <c r="VNE182" s="47"/>
      <c r="VNF182" s="47"/>
      <c r="VNG182" s="47"/>
      <c r="VNH182" s="47"/>
      <c r="VNI182" s="47"/>
      <c r="VNJ182" s="47"/>
      <c r="VNK182" s="47"/>
      <c r="VNL182" s="47"/>
      <c r="VNM182" s="47"/>
      <c r="VNN182" s="47"/>
      <c r="VNO182" s="47"/>
      <c r="VNP182" s="47"/>
      <c r="VNQ182" s="47"/>
      <c r="VNR182" s="47"/>
      <c r="VNS182" s="47"/>
      <c r="VNT182" s="47"/>
      <c r="VNU182" s="47"/>
      <c r="VNV182" s="47"/>
      <c r="VNW182" s="47"/>
      <c r="VNX182" s="47"/>
      <c r="VNY182" s="47"/>
      <c r="VNZ182" s="47"/>
      <c r="VOA182" s="47"/>
      <c r="VOB182" s="47"/>
      <c r="VOC182" s="47"/>
      <c r="VOD182" s="47"/>
      <c r="VOE182" s="47"/>
      <c r="VOF182" s="47"/>
      <c r="VOG182" s="47"/>
      <c r="VOH182" s="47"/>
      <c r="VOI182" s="47"/>
      <c r="VOJ182" s="47"/>
      <c r="VOK182" s="47"/>
      <c r="VOL182" s="47"/>
      <c r="VOM182" s="47"/>
      <c r="VON182" s="47"/>
      <c r="VOO182" s="47"/>
      <c r="VOP182" s="47"/>
      <c r="VOQ182" s="47"/>
      <c r="VOR182" s="47"/>
      <c r="VOS182" s="47"/>
      <c r="VOT182" s="47"/>
      <c r="VOU182" s="47"/>
      <c r="VOV182" s="47"/>
      <c r="VOW182" s="47"/>
      <c r="VOX182" s="47"/>
      <c r="VOY182" s="47"/>
      <c r="VOZ182" s="47"/>
      <c r="VPA182" s="47"/>
      <c r="VPB182" s="47"/>
      <c r="VPC182" s="47"/>
      <c r="VPD182" s="47"/>
      <c r="VPE182" s="47"/>
      <c r="VPF182" s="47"/>
      <c r="VPG182" s="47"/>
      <c r="VPH182" s="47"/>
      <c r="VPI182" s="47"/>
      <c r="VPJ182" s="47"/>
      <c r="VPK182" s="47"/>
      <c r="VPL182" s="47"/>
      <c r="VPM182" s="47"/>
      <c r="VPN182" s="47"/>
      <c r="VPO182" s="47"/>
      <c r="VPP182" s="47"/>
      <c r="VPQ182" s="47"/>
      <c r="VPR182" s="47"/>
      <c r="VPS182" s="47"/>
      <c r="VPT182" s="47"/>
      <c r="VPU182" s="47"/>
      <c r="VPV182" s="47"/>
      <c r="VPW182" s="47"/>
      <c r="VPX182" s="47"/>
      <c r="VPY182" s="47"/>
      <c r="VPZ182" s="47"/>
      <c r="VQA182" s="47"/>
      <c r="VQB182" s="47"/>
      <c r="VQC182" s="47"/>
      <c r="VQD182" s="47"/>
      <c r="VQE182" s="47"/>
      <c r="VQF182" s="47"/>
      <c r="VQG182" s="47"/>
      <c r="VQH182" s="47"/>
      <c r="VQI182" s="47"/>
      <c r="VQJ182" s="47"/>
      <c r="VQK182" s="47"/>
      <c r="VQL182" s="47"/>
      <c r="VQM182" s="47"/>
      <c r="VQN182" s="47"/>
      <c r="VQO182" s="47"/>
      <c r="VQP182" s="47"/>
      <c r="VQQ182" s="47"/>
      <c r="VQR182" s="47"/>
      <c r="VQS182" s="47"/>
      <c r="VQT182" s="47"/>
      <c r="VQU182" s="47"/>
      <c r="VQV182" s="47"/>
      <c r="VQW182" s="47"/>
      <c r="VQX182" s="47"/>
      <c r="VQY182" s="47"/>
      <c r="VQZ182" s="47"/>
      <c r="VRA182" s="47"/>
      <c r="VRB182" s="47"/>
      <c r="VRC182" s="47"/>
      <c r="VRD182" s="47"/>
      <c r="VRE182" s="47"/>
      <c r="VRF182" s="47"/>
      <c r="VRG182" s="47"/>
      <c r="VRH182" s="47"/>
      <c r="VRI182" s="47"/>
      <c r="VRJ182" s="47"/>
      <c r="VRK182" s="47"/>
      <c r="VRL182" s="47"/>
      <c r="VRM182" s="47"/>
      <c r="VRN182" s="47"/>
      <c r="VRO182" s="47"/>
      <c r="VRP182" s="47"/>
      <c r="VRQ182" s="47"/>
      <c r="VRR182" s="47"/>
      <c r="VRS182" s="47"/>
      <c r="VRT182" s="47"/>
      <c r="VRU182" s="47"/>
      <c r="VRV182" s="47"/>
      <c r="VRW182" s="47"/>
      <c r="VRX182" s="47"/>
      <c r="VRY182" s="47"/>
      <c r="VRZ182" s="47"/>
      <c r="VSA182" s="47"/>
      <c r="VSB182" s="47"/>
      <c r="VSC182" s="47"/>
      <c r="VSD182" s="47"/>
      <c r="VSE182" s="47"/>
      <c r="VSF182" s="47"/>
      <c r="VSG182" s="47"/>
      <c r="VSH182" s="47"/>
      <c r="VSI182" s="47"/>
      <c r="VSJ182" s="47"/>
      <c r="VSK182" s="47"/>
      <c r="VSL182" s="47"/>
      <c r="VSM182" s="47"/>
      <c r="VSN182" s="47"/>
      <c r="VSO182" s="47"/>
      <c r="VSP182" s="47"/>
      <c r="VSQ182" s="47"/>
      <c r="VSR182" s="47"/>
      <c r="VSS182" s="47"/>
      <c r="VST182" s="47"/>
      <c r="VSU182" s="47"/>
      <c r="VSV182" s="47"/>
      <c r="VSW182" s="47"/>
      <c r="VSX182" s="47"/>
      <c r="VSY182" s="47"/>
      <c r="VSZ182" s="47"/>
      <c r="VTA182" s="47"/>
      <c r="VTB182" s="47"/>
      <c r="VTC182" s="47"/>
      <c r="VTD182" s="47"/>
      <c r="VTE182" s="47"/>
      <c r="VTF182" s="47"/>
      <c r="VTG182" s="47"/>
      <c r="VTH182" s="47"/>
      <c r="VTI182" s="47"/>
      <c r="VTJ182" s="47"/>
      <c r="VTK182" s="47"/>
      <c r="VTL182" s="47"/>
      <c r="VTM182" s="47"/>
      <c r="VTN182" s="47"/>
      <c r="VTO182" s="47"/>
      <c r="VTP182" s="47"/>
      <c r="VTQ182" s="47"/>
      <c r="VTR182" s="47"/>
      <c r="VTS182" s="47"/>
      <c r="VTT182" s="47"/>
      <c r="VTU182" s="47"/>
      <c r="VTV182" s="47"/>
      <c r="VTW182" s="47"/>
      <c r="VTX182" s="47"/>
      <c r="VTY182" s="47"/>
      <c r="VTZ182" s="47"/>
      <c r="VUA182" s="47"/>
      <c r="VUB182" s="47"/>
      <c r="VUC182" s="47"/>
      <c r="VUD182" s="47"/>
      <c r="VUE182" s="47"/>
      <c r="VUF182" s="47"/>
      <c r="VUG182" s="47"/>
      <c r="VUH182" s="47"/>
      <c r="VUI182" s="47"/>
      <c r="VUJ182" s="47"/>
      <c r="VUK182" s="47"/>
      <c r="VUL182" s="47"/>
      <c r="VUM182" s="47"/>
      <c r="VUN182" s="47"/>
      <c r="VUO182" s="47"/>
      <c r="VUP182" s="47"/>
      <c r="VUQ182" s="47"/>
      <c r="VUR182" s="47"/>
      <c r="VUS182" s="47"/>
      <c r="VUT182" s="47"/>
      <c r="VUU182" s="47"/>
      <c r="VUV182" s="47"/>
      <c r="VUW182" s="47"/>
      <c r="VUX182" s="47"/>
      <c r="VUY182" s="47"/>
      <c r="VUZ182" s="47"/>
      <c r="VVA182" s="47"/>
      <c r="VVB182" s="47"/>
      <c r="VVC182" s="47"/>
      <c r="VVD182" s="47"/>
      <c r="VVE182" s="47"/>
      <c r="VVF182" s="47"/>
      <c r="VVG182" s="47"/>
      <c r="VVH182" s="47"/>
      <c r="VVI182" s="47"/>
      <c r="VVJ182" s="47"/>
      <c r="VVK182" s="47"/>
      <c r="VVL182" s="47"/>
    </row>
    <row r="183" spans="3:98 15064:15456" s="1" customFormat="1" hidden="1" x14ac:dyDescent="0.25">
      <c r="C183" s="15"/>
      <c r="D183" s="30" t="s">
        <v>29</v>
      </c>
      <c r="E183" s="63"/>
      <c r="F183" s="1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M183" s="66" t="s">
        <v>29</v>
      </c>
      <c r="CT183" s="146"/>
    </row>
    <row r="184" spans="3:98 15064:15456" s="1" customFormat="1" hidden="1" x14ac:dyDescent="0.25">
      <c r="C184" s="15"/>
      <c r="D184" s="11" t="s">
        <v>116</v>
      </c>
      <c r="E184" s="130">
        <v>0.3</v>
      </c>
      <c r="F184" s="20" t="s">
        <v>25</v>
      </c>
      <c r="G184" s="34" t="e">
        <v>#DIV/0!</v>
      </c>
      <c r="H184" s="34" t="e">
        <v>#DIV/0!</v>
      </c>
      <c r="I184" s="34" t="e">
        <v>#DIV/0!</v>
      </c>
      <c r="J184" s="34" t="e">
        <v>#DIV/0!</v>
      </c>
      <c r="K184" s="34" t="e">
        <v>#DIV/0!</v>
      </c>
      <c r="L184" s="34" t="e">
        <v>#DIV/0!</v>
      </c>
      <c r="M184" s="34" t="e">
        <v>#DIV/0!</v>
      </c>
      <c r="N184" s="34" t="e">
        <v>#DIV/0!</v>
      </c>
      <c r="O184" s="34" t="e">
        <v>#DIV/0!</v>
      </c>
      <c r="P184" s="34" t="e">
        <v>#DIV/0!</v>
      </c>
      <c r="Q184" s="34" t="e">
        <v>#DIV/0!</v>
      </c>
      <c r="R184" s="34" t="e">
        <v>#DIV/0!</v>
      </c>
      <c r="S184" s="34" t="e">
        <v>#DIV/0!</v>
      </c>
      <c r="T184" s="34" t="e">
        <v>#DIV/0!</v>
      </c>
      <c r="U184" s="34" t="e">
        <v>#DIV/0!</v>
      </c>
      <c r="V184" s="34" t="e">
        <v>#DIV/0!</v>
      </c>
      <c r="W184" s="34" t="e">
        <v>#DIV/0!</v>
      </c>
      <c r="X184" s="34" t="e">
        <v>#DIV/0!</v>
      </c>
      <c r="Y184" s="34" t="e">
        <v>#DIV/0!</v>
      </c>
      <c r="Z184" s="34" t="e">
        <v>#DIV/0!</v>
      </c>
      <c r="AA184" s="34" t="e">
        <v>#DIV/0!</v>
      </c>
      <c r="AB184" s="34" t="e">
        <v>#DIV/0!</v>
      </c>
      <c r="AC184" s="34" t="e">
        <v>#DIV/0!</v>
      </c>
      <c r="AD184" s="34" t="e">
        <v>#DIV/0!</v>
      </c>
      <c r="AE184" s="34" t="e">
        <v>#DIV/0!</v>
      </c>
      <c r="AF184" s="34" t="e">
        <v>#DIV/0!</v>
      </c>
      <c r="AG184" s="34" t="e">
        <v>#DIV/0!</v>
      </c>
      <c r="AH184" s="34" t="e">
        <v>#DIV/0!</v>
      </c>
      <c r="AI184" s="34" t="e">
        <v>#DIV/0!</v>
      </c>
      <c r="AJ184" s="34" t="e">
        <v>#DIV/0!</v>
      </c>
      <c r="AK184" s="34" t="e">
        <v>#DIV/0!</v>
      </c>
      <c r="AM184" s="66"/>
      <c r="CT184" s="146"/>
    </row>
    <row r="185" spans="3:98 15064:15456" s="1" customFormat="1" hidden="1" x14ac:dyDescent="0.25">
      <c r="C185" s="15"/>
      <c r="D185" s="11" t="s">
        <v>27</v>
      </c>
      <c r="E185" s="130">
        <v>0.3</v>
      </c>
      <c r="F185" s="20" t="s">
        <v>25</v>
      </c>
      <c r="G185" s="34" t="e">
        <v>#DIV/0!</v>
      </c>
      <c r="H185" s="34" t="e">
        <v>#DIV/0!</v>
      </c>
      <c r="I185" s="34" t="e">
        <v>#DIV/0!</v>
      </c>
      <c r="J185" s="34" t="e">
        <v>#DIV/0!</v>
      </c>
      <c r="K185" s="34" t="e">
        <v>#DIV/0!</v>
      </c>
      <c r="L185" s="34" t="e">
        <v>#DIV/0!</v>
      </c>
      <c r="M185" s="34" t="e">
        <v>#DIV/0!</v>
      </c>
      <c r="N185" s="34" t="e">
        <v>#DIV/0!</v>
      </c>
      <c r="O185" s="34" t="e">
        <v>#DIV/0!</v>
      </c>
      <c r="P185" s="34" t="e">
        <v>#DIV/0!</v>
      </c>
      <c r="Q185" s="34" t="e">
        <v>#DIV/0!</v>
      </c>
      <c r="R185" s="34" t="e">
        <v>#DIV/0!</v>
      </c>
      <c r="S185" s="34" t="e">
        <v>#DIV/0!</v>
      </c>
      <c r="T185" s="34" t="e">
        <v>#DIV/0!</v>
      </c>
      <c r="U185" s="34" t="e">
        <v>#DIV/0!</v>
      </c>
      <c r="V185" s="34" t="e">
        <v>#DIV/0!</v>
      </c>
      <c r="W185" s="34" t="e">
        <v>#DIV/0!</v>
      </c>
      <c r="X185" s="34" t="e">
        <v>#DIV/0!</v>
      </c>
      <c r="Y185" s="34" t="e">
        <v>#DIV/0!</v>
      </c>
      <c r="Z185" s="34" t="e">
        <v>#DIV/0!</v>
      </c>
      <c r="AA185" s="34" t="e">
        <v>#DIV/0!</v>
      </c>
      <c r="AB185" s="34" t="e">
        <v>#DIV/0!</v>
      </c>
      <c r="AC185" s="34" t="e">
        <v>#DIV/0!</v>
      </c>
      <c r="AD185" s="34" t="e">
        <v>#DIV/0!</v>
      </c>
      <c r="AE185" s="34" t="e">
        <v>#DIV/0!</v>
      </c>
      <c r="AF185" s="34" t="e">
        <v>#DIV/0!</v>
      </c>
      <c r="AG185" s="34" t="e">
        <v>#DIV/0!</v>
      </c>
      <c r="AH185" s="34" t="e">
        <v>#DIV/0!</v>
      </c>
      <c r="AI185" s="34" t="e">
        <v>#DIV/0!</v>
      </c>
      <c r="AJ185" s="34" t="e">
        <v>#DIV/0!</v>
      </c>
      <c r="AK185" s="34" t="e">
        <v>#DIV/0!</v>
      </c>
      <c r="AM185" s="61" t="e">
        <v>#DIV/0!</v>
      </c>
      <c r="CT185" s="146"/>
    </row>
    <row r="186" spans="3:98 15064:15456" s="1" customFormat="1" hidden="1" x14ac:dyDescent="0.25">
      <c r="C186" s="15"/>
      <c r="D186" s="11" t="s">
        <v>26</v>
      </c>
      <c r="E186" s="130">
        <v>0.3</v>
      </c>
      <c r="F186" s="20" t="s">
        <v>25</v>
      </c>
      <c r="G186" s="34" t="e">
        <v>#DIV/0!</v>
      </c>
      <c r="H186" s="34" t="e">
        <v>#DIV/0!</v>
      </c>
      <c r="I186" s="34" t="e">
        <v>#DIV/0!</v>
      </c>
      <c r="J186" s="34" t="e">
        <v>#DIV/0!</v>
      </c>
      <c r="K186" s="34" t="e">
        <v>#DIV/0!</v>
      </c>
      <c r="L186" s="34" t="e">
        <v>#DIV/0!</v>
      </c>
      <c r="M186" s="34" t="e">
        <v>#DIV/0!</v>
      </c>
      <c r="N186" s="34" t="e">
        <v>#DIV/0!</v>
      </c>
      <c r="O186" s="34" t="e">
        <v>#DIV/0!</v>
      </c>
      <c r="P186" s="34" t="e">
        <v>#DIV/0!</v>
      </c>
      <c r="Q186" s="34" t="e">
        <v>#DIV/0!</v>
      </c>
      <c r="R186" s="34" t="e">
        <v>#DIV/0!</v>
      </c>
      <c r="S186" s="34" t="e">
        <v>#DIV/0!</v>
      </c>
      <c r="T186" s="34" t="e">
        <v>#DIV/0!</v>
      </c>
      <c r="U186" s="34" t="e">
        <v>#DIV/0!</v>
      </c>
      <c r="V186" s="34" t="e">
        <v>#DIV/0!</v>
      </c>
      <c r="W186" s="34" t="e">
        <v>#DIV/0!</v>
      </c>
      <c r="X186" s="34" t="e">
        <v>#DIV/0!</v>
      </c>
      <c r="Y186" s="34" t="e">
        <v>#DIV/0!</v>
      </c>
      <c r="Z186" s="34" t="e">
        <v>#DIV/0!</v>
      </c>
      <c r="AA186" s="34" t="e">
        <v>#DIV/0!</v>
      </c>
      <c r="AB186" s="34" t="e">
        <v>#DIV/0!</v>
      </c>
      <c r="AC186" s="34" t="e">
        <v>#DIV/0!</v>
      </c>
      <c r="AD186" s="34" t="e">
        <v>#DIV/0!</v>
      </c>
      <c r="AE186" s="34" t="e">
        <v>#DIV/0!</v>
      </c>
      <c r="AF186" s="34" t="e">
        <v>#DIV/0!</v>
      </c>
      <c r="AG186" s="34" t="e">
        <v>#DIV/0!</v>
      </c>
      <c r="AH186" s="34" t="e">
        <v>#DIV/0!</v>
      </c>
      <c r="AI186" s="34" t="e">
        <v>#DIV/0!</v>
      </c>
      <c r="AJ186" s="34" t="e">
        <v>#DIV/0!</v>
      </c>
      <c r="AK186" s="34" t="e">
        <v>#DIV/0!</v>
      </c>
      <c r="AM186" s="61" t="e">
        <v>#DIV/0!</v>
      </c>
      <c r="CT186" s="146"/>
    </row>
    <row r="187" spans="3:98 15064:15456" s="1" customFormat="1" hidden="1" x14ac:dyDescent="0.25">
      <c r="C187" s="15"/>
      <c r="D187" s="30" t="s">
        <v>28</v>
      </c>
      <c r="E187" s="130"/>
      <c r="F187" s="13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M187" s="66" t="s">
        <v>28</v>
      </c>
      <c r="CT187" s="146"/>
    </row>
    <row r="188" spans="3:98 15064:15456" s="1" customFormat="1" hidden="1" x14ac:dyDescent="0.25">
      <c r="C188" s="15"/>
      <c r="D188" s="11" t="s">
        <v>116</v>
      </c>
      <c r="E188" s="130">
        <v>0.5</v>
      </c>
      <c r="F188" s="20" t="s">
        <v>25</v>
      </c>
      <c r="G188" s="34" t="e">
        <v>#DIV/0!</v>
      </c>
      <c r="H188" s="34" t="e">
        <v>#DIV/0!</v>
      </c>
      <c r="I188" s="34" t="e">
        <v>#DIV/0!</v>
      </c>
      <c r="J188" s="34" t="e">
        <v>#DIV/0!</v>
      </c>
      <c r="K188" s="34" t="e">
        <v>#DIV/0!</v>
      </c>
      <c r="L188" s="34" t="e">
        <v>#DIV/0!</v>
      </c>
      <c r="M188" s="34" t="e">
        <v>#DIV/0!</v>
      </c>
      <c r="N188" s="34" t="e">
        <v>#DIV/0!</v>
      </c>
      <c r="O188" s="34" t="e">
        <v>#DIV/0!</v>
      </c>
      <c r="P188" s="34" t="e">
        <v>#DIV/0!</v>
      </c>
      <c r="Q188" s="34" t="e">
        <v>#DIV/0!</v>
      </c>
      <c r="R188" s="34" t="e">
        <v>#DIV/0!</v>
      </c>
      <c r="S188" s="34" t="e">
        <v>#DIV/0!</v>
      </c>
      <c r="T188" s="34" t="e">
        <v>#DIV/0!</v>
      </c>
      <c r="U188" s="34" t="e">
        <v>#DIV/0!</v>
      </c>
      <c r="V188" s="34" t="e">
        <v>#DIV/0!</v>
      </c>
      <c r="W188" s="34" t="e">
        <v>#DIV/0!</v>
      </c>
      <c r="X188" s="34" t="e">
        <v>#DIV/0!</v>
      </c>
      <c r="Y188" s="34" t="e">
        <v>#DIV/0!</v>
      </c>
      <c r="Z188" s="34" t="e">
        <v>#DIV/0!</v>
      </c>
      <c r="AA188" s="34" t="e">
        <v>#DIV/0!</v>
      </c>
      <c r="AB188" s="34" t="e">
        <v>#DIV/0!</v>
      </c>
      <c r="AC188" s="34" t="e">
        <v>#DIV/0!</v>
      </c>
      <c r="AD188" s="34" t="e">
        <v>#DIV/0!</v>
      </c>
      <c r="AE188" s="34" t="e">
        <v>#DIV/0!</v>
      </c>
      <c r="AF188" s="34" t="e">
        <v>#DIV/0!</v>
      </c>
      <c r="AG188" s="34" t="e">
        <v>#DIV/0!</v>
      </c>
      <c r="AH188" s="34" t="e">
        <v>#DIV/0!</v>
      </c>
      <c r="AI188" s="34" t="e">
        <v>#DIV/0!</v>
      </c>
      <c r="AJ188" s="34" t="e">
        <v>#DIV/0!</v>
      </c>
      <c r="AK188" s="34" t="e">
        <v>#DIV/0!</v>
      </c>
      <c r="AM188" s="66"/>
      <c r="CT188" s="146"/>
    </row>
    <row r="189" spans="3:98 15064:15456" s="1" customFormat="1" hidden="1" x14ac:dyDescent="0.25">
      <c r="C189" s="15"/>
      <c r="D189" s="11" t="s">
        <v>27</v>
      </c>
      <c r="E189" s="130">
        <v>0.5</v>
      </c>
      <c r="F189" s="20" t="s">
        <v>25</v>
      </c>
      <c r="G189" s="34" t="e">
        <v>#DIV/0!</v>
      </c>
      <c r="H189" s="34" t="e">
        <v>#DIV/0!</v>
      </c>
      <c r="I189" s="34" t="e">
        <v>#DIV/0!</v>
      </c>
      <c r="J189" s="34" t="e">
        <v>#DIV/0!</v>
      </c>
      <c r="K189" s="34" t="e">
        <v>#DIV/0!</v>
      </c>
      <c r="L189" s="34" t="e">
        <v>#DIV/0!</v>
      </c>
      <c r="M189" s="34" t="e">
        <v>#DIV/0!</v>
      </c>
      <c r="N189" s="34" t="e">
        <v>#DIV/0!</v>
      </c>
      <c r="O189" s="34" t="e">
        <v>#DIV/0!</v>
      </c>
      <c r="P189" s="34" t="e">
        <v>#DIV/0!</v>
      </c>
      <c r="Q189" s="34" t="e">
        <v>#DIV/0!</v>
      </c>
      <c r="R189" s="34" t="e">
        <v>#DIV/0!</v>
      </c>
      <c r="S189" s="34" t="e">
        <v>#DIV/0!</v>
      </c>
      <c r="T189" s="34" t="e">
        <v>#DIV/0!</v>
      </c>
      <c r="U189" s="34" t="e">
        <v>#DIV/0!</v>
      </c>
      <c r="V189" s="34" t="e">
        <v>#DIV/0!</v>
      </c>
      <c r="W189" s="34" t="e">
        <v>#DIV/0!</v>
      </c>
      <c r="X189" s="34" t="e">
        <v>#DIV/0!</v>
      </c>
      <c r="Y189" s="34" t="e">
        <v>#DIV/0!</v>
      </c>
      <c r="Z189" s="34" t="e">
        <v>#DIV/0!</v>
      </c>
      <c r="AA189" s="34" t="e">
        <v>#DIV/0!</v>
      </c>
      <c r="AB189" s="34" t="e">
        <v>#DIV/0!</v>
      </c>
      <c r="AC189" s="34" t="e">
        <v>#DIV/0!</v>
      </c>
      <c r="AD189" s="34" t="e">
        <v>#DIV/0!</v>
      </c>
      <c r="AE189" s="34" t="e">
        <v>#DIV/0!</v>
      </c>
      <c r="AF189" s="34" t="e">
        <v>#DIV/0!</v>
      </c>
      <c r="AG189" s="34" t="e">
        <v>#DIV/0!</v>
      </c>
      <c r="AH189" s="34" t="e">
        <v>#DIV/0!</v>
      </c>
      <c r="AI189" s="34" t="e">
        <v>#DIV/0!</v>
      </c>
      <c r="AJ189" s="34" t="e">
        <v>#DIV/0!</v>
      </c>
      <c r="AK189" s="34" t="e">
        <v>#DIV/0!</v>
      </c>
      <c r="AM189" s="61" t="e">
        <v>#DIV/0!</v>
      </c>
      <c r="CT189" s="146"/>
    </row>
    <row r="190" spans="3:98 15064:15456" s="1" customFormat="1" ht="15.75" hidden="1" thickBot="1" x14ac:dyDescent="0.3">
      <c r="C190" s="19"/>
      <c r="D190" s="11" t="s">
        <v>26</v>
      </c>
      <c r="E190" s="130">
        <v>0.5</v>
      </c>
      <c r="F190" s="20" t="s">
        <v>25</v>
      </c>
      <c r="G190" s="34" t="e">
        <v>#DIV/0!</v>
      </c>
      <c r="H190" s="34" t="e">
        <v>#DIV/0!</v>
      </c>
      <c r="I190" s="34" t="e">
        <v>#DIV/0!</v>
      </c>
      <c r="J190" s="34" t="e">
        <v>#DIV/0!</v>
      </c>
      <c r="K190" s="34" t="e">
        <v>#DIV/0!</v>
      </c>
      <c r="L190" s="34" t="e">
        <v>#DIV/0!</v>
      </c>
      <c r="M190" s="34" t="e">
        <v>#DIV/0!</v>
      </c>
      <c r="N190" s="34" t="e">
        <v>#DIV/0!</v>
      </c>
      <c r="O190" s="34" t="e">
        <v>#DIV/0!</v>
      </c>
      <c r="P190" s="34" t="e">
        <v>#DIV/0!</v>
      </c>
      <c r="Q190" s="34" t="e">
        <v>#DIV/0!</v>
      </c>
      <c r="R190" s="34" t="e">
        <v>#DIV/0!</v>
      </c>
      <c r="S190" s="34" t="e">
        <v>#DIV/0!</v>
      </c>
      <c r="T190" s="34" t="e">
        <v>#DIV/0!</v>
      </c>
      <c r="U190" s="34" t="e">
        <v>#DIV/0!</v>
      </c>
      <c r="V190" s="34" t="e">
        <v>#DIV/0!</v>
      </c>
      <c r="W190" s="34" t="e">
        <v>#DIV/0!</v>
      </c>
      <c r="X190" s="34" t="e">
        <v>#DIV/0!</v>
      </c>
      <c r="Y190" s="34" t="e">
        <v>#DIV/0!</v>
      </c>
      <c r="Z190" s="34" t="e">
        <v>#DIV/0!</v>
      </c>
      <c r="AA190" s="34" t="e">
        <v>#DIV/0!</v>
      </c>
      <c r="AB190" s="34" t="e">
        <v>#DIV/0!</v>
      </c>
      <c r="AC190" s="34" t="e">
        <v>#DIV/0!</v>
      </c>
      <c r="AD190" s="34" t="e">
        <v>#DIV/0!</v>
      </c>
      <c r="AE190" s="34" t="e">
        <v>#DIV/0!</v>
      </c>
      <c r="AF190" s="34" t="e">
        <v>#DIV/0!</v>
      </c>
      <c r="AG190" s="34" t="e">
        <v>#DIV/0!</v>
      </c>
      <c r="AH190" s="34" t="e">
        <v>#DIV/0!</v>
      </c>
      <c r="AI190" s="34" t="e">
        <v>#DIV/0!</v>
      </c>
      <c r="AJ190" s="34" t="e">
        <v>#DIV/0!</v>
      </c>
      <c r="AK190" s="34" t="e">
        <v>#DIV/0!</v>
      </c>
      <c r="AM190" s="61" t="e">
        <v>#DIV/0!</v>
      </c>
      <c r="CT190" s="146"/>
    </row>
    <row r="191" spans="3:98 15064:15456" s="1" customFormat="1" hidden="1" x14ac:dyDescent="0.25">
      <c r="C191" s="8">
        <v>7</v>
      </c>
      <c r="D191" s="48" t="s">
        <v>88</v>
      </c>
      <c r="E191" s="131"/>
      <c r="F191" s="132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94"/>
      <c r="AB191" s="294"/>
      <c r="AC191" s="294"/>
      <c r="AD191" s="294"/>
      <c r="AE191" s="294"/>
      <c r="AF191" s="294"/>
      <c r="AG191" s="294"/>
      <c r="AH191" s="294"/>
      <c r="AI191" s="294"/>
      <c r="AJ191" s="294"/>
      <c r="AK191" s="294"/>
      <c r="AL191" s="133"/>
      <c r="AM191" s="81" t="s">
        <v>130</v>
      </c>
    </row>
    <row r="192" spans="3:98 15064:15456" s="1" customFormat="1" hidden="1" x14ac:dyDescent="0.25">
      <c r="C192" s="15"/>
      <c r="D192" s="26" t="s">
        <v>93</v>
      </c>
      <c r="E192" s="130"/>
      <c r="F192" s="20" t="s">
        <v>14</v>
      </c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18"/>
      <c r="AM192" s="92">
        <v>0</v>
      </c>
    </row>
    <row r="193" spans="3:39" s="1" customFormat="1" hidden="1" x14ac:dyDescent="0.25">
      <c r="C193" s="15"/>
      <c r="D193" s="11" t="s">
        <v>94</v>
      </c>
      <c r="E193" s="130"/>
      <c r="F193" s="20" t="s">
        <v>14</v>
      </c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18"/>
      <c r="AM193" s="92">
        <v>0</v>
      </c>
    </row>
    <row r="194" spans="3:39" s="1" customFormat="1" hidden="1" x14ac:dyDescent="0.25">
      <c r="C194" s="15"/>
      <c r="D194" s="11" t="s">
        <v>39</v>
      </c>
      <c r="E194" s="130"/>
      <c r="F194" s="20" t="s">
        <v>14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4">
        <v>0</v>
      </c>
      <c r="U194" s="34">
        <v>0</v>
      </c>
      <c r="V194" s="34">
        <v>0</v>
      </c>
      <c r="W194" s="34">
        <v>0</v>
      </c>
      <c r="X194" s="34">
        <v>0</v>
      </c>
      <c r="Y194" s="34">
        <v>0</v>
      </c>
      <c r="Z194" s="34">
        <v>0</v>
      </c>
      <c r="AA194" s="34">
        <v>0</v>
      </c>
      <c r="AB194" s="34">
        <v>0</v>
      </c>
      <c r="AC194" s="34">
        <v>0</v>
      </c>
      <c r="AD194" s="34">
        <v>0</v>
      </c>
      <c r="AE194" s="34">
        <v>0</v>
      </c>
      <c r="AF194" s="34">
        <v>0</v>
      </c>
      <c r="AG194" s="34">
        <v>0</v>
      </c>
      <c r="AH194" s="34">
        <v>0</v>
      </c>
      <c r="AI194" s="34">
        <v>0</v>
      </c>
      <c r="AJ194" s="34">
        <v>0</v>
      </c>
      <c r="AK194" s="34">
        <v>0</v>
      </c>
      <c r="AL194" s="18"/>
      <c r="AM194" s="92">
        <v>0</v>
      </c>
    </row>
    <row r="195" spans="3:39" s="1" customFormat="1" hidden="1" x14ac:dyDescent="0.25">
      <c r="C195" s="15"/>
      <c r="D195" s="11" t="s">
        <v>38</v>
      </c>
      <c r="E195" s="130"/>
      <c r="F195" s="20" t="s">
        <v>14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4">
        <v>0</v>
      </c>
      <c r="U195" s="34">
        <v>0</v>
      </c>
      <c r="V195" s="34">
        <v>0</v>
      </c>
      <c r="W195" s="34">
        <v>0</v>
      </c>
      <c r="X195" s="34">
        <v>0</v>
      </c>
      <c r="Y195" s="34">
        <v>0</v>
      </c>
      <c r="Z195" s="34">
        <v>0</v>
      </c>
      <c r="AA195" s="34">
        <v>0</v>
      </c>
      <c r="AB195" s="34">
        <v>0</v>
      </c>
      <c r="AC195" s="34">
        <v>0</v>
      </c>
      <c r="AD195" s="34">
        <v>0</v>
      </c>
      <c r="AE195" s="34">
        <v>0</v>
      </c>
      <c r="AF195" s="34">
        <v>0</v>
      </c>
      <c r="AG195" s="34">
        <v>0</v>
      </c>
      <c r="AH195" s="34">
        <v>0</v>
      </c>
      <c r="AI195" s="34">
        <v>0</v>
      </c>
      <c r="AJ195" s="34">
        <v>0</v>
      </c>
      <c r="AK195" s="34">
        <v>0</v>
      </c>
      <c r="AL195" s="18"/>
      <c r="AM195" s="92">
        <v>0</v>
      </c>
    </row>
    <row r="196" spans="3:39" s="1" customFormat="1" hidden="1" x14ac:dyDescent="0.25">
      <c r="C196" s="15"/>
      <c r="D196" s="30" t="s">
        <v>50</v>
      </c>
      <c r="E196" s="130"/>
      <c r="F196" s="13" t="s">
        <v>14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4">
        <v>0</v>
      </c>
      <c r="U196" s="34">
        <v>0</v>
      </c>
      <c r="V196" s="34">
        <v>0</v>
      </c>
      <c r="W196" s="34">
        <v>0</v>
      </c>
      <c r="X196" s="34">
        <v>0</v>
      </c>
      <c r="Y196" s="34">
        <v>0</v>
      </c>
      <c r="Z196" s="34">
        <v>0</v>
      </c>
      <c r="AA196" s="34">
        <v>0</v>
      </c>
      <c r="AB196" s="34">
        <v>0</v>
      </c>
      <c r="AC196" s="34">
        <v>0</v>
      </c>
      <c r="AD196" s="34">
        <v>0</v>
      </c>
      <c r="AE196" s="34">
        <v>0</v>
      </c>
      <c r="AF196" s="34">
        <v>0</v>
      </c>
      <c r="AG196" s="34">
        <v>0</v>
      </c>
      <c r="AH196" s="34">
        <v>0</v>
      </c>
      <c r="AI196" s="34">
        <v>0</v>
      </c>
      <c r="AJ196" s="34">
        <v>0</v>
      </c>
      <c r="AK196" s="34">
        <v>0</v>
      </c>
      <c r="AL196" s="18"/>
      <c r="AM196" s="61">
        <v>0</v>
      </c>
    </row>
    <row r="197" spans="3:39" s="1" customFormat="1" hidden="1" x14ac:dyDescent="0.25">
      <c r="C197" s="15"/>
      <c r="D197" s="11" t="s">
        <v>29</v>
      </c>
      <c r="E197" s="130"/>
      <c r="F197" s="20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18"/>
      <c r="AM197" s="61" t="s">
        <v>29</v>
      </c>
    </row>
    <row r="198" spans="3:39" s="1" customFormat="1" hidden="1" x14ac:dyDescent="0.25">
      <c r="C198" s="15"/>
      <c r="D198" s="11" t="s">
        <v>89</v>
      </c>
      <c r="E198" s="130"/>
      <c r="F198" s="20" t="s">
        <v>31</v>
      </c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18"/>
      <c r="AM198" s="94">
        <v>0</v>
      </c>
    </row>
    <row r="199" spans="3:39" s="1" customFormat="1" hidden="1" x14ac:dyDescent="0.25">
      <c r="C199" s="15"/>
      <c r="D199" s="11" t="s">
        <v>117</v>
      </c>
      <c r="E199" s="130"/>
      <c r="F199" s="20" t="s">
        <v>31</v>
      </c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18"/>
      <c r="AM199" s="94">
        <v>0</v>
      </c>
    </row>
    <row r="200" spans="3:39" s="1" customFormat="1" hidden="1" x14ac:dyDescent="0.25">
      <c r="C200" s="15"/>
      <c r="D200" s="38" t="s">
        <v>28</v>
      </c>
      <c r="E200" s="130"/>
      <c r="F200" s="20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18"/>
      <c r="AM200" s="61" t="s">
        <v>28</v>
      </c>
    </row>
    <row r="201" spans="3:39" s="1" customFormat="1" hidden="1" x14ac:dyDescent="0.25">
      <c r="C201" s="15"/>
      <c r="D201" s="11" t="s">
        <v>89</v>
      </c>
      <c r="E201" s="130"/>
      <c r="F201" s="20" t="s">
        <v>28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3">
        <v>0</v>
      </c>
      <c r="O201" s="33">
        <v>0</v>
      </c>
      <c r="P201" s="33">
        <v>0</v>
      </c>
      <c r="Q201" s="33">
        <v>0</v>
      </c>
      <c r="R201" s="33">
        <v>0</v>
      </c>
      <c r="S201" s="33">
        <v>0</v>
      </c>
      <c r="T201" s="33">
        <v>0</v>
      </c>
      <c r="U201" s="33">
        <v>0</v>
      </c>
      <c r="V201" s="33">
        <v>0</v>
      </c>
      <c r="W201" s="33">
        <v>0</v>
      </c>
      <c r="X201" s="33">
        <v>0</v>
      </c>
      <c r="Y201" s="33">
        <v>0</v>
      </c>
      <c r="Z201" s="33">
        <v>0</v>
      </c>
      <c r="AA201" s="33">
        <v>0</v>
      </c>
      <c r="AB201" s="33">
        <v>0</v>
      </c>
      <c r="AC201" s="33">
        <v>0</v>
      </c>
      <c r="AD201" s="33">
        <v>0</v>
      </c>
      <c r="AE201" s="33">
        <v>0</v>
      </c>
      <c r="AF201" s="33">
        <v>0</v>
      </c>
      <c r="AG201" s="33">
        <v>0</v>
      </c>
      <c r="AH201" s="33">
        <v>0</v>
      </c>
      <c r="AI201" s="33">
        <v>0</v>
      </c>
      <c r="AJ201" s="33">
        <v>0</v>
      </c>
      <c r="AK201" s="33">
        <v>0</v>
      </c>
      <c r="AL201" s="6"/>
      <c r="AM201" s="57">
        <v>0</v>
      </c>
    </row>
    <row r="202" spans="3:39" s="1" customFormat="1" hidden="1" x14ac:dyDescent="0.25">
      <c r="C202" s="15"/>
      <c r="D202" s="11" t="s">
        <v>117</v>
      </c>
      <c r="E202" s="130"/>
      <c r="F202" s="20" t="s">
        <v>28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3">
        <v>0</v>
      </c>
      <c r="O202" s="33">
        <v>0</v>
      </c>
      <c r="P202" s="33">
        <v>0</v>
      </c>
      <c r="Q202" s="33">
        <v>0</v>
      </c>
      <c r="R202" s="33">
        <v>0</v>
      </c>
      <c r="S202" s="33">
        <v>0</v>
      </c>
      <c r="T202" s="33">
        <v>0</v>
      </c>
      <c r="U202" s="33">
        <v>0</v>
      </c>
      <c r="V202" s="33">
        <v>0</v>
      </c>
      <c r="W202" s="33">
        <v>0</v>
      </c>
      <c r="X202" s="33">
        <v>0</v>
      </c>
      <c r="Y202" s="33">
        <v>0</v>
      </c>
      <c r="Z202" s="33">
        <v>0</v>
      </c>
      <c r="AA202" s="33">
        <v>0</v>
      </c>
      <c r="AB202" s="33">
        <v>0</v>
      </c>
      <c r="AC202" s="33">
        <v>0</v>
      </c>
      <c r="AD202" s="33">
        <v>0</v>
      </c>
      <c r="AE202" s="33">
        <v>0</v>
      </c>
      <c r="AF202" s="33">
        <v>0</v>
      </c>
      <c r="AG202" s="33">
        <v>0</v>
      </c>
      <c r="AH202" s="33">
        <v>0</v>
      </c>
      <c r="AI202" s="33">
        <v>0</v>
      </c>
      <c r="AJ202" s="33">
        <v>0</v>
      </c>
      <c r="AK202" s="33"/>
      <c r="AL202" s="6"/>
      <c r="AM202" s="57"/>
    </row>
    <row r="203" spans="3:39" s="1" customFormat="1" hidden="1" x14ac:dyDescent="0.25">
      <c r="C203" s="15"/>
      <c r="D203" s="11" t="s">
        <v>36</v>
      </c>
      <c r="E203" s="130"/>
      <c r="F203" s="20" t="s">
        <v>35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0</v>
      </c>
      <c r="P203" s="33">
        <v>0</v>
      </c>
      <c r="Q203" s="33">
        <v>0</v>
      </c>
      <c r="R203" s="33">
        <v>0</v>
      </c>
      <c r="S203" s="33">
        <v>0</v>
      </c>
      <c r="T203" s="33">
        <v>0</v>
      </c>
      <c r="U203" s="33">
        <v>0</v>
      </c>
      <c r="V203" s="33">
        <v>0</v>
      </c>
      <c r="W203" s="33">
        <v>0</v>
      </c>
      <c r="X203" s="33">
        <v>0</v>
      </c>
      <c r="Y203" s="33">
        <v>0</v>
      </c>
      <c r="Z203" s="33">
        <v>0</v>
      </c>
      <c r="AA203" s="33">
        <v>0</v>
      </c>
      <c r="AB203" s="33">
        <v>0</v>
      </c>
      <c r="AC203" s="33">
        <v>0</v>
      </c>
      <c r="AD203" s="33">
        <v>0</v>
      </c>
      <c r="AE203" s="33">
        <v>0</v>
      </c>
      <c r="AF203" s="33">
        <v>0</v>
      </c>
      <c r="AG203" s="33">
        <v>0</v>
      </c>
      <c r="AH203" s="33">
        <v>0</v>
      </c>
      <c r="AI203" s="33">
        <v>0</v>
      </c>
      <c r="AJ203" s="33">
        <v>0</v>
      </c>
      <c r="AK203" s="33">
        <v>0</v>
      </c>
      <c r="AL203" s="6"/>
      <c r="AM203" s="57">
        <v>0</v>
      </c>
    </row>
    <row r="204" spans="3:39" s="1" customFormat="1" hidden="1" x14ac:dyDescent="0.25">
      <c r="C204" s="15"/>
      <c r="D204" s="11" t="s">
        <v>34</v>
      </c>
      <c r="E204" s="130"/>
      <c r="F204" s="20" t="s">
        <v>33</v>
      </c>
      <c r="G204" s="33">
        <v>0</v>
      </c>
      <c r="H204" s="33">
        <v>0</v>
      </c>
      <c r="I204" s="33">
        <v>0</v>
      </c>
      <c r="J204" s="33">
        <v>0</v>
      </c>
      <c r="K204" s="33">
        <v>0</v>
      </c>
      <c r="L204" s="33">
        <v>0</v>
      </c>
      <c r="M204" s="33">
        <v>0</v>
      </c>
      <c r="N204" s="33">
        <v>0</v>
      </c>
      <c r="O204" s="33">
        <v>0</v>
      </c>
      <c r="P204" s="33">
        <v>0</v>
      </c>
      <c r="Q204" s="33">
        <v>0</v>
      </c>
      <c r="R204" s="33">
        <v>0</v>
      </c>
      <c r="S204" s="33">
        <v>0</v>
      </c>
      <c r="T204" s="33">
        <v>0</v>
      </c>
      <c r="U204" s="33">
        <v>0</v>
      </c>
      <c r="V204" s="33">
        <v>0</v>
      </c>
      <c r="W204" s="33">
        <v>0</v>
      </c>
      <c r="X204" s="33">
        <v>0</v>
      </c>
      <c r="Y204" s="33">
        <v>0</v>
      </c>
      <c r="Z204" s="33">
        <v>0</v>
      </c>
      <c r="AA204" s="33">
        <v>0</v>
      </c>
      <c r="AB204" s="33">
        <v>0</v>
      </c>
      <c r="AC204" s="33">
        <v>0</v>
      </c>
      <c r="AD204" s="33">
        <v>0</v>
      </c>
      <c r="AE204" s="33">
        <v>0</v>
      </c>
      <c r="AF204" s="33">
        <v>0</v>
      </c>
      <c r="AG204" s="33">
        <v>0</v>
      </c>
      <c r="AH204" s="33">
        <v>0</v>
      </c>
      <c r="AI204" s="33">
        <v>0</v>
      </c>
      <c r="AJ204" s="33">
        <v>0</v>
      </c>
      <c r="AK204" s="33">
        <v>0</v>
      </c>
      <c r="AL204" s="6"/>
      <c r="AM204" s="99">
        <v>0</v>
      </c>
    </row>
    <row r="205" spans="3:39" s="1" customFormat="1" hidden="1" x14ac:dyDescent="0.25">
      <c r="C205" s="15"/>
      <c r="D205" s="48" t="s">
        <v>32</v>
      </c>
      <c r="E205" s="131"/>
      <c r="F205" s="95"/>
      <c r="G205" s="295"/>
      <c r="H205" s="295"/>
      <c r="I205" s="295"/>
      <c r="J205" s="295"/>
      <c r="K205" s="295"/>
      <c r="L205" s="295"/>
      <c r="M205" s="295"/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  <c r="X205" s="295"/>
      <c r="Y205" s="295"/>
      <c r="Z205" s="295"/>
      <c r="AA205" s="295"/>
      <c r="AB205" s="295"/>
      <c r="AC205" s="295"/>
      <c r="AD205" s="295"/>
      <c r="AE205" s="295"/>
      <c r="AF205" s="295"/>
      <c r="AG205" s="295"/>
      <c r="AH205" s="295"/>
      <c r="AI205" s="295"/>
      <c r="AJ205" s="295"/>
      <c r="AK205" s="295"/>
      <c r="AL205" s="100"/>
      <c r="AM205" s="101" t="s">
        <v>131</v>
      </c>
    </row>
    <row r="206" spans="3:39" s="1" customFormat="1" hidden="1" x14ac:dyDescent="0.25">
      <c r="C206" s="15"/>
      <c r="D206" s="11" t="s">
        <v>29</v>
      </c>
      <c r="E206" s="130"/>
      <c r="F206" s="20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18"/>
      <c r="AM206" s="61"/>
    </row>
    <row r="207" spans="3:39" s="1" customFormat="1" hidden="1" x14ac:dyDescent="0.25">
      <c r="C207" s="15"/>
      <c r="D207" s="11" t="s">
        <v>89</v>
      </c>
      <c r="E207" s="130"/>
      <c r="F207" s="20" t="s">
        <v>31</v>
      </c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18"/>
      <c r="AM207" s="94">
        <v>0</v>
      </c>
    </row>
    <row r="208" spans="3:39" s="1" customFormat="1" hidden="1" x14ac:dyDescent="0.25">
      <c r="C208" s="15"/>
      <c r="D208" s="11" t="s">
        <v>117</v>
      </c>
      <c r="E208" s="130"/>
      <c r="F208" s="20" t="s">
        <v>31</v>
      </c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18"/>
      <c r="AM208" s="94">
        <v>0</v>
      </c>
    </row>
    <row r="209" spans="3:98 15064:15456" s="1" customFormat="1" hidden="1" x14ac:dyDescent="0.25">
      <c r="C209" s="15"/>
      <c r="D209" s="11" t="s">
        <v>28</v>
      </c>
      <c r="E209" s="130"/>
      <c r="F209" s="20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18"/>
      <c r="AM209" s="61"/>
    </row>
    <row r="210" spans="3:98 15064:15456" s="1" customFormat="1" hidden="1" x14ac:dyDescent="0.25">
      <c r="C210" s="15"/>
      <c r="D210" s="11" t="s">
        <v>89</v>
      </c>
      <c r="E210" s="130"/>
      <c r="F210" s="20" t="s">
        <v>28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Z210" s="33">
        <v>0</v>
      </c>
      <c r="AA210" s="33">
        <v>0</v>
      </c>
      <c r="AB210" s="33">
        <v>0</v>
      </c>
      <c r="AC210" s="33">
        <v>0</v>
      </c>
      <c r="AD210" s="33">
        <v>0</v>
      </c>
      <c r="AE210" s="33">
        <v>0</v>
      </c>
      <c r="AF210" s="33">
        <v>0</v>
      </c>
      <c r="AG210" s="33">
        <v>0</v>
      </c>
      <c r="AH210" s="33">
        <v>0</v>
      </c>
      <c r="AI210" s="33">
        <v>0</v>
      </c>
      <c r="AJ210" s="33">
        <v>0</v>
      </c>
      <c r="AK210" s="33"/>
      <c r="AL210" s="18"/>
      <c r="AM210" s="94">
        <v>0</v>
      </c>
    </row>
    <row r="211" spans="3:98 15064:15456" s="1" customFormat="1" hidden="1" x14ac:dyDescent="0.25">
      <c r="C211" s="15"/>
      <c r="D211" s="11" t="s">
        <v>117</v>
      </c>
      <c r="E211" s="130"/>
      <c r="F211" s="20" t="s">
        <v>28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3">
        <v>0</v>
      </c>
      <c r="O211" s="33">
        <v>0</v>
      </c>
      <c r="P211" s="33">
        <v>0</v>
      </c>
      <c r="Q211" s="33">
        <v>0</v>
      </c>
      <c r="R211" s="33">
        <v>0</v>
      </c>
      <c r="S211" s="33">
        <v>0</v>
      </c>
      <c r="T211" s="33">
        <v>0</v>
      </c>
      <c r="U211" s="33">
        <v>0</v>
      </c>
      <c r="V211" s="33">
        <v>0</v>
      </c>
      <c r="W211" s="33">
        <v>0</v>
      </c>
      <c r="X211" s="33">
        <v>0</v>
      </c>
      <c r="Y211" s="33">
        <v>0</v>
      </c>
      <c r="Z211" s="33">
        <v>0</v>
      </c>
      <c r="AA211" s="33">
        <v>0</v>
      </c>
      <c r="AB211" s="33">
        <v>0</v>
      </c>
      <c r="AC211" s="33">
        <v>0</v>
      </c>
      <c r="AD211" s="33">
        <v>0</v>
      </c>
      <c r="AE211" s="33">
        <v>0</v>
      </c>
      <c r="AF211" s="33">
        <v>0</v>
      </c>
      <c r="AG211" s="33">
        <v>0</v>
      </c>
      <c r="AH211" s="33">
        <v>0</v>
      </c>
      <c r="AI211" s="33">
        <v>0</v>
      </c>
      <c r="AJ211" s="33">
        <v>0</v>
      </c>
      <c r="AK211" s="33">
        <v>0</v>
      </c>
      <c r="AL211" s="18"/>
      <c r="AM211" s="94">
        <v>0</v>
      </c>
    </row>
    <row r="212" spans="3:98 15064:15456" s="1" customFormat="1" hidden="1" x14ac:dyDescent="0.25">
      <c r="C212" s="15"/>
      <c r="D212" s="48" t="s">
        <v>30</v>
      </c>
      <c r="E212" s="134"/>
      <c r="F212" s="102"/>
      <c r="G212" s="278"/>
      <c r="H212" s="278"/>
      <c r="I212" s="278"/>
      <c r="J212" s="278"/>
      <c r="K212" s="278"/>
      <c r="L212" s="278"/>
      <c r="M212" s="278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  <c r="AA212" s="278"/>
      <c r="AB212" s="278"/>
      <c r="AC212" s="278"/>
      <c r="AD212" s="278"/>
      <c r="AE212" s="278"/>
      <c r="AF212" s="278"/>
      <c r="AG212" s="278"/>
      <c r="AH212" s="278"/>
      <c r="AI212" s="278"/>
      <c r="AJ212" s="278"/>
      <c r="AK212" s="278"/>
      <c r="AL212" s="18"/>
      <c r="AM212" s="81" t="s">
        <v>131</v>
      </c>
    </row>
    <row r="213" spans="3:98 15064:15456" s="1" customFormat="1" hidden="1" x14ac:dyDescent="0.25">
      <c r="C213" s="15"/>
      <c r="D213" s="30" t="s">
        <v>29</v>
      </c>
      <c r="E213" s="130"/>
      <c r="F213" s="20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18"/>
      <c r="AM213" s="94"/>
    </row>
    <row r="214" spans="3:98 15064:15456" s="1" customFormat="1" hidden="1" x14ac:dyDescent="0.25">
      <c r="C214" s="15"/>
      <c r="D214" s="11" t="s">
        <v>89</v>
      </c>
      <c r="E214" s="130">
        <v>0.3</v>
      </c>
      <c r="F214" s="20" t="s">
        <v>25</v>
      </c>
      <c r="G214" s="33" t="e">
        <v>#DIV/0!</v>
      </c>
      <c r="H214" s="33" t="e">
        <v>#DIV/0!</v>
      </c>
      <c r="I214" s="33" t="e">
        <v>#DIV/0!</v>
      </c>
      <c r="J214" s="33" t="e">
        <v>#DIV/0!</v>
      </c>
      <c r="K214" s="33" t="e">
        <v>#DIV/0!</v>
      </c>
      <c r="L214" s="33" t="e">
        <v>#DIV/0!</v>
      </c>
      <c r="M214" s="33" t="e">
        <v>#DIV/0!</v>
      </c>
      <c r="N214" s="33" t="e">
        <v>#DIV/0!</v>
      </c>
      <c r="O214" s="33" t="e">
        <v>#DIV/0!</v>
      </c>
      <c r="P214" s="33" t="e">
        <v>#DIV/0!</v>
      </c>
      <c r="Q214" s="33" t="e">
        <v>#DIV/0!</v>
      </c>
      <c r="R214" s="33" t="e">
        <v>#DIV/0!</v>
      </c>
      <c r="S214" s="33" t="e">
        <v>#DIV/0!</v>
      </c>
      <c r="T214" s="33" t="e">
        <v>#DIV/0!</v>
      </c>
      <c r="U214" s="33" t="e">
        <v>#DIV/0!</v>
      </c>
      <c r="V214" s="33" t="e">
        <v>#DIV/0!</v>
      </c>
      <c r="W214" s="33" t="e">
        <v>#DIV/0!</v>
      </c>
      <c r="X214" s="33" t="e">
        <v>#DIV/0!</v>
      </c>
      <c r="Y214" s="33" t="e">
        <v>#DIV/0!</v>
      </c>
      <c r="Z214" s="33" t="e">
        <v>#DIV/0!</v>
      </c>
      <c r="AA214" s="33" t="e">
        <v>#DIV/0!</v>
      </c>
      <c r="AB214" s="33" t="e">
        <v>#DIV/0!</v>
      </c>
      <c r="AC214" s="33" t="e">
        <v>#DIV/0!</v>
      </c>
      <c r="AD214" s="33" t="e">
        <v>#DIV/0!</v>
      </c>
      <c r="AE214" s="33" t="e">
        <v>#DIV/0!</v>
      </c>
      <c r="AF214" s="33" t="e">
        <v>#DIV/0!</v>
      </c>
      <c r="AG214" s="33" t="e">
        <v>#DIV/0!</v>
      </c>
      <c r="AH214" s="33" t="e">
        <v>#DIV/0!</v>
      </c>
      <c r="AI214" s="33" t="e">
        <v>#DIV/0!</v>
      </c>
      <c r="AJ214" s="33" t="e">
        <v>#DIV/0!</v>
      </c>
      <c r="AK214" s="33" t="e">
        <v>#DIV/0!</v>
      </c>
      <c r="AL214" s="18"/>
      <c r="AM214" s="103" t="e">
        <v>#DIV/0!</v>
      </c>
    </row>
    <row r="215" spans="3:98 15064:15456" s="1" customFormat="1" hidden="1" x14ac:dyDescent="0.25">
      <c r="C215" s="15"/>
      <c r="D215" s="11" t="s">
        <v>117</v>
      </c>
      <c r="E215" s="130">
        <v>0.3</v>
      </c>
      <c r="F215" s="20" t="s">
        <v>25</v>
      </c>
      <c r="G215" s="33" t="e">
        <v>#DIV/0!</v>
      </c>
      <c r="H215" s="33" t="e">
        <v>#DIV/0!</v>
      </c>
      <c r="I215" s="33" t="e">
        <v>#DIV/0!</v>
      </c>
      <c r="J215" s="33" t="e">
        <v>#DIV/0!</v>
      </c>
      <c r="K215" s="33" t="e">
        <v>#DIV/0!</v>
      </c>
      <c r="L215" s="33" t="e">
        <v>#DIV/0!</v>
      </c>
      <c r="M215" s="33" t="e">
        <v>#DIV/0!</v>
      </c>
      <c r="N215" s="33" t="e">
        <v>#DIV/0!</v>
      </c>
      <c r="O215" s="33" t="e">
        <v>#DIV/0!</v>
      </c>
      <c r="P215" s="33" t="e">
        <v>#DIV/0!</v>
      </c>
      <c r="Q215" s="33" t="e">
        <v>#DIV/0!</v>
      </c>
      <c r="R215" s="33" t="e">
        <v>#DIV/0!</v>
      </c>
      <c r="S215" s="33" t="e">
        <v>#DIV/0!</v>
      </c>
      <c r="T215" s="33" t="e">
        <v>#DIV/0!</v>
      </c>
      <c r="U215" s="33" t="e">
        <v>#DIV/0!</v>
      </c>
      <c r="V215" s="33" t="e">
        <v>#DIV/0!</v>
      </c>
      <c r="W215" s="33" t="e">
        <v>#DIV/0!</v>
      </c>
      <c r="X215" s="33" t="e">
        <v>#DIV/0!</v>
      </c>
      <c r="Y215" s="33" t="e">
        <v>#DIV/0!</v>
      </c>
      <c r="Z215" s="33" t="e">
        <v>#DIV/0!</v>
      </c>
      <c r="AA215" s="33" t="e">
        <v>#DIV/0!</v>
      </c>
      <c r="AB215" s="33" t="e">
        <v>#DIV/0!</v>
      </c>
      <c r="AC215" s="33" t="e">
        <v>#DIV/0!</v>
      </c>
      <c r="AD215" s="33" t="e">
        <v>#DIV/0!</v>
      </c>
      <c r="AE215" s="33" t="e">
        <v>#DIV/0!</v>
      </c>
      <c r="AF215" s="33" t="e">
        <v>#DIV/0!</v>
      </c>
      <c r="AG215" s="33" t="e">
        <v>#DIV/0!</v>
      </c>
      <c r="AH215" s="33" t="e">
        <v>#DIV/0!</v>
      </c>
      <c r="AI215" s="33" t="e">
        <v>#DIV/0!</v>
      </c>
      <c r="AJ215" s="33" t="e">
        <v>#DIV/0!</v>
      </c>
      <c r="AK215" s="33" t="e">
        <v>#DIV/0!</v>
      </c>
      <c r="AL215" s="18"/>
      <c r="AM215" s="103" t="e">
        <v>#DIV/0!</v>
      </c>
    </row>
    <row r="216" spans="3:98 15064:15456" s="1" customFormat="1" hidden="1" x14ac:dyDescent="0.25">
      <c r="C216" s="15"/>
      <c r="D216" s="30" t="s">
        <v>28</v>
      </c>
      <c r="E216" s="130"/>
      <c r="F216" s="20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18"/>
      <c r="AM216" s="94"/>
    </row>
    <row r="217" spans="3:98 15064:15456" s="1" customFormat="1" hidden="1" x14ac:dyDescent="0.25">
      <c r="C217" s="15"/>
      <c r="D217" s="11" t="s">
        <v>89</v>
      </c>
      <c r="E217" s="130">
        <v>0.5</v>
      </c>
      <c r="F217" s="20" t="s">
        <v>25</v>
      </c>
      <c r="G217" s="33" t="e">
        <v>#DIV/0!</v>
      </c>
      <c r="H217" s="33" t="e">
        <v>#DIV/0!</v>
      </c>
      <c r="I217" s="33" t="e">
        <v>#DIV/0!</v>
      </c>
      <c r="J217" s="33" t="e">
        <v>#DIV/0!</v>
      </c>
      <c r="K217" s="33" t="e">
        <v>#DIV/0!</v>
      </c>
      <c r="L217" s="33" t="e">
        <v>#DIV/0!</v>
      </c>
      <c r="M217" s="33" t="e">
        <v>#DIV/0!</v>
      </c>
      <c r="N217" s="33" t="e">
        <v>#DIV/0!</v>
      </c>
      <c r="O217" s="33" t="e">
        <v>#DIV/0!</v>
      </c>
      <c r="P217" s="33" t="e">
        <v>#DIV/0!</v>
      </c>
      <c r="Q217" s="33" t="e">
        <v>#DIV/0!</v>
      </c>
      <c r="R217" s="33" t="e">
        <v>#DIV/0!</v>
      </c>
      <c r="S217" s="33" t="e">
        <v>#DIV/0!</v>
      </c>
      <c r="T217" s="33" t="e">
        <v>#DIV/0!</v>
      </c>
      <c r="U217" s="33" t="e">
        <v>#DIV/0!</v>
      </c>
      <c r="V217" s="33" t="e">
        <v>#DIV/0!</v>
      </c>
      <c r="W217" s="33" t="e">
        <v>#DIV/0!</v>
      </c>
      <c r="X217" s="33" t="e">
        <v>#DIV/0!</v>
      </c>
      <c r="Y217" s="33" t="e">
        <v>#DIV/0!</v>
      </c>
      <c r="Z217" s="33" t="e">
        <v>#DIV/0!</v>
      </c>
      <c r="AA217" s="33" t="e">
        <v>#DIV/0!</v>
      </c>
      <c r="AB217" s="33" t="e">
        <v>#DIV/0!</v>
      </c>
      <c r="AC217" s="33" t="e">
        <v>#DIV/0!</v>
      </c>
      <c r="AD217" s="33" t="e">
        <v>#DIV/0!</v>
      </c>
      <c r="AE217" s="33" t="e">
        <v>#DIV/0!</v>
      </c>
      <c r="AF217" s="33" t="e">
        <v>#DIV/0!</v>
      </c>
      <c r="AG217" s="33" t="e">
        <v>#DIV/0!</v>
      </c>
      <c r="AH217" s="33" t="e">
        <v>#DIV/0!</v>
      </c>
      <c r="AI217" s="33" t="e">
        <v>#DIV/0!</v>
      </c>
      <c r="AJ217" s="33" t="e">
        <v>#DIV/0!</v>
      </c>
      <c r="AK217" s="33" t="e">
        <v>#DIV/0!</v>
      </c>
      <c r="AL217" s="18"/>
      <c r="AM217" s="61" t="e">
        <v>#DIV/0!</v>
      </c>
    </row>
    <row r="218" spans="3:98 15064:15456" s="1" customFormat="1" hidden="1" x14ac:dyDescent="0.25">
      <c r="C218" s="15"/>
      <c r="D218" s="11" t="s">
        <v>117</v>
      </c>
      <c r="E218" s="130">
        <v>0.5</v>
      </c>
      <c r="F218" s="20" t="s">
        <v>25</v>
      </c>
      <c r="G218" s="33" t="e">
        <v>#DIV/0!</v>
      </c>
      <c r="H218" s="33" t="e">
        <v>#DIV/0!</v>
      </c>
      <c r="I218" s="33" t="e">
        <v>#DIV/0!</v>
      </c>
      <c r="J218" s="33" t="e">
        <v>#DIV/0!</v>
      </c>
      <c r="K218" s="33" t="e">
        <v>#DIV/0!</v>
      </c>
      <c r="L218" s="33" t="e">
        <v>#DIV/0!</v>
      </c>
      <c r="M218" s="33" t="e">
        <v>#DIV/0!</v>
      </c>
      <c r="N218" s="33" t="e">
        <v>#DIV/0!</v>
      </c>
      <c r="O218" s="33" t="e">
        <v>#DIV/0!</v>
      </c>
      <c r="P218" s="33" t="e">
        <v>#DIV/0!</v>
      </c>
      <c r="Q218" s="33" t="e">
        <v>#DIV/0!</v>
      </c>
      <c r="R218" s="33" t="e">
        <v>#DIV/0!</v>
      </c>
      <c r="S218" s="33" t="e">
        <v>#DIV/0!</v>
      </c>
      <c r="T218" s="33" t="e">
        <v>#DIV/0!</v>
      </c>
      <c r="U218" s="33" t="e">
        <v>#DIV/0!</v>
      </c>
      <c r="V218" s="33" t="e">
        <v>#DIV/0!</v>
      </c>
      <c r="W218" s="33" t="e">
        <v>#DIV/0!</v>
      </c>
      <c r="X218" s="33" t="e">
        <v>#DIV/0!</v>
      </c>
      <c r="Y218" s="33" t="e">
        <v>#DIV/0!</v>
      </c>
      <c r="Z218" s="33" t="e">
        <v>#DIV/0!</v>
      </c>
      <c r="AA218" s="33" t="e">
        <v>#DIV/0!</v>
      </c>
      <c r="AB218" s="33" t="e">
        <v>#DIV/0!</v>
      </c>
      <c r="AC218" s="33" t="e">
        <v>#DIV/0!</v>
      </c>
      <c r="AD218" s="33" t="e">
        <v>#DIV/0!</v>
      </c>
      <c r="AE218" s="33" t="e">
        <v>#DIV/0!</v>
      </c>
      <c r="AF218" s="33" t="e">
        <v>#DIV/0!</v>
      </c>
      <c r="AG218" s="33" t="e">
        <v>#DIV/0!</v>
      </c>
      <c r="AH218" s="33" t="e">
        <v>#DIV/0!</v>
      </c>
      <c r="AI218" s="33" t="e">
        <v>#DIV/0!</v>
      </c>
      <c r="AJ218" s="33" t="e">
        <v>#DIV/0!</v>
      </c>
      <c r="AK218" s="33" t="e">
        <v>#DIV/0!</v>
      </c>
      <c r="AL218" s="18"/>
      <c r="AM218" s="61" t="e">
        <v>#DIV/0!</v>
      </c>
    </row>
    <row r="219" spans="3:98 15064:15456" s="1" customFormat="1" hidden="1" x14ac:dyDescent="0.25">
      <c r="C219" s="15"/>
      <c r="D219" s="104" t="s">
        <v>95</v>
      </c>
      <c r="E219" s="135"/>
      <c r="F219" s="105" t="s">
        <v>14</v>
      </c>
      <c r="G219" s="296">
        <v>0</v>
      </c>
      <c r="H219" s="296">
        <v>0</v>
      </c>
      <c r="I219" s="296">
        <v>0</v>
      </c>
      <c r="J219" s="296">
        <v>0</v>
      </c>
      <c r="K219" s="296">
        <v>0</v>
      </c>
      <c r="L219" s="296">
        <v>0</v>
      </c>
      <c r="M219" s="296">
        <v>0</v>
      </c>
      <c r="N219" s="296">
        <v>0</v>
      </c>
      <c r="O219" s="296">
        <v>0</v>
      </c>
      <c r="P219" s="296">
        <v>0</v>
      </c>
      <c r="Q219" s="296">
        <v>0</v>
      </c>
      <c r="R219" s="296">
        <v>0</v>
      </c>
      <c r="S219" s="296">
        <v>0</v>
      </c>
      <c r="T219" s="296">
        <v>0</v>
      </c>
      <c r="U219" s="296">
        <v>0</v>
      </c>
      <c r="V219" s="296">
        <v>0</v>
      </c>
      <c r="W219" s="296">
        <v>0</v>
      </c>
      <c r="X219" s="296">
        <v>0</v>
      </c>
      <c r="Y219" s="296">
        <v>0</v>
      </c>
      <c r="Z219" s="296">
        <v>0</v>
      </c>
      <c r="AA219" s="296">
        <v>0</v>
      </c>
      <c r="AB219" s="296">
        <v>0</v>
      </c>
      <c r="AC219" s="296">
        <v>0</v>
      </c>
      <c r="AD219" s="296">
        <v>0</v>
      </c>
      <c r="AE219" s="296">
        <v>0</v>
      </c>
      <c r="AF219" s="296">
        <v>0</v>
      </c>
      <c r="AG219" s="296">
        <v>0</v>
      </c>
      <c r="AH219" s="296">
        <v>0</v>
      </c>
      <c r="AI219" s="296">
        <v>0</v>
      </c>
      <c r="AJ219" s="296">
        <v>0</v>
      </c>
      <c r="AK219" s="296">
        <v>0</v>
      </c>
      <c r="AL219" s="136"/>
      <c r="AM219" s="106">
        <v>0</v>
      </c>
    </row>
    <row r="220" spans="3:98 15064:15456" s="1" customFormat="1" hidden="1" x14ac:dyDescent="0.25">
      <c r="C220" s="15"/>
      <c r="D220" s="74" t="s">
        <v>118</v>
      </c>
      <c r="E220" s="137"/>
      <c r="F220" s="68" t="s">
        <v>14</v>
      </c>
      <c r="G220" s="297">
        <v>0</v>
      </c>
      <c r="H220" s="297">
        <v>0</v>
      </c>
      <c r="I220" s="297">
        <v>0</v>
      </c>
      <c r="J220" s="297">
        <v>0</v>
      </c>
      <c r="K220" s="297">
        <v>0</v>
      </c>
      <c r="L220" s="297">
        <v>0</v>
      </c>
      <c r="M220" s="297">
        <v>0</v>
      </c>
      <c r="N220" s="297">
        <v>0</v>
      </c>
      <c r="O220" s="297">
        <v>0</v>
      </c>
      <c r="P220" s="297">
        <v>0</v>
      </c>
      <c r="Q220" s="297">
        <v>0</v>
      </c>
      <c r="R220" s="297">
        <v>0</v>
      </c>
      <c r="S220" s="297">
        <v>0</v>
      </c>
      <c r="T220" s="297">
        <v>0</v>
      </c>
      <c r="U220" s="297">
        <v>0</v>
      </c>
      <c r="V220" s="297">
        <v>0</v>
      </c>
      <c r="W220" s="297">
        <v>0</v>
      </c>
      <c r="X220" s="297">
        <v>0</v>
      </c>
      <c r="Y220" s="297">
        <v>0</v>
      </c>
      <c r="Z220" s="297">
        <v>0</v>
      </c>
      <c r="AA220" s="297">
        <v>0</v>
      </c>
      <c r="AB220" s="297">
        <v>0</v>
      </c>
      <c r="AC220" s="297">
        <v>0</v>
      </c>
      <c r="AD220" s="297">
        <v>0</v>
      </c>
      <c r="AE220" s="297">
        <v>0</v>
      </c>
      <c r="AF220" s="297">
        <v>0</v>
      </c>
      <c r="AG220" s="297">
        <v>0</v>
      </c>
      <c r="AH220" s="297">
        <v>0</v>
      </c>
      <c r="AI220" s="297">
        <v>0</v>
      </c>
      <c r="AJ220" s="297">
        <v>0</v>
      </c>
      <c r="AK220" s="297">
        <v>0</v>
      </c>
      <c r="AL220" s="136"/>
      <c r="AM220" s="60">
        <v>0</v>
      </c>
    </row>
    <row r="221" spans="3:98 15064:15456" s="1" customFormat="1" hidden="1" x14ac:dyDescent="0.25">
      <c r="C221" s="15"/>
      <c r="D221" s="107" t="s">
        <v>90</v>
      </c>
      <c r="E221" s="138"/>
      <c r="F221" s="108" t="s">
        <v>14</v>
      </c>
      <c r="G221" s="298">
        <v>0</v>
      </c>
      <c r="H221" s="298">
        <v>0</v>
      </c>
      <c r="I221" s="298">
        <v>0</v>
      </c>
      <c r="J221" s="298">
        <v>0</v>
      </c>
      <c r="K221" s="298">
        <v>0</v>
      </c>
      <c r="L221" s="298">
        <v>0</v>
      </c>
      <c r="M221" s="298">
        <v>0</v>
      </c>
      <c r="N221" s="298">
        <v>0</v>
      </c>
      <c r="O221" s="298">
        <v>0</v>
      </c>
      <c r="P221" s="298">
        <v>0</v>
      </c>
      <c r="Q221" s="298">
        <v>0</v>
      </c>
      <c r="R221" s="298">
        <v>0</v>
      </c>
      <c r="S221" s="298">
        <v>0</v>
      </c>
      <c r="T221" s="298">
        <v>0</v>
      </c>
      <c r="U221" s="298">
        <v>0</v>
      </c>
      <c r="V221" s="298">
        <v>0</v>
      </c>
      <c r="W221" s="298">
        <v>0</v>
      </c>
      <c r="X221" s="298">
        <v>0</v>
      </c>
      <c r="Y221" s="298">
        <v>0</v>
      </c>
      <c r="Z221" s="298">
        <v>0</v>
      </c>
      <c r="AA221" s="298">
        <v>0</v>
      </c>
      <c r="AB221" s="298">
        <v>0</v>
      </c>
      <c r="AC221" s="298">
        <v>0</v>
      </c>
      <c r="AD221" s="298">
        <v>0</v>
      </c>
      <c r="AE221" s="298">
        <v>0</v>
      </c>
      <c r="AF221" s="298">
        <v>0</v>
      </c>
      <c r="AG221" s="298">
        <v>0</v>
      </c>
      <c r="AH221" s="298">
        <v>0</v>
      </c>
      <c r="AI221" s="298">
        <v>0</v>
      </c>
      <c r="AJ221" s="298">
        <v>0</v>
      </c>
      <c r="AK221" s="298">
        <v>0</v>
      </c>
      <c r="AL221" s="136"/>
      <c r="AM221" s="109">
        <v>0</v>
      </c>
    </row>
    <row r="222" spans="3:98 15064:15456" s="1" customFormat="1" hidden="1" x14ac:dyDescent="0.25">
      <c r="C222" s="15"/>
      <c r="D222" s="110" t="s">
        <v>91</v>
      </c>
      <c r="E222" s="139"/>
      <c r="F222" s="111" t="s">
        <v>87</v>
      </c>
      <c r="G222" s="299">
        <v>0</v>
      </c>
      <c r="H222" s="299">
        <v>0</v>
      </c>
      <c r="I222" s="299">
        <v>0</v>
      </c>
      <c r="J222" s="299">
        <v>0</v>
      </c>
      <c r="K222" s="299">
        <v>0</v>
      </c>
      <c r="L222" s="299">
        <v>0</v>
      </c>
      <c r="M222" s="299">
        <v>0</v>
      </c>
      <c r="N222" s="299">
        <v>0</v>
      </c>
      <c r="O222" s="299">
        <v>0</v>
      </c>
      <c r="P222" s="299">
        <v>0</v>
      </c>
      <c r="Q222" s="299">
        <v>0</v>
      </c>
      <c r="R222" s="299">
        <v>0</v>
      </c>
      <c r="S222" s="299">
        <v>0</v>
      </c>
      <c r="T222" s="299">
        <v>0</v>
      </c>
      <c r="U222" s="299">
        <v>0</v>
      </c>
      <c r="V222" s="299">
        <v>0</v>
      </c>
      <c r="W222" s="299">
        <v>0</v>
      </c>
      <c r="X222" s="299">
        <v>0</v>
      </c>
      <c r="Y222" s="299">
        <v>0</v>
      </c>
      <c r="Z222" s="299">
        <v>0</v>
      </c>
      <c r="AA222" s="299">
        <v>0</v>
      </c>
      <c r="AB222" s="299">
        <v>0</v>
      </c>
      <c r="AC222" s="299">
        <v>0</v>
      </c>
      <c r="AD222" s="299">
        <v>0</v>
      </c>
      <c r="AE222" s="299">
        <v>0</v>
      </c>
      <c r="AF222" s="299">
        <v>0</v>
      </c>
      <c r="AG222" s="299">
        <v>0</v>
      </c>
      <c r="AH222" s="299">
        <v>0</v>
      </c>
      <c r="AI222" s="299">
        <v>0</v>
      </c>
      <c r="AJ222" s="299">
        <v>0</v>
      </c>
      <c r="AK222" s="299">
        <v>0</v>
      </c>
      <c r="AL222" s="136"/>
      <c r="AM222" s="112">
        <v>0</v>
      </c>
    </row>
    <row r="223" spans="3:98 15064:15456" s="1" customFormat="1" hidden="1" x14ac:dyDescent="0.25">
      <c r="C223" s="15"/>
      <c r="D223" s="113" t="s">
        <v>96</v>
      </c>
      <c r="E223" s="139"/>
      <c r="F223" s="114" t="s">
        <v>14</v>
      </c>
      <c r="G223" s="300">
        <v>0</v>
      </c>
      <c r="H223" s="300">
        <v>0</v>
      </c>
      <c r="I223" s="300">
        <v>0</v>
      </c>
      <c r="J223" s="300">
        <v>0</v>
      </c>
      <c r="K223" s="300">
        <v>0</v>
      </c>
      <c r="L223" s="300">
        <v>0</v>
      </c>
      <c r="M223" s="300">
        <v>0</v>
      </c>
      <c r="N223" s="300">
        <v>0</v>
      </c>
      <c r="O223" s="300">
        <v>0</v>
      </c>
      <c r="P223" s="300">
        <v>0</v>
      </c>
      <c r="Q223" s="300">
        <v>0</v>
      </c>
      <c r="R223" s="300">
        <v>0</v>
      </c>
      <c r="S223" s="300">
        <v>0</v>
      </c>
      <c r="T223" s="300">
        <v>0</v>
      </c>
      <c r="U223" s="300">
        <v>0</v>
      </c>
      <c r="V223" s="300">
        <v>0</v>
      </c>
      <c r="W223" s="300">
        <v>0</v>
      </c>
      <c r="X223" s="300">
        <v>0</v>
      </c>
      <c r="Y223" s="300">
        <v>0</v>
      </c>
      <c r="Z223" s="300">
        <v>0</v>
      </c>
      <c r="AA223" s="300">
        <v>0</v>
      </c>
      <c r="AB223" s="300">
        <v>0</v>
      </c>
      <c r="AC223" s="300">
        <v>0</v>
      </c>
      <c r="AD223" s="300">
        <v>0</v>
      </c>
      <c r="AE223" s="300">
        <v>0</v>
      </c>
      <c r="AF223" s="300">
        <v>0</v>
      </c>
      <c r="AG223" s="300">
        <v>0</v>
      </c>
      <c r="AH223" s="300">
        <v>0</v>
      </c>
      <c r="AI223" s="300">
        <v>0</v>
      </c>
      <c r="AJ223" s="300">
        <v>0</v>
      </c>
      <c r="AK223" s="300">
        <v>0</v>
      </c>
      <c r="AL223" s="116"/>
      <c r="AM223" s="117">
        <v>0</v>
      </c>
    </row>
    <row r="224" spans="3:98 15064:15456" s="1" customFormat="1" x14ac:dyDescent="0.25">
      <c r="C224" s="8">
        <v>4</v>
      </c>
      <c r="D224" s="78" t="s">
        <v>24</v>
      </c>
      <c r="E224" s="49"/>
      <c r="F224" s="80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7"/>
      <c r="AI224" s="97"/>
      <c r="AJ224" s="97"/>
      <c r="AK224" s="97"/>
      <c r="AM224" s="84" t="s">
        <v>132</v>
      </c>
      <c r="CT224" s="145"/>
      <c r="VGJ224" s="47"/>
      <c r="VGK224" s="47"/>
      <c r="VGL224" s="47"/>
      <c r="VGM224" s="47"/>
      <c r="VGN224" s="47"/>
      <c r="VGO224" s="47"/>
      <c r="VGP224" s="47"/>
      <c r="VGQ224" s="47"/>
      <c r="VGR224" s="47"/>
      <c r="VGS224" s="47"/>
      <c r="VGT224" s="47"/>
      <c r="VGU224" s="47"/>
      <c r="VGV224" s="47"/>
      <c r="VGW224" s="47"/>
      <c r="VGX224" s="47"/>
      <c r="VGY224" s="47"/>
      <c r="VGZ224" s="47"/>
      <c r="VHA224" s="47"/>
      <c r="VHB224" s="47"/>
      <c r="VHC224" s="47"/>
      <c r="VHD224" s="47"/>
      <c r="VHE224" s="47"/>
      <c r="VHF224" s="47"/>
      <c r="VHG224" s="47"/>
      <c r="VHH224" s="47"/>
      <c r="VHI224" s="47"/>
      <c r="VHJ224" s="47"/>
      <c r="VHK224" s="47"/>
      <c r="VHL224" s="47"/>
      <c r="VHM224" s="47"/>
      <c r="VHN224" s="47"/>
      <c r="VHO224" s="47"/>
      <c r="VHP224" s="47"/>
      <c r="VHQ224" s="47"/>
      <c r="VHR224" s="47"/>
      <c r="VHS224" s="47"/>
      <c r="VHT224" s="47"/>
      <c r="VHU224" s="47"/>
      <c r="VHV224" s="47"/>
      <c r="VHW224" s="47"/>
      <c r="VHX224" s="47"/>
      <c r="VHY224" s="47"/>
      <c r="VHZ224" s="47"/>
      <c r="VIA224" s="47"/>
      <c r="VIB224" s="47"/>
      <c r="VIC224" s="47"/>
      <c r="VID224" s="47"/>
      <c r="VIE224" s="47"/>
      <c r="VIF224" s="47"/>
      <c r="VIG224" s="47"/>
      <c r="VIH224" s="47"/>
      <c r="VII224" s="47"/>
      <c r="VIJ224" s="47"/>
      <c r="VIK224" s="47"/>
      <c r="VIL224" s="47"/>
      <c r="VIM224" s="47"/>
      <c r="VIN224" s="47"/>
      <c r="VIO224" s="47"/>
      <c r="VIP224" s="47"/>
      <c r="VIQ224" s="47"/>
      <c r="VIR224" s="47"/>
      <c r="VIS224" s="47"/>
      <c r="VIT224" s="47"/>
      <c r="VIU224" s="47"/>
      <c r="VIV224" s="47"/>
      <c r="VIW224" s="47"/>
      <c r="VIX224" s="47"/>
      <c r="VIY224" s="47"/>
      <c r="VIZ224" s="47"/>
      <c r="VJA224" s="47"/>
      <c r="VJB224" s="47"/>
      <c r="VJC224" s="47"/>
      <c r="VJD224" s="47"/>
      <c r="VJE224" s="47"/>
      <c r="VJF224" s="47"/>
      <c r="VJG224" s="47"/>
      <c r="VJH224" s="47"/>
      <c r="VJI224" s="47"/>
      <c r="VJJ224" s="47"/>
      <c r="VJK224" s="47"/>
      <c r="VJL224" s="47"/>
      <c r="VJM224" s="47"/>
      <c r="VJN224" s="47"/>
      <c r="VJO224" s="47"/>
      <c r="VJP224" s="47"/>
      <c r="VJQ224" s="47"/>
      <c r="VJR224" s="47"/>
      <c r="VJS224" s="47"/>
      <c r="VJT224" s="47"/>
      <c r="VJU224" s="47"/>
      <c r="VJV224" s="47"/>
      <c r="VJW224" s="47"/>
      <c r="VJX224" s="47"/>
      <c r="VJY224" s="47"/>
      <c r="VJZ224" s="47"/>
      <c r="VKA224" s="47"/>
      <c r="VKB224" s="47"/>
      <c r="VKC224" s="47"/>
      <c r="VKD224" s="47"/>
      <c r="VKE224" s="47"/>
      <c r="VKF224" s="47"/>
      <c r="VKG224" s="47"/>
      <c r="VKH224" s="47"/>
      <c r="VKI224" s="47"/>
      <c r="VKJ224" s="47"/>
      <c r="VKK224" s="47"/>
      <c r="VKL224" s="47"/>
      <c r="VKM224" s="47"/>
      <c r="VKN224" s="47"/>
      <c r="VKO224" s="47"/>
      <c r="VKP224" s="47"/>
      <c r="VKQ224" s="47"/>
      <c r="VKR224" s="47"/>
      <c r="VKS224" s="47"/>
      <c r="VKT224" s="47"/>
      <c r="VKU224" s="47"/>
      <c r="VKV224" s="47"/>
      <c r="VKW224" s="47"/>
      <c r="VKX224" s="47"/>
      <c r="VKY224" s="47"/>
      <c r="VKZ224" s="47"/>
      <c r="VLA224" s="47"/>
      <c r="VLB224" s="47"/>
      <c r="VLC224" s="47"/>
      <c r="VLD224" s="47"/>
      <c r="VLE224" s="47"/>
      <c r="VLF224" s="47"/>
      <c r="VLG224" s="47"/>
      <c r="VLH224" s="47"/>
      <c r="VLI224" s="47"/>
      <c r="VLJ224" s="47"/>
      <c r="VLK224" s="47"/>
      <c r="VLL224" s="47"/>
      <c r="VLM224" s="47"/>
      <c r="VLN224" s="47"/>
      <c r="VLO224" s="47"/>
      <c r="VLP224" s="47"/>
      <c r="VLQ224" s="47"/>
      <c r="VLR224" s="47"/>
      <c r="VLS224" s="47"/>
      <c r="VLT224" s="47"/>
      <c r="VLU224" s="47"/>
      <c r="VLV224" s="47"/>
      <c r="VLW224" s="47"/>
      <c r="VLX224" s="47"/>
      <c r="VLY224" s="47"/>
      <c r="VLZ224" s="47"/>
      <c r="VMA224" s="47"/>
      <c r="VMB224" s="47"/>
      <c r="VMC224" s="47"/>
      <c r="VMD224" s="47"/>
      <c r="VME224" s="47"/>
      <c r="VMF224" s="47"/>
      <c r="VMG224" s="47"/>
      <c r="VMH224" s="47"/>
      <c r="VMI224" s="47"/>
      <c r="VMJ224" s="47"/>
      <c r="VMK224" s="47"/>
      <c r="VML224" s="47"/>
      <c r="VMM224" s="47"/>
      <c r="VMN224" s="47"/>
      <c r="VMO224" s="47"/>
      <c r="VMP224" s="47"/>
      <c r="VMQ224" s="47"/>
      <c r="VMR224" s="47"/>
      <c r="VMS224" s="47"/>
      <c r="VMT224" s="47"/>
      <c r="VMU224" s="47"/>
      <c r="VMV224" s="47"/>
      <c r="VMW224" s="47"/>
      <c r="VMX224" s="47"/>
      <c r="VMY224" s="47"/>
      <c r="VMZ224" s="47"/>
      <c r="VNA224" s="47"/>
      <c r="VNB224" s="47"/>
      <c r="VNC224" s="47"/>
      <c r="VND224" s="47"/>
      <c r="VNE224" s="47"/>
      <c r="VNF224" s="47"/>
      <c r="VNG224" s="47"/>
      <c r="VNH224" s="47"/>
      <c r="VNI224" s="47"/>
      <c r="VNJ224" s="47"/>
      <c r="VNK224" s="47"/>
      <c r="VNL224" s="47"/>
      <c r="VNM224" s="47"/>
      <c r="VNN224" s="47"/>
      <c r="VNO224" s="47"/>
      <c r="VNP224" s="47"/>
      <c r="VNQ224" s="47"/>
      <c r="VNR224" s="47"/>
      <c r="VNS224" s="47"/>
      <c r="VNT224" s="47"/>
      <c r="VNU224" s="47"/>
      <c r="VNV224" s="47"/>
      <c r="VNW224" s="47"/>
      <c r="VNX224" s="47"/>
      <c r="VNY224" s="47"/>
      <c r="VNZ224" s="47"/>
      <c r="VOA224" s="47"/>
      <c r="VOB224" s="47"/>
      <c r="VOC224" s="47"/>
      <c r="VOD224" s="47"/>
      <c r="VOE224" s="47"/>
      <c r="VOF224" s="47"/>
      <c r="VOG224" s="47"/>
      <c r="VOH224" s="47"/>
      <c r="VOI224" s="47"/>
      <c r="VOJ224" s="47"/>
      <c r="VOK224" s="47"/>
      <c r="VOL224" s="47"/>
      <c r="VOM224" s="47"/>
      <c r="VON224" s="47"/>
      <c r="VOO224" s="47"/>
      <c r="VOP224" s="47"/>
      <c r="VOQ224" s="47"/>
      <c r="VOR224" s="47"/>
      <c r="VOS224" s="47"/>
      <c r="VOT224" s="47"/>
      <c r="VOU224" s="47"/>
      <c r="VOV224" s="47"/>
      <c r="VOW224" s="47"/>
      <c r="VOX224" s="47"/>
      <c r="VOY224" s="47"/>
      <c r="VOZ224" s="47"/>
      <c r="VPA224" s="47"/>
      <c r="VPB224" s="47"/>
      <c r="VPC224" s="47"/>
      <c r="VPD224" s="47"/>
      <c r="VPE224" s="47"/>
      <c r="VPF224" s="47"/>
      <c r="VPG224" s="47"/>
      <c r="VPH224" s="47"/>
      <c r="VPI224" s="47"/>
      <c r="VPJ224" s="47"/>
      <c r="VPK224" s="47"/>
      <c r="VPL224" s="47"/>
      <c r="VPM224" s="47"/>
      <c r="VPN224" s="47"/>
      <c r="VPO224" s="47"/>
      <c r="VPP224" s="47"/>
      <c r="VPQ224" s="47"/>
      <c r="VPR224" s="47"/>
      <c r="VPS224" s="47"/>
      <c r="VPT224" s="47"/>
      <c r="VPU224" s="47"/>
      <c r="VPV224" s="47"/>
      <c r="VPW224" s="47"/>
      <c r="VPX224" s="47"/>
      <c r="VPY224" s="47"/>
      <c r="VPZ224" s="47"/>
      <c r="VQA224" s="47"/>
      <c r="VQB224" s="47"/>
      <c r="VQC224" s="47"/>
      <c r="VQD224" s="47"/>
      <c r="VQE224" s="47"/>
      <c r="VQF224" s="47"/>
      <c r="VQG224" s="47"/>
      <c r="VQH224" s="47"/>
      <c r="VQI224" s="47"/>
      <c r="VQJ224" s="47"/>
      <c r="VQK224" s="47"/>
      <c r="VQL224" s="47"/>
      <c r="VQM224" s="47"/>
      <c r="VQN224" s="47"/>
      <c r="VQO224" s="47"/>
      <c r="VQP224" s="47"/>
      <c r="VQQ224" s="47"/>
      <c r="VQR224" s="47"/>
      <c r="VQS224" s="47"/>
      <c r="VQT224" s="47"/>
      <c r="VQU224" s="47"/>
      <c r="VQV224" s="47"/>
      <c r="VQW224" s="47"/>
      <c r="VQX224" s="47"/>
      <c r="VQY224" s="47"/>
      <c r="VQZ224" s="47"/>
      <c r="VRA224" s="47"/>
      <c r="VRB224" s="47"/>
      <c r="VRC224" s="47"/>
      <c r="VRD224" s="47"/>
      <c r="VRE224" s="47"/>
      <c r="VRF224" s="47"/>
      <c r="VRG224" s="47"/>
      <c r="VRH224" s="47"/>
      <c r="VRI224" s="47"/>
      <c r="VRJ224" s="47"/>
      <c r="VRK224" s="47"/>
      <c r="VRL224" s="47"/>
      <c r="VRM224" s="47"/>
      <c r="VRN224" s="47"/>
      <c r="VRO224" s="47"/>
      <c r="VRP224" s="47"/>
      <c r="VRQ224" s="47"/>
      <c r="VRR224" s="47"/>
      <c r="VRS224" s="47"/>
      <c r="VRT224" s="47"/>
      <c r="VRU224" s="47"/>
      <c r="VRV224" s="47"/>
      <c r="VRW224" s="47"/>
      <c r="VRX224" s="47"/>
      <c r="VRY224" s="47"/>
      <c r="VRZ224" s="47"/>
      <c r="VSA224" s="47"/>
      <c r="VSB224" s="47"/>
      <c r="VSC224" s="47"/>
      <c r="VSD224" s="47"/>
      <c r="VSE224" s="47"/>
      <c r="VSF224" s="47"/>
      <c r="VSG224" s="47"/>
      <c r="VSH224" s="47"/>
      <c r="VSI224" s="47"/>
      <c r="VSJ224" s="47"/>
      <c r="VSK224" s="47"/>
      <c r="VSL224" s="47"/>
      <c r="VSM224" s="47"/>
      <c r="VSN224" s="47"/>
      <c r="VSO224" s="47"/>
      <c r="VSP224" s="47"/>
      <c r="VSQ224" s="47"/>
      <c r="VSR224" s="47"/>
      <c r="VSS224" s="47"/>
      <c r="VST224" s="47"/>
      <c r="VSU224" s="47"/>
      <c r="VSV224" s="47"/>
      <c r="VSW224" s="47"/>
      <c r="VSX224" s="47"/>
      <c r="VSY224" s="47"/>
      <c r="VSZ224" s="47"/>
      <c r="VTA224" s="47"/>
      <c r="VTB224" s="47"/>
      <c r="VTC224" s="47"/>
      <c r="VTD224" s="47"/>
      <c r="VTE224" s="47"/>
      <c r="VTF224" s="47"/>
      <c r="VTG224" s="47"/>
      <c r="VTH224" s="47"/>
      <c r="VTI224" s="47"/>
      <c r="VTJ224" s="47"/>
      <c r="VTK224" s="47"/>
      <c r="VTL224" s="47"/>
      <c r="VTM224" s="47"/>
      <c r="VTN224" s="47"/>
      <c r="VTO224" s="47"/>
      <c r="VTP224" s="47"/>
      <c r="VTQ224" s="47"/>
      <c r="VTR224" s="47"/>
      <c r="VTS224" s="47"/>
      <c r="VTT224" s="47"/>
      <c r="VTU224" s="47"/>
      <c r="VTV224" s="47"/>
      <c r="VTW224" s="47"/>
      <c r="VTX224" s="47"/>
      <c r="VTY224" s="47"/>
      <c r="VTZ224" s="47"/>
      <c r="VUA224" s="47"/>
      <c r="VUB224" s="47"/>
      <c r="VUC224" s="47"/>
      <c r="VUD224" s="47"/>
      <c r="VUE224" s="47"/>
      <c r="VUF224" s="47"/>
      <c r="VUG224" s="47"/>
      <c r="VUH224" s="47"/>
      <c r="VUI224" s="47"/>
      <c r="VUJ224" s="47"/>
      <c r="VUK224" s="47"/>
      <c r="VUL224" s="47"/>
      <c r="VUM224" s="47"/>
      <c r="VUN224" s="47"/>
      <c r="VUO224" s="47"/>
      <c r="VUP224" s="47"/>
      <c r="VUQ224" s="47"/>
      <c r="VUR224" s="47"/>
      <c r="VUS224" s="47"/>
      <c r="VUT224" s="47"/>
      <c r="VUU224" s="47"/>
      <c r="VUV224" s="47"/>
      <c r="VUW224" s="47"/>
      <c r="VUX224" s="47"/>
      <c r="VUY224" s="47"/>
      <c r="VUZ224" s="47"/>
      <c r="VVA224" s="47"/>
      <c r="VVB224" s="47"/>
      <c r="VVC224" s="47"/>
      <c r="VVD224" s="47"/>
      <c r="VVE224" s="47"/>
      <c r="VVF224" s="47"/>
      <c r="VVG224" s="47"/>
      <c r="VVH224" s="47"/>
      <c r="VVI224" s="47"/>
      <c r="VVJ224" s="47"/>
      <c r="VVK224" s="47"/>
      <c r="VVL224" s="47"/>
    </row>
    <row r="225" spans="3:98 15064:15456" s="65" customFormat="1" x14ac:dyDescent="0.25">
      <c r="C225" s="71"/>
      <c r="D225" s="241" t="s">
        <v>22</v>
      </c>
      <c r="E225" s="266">
        <v>1460.001</v>
      </c>
      <c r="F225" s="242" t="s">
        <v>19</v>
      </c>
      <c r="G225" s="301">
        <v>1228.1882000000001</v>
      </c>
      <c r="H225" s="301">
        <v>948.60379999999998</v>
      </c>
      <c r="I225" s="301">
        <v>1178.2515000000001</v>
      </c>
      <c r="J225" s="301">
        <v>1251.7496000000001</v>
      </c>
      <c r="K225" s="301">
        <v>1035.2738999999999</v>
      </c>
      <c r="L225" s="301">
        <v>1028.0073</v>
      </c>
      <c r="M225" s="301">
        <v>1066.9277</v>
      </c>
      <c r="N225" s="301">
        <v>1055.7090000000001</v>
      </c>
      <c r="O225" s="301">
        <v>989.68600000000004</v>
      </c>
      <c r="P225" s="301">
        <v>1209.6971000000001</v>
      </c>
      <c r="Q225" s="301">
        <v>1229.0401999999999</v>
      </c>
      <c r="R225" s="301">
        <v>1142.8036</v>
      </c>
      <c r="S225" s="301">
        <v>1062.6962000000001</v>
      </c>
      <c r="T225" s="301">
        <v>1005.346</v>
      </c>
      <c r="U225" s="301">
        <v>1203.0278000000001</v>
      </c>
      <c r="V225" s="301">
        <v>971.34640000000002</v>
      </c>
      <c r="W225" s="301">
        <v>765.4</v>
      </c>
      <c r="X225" s="301">
        <v>1272.6369999999999</v>
      </c>
      <c r="Y225" s="301">
        <v>1232.1777999999999</v>
      </c>
      <c r="Z225" s="301">
        <v>1188.7075</v>
      </c>
      <c r="AA225" s="301">
        <v>1110.6973</v>
      </c>
      <c r="AB225" s="301">
        <v>796.77739999999994</v>
      </c>
      <c r="AC225" s="301">
        <v>522.95929999999998</v>
      </c>
      <c r="AD225" s="301">
        <v>47.841000000000001</v>
      </c>
      <c r="AE225" s="301">
        <v>1127.3233</v>
      </c>
      <c r="AF225" s="301">
        <v>1282.3987</v>
      </c>
      <c r="AG225" s="301">
        <v>1439.4946</v>
      </c>
      <c r="AH225" s="301">
        <v>1329.0091</v>
      </c>
      <c r="AI225" s="301">
        <v>1282.6255000000001</v>
      </c>
      <c r="AJ225" s="301">
        <v>1129.9463000000001</v>
      </c>
      <c r="AK225" s="302"/>
      <c r="AM225" s="118">
        <f>SUM(G225:AK225)</f>
        <v>32134.349099999996</v>
      </c>
      <c r="AN225" s="177">
        <f>AM225/AM6</f>
        <v>1190.1610777777776</v>
      </c>
      <c r="CT225" s="147"/>
    </row>
    <row r="226" spans="3:98 15064:15456" s="1" customFormat="1" x14ac:dyDescent="0.25">
      <c r="C226" s="8"/>
      <c r="D226" s="241" t="s">
        <v>23</v>
      </c>
      <c r="E226" s="260"/>
      <c r="F226" s="242" t="s">
        <v>19</v>
      </c>
      <c r="G226" s="301">
        <v>1225.3440000000001</v>
      </c>
      <c r="H226" s="301">
        <v>1233.9837</v>
      </c>
      <c r="I226" s="301">
        <v>974.99699999999996</v>
      </c>
      <c r="J226" s="301">
        <v>1209.9511</v>
      </c>
      <c r="K226" s="301">
        <v>1267.7303999999999</v>
      </c>
      <c r="L226" s="301">
        <v>1049.5916</v>
      </c>
      <c r="M226" s="301">
        <v>1049.6252999999999</v>
      </c>
      <c r="N226" s="301">
        <v>1090.7727</v>
      </c>
      <c r="O226" s="301">
        <v>1049.8535999999999</v>
      </c>
      <c r="P226" s="301">
        <v>1027.2660000000001</v>
      </c>
      <c r="Q226" s="301">
        <v>1233.6056000000001</v>
      </c>
      <c r="R226" s="301">
        <v>1261.5426</v>
      </c>
      <c r="S226" s="301">
        <v>1169.2754</v>
      </c>
      <c r="T226" s="301">
        <v>1101.2617</v>
      </c>
      <c r="U226" s="301">
        <v>1025.6414</v>
      </c>
      <c r="V226" s="301">
        <v>1232.7782999999999</v>
      </c>
      <c r="W226" s="301">
        <v>976.84249999999997</v>
      </c>
      <c r="X226" s="301">
        <v>807.43520000000001</v>
      </c>
      <c r="Y226" s="301">
        <v>1287.9672</v>
      </c>
      <c r="Z226" s="301">
        <v>1251.1584</v>
      </c>
      <c r="AA226" s="301">
        <v>1215.9518</v>
      </c>
      <c r="AB226" s="301">
        <v>1153.9386999999999</v>
      </c>
      <c r="AC226" s="301">
        <v>805.87419999999997</v>
      </c>
      <c r="AD226" s="301">
        <v>570.351</v>
      </c>
      <c r="AE226" s="301">
        <v>162.1601</v>
      </c>
      <c r="AF226" s="301">
        <v>1192.7203</v>
      </c>
      <c r="AG226" s="301">
        <v>1319.0710999999999</v>
      </c>
      <c r="AH226" s="301">
        <v>1473.6994999999999</v>
      </c>
      <c r="AI226" s="301">
        <v>1362.0714</v>
      </c>
      <c r="AJ226" s="301">
        <v>1315.0282</v>
      </c>
      <c r="AK226" s="302"/>
      <c r="AM226" s="118">
        <f>SUM(G226:AK226)</f>
        <v>33097.489999999991</v>
      </c>
      <c r="CT226" s="146"/>
    </row>
    <row r="227" spans="3:98 15064:15456" s="1" customFormat="1" x14ac:dyDescent="0.25">
      <c r="C227" s="15"/>
      <c r="D227" s="28" t="s">
        <v>11</v>
      </c>
      <c r="E227" s="260"/>
      <c r="F227" s="13"/>
      <c r="G227" s="303"/>
      <c r="H227" s="303"/>
      <c r="I227" s="303"/>
      <c r="J227" s="303"/>
      <c r="K227" s="303"/>
      <c r="L227" s="303"/>
      <c r="M227" s="303"/>
      <c r="N227" s="303"/>
      <c r="O227" s="303"/>
      <c r="P227" s="303"/>
      <c r="Q227" s="303"/>
      <c r="R227" s="303"/>
      <c r="S227" s="303"/>
      <c r="T227" s="303"/>
      <c r="U227" s="303"/>
      <c r="V227" s="303"/>
      <c r="W227" s="303"/>
      <c r="X227" s="303"/>
      <c r="Y227" s="303"/>
      <c r="Z227" s="303"/>
      <c r="AA227" s="303"/>
      <c r="AB227" s="303"/>
      <c r="AC227" s="303"/>
      <c r="AD227" s="303"/>
      <c r="AE227" s="303"/>
      <c r="AF227" s="303"/>
      <c r="AG227" s="303"/>
      <c r="AH227" s="303"/>
      <c r="AI227" s="303"/>
      <c r="AJ227" s="303"/>
      <c r="AK227" s="303"/>
      <c r="AM227" s="119" t="s">
        <v>11</v>
      </c>
      <c r="CT227" s="145"/>
      <c r="VGJ227" s="47"/>
      <c r="VGK227" s="47"/>
      <c r="VGL227" s="47"/>
      <c r="VGM227" s="47"/>
      <c r="VGN227" s="47"/>
      <c r="VGO227" s="47"/>
      <c r="VGP227" s="47"/>
      <c r="VGQ227" s="47"/>
      <c r="VGR227" s="47"/>
      <c r="VGS227" s="47"/>
      <c r="VGT227" s="47"/>
      <c r="VGU227" s="47"/>
      <c r="VGV227" s="47"/>
      <c r="VGW227" s="47"/>
      <c r="VGX227" s="47"/>
      <c r="VGY227" s="47"/>
      <c r="VGZ227" s="47"/>
      <c r="VHA227" s="47"/>
      <c r="VHB227" s="47"/>
      <c r="VHC227" s="47"/>
      <c r="VHD227" s="47"/>
      <c r="VHE227" s="47"/>
      <c r="VHF227" s="47"/>
      <c r="VHG227" s="47"/>
      <c r="VHH227" s="47"/>
      <c r="VHI227" s="47"/>
      <c r="VHJ227" s="47"/>
      <c r="VHK227" s="47"/>
      <c r="VHL227" s="47"/>
      <c r="VHM227" s="47"/>
      <c r="VHN227" s="47"/>
      <c r="VHO227" s="47"/>
      <c r="VHP227" s="47"/>
      <c r="VHQ227" s="47"/>
      <c r="VHR227" s="47"/>
      <c r="VHS227" s="47"/>
      <c r="VHT227" s="47"/>
      <c r="VHU227" s="47"/>
      <c r="VHV227" s="47"/>
      <c r="VHW227" s="47"/>
      <c r="VHX227" s="47"/>
      <c r="VHY227" s="47"/>
      <c r="VHZ227" s="47"/>
      <c r="VIA227" s="47"/>
      <c r="VIB227" s="47"/>
      <c r="VIC227" s="47"/>
      <c r="VID227" s="47"/>
      <c r="VIE227" s="47"/>
      <c r="VIF227" s="47"/>
      <c r="VIG227" s="47"/>
      <c r="VIH227" s="47"/>
      <c r="VII227" s="47"/>
      <c r="VIJ227" s="47"/>
      <c r="VIK227" s="47"/>
      <c r="VIL227" s="47"/>
      <c r="VIM227" s="47"/>
      <c r="VIN227" s="47"/>
      <c r="VIO227" s="47"/>
      <c r="VIP227" s="47"/>
      <c r="VIQ227" s="47"/>
      <c r="VIR227" s="47"/>
      <c r="VIS227" s="47"/>
      <c r="VIT227" s="47"/>
      <c r="VIU227" s="47"/>
      <c r="VIV227" s="47"/>
      <c r="VIW227" s="47"/>
      <c r="VIX227" s="47"/>
      <c r="VIY227" s="47"/>
      <c r="VIZ227" s="47"/>
      <c r="VJA227" s="47"/>
      <c r="VJB227" s="47"/>
      <c r="VJC227" s="47"/>
      <c r="VJD227" s="47"/>
      <c r="VJE227" s="47"/>
      <c r="VJF227" s="47"/>
      <c r="VJG227" s="47"/>
      <c r="VJH227" s="47"/>
      <c r="VJI227" s="47"/>
      <c r="VJJ227" s="47"/>
      <c r="VJK227" s="47"/>
      <c r="VJL227" s="47"/>
      <c r="VJM227" s="47"/>
      <c r="VJN227" s="47"/>
      <c r="VJO227" s="47"/>
      <c r="VJP227" s="47"/>
      <c r="VJQ227" s="47"/>
      <c r="VJR227" s="47"/>
      <c r="VJS227" s="47"/>
      <c r="VJT227" s="47"/>
      <c r="VJU227" s="47"/>
      <c r="VJV227" s="47"/>
      <c r="VJW227" s="47"/>
      <c r="VJX227" s="47"/>
      <c r="VJY227" s="47"/>
      <c r="VJZ227" s="47"/>
      <c r="VKA227" s="47"/>
      <c r="VKB227" s="47"/>
      <c r="VKC227" s="47"/>
      <c r="VKD227" s="47"/>
      <c r="VKE227" s="47"/>
      <c r="VKF227" s="47"/>
      <c r="VKG227" s="47"/>
      <c r="VKH227" s="47"/>
      <c r="VKI227" s="47"/>
      <c r="VKJ227" s="47"/>
      <c r="VKK227" s="47"/>
      <c r="VKL227" s="47"/>
      <c r="VKM227" s="47"/>
      <c r="VKN227" s="47"/>
      <c r="VKO227" s="47"/>
      <c r="VKP227" s="47"/>
      <c r="VKQ227" s="47"/>
      <c r="VKR227" s="47"/>
      <c r="VKS227" s="47"/>
      <c r="VKT227" s="47"/>
      <c r="VKU227" s="47"/>
      <c r="VKV227" s="47"/>
      <c r="VKW227" s="47"/>
      <c r="VKX227" s="47"/>
      <c r="VKY227" s="47"/>
      <c r="VKZ227" s="47"/>
      <c r="VLA227" s="47"/>
      <c r="VLB227" s="47"/>
      <c r="VLC227" s="47"/>
      <c r="VLD227" s="47"/>
      <c r="VLE227" s="47"/>
      <c r="VLF227" s="47"/>
      <c r="VLG227" s="47"/>
      <c r="VLH227" s="47"/>
      <c r="VLI227" s="47"/>
      <c r="VLJ227" s="47"/>
      <c r="VLK227" s="47"/>
      <c r="VLL227" s="47"/>
      <c r="VLM227" s="47"/>
      <c r="VLN227" s="47"/>
      <c r="VLO227" s="47"/>
      <c r="VLP227" s="47"/>
      <c r="VLQ227" s="47"/>
      <c r="VLR227" s="47"/>
      <c r="VLS227" s="47"/>
      <c r="VLT227" s="47"/>
      <c r="VLU227" s="47"/>
      <c r="VLV227" s="47"/>
      <c r="VLW227" s="47"/>
      <c r="VLX227" s="47"/>
      <c r="VLY227" s="47"/>
      <c r="VLZ227" s="47"/>
      <c r="VMA227" s="47"/>
      <c r="VMB227" s="47"/>
      <c r="VMC227" s="47"/>
      <c r="VMD227" s="47"/>
      <c r="VME227" s="47"/>
      <c r="VMF227" s="47"/>
      <c r="VMG227" s="47"/>
      <c r="VMH227" s="47"/>
      <c r="VMI227" s="47"/>
      <c r="VMJ227" s="47"/>
      <c r="VMK227" s="47"/>
      <c r="VML227" s="47"/>
      <c r="VMM227" s="47"/>
      <c r="VMN227" s="47"/>
      <c r="VMO227" s="47"/>
      <c r="VMP227" s="47"/>
      <c r="VMQ227" s="47"/>
      <c r="VMR227" s="47"/>
      <c r="VMS227" s="47"/>
      <c r="VMT227" s="47"/>
      <c r="VMU227" s="47"/>
      <c r="VMV227" s="47"/>
      <c r="VMW227" s="47"/>
      <c r="VMX227" s="47"/>
      <c r="VMY227" s="47"/>
      <c r="VMZ227" s="47"/>
      <c r="VNA227" s="47"/>
      <c r="VNB227" s="47"/>
      <c r="VNC227" s="47"/>
      <c r="VND227" s="47"/>
      <c r="VNE227" s="47"/>
      <c r="VNF227" s="47"/>
      <c r="VNG227" s="47"/>
      <c r="VNH227" s="47"/>
      <c r="VNI227" s="47"/>
      <c r="VNJ227" s="47"/>
      <c r="VNK227" s="47"/>
      <c r="VNL227" s="47"/>
      <c r="VNM227" s="47"/>
      <c r="VNN227" s="47"/>
      <c r="VNO227" s="47"/>
      <c r="VNP227" s="47"/>
      <c r="VNQ227" s="47"/>
      <c r="VNR227" s="47"/>
      <c r="VNS227" s="47"/>
      <c r="VNT227" s="47"/>
      <c r="VNU227" s="47"/>
      <c r="VNV227" s="47"/>
      <c r="VNW227" s="47"/>
      <c r="VNX227" s="47"/>
      <c r="VNY227" s="47"/>
      <c r="VNZ227" s="47"/>
      <c r="VOA227" s="47"/>
      <c r="VOB227" s="47"/>
      <c r="VOC227" s="47"/>
      <c r="VOD227" s="47"/>
      <c r="VOE227" s="47"/>
      <c r="VOF227" s="47"/>
      <c r="VOG227" s="47"/>
      <c r="VOH227" s="47"/>
      <c r="VOI227" s="47"/>
      <c r="VOJ227" s="47"/>
      <c r="VOK227" s="47"/>
      <c r="VOL227" s="47"/>
      <c r="VOM227" s="47"/>
      <c r="VON227" s="47"/>
      <c r="VOO227" s="47"/>
      <c r="VOP227" s="47"/>
      <c r="VOQ227" s="47"/>
      <c r="VOR227" s="47"/>
      <c r="VOS227" s="47"/>
      <c r="VOT227" s="47"/>
      <c r="VOU227" s="47"/>
      <c r="VOV227" s="47"/>
      <c r="VOW227" s="47"/>
      <c r="VOX227" s="47"/>
      <c r="VOY227" s="47"/>
      <c r="VOZ227" s="47"/>
      <c r="VPA227" s="47"/>
      <c r="VPB227" s="47"/>
      <c r="VPC227" s="47"/>
      <c r="VPD227" s="47"/>
      <c r="VPE227" s="47"/>
      <c r="VPF227" s="47"/>
      <c r="VPG227" s="47"/>
      <c r="VPH227" s="47"/>
      <c r="VPI227" s="47"/>
      <c r="VPJ227" s="47"/>
      <c r="VPK227" s="47"/>
      <c r="VPL227" s="47"/>
      <c r="VPM227" s="47"/>
      <c r="VPN227" s="47"/>
      <c r="VPO227" s="47"/>
      <c r="VPP227" s="47"/>
      <c r="VPQ227" s="47"/>
      <c r="VPR227" s="47"/>
      <c r="VPS227" s="47"/>
      <c r="VPT227" s="47"/>
      <c r="VPU227" s="47"/>
      <c r="VPV227" s="47"/>
      <c r="VPW227" s="47"/>
      <c r="VPX227" s="47"/>
      <c r="VPY227" s="47"/>
      <c r="VPZ227" s="47"/>
      <c r="VQA227" s="47"/>
      <c r="VQB227" s="47"/>
      <c r="VQC227" s="47"/>
      <c r="VQD227" s="47"/>
      <c r="VQE227" s="47"/>
      <c r="VQF227" s="47"/>
      <c r="VQG227" s="47"/>
      <c r="VQH227" s="47"/>
      <c r="VQI227" s="47"/>
      <c r="VQJ227" s="47"/>
      <c r="VQK227" s="47"/>
      <c r="VQL227" s="47"/>
      <c r="VQM227" s="47"/>
      <c r="VQN227" s="47"/>
      <c r="VQO227" s="47"/>
      <c r="VQP227" s="47"/>
      <c r="VQQ227" s="47"/>
      <c r="VQR227" s="47"/>
      <c r="VQS227" s="47"/>
      <c r="VQT227" s="47"/>
      <c r="VQU227" s="47"/>
      <c r="VQV227" s="47"/>
      <c r="VQW227" s="47"/>
      <c r="VQX227" s="47"/>
      <c r="VQY227" s="47"/>
      <c r="VQZ227" s="47"/>
      <c r="VRA227" s="47"/>
      <c r="VRB227" s="47"/>
      <c r="VRC227" s="47"/>
      <c r="VRD227" s="47"/>
      <c r="VRE227" s="47"/>
      <c r="VRF227" s="47"/>
      <c r="VRG227" s="47"/>
      <c r="VRH227" s="47"/>
      <c r="VRI227" s="47"/>
      <c r="VRJ227" s="47"/>
      <c r="VRK227" s="47"/>
      <c r="VRL227" s="47"/>
      <c r="VRM227" s="47"/>
      <c r="VRN227" s="47"/>
      <c r="VRO227" s="47"/>
      <c r="VRP227" s="47"/>
      <c r="VRQ227" s="47"/>
      <c r="VRR227" s="47"/>
      <c r="VRS227" s="47"/>
      <c r="VRT227" s="47"/>
      <c r="VRU227" s="47"/>
      <c r="VRV227" s="47"/>
      <c r="VRW227" s="47"/>
      <c r="VRX227" s="47"/>
      <c r="VRY227" s="47"/>
      <c r="VRZ227" s="47"/>
      <c r="VSA227" s="47"/>
      <c r="VSB227" s="47"/>
      <c r="VSC227" s="47"/>
      <c r="VSD227" s="47"/>
      <c r="VSE227" s="47"/>
      <c r="VSF227" s="47"/>
      <c r="VSG227" s="47"/>
      <c r="VSH227" s="47"/>
      <c r="VSI227" s="47"/>
      <c r="VSJ227" s="47"/>
      <c r="VSK227" s="47"/>
      <c r="VSL227" s="47"/>
      <c r="VSM227" s="47"/>
      <c r="VSN227" s="47"/>
      <c r="VSO227" s="47"/>
      <c r="VSP227" s="47"/>
      <c r="VSQ227" s="47"/>
      <c r="VSR227" s="47"/>
      <c r="VSS227" s="47"/>
      <c r="VST227" s="47"/>
      <c r="VSU227" s="47"/>
      <c r="VSV227" s="47"/>
      <c r="VSW227" s="47"/>
      <c r="VSX227" s="47"/>
      <c r="VSY227" s="47"/>
      <c r="VSZ227" s="47"/>
      <c r="VTA227" s="47"/>
      <c r="VTB227" s="47"/>
      <c r="VTC227" s="47"/>
      <c r="VTD227" s="47"/>
      <c r="VTE227" s="47"/>
      <c r="VTF227" s="47"/>
      <c r="VTG227" s="47"/>
      <c r="VTH227" s="47"/>
      <c r="VTI227" s="47"/>
      <c r="VTJ227" s="47"/>
      <c r="VTK227" s="47"/>
      <c r="VTL227" s="47"/>
      <c r="VTM227" s="47"/>
      <c r="VTN227" s="47"/>
      <c r="VTO227" s="47"/>
      <c r="VTP227" s="47"/>
      <c r="VTQ227" s="47"/>
      <c r="VTR227" s="47"/>
      <c r="VTS227" s="47"/>
      <c r="VTT227" s="47"/>
      <c r="VTU227" s="47"/>
      <c r="VTV227" s="47"/>
      <c r="VTW227" s="47"/>
      <c r="VTX227" s="47"/>
      <c r="VTY227" s="47"/>
      <c r="VTZ227" s="47"/>
      <c r="VUA227" s="47"/>
      <c r="VUB227" s="47"/>
      <c r="VUC227" s="47"/>
      <c r="VUD227" s="47"/>
      <c r="VUE227" s="47"/>
      <c r="VUF227" s="47"/>
      <c r="VUG227" s="47"/>
      <c r="VUH227" s="47"/>
      <c r="VUI227" s="47"/>
      <c r="VUJ227" s="47"/>
      <c r="VUK227" s="47"/>
      <c r="VUL227" s="47"/>
      <c r="VUM227" s="47"/>
      <c r="VUN227" s="47"/>
      <c r="VUO227" s="47"/>
      <c r="VUP227" s="47"/>
      <c r="VUQ227" s="47"/>
      <c r="VUR227" s="47"/>
      <c r="VUS227" s="47"/>
      <c r="VUT227" s="47"/>
      <c r="VUU227" s="47"/>
      <c r="VUV227" s="47"/>
      <c r="VUW227" s="47"/>
      <c r="VUX227" s="47"/>
      <c r="VUY227" s="47"/>
      <c r="VUZ227" s="47"/>
      <c r="VVA227" s="47"/>
      <c r="VVB227" s="47"/>
      <c r="VVC227" s="47"/>
      <c r="VVD227" s="47"/>
      <c r="VVE227" s="47"/>
      <c r="VVF227" s="47"/>
      <c r="VVG227" s="47"/>
      <c r="VVH227" s="47"/>
      <c r="VVI227" s="47"/>
      <c r="VVJ227" s="47"/>
      <c r="VVK227" s="47"/>
      <c r="VVL227" s="47"/>
    </row>
    <row r="228" spans="3:98 15064:15456" s="1" customFormat="1" x14ac:dyDescent="0.25">
      <c r="C228" s="15"/>
      <c r="D228" s="241" t="s">
        <v>21</v>
      </c>
      <c r="E228" s="258">
        <f>292</f>
        <v>292</v>
      </c>
      <c r="F228" s="242" t="s">
        <v>19</v>
      </c>
      <c r="G228" s="302">
        <v>141.00814527626031</v>
      </c>
      <c r="H228" s="302">
        <v>174.4803288306916</v>
      </c>
      <c r="I228" s="302">
        <v>241.71795679801568</v>
      </c>
      <c r="J228" s="302">
        <v>254.26015262999411</v>
      </c>
      <c r="K228" s="302">
        <v>126.60704948170599</v>
      </c>
      <c r="L228" s="302">
        <v>137.90993464581931</v>
      </c>
      <c r="M228" s="302">
        <v>127.98065507071057</v>
      </c>
      <c r="N228" s="302">
        <v>75.864468505796467</v>
      </c>
      <c r="O228" s="302">
        <v>190.03819999999999</v>
      </c>
      <c r="P228" s="302">
        <v>245.88812128870629</v>
      </c>
      <c r="Q228" s="302">
        <v>257.05686858306728</v>
      </c>
      <c r="R228" s="302">
        <v>119.90105183872518</v>
      </c>
      <c r="S228" s="302">
        <v>158.2789705409327</v>
      </c>
      <c r="T228" s="302">
        <v>146.13432601210542</v>
      </c>
      <c r="U228" s="302">
        <v>252.56971029815202</v>
      </c>
      <c r="V228" s="302">
        <v>54.105593209799309</v>
      </c>
      <c r="W228" s="302">
        <v>124.42565142230541</v>
      </c>
      <c r="X228" s="302">
        <v>279.29221397088816</v>
      </c>
      <c r="Y228" s="302">
        <v>280.92105234656117</v>
      </c>
      <c r="Z228" s="302">
        <v>276.27475838369435</v>
      </c>
      <c r="AA228" s="302">
        <v>234.14957717229865</v>
      </c>
      <c r="AB228" s="302">
        <v>43.735970409153133</v>
      </c>
      <c r="AC228" s="302">
        <v>12.38688447660922</v>
      </c>
      <c r="AD228" s="302">
        <v>28.690576703266714</v>
      </c>
      <c r="AE228" s="302">
        <v>296.18485344814206</v>
      </c>
      <c r="AF228" s="302">
        <v>338.57199788954955</v>
      </c>
      <c r="AG228" s="302">
        <v>345.59556109152851</v>
      </c>
      <c r="AH228" s="302">
        <v>358.43103603421542</v>
      </c>
      <c r="AI228" s="302">
        <v>329.73048402135896</v>
      </c>
      <c r="AJ228" s="302">
        <v>216.44177120405175</v>
      </c>
      <c r="AK228" s="302"/>
      <c r="AM228" s="118">
        <f>SUM(G228:AK228)</f>
        <v>5868.6339215841053</v>
      </c>
      <c r="AR228" s="39"/>
      <c r="CS228" s="39"/>
      <c r="CT228" s="145"/>
      <c r="VGJ228" s="47"/>
      <c r="VGK228" s="47"/>
      <c r="VGL228" s="47"/>
      <c r="VGM228" s="47"/>
      <c r="VGN228" s="47"/>
      <c r="VGO228" s="47"/>
      <c r="VGP228" s="47"/>
      <c r="VGQ228" s="47"/>
      <c r="VGR228" s="47"/>
      <c r="VGS228" s="47"/>
      <c r="VGT228" s="47"/>
      <c r="VGU228" s="47"/>
      <c r="VGV228" s="47"/>
      <c r="VGW228" s="47"/>
      <c r="VGX228" s="47"/>
      <c r="VGY228" s="47"/>
      <c r="VGZ228" s="47"/>
      <c r="VHA228" s="47"/>
      <c r="VHB228" s="47"/>
      <c r="VHC228" s="47"/>
      <c r="VHD228" s="47"/>
      <c r="VHE228" s="47"/>
      <c r="VHF228" s="47"/>
      <c r="VHG228" s="47"/>
      <c r="VHH228" s="47"/>
      <c r="VHI228" s="47"/>
      <c r="VHJ228" s="47"/>
      <c r="VHK228" s="47"/>
      <c r="VHL228" s="47"/>
      <c r="VHM228" s="47"/>
      <c r="VHN228" s="47"/>
      <c r="VHO228" s="47"/>
      <c r="VHP228" s="47"/>
      <c r="VHQ228" s="47"/>
      <c r="VHR228" s="47"/>
      <c r="VHS228" s="47"/>
      <c r="VHT228" s="47"/>
      <c r="VHU228" s="47"/>
      <c r="VHV228" s="47"/>
      <c r="VHW228" s="47"/>
      <c r="VHX228" s="47"/>
      <c r="VHY228" s="47"/>
      <c r="VHZ228" s="47"/>
      <c r="VIA228" s="47"/>
      <c r="VIB228" s="47"/>
      <c r="VIC228" s="47"/>
      <c r="VID228" s="47"/>
      <c r="VIE228" s="47"/>
      <c r="VIF228" s="47"/>
      <c r="VIG228" s="47"/>
      <c r="VIH228" s="47"/>
      <c r="VII228" s="47"/>
      <c r="VIJ228" s="47"/>
      <c r="VIK228" s="47"/>
      <c r="VIL228" s="47"/>
      <c r="VIM228" s="47"/>
      <c r="VIN228" s="47"/>
      <c r="VIO228" s="47"/>
      <c r="VIP228" s="47"/>
      <c r="VIQ228" s="47"/>
      <c r="VIR228" s="47"/>
      <c r="VIS228" s="47"/>
      <c r="VIT228" s="47"/>
      <c r="VIU228" s="47"/>
      <c r="VIV228" s="47"/>
      <c r="VIW228" s="47"/>
      <c r="VIX228" s="47"/>
      <c r="VIY228" s="47"/>
      <c r="VIZ228" s="47"/>
      <c r="VJA228" s="47"/>
      <c r="VJB228" s="47"/>
      <c r="VJC228" s="47"/>
      <c r="VJD228" s="47"/>
      <c r="VJE228" s="47"/>
      <c r="VJF228" s="47"/>
      <c r="VJG228" s="47"/>
      <c r="VJH228" s="47"/>
      <c r="VJI228" s="47"/>
      <c r="VJJ228" s="47"/>
      <c r="VJK228" s="47"/>
      <c r="VJL228" s="47"/>
      <c r="VJM228" s="47"/>
      <c r="VJN228" s="47"/>
      <c r="VJO228" s="47"/>
      <c r="VJP228" s="47"/>
      <c r="VJQ228" s="47"/>
      <c r="VJR228" s="47"/>
      <c r="VJS228" s="47"/>
      <c r="VJT228" s="47"/>
      <c r="VJU228" s="47"/>
      <c r="VJV228" s="47"/>
      <c r="VJW228" s="47"/>
      <c r="VJX228" s="47"/>
      <c r="VJY228" s="47"/>
      <c r="VJZ228" s="47"/>
      <c r="VKA228" s="47"/>
      <c r="VKB228" s="47"/>
      <c r="VKC228" s="47"/>
      <c r="VKD228" s="47"/>
      <c r="VKE228" s="47"/>
      <c r="VKF228" s="47"/>
      <c r="VKG228" s="47"/>
      <c r="VKH228" s="47"/>
      <c r="VKI228" s="47"/>
      <c r="VKJ228" s="47"/>
      <c r="VKK228" s="47"/>
      <c r="VKL228" s="47"/>
      <c r="VKM228" s="47"/>
      <c r="VKN228" s="47"/>
      <c r="VKO228" s="47"/>
      <c r="VKP228" s="47"/>
      <c r="VKQ228" s="47"/>
      <c r="VKR228" s="47"/>
      <c r="VKS228" s="47"/>
      <c r="VKT228" s="47"/>
      <c r="VKU228" s="47"/>
      <c r="VKV228" s="47"/>
      <c r="VKW228" s="47"/>
      <c r="VKX228" s="47"/>
      <c r="VKY228" s="47"/>
      <c r="VKZ228" s="47"/>
      <c r="VLA228" s="47"/>
      <c r="VLB228" s="47"/>
      <c r="VLC228" s="47"/>
      <c r="VLD228" s="47"/>
      <c r="VLE228" s="47"/>
      <c r="VLF228" s="47"/>
      <c r="VLG228" s="47"/>
      <c r="VLH228" s="47"/>
      <c r="VLI228" s="47"/>
      <c r="VLJ228" s="47"/>
      <c r="VLK228" s="47"/>
      <c r="VLL228" s="47"/>
      <c r="VLM228" s="47"/>
      <c r="VLN228" s="47"/>
      <c r="VLO228" s="47"/>
      <c r="VLP228" s="47"/>
      <c r="VLQ228" s="47"/>
      <c r="VLR228" s="47"/>
      <c r="VLS228" s="47"/>
      <c r="VLT228" s="47"/>
      <c r="VLU228" s="47"/>
      <c r="VLV228" s="47"/>
      <c r="VLW228" s="47"/>
      <c r="VLX228" s="47"/>
      <c r="VLY228" s="47"/>
      <c r="VLZ228" s="47"/>
      <c r="VMA228" s="47"/>
      <c r="VMB228" s="47"/>
      <c r="VMC228" s="47"/>
      <c r="VMD228" s="47"/>
      <c r="VME228" s="47"/>
      <c r="VMF228" s="47"/>
      <c r="VMG228" s="47"/>
      <c r="VMH228" s="47"/>
      <c r="VMI228" s="47"/>
      <c r="VMJ228" s="47"/>
      <c r="VMK228" s="47"/>
      <c r="VML228" s="47"/>
      <c r="VMM228" s="47"/>
      <c r="VMN228" s="47"/>
      <c r="VMO228" s="47"/>
      <c r="VMP228" s="47"/>
      <c r="VMQ228" s="47"/>
      <c r="VMR228" s="47"/>
      <c r="VMS228" s="47"/>
      <c r="VMT228" s="47"/>
      <c r="VMU228" s="47"/>
      <c r="VMV228" s="47"/>
      <c r="VMW228" s="47"/>
      <c r="VMX228" s="47"/>
      <c r="VMY228" s="47"/>
      <c r="VMZ228" s="47"/>
      <c r="VNA228" s="47"/>
      <c r="VNB228" s="47"/>
      <c r="VNC228" s="47"/>
      <c r="VND228" s="47"/>
      <c r="VNE228" s="47"/>
      <c r="VNF228" s="47"/>
      <c r="VNG228" s="47"/>
      <c r="VNH228" s="47"/>
      <c r="VNI228" s="47"/>
      <c r="VNJ228" s="47"/>
      <c r="VNK228" s="47"/>
      <c r="VNL228" s="47"/>
      <c r="VNM228" s="47"/>
      <c r="VNN228" s="47"/>
      <c r="VNO228" s="47"/>
      <c r="VNP228" s="47"/>
      <c r="VNQ228" s="47"/>
      <c r="VNR228" s="47"/>
      <c r="VNS228" s="47"/>
      <c r="VNT228" s="47"/>
      <c r="VNU228" s="47"/>
      <c r="VNV228" s="47"/>
      <c r="VNW228" s="47"/>
      <c r="VNX228" s="47"/>
      <c r="VNY228" s="47"/>
      <c r="VNZ228" s="47"/>
      <c r="VOA228" s="47"/>
      <c r="VOB228" s="47"/>
      <c r="VOC228" s="47"/>
      <c r="VOD228" s="47"/>
      <c r="VOE228" s="47"/>
      <c r="VOF228" s="47"/>
      <c r="VOG228" s="47"/>
      <c r="VOH228" s="47"/>
      <c r="VOI228" s="47"/>
      <c r="VOJ228" s="47"/>
      <c r="VOK228" s="47"/>
      <c r="VOL228" s="47"/>
      <c r="VOM228" s="47"/>
      <c r="VON228" s="47"/>
      <c r="VOO228" s="47"/>
      <c r="VOP228" s="47"/>
      <c r="VOQ228" s="47"/>
      <c r="VOR228" s="47"/>
      <c r="VOS228" s="47"/>
      <c r="VOT228" s="47"/>
      <c r="VOU228" s="47"/>
      <c r="VOV228" s="47"/>
      <c r="VOW228" s="47"/>
      <c r="VOX228" s="47"/>
      <c r="VOY228" s="47"/>
      <c r="VOZ228" s="47"/>
      <c r="VPA228" s="47"/>
      <c r="VPB228" s="47"/>
      <c r="VPC228" s="47"/>
      <c r="VPD228" s="47"/>
      <c r="VPE228" s="47"/>
      <c r="VPF228" s="47"/>
      <c r="VPG228" s="47"/>
      <c r="VPH228" s="47"/>
      <c r="VPI228" s="47"/>
      <c r="VPJ228" s="47"/>
      <c r="VPK228" s="47"/>
      <c r="VPL228" s="47"/>
      <c r="VPM228" s="47"/>
      <c r="VPN228" s="47"/>
      <c r="VPO228" s="47"/>
      <c r="VPP228" s="47"/>
      <c r="VPQ228" s="47"/>
      <c r="VPR228" s="47"/>
      <c r="VPS228" s="47"/>
      <c r="VPT228" s="47"/>
      <c r="VPU228" s="47"/>
      <c r="VPV228" s="47"/>
      <c r="VPW228" s="47"/>
      <c r="VPX228" s="47"/>
      <c r="VPY228" s="47"/>
      <c r="VPZ228" s="47"/>
      <c r="VQA228" s="47"/>
      <c r="VQB228" s="47"/>
      <c r="VQC228" s="47"/>
      <c r="VQD228" s="47"/>
      <c r="VQE228" s="47"/>
      <c r="VQF228" s="47"/>
      <c r="VQG228" s="47"/>
      <c r="VQH228" s="47"/>
      <c r="VQI228" s="47"/>
      <c r="VQJ228" s="47"/>
      <c r="VQK228" s="47"/>
      <c r="VQL228" s="47"/>
      <c r="VQM228" s="47"/>
      <c r="VQN228" s="47"/>
      <c r="VQO228" s="47"/>
      <c r="VQP228" s="47"/>
      <c r="VQQ228" s="47"/>
      <c r="VQR228" s="47"/>
      <c r="VQS228" s="47"/>
      <c r="VQT228" s="47"/>
      <c r="VQU228" s="47"/>
      <c r="VQV228" s="47"/>
      <c r="VQW228" s="47"/>
      <c r="VQX228" s="47"/>
      <c r="VQY228" s="47"/>
      <c r="VQZ228" s="47"/>
      <c r="VRA228" s="47"/>
      <c r="VRB228" s="47"/>
      <c r="VRC228" s="47"/>
      <c r="VRD228" s="47"/>
      <c r="VRE228" s="47"/>
      <c r="VRF228" s="47"/>
      <c r="VRG228" s="47"/>
      <c r="VRH228" s="47"/>
      <c r="VRI228" s="47"/>
      <c r="VRJ228" s="47"/>
      <c r="VRK228" s="47"/>
      <c r="VRL228" s="47"/>
      <c r="VRM228" s="47"/>
      <c r="VRN228" s="47"/>
      <c r="VRO228" s="47"/>
      <c r="VRP228" s="47"/>
      <c r="VRQ228" s="47"/>
      <c r="VRR228" s="47"/>
      <c r="VRS228" s="47"/>
      <c r="VRT228" s="47"/>
      <c r="VRU228" s="47"/>
      <c r="VRV228" s="47"/>
      <c r="VRW228" s="47"/>
      <c r="VRX228" s="47"/>
      <c r="VRY228" s="47"/>
      <c r="VRZ228" s="47"/>
      <c r="VSA228" s="47"/>
      <c r="VSB228" s="47"/>
      <c r="VSC228" s="47"/>
      <c r="VSD228" s="47"/>
      <c r="VSE228" s="47"/>
      <c r="VSF228" s="47"/>
      <c r="VSG228" s="47"/>
      <c r="VSH228" s="47"/>
      <c r="VSI228" s="47"/>
      <c r="VSJ228" s="47"/>
      <c r="VSK228" s="47"/>
      <c r="VSL228" s="47"/>
      <c r="VSM228" s="47"/>
      <c r="VSN228" s="47"/>
      <c r="VSO228" s="47"/>
      <c r="VSP228" s="47"/>
      <c r="VSQ228" s="47"/>
      <c r="VSR228" s="47"/>
      <c r="VSS228" s="47"/>
      <c r="VST228" s="47"/>
      <c r="VSU228" s="47"/>
      <c r="VSV228" s="47"/>
      <c r="VSW228" s="47"/>
      <c r="VSX228" s="47"/>
      <c r="VSY228" s="47"/>
      <c r="VSZ228" s="47"/>
      <c r="VTA228" s="47"/>
      <c r="VTB228" s="47"/>
      <c r="VTC228" s="47"/>
      <c r="VTD228" s="47"/>
      <c r="VTE228" s="47"/>
      <c r="VTF228" s="47"/>
      <c r="VTG228" s="47"/>
      <c r="VTH228" s="47"/>
      <c r="VTI228" s="47"/>
      <c r="VTJ228" s="47"/>
      <c r="VTK228" s="47"/>
      <c r="VTL228" s="47"/>
      <c r="VTM228" s="47"/>
      <c r="VTN228" s="47"/>
      <c r="VTO228" s="47"/>
      <c r="VTP228" s="47"/>
      <c r="VTQ228" s="47"/>
      <c r="VTR228" s="47"/>
      <c r="VTS228" s="47"/>
      <c r="VTT228" s="47"/>
      <c r="VTU228" s="47"/>
      <c r="VTV228" s="47"/>
      <c r="VTW228" s="47"/>
      <c r="VTX228" s="47"/>
      <c r="VTY228" s="47"/>
      <c r="VTZ228" s="47"/>
      <c r="VUA228" s="47"/>
      <c r="VUB228" s="47"/>
      <c r="VUC228" s="47"/>
      <c r="VUD228" s="47"/>
      <c r="VUE228" s="47"/>
      <c r="VUF228" s="47"/>
      <c r="VUG228" s="47"/>
      <c r="VUH228" s="47"/>
      <c r="VUI228" s="47"/>
      <c r="VUJ228" s="47"/>
      <c r="VUK228" s="47"/>
      <c r="VUL228" s="47"/>
      <c r="VUM228" s="47"/>
      <c r="VUN228" s="47"/>
      <c r="VUO228" s="47"/>
      <c r="VUP228" s="47"/>
      <c r="VUQ228" s="47"/>
      <c r="VUR228" s="47"/>
      <c r="VUS228" s="47"/>
      <c r="VUT228" s="47"/>
      <c r="VUU228" s="47"/>
      <c r="VUV228" s="47"/>
      <c r="VUW228" s="47"/>
      <c r="VUX228" s="47"/>
      <c r="VUY228" s="47"/>
      <c r="VUZ228" s="47"/>
      <c r="VVA228" s="47"/>
      <c r="VVB228" s="47"/>
      <c r="VVC228" s="47"/>
      <c r="VVD228" s="47"/>
      <c r="VVE228" s="47"/>
      <c r="VVF228" s="47"/>
      <c r="VVG228" s="47"/>
      <c r="VVH228" s="47"/>
      <c r="VVI228" s="47"/>
      <c r="VVJ228" s="47"/>
      <c r="VVK228" s="47"/>
      <c r="VVL228" s="47"/>
    </row>
    <row r="229" spans="3:98 15064:15456" s="1" customFormat="1" x14ac:dyDescent="0.25">
      <c r="C229" s="15"/>
      <c r="D229" s="77" t="s">
        <v>389</v>
      </c>
      <c r="E229" s="979"/>
      <c r="F229" s="72"/>
      <c r="G229" s="980"/>
      <c r="H229" s="980"/>
      <c r="I229" s="980"/>
      <c r="J229" s="980"/>
      <c r="K229" s="980"/>
      <c r="L229" s="980"/>
      <c r="M229" s="546"/>
      <c r="N229" s="546"/>
      <c r="O229" s="980"/>
      <c r="P229" s="980"/>
      <c r="Q229" s="980"/>
      <c r="R229" s="980"/>
      <c r="T229" s="980"/>
      <c r="U229" s="980"/>
      <c r="V229" s="980"/>
      <c r="W229" s="980"/>
      <c r="X229" s="980"/>
      <c r="Y229" s="980"/>
      <c r="Z229" s="980"/>
      <c r="AA229" s="980"/>
      <c r="AB229" s="980"/>
      <c r="AC229" s="980"/>
      <c r="AD229" s="980"/>
      <c r="AE229" s="980"/>
      <c r="AF229" s="980"/>
      <c r="AG229" s="980"/>
      <c r="AH229" s="980"/>
      <c r="AI229" s="980"/>
      <c r="AJ229" s="980"/>
      <c r="AK229" s="980"/>
      <c r="AL229" s="65"/>
      <c r="AM229" s="981">
        <f>AM228/AM9*1000</f>
        <v>0.24405569098534974</v>
      </c>
      <c r="CS229" s="39"/>
      <c r="CT229" s="145"/>
      <c r="VGJ229" s="47"/>
      <c r="VGK229" s="47"/>
      <c r="VGL229" s="47"/>
      <c r="VGM229" s="47"/>
      <c r="VGN229" s="47"/>
      <c r="VGO229" s="47"/>
      <c r="VGP229" s="47"/>
      <c r="VGQ229" s="47"/>
      <c r="VGR229" s="47"/>
      <c r="VGS229" s="47"/>
      <c r="VGT229" s="47"/>
      <c r="VGU229" s="47"/>
      <c r="VGV229" s="47"/>
      <c r="VGW229" s="47"/>
      <c r="VGX229" s="47"/>
      <c r="VGY229" s="47"/>
      <c r="VGZ229" s="47"/>
      <c r="VHA229" s="47"/>
      <c r="VHB229" s="47"/>
      <c r="VHC229" s="47"/>
      <c r="VHD229" s="47"/>
      <c r="VHE229" s="47"/>
      <c r="VHF229" s="47"/>
      <c r="VHG229" s="47"/>
      <c r="VHH229" s="47"/>
      <c r="VHI229" s="47"/>
      <c r="VHJ229" s="47"/>
      <c r="VHK229" s="47"/>
      <c r="VHL229" s="47"/>
      <c r="VHM229" s="47"/>
      <c r="VHN229" s="47"/>
      <c r="VHO229" s="47"/>
      <c r="VHP229" s="47"/>
      <c r="VHQ229" s="47"/>
      <c r="VHR229" s="47"/>
      <c r="VHS229" s="47"/>
      <c r="VHT229" s="47"/>
      <c r="VHU229" s="47"/>
      <c r="VHV229" s="47"/>
      <c r="VHW229" s="47"/>
      <c r="VHX229" s="47"/>
      <c r="VHY229" s="47"/>
      <c r="VHZ229" s="47"/>
      <c r="VIA229" s="47"/>
      <c r="VIB229" s="47"/>
      <c r="VIC229" s="47"/>
      <c r="VID229" s="47"/>
      <c r="VIE229" s="47"/>
      <c r="VIF229" s="47"/>
      <c r="VIG229" s="47"/>
      <c r="VIH229" s="47"/>
      <c r="VII229" s="47"/>
      <c r="VIJ229" s="47"/>
      <c r="VIK229" s="47"/>
      <c r="VIL229" s="47"/>
      <c r="VIM229" s="47"/>
      <c r="VIN229" s="47"/>
      <c r="VIO229" s="47"/>
      <c r="VIP229" s="47"/>
      <c r="VIQ229" s="47"/>
      <c r="VIR229" s="47"/>
      <c r="VIS229" s="47"/>
      <c r="VIT229" s="47"/>
      <c r="VIU229" s="47"/>
      <c r="VIV229" s="47"/>
      <c r="VIW229" s="47"/>
      <c r="VIX229" s="47"/>
      <c r="VIY229" s="47"/>
      <c r="VIZ229" s="47"/>
      <c r="VJA229" s="47"/>
      <c r="VJB229" s="47"/>
      <c r="VJC229" s="47"/>
      <c r="VJD229" s="47"/>
      <c r="VJE229" s="47"/>
      <c r="VJF229" s="47"/>
      <c r="VJG229" s="47"/>
      <c r="VJH229" s="47"/>
      <c r="VJI229" s="47"/>
      <c r="VJJ229" s="47"/>
      <c r="VJK229" s="47"/>
      <c r="VJL229" s="47"/>
      <c r="VJM229" s="47"/>
      <c r="VJN229" s="47"/>
      <c r="VJO229" s="47"/>
      <c r="VJP229" s="47"/>
      <c r="VJQ229" s="47"/>
      <c r="VJR229" s="47"/>
      <c r="VJS229" s="47"/>
      <c r="VJT229" s="47"/>
      <c r="VJU229" s="47"/>
      <c r="VJV229" s="47"/>
      <c r="VJW229" s="47"/>
      <c r="VJX229" s="47"/>
      <c r="VJY229" s="47"/>
      <c r="VJZ229" s="47"/>
      <c r="VKA229" s="47"/>
      <c r="VKB229" s="47"/>
      <c r="VKC229" s="47"/>
      <c r="VKD229" s="47"/>
      <c r="VKE229" s="47"/>
      <c r="VKF229" s="47"/>
      <c r="VKG229" s="47"/>
      <c r="VKH229" s="47"/>
      <c r="VKI229" s="47"/>
      <c r="VKJ229" s="47"/>
      <c r="VKK229" s="47"/>
      <c r="VKL229" s="47"/>
      <c r="VKM229" s="47"/>
      <c r="VKN229" s="47"/>
      <c r="VKO229" s="47"/>
      <c r="VKP229" s="47"/>
      <c r="VKQ229" s="47"/>
      <c r="VKR229" s="47"/>
      <c r="VKS229" s="47"/>
      <c r="VKT229" s="47"/>
      <c r="VKU229" s="47"/>
      <c r="VKV229" s="47"/>
      <c r="VKW229" s="47"/>
      <c r="VKX229" s="47"/>
      <c r="VKY229" s="47"/>
      <c r="VKZ229" s="47"/>
      <c r="VLA229" s="47"/>
      <c r="VLB229" s="47"/>
      <c r="VLC229" s="47"/>
      <c r="VLD229" s="47"/>
      <c r="VLE229" s="47"/>
      <c r="VLF229" s="47"/>
      <c r="VLG229" s="47"/>
      <c r="VLH229" s="47"/>
      <c r="VLI229" s="47"/>
      <c r="VLJ229" s="47"/>
      <c r="VLK229" s="47"/>
      <c r="VLL229" s="47"/>
      <c r="VLM229" s="47"/>
      <c r="VLN229" s="47"/>
      <c r="VLO229" s="47"/>
      <c r="VLP229" s="47"/>
      <c r="VLQ229" s="47"/>
      <c r="VLR229" s="47"/>
      <c r="VLS229" s="47"/>
      <c r="VLT229" s="47"/>
      <c r="VLU229" s="47"/>
      <c r="VLV229" s="47"/>
      <c r="VLW229" s="47"/>
      <c r="VLX229" s="47"/>
      <c r="VLY229" s="47"/>
      <c r="VLZ229" s="47"/>
      <c r="VMA229" s="47"/>
      <c r="VMB229" s="47"/>
      <c r="VMC229" s="47"/>
      <c r="VMD229" s="47"/>
      <c r="VME229" s="47"/>
      <c r="VMF229" s="47"/>
      <c r="VMG229" s="47"/>
      <c r="VMH229" s="47"/>
      <c r="VMI229" s="47"/>
      <c r="VMJ229" s="47"/>
      <c r="VMK229" s="47"/>
      <c r="VML229" s="47"/>
      <c r="VMM229" s="47"/>
      <c r="VMN229" s="47"/>
      <c r="VMO229" s="47"/>
      <c r="VMP229" s="47"/>
      <c r="VMQ229" s="47"/>
      <c r="VMR229" s="47"/>
      <c r="VMS229" s="47"/>
      <c r="VMT229" s="47"/>
      <c r="VMU229" s="47"/>
      <c r="VMV229" s="47"/>
      <c r="VMW229" s="47"/>
      <c r="VMX229" s="47"/>
      <c r="VMY229" s="47"/>
      <c r="VMZ229" s="47"/>
      <c r="VNA229" s="47"/>
      <c r="VNB229" s="47"/>
      <c r="VNC229" s="47"/>
      <c r="VND229" s="47"/>
      <c r="VNE229" s="47"/>
      <c r="VNF229" s="47"/>
      <c r="VNG229" s="47"/>
      <c r="VNH229" s="47"/>
      <c r="VNI229" s="47"/>
      <c r="VNJ229" s="47"/>
      <c r="VNK229" s="47"/>
      <c r="VNL229" s="47"/>
      <c r="VNM229" s="47"/>
      <c r="VNN229" s="47"/>
      <c r="VNO229" s="47"/>
      <c r="VNP229" s="47"/>
      <c r="VNQ229" s="47"/>
      <c r="VNR229" s="47"/>
      <c r="VNS229" s="47"/>
      <c r="VNT229" s="47"/>
      <c r="VNU229" s="47"/>
      <c r="VNV229" s="47"/>
      <c r="VNW229" s="47"/>
      <c r="VNX229" s="47"/>
      <c r="VNY229" s="47"/>
      <c r="VNZ229" s="47"/>
      <c r="VOA229" s="47"/>
      <c r="VOB229" s="47"/>
      <c r="VOC229" s="47"/>
      <c r="VOD229" s="47"/>
      <c r="VOE229" s="47"/>
      <c r="VOF229" s="47"/>
      <c r="VOG229" s="47"/>
      <c r="VOH229" s="47"/>
      <c r="VOI229" s="47"/>
      <c r="VOJ229" s="47"/>
      <c r="VOK229" s="47"/>
      <c r="VOL229" s="47"/>
      <c r="VOM229" s="47"/>
      <c r="VON229" s="47"/>
      <c r="VOO229" s="47"/>
      <c r="VOP229" s="47"/>
      <c r="VOQ229" s="47"/>
      <c r="VOR229" s="47"/>
      <c r="VOS229" s="47"/>
      <c r="VOT229" s="47"/>
      <c r="VOU229" s="47"/>
      <c r="VOV229" s="47"/>
      <c r="VOW229" s="47"/>
      <c r="VOX229" s="47"/>
      <c r="VOY229" s="47"/>
      <c r="VOZ229" s="47"/>
      <c r="VPA229" s="47"/>
      <c r="VPB229" s="47"/>
      <c r="VPC229" s="47"/>
      <c r="VPD229" s="47"/>
      <c r="VPE229" s="47"/>
      <c r="VPF229" s="47"/>
      <c r="VPG229" s="47"/>
      <c r="VPH229" s="47"/>
      <c r="VPI229" s="47"/>
      <c r="VPJ229" s="47"/>
      <c r="VPK229" s="47"/>
      <c r="VPL229" s="47"/>
      <c r="VPM229" s="47"/>
      <c r="VPN229" s="47"/>
      <c r="VPO229" s="47"/>
      <c r="VPP229" s="47"/>
      <c r="VPQ229" s="47"/>
      <c r="VPR229" s="47"/>
      <c r="VPS229" s="47"/>
      <c r="VPT229" s="47"/>
      <c r="VPU229" s="47"/>
      <c r="VPV229" s="47"/>
      <c r="VPW229" s="47"/>
      <c r="VPX229" s="47"/>
      <c r="VPY229" s="47"/>
      <c r="VPZ229" s="47"/>
      <c r="VQA229" s="47"/>
      <c r="VQB229" s="47"/>
      <c r="VQC229" s="47"/>
      <c r="VQD229" s="47"/>
      <c r="VQE229" s="47"/>
      <c r="VQF229" s="47"/>
      <c r="VQG229" s="47"/>
      <c r="VQH229" s="47"/>
      <c r="VQI229" s="47"/>
      <c r="VQJ229" s="47"/>
      <c r="VQK229" s="47"/>
      <c r="VQL229" s="47"/>
      <c r="VQM229" s="47"/>
      <c r="VQN229" s="47"/>
      <c r="VQO229" s="47"/>
      <c r="VQP229" s="47"/>
      <c r="VQQ229" s="47"/>
      <c r="VQR229" s="47"/>
      <c r="VQS229" s="47"/>
      <c r="VQT229" s="47"/>
      <c r="VQU229" s="47"/>
      <c r="VQV229" s="47"/>
      <c r="VQW229" s="47"/>
      <c r="VQX229" s="47"/>
      <c r="VQY229" s="47"/>
      <c r="VQZ229" s="47"/>
      <c r="VRA229" s="47"/>
      <c r="VRB229" s="47"/>
      <c r="VRC229" s="47"/>
      <c r="VRD229" s="47"/>
      <c r="VRE229" s="47"/>
      <c r="VRF229" s="47"/>
      <c r="VRG229" s="47"/>
      <c r="VRH229" s="47"/>
      <c r="VRI229" s="47"/>
      <c r="VRJ229" s="47"/>
      <c r="VRK229" s="47"/>
      <c r="VRL229" s="47"/>
      <c r="VRM229" s="47"/>
      <c r="VRN229" s="47"/>
      <c r="VRO229" s="47"/>
      <c r="VRP229" s="47"/>
      <c r="VRQ229" s="47"/>
      <c r="VRR229" s="47"/>
      <c r="VRS229" s="47"/>
      <c r="VRT229" s="47"/>
      <c r="VRU229" s="47"/>
      <c r="VRV229" s="47"/>
      <c r="VRW229" s="47"/>
      <c r="VRX229" s="47"/>
      <c r="VRY229" s="47"/>
      <c r="VRZ229" s="47"/>
      <c r="VSA229" s="47"/>
      <c r="VSB229" s="47"/>
      <c r="VSC229" s="47"/>
      <c r="VSD229" s="47"/>
      <c r="VSE229" s="47"/>
      <c r="VSF229" s="47"/>
      <c r="VSG229" s="47"/>
      <c r="VSH229" s="47"/>
      <c r="VSI229" s="47"/>
      <c r="VSJ229" s="47"/>
      <c r="VSK229" s="47"/>
      <c r="VSL229" s="47"/>
      <c r="VSM229" s="47"/>
      <c r="VSN229" s="47"/>
      <c r="VSO229" s="47"/>
      <c r="VSP229" s="47"/>
      <c r="VSQ229" s="47"/>
      <c r="VSR229" s="47"/>
      <c r="VSS229" s="47"/>
      <c r="VST229" s="47"/>
      <c r="VSU229" s="47"/>
      <c r="VSV229" s="47"/>
      <c r="VSW229" s="47"/>
      <c r="VSX229" s="47"/>
      <c r="VSY229" s="47"/>
      <c r="VSZ229" s="47"/>
      <c r="VTA229" s="47"/>
      <c r="VTB229" s="47"/>
      <c r="VTC229" s="47"/>
      <c r="VTD229" s="47"/>
      <c r="VTE229" s="47"/>
      <c r="VTF229" s="47"/>
      <c r="VTG229" s="47"/>
      <c r="VTH229" s="47"/>
      <c r="VTI229" s="47"/>
      <c r="VTJ229" s="47"/>
      <c r="VTK229" s="47"/>
      <c r="VTL229" s="47"/>
      <c r="VTM229" s="47"/>
      <c r="VTN229" s="47"/>
      <c r="VTO229" s="47"/>
      <c r="VTP229" s="47"/>
      <c r="VTQ229" s="47"/>
      <c r="VTR229" s="47"/>
      <c r="VTS229" s="47"/>
      <c r="VTT229" s="47"/>
      <c r="VTU229" s="47"/>
      <c r="VTV229" s="47"/>
      <c r="VTW229" s="47"/>
      <c r="VTX229" s="47"/>
      <c r="VTY229" s="47"/>
      <c r="VTZ229" s="47"/>
      <c r="VUA229" s="47"/>
      <c r="VUB229" s="47"/>
      <c r="VUC229" s="47"/>
      <c r="VUD229" s="47"/>
      <c r="VUE229" s="47"/>
      <c r="VUF229" s="47"/>
      <c r="VUG229" s="47"/>
      <c r="VUH229" s="47"/>
      <c r="VUI229" s="47"/>
      <c r="VUJ229" s="47"/>
      <c r="VUK229" s="47"/>
      <c r="VUL229" s="47"/>
      <c r="VUM229" s="47"/>
      <c r="VUN229" s="47"/>
      <c r="VUO229" s="47"/>
      <c r="VUP229" s="47"/>
      <c r="VUQ229" s="47"/>
      <c r="VUR229" s="47"/>
      <c r="VUS229" s="47"/>
      <c r="VUT229" s="47"/>
      <c r="VUU229" s="47"/>
      <c r="VUV229" s="47"/>
      <c r="VUW229" s="47"/>
      <c r="VUX229" s="47"/>
      <c r="VUY229" s="47"/>
      <c r="VUZ229" s="47"/>
      <c r="VVA229" s="47"/>
      <c r="VVB229" s="47"/>
      <c r="VVC229" s="47"/>
      <c r="VVD229" s="47"/>
      <c r="VVE229" s="47"/>
      <c r="VVF229" s="47"/>
      <c r="VVG229" s="47"/>
      <c r="VVH229" s="47"/>
      <c r="VVI229" s="47"/>
      <c r="VVJ229" s="47"/>
      <c r="VVK229" s="47"/>
      <c r="VVL229" s="47"/>
    </row>
    <row r="230" spans="3:98 15064:15456" s="1" customFormat="1" x14ac:dyDescent="0.25">
      <c r="C230" s="15"/>
      <c r="D230" s="14" t="s">
        <v>20</v>
      </c>
      <c r="E230" s="258">
        <v>1168.001</v>
      </c>
      <c r="F230" s="20" t="s">
        <v>19</v>
      </c>
      <c r="G230" s="303">
        <f t="shared" ref="G230:AK230" si="65">G225-G228</f>
        <v>1087.1800547237397</v>
      </c>
      <c r="H230" s="303">
        <f t="shared" si="65"/>
        <v>774.12347116930835</v>
      </c>
      <c r="I230" s="303">
        <f t="shared" si="65"/>
        <v>936.53354320198446</v>
      </c>
      <c r="J230" s="303">
        <f t="shared" si="65"/>
        <v>997.48944737000602</v>
      </c>
      <c r="K230" s="303">
        <f t="shared" si="65"/>
        <v>908.66685051829393</v>
      </c>
      <c r="L230" s="303">
        <f t="shared" si="65"/>
        <v>890.09736535418074</v>
      </c>
      <c r="M230" s="303">
        <f>M225-M228</f>
        <v>938.9470449292894</v>
      </c>
      <c r="N230" s="303">
        <f>N225-N228</f>
        <v>979.84453149420358</v>
      </c>
      <c r="O230" s="303">
        <f t="shared" si="65"/>
        <v>799.64780000000007</v>
      </c>
      <c r="P230" s="303">
        <f t="shared" si="65"/>
        <v>963.80897871129378</v>
      </c>
      <c r="Q230" s="303">
        <f t="shared" si="65"/>
        <v>971.98333141693263</v>
      </c>
      <c r="R230" s="303">
        <f t="shared" si="65"/>
        <v>1022.9025481612748</v>
      </c>
      <c r="S230" s="303">
        <f>S225-S228</f>
        <v>904.41722945906736</v>
      </c>
      <c r="T230" s="303">
        <f t="shared" si="65"/>
        <v>859.21167398789453</v>
      </c>
      <c r="U230" s="303">
        <f t="shared" si="65"/>
        <v>950.45808970184805</v>
      </c>
      <c r="V230" s="303">
        <f t="shared" si="65"/>
        <v>917.24080679020074</v>
      </c>
      <c r="W230" s="303">
        <f t="shared" si="65"/>
        <v>640.97434857769463</v>
      </c>
      <c r="X230" s="303">
        <f t="shared" si="65"/>
        <v>993.34478602911179</v>
      </c>
      <c r="Y230" s="303">
        <f t="shared" si="65"/>
        <v>951.25674765343877</v>
      </c>
      <c r="Z230" s="303">
        <f t="shared" si="65"/>
        <v>912.43274161630563</v>
      </c>
      <c r="AA230" s="303">
        <f t="shared" si="65"/>
        <v>876.54772282770136</v>
      </c>
      <c r="AB230" s="303">
        <f t="shared" si="65"/>
        <v>753.04142959084686</v>
      </c>
      <c r="AC230" s="303">
        <f t="shared" si="65"/>
        <v>510.57241552339076</v>
      </c>
      <c r="AD230" s="303">
        <f t="shared" si="65"/>
        <v>19.150423296733287</v>
      </c>
      <c r="AE230" s="303">
        <f t="shared" si="65"/>
        <v>831.1384465518579</v>
      </c>
      <c r="AF230" s="303">
        <f t="shared" si="65"/>
        <v>943.82670211045047</v>
      </c>
      <c r="AG230" s="303">
        <f t="shared" si="65"/>
        <v>1093.8990389084715</v>
      </c>
      <c r="AH230" s="303">
        <f t="shared" si="65"/>
        <v>970.57806396578462</v>
      </c>
      <c r="AI230" s="303">
        <f t="shared" si="65"/>
        <v>952.89501597864114</v>
      </c>
      <c r="AJ230" s="303">
        <f t="shared" si="65"/>
        <v>913.50452879594832</v>
      </c>
      <c r="AK230" s="303">
        <f t="shared" si="65"/>
        <v>0</v>
      </c>
      <c r="AM230" s="118">
        <f>SUM(G230:AK230)</f>
        <v>26265.7151784159</v>
      </c>
      <c r="CT230" s="145"/>
      <c r="VGJ230" s="47"/>
      <c r="VGK230" s="47"/>
      <c r="VGL230" s="47"/>
      <c r="VGM230" s="47"/>
      <c r="VGN230" s="47"/>
      <c r="VGO230" s="47"/>
      <c r="VGP230" s="47"/>
      <c r="VGQ230" s="47"/>
      <c r="VGR230" s="47"/>
      <c r="VGS230" s="47"/>
      <c r="VGT230" s="47"/>
      <c r="VGU230" s="47"/>
      <c r="VGV230" s="47"/>
      <c r="VGW230" s="47"/>
      <c r="VGX230" s="47"/>
      <c r="VGY230" s="47"/>
      <c r="VGZ230" s="47"/>
      <c r="VHA230" s="47"/>
      <c r="VHB230" s="47"/>
      <c r="VHC230" s="47"/>
      <c r="VHD230" s="47"/>
      <c r="VHE230" s="47"/>
      <c r="VHF230" s="47"/>
      <c r="VHG230" s="47"/>
      <c r="VHH230" s="47"/>
      <c r="VHI230" s="47"/>
      <c r="VHJ230" s="47"/>
      <c r="VHK230" s="47"/>
      <c r="VHL230" s="47"/>
      <c r="VHM230" s="47"/>
      <c r="VHN230" s="47"/>
      <c r="VHO230" s="47"/>
      <c r="VHP230" s="47"/>
      <c r="VHQ230" s="47"/>
      <c r="VHR230" s="47"/>
      <c r="VHS230" s="47"/>
      <c r="VHT230" s="47"/>
      <c r="VHU230" s="47"/>
      <c r="VHV230" s="47"/>
      <c r="VHW230" s="47"/>
      <c r="VHX230" s="47"/>
      <c r="VHY230" s="47"/>
      <c r="VHZ230" s="47"/>
      <c r="VIA230" s="47"/>
      <c r="VIB230" s="47"/>
      <c r="VIC230" s="47"/>
      <c r="VID230" s="47"/>
      <c r="VIE230" s="47"/>
      <c r="VIF230" s="47"/>
      <c r="VIG230" s="47"/>
      <c r="VIH230" s="47"/>
      <c r="VII230" s="47"/>
      <c r="VIJ230" s="47"/>
      <c r="VIK230" s="47"/>
      <c r="VIL230" s="47"/>
      <c r="VIM230" s="47"/>
      <c r="VIN230" s="47"/>
      <c r="VIO230" s="47"/>
      <c r="VIP230" s="47"/>
      <c r="VIQ230" s="47"/>
      <c r="VIR230" s="47"/>
      <c r="VIS230" s="47"/>
      <c r="VIT230" s="47"/>
      <c r="VIU230" s="47"/>
      <c r="VIV230" s="47"/>
      <c r="VIW230" s="47"/>
      <c r="VIX230" s="47"/>
      <c r="VIY230" s="47"/>
      <c r="VIZ230" s="47"/>
      <c r="VJA230" s="47"/>
      <c r="VJB230" s="47"/>
      <c r="VJC230" s="47"/>
      <c r="VJD230" s="47"/>
      <c r="VJE230" s="47"/>
      <c r="VJF230" s="47"/>
      <c r="VJG230" s="47"/>
      <c r="VJH230" s="47"/>
      <c r="VJI230" s="47"/>
      <c r="VJJ230" s="47"/>
      <c r="VJK230" s="47"/>
      <c r="VJL230" s="47"/>
      <c r="VJM230" s="47"/>
      <c r="VJN230" s="47"/>
      <c r="VJO230" s="47"/>
      <c r="VJP230" s="47"/>
      <c r="VJQ230" s="47"/>
      <c r="VJR230" s="47"/>
      <c r="VJS230" s="47"/>
      <c r="VJT230" s="47"/>
      <c r="VJU230" s="47"/>
      <c r="VJV230" s="47"/>
      <c r="VJW230" s="47"/>
      <c r="VJX230" s="47"/>
      <c r="VJY230" s="47"/>
      <c r="VJZ230" s="47"/>
      <c r="VKA230" s="47"/>
      <c r="VKB230" s="47"/>
      <c r="VKC230" s="47"/>
      <c r="VKD230" s="47"/>
      <c r="VKE230" s="47"/>
      <c r="VKF230" s="47"/>
      <c r="VKG230" s="47"/>
      <c r="VKH230" s="47"/>
      <c r="VKI230" s="47"/>
      <c r="VKJ230" s="47"/>
      <c r="VKK230" s="47"/>
      <c r="VKL230" s="47"/>
      <c r="VKM230" s="47"/>
      <c r="VKN230" s="47"/>
      <c r="VKO230" s="47"/>
      <c r="VKP230" s="47"/>
      <c r="VKQ230" s="47"/>
      <c r="VKR230" s="47"/>
      <c r="VKS230" s="47"/>
      <c r="VKT230" s="47"/>
      <c r="VKU230" s="47"/>
      <c r="VKV230" s="47"/>
      <c r="VKW230" s="47"/>
      <c r="VKX230" s="47"/>
      <c r="VKY230" s="47"/>
      <c r="VKZ230" s="47"/>
      <c r="VLA230" s="47"/>
      <c r="VLB230" s="47"/>
      <c r="VLC230" s="47"/>
      <c r="VLD230" s="47"/>
      <c r="VLE230" s="47"/>
      <c r="VLF230" s="47"/>
      <c r="VLG230" s="47"/>
      <c r="VLH230" s="47"/>
      <c r="VLI230" s="47"/>
      <c r="VLJ230" s="47"/>
      <c r="VLK230" s="47"/>
      <c r="VLL230" s="47"/>
      <c r="VLM230" s="47"/>
      <c r="VLN230" s="47"/>
      <c r="VLO230" s="47"/>
      <c r="VLP230" s="47"/>
      <c r="VLQ230" s="47"/>
      <c r="VLR230" s="47"/>
      <c r="VLS230" s="47"/>
      <c r="VLT230" s="47"/>
      <c r="VLU230" s="47"/>
      <c r="VLV230" s="47"/>
      <c r="VLW230" s="47"/>
      <c r="VLX230" s="47"/>
      <c r="VLY230" s="47"/>
      <c r="VLZ230" s="47"/>
      <c r="VMA230" s="47"/>
      <c r="VMB230" s="47"/>
      <c r="VMC230" s="47"/>
      <c r="VMD230" s="47"/>
      <c r="VME230" s="47"/>
      <c r="VMF230" s="47"/>
      <c r="VMG230" s="47"/>
      <c r="VMH230" s="47"/>
      <c r="VMI230" s="47"/>
      <c r="VMJ230" s="47"/>
      <c r="VMK230" s="47"/>
      <c r="VML230" s="47"/>
      <c r="VMM230" s="47"/>
      <c r="VMN230" s="47"/>
      <c r="VMO230" s="47"/>
      <c r="VMP230" s="47"/>
      <c r="VMQ230" s="47"/>
      <c r="VMR230" s="47"/>
      <c r="VMS230" s="47"/>
      <c r="VMT230" s="47"/>
      <c r="VMU230" s="47"/>
      <c r="VMV230" s="47"/>
      <c r="VMW230" s="47"/>
      <c r="VMX230" s="47"/>
      <c r="VMY230" s="47"/>
      <c r="VMZ230" s="47"/>
      <c r="VNA230" s="47"/>
      <c r="VNB230" s="47"/>
      <c r="VNC230" s="47"/>
      <c r="VND230" s="47"/>
      <c r="VNE230" s="47"/>
      <c r="VNF230" s="47"/>
      <c r="VNG230" s="47"/>
      <c r="VNH230" s="47"/>
      <c r="VNI230" s="47"/>
      <c r="VNJ230" s="47"/>
      <c r="VNK230" s="47"/>
      <c r="VNL230" s="47"/>
      <c r="VNM230" s="47"/>
      <c r="VNN230" s="47"/>
      <c r="VNO230" s="47"/>
      <c r="VNP230" s="47"/>
      <c r="VNQ230" s="47"/>
      <c r="VNR230" s="47"/>
      <c r="VNS230" s="47"/>
      <c r="VNT230" s="47"/>
      <c r="VNU230" s="47"/>
      <c r="VNV230" s="47"/>
      <c r="VNW230" s="47"/>
      <c r="VNX230" s="47"/>
      <c r="VNY230" s="47"/>
      <c r="VNZ230" s="47"/>
      <c r="VOA230" s="47"/>
      <c r="VOB230" s="47"/>
      <c r="VOC230" s="47"/>
      <c r="VOD230" s="47"/>
      <c r="VOE230" s="47"/>
      <c r="VOF230" s="47"/>
      <c r="VOG230" s="47"/>
      <c r="VOH230" s="47"/>
      <c r="VOI230" s="47"/>
      <c r="VOJ230" s="47"/>
      <c r="VOK230" s="47"/>
      <c r="VOL230" s="47"/>
      <c r="VOM230" s="47"/>
      <c r="VON230" s="47"/>
      <c r="VOO230" s="47"/>
      <c r="VOP230" s="47"/>
      <c r="VOQ230" s="47"/>
      <c r="VOR230" s="47"/>
      <c r="VOS230" s="47"/>
      <c r="VOT230" s="47"/>
      <c r="VOU230" s="47"/>
      <c r="VOV230" s="47"/>
      <c r="VOW230" s="47"/>
      <c r="VOX230" s="47"/>
      <c r="VOY230" s="47"/>
      <c r="VOZ230" s="47"/>
      <c r="VPA230" s="47"/>
      <c r="VPB230" s="47"/>
      <c r="VPC230" s="47"/>
      <c r="VPD230" s="47"/>
      <c r="VPE230" s="47"/>
      <c r="VPF230" s="47"/>
      <c r="VPG230" s="47"/>
      <c r="VPH230" s="47"/>
      <c r="VPI230" s="47"/>
      <c r="VPJ230" s="47"/>
      <c r="VPK230" s="47"/>
      <c r="VPL230" s="47"/>
      <c r="VPM230" s="47"/>
      <c r="VPN230" s="47"/>
      <c r="VPO230" s="47"/>
      <c r="VPP230" s="47"/>
      <c r="VPQ230" s="47"/>
      <c r="VPR230" s="47"/>
      <c r="VPS230" s="47"/>
      <c r="VPT230" s="47"/>
      <c r="VPU230" s="47"/>
      <c r="VPV230" s="47"/>
      <c r="VPW230" s="47"/>
      <c r="VPX230" s="47"/>
      <c r="VPY230" s="47"/>
      <c r="VPZ230" s="47"/>
      <c r="VQA230" s="47"/>
      <c r="VQB230" s="47"/>
      <c r="VQC230" s="47"/>
      <c r="VQD230" s="47"/>
      <c r="VQE230" s="47"/>
      <c r="VQF230" s="47"/>
      <c r="VQG230" s="47"/>
      <c r="VQH230" s="47"/>
      <c r="VQI230" s="47"/>
      <c r="VQJ230" s="47"/>
      <c r="VQK230" s="47"/>
      <c r="VQL230" s="47"/>
      <c r="VQM230" s="47"/>
      <c r="VQN230" s="47"/>
      <c r="VQO230" s="47"/>
      <c r="VQP230" s="47"/>
      <c r="VQQ230" s="47"/>
      <c r="VQR230" s="47"/>
      <c r="VQS230" s="47"/>
      <c r="VQT230" s="47"/>
      <c r="VQU230" s="47"/>
      <c r="VQV230" s="47"/>
      <c r="VQW230" s="47"/>
      <c r="VQX230" s="47"/>
      <c r="VQY230" s="47"/>
      <c r="VQZ230" s="47"/>
      <c r="VRA230" s="47"/>
      <c r="VRB230" s="47"/>
      <c r="VRC230" s="47"/>
      <c r="VRD230" s="47"/>
      <c r="VRE230" s="47"/>
      <c r="VRF230" s="47"/>
      <c r="VRG230" s="47"/>
      <c r="VRH230" s="47"/>
      <c r="VRI230" s="47"/>
      <c r="VRJ230" s="47"/>
      <c r="VRK230" s="47"/>
      <c r="VRL230" s="47"/>
      <c r="VRM230" s="47"/>
      <c r="VRN230" s="47"/>
      <c r="VRO230" s="47"/>
      <c r="VRP230" s="47"/>
      <c r="VRQ230" s="47"/>
      <c r="VRR230" s="47"/>
      <c r="VRS230" s="47"/>
      <c r="VRT230" s="47"/>
      <c r="VRU230" s="47"/>
      <c r="VRV230" s="47"/>
      <c r="VRW230" s="47"/>
      <c r="VRX230" s="47"/>
      <c r="VRY230" s="47"/>
      <c r="VRZ230" s="47"/>
      <c r="VSA230" s="47"/>
      <c r="VSB230" s="47"/>
      <c r="VSC230" s="47"/>
      <c r="VSD230" s="47"/>
      <c r="VSE230" s="47"/>
      <c r="VSF230" s="47"/>
      <c r="VSG230" s="47"/>
      <c r="VSH230" s="47"/>
      <c r="VSI230" s="47"/>
      <c r="VSJ230" s="47"/>
      <c r="VSK230" s="47"/>
      <c r="VSL230" s="47"/>
      <c r="VSM230" s="47"/>
      <c r="VSN230" s="47"/>
      <c r="VSO230" s="47"/>
      <c r="VSP230" s="47"/>
      <c r="VSQ230" s="47"/>
      <c r="VSR230" s="47"/>
      <c r="VSS230" s="47"/>
      <c r="VST230" s="47"/>
      <c r="VSU230" s="47"/>
      <c r="VSV230" s="47"/>
      <c r="VSW230" s="47"/>
      <c r="VSX230" s="47"/>
      <c r="VSY230" s="47"/>
      <c r="VSZ230" s="47"/>
      <c r="VTA230" s="47"/>
      <c r="VTB230" s="47"/>
      <c r="VTC230" s="47"/>
      <c r="VTD230" s="47"/>
      <c r="VTE230" s="47"/>
      <c r="VTF230" s="47"/>
      <c r="VTG230" s="47"/>
      <c r="VTH230" s="47"/>
      <c r="VTI230" s="47"/>
      <c r="VTJ230" s="47"/>
      <c r="VTK230" s="47"/>
      <c r="VTL230" s="47"/>
      <c r="VTM230" s="47"/>
      <c r="VTN230" s="47"/>
      <c r="VTO230" s="47"/>
      <c r="VTP230" s="47"/>
      <c r="VTQ230" s="47"/>
      <c r="VTR230" s="47"/>
      <c r="VTS230" s="47"/>
      <c r="VTT230" s="47"/>
      <c r="VTU230" s="47"/>
      <c r="VTV230" s="47"/>
      <c r="VTW230" s="47"/>
      <c r="VTX230" s="47"/>
      <c r="VTY230" s="47"/>
      <c r="VTZ230" s="47"/>
      <c r="VUA230" s="47"/>
      <c r="VUB230" s="47"/>
      <c r="VUC230" s="47"/>
      <c r="VUD230" s="47"/>
      <c r="VUE230" s="47"/>
      <c r="VUF230" s="47"/>
      <c r="VUG230" s="47"/>
      <c r="VUH230" s="47"/>
      <c r="VUI230" s="47"/>
      <c r="VUJ230" s="47"/>
      <c r="VUK230" s="47"/>
      <c r="VUL230" s="47"/>
      <c r="VUM230" s="47"/>
      <c r="VUN230" s="47"/>
      <c r="VUO230" s="47"/>
      <c r="VUP230" s="47"/>
      <c r="VUQ230" s="47"/>
      <c r="VUR230" s="47"/>
      <c r="VUS230" s="47"/>
      <c r="VUT230" s="47"/>
      <c r="VUU230" s="47"/>
      <c r="VUV230" s="47"/>
      <c r="VUW230" s="47"/>
      <c r="VUX230" s="47"/>
      <c r="VUY230" s="47"/>
      <c r="VUZ230" s="47"/>
      <c r="VVA230" s="47"/>
      <c r="VVB230" s="47"/>
      <c r="VVC230" s="47"/>
      <c r="VVD230" s="47"/>
      <c r="VVE230" s="47"/>
      <c r="VVF230" s="47"/>
      <c r="VVG230" s="47"/>
      <c r="VVH230" s="47"/>
      <c r="VVI230" s="47"/>
      <c r="VVJ230" s="47"/>
      <c r="VVK230" s="47"/>
      <c r="VVL230" s="47"/>
    </row>
    <row r="231" spans="3:98 15064:15456" s="2" customFormat="1" ht="15.75" thickBot="1" x14ac:dyDescent="0.3">
      <c r="C231" s="40"/>
      <c r="D231" s="41" t="s">
        <v>1</v>
      </c>
      <c r="E231" s="267">
        <v>1460.001</v>
      </c>
      <c r="F231" s="25" t="s">
        <v>19</v>
      </c>
      <c r="G231" s="304">
        <f>G228+G230</f>
        <v>1228.1882000000001</v>
      </c>
      <c r="H231" s="304">
        <f t="shared" ref="H231:AJ231" si="66">H228+H230</f>
        <v>948.60379999999998</v>
      </c>
      <c r="I231" s="304">
        <f t="shared" si="66"/>
        <v>1178.2515000000001</v>
      </c>
      <c r="J231" s="304">
        <f t="shared" si="66"/>
        <v>1251.7496000000001</v>
      </c>
      <c r="K231" s="304">
        <f t="shared" si="66"/>
        <v>1035.2738999999999</v>
      </c>
      <c r="L231" s="304">
        <f t="shared" si="66"/>
        <v>1028.0073</v>
      </c>
      <c r="M231" s="304">
        <f>M228+M230</f>
        <v>1066.9277</v>
      </c>
      <c r="N231" s="304">
        <f>N228+N230</f>
        <v>1055.7090000000001</v>
      </c>
      <c r="O231" s="304">
        <f t="shared" si="66"/>
        <v>989.68600000000004</v>
      </c>
      <c r="P231" s="304">
        <f t="shared" si="66"/>
        <v>1209.6971000000001</v>
      </c>
      <c r="Q231" s="304">
        <f t="shared" si="66"/>
        <v>1229.0401999999999</v>
      </c>
      <c r="R231" s="304">
        <f t="shared" si="66"/>
        <v>1142.8036</v>
      </c>
      <c r="S231" s="304">
        <f>S228+S230</f>
        <v>1062.6962000000001</v>
      </c>
      <c r="T231" s="304">
        <f t="shared" si="66"/>
        <v>1005.346</v>
      </c>
      <c r="U231" s="304">
        <f t="shared" si="66"/>
        <v>1203.0278000000001</v>
      </c>
      <c r="V231" s="304">
        <f t="shared" si="66"/>
        <v>971.34640000000002</v>
      </c>
      <c r="W231" s="304">
        <f t="shared" si="66"/>
        <v>765.40000000000009</v>
      </c>
      <c r="X231" s="304">
        <f t="shared" si="66"/>
        <v>1272.6369999999999</v>
      </c>
      <c r="Y231" s="304">
        <f t="shared" si="66"/>
        <v>1232.1777999999999</v>
      </c>
      <c r="Z231" s="304">
        <f t="shared" si="66"/>
        <v>1188.7075</v>
      </c>
      <c r="AA231" s="304">
        <f t="shared" si="66"/>
        <v>1110.6973</v>
      </c>
      <c r="AB231" s="304">
        <f t="shared" si="66"/>
        <v>796.77739999999994</v>
      </c>
      <c r="AC231" s="304">
        <f t="shared" si="66"/>
        <v>522.95929999999998</v>
      </c>
      <c r="AD231" s="304">
        <f t="shared" si="66"/>
        <v>47.841000000000001</v>
      </c>
      <c r="AE231" s="304">
        <f t="shared" si="66"/>
        <v>1127.3233</v>
      </c>
      <c r="AF231" s="304">
        <f t="shared" si="66"/>
        <v>1282.3987</v>
      </c>
      <c r="AG231" s="304">
        <f t="shared" si="66"/>
        <v>1439.4946</v>
      </c>
      <c r="AH231" s="304">
        <f t="shared" si="66"/>
        <v>1329.0091</v>
      </c>
      <c r="AI231" s="304">
        <f t="shared" si="66"/>
        <v>1282.6255000000001</v>
      </c>
      <c r="AJ231" s="304">
        <f t="shared" si="66"/>
        <v>1129.9463000000001</v>
      </c>
      <c r="AK231" s="304">
        <f>AK228+AK230</f>
        <v>0</v>
      </c>
      <c r="AM231" s="120">
        <f>SUM(G231:AK231)</f>
        <v>32134.349099999996</v>
      </c>
      <c r="CT231" s="155"/>
    </row>
    <row r="232" spans="3:98 15064:15456" s="2" customFormat="1" x14ac:dyDescent="0.25">
      <c r="C232" s="8">
        <v>5</v>
      </c>
      <c r="D232" s="121" t="s">
        <v>18</v>
      </c>
      <c r="E232" s="122"/>
      <c r="F232" s="122"/>
      <c r="G232" s="305"/>
      <c r="H232" s="305"/>
      <c r="I232" s="305"/>
      <c r="J232" s="305"/>
      <c r="K232" s="305"/>
      <c r="L232" s="305"/>
      <c r="M232" s="305"/>
      <c r="N232" s="305"/>
      <c r="O232" s="305"/>
      <c r="P232" s="305"/>
      <c r="Q232" s="305"/>
      <c r="R232" s="305"/>
      <c r="S232" s="305"/>
      <c r="T232" s="305"/>
      <c r="U232" s="305"/>
      <c r="V232" s="305"/>
      <c r="W232" s="305"/>
      <c r="X232" s="305"/>
      <c r="Y232" s="305"/>
      <c r="Z232" s="305"/>
      <c r="AA232" s="305"/>
      <c r="AB232" s="305"/>
      <c r="AC232" s="305"/>
      <c r="AD232" s="305"/>
      <c r="AE232" s="305"/>
      <c r="AF232" s="305"/>
      <c r="AG232" s="305"/>
      <c r="AH232" s="305"/>
      <c r="AI232" s="305"/>
      <c r="AJ232" s="305"/>
      <c r="AK232" s="305"/>
      <c r="AM232" s="140" t="s">
        <v>133</v>
      </c>
      <c r="CT232" s="155"/>
    </row>
    <row r="233" spans="3:98 15064:15456" s="2" customFormat="1" x14ac:dyDescent="0.25">
      <c r="C233" s="8"/>
      <c r="D233" s="241" t="s">
        <v>4</v>
      </c>
      <c r="E233" s="240">
        <v>408000</v>
      </c>
      <c r="F233" s="242" t="s">
        <v>14</v>
      </c>
      <c r="G233" s="306">
        <v>233767</v>
      </c>
      <c r="H233" s="306">
        <v>162397</v>
      </c>
      <c r="I233" s="306">
        <v>196131</v>
      </c>
      <c r="J233" s="306">
        <v>228078</v>
      </c>
      <c r="K233" s="306">
        <v>189240</v>
      </c>
      <c r="L233" s="306">
        <v>188204</v>
      </c>
      <c r="M233" s="306">
        <v>202069</v>
      </c>
      <c r="N233" s="306">
        <v>198338</v>
      </c>
      <c r="O233" s="306">
        <v>178057</v>
      </c>
      <c r="P233" s="306">
        <v>214863</v>
      </c>
      <c r="Q233" s="306">
        <v>228850</v>
      </c>
      <c r="R233" s="306">
        <v>206494</v>
      </c>
      <c r="S233" s="306">
        <v>187240</v>
      </c>
      <c r="T233" s="306">
        <v>173666</v>
      </c>
      <c r="U233" s="306">
        <v>206859</v>
      </c>
      <c r="V233" s="306">
        <v>176460</v>
      </c>
      <c r="W233" s="306">
        <v>108050</v>
      </c>
      <c r="X233" s="306">
        <v>219400</v>
      </c>
      <c r="Y233" s="306">
        <v>211450</v>
      </c>
      <c r="Z233" s="306">
        <v>222000</v>
      </c>
      <c r="AA233" s="306">
        <v>199633</v>
      </c>
      <c r="AB233" s="306">
        <v>112338</v>
      </c>
      <c r="AC233" s="306">
        <v>49917</v>
      </c>
      <c r="AD233" s="306">
        <f>0.394*1000</f>
        <v>394</v>
      </c>
      <c r="AE233" s="306">
        <v>164855</v>
      </c>
      <c r="AF233" s="306">
        <v>227626</v>
      </c>
      <c r="AG233" s="306">
        <v>275934</v>
      </c>
      <c r="AH233" s="306">
        <v>239908</v>
      </c>
      <c r="AI233" s="306">
        <v>243421</v>
      </c>
      <c r="AJ233" s="306">
        <v>224634</v>
      </c>
      <c r="AK233" s="306"/>
      <c r="AM233" s="848">
        <f>SUM(G233:AK233)</f>
        <v>5670273</v>
      </c>
      <c r="AN233" s="27">
        <f>AM233/AM9*1000</f>
        <v>235.80656309143737</v>
      </c>
      <c r="CT233" s="155"/>
    </row>
    <row r="234" spans="3:98 15064:15456" s="2" customFormat="1" x14ac:dyDescent="0.25">
      <c r="C234" s="8"/>
      <c r="D234" s="30" t="s">
        <v>17</v>
      </c>
      <c r="E234" s="268"/>
      <c r="F234" s="13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289"/>
      <c r="W234" s="289"/>
      <c r="X234" s="289"/>
      <c r="Y234" s="289"/>
      <c r="Z234" s="289"/>
      <c r="AA234" s="289"/>
      <c r="AB234" s="289"/>
      <c r="AC234" s="289"/>
      <c r="AD234" s="289"/>
      <c r="AE234" s="289"/>
      <c r="AF234" s="289"/>
      <c r="AG234" s="289"/>
      <c r="AH234" s="289"/>
      <c r="AI234" s="289"/>
      <c r="AJ234" s="289"/>
      <c r="AK234" s="289"/>
      <c r="AM234" s="123" t="s">
        <v>17</v>
      </c>
      <c r="CT234" s="155"/>
    </row>
    <row r="235" spans="3:98 15064:15456" s="1" customFormat="1" x14ac:dyDescent="0.25">
      <c r="C235" s="15"/>
      <c r="D235" s="241" t="s">
        <v>16</v>
      </c>
      <c r="E235" s="240">
        <f>180000</f>
        <v>180000</v>
      </c>
      <c r="F235" s="242" t="s">
        <v>364</v>
      </c>
      <c r="G235" s="282">
        <v>135500</v>
      </c>
      <c r="H235" s="282">
        <v>133600</v>
      </c>
      <c r="I235" s="282">
        <f>155200-25000</f>
        <v>130200</v>
      </c>
      <c r="J235" s="282">
        <f>155800-5000</f>
        <v>150800</v>
      </c>
      <c r="K235" s="282">
        <v>138100</v>
      </c>
      <c r="L235" s="282">
        <f>152400-25000</f>
        <v>127400</v>
      </c>
      <c r="M235" s="282">
        <f>151400-16000</f>
        <v>135400</v>
      </c>
      <c r="N235" s="282">
        <v>129500</v>
      </c>
      <c r="O235" s="282">
        <f>158300-17000</f>
        <v>141300</v>
      </c>
      <c r="P235" s="282">
        <f>153900-6000</f>
        <v>147900</v>
      </c>
      <c r="Q235" s="282">
        <v>152400</v>
      </c>
      <c r="R235" s="282">
        <v>146700</v>
      </c>
      <c r="S235" s="282">
        <v>137400</v>
      </c>
      <c r="T235" s="282">
        <f>141300-20000</f>
        <v>121300</v>
      </c>
      <c r="U235" s="282">
        <v>158000</v>
      </c>
      <c r="V235" s="282">
        <f>117700-7000</f>
        <v>110700</v>
      </c>
      <c r="W235" s="282">
        <f>120100-14000</f>
        <v>106100</v>
      </c>
      <c r="X235" s="282">
        <v>153900</v>
      </c>
      <c r="Y235" s="282">
        <v>158500</v>
      </c>
      <c r="Z235" s="282">
        <v>150100</v>
      </c>
      <c r="AA235" s="282">
        <f>145700-20000</f>
        <v>125700</v>
      </c>
      <c r="AB235" s="282">
        <f>93900-15000</f>
        <v>78900</v>
      </c>
      <c r="AC235" s="282">
        <f>59400-17000</f>
        <v>42400</v>
      </c>
      <c r="AD235" s="282">
        <v>394</v>
      </c>
      <c r="AE235" s="282">
        <f>159500-24000</f>
        <v>135500</v>
      </c>
      <c r="AF235" s="282">
        <f>165300-12000</f>
        <v>153300</v>
      </c>
      <c r="AG235" s="282">
        <v>163500</v>
      </c>
      <c r="AH235" s="282">
        <f>168500-13000</f>
        <v>155500</v>
      </c>
      <c r="AI235" s="282">
        <v>169100</v>
      </c>
      <c r="AJ235" s="282">
        <v>138900</v>
      </c>
      <c r="AK235" s="282"/>
      <c r="AM235" s="848">
        <f>SUM(G235:AK235)</f>
        <v>3927994</v>
      </c>
      <c r="AR235" s="3"/>
      <c r="CT235" s="145"/>
      <c r="VGJ235" s="47"/>
      <c r="VGK235" s="47"/>
      <c r="VGL235" s="47"/>
      <c r="VGM235" s="47"/>
      <c r="VGN235" s="47"/>
      <c r="VGO235" s="47"/>
      <c r="VGP235" s="47"/>
      <c r="VGQ235" s="47"/>
      <c r="VGR235" s="47"/>
      <c r="VGS235" s="47"/>
      <c r="VGT235" s="47"/>
      <c r="VGU235" s="47"/>
      <c r="VGV235" s="47"/>
      <c r="VGW235" s="47"/>
      <c r="VGX235" s="47"/>
      <c r="VGY235" s="47"/>
      <c r="VGZ235" s="47"/>
      <c r="VHA235" s="47"/>
      <c r="VHB235" s="47"/>
      <c r="VHC235" s="47"/>
      <c r="VHD235" s="47"/>
      <c r="VHE235" s="47"/>
      <c r="VHF235" s="47"/>
      <c r="VHG235" s="47"/>
      <c r="VHH235" s="47"/>
      <c r="VHI235" s="47"/>
      <c r="VHJ235" s="47"/>
      <c r="VHK235" s="47"/>
      <c r="VHL235" s="47"/>
      <c r="VHM235" s="47"/>
      <c r="VHN235" s="47"/>
      <c r="VHO235" s="47"/>
      <c r="VHP235" s="47"/>
      <c r="VHQ235" s="47"/>
      <c r="VHR235" s="47"/>
      <c r="VHS235" s="47"/>
      <c r="VHT235" s="47"/>
      <c r="VHU235" s="47"/>
      <c r="VHV235" s="47"/>
      <c r="VHW235" s="47"/>
      <c r="VHX235" s="47"/>
      <c r="VHY235" s="47"/>
      <c r="VHZ235" s="47"/>
      <c r="VIA235" s="47"/>
      <c r="VIB235" s="47"/>
      <c r="VIC235" s="47"/>
      <c r="VID235" s="47"/>
      <c r="VIE235" s="47"/>
      <c r="VIF235" s="47"/>
      <c r="VIG235" s="47"/>
      <c r="VIH235" s="47"/>
      <c r="VII235" s="47"/>
      <c r="VIJ235" s="47"/>
      <c r="VIK235" s="47"/>
      <c r="VIL235" s="47"/>
      <c r="VIM235" s="47"/>
      <c r="VIN235" s="47"/>
      <c r="VIO235" s="47"/>
      <c r="VIP235" s="47"/>
      <c r="VIQ235" s="47"/>
      <c r="VIR235" s="47"/>
      <c r="VIS235" s="47"/>
      <c r="VIT235" s="47"/>
      <c r="VIU235" s="47"/>
      <c r="VIV235" s="47"/>
      <c r="VIW235" s="47"/>
      <c r="VIX235" s="47"/>
      <c r="VIY235" s="47"/>
      <c r="VIZ235" s="47"/>
      <c r="VJA235" s="47"/>
      <c r="VJB235" s="47"/>
      <c r="VJC235" s="47"/>
      <c r="VJD235" s="47"/>
      <c r="VJE235" s="47"/>
      <c r="VJF235" s="47"/>
      <c r="VJG235" s="47"/>
      <c r="VJH235" s="47"/>
      <c r="VJI235" s="47"/>
      <c r="VJJ235" s="47"/>
      <c r="VJK235" s="47"/>
      <c r="VJL235" s="47"/>
      <c r="VJM235" s="47"/>
      <c r="VJN235" s="47"/>
      <c r="VJO235" s="47"/>
      <c r="VJP235" s="47"/>
      <c r="VJQ235" s="47"/>
      <c r="VJR235" s="47"/>
      <c r="VJS235" s="47"/>
      <c r="VJT235" s="47"/>
      <c r="VJU235" s="47"/>
      <c r="VJV235" s="47"/>
      <c r="VJW235" s="47"/>
      <c r="VJX235" s="47"/>
      <c r="VJY235" s="47"/>
      <c r="VJZ235" s="47"/>
      <c r="VKA235" s="47"/>
      <c r="VKB235" s="47"/>
      <c r="VKC235" s="47"/>
      <c r="VKD235" s="47"/>
      <c r="VKE235" s="47"/>
      <c r="VKF235" s="47"/>
      <c r="VKG235" s="47"/>
      <c r="VKH235" s="47"/>
      <c r="VKI235" s="47"/>
      <c r="VKJ235" s="47"/>
      <c r="VKK235" s="47"/>
      <c r="VKL235" s="47"/>
      <c r="VKM235" s="47"/>
      <c r="VKN235" s="47"/>
      <c r="VKO235" s="47"/>
      <c r="VKP235" s="47"/>
      <c r="VKQ235" s="47"/>
      <c r="VKR235" s="47"/>
      <c r="VKS235" s="47"/>
      <c r="VKT235" s="47"/>
      <c r="VKU235" s="47"/>
      <c r="VKV235" s="47"/>
      <c r="VKW235" s="47"/>
      <c r="VKX235" s="47"/>
      <c r="VKY235" s="47"/>
      <c r="VKZ235" s="47"/>
      <c r="VLA235" s="47"/>
      <c r="VLB235" s="47"/>
      <c r="VLC235" s="47"/>
      <c r="VLD235" s="47"/>
      <c r="VLE235" s="47"/>
      <c r="VLF235" s="47"/>
      <c r="VLG235" s="47"/>
      <c r="VLH235" s="47"/>
      <c r="VLI235" s="47"/>
      <c r="VLJ235" s="47"/>
      <c r="VLK235" s="47"/>
      <c r="VLL235" s="47"/>
      <c r="VLM235" s="47"/>
      <c r="VLN235" s="47"/>
      <c r="VLO235" s="47"/>
      <c r="VLP235" s="47"/>
      <c r="VLQ235" s="47"/>
      <c r="VLR235" s="47"/>
      <c r="VLS235" s="47"/>
      <c r="VLT235" s="47"/>
      <c r="VLU235" s="47"/>
      <c r="VLV235" s="47"/>
      <c r="VLW235" s="47"/>
      <c r="VLX235" s="47"/>
      <c r="VLY235" s="47"/>
      <c r="VLZ235" s="47"/>
      <c r="VMA235" s="47"/>
      <c r="VMB235" s="47"/>
      <c r="VMC235" s="47"/>
      <c r="VMD235" s="47"/>
      <c r="VME235" s="47"/>
      <c r="VMF235" s="47"/>
      <c r="VMG235" s="47"/>
      <c r="VMH235" s="47"/>
      <c r="VMI235" s="47"/>
      <c r="VMJ235" s="47"/>
      <c r="VMK235" s="47"/>
      <c r="VML235" s="47"/>
      <c r="VMM235" s="47"/>
      <c r="VMN235" s="47"/>
      <c r="VMO235" s="47"/>
      <c r="VMP235" s="47"/>
      <c r="VMQ235" s="47"/>
      <c r="VMR235" s="47"/>
      <c r="VMS235" s="47"/>
      <c r="VMT235" s="47"/>
      <c r="VMU235" s="47"/>
      <c r="VMV235" s="47"/>
      <c r="VMW235" s="47"/>
      <c r="VMX235" s="47"/>
      <c r="VMY235" s="47"/>
      <c r="VMZ235" s="47"/>
      <c r="VNA235" s="47"/>
      <c r="VNB235" s="47"/>
      <c r="VNC235" s="47"/>
      <c r="VND235" s="47"/>
      <c r="VNE235" s="47"/>
      <c r="VNF235" s="47"/>
      <c r="VNG235" s="47"/>
      <c r="VNH235" s="47"/>
      <c r="VNI235" s="47"/>
      <c r="VNJ235" s="47"/>
      <c r="VNK235" s="47"/>
      <c r="VNL235" s="47"/>
      <c r="VNM235" s="47"/>
      <c r="VNN235" s="47"/>
      <c r="VNO235" s="47"/>
      <c r="VNP235" s="47"/>
      <c r="VNQ235" s="47"/>
      <c r="VNR235" s="47"/>
      <c r="VNS235" s="47"/>
      <c r="VNT235" s="47"/>
      <c r="VNU235" s="47"/>
      <c r="VNV235" s="47"/>
      <c r="VNW235" s="47"/>
      <c r="VNX235" s="47"/>
      <c r="VNY235" s="47"/>
      <c r="VNZ235" s="47"/>
      <c r="VOA235" s="47"/>
      <c r="VOB235" s="47"/>
      <c r="VOC235" s="47"/>
      <c r="VOD235" s="47"/>
      <c r="VOE235" s="47"/>
      <c r="VOF235" s="47"/>
      <c r="VOG235" s="47"/>
      <c r="VOH235" s="47"/>
      <c r="VOI235" s="47"/>
      <c r="VOJ235" s="47"/>
      <c r="VOK235" s="47"/>
      <c r="VOL235" s="47"/>
      <c r="VOM235" s="47"/>
      <c r="VON235" s="47"/>
      <c r="VOO235" s="47"/>
      <c r="VOP235" s="47"/>
      <c r="VOQ235" s="47"/>
      <c r="VOR235" s="47"/>
      <c r="VOS235" s="47"/>
      <c r="VOT235" s="47"/>
      <c r="VOU235" s="47"/>
      <c r="VOV235" s="47"/>
      <c r="VOW235" s="47"/>
      <c r="VOX235" s="47"/>
      <c r="VOY235" s="47"/>
      <c r="VOZ235" s="47"/>
      <c r="VPA235" s="47"/>
      <c r="VPB235" s="47"/>
      <c r="VPC235" s="47"/>
      <c r="VPD235" s="47"/>
      <c r="VPE235" s="47"/>
      <c r="VPF235" s="47"/>
      <c r="VPG235" s="47"/>
      <c r="VPH235" s="47"/>
      <c r="VPI235" s="47"/>
      <c r="VPJ235" s="47"/>
      <c r="VPK235" s="47"/>
      <c r="VPL235" s="47"/>
      <c r="VPM235" s="47"/>
      <c r="VPN235" s="47"/>
      <c r="VPO235" s="47"/>
      <c r="VPP235" s="47"/>
      <c r="VPQ235" s="47"/>
      <c r="VPR235" s="47"/>
      <c r="VPS235" s="47"/>
      <c r="VPT235" s="47"/>
      <c r="VPU235" s="47"/>
      <c r="VPV235" s="47"/>
      <c r="VPW235" s="47"/>
      <c r="VPX235" s="47"/>
      <c r="VPY235" s="47"/>
      <c r="VPZ235" s="47"/>
      <c r="VQA235" s="47"/>
      <c r="VQB235" s="47"/>
      <c r="VQC235" s="47"/>
      <c r="VQD235" s="47"/>
      <c r="VQE235" s="47"/>
      <c r="VQF235" s="47"/>
      <c r="VQG235" s="47"/>
      <c r="VQH235" s="47"/>
      <c r="VQI235" s="47"/>
      <c r="VQJ235" s="47"/>
      <c r="VQK235" s="47"/>
      <c r="VQL235" s="47"/>
      <c r="VQM235" s="47"/>
      <c r="VQN235" s="47"/>
      <c r="VQO235" s="47"/>
      <c r="VQP235" s="47"/>
      <c r="VQQ235" s="47"/>
      <c r="VQR235" s="47"/>
      <c r="VQS235" s="47"/>
      <c r="VQT235" s="47"/>
      <c r="VQU235" s="47"/>
      <c r="VQV235" s="47"/>
      <c r="VQW235" s="47"/>
      <c r="VQX235" s="47"/>
      <c r="VQY235" s="47"/>
      <c r="VQZ235" s="47"/>
      <c r="VRA235" s="47"/>
      <c r="VRB235" s="47"/>
      <c r="VRC235" s="47"/>
      <c r="VRD235" s="47"/>
      <c r="VRE235" s="47"/>
      <c r="VRF235" s="47"/>
      <c r="VRG235" s="47"/>
      <c r="VRH235" s="47"/>
      <c r="VRI235" s="47"/>
      <c r="VRJ235" s="47"/>
      <c r="VRK235" s="47"/>
      <c r="VRL235" s="47"/>
      <c r="VRM235" s="47"/>
      <c r="VRN235" s="47"/>
      <c r="VRO235" s="47"/>
      <c r="VRP235" s="47"/>
      <c r="VRQ235" s="47"/>
      <c r="VRR235" s="47"/>
      <c r="VRS235" s="47"/>
      <c r="VRT235" s="47"/>
      <c r="VRU235" s="47"/>
      <c r="VRV235" s="47"/>
      <c r="VRW235" s="47"/>
      <c r="VRX235" s="47"/>
      <c r="VRY235" s="47"/>
      <c r="VRZ235" s="47"/>
      <c r="VSA235" s="47"/>
      <c r="VSB235" s="47"/>
      <c r="VSC235" s="47"/>
      <c r="VSD235" s="47"/>
      <c r="VSE235" s="47"/>
      <c r="VSF235" s="47"/>
      <c r="VSG235" s="47"/>
      <c r="VSH235" s="47"/>
      <c r="VSI235" s="47"/>
      <c r="VSJ235" s="47"/>
      <c r="VSK235" s="47"/>
      <c r="VSL235" s="47"/>
      <c r="VSM235" s="47"/>
      <c r="VSN235" s="47"/>
      <c r="VSO235" s="47"/>
      <c r="VSP235" s="47"/>
      <c r="VSQ235" s="47"/>
      <c r="VSR235" s="47"/>
      <c r="VSS235" s="47"/>
      <c r="VST235" s="47"/>
      <c r="VSU235" s="47"/>
      <c r="VSV235" s="47"/>
      <c r="VSW235" s="47"/>
      <c r="VSX235" s="47"/>
      <c r="VSY235" s="47"/>
      <c r="VSZ235" s="47"/>
      <c r="VTA235" s="47"/>
      <c r="VTB235" s="47"/>
      <c r="VTC235" s="47"/>
      <c r="VTD235" s="47"/>
      <c r="VTE235" s="47"/>
      <c r="VTF235" s="47"/>
      <c r="VTG235" s="47"/>
      <c r="VTH235" s="47"/>
      <c r="VTI235" s="47"/>
      <c r="VTJ235" s="47"/>
      <c r="VTK235" s="47"/>
      <c r="VTL235" s="47"/>
      <c r="VTM235" s="47"/>
      <c r="VTN235" s="47"/>
      <c r="VTO235" s="47"/>
      <c r="VTP235" s="47"/>
      <c r="VTQ235" s="47"/>
      <c r="VTR235" s="47"/>
      <c r="VTS235" s="47"/>
      <c r="VTT235" s="47"/>
      <c r="VTU235" s="47"/>
      <c r="VTV235" s="47"/>
      <c r="VTW235" s="47"/>
      <c r="VTX235" s="47"/>
      <c r="VTY235" s="47"/>
      <c r="VTZ235" s="47"/>
      <c r="VUA235" s="47"/>
      <c r="VUB235" s="47"/>
      <c r="VUC235" s="47"/>
      <c r="VUD235" s="47"/>
      <c r="VUE235" s="47"/>
      <c r="VUF235" s="47"/>
      <c r="VUG235" s="47"/>
      <c r="VUH235" s="47"/>
      <c r="VUI235" s="47"/>
      <c r="VUJ235" s="47"/>
      <c r="VUK235" s="47"/>
      <c r="VUL235" s="47"/>
      <c r="VUM235" s="47"/>
      <c r="VUN235" s="47"/>
      <c r="VUO235" s="47"/>
      <c r="VUP235" s="47"/>
      <c r="VUQ235" s="47"/>
      <c r="VUR235" s="47"/>
      <c r="VUS235" s="47"/>
      <c r="VUT235" s="47"/>
      <c r="VUU235" s="47"/>
      <c r="VUV235" s="47"/>
      <c r="VUW235" s="47"/>
      <c r="VUX235" s="47"/>
      <c r="VUY235" s="47"/>
      <c r="VUZ235" s="47"/>
      <c r="VVA235" s="47"/>
      <c r="VVB235" s="47"/>
      <c r="VVC235" s="47"/>
      <c r="VVD235" s="47"/>
      <c r="VVE235" s="47"/>
      <c r="VVF235" s="47"/>
      <c r="VVG235" s="47"/>
      <c r="VVH235" s="47"/>
      <c r="VVI235" s="47"/>
      <c r="VVJ235" s="47"/>
      <c r="VVK235" s="47"/>
      <c r="VVL235" s="47"/>
    </row>
    <row r="236" spans="3:98 15064:15456" s="1" customFormat="1" x14ac:dyDescent="0.25">
      <c r="C236" s="15"/>
      <c r="D236" s="14"/>
      <c r="E236" s="240">
        <f>E235/2000</f>
        <v>90</v>
      </c>
      <c r="F236" s="20" t="s">
        <v>365</v>
      </c>
      <c r="G236" s="33">
        <f t="shared" ref="G236:AK236" si="67">G235/G9*1000</f>
        <v>416.58468198140588</v>
      </c>
      <c r="H236" s="33">
        <f t="shared" si="67"/>
        <v>546.70747876188761</v>
      </c>
      <c r="I236" s="33">
        <f t="shared" si="67"/>
        <v>115.16070313481232</v>
      </c>
      <c r="J236" s="33">
        <f t="shared" si="67"/>
        <v>219.67712706602842</v>
      </c>
      <c r="K236" s="33">
        <f t="shared" si="67"/>
        <v>226.90751834484027</v>
      </c>
      <c r="L236" s="33">
        <f t="shared" si="67"/>
        <v>192.32685299525673</v>
      </c>
      <c r="M236" s="33">
        <f>M235/M9*1000</f>
        <v>221.08974055429189</v>
      </c>
      <c r="N236" s="33">
        <f>N235/N9*1000</f>
        <v>335.10503407979382</v>
      </c>
      <c r="O236" s="33">
        <f t="shared" si="67"/>
        <v>135.66176152908952</v>
      </c>
      <c r="P236" s="33">
        <f t="shared" si="67"/>
        <v>139.94960300300244</v>
      </c>
      <c r="Q236" s="33">
        <f t="shared" si="67"/>
        <v>142.72816839676184</v>
      </c>
      <c r="R236" s="33">
        <f t="shared" si="67"/>
        <v>209.03480636138372</v>
      </c>
      <c r="S236" s="33">
        <f>S235/S9*1000</f>
        <v>243.78127106916006</v>
      </c>
      <c r="T236" s="33">
        <f t="shared" si="67"/>
        <v>200.21093947291541</v>
      </c>
      <c r="U236" s="33">
        <f t="shared" si="67"/>
        <v>99.502550225171746</v>
      </c>
      <c r="V236" s="33" t="e">
        <f t="shared" si="67"/>
        <v>#DIV/0!</v>
      </c>
      <c r="W236" s="34">
        <f>W235/W9*1000</f>
        <v>246.67419941318974</v>
      </c>
      <c r="X236" s="33">
        <f t="shared" si="67"/>
        <v>133.34349943942013</v>
      </c>
      <c r="Y236" s="33">
        <f t="shared" si="67"/>
        <v>114.79941970160843</v>
      </c>
      <c r="Z236" s="33">
        <f t="shared" si="67"/>
        <v>159.89568963405085</v>
      </c>
      <c r="AA236" s="33">
        <f t="shared" si="67"/>
        <v>143.65402351263228</v>
      </c>
      <c r="AB236" s="33">
        <f t="shared" si="67"/>
        <v>1918.6809980059336</v>
      </c>
      <c r="AC236" s="33" t="e">
        <f t="shared" si="67"/>
        <v>#DIV/0!</v>
      </c>
      <c r="AD236" s="33" t="e">
        <f t="shared" si="67"/>
        <v>#DIV/0!</v>
      </c>
      <c r="AE236" s="33">
        <f t="shared" si="67"/>
        <v>154.00562376255627</v>
      </c>
      <c r="AF236" s="33">
        <f t="shared" si="67"/>
        <v>94.447090222539032</v>
      </c>
      <c r="AG236" s="33">
        <f t="shared" si="67"/>
        <v>99.151180990626415</v>
      </c>
      <c r="AH236" s="33">
        <f t="shared" si="67"/>
        <v>90.47920229345867</v>
      </c>
      <c r="AI236" s="33">
        <f t="shared" si="67"/>
        <v>110.6145485277995</v>
      </c>
      <c r="AJ236" s="33">
        <f t="shared" si="67"/>
        <v>254.75393960735983</v>
      </c>
      <c r="AK236" s="282" t="e">
        <f t="shared" si="67"/>
        <v>#DIV/0!</v>
      </c>
      <c r="AM236" s="1541">
        <f>AM235/AM9*1000</f>
        <v>163.35135274505964</v>
      </c>
      <c r="CT236" s="145"/>
      <c r="VGJ236" s="47"/>
      <c r="VGK236" s="47"/>
      <c r="VGL236" s="47"/>
      <c r="VGM236" s="47"/>
      <c r="VGN236" s="47"/>
      <c r="VGO236" s="47"/>
      <c r="VGP236" s="47"/>
      <c r="VGQ236" s="47"/>
      <c r="VGR236" s="47"/>
      <c r="VGS236" s="47"/>
      <c r="VGT236" s="47"/>
      <c r="VGU236" s="47"/>
      <c r="VGV236" s="47"/>
      <c r="VGW236" s="47"/>
      <c r="VGX236" s="47"/>
      <c r="VGY236" s="47"/>
      <c r="VGZ236" s="47"/>
      <c r="VHA236" s="47"/>
      <c r="VHB236" s="47"/>
      <c r="VHC236" s="47"/>
      <c r="VHD236" s="47"/>
      <c r="VHE236" s="47"/>
      <c r="VHF236" s="47"/>
      <c r="VHG236" s="47"/>
      <c r="VHH236" s="47"/>
      <c r="VHI236" s="47"/>
      <c r="VHJ236" s="47"/>
      <c r="VHK236" s="47"/>
      <c r="VHL236" s="47"/>
      <c r="VHM236" s="47"/>
      <c r="VHN236" s="47"/>
      <c r="VHO236" s="47"/>
      <c r="VHP236" s="47"/>
      <c r="VHQ236" s="47"/>
      <c r="VHR236" s="47"/>
      <c r="VHS236" s="47"/>
      <c r="VHT236" s="47"/>
      <c r="VHU236" s="47"/>
      <c r="VHV236" s="47"/>
      <c r="VHW236" s="47"/>
      <c r="VHX236" s="47"/>
      <c r="VHY236" s="47"/>
      <c r="VHZ236" s="47"/>
      <c r="VIA236" s="47"/>
      <c r="VIB236" s="47"/>
      <c r="VIC236" s="47"/>
      <c r="VID236" s="47"/>
      <c r="VIE236" s="47"/>
      <c r="VIF236" s="47"/>
      <c r="VIG236" s="47"/>
      <c r="VIH236" s="47"/>
      <c r="VII236" s="47"/>
      <c r="VIJ236" s="47"/>
      <c r="VIK236" s="47"/>
      <c r="VIL236" s="47"/>
      <c r="VIM236" s="47"/>
      <c r="VIN236" s="47"/>
      <c r="VIO236" s="47"/>
      <c r="VIP236" s="47"/>
      <c r="VIQ236" s="47"/>
      <c r="VIR236" s="47"/>
      <c r="VIS236" s="47"/>
      <c r="VIT236" s="47"/>
      <c r="VIU236" s="47"/>
      <c r="VIV236" s="47"/>
      <c r="VIW236" s="47"/>
      <c r="VIX236" s="47"/>
      <c r="VIY236" s="47"/>
      <c r="VIZ236" s="47"/>
      <c r="VJA236" s="47"/>
      <c r="VJB236" s="47"/>
      <c r="VJC236" s="47"/>
      <c r="VJD236" s="47"/>
      <c r="VJE236" s="47"/>
      <c r="VJF236" s="47"/>
      <c r="VJG236" s="47"/>
      <c r="VJH236" s="47"/>
      <c r="VJI236" s="47"/>
      <c r="VJJ236" s="47"/>
      <c r="VJK236" s="47"/>
      <c r="VJL236" s="47"/>
      <c r="VJM236" s="47"/>
      <c r="VJN236" s="47"/>
      <c r="VJO236" s="47"/>
      <c r="VJP236" s="47"/>
      <c r="VJQ236" s="47"/>
      <c r="VJR236" s="47"/>
      <c r="VJS236" s="47"/>
      <c r="VJT236" s="47"/>
      <c r="VJU236" s="47"/>
      <c r="VJV236" s="47"/>
      <c r="VJW236" s="47"/>
      <c r="VJX236" s="47"/>
      <c r="VJY236" s="47"/>
      <c r="VJZ236" s="47"/>
      <c r="VKA236" s="47"/>
      <c r="VKB236" s="47"/>
      <c r="VKC236" s="47"/>
      <c r="VKD236" s="47"/>
      <c r="VKE236" s="47"/>
      <c r="VKF236" s="47"/>
      <c r="VKG236" s="47"/>
      <c r="VKH236" s="47"/>
      <c r="VKI236" s="47"/>
      <c r="VKJ236" s="47"/>
      <c r="VKK236" s="47"/>
      <c r="VKL236" s="47"/>
      <c r="VKM236" s="47"/>
      <c r="VKN236" s="47"/>
      <c r="VKO236" s="47"/>
      <c r="VKP236" s="47"/>
      <c r="VKQ236" s="47"/>
      <c r="VKR236" s="47"/>
      <c r="VKS236" s="47"/>
      <c r="VKT236" s="47"/>
      <c r="VKU236" s="47"/>
      <c r="VKV236" s="47"/>
      <c r="VKW236" s="47"/>
      <c r="VKX236" s="47"/>
      <c r="VKY236" s="47"/>
      <c r="VKZ236" s="47"/>
      <c r="VLA236" s="47"/>
      <c r="VLB236" s="47"/>
      <c r="VLC236" s="47"/>
      <c r="VLD236" s="47"/>
      <c r="VLE236" s="47"/>
      <c r="VLF236" s="47"/>
      <c r="VLG236" s="47"/>
      <c r="VLH236" s="47"/>
      <c r="VLI236" s="47"/>
      <c r="VLJ236" s="47"/>
      <c r="VLK236" s="47"/>
      <c r="VLL236" s="47"/>
      <c r="VLM236" s="47"/>
      <c r="VLN236" s="47"/>
      <c r="VLO236" s="47"/>
      <c r="VLP236" s="47"/>
      <c r="VLQ236" s="47"/>
      <c r="VLR236" s="47"/>
      <c r="VLS236" s="47"/>
      <c r="VLT236" s="47"/>
      <c r="VLU236" s="47"/>
      <c r="VLV236" s="47"/>
      <c r="VLW236" s="47"/>
      <c r="VLX236" s="47"/>
      <c r="VLY236" s="47"/>
      <c r="VLZ236" s="47"/>
      <c r="VMA236" s="47"/>
      <c r="VMB236" s="47"/>
      <c r="VMC236" s="47"/>
      <c r="VMD236" s="47"/>
      <c r="VME236" s="47"/>
      <c r="VMF236" s="47"/>
      <c r="VMG236" s="47"/>
      <c r="VMH236" s="47"/>
      <c r="VMI236" s="47"/>
      <c r="VMJ236" s="47"/>
      <c r="VMK236" s="47"/>
      <c r="VML236" s="47"/>
      <c r="VMM236" s="47"/>
      <c r="VMN236" s="47"/>
      <c r="VMO236" s="47"/>
      <c r="VMP236" s="47"/>
      <c r="VMQ236" s="47"/>
      <c r="VMR236" s="47"/>
      <c r="VMS236" s="47"/>
      <c r="VMT236" s="47"/>
      <c r="VMU236" s="47"/>
      <c r="VMV236" s="47"/>
      <c r="VMW236" s="47"/>
      <c r="VMX236" s="47"/>
      <c r="VMY236" s="47"/>
      <c r="VMZ236" s="47"/>
      <c r="VNA236" s="47"/>
      <c r="VNB236" s="47"/>
      <c r="VNC236" s="47"/>
      <c r="VND236" s="47"/>
      <c r="VNE236" s="47"/>
      <c r="VNF236" s="47"/>
      <c r="VNG236" s="47"/>
      <c r="VNH236" s="47"/>
      <c r="VNI236" s="47"/>
      <c r="VNJ236" s="47"/>
      <c r="VNK236" s="47"/>
      <c r="VNL236" s="47"/>
      <c r="VNM236" s="47"/>
      <c r="VNN236" s="47"/>
      <c r="VNO236" s="47"/>
      <c r="VNP236" s="47"/>
      <c r="VNQ236" s="47"/>
      <c r="VNR236" s="47"/>
      <c r="VNS236" s="47"/>
      <c r="VNT236" s="47"/>
      <c r="VNU236" s="47"/>
      <c r="VNV236" s="47"/>
      <c r="VNW236" s="47"/>
      <c r="VNX236" s="47"/>
      <c r="VNY236" s="47"/>
      <c r="VNZ236" s="47"/>
      <c r="VOA236" s="47"/>
      <c r="VOB236" s="47"/>
      <c r="VOC236" s="47"/>
      <c r="VOD236" s="47"/>
      <c r="VOE236" s="47"/>
      <c r="VOF236" s="47"/>
      <c r="VOG236" s="47"/>
      <c r="VOH236" s="47"/>
      <c r="VOI236" s="47"/>
      <c r="VOJ236" s="47"/>
      <c r="VOK236" s="47"/>
      <c r="VOL236" s="47"/>
      <c r="VOM236" s="47"/>
      <c r="VON236" s="47"/>
      <c r="VOO236" s="47"/>
      <c r="VOP236" s="47"/>
      <c r="VOQ236" s="47"/>
      <c r="VOR236" s="47"/>
      <c r="VOS236" s="47"/>
      <c r="VOT236" s="47"/>
      <c r="VOU236" s="47"/>
      <c r="VOV236" s="47"/>
      <c r="VOW236" s="47"/>
      <c r="VOX236" s="47"/>
      <c r="VOY236" s="47"/>
      <c r="VOZ236" s="47"/>
      <c r="VPA236" s="47"/>
      <c r="VPB236" s="47"/>
      <c r="VPC236" s="47"/>
      <c r="VPD236" s="47"/>
      <c r="VPE236" s="47"/>
      <c r="VPF236" s="47"/>
      <c r="VPG236" s="47"/>
      <c r="VPH236" s="47"/>
      <c r="VPI236" s="47"/>
      <c r="VPJ236" s="47"/>
      <c r="VPK236" s="47"/>
      <c r="VPL236" s="47"/>
      <c r="VPM236" s="47"/>
      <c r="VPN236" s="47"/>
      <c r="VPO236" s="47"/>
      <c r="VPP236" s="47"/>
      <c r="VPQ236" s="47"/>
      <c r="VPR236" s="47"/>
      <c r="VPS236" s="47"/>
      <c r="VPT236" s="47"/>
      <c r="VPU236" s="47"/>
      <c r="VPV236" s="47"/>
      <c r="VPW236" s="47"/>
      <c r="VPX236" s="47"/>
      <c r="VPY236" s="47"/>
      <c r="VPZ236" s="47"/>
      <c r="VQA236" s="47"/>
      <c r="VQB236" s="47"/>
      <c r="VQC236" s="47"/>
      <c r="VQD236" s="47"/>
      <c r="VQE236" s="47"/>
      <c r="VQF236" s="47"/>
      <c r="VQG236" s="47"/>
      <c r="VQH236" s="47"/>
      <c r="VQI236" s="47"/>
      <c r="VQJ236" s="47"/>
      <c r="VQK236" s="47"/>
      <c r="VQL236" s="47"/>
      <c r="VQM236" s="47"/>
      <c r="VQN236" s="47"/>
      <c r="VQO236" s="47"/>
      <c r="VQP236" s="47"/>
      <c r="VQQ236" s="47"/>
      <c r="VQR236" s="47"/>
      <c r="VQS236" s="47"/>
      <c r="VQT236" s="47"/>
      <c r="VQU236" s="47"/>
      <c r="VQV236" s="47"/>
      <c r="VQW236" s="47"/>
      <c r="VQX236" s="47"/>
      <c r="VQY236" s="47"/>
      <c r="VQZ236" s="47"/>
      <c r="VRA236" s="47"/>
      <c r="VRB236" s="47"/>
      <c r="VRC236" s="47"/>
      <c r="VRD236" s="47"/>
      <c r="VRE236" s="47"/>
      <c r="VRF236" s="47"/>
      <c r="VRG236" s="47"/>
      <c r="VRH236" s="47"/>
      <c r="VRI236" s="47"/>
      <c r="VRJ236" s="47"/>
      <c r="VRK236" s="47"/>
      <c r="VRL236" s="47"/>
      <c r="VRM236" s="47"/>
      <c r="VRN236" s="47"/>
      <c r="VRO236" s="47"/>
      <c r="VRP236" s="47"/>
      <c r="VRQ236" s="47"/>
      <c r="VRR236" s="47"/>
      <c r="VRS236" s="47"/>
      <c r="VRT236" s="47"/>
      <c r="VRU236" s="47"/>
      <c r="VRV236" s="47"/>
      <c r="VRW236" s="47"/>
      <c r="VRX236" s="47"/>
      <c r="VRY236" s="47"/>
      <c r="VRZ236" s="47"/>
      <c r="VSA236" s="47"/>
      <c r="VSB236" s="47"/>
      <c r="VSC236" s="47"/>
      <c r="VSD236" s="47"/>
      <c r="VSE236" s="47"/>
      <c r="VSF236" s="47"/>
      <c r="VSG236" s="47"/>
      <c r="VSH236" s="47"/>
      <c r="VSI236" s="47"/>
      <c r="VSJ236" s="47"/>
      <c r="VSK236" s="47"/>
      <c r="VSL236" s="47"/>
      <c r="VSM236" s="47"/>
      <c r="VSN236" s="47"/>
      <c r="VSO236" s="47"/>
      <c r="VSP236" s="47"/>
      <c r="VSQ236" s="47"/>
      <c r="VSR236" s="47"/>
      <c r="VSS236" s="47"/>
      <c r="VST236" s="47"/>
      <c r="VSU236" s="47"/>
      <c r="VSV236" s="47"/>
      <c r="VSW236" s="47"/>
      <c r="VSX236" s="47"/>
      <c r="VSY236" s="47"/>
      <c r="VSZ236" s="47"/>
      <c r="VTA236" s="47"/>
      <c r="VTB236" s="47"/>
      <c r="VTC236" s="47"/>
      <c r="VTD236" s="47"/>
      <c r="VTE236" s="47"/>
      <c r="VTF236" s="47"/>
      <c r="VTG236" s="47"/>
      <c r="VTH236" s="47"/>
      <c r="VTI236" s="47"/>
      <c r="VTJ236" s="47"/>
      <c r="VTK236" s="47"/>
      <c r="VTL236" s="47"/>
      <c r="VTM236" s="47"/>
      <c r="VTN236" s="47"/>
      <c r="VTO236" s="47"/>
      <c r="VTP236" s="47"/>
      <c r="VTQ236" s="47"/>
      <c r="VTR236" s="47"/>
      <c r="VTS236" s="47"/>
      <c r="VTT236" s="47"/>
      <c r="VTU236" s="47"/>
      <c r="VTV236" s="47"/>
      <c r="VTW236" s="47"/>
      <c r="VTX236" s="47"/>
      <c r="VTY236" s="47"/>
      <c r="VTZ236" s="47"/>
      <c r="VUA236" s="47"/>
      <c r="VUB236" s="47"/>
      <c r="VUC236" s="47"/>
      <c r="VUD236" s="47"/>
      <c r="VUE236" s="47"/>
      <c r="VUF236" s="47"/>
      <c r="VUG236" s="47"/>
      <c r="VUH236" s="47"/>
      <c r="VUI236" s="47"/>
      <c r="VUJ236" s="47"/>
      <c r="VUK236" s="47"/>
      <c r="VUL236" s="47"/>
      <c r="VUM236" s="47"/>
      <c r="VUN236" s="47"/>
      <c r="VUO236" s="47"/>
      <c r="VUP236" s="47"/>
      <c r="VUQ236" s="47"/>
      <c r="VUR236" s="47"/>
      <c r="VUS236" s="47"/>
      <c r="VUT236" s="47"/>
      <c r="VUU236" s="47"/>
      <c r="VUV236" s="47"/>
      <c r="VUW236" s="47"/>
      <c r="VUX236" s="47"/>
      <c r="VUY236" s="47"/>
      <c r="VUZ236" s="47"/>
      <c r="VVA236" s="47"/>
      <c r="VVB236" s="47"/>
      <c r="VVC236" s="47"/>
      <c r="VVD236" s="47"/>
      <c r="VVE236" s="47"/>
      <c r="VVF236" s="47"/>
      <c r="VVG236" s="47"/>
      <c r="VVH236" s="47"/>
      <c r="VVI236" s="47"/>
      <c r="VVJ236" s="47"/>
      <c r="VVK236" s="47"/>
      <c r="VVL236" s="47"/>
    </row>
    <row r="237" spans="3:98 15064:15456" s="1" customFormat="1" x14ac:dyDescent="0.25">
      <c r="C237" s="15"/>
      <c r="D237" s="241" t="s">
        <v>15</v>
      </c>
      <c r="E237" s="240">
        <v>122000</v>
      </c>
      <c r="F237" s="242" t="s">
        <v>14</v>
      </c>
      <c r="G237" s="282">
        <v>82500</v>
      </c>
      <c r="H237" s="282">
        <v>24300</v>
      </c>
      <c r="I237" s="282">
        <v>65400</v>
      </c>
      <c r="J237" s="282">
        <v>74600</v>
      </c>
      <c r="K237" s="282">
        <f>69300-20000</f>
        <v>49300</v>
      </c>
      <c r="L237" s="282">
        <v>59400</v>
      </c>
      <c r="M237" s="282">
        <v>66000</v>
      </c>
      <c r="N237" s="282">
        <f>76800-9000</f>
        <v>67800</v>
      </c>
      <c r="O237" s="282">
        <v>35500</v>
      </c>
      <c r="P237" s="282">
        <v>65600</v>
      </c>
      <c r="Q237" s="282">
        <v>74200</v>
      </c>
      <c r="R237" s="282">
        <v>47900</v>
      </c>
      <c r="S237" s="282">
        <f>51900-3000</f>
        <v>48900</v>
      </c>
      <c r="T237" s="282">
        <v>52200</v>
      </c>
      <c r="U237" s="282">
        <f>67200-20000</f>
        <v>47200</v>
      </c>
      <c r="V237" s="282">
        <v>64800</v>
      </c>
      <c r="W237" s="282">
        <v>0</v>
      </c>
      <c r="X237" s="282">
        <v>55100</v>
      </c>
      <c r="Y237" s="282">
        <f>71000-19000</f>
        <v>52000</v>
      </c>
      <c r="Z237" s="282">
        <v>70300</v>
      </c>
      <c r="AA237" s="282">
        <v>70400</v>
      </c>
      <c r="AB237" s="282">
        <v>32400</v>
      </c>
      <c r="AC237" s="282">
        <v>4900</v>
      </c>
      <c r="AD237" s="282"/>
      <c r="AE237" s="282">
        <f>44900-20000</f>
        <v>24900</v>
      </c>
      <c r="AF237" s="282">
        <v>72400</v>
      </c>
      <c r="AG237" s="282">
        <v>82700</v>
      </c>
      <c r="AH237" s="282">
        <v>84000</v>
      </c>
      <c r="AI237" s="282">
        <f>80500-8000</f>
        <v>72500</v>
      </c>
      <c r="AJ237" s="282">
        <f>88000-3000</f>
        <v>85000</v>
      </c>
      <c r="AK237" s="282"/>
      <c r="AM237" s="848">
        <f>SUM(G237:AK237)</f>
        <v>1632200</v>
      </c>
      <c r="CT237" s="145"/>
      <c r="VGJ237" s="47"/>
      <c r="VGK237" s="47"/>
      <c r="VGL237" s="47"/>
      <c r="VGM237" s="47"/>
      <c r="VGN237" s="47"/>
      <c r="VGO237" s="47"/>
      <c r="VGP237" s="47"/>
      <c r="VGQ237" s="47"/>
      <c r="VGR237" s="47"/>
      <c r="VGS237" s="47"/>
      <c r="VGT237" s="47"/>
      <c r="VGU237" s="47"/>
      <c r="VGV237" s="47"/>
      <c r="VGW237" s="47"/>
      <c r="VGX237" s="47"/>
      <c r="VGY237" s="47"/>
      <c r="VGZ237" s="47"/>
      <c r="VHA237" s="47"/>
      <c r="VHB237" s="47"/>
      <c r="VHC237" s="47"/>
      <c r="VHD237" s="47"/>
      <c r="VHE237" s="47"/>
      <c r="VHF237" s="47"/>
      <c r="VHG237" s="47"/>
      <c r="VHH237" s="47"/>
      <c r="VHI237" s="47"/>
      <c r="VHJ237" s="47"/>
      <c r="VHK237" s="47"/>
      <c r="VHL237" s="47"/>
      <c r="VHM237" s="47"/>
      <c r="VHN237" s="47"/>
      <c r="VHO237" s="47"/>
      <c r="VHP237" s="47"/>
      <c r="VHQ237" s="47"/>
      <c r="VHR237" s="47"/>
      <c r="VHS237" s="47"/>
      <c r="VHT237" s="47"/>
      <c r="VHU237" s="47"/>
      <c r="VHV237" s="47"/>
      <c r="VHW237" s="47"/>
      <c r="VHX237" s="47"/>
      <c r="VHY237" s="47"/>
      <c r="VHZ237" s="47"/>
      <c r="VIA237" s="47"/>
      <c r="VIB237" s="47"/>
      <c r="VIC237" s="47"/>
      <c r="VID237" s="47"/>
      <c r="VIE237" s="47"/>
      <c r="VIF237" s="47"/>
      <c r="VIG237" s="47"/>
      <c r="VIH237" s="47"/>
      <c r="VII237" s="47"/>
      <c r="VIJ237" s="47"/>
      <c r="VIK237" s="47"/>
      <c r="VIL237" s="47"/>
      <c r="VIM237" s="47"/>
      <c r="VIN237" s="47"/>
      <c r="VIO237" s="47"/>
      <c r="VIP237" s="47"/>
      <c r="VIQ237" s="47"/>
      <c r="VIR237" s="47"/>
      <c r="VIS237" s="47"/>
      <c r="VIT237" s="47"/>
      <c r="VIU237" s="47"/>
      <c r="VIV237" s="47"/>
      <c r="VIW237" s="47"/>
      <c r="VIX237" s="47"/>
      <c r="VIY237" s="47"/>
      <c r="VIZ237" s="47"/>
      <c r="VJA237" s="47"/>
      <c r="VJB237" s="47"/>
      <c r="VJC237" s="47"/>
      <c r="VJD237" s="47"/>
      <c r="VJE237" s="47"/>
      <c r="VJF237" s="47"/>
      <c r="VJG237" s="47"/>
      <c r="VJH237" s="47"/>
      <c r="VJI237" s="47"/>
      <c r="VJJ237" s="47"/>
      <c r="VJK237" s="47"/>
      <c r="VJL237" s="47"/>
      <c r="VJM237" s="47"/>
      <c r="VJN237" s="47"/>
      <c r="VJO237" s="47"/>
      <c r="VJP237" s="47"/>
      <c r="VJQ237" s="47"/>
      <c r="VJR237" s="47"/>
      <c r="VJS237" s="47"/>
      <c r="VJT237" s="47"/>
      <c r="VJU237" s="47"/>
      <c r="VJV237" s="47"/>
      <c r="VJW237" s="47"/>
      <c r="VJX237" s="47"/>
      <c r="VJY237" s="47"/>
      <c r="VJZ237" s="47"/>
      <c r="VKA237" s="47"/>
      <c r="VKB237" s="47"/>
      <c r="VKC237" s="47"/>
      <c r="VKD237" s="47"/>
      <c r="VKE237" s="47"/>
      <c r="VKF237" s="47"/>
      <c r="VKG237" s="47"/>
      <c r="VKH237" s="47"/>
      <c r="VKI237" s="47"/>
      <c r="VKJ237" s="47"/>
      <c r="VKK237" s="47"/>
      <c r="VKL237" s="47"/>
      <c r="VKM237" s="47"/>
      <c r="VKN237" s="47"/>
      <c r="VKO237" s="47"/>
      <c r="VKP237" s="47"/>
      <c r="VKQ237" s="47"/>
      <c r="VKR237" s="47"/>
      <c r="VKS237" s="47"/>
      <c r="VKT237" s="47"/>
      <c r="VKU237" s="47"/>
      <c r="VKV237" s="47"/>
      <c r="VKW237" s="47"/>
      <c r="VKX237" s="47"/>
      <c r="VKY237" s="47"/>
      <c r="VKZ237" s="47"/>
      <c r="VLA237" s="47"/>
      <c r="VLB237" s="47"/>
      <c r="VLC237" s="47"/>
      <c r="VLD237" s="47"/>
      <c r="VLE237" s="47"/>
      <c r="VLF237" s="47"/>
      <c r="VLG237" s="47"/>
      <c r="VLH237" s="47"/>
      <c r="VLI237" s="47"/>
      <c r="VLJ237" s="47"/>
      <c r="VLK237" s="47"/>
      <c r="VLL237" s="47"/>
      <c r="VLM237" s="47"/>
      <c r="VLN237" s="47"/>
      <c r="VLO237" s="47"/>
      <c r="VLP237" s="47"/>
      <c r="VLQ237" s="47"/>
      <c r="VLR237" s="47"/>
      <c r="VLS237" s="47"/>
      <c r="VLT237" s="47"/>
      <c r="VLU237" s="47"/>
      <c r="VLV237" s="47"/>
      <c r="VLW237" s="47"/>
      <c r="VLX237" s="47"/>
      <c r="VLY237" s="47"/>
      <c r="VLZ237" s="47"/>
      <c r="VMA237" s="47"/>
      <c r="VMB237" s="47"/>
      <c r="VMC237" s="47"/>
      <c r="VMD237" s="47"/>
      <c r="VME237" s="47"/>
      <c r="VMF237" s="47"/>
      <c r="VMG237" s="47"/>
      <c r="VMH237" s="47"/>
      <c r="VMI237" s="47"/>
      <c r="VMJ237" s="47"/>
      <c r="VMK237" s="47"/>
      <c r="VML237" s="47"/>
      <c r="VMM237" s="47"/>
      <c r="VMN237" s="47"/>
      <c r="VMO237" s="47"/>
      <c r="VMP237" s="47"/>
      <c r="VMQ237" s="47"/>
      <c r="VMR237" s="47"/>
      <c r="VMS237" s="47"/>
      <c r="VMT237" s="47"/>
      <c r="VMU237" s="47"/>
      <c r="VMV237" s="47"/>
      <c r="VMW237" s="47"/>
      <c r="VMX237" s="47"/>
      <c r="VMY237" s="47"/>
      <c r="VMZ237" s="47"/>
      <c r="VNA237" s="47"/>
      <c r="VNB237" s="47"/>
      <c r="VNC237" s="47"/>
      <c r="VND237" s="47"/>
      <c r="VNE237" s="47"/>
      <c r="VNF237" s="47"/>
      <c r="VNG237" s="47"/>
      <c r="VNH237" s="47"/>
      <c r="VNI237" s="47"/>
      <c r="VNJ237" s="47"/>
      <c r="VNK237" s="47"/>
      <c r="VNL237" s="47"/>
      <c r="VNM237" s="47"/>
      <c r="VNN237" s="47"/>
      <c r="VNO237" s="47"/>
      <c r="VNP237" s="47"/>
      <c r="VNQ237" s="47"/>
      <c r="VNR237" s="47"/>
      <c r="VNS237" s="47"/>
      <c r="VNT237" s="47"/>
      <c r="VNU237" s="47"/>
      <c r="VNV237" s="47"/>
      <c r="VNW237" s="47"/>
      <c r="VNX237" s="47"/>
      <c r="VNY237" s="47"/>
      <c r="VNZ237" s="47"/>
      <c r="VOA237" s="47"/>
      <c r="VOB237" s="47"/>
      <c r="VOC237" s="47"/>
      <c r="VOD237" s="47"/>
      <c r="VOE237" s="47"/>
      <c r="VOF237" s="47"/>
      <c r="VOG237" s="47"/>
      <c r="VOH237" s="47"/>
      <c r="VOI237" s="47"/>
      <c r="VOJ237" s="47"/>
      <c r="VOK237" s="47"/>
      <c r="VOL237" s="47"/>
      <c r="VOM237" s="47"/>
      <c r="VON237" s="47"/>
      <c r="VOO237" s="47"/>
      <c r="VOP237" s="47"/>
      <c r="VOQ237" s="47"/>
      <c r="VOR237" s="47"/>
      <c r="VOS237" s="47"/>
      <c r="VOT237" s="47"/>
      <c r="VOU237" s="47"/>
      <c r="VOV237" s="47"/>
      <c r="VOW237" s="47"/>
      <c r="VOX237" s="47"/>
      <c r="VOY237" s="47"/>
      <c r="VOZ237" s="47"/>
      <c r="VPA237" s="47"/>
      <c r="VPB237" s="47"/>
      <c r="VPC237" s="47"/>
      <c r="VPD237" s="47"/>
      <c r="VPE237" s="47"/>
      <c r="VPF237" s="47"/>
      <c r="VPG237" s="47"/>
      <c r="VPH237" s="47"/>
      <c r="VPI237" s="47"/>
      <c r="VPJ237" s="47"/>
      <c r="VPK237" s="47"/>
      <c r="VPL237" s="47"/>
      <c r="VPM237" s="47"/>
      <c r="VPN237" s="47"/>
      <c r="VPO237" s="47"/>
      <c r="VPP237" s="47"/>
      <c r="VPQ237" s="47"/>
      <c r="VPR237" s="47"/>
      <c r="VPS237" s="47"/>
      <c r="VPT237" s="47"/>
      <c r="VPU237" s="47"/>
      <c r="VPV237" s="47"/>
      <c r="VPW237" s="47"/>
      <c r="VPX237" s="47"/>
      <c r="VPY237" s="47"/>
      <c r="VPZ237" s="47"/>
      <c r="VQA237" s="47"/>
      <c r="VQB237" s="47"/>
      <c r="VQC237" s="47"/>
      <c r="VQD237" s="47"/>
      <c r="VQE237" s="47"/>
      <c r="VQF237" s="47"/>
      <c r="VQG237" s="47"/>
      <c r="VQH237" s="47"/>
      <c r="VQI237" s="47"/>
      <c r="VQJ237" s="47"/>
      <c r="VQK237" s="47"/>
      <c r="VQL237" s="47"/>
      <c r="VQM237" s="47"/>
      <c r="VQN237" s="47"/>
      <c r="VQO237" s="47"/>
      <c r="VQP237" s="47"/>
      <c r="VQQ237" s="47"/>
      <c r="VQR237" s="47"/>
      <c r="VQS237" s="47"/>
      <c r="VQT237" s="47"/>
      <c r="VQU237" s="47"/>
      <c r="VQV237" s="47"/>
      <c r="VQW237" s="47"/>
      <c r="VQX237" s="47"/>
      <c r="VQY237" s="47"/>
      <c r="VQZ237" s="47"/>
      <c r="VRA237" s="47"/>
      <c r="VRB237" s="47"/>
      <c r="VRC237" s="47"/>
      <c r="VRD237" s="47"/>
      <c r="VRE237" s="47"/>
      <c r="VRF237" s="47"/>
      <c r="VRG237" s="47"/>
      <c r="VRH237" s="47"/>
      <c r="VRI237" s="47"/>
      <c r="VRJ237" s="47"/>
      <c r="VRK237" s="47"/>
      <c r="VRL237" s="47"/>
      <c r="VRM237" s="47"/>
      <c r="VRN237" s="47"/>
      <c r="VRO237" s="47"/>
      <c r="VRP237" s="47"/>
      <c r="VRQ237" s="47"/>
      <c r="VRR237" s="47"/>
      <c r="VRS237" s="47"/>
      <c r="VRT237" s="47"/>
      <c r="VRU237" s="47"/>
      <c r="VRV237" s="47"/>
      <c r="VRW237" s="47"/>
      <c r="VRX237" s="47"/>
      <c r="VRY237" s="47"/>
      <c r="VRZ237" s="47"/>
      <c r="VSA237" s="47"/>
      <c r="VSB237" s="47"/>
      <c r="VSC237" s="47"/>
      <c r="VSD237" s="47"/>
      <c r="VSE237" s="47"/>
      <c r="VSF237" s="47"/>
      <c r="VSG237" s="47"/>
      <c r="VSH237" s="47"/>
      <c r="VSI237" s="47"/>
      <c r="VSJ237" s="47"/>
      <c r="VSK237" s="47"/>
      <c r="VSL237" s="47"/>
      <c r="VSM237" s="47"/>
      <c r="VSN237" s="47"/>
      <c r="VSO237" s="47"/>
      <c r="VSP237" s="47"/>
      <c r="VSQ237" s="47"/>
      <c r="VSR237" s="47"/>
      <c r="VSS237" s="47"/>
      <c r="VST237" s="47"/>
      <c r="VSU237" s="47"/>
      <c r="VSV237" s="47"/>
      <c r="VSW237" s="47"/>
      <c r="VSX237" s="47"/>
      <c r="VSY237" s="47"/>
      <c r="VSZ237" s="47"/>
      <c r="VTA237" s="47"/>
      <c r="VTB237" s="47"/>
      <c r="VTC237" s="47"/>
      <c r="VTD237" s="47"/>
      <c r="VTE237" s="47"/>
      <c r="VTF237" s="47"/>
      <c r="VTG237" s="47"/>
      <c r="VTH237" s="47"/>
      <c r="VTI237" s="47"/>
      <c r="VTJ237" s="47"/>
      <c r="VTK237" s="47"/>
      <c r="VTL237" s="47"/>
      <c r="VTM237" s="47"/>
      <c r="VTN237" s="47"/>
      <c r="VTO237" s="47"/>
      <c r="VTP237" s="47"/>
      <c r="VTQ237" s="47"/>
      <c r="VTR237" s="47"/>
      <c r="VTS237" s="47"/>
      <c r="VTT237" s="47"/>
      <c r="VTU237" s="47"/>
      <c r="VTV237" s="47"/>
      <c r="VTW237" s="47"/>
      <c r="VTX237" s="47"/>
      <c r="VTY237" s="47"/>
      <c r="VTZ237" s="47"/>
      <c r="VUA237" s="47"/>
      <c r="VUB237" s="47"/>
      <c r="VUC237" s="47"/>
      <c r="VUD237" s="47"/>
      <c r="VUE237" s="47"/>
      <c r="VUF237" s="47"/>
      <c r="VUG237" s="47"/>
      <c r="VUH237" s="47"/>
      <c r="VUI237" s="47"/>
      <c r="VUJ237" s="47"/>
      <c r="VUK237" s="47"/>
      <c r="VUL237" s="47"/>
      <c r="VUM237" s="47"/>
      <c r="VUN237" s="47"/>
      <c r="VUO237" s="47"/>
      <c r="VUP237" s="47"/>
      <c r="VUQ237" s="47"/>
      <c r="VUR237" s="47"/>
      <c r="VUS237" s="47"/>
      <c r="VUT237" s="47"/>
      <c r="VUU237" s="47"/>
      <c r="VUV237" s="47"/>
      <c r="VUW237" s="47"/>
      <c r="VUX237" s="47"/>
      <c r="VUY237" s="47"/>
      <c r="VUZ237" s="47"/>
      <c r="VVA237" s="47"/>
      <c r="VVB237" s="47"/>
      <c r="VVC237" s="47"/>
      <c r="VVD237" s="47"/>
      <c r="VVE237" s="47"/>
      <c r="VVF237" s="47"/>
      <c r="VVG237" s="47"/>
      <c r="VVH237" s="47"/>
      <c r="VVI237" s="47"/>
      <c r="VVJ237" s="47"/>
      <c r="VVK237" s="47"/>
      <c r="VVL237" s="47"/>
    </row>
    <row r="238" spans="3:98 15064:15456" s="1" customFormat="1" x14ac:dyDescent="0.25">
      <c r="C238" s="15"/>
      <c r="D238" s="14"/>
      <c r="E238" s="240">
        <v>61</v>
      </c>
      <c r="F238" s="20" t="s">
        <v>365</v>
      </c>
      <c r="G238" s="33">
        <f t="shared" ref="G238:AJ238" si="68">G237/G23*1000</f>
        <v>156.62495063940949</v>
      </c>
      <c r="H238" s="33">
        <f t="shared" si="68"/>
        <v>108.23571333125473</v>
      </c>
      <c r="I238" s="33">
        <f t="shared" si="68"/>
        <v>96.9176052163604</v>
      </c>
      <c r="J238" s="33">
        <f t="shared" si="68"/>
        <v>107.28209582620876</v>
      </c>
      <c r="K238" s="33">
        <f t="shared" si="68"/>
        <v>65.911117587840266</v>
      </c>
      <c r="L238" s="33">
        <f t="shared" si="68"/>
        <v>113.26280784983716</v>
      </c>
      <c r="M238" s="33">
        <f>M237/M23*1000</f>
        <v>131.58576800232865</v>
      </c>
      <c r="N238" s="33">
        <f>N237/N23*1000</f>
        <v>99.59398558090615</v>
      </c>
      <c r="O238" s="33">
        <f>O237/O23*1000</f>
        <v>60.236364099127002</v>
      </c>
      <c r="P238" s="33">
        <f t="shared" si="68"/>
        <v>80.284913534616749</v>
      </c>
      <c r="Q238" s="33">
        <f t="shared" si="68"/>
        <v>66.79130776840519</v>
      </c>
      <c r="R238" s="33">
        <f t="shared" si="68"/>
        <v>116.51581233900021</v>
      </c>
      <c r="S238" s="33">
        <f>S237/S23*1000</f>
        <v>77.114741689270176</v>
      </c>
      <c r="T238" s="33">
        <f t="shared" si="68"/>
        <v>60.068353643801565</v>
      </c>
      <c r="U238" s="33">
        <f t="shared" si="68"/>
        <v>40.96880815487598</v>
      </c>
      <c r="V238" s="33">
        <f t="shared" si="68"/>
        <v>94.051257935574895</v>
      </c>
      <c r="W238" s="33" t="e">
        <f t="shared" si="68"/>
        <v>#DIV/0!</v>
      </c>
      <c r="X238" s="33">
        <f t="shared" si="68"/>
        <v>45.092414899319522</v>
      </c>
      <c r="Y238" s="33">
        <f t="shared" si="68"/>
        <v>59.956669775958069</v>
      </c>
      <c r="Z238" s="33">
        <f t="shared" si="68"/>
        <v>57.684749153396304</v>
      </c>
      <c r="AA238" s="33">
        <f t="shared" si="68"/>
        <v>70.502157626400646</v>
      </c>
      <c r="AB238" s="33">
        <f t="shared" si="68"/>
        <v>113.95009407916717</v>
      </c>
      <c r="AC238" s="33" t="e">
        <f t="shared" si="68"/>
        <v>#DIV/0!</v>
      </c>
      <c r="AD238" s="33" t="e">
        <f t="shared" si="68"/>
        <v>#DIV/0!</v>
      </c>
      <c r="AE238" s="33">
        <f t="shared" si="68"/>
        <v>84.108550698202308</v>
      </c>
      <c r="AF238" s="33">
        <f t="shared" si="68"/>
        <v>46.325237720772712</v>
      </c>
      <c r="AG238" s="33">
        <f t="shared" si="68"/>
        <v>52.553783427574274</v>
      </c>
      <c r="AH238" s="33">
        <f t="shared" si="68"/>
        <v>53.516274044097408</v>
      </c>
      <c r="AI238" s="33">
        <f t="shared" si="68"/>
        <v>62.540004037065081</v>
      </c>
      <c r="AJ238" s="33">
        <f t="shared" si="68"/>
        <v>85.693085676955221</v>
      </c>
      <c r="AK238" s="282"/>
      <c r="AM238" s="1541">
        <f>AM237/AM23*1000</f>
        <v>72.243714405131968</v>
      </c>
      <c r="CT238" s="145"/>
      <c r="VGJ238" s="47"/>
      <c r="VGK238" s="47"/>
      <c r="VGL238" s="47"/>
      <c r="VGM238" s="47"/>
      <c r="VGN238" s="47"/>
      <c r="VGO238" s="47"/>
      <c r="VGP238" s="47"/>
      <c r="VGQ238" s="47"/>
      <c r="VGR238" s="47"/>
      <c r="VGS238" s="47"/>
      <c r="VGT238" s="47"/>
      <c r="VGU238" s="47"/>
      <c r="VGV238" s="47"/>
      <c r="VGW238" s="47"/>
      <c r="VGX238" s="47"/>
      <c r="VGY238" s="47"/>
      <c r="VGZ238" s="47"/>
      <c r="VHA238" s="47"/>
      <c r="VHB238" s="47"/>
      <c r="VHC238" s="47"/>
      <c r="VHD238" s="47"/>
      <c r="VHE238" s="47"/>
      <c r="VHF238" s="47"/>
      <c r="VHG238" s="47"/>
      <c r="VHH238" s="47"/>
      <c r="VHI238" s="47"/>
      <c r="VHJ238" s="47"/>
      <c r="VHK238" s="47"/>
      <c r="VHL238" s="47"/>
      <c r="VHM238" s="47"/>
      <c r="VHN238" s="47"/>
      <c r="VHO238" s="47"/>
      <c r="VHP238" s="47"/>
      <c r="VHQ238" s="47"/>
      <c r="VHR238" s="47"/>
      <c r="VHS238" s="47"/>
      <c r="VHT238" s="47"/>
      <c r="VHU238" s="47"/>
      <c r="VHV238" s="47"/>
      <c r="VHW238" s="47"/>
      <c r="VHX238" s="47"/>
      <c r="VHY238" s="47"/>
      <c r="VHZ238" s="47"/>
      <c r="VIA238" s="47"/>
      <c r="VIB238" s="47"/>
      <c r="VIC238" s="47"/>
      <c r="VID238" s="47"/>
      <c r="VIE238" s="47"/>
      <c r="VIF238" s="47"/>
      <c r="VIG238" s="47"/>
      <c r="VIH238" s="47"/>
      <c r="VII238" s="47"/>
      <c r="VIJ238" s="47"/>
      <c r="VIK238" s="47"/>
      <c r="VIL238" s="47"/>
      <c r="VIM238" s="47"/>
      <c r="VIN238" s="47"/>
      <c r="VIO238" s="47"/>
      <c r="VIP238" s="47"/>
      <c r="VIQ238" s="47"/>
      <c r="VIR238" s="47"/>
      <c r="VIS238" s="47"/>
      <c r="VIT238" s="47"/>
      <c r="VIU238" s="47"/>
      <c r="VIV238" s="47"/>
      <c r="VIW238" s="47"/>
      <c r="VIX238" s="47"/>
      <c r="VIY238" s="47"/>
      <c r="VIZ238" s="47"/>
      <c r="VJA238" s="47"/>
      <c r="VJB238" s="47"/>
      <c r="VJC238" s="47"/>
      <c r="VJD238" s="47"/>
      <c r="VJE238" s="47"/>
      <c r="VJF238" s="47"/>
      <c r="VJG238" s="47"/>
      <c r="VJH238" s="47"/>
      <c r="VJI238" s="47"/>
      <c r="VJJ238" s="47"/>
      <c r="VJK238" s="47"/>
      <c r="VJL238" s="47"/>
      <c r="VJM238" s="47"/>
      <c r="VJN238" s="47"/>
      <c r="VJO238" s="47"/>
      <c r="VJP238" s="47"/>
      <c r="VJQ238" s="47"/>
      <c r="VJR238" s="47"/>
      <c r="VJS238" s="47"/>
      <c r="VJT238" s="47"/>
      <c r="VJU238" s="47"/>
      <c r="VJV238" s="47"/>
      <c r="VJW238" s="47"/>
      <c r="VJX238" s="47"/>
      <c r="VJY238" s="47"/>
      <c r="VJZ238" s="47"/>
      <c r="VKA238" s="47"/>
      <c r="VKB238" s="47"/>
      <c r="VKC238" s="47"/>
      <c r="VKD238" s="47"/>
      <c r="VKE238" s="47"/>
      <c r="VKF238" s="47"/>
      <c r="VKG238" s="47"/>
      <c r="VKH238" s="47"/>
      <c r="VKI238" s="47"/>
      <c r="VKJ238" s="47"/>
      <c r="VKK238" s="47"/>
      <c r="VKL238" s="47"/>
      <c r="VKM238" s="47"/>
      <c r="VKN238" s="47"/>
      <c r="VKO238" s="47"/>
      <c r="VKP238" s="47"/>
      <c r="VKQ238" s="47"/>
      <c r="VKR238" s="47"/>
      <c r="VKS238" s="47"/>
      <c r="VKT238" s="47"/>
      <c r="VKU238" s="47"/>
      <c r="VKV238" s="47"/>
      <c r="VKW238" s="47"/>
      <c r="VKX238" s="47"/>
      <c r="VKY238" s="47"/>
      <c r="VKZ238" s="47"/>
      <c r="VLA238" s="47"/>
      <c r="VLB238" s="47"/>
      <c r="VLC238" s="47"/>
      <c r="VLD238" s="47"/>
      <c r="VLE238" s="47"/>
      <c r="VLF238" s="47"/>
      <c r="VLG238" s="47"/>
      <c r="VLH238" s="47"/>
      <c r="VLI238" s="47"/>
      <c r="VLJ238" s="47"/>
      <c r="VLK238" s="47"/>
      <c r="VLL238" s="47"/>
      <c r="VLM238" s="47"/>
      <c r="VLN238" s="47"/>
      <c r="VLO238" s="47"/>
      <c r="VLP238" s="47"/>
      <c r="VLQ238" s="47"/>
      <c r="VLR238" s="47"/>
      <c r="VLS238" s="47"/>
      <c r="VLT238" s="47"/>
      <c r="VLU238" s="47"/>
      <c r="VLV238" s="47"/>
      <c r="VLW238" s="47"/>
      <c r="VLX238" s="47"/>
      <c r="VLY238" s="47"/>
      <c r="VLZ238" s="47"/>
      <c r="VMA238" s="47"/>
      <c r="VMB238" s="47"/>
      <c r="VMC238" s="47"/>
      <c r="VMD238" s="47"/>
      <c r="VME238" s="47"/>
      <c r="VMF238" s="47"/>
      <c r="VMG238" s="47"/>
      <c r="VMH238" s="47"/>
      <c r="VMI238" s="47"/>
      <c r="VMJ238" s="47"/>
      <c r="VMK238" s="47"/>
      <c r="VML238" s="47"/>
      <c r="VMM238" s="47"/>
      <c r="VMN238" s="47"/>
      <c r="VMO238" s="47"/>
      <c r="VMP238" s="47"/>
      <c r="VMQ238" s="47"/>
      <c r="VMR238" s="47"/>
      <c r="VMS238" s="47"/>
      <c r="VMT238" s="47"/>
      <c r="VMU238" s="47"/>
      <c r="VMV238" s="47"/>
      <c r="VMW238" s="47"/>
      <c r="VMX238" s="47"/>
      <c r="VMY238" s="47"/>
      <c r="VMZ238" s="47"/>
      <c r="VNA238" s="47"/>
      <c r="VNB238" s="47"/>
      <c r="VNC238" s="47"/>
      <c r="VND238" s="47"/>
      <c r="VNE238" s="47"/>
      <c r="VNF238" s="47"/>
      <c r="VNG238" s="47"/>
      <c r="VNH238" s="47"/>
      <c r="VNI238" s="47"/>
      <c r="VNJ238" s="47"/>
      <c r="VNK238" s="47"/>
      <c r="VNL238" s="47"/>
      <c r="VNM238" s="47"/>
      <c r="VNN238" s="47"/>
      <c r="VNO238" s="47"/>
      <c r="VNP238" s="47"/>
      <c r="VNQ238" s="47"/>
      <c r="VNR238" s="47"/>
      <c r="VNS238" s="47"/>
      <c r="VNT238" s="47"/>
      <c r="VNU238" s="47"/>
      <c r="VNV238" s="47"/>
      <c r="VNW238" s="47"/>
      <c r="VNX238" s="47"/>
      <c r="VNY238" s="47"/>
      <c r="VNZ238" s="47"/>
      <c r="VOA238" s="47"/>
      <c r="VOB238" s="47"/>
      <c r="VOC238" s="47"/>
      <c r="VOD238" s="47"/>
      <c r="VOE238" s="47"/>
      <c r="VOF238" s="47"/>
      <c r="VOG238" s="47"/>
      <c r="VOH238" s="47"/>
      <c r="VOI238" s="47"/>
      <c r="VOJ238" s="47"/>
      <c r="VOK238" s="47"/>
      <c r="VOL238" s="47"/>
      <c r="VOM238" s="47"/>
      <c r="VON238" s="47"/>
      <c r="VOO238" s="47"/>
      <c r="VOP238" s="47"/>
      <c r="VOQ238" s="47"/>
      <c r="VOR238" s="47"/>
      <c r="VOS238" s="47"/>
      <c r="VOT238" s="47"/>
      <c r="VOU238" s="47"/>
      <c r="VOV238" s="47"/>
      <c r="VOW238" s="47"/>
      <c r="VOX238" s="47"/>
      <c r="VOY238" s="47"/>
      <c r="VOZ238" s="47"/>
      <c r="VPA238" s="47"/>
      <c r="VPB238" s="47"/>
      <c r="VPC238" s="47"/>
      <c r="VPD238" s="47"/>
      <c r="VPE238" s="47"/>
      <c r="VPF238" s="47"/>
      <c r="VPG238" s="47"/>
      <c r="VPH238" s="47"/>
      <c r="VPI238" s="47"/>
      <c r="VPJ238" s="47"/>
      <c r="VPK238" s="47"/>
      <c r="VPL238" s="47"/>
      <c r="VPM238" s="47"/>
      <c r="VPN238" s="47"/>
      <c r="VPO238" s="47"/>
      <c r="VPP238" s="47"/>
      <c r="VPQ238" s="47"/>
      <c r="VPR238" s="47"/>
      <c r="VPS238" s="47"/>
      <c r="VPT238" s="47"/>
      <c r="VPU238" s="47"/>
      <c r="VPV238" s="47"/>
      <c r="VPW238" s="47"/>
      <c r="VPX238" s="47"/>
      <c r="VPY238" s="47"/>
      <c r="VPZ238" s="47"/>
      <c r="VQA238" s="47"/>
      <c r="VQB238" s="47"/>
      <c r="VQC238" s="47"/>
      <c r="VQD238" s="47"/>
      <c r="VQE238" s="47"/>
      <c r="VQF238" s="47"/>
      <c r="VQG238" s="47"/>
      <c r="VQH238" s="47"/>
      <c r="VQI238" s="47"/>
      <c r="VQJ238" s="47"/>
      <c r="VQK238" s="47"/>
      <c r="VQL238" s="47"/>
      <c r="VQM238" s="47"/>
      <c r="VQN238" s="47"/>
      <c r="VQO238" s="47"/>
      <c r="VQP238" s="47"/>
      <c r="VQQ238" s="47"/>
      <c r="VQR238" s="47"/>
      <c r="VQS238" s="47"/>
      <c r="VQT238" s="47"/>
      <c r="VQU238" s="47"/>
      <c r="VQV238" s="47"/>
      <c r="VQW238" s="47"/>
      <c r="VQX238" s="47"/>
      <c r="VQY238" s="47"/>
      <c r="VQZ238" s="47"/>
      <c r="VRA238" s="47"/>
      <c r="VRB238" s="47"/>
      <c r="VRC238" s="47"/>
      <c r="VRD238" s="47"/>
      <c r="VRE238" s="47"/>
      <c r="VRF238" s="47"/>
      <c r="VRG238" s="47"/>
      <c r="VRH238" s="47"/>
      <c r="VRI238" s="47"/>
      <c r="VRJ238" s="47"/>
      <c r="VRK238" s="47"/>
      <c r="VRL238" s="47"/>
      <c r="VRM238" s="47"/>
      <c r="VRN238" s="47"/>
      <c r="VRO238" s="47"/>
      <c r="VRP238" s="47"/>
      <c r="VRQ238" s="47"/>
      <c r="VRR238" s="47"/>
      <c r="VRS238" s="47"/>
      <c r="VRT238" s="47"/>
      <c r="VRU238" s="47"/>
      <c r="VRV238" s="47"/>
      <c r="VRW238" s="47"/>
      <c r="VRX238" s="47"/>
      <c r="VRY238" s="47"/>
      <c r="VRZ238" s="47"/>
      <c r="VSA238" s="47"/>
      <c r="VSB238" s="47"/>
      <c r="VSC238" s="47"/>
      <c r="VSD238" s="47"/>
      <c r="VSE238" s="47"/>
      <c r="VSF238" s="47"/>
      <c r="VSG238" s="47"/>
      <c r="VSH238" s="47"/>
      <c r="VSI238" s="47"/>
      <c r="VSJ238" s="47"/>
      <c r="VSK238" s="47"/>
      <c r="VSL238" s="47"/>
      <c r="VSM238" s="47"/>
      <c r="VSN238" s="47"/>
      <c r="VSO238" s="47"/>
      <c r="VSP238" s="47"/>
      <c r="VSQ238" s="47"/>
      <c r="VSR238" s="47"/>
      <c r="VSS238" s="47"/>
      <c r="VST238" s="47"/>
      <c r="VSU238" s="47"/>
      <c r="VSV238" s="47"/>
      <c r="VSW238" s="47"/>
      <c r="VSX238" s="47"/>
      <c r="VSY238" s="47"/>
      <c r="VSZ238" s="47"/>
      <c r="VTA238" s="47"/>
      <c r="VTB238" s="47"/>
      <c r="VTC238" s="47"/>
      <c r="VTD238" s="47"/>
      <c r="VTE238" s="47"/>
      <c r="VTF238" s="47"/>
      <c r="VTG238" s="47"/>
      <c r="VTH238" s="47"/>
      <c r="VTI238" s="47"/>
      <c r="VTJ238" s="47"/>
      <c r="VTK238" s="47"/>
      <c r="VTL238" s="47"/>
      <c r="VTM238" s="47"/>
      <c r="VTN238" s="47"/>
      <c r="VTO238" s="47"/>
      <c r="VTP238" s="47"/>
      <c r="VTQ238" s="47"/>
      <c r="VTR238" s="47"/>
      <c r="VTS238" s="47"/>
      <c r="VTT238" s="47"/>
      <c r="VTU238" s="47"/>
      <c r="VTV238" s="47"/>
      <c r="VTW238" s="47"/>
      <c r="VTX238" s="47"/>
      <c r="VTY238" s="47"/>
      <c r="VTZ238" s="47"/>
      <c r="VUA238" s="47"/>
      <c r="VUB238" s="47"/>
      <c r="VUC238" s="47"/>
      <c r="VUD238" s="47"/>
      <c r="VUE238" s="47"/>
      <c r="VUF238" s="47"/>
      <c r="VUG238" s="47"/>
      <c r="VUH238" s="47"/>
      <c r="VUI238" s="47"/>
      <c r="VUJ238" s="47"/>
      <c r="VUK238" s="47"/>
      <c r="VUL238" s="47"/>
      <c r="VUM238" s="47"/>
      <c r="VUN238" s="47"/>
      <c r="VUO238" s="47"/>
      <c r="VUP238" s="47"/>
      <c r="VUQ238" s="47"/>
      <c r="VUR238" s="47"/>
      <c r="VUS238" s="47"/>
      <c r="VUT238" s="47"/>
      <c r="VUU238" s="47"/>
      <c r="VUV238" s="47"/>
      <c r="VUW238" s="47"/>
      <c r="VUX238" s="47"/>
      <c r="VUY238" s="47"/>
      <c r="VUZ238" s="47"/>
      <c r="VVA238" s="47"/>
      <c r="VVB238" s="47"/>
      <c r="VVC238" s="47"/>
      <c r="VVD238" s="47"/>
      <c r="VVE238" s="47"/>
      <c r="VVF238" s="47"/>
      <c r="VVG238" s="47"/>
      <c r="VVH238" s="47"/>
      <c r="VVI238" s="47"/>
      <c r="VVJ238" s="47"/>
      <c r="VVK238" s="47"/>
      <c r="VVL238" s="47"/>
    </row>
    <row r="239" spans="3:98 15064:15456" s="1" customFormat="1" x14ac:dyDescent="0.25">
      <c r="C239" s="15"/>
      <c r="D239" s="14" t="s">
        <v>7</v>
      </c>
      <c r="E239" s="240">
        <v>106000</v>
      </c>
      <c r="F239" s="20" t="s">
        <v>14</v>
      </c>
      <c r="G239" s="33">
        <f>G233-G235-G237</f>
        <v>15767</v>
      </c>
      <c r="H239" s="33">
        <f t="shared" ref="H239:AJ239" si="69">H233-H235-H237</f>
        <v>4497</v>
      </c>
      <c r="I239" s="33">
        <f t="shared" si="69"/>
        <v>531</v>
      </c>
      <c r="J239" s="33">
        <f t="shared" si="69"/>
        <v>2678</v>
      </c>
      <c r="K239" s="33">
        <f t="shared" si="69"/>
        <v>1840</v>
      </c>
      <c r="L239" s="33">
        <f t="shared" si="69"/>
        <v>1404</v>
      </c>
      <c r="M239" s="33">
        <f t="shared" ref="M239:N239" si="70">M233-M235-M237</f>
        <v>669</v>
      </c>
      <c r="N239" s="33">
        <f t="shared" si="70"/>
        <v>1038</v>
      </c>
      <c r="O239" s="33">
        <f t="shared" si="69"/>
        <v>1257</v>
      </c>
      <c r="P239" s="33">
        <f>P233-P235-P237</f>
        <v>1363</v>
      </c>
      <c r="Q239" s="33">
        <f t="shared" si="69"/>
        <v>2250</v>
      </c>
      <c r="R239" s="33">
        <f t="shared" si="69"/>
        <v>11894</v>
      </c>
      <c r="S239" s="33">
        <f t="shared" ref="S239" si="71">S233-S235-S237</f>
        <v>940</v>
      </c>
      <c r="T239" s="33">
        <f t="shared" si="69"/>
        <v>166</v>
      </c>
      <c r="U239" s="33">
        <f t="shared" si="69"/>
        <v>1659</v>
      </c>
      <c r="V239" s="33">
        <f t="shared" si="69"/>
        <v>960</v>
      </c>
      <c r="W239" s="33">
        <f t="shared" si="69"/>
        <v>1950</v>
      </c>
      <c r="X239" s="33">
        <f t="shared" si="69"/>
        <v>10400</v>
      </c>
      <c r="Y239" s="33">
        <f t="shared" si="69"/>
        <v>950</v>
      </c>
      <c r="Z239" s="33">
        <f t="shared" si="69"/>
        <v>1600</v>
      </c>
      <c r="AA239" s="33">
        <f t="shared" si="69"/>
        <v>3533</v>
      </c>
      <c r="AB239" s="33">
        <f t="shared" si="69"/>
        <v>1038</v>
      </c>
      <c r="AC239" s="33">
        <f t="shared" si="69"/>
        <v>2617</v>
      </c>
      <c r="AD239" s="33">
        <f t="shared" si="69"/>
        <v>0</v>
      </c>
      <c r="AE239" s="33">
        <f t="shared" si="69"/>
        <v>4455</v>
      </c>
      <c r="AF239" s="33">
        <f t="shared" si="69"/>
        <v>1926</v>
      </c>
      <c r="AG239" s="33">
        <f t="shared" si="69"/>
        <v>29734</v>
      </c>
      <c r="AH239" s="33">
        <f t="shared" si="69"/>
        <v>408</v>
      </c>
      <c r="AI239" s="33">
        <f t="shared" si="69"/>
        <v>1821</v>
      </c>
      <c r="AJ239" s="33">
        <f t="shared" si="69"/>
        <v>734</v>
      </c>
      <c r="AK239" s="33">
        <f>AK233-AK235-AK237</f>
        <v>0</v>
      </c>
      <c r="AM239" s="57">
        <f>SUM(G239:AK239)</f>
        <v>110079</v>
      </c>
      <c r="CT239" s="145"/>
      <c r="VGJ239" s="47"/>
      <c r="VGK239" s="47"/>
      <c r="VGL239" s="47"/>
      <c r="VGM239" s="47"/>
      <c r="VGN239" s="47"/>
      <c r="VGO239" s="47"/>
      <c r="VGP239" s="47"/>
      <c r="VGQ239" s="47"/>
      <c r="VGR239" s="47"/>
      <c r="VGS239" s="47"/>
      <c r="VGT239" s="47"/>
      <c r="VGU239" s="47"/>
      <c r="VGV239" s="47"/>
      <c r="VGW239" s="47"/>
      <c r="VGX239" s="47"/>
      <c r="VGY239" s="47"/>
      <c r="VGZ239" s="47"/>
      <c r="VHA239" s="47"/>
      <c r="VHB239" s="47"/>
      <c r="VHC239" s="47"/>
      <c r="VHD239" s="47"/>
      <c r="VHE239" s="47"/>
      <c r="VHF239" s="47"/>
      <c r="VHG239" s="47"/>
      <c r="VHH239" s="47"/>
      <c r="VHI239" s="47"/>
      <c r="VHJ239" s="47"/>
      <c r="VHK239" s="47"/>
      <c r="VHL239" s="47"/>
      <c r="VHM239" s="47"/>
      <c r="VHN239" s="47"/>
      <c r="VHO239" s="47"/>
      <c r="VHP239" s="47"/>
      <c r="VHQ239" s="47"/>
      <c r="VHR239" s="47"/>
      <c r="VHS239" s="47"/>
      <c r="VHT239" s="47"/>
      <c r="VHU239" s="47"/>
      <c r="VHV239" s="47"/>
      <c r="VHW239" s="47"/>
      <c r="VHX239" s="47"/>
      <c r="VHY239" s="47"/>
      <c r="VHZ239" s="47"/>
      <c r="VIA239" s="47"/>
      <c r="VIB239" s="47"/>
      <c r="VIC239" s="47"/>
      <c r="VID239" s="47"/>
      <c r="VIE239" s="47"/>
      <c r="VIF239" s="47"/>
      <c r="VIG239" s="47"/>
      <c r="VIH239" s="47"/>
      <c r="VII239" s="47"/>
      <c r="VIJ239" s="47"/>
      <c r="VIK239" s="47"/>
      <c r="VIL239" s="47"/>
      <c r="VIM239" s="47"/>
      <c r="VIN239" s="47"/>
      <c r="VIO239" s="47"/>
      <c r="VIP239" s="47"/>
      <c r="VIQ239" s="47"/>
      <c r="VIR239" s="47"/>
      <c r="VIS239" s="47"/>
      <c r="VIT239" s="47"/>
      <c r="VIU239" s="47"/>
      <c r="VIV239" s="47"/>
      <c r="VIW239" s="47"/>
      <c r="VIX239" s="47"/>
      <c r="VIY239" s="47"/>
      <c r="VIZ239" s="47"/>
      <c r="VJA239" s="47"/>
      <c r="VJB239" s="47"/>
      <c r="VJC239" s="47"/>
      <c r="VJD239" s="47"/>
      <c r="VJE239" s="47"/>
      <c r="VJF239" s="47"/>
      <c r="VJG239" s="47"/>
      <c r="VJH239" s="47"/>
      <c r="VJI239" s="47"/>
      <c r="VJJ239" s="47"/>
      <c r="VJK239" s="47"/>
      <c r="VJL239" s="47"/>
      <c r="VJM239" s="47"/>
      <c r="VJN239" s="47"/>
      <c r="VJO239" s="47"/>
      <c r="VJP239" s="47"/>
      <c r="VJQ239" s="47"/>
      <c r="VJR239" s="47"/>
      <c r="VJS239" s="47"/>
      <c r="VJT239" s="47"/>
      <c r="VJU239" s="47"/>
      <c r="VJV239" s="47"/>
      <c r="VJW239" s="47"/>
      <c r="VJX239" s="47"/>
      <c r="VJY239" s="47"/>
      <c r="VJZ239" s="47"/>
      <c r="VKA239" s="47"/>
      <c r="VKB239" s="47"/>
      <c r="VKC239" s="47"/>
      <c r="VKD239" s="47"/>
      <c r="VKE239" s="47"/>
      <c r="VKF239" s="47"/>
      <c r="VKG239" s="47"/>
      <c r="VKH239" s="47"/>
      <c r="VKI239" s="47"/>
      <c r="VKJ239" s="47"/>
      <c r="VKK239" s="47"/>
      <c r="VKL239" s="47"/>
      <c r="VKM239" s="47"/>
      <c r="VKN239" s="47"/>
      <c r="VKO239" s="47"/>
      <c r="VKP239" s="47"/>
      <c r="VKQ239" s="47"/>
      <c r="VKR239" s="47"/>
      <c r="VKS239" s="47"/>
      <c r="VKT239" s="47"/>
      <c r="VKU239" s="47"/>
      <c r="VKV239" s="47"/>
      <c r="VKW239" s="47"/>
      <c r="VKX239" s="47"/>
      <c r="VKY239" s="47"/>
      <c r="VKZ239" s="47"/>
      <c r="VLA239" s="47"/>
      <c r="VLB239" s="47"/>
      <c r="VLC239" s="47"/>
      <c r="VLD239" s="47"/>
      <c r="VLE239" s="47"/>
      <c r="VLF239" s="47"/>
      <c r="VLG239" s="47"/>
      <c r="VLH239" s="47"/>
      <c r="VLI239" s="47"/>
      <c r="VLJ239" s="47"/>
      <c r="VLK239" s="47"/>
      <c r="VLL239" s="47"/>
      <c r="VLM239" s="47"/>
      <c r="VLN239" s="47"/>
      <c r="VLO239" s="47"/>
      <c r="VLP239" s="47"/>
      <c r="VLQ239" s="47"/>
      <c r="VLR239" s="47"/>
      <c r="VLS239" s="47"/>
      <c r="VLT239" s="47"/>
      <c r="VLU239" s="47"/>
      <c r="VLV239" s="47"/>
      <c r="VLW239" s="47"/>
      <c r="VLX239" s="47"/>
      <c r="VLY239" s="47"/>
      <c r="VLZ239" s="47"/>
      <c r="VMA239" s="47"/>
      <c r="VMB239" s="47"/>
      <c r="VMC239" s="47"/>
      <c r="VMD239" s="47"/>
      <c r="VME239" s="47"/>
      <c r="VMF239" s="47"/>
      <c r="VMG239" s="47"/>
      <c r="VMH239" s="47"/>
      <c r="VMI239" s="47"/>
      <c r="VMJ239" s="47"/>
      <c r="VMK239" s="47"/>
      <c r="VML239" s="47"/>
      <c r="VMM239" s="47"/>
      <c r="VMN239" s="47"/>
      <c r="VMO239" s="47"/>
      <c r="VMP239" s="47"/>
      <c r="VMQ239" s="47"/>
      <c r="VMR239" s="47"/>
      <c r="VMS239" s="47"/>
      <c r="VMT239" s="47"/>
      <c r="VMU239" s="47"/>
      <c r="VMV239" s="47"/>
      <c r="VMW239" s="47"/>
      <c r="VMX239" s="47"/>
      <c r="VMY239" s="47"/>
      <c r="VMZ239" s="47"/>
      <c r="VNA239" s="47"/>
      <c r="VNB239" s="47"/>
      <c r="VNC239" s="47"/>
      <c r="VND239" s="47"/>
      <c r="VNE239" s="47"/>
      <c r="VNF239" s="47"/>
      <c r="VNG239" s="47"/>
      <c r="VNH239" s="47"/>
      <c r="VNI239" s="47"/>
      <c r="VNJ239" s="47"/>
      <c r="VNK239" s="47"/>
      <c r="VNL239" s="47"/>
      <c r="VNM239" s="47"/>
      <c r="VNN239" s="47"/>
      <c r="VNO239" s="47"/>
      <c r="VNP239" s="47"/>
      <c r="VNQ239" s="47"/>
      <c r="VNR239" s="47"/>
      <c r="VNS239" s="47"/>
      <c r="VNT239" s="47"/>
      <c r="VNU239" s="47"/>
      <c r="VNV239" s="47"/>
      <c r="VNW239" s="47"/>
      <c r="VNX239" s="47"/>
      <c r="VNY239" s="47"/>
      <c r="VNZ239" s="47"/>
      <c r="VOA239" s="47"/>
      <c r="VOB239" s="47"/>
      <c r="VOC239" s="47"/>
      <c r="VOD239" s="47"/>
      <c r="VOE239" s="47"/>
      <c r="VOF239" s="47"/>
      <c r="VOG239" s="47"/>
      <c r="VOH239" s="47"/>
      <c r="VOI239" s="47"/>
      <c r="VOJ239" s="47"/>
      <c r="VOK239" s="47"/>
      <c r="VOL239" s="47"/>
      <c r="VOM239" s="47"/>
      <c r="VON239" s="47"/>
      <c r="VOO239" s="47"/>
      <c r="VOP239" s="47"/>
      <c r="VOQ239" s="47"/>
      <c r="VOR239" s="47"/>
      <c r="VOS239" s="47"/>
      <c r="VOT239" s="47"/>
      <c r="VOU239" s="47"/>
      <c r="VOV239" s="47"/>
      <c r="VOW239" s="47"/>
      <c r="VOX239" s="47"/>
      <c r="VOY239" s="47"/>
      <c r="VOZ239" s="47"/>
      <c r="VPA239" s="47"/>
      <c r="VPB239" s="47"/>
      <c r="VPC239" s="47"/>
      <c r="VPD239" s="47"/>
      <c r="VPE239" s="47"/>
      <c r="VPF239" s="47"/>
      <c r="VPG239" s="47"/>
      <c r="VPH239" s="47"/>
      <c r="VPI239" s="47"/>
      <c r="VPJ239" s="47"/>
      <c r="VPK239" s="47"/>
      <c r="VPL239" s="47"/>
      <c r="VPM239" s="47"/>
      <c r="VPN239" s="47"/>
      <c r="VPO239" s="47"/>
      <c r="VPP239" s="47"/>
      <c r="VPQ239" s="47"/>
      <c r="VPR239" s="47"/>
      <c r="VPS239" s="47"/>
      <c r="VPT239" s="47"/>
      <c r="VPU239" s="47"/>
      <c r="VPV239" s="47"/>
      <c r="VPW239" s="47"/>
      <c r="VPX239" s="47"/>
      <c r="VPY239" s="47"/>
      <c r="VPZ239" s="47"/>
      <c r="VQA239" s="47"/>
      <c r="VQB239" s="47"/>
      <c r="VQC239" s="47"/>
      <c r="VQD239" s="47"/>
      <c r="VQE239" s="47"/>
      <c r="VQF239" s="47"/>
      <c r="VQG239" s="47"/>
      <c r="VQH239" s="47"/>
      <c r="VQI239" s="47"/>
      <c r="VQJ239" s="47"/>
      <c r="VQK239" s="47"/>
      <c r="VQL239" s="47"/>
      <c r="VQM239" s="47"/>
      <c r="VQN239" s="47"/>
      <c r="VQO239" s="47"/>
      <c r="VQP239" s="47"/>
      <c r="VQQ239" s="47"/>
      <c r="VQR239" s="47"/>
      <c r="VQS239" s="47"/>
      <c r="VQT239" s="47"/>
      <c r="VQU239" s="47"/>
      <c r="VQV239" s="47"/>
      <c r="VQW239" s="47"/>
      <c r="VQX239" s="47"/>
      <c r="VQY239" s="47"/>
      <c r="VQZ239" s="47"/>
      <c r="VRA239" s="47"/>
      <c r="VRB239" s="47"/>
      <c r="VRC239" s="47"/>
      <c r="VRD239" s="47"/>
      <c r="VRE239" s="47"/>
      <c r="VRF239" s="47"/>
      <c r="VRG239" s="47"/>
      <c r="VRH239" s="47"/>
      <c r="VRI239" s="47"/>
      <c r="VRJ239" s="47"/>
      <c r="VRK239" s="47"/>
      <c r="VRL239" s="47"/>
      <c r="VRM239" s="47"/>
      <c r="VRN239" s="47"/>
      <c r="VRO239" s="47"/>
      <c r="VRP239" s="47"/>
      <c r="VRQ239" s="47"/>
      <c r="VRR239" s="47"/>
      <c r="VRS239" s="47"/>
      <c r="VRT239" s="47"/>
      <c r="VRU239" s="47"/>
      <c r="VRV239" s="47"/>
      <c r="VRW239" s="47"/>
      <c r="VRX239" s="47"/>
      <c r="VRY239" s="47"/>
      <c r="VRZ239" s="47"/>
      <c r="VSA239" s="47"/>
      <c r="VSB239" s="47"/>
      <c r="VSC239" s="47"/>
      <c r="VSD239" s="47"/>
      <c r="VSE239" s="47"/>
      <c r="VSF239" s="47"/>
      <c r="VSG239" s="47"/>
      <c r="VSH239" s="47"/>
      <c r="VSI239" s="47"/>
      <c r="VSJ239" s="47"/>
      <c r="VSK239" s="47"/>
      <c r="VSL239" s="47"/>
      <c r="VSM239" s="47"/>
      <c r="VSN239" s="47"/>
      <c r="VSO239" s="47"/>
      <c r="VSP239" s="47"/>
      <c r="VSQ239" s="47"/>
      <c r="VSR239" s="47"/>
      <c r="VSS239" s="47"/>
      <c r="VST239" s="47"/>
      <c r="VSU239" s="47"/>
      <c r="VSV239" s="47"/>
      <c r="VSW239" s="47"/>
      <c r="VSX239" s="47"/>
      <c r="VSY239" s="47"/>
      <c r="VSZ239" s="47"/>
      <c r="VTA239" s="47"/>
      <c r="VTB239" s="47"/>
      <c r="VTC239" s="47"/>
      <c r="VTD239" s="47"/>
      <c r="VTE239" s="47"/>
      <c r="VTF239" s="47"/>
      <c r="VTG239" s="47"/>
      <c r="VTH239" s="47"/>
      <c r="VTI239" s="47"/>
      <c r="VTJ239" s="47"/>
      <c r="VTK239" s="47"/>
      <c r="VTL239" s="47"/>
      <c r="VTM239" s="47"/>
      <c r="VTN239" s="47"/>
      <c r="VTO239" s="47"/>
      <c r="VTP239" s="47"/>
      <c r="VTQ239" s="47"/>
      <c r="VTR239" s="47"/>
      <c r="VTS239" s="47"/>
      <c r="VTT239" s="47"/>
      <c r="VTU239" s="47"/>
      <c r="VTV239" s="47"/>
      <c r="VTW239" s="47"/>
      <c r="VTX239" s="47"/>
      <c r="VTY239" s="47"/>
      <c r="VTZ239" s="47"/>
      <c r="VUA239" s="47"/>
      <c r="VUB239" s="47"/>
      <c r="VUC239" s="47"/>
      <c r="VUD239" s="47"/>
      <c r="VUE239" s="47"/>
      <c r="VUF239" s="47"/>
      <c r="VUG239" s="47"/>
      <c r="VUH239" s="47"/>
      <c r="VUI239" s="47"/>
      <c r="VUJ239" s="47"/>
      <c r="VUK239" s="47"/>
      <c r="VUL239" s="47"/>
      <c r="VUM239" s="47"/>
      <c r="VUN239" s="47"/>
      <c r="VUO239" s="47"/>
      <c r="VUP239" s="47"/>
      <c r="VUQ239" s="47"/>
      <c r="VUR239" s="47"/>
      <c r="VUS239" s="47"/>
      <c r="VUT239" s="47"/>
      <c r="VUU239" s="47"/>
      <c r="VUV239" s="47"/>
      <c r="VUW239" s="47"/>
      <c r="VUX239" s="47"/>
      <c r="VUY239" s="47"/>
      <c r="VUZ239" s="47"/>
      <c r="VVA239" s="47"/>
      <c r="VVB239" s="47"/>
      <c r="VVC239" s="47"/>
      <c r="VVD239" s="47"/>
      <c r="VVE239" s="47"/>
      <c r="VVF239" s="47"/>
      <c r="VVG239" s="47"/>
      <c r="VVH239" s="47"/>
      <c r="VVI239" s="47"/>
      <c r="VVJ239" s="47"/>
      <c r="VVK239" s="47"/>
      <c r="VVL239" s="47"/>
    </row>
    <row r="240" spans="3:98 15064:15456" s="2" customFormat="1" ht="15.75" thickBot="1" x14ac:dyDescent="0.3">
      <c r="C240" s="40"/>
      <c r="D240" s="28" t="s">
        <v>1</v>
      </c>
      <c r="E240" s="269">
        <v>408000</v>
      </c>
      <c r="F240" s="20" t="s">
        <v>14</v>
      </c>
      <c r="G240" s="289">
        <f>SUM(G235,G237,G239)</f>
        <v>233767</v>
      </c>
      <c r="H240" s="289">
        <f t="shared" ref="H240:AI240" si="72">SUM(H235,H237,H239)</f>
        <v>162397</v>
      </c>
      <c r="I240" s="289">
        <f t="shared" si="72"/>
        <v>196131</v>
      </c>
      <c r="J240" s="289">
        <f t="shared" si="72"/>
        <v>228078</v>
      </c>
      <c r="K240" s="289">
        <f t="shared" si="72"/>
        <v>189240</v>
      </c>
      <c r="L240" s="289">
        <f t="shared" si="72"/>
        <v>188204</v>
      </c>
      <c r="M240" s="289">
        <f t="shared" ref="M240:N240" si="73">SUM(M235,M237,M239)</f>
        <v>202069</v>
      </c>
      <c r="N240" s="289">
        <f t="shared" si="73"/>
        <v>198338</v>
      </c>
      <c r="O240" s="289">
        <f t="shared" si="72"/>
        <v>178057</v>
      </c>
      <c r="P240" s="289">
        <f t="shared" si="72"/>
        <v>214863</v>
      </c>
      <c r="Q240" s="289">
        <f t="shared" si="72"/>
        <v>228850</v>
      </c>
      <c r="R240" s="289">
        <f t="shared" si="72"/>
        <v>206494</v>
      </c>
      <c r="S240" s="289">
        <f t="shared" ref="S240" si="74">SUM(S235,S237,S239)</f>
        <v>187240</v>
      </c>
      <c r="T240" s="289">
        <f t="shared" si="72"/>
        <v>173666</v>
      </c>
      <c r="U240" s="289">
        <f t="shared" si="72"/>
        <v>206859</v>
      </c>
      <c r="V240" s="289">
        <f t="shared" si="72"/>
        <v>176460</v>
      </c>
      <c r="W240" s="289">
        <f t="shared" si="72"/>
        <v>108050</v>
      </c>
      <c r="X240" s="289">
        <f t="shared" si="72"/>
        <v>219400</v>
      </c>
      <c r="Y240" s="289">
        <f t="shared" si="72"/>
        <v>211450</v>
      </c>
      <c r="Z240" s="289">
        <f t="shared" si="72"/>
        <v>222000</v>
      </c>
      <c r="AA240" s="289">
        <f t="shared" si="72"/>
        <v>199633</v>
      </c>
      <c r="AB240" s="289">
        <f t="shared" si="72"/>
        <v>112338</v>
      </c>
      <c r="AC240" s="289">
        <f t="shared" si="72"/>
        <v>49917</v>
      </c>
      <c r="AD240" s="289">
        <f t="shared" si="72"/>
        <v>394</v>
      </c>
      <c r="AE240" s="289">
        <f t="shared" si="72"/>
        <v>164855</v>
      </c>
      <c r="AF240" s="289">
        <f t="shared" si="72"/>
        <v>227626</v>
      </c>
      <c r="AG240" s="289">
        <f t="shared" si="72"/>
        <v>275934</v>
      </c>
      <c r="AH240" s="289">
        <f t="shared" si="72"/>
        <v>239908</v>
      </c>
      <c r="AI240" s="289">
        <f t="shared" si="72"/>
        <v>243421</v>
      </c>
      <c r="AJ240" s="289">
        <f t="shared" ref="AJ240" si="75">SUM(AJ235:AJ239)</f>
        <v>224974.44702528432</v>
      </c>
      <c r="AK240" s="289" t="e">
        <f>SUM(AK235:AK239)</f>
        <v>#DIV/0!</v>
      </c>
      <c r="AM240" s="57" t="e">
        <f>SUM(G240:AK240)</f>
        <v>#DIV/0!</v>
      </c>
      <c r="CT240" s="155"/>
    </row>
    <row r="241" spans="3:98 15064:15456" s="1" customFormat="1" x14ac:dyDescent="0.25">
      <c r="C241" s="8">
        <v>6</v>
      </c>
      <c r="D241" s="78" t="s">
        <v>13</v>
      </c>
      <c r="E241" s="79"/>
      <c r="F241" s="80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  <c r="AF241" s="97"/>
      <c r="AG241" s="97"/>
      <c r="AH241" s="97"/>
      <c r="AI241" s="97"/>
      <c r="AJ241" s="97"/>
      <c r="AK241" s="97"/>
      <c r="AM241" s="140" t="s">
        <v>134</v>
      </c>
      <c r="CT241" s="145"/>
      <c r="VGJ241" s="47"/>
      <c r="VGK241" s="47"/>
      <c r="VGL241" s="47"/>
      <c r="VGM241" s="47"/>
      <c r="VGN241" s="47"/>
      <c r="VGO241" s="47"/>
      <c r="VGP241" s="47"/>
      <c r="VGQ241" s="47"/>
      <c r="VGR241" s="47"/>
      <c r="VGS241" s="47"/>
      <c r="VGT241" s="47"/>
      <c r="VGU241" s="47"/>
      <c r="VGV241" s="47"/>
      <c r="VGW241" s="47"/>
      <c r="VGX241" s="47"/>
      <c r="VGY241" s="47"/>
      <c r="VGZ241" s="47"/>
      <c r="VHA241" s="47"/>
      <c r="VHB241" s="47"/>
      <c r="VHC241" s="47"/>
      <c r="VHD241" s="47"/>
      <c r="VHE241" s="47"/>
      <c r="VHF241" s="47"/>
      <c r="VHG241" s="47"/>
      <c r="VHH241" s="47"/>
      <c r="VHI241" s="47"/>
      <c r="VHJ241" s="47"/>
      <c r="VHK241" s="47"/>
      <c r="VHL241" s="47"/>
      <c r="VHM241" s="47"/>
      <c r="VHN241" s="47"/>
      <c r="VHO241" s="47"/>
      <c r="VHP241" s="47"/>
      <c r="VHQ241" s="47"/>
      <c r="VHR241" s="47"/>
      <c r="VHS241" s="47"/>
      <c r="VHT241" s="47"/>
      <c r="VHU241" s="47"/>
      <c r="VHV241" s="47"/>
      <c r="VHW241" s="47"/>
      <c r="VHX241" s="47"/>
      <c r="VHY241" s="47"/>
      <c r="VHZ241" s="47"/>
      <c r="VIA241" s="47"/>
      <c r="VIB241" s="47"/>
      <c r="VIC241" s="47"/>
      <c r="VID241" s="47"/>
      <c r="VIE241" s="47"/>
      <c r="VIF241" s="47"/>
      <c r="VIG241" s="47"/>
      <c r="VIH241" s="47"/>
      <c r="VII241" s="47"/>
      <c r="VIJ241" s="47"/>
      <c r="VIK241" s="47"/>
      <c r="VIL241" s="47"/>
      <c r="VIM241" s="47"/>
      <c r="VIN241" s="47"/>
      <c r="VIO241" s="47"/>
      <c r="VIP241" s="47"/>
      <c r="VIQ241" s="47"/>
      <c r="VIR241" s="47"/>
      <c r="VIS241" s="47"/>
      <c r="VIT241" s="47"/>
      <c r="VIU241" s="47"/>
      <c r="VIV241" s="47"/>
      <c r="VIW241" s="47"/>
      <c r="VIX241" s="47"/>
      <c r="VIY241" s="47"/>
      <c r="VIZ241" s="47"/>
      <c r="VJA241" s="47"/>
      <c r="VJB241" s="47"/>
      <c r="VJC241" s="47"/>
      <c r="VJD241" s="47"/>
      <c r="VJE241" s="47"/>
      <c r="VJF241" s="47"/>
      <c r="VJG241" s="47"/>
      <c r="VJH241" s="47"/>
      <c r="VJI241" s="47"/>
      <c r="VJJ241" s="47"/>
      <c r="VJK241" s="47"/>
      <c r="VJL241" s="47"/>
      <c r="VJM241" s="47"/>
      <c r="VJN241" s="47"/>
      <c r="VJO241" s="47"/>
      <c r="VJP241" s="47"/>
      <c r="VJQ241" s="47"/>
      <c r="VJR241" s="47"/>
      <c r="VJS241" s="47"/>
      <c r="VJT241" s="47"/>
      <c r="VJU241" s="47"/>
      <c r="VJV241" s="47"/>
      <c r="VJW241" s="47"/>
      <c r="VJX241" s="47"/>
      <c r="VJY241" s="47"/>
      <c r="VJZ241" s="47"/>
      <c r="VKA241" s="47"/>
      <c r="VKB241" s="47"/>
      <c r="VKC241" s="47"/>
      <c r="VKD241" s="47"/>
      <c r="VKE241" s="47"/>
      <c r="VKF241" s="47"/>
      <c r="VKG241" s="47"/>
      <c r="VKH241" s="47"/>
      <c r="VKI241" s="47"/>
      <c r="VKJ241" s="47"/>
      <c r="VKK241" s="47"/>
      <c r="VKL241" s="47"/>
      <c r="VKM241" s="47"/>
      <c r="VKN241" s="47"/>
      <c r="VKO241" s="47"/>
      <c r="VKP241" s="47"/>
      <c r="VKQ241" s="47"/>
      <c r="VKR241" s="47"/>
      <c r="VKS241" s="47"/>
      <c r="VKT241" s="47"/>
      <c r="VKU241" s="47"/>
      <c r="VKV241" s="47"/>
      <c r="VKW241" s="47"/>
      <c r="VKX241" s="47"/>
      <c r="VKY241" s="47"/>
      <c r="VKZ241" s="47"/>
      <c r="VLA241" s="47"/>
      <c r="VLB241" s="47"/>
      <c r="VLC241" s="47"/>
      <c r="VLD241" s="47"/>
      <c r="VLE241" s="47"/>
      <c r="VLF241" s="47"/>
      <c r="VLG241" s="47"/>
      <c r="VLH241" s="47"/>
      <c r="VLI241" s="47"/>
      <c r="VLJ241" s="47"/>
      <c r="VLK241" s="47"/>
      <c r="VLL241" s="47"/>
      <c r="VLM241" s="47"/>
      <c r="VLN241" s="47"/>
      <c r="VLO241" s="47"/>
      <c r="VLP241" s="47"/>
      <c r="VLQ241" s="47"/>
      <c r="VLR241" s="47"/>
      <c r="VLS241" s="47"/>
      <c r="VLT241" s="47"/>
      <c r="VLU241" s="47"/>
      <c r="VLV241" s="47"/>
      <c r="VLW241" s="47"/>
      <c r="VLX241" s="47"/>
      <c r="VLY241" s="47"/>
      <c r="VLZ241" s="47"/>
      <c r="VMA241" s="47"/>
      <c r="VMB241" s="47"/>
      <c r="VMC241" s="47"/>
      <c r="VMD241" s="47"/>
      <c r="VME241" s="47"/>
      <c r="VMF241" s="47"/>
      <c r="VMG241" s="47"/>
      <c r="VMH241" s="47"/>
      <c r="VMI241" s="47"/>
      <c r="VMJ241" s="47"/>
      <c r="VMK241" s="47"/>
      <c r="VML241" s="47"/>
      <c r="VMM241" s="47"/>
      <c r="VMN241" s="47"/>
      <c r="VMO241" s="47"/>
      <c r="VMP241" s="47"/>
      <c r="VMQ241" s="47"/>
      <c r="VMR241" s="47"/>
      <c r="VMS241" s="47"/>
      <c r="VMT241" s="47"/>
      <c r="VMU241" s="47"/>
      <c r="VMV241" s="47"/>
      <c r="VMW241" s="47"/>
      <c r="VMX241" s="47"/>
      <c r="VMY241" s="47"/>
      <c r="VMZ241" s="47"/>
      <c r="VNA241" s="47"/>
      <c r="VNB241" s="47"/>
      <c r="VNC241" s="47"/>
      <c r="VND241" s="47"/>
      <c r="VNE241" s="47"/>
      <c r="VNF241" s="47"/>
      <c r="VNG241" s="47"/>
      <c r="VNH241" s="47"/>
      <c r="VNI241" s="47"/>
      <c r="VNJ241" s="47"/>
      <c r="VNK241" s="47"/>
      <c r="VNL241" s="47"/>
      <c r="VNM241" s="47"/>
      <c r="VNN241" s="47"/>
      <c r="VNO241" s="47"/>
      <c r="VNP241" s="47"/>
      <c r="VNQ241" s="47"/>
      <c r="VNR241" s="47"/>
      <c r="VNS241" s="47"/>
      <c r="VNT241" s="47"/>
      <c r="VNU241" s="47"/>
      <c r="VNV241" s="47"/>
      <c r="VNW241" s="47"/>
      <c r="VNX241" s="47"/>
      <c r="VNY241" s="47"/>
      <c r="VNZ241" s="47"/>
      <c r="VOA241" s="47"/>
      <c r="VOB241" s="47"/>
      <c r="VOC241" s="47"/>
      <c r="VOD241" s="47"/>
      <c r="VOE241" s="47"/>
      <c r="VOF241" s="47"/>
      <c r="VOG241" s="47"/>
      <c r="VOH241" s="47"/>
      <c r="VOI241" s="47"/>
      <c r="VOJ241" s="47"/>
      <c r="VOK241" s="47"/>
      <c r="VOL241" s="47"/>
      <c r="VOM241" s="47"/>
      <c r="VON241" s="47"/>
      <c r="VOO241" s="47"/>
      <c r="VOP241" s="47"/>
      <c r="VOQ241" s="47"/>
      <c r="VOR241" s="47"/>
      <c r="VOS241" s="47"/>
      <c r="VOT241" s="47"/>
      <c r="VOU241" s="47"/>
      <c r="VOV241" s="47"/>
      <c r="VOW241" s="47"/>
      <c r="VOX241" s="47"/>
      <c r="VOY241" s="47"/>
      <c r="VOZ241" s="47"/>
      <c r="VPA241" s="47"/>
      <c r="VPB241" s="47"/>
      <c r="VPC241" s="47"/>
      <c r="VPD241" s="47"/>
      <c r="VPE241" s="47"/>
      <c r="VPF241" s="47"/>
      <c r="VPG241" s="47"/>
      <c r="VPH241" s="47"/>
      <c r="VPI241" s="47"/>
      <c r="VPJ241" s="47"/>
      <c r="VPK241" s="47"/>
      <c r="VPL241" s="47"/>
      <c r="VPM241" s="47"/>
      <c r="VPN241" s="47"/>
      <c r="VPO241" s="47"/>
      <c r="VPP241" s="47"/>
      <c r="VPQ241" s="47"/>
      <c r="VPR241" s="47"/>
      <c r="VPS241" s="47"/>
      <c r="VPT241" s="47"/>
      <c r="VPU241" s="47"/>
      <c r="VPV241" s="47"/>
      <c r="VPW241" s="47"/>
      <c r="VPX241" s="47"/>
      <c r="VPY241" s="47"/>
      <c r="VPZ241" s="47"/>
      <c r="VQA241" s="47"/>
      <c r="VQB241" s="47"/>
      <c r="VQC241" s="47"/>
      <c r="VQD241" s="47"/>
      <c r="VQE241" s="47"/>
      <c r="VQF241" s="47"/>
      <c r="VQG241" s="47"/>
      <c r="VQH241" s="47"/>
      <c r="VQI241" s="47"/>
      <c r="VQJ241" s="47"/>
      <c r="VQK241" s="47"/>
      <c r="VQL241" s="47"/>
      <c r="VQM241" s="47"/>
      <c r="VQN241" s="47"/>
      <c r="VQO241" s="47"/>
      <c r="VQP241" s="47"/>
      <c r="VQQ241" s="47"/>
      <c r="VQR241" s="47"/>
      <c r="VQS241" s="47"/>
      <c r="VQT241" s="47"/>
      <c r="VQU241" s="47"/>
      <c r="VQV241" s="47"/>
      <c r="VQW241" s="47"/>
      <c r="VQX241" s="47"/>
      <c r="VQY241" s="47"/>
      <c r="VQZ241" s="47"/>
      <c r="VRA241" s="47"/>
      <c r="VRB241" s="47"/>
      <c r="VRC241" s="47"/>
      <c r="VRD241" s="47"/>
      <c r="VRE241" s="47"/>
      <c r="VRF241" s="47"/>
      <c r="VRG241" s="47"/>
      <c r="VRH241" s="47"/>
      <c r="VRI241" s="47"/>
      <c r="VRJ241" s="47"/>
      <c r="VRK241" s="47"/>
      <c r="VRL241" s="47"/>
      <c r="VRM241" s="47"/>
      <c r="VRN241" s="47"/>
      <c r="VRO241" s="47"/>
      <c r="VRP241" s="47"/>
      <c r="VRQ241" s="47"/>
      <c r="VRR241" s="47"/>
      <c r="VRS241" s="47"/>
      <c r="VRT241" s="47"/>
      <c r="VRU241" s="47"/>
      <c r="VRV241" s="47"/>
      <c r="VRW241" s="47"/>
      <c r="VRX241" s="47"/>
      <c r="VRY241" s="47"/>
      <c r="VRZ241" s="47"/>
      <c r="VSA241" s="47"/>
      <c r="VSB241" s="47"/>
      <c r="VSC241" s="47"/>
      <c r="VSD241" s="47"/>
      <c r="VSE241" s="47"/>
      <c r="VSF241" s="47"/>
      <c r="VSG241" s="47"/>
      <c r="VSH241" s="47"/>
      <c r="VSI241" s="47"/>
      <c r="VSJ241" s="47"/>
      <c r="VSK241" s="47"/>
      <c r="VSL241" s="47"/>
      <c r="VSM241" s="47"/>
      <c r="VSN241" s="47"/>
      <c r="VSO241" s="47"/>
      <c r="VSP241" s="47"/>
      <c r="VSQ241" s="47"/>
      <c r="VSR241" s="47"/>
      <c r="VSS241" s="47"/>
      <c r="VST241" s="47"/>
      <c r="VSU241" s="47"/>
      <c r="VSV241" s="47"/>
      <c r="VSW241" s="47"/>
      <c r="VSX241" s="47"/>
      <c r="VSY241" s="47"/>
      <c r="VSZ241" s="47"/>
      <c r="VTA241" s="47"/>
      <c r="VTB241" s="47"/>
      <c r="VTC241" s="47"/>
      <c r="VTD241" s="47"/>
      <c r="VTE241" s="47"/>
      <c r="VTF241" s="47"/>
      <c r="VTG241" s="47"/>
      <c r="VTH241" s="47"/>
      <c r="VTI241" s="47"/>
      <c r="VTJ241" s="47"/>
      <c r="VTK241" s="47"/>
      <c r="VTL241" s="47"/>
      <c r="VTM241" s="47"/>
      <c r="VTN241" s="47"/>
      <c r="VTO241" s="47"/>
      <c r="VTP241" s="47"/>
      <c r="VTQ241" s="47"/>
      <c r="VTR241" s="47"/>
      <c r="VTS241" s="47"/>
      <c r="VTT241" s="47"/>
      <c r="VTU241" s="47"/>
      <c r="VTV241" s="47"/>
      <c r="VTW241" s="47"/>
      <c r="VTX241" s="47"/>
      <c r="VTY241" s="47"/>
      <c r="VTZ241" s="47"/>
      <c r="VUA241" s="47"/>
      <c r="VUB241" s="47"/>
      <c r="VUC241" s="47"/>
      <c r="VUD241" s="47"/>
      <c r="VUE241" s="47"/>
      <c r="VUF241" s="47"/>
      <c r="VUG241" s="47"/>
      <c r="VUH241" s="47"/>
      <c r="VUI241" s="47"/>
      <c r="VUJ241" s="47"/>
      <c r="VUK241" s="47"/>
      <c r="VUL241" s="47"/>
      <c r="VUM241" s="47"/>
      <c r="VUN241" s="47"/>
      <c r="VUO241" s="47"/>
      <c r="VUP241" s="47"/>
      <c r="VUQ241" s="47"/>
      <c r="VUR241" s="47"/>
      <c r="VUS241" s="47"/>
      <c r="VUT241" s="47"/>
      <c r="VUU241" s="47"/>
      <c r="VUV241" s="47"/>
      <c r="VUW241" s="47"/>
      <c r="VUX241" s="47"/>
      <c r="VUY241" s="47"/>
      <c r="VUZ241" s="47"/>
      <c r="VVA241" s="47"/>
      <c r="VVB241" s="47"/>
      <c r="VVC241" s="47"/>
      <c r="VVD241" s="47"/>
      <c r="VVE241" s="47"/>
      <c r="VVF241" s="47"/>
      <c r="VVG241" s="47"/>
      <c r="VVH241" s="47"/>
      <c r="VVI241" s="47"/>
      <c r="VVJ241" s="47"/>
      <c r="VVK241" s="47"/>
      <c r="VVL241" s="47"/>
    </row>
    <row r="242" spans="3:98 15064:15456" s="16" customFormat="1" x14ac:dyDescent="0.2">
      <c r="C242" s="17"/>
      <c r="D242" s="248" t="s">
        <v>12</v>
      </c>
      <c r="E242" s="270">
        <v>1100</v>
      </c>
      <c r="F242" s="249" t="s">
        <v>124</v>
      </c>
      <c r="G242" s="250">
        <v>478</v>
      </c>
      <c r="H242" s="250">
        <v>543</v>
      </c>
      <c r="I242" s="250">
        <v>732</v>
      </c>
      <c r="J242" s="250">
        <v>681</v>
      </c>
      <c r="K242" s="250">
        <v>916</v>
      </c>
      <c r="L242" s="250">
        <v>712</v>
      </c>
      <c r="M242" s="250">
        <v>724</v>
      </c>
      <c r="N242" s="250">
        <v>555</v>
      </c>
      <c r="O242" s="250">
        <v>478</v>
      </c>
      <c r="P242" s="250">
        <v>610</v>
      </c>
      <c r="Q242" s="250">
        <v>793</v>
      </c>
      <c r="R242" s="250">
        <v>733</v>
      </c>
      <c r="S242" s="250">
        <v>532</v>
      </c>
      <c r="T242" s="250">
        <v>555</v>
      </c>
      <c r="U242" s="250">
        <v>603</v>
      </c>
      <c r="V242" s="250">
        <v>670</v>
      </c>
      <c r="W242" s="250">
        <v>469</v>
      </c>
      <c r="X242" s="250">
        <v>669</v>
      </c>
      <c r="Y242" s="250">
        <v>605</v>
      </c>
      <c r="Z242" s="250">
        <v>665</v>
      </c>
      <c r="AA242" s="250">
        <v>545</v>
      </c>
      <c r="AB242" s="250">
        <v>479</v>
      </c>
      <c r="AC242" s="250">
        <v>268</v>
      </c>
      <c r="AD242" s="250">
        <v>174</v>
      </c>
      <c r="AE242" s="250">
        <v>845</v>
      </c>
      <c r="AF242" s="250">
        <v>697</v>
      </c>
      <c r="AG242" s="250">
        <v>951</v>
      </c>
      <c r="AH242" s="250">
        <v>887</v>
      </c>
      <c r="AI242" s="250">
        <v>683</v>
      </c>
      <c r="AJ242" s="250">
        <v>713</v>
      </c>
      <c r="AK242" s="306"/>
      <c r="AL242" s="778"/>
      <c r="AM242" s="848">
        <f>SUM(G242:AK242)</f>
        <v>18965</v>
      </c>
      <c r="AN242" s="376">
        <f>AM242/4</f>
        <v>4741.25</v>
      </c>
      <c r="AO242" s="376"/>
      <c r="AP242" s="143"/>
      <c r="AQ242" s="143"/>
      <c r="AR242" s="143"/>
      <c r="CT242" s="148"/>
    </row>
    <row r="243" spans="3:98 15064:15456" s="16" customFormat="1" x14ac:dyDescent="0.25">
      <c r="C243" s="17"/>
      <c r="D243" s="43" t="s">
        <v>11</v>
      </c>
      <c r="E243" s="257"/>
      <c r="F243" s="12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M243" s="124" t="s">
        <v>11</v>
      </c>
      <c r="CT243" s="148"/>
    </row>
    <row r="244" spans="3:98 15064:15456" s="16" customFormat="1" x14ac:dyDescent="0.2">
      <c r="C244" s="17"/>
      <c r="D244" s="248" t="s">
        <v>10</v>
      </c>
      <c r="E244" s="271">
        <v>91.5</v>
      </c>
      <c r="F244" s="249" t="s">
        <v>366</v>
      </c>
      <c r="G244" s="251">
        <v>86</v>
      </c>
      <c r="H244" s="251">
        <v>112</v>
      </c>
      <c r="I244" s="251">
        <v>184</v>
      </c>
      <c r="J244" s="251">
        <v>113</v>
      </c>
      <c r="K244" s="251">
        <v>73</v>
      </c>
      <c r="L244" s="251">
        <v>79</v>
      </c>
      <c r="M244" s="251">
        <v>80</v>
      </c>
      <c r="N244" s="251">
        <v>29</v>
      </c>
      <c r="O244" s="251">
        <v>59</v>
      </c>
      <c r="P244" s="251">
        <v>192</v>
      </c>
      <c r="Q244" s="251">
        <v>154</v>
      </c>
      <c r="R244" s="251">
        <v>70</v>
      </c>
      <c r="S244" s="251">
        <v>69</v>
      </c>
      <c r="T244" s="251">
        <v>62</v>
      </c>
      <c r="U244" s="251">
        <v>73</v>
      </c>
      <c r="V244" s="251">
        <v>59</v>
      </c>
      <c r="W244" s="251">
        <v>61</v>
      </c>
      <c r="X244" s="251">
        <v>81</v>
      </c>
      <c r="Y244" s="251">
        <v>67</v>
      </c>
      <c r="Z244" s="251">
        <v>84</v>
      </c>
      <c r="AA244" s="251">
        <v>76</v>
      </c>
      <c r="AB244" s="251">
        <v>93</v>
      </c>
      <c r="AC244" s="251">
        <v>86</v>
      </c>
      <c r="AD244" s="251">
        <v>0</v>
      </c>
      <c r="AE244" s="251">
        <v>56</v>
      </c>
      <c r="AF244" s="251">
        <v>116</v>
      </c>
      <c r="AG244" s="251">
        <v>142</v>
      </c>
      <c r="AH244" s="251">
        <v>78</v>
      </c>
      <c r="AI244" s="251">
        <v>149</v>
      </c>
      <c r="AJ244" s="251">
        <v>116</v>
      </c>
      <c r="AK244" s="251"/>
      <c r="AM244" s="848">
        <f>SUM(G244:AK244)</f>
        <v>2699</v>
      </c>
      <c r="CT244" s="148"/>
    </row>
    <row r="245" spans="3:98 15064:15456" s="16" customFormat="1" x14ac:dyDescent="0.25">
      <c r="C245" s="17"/>
      <c r="D245" s="31"/>
      <c r="E245" s="271">
        <v>0.5</v>
      </c>
      <c r="F245" s="32" t="s">
        <v>367</v>
      </c>
      <c r="G245" s="34">
        <f t="shared" ref="G245:AJ245" si="76">G244/(G9/1000)</f>
        <v>0.26440060996605835</v>
      </c>
      <c r="H245" s="34">
        <f t="shared" si="76"/>
        <v>0.45831764686625304</v>
      </c>
      <c r="I245" s="34">
        <f t="shared" si="76"/>
        <v>0.16274630857761493</v>
      </c>
      <c r="J245" s="34">
        <f t="shared" si="76"/>
        <v>0.16461217081207699</v>
      </c>
      <c r="K245" s="34">
        <f t="shared" si="76"/>
        <v>0.11994387283977798</v>
      </c>
      <c r="L245" s="34">
        <f t="shared" si="76"/>
        <v>0.11926076441621102</v>
      </c>
      <c r="M245" s="34">
        <f>M244/(M9/1000)</f>
        <v>0.13062909338510598</v>
      </c>
      <c r="N245" s="34">
        <f>N244/(N9/1000)</f>
        <v>7.5042826164587031E-2</v>
      </c>
      <c r="O245" s="34">
        <f t="shared" si="76"/>
        <v>5.6645746144488904E-2</v>
      </c>
      <c r="P245" s="34">
        <f t="shared" si="76"/>
        <v>0.18167899781322833</v>
      </c>
      <c r="Q245" s="34">
        <f t="shared" si="76"/>
        <v>0.14422662685762025</v>
      </c>
      <c r="R245" s="34">
        <f t="shared" si="76"/>
        <v>9.9743943049058342E-2</v>
      </c>
      <c r="S245" s="34">
        <f>S244/(S9/1000)</f>
        <v>0.12242290905219828</v>
      </c>
      <c r="T245" s="34">
        <f t="shared" si="76"/>
        <v>0.10233370360528241</v>
      </c>
      <c r="U245" s="34">
        <f t="shared" si="76"/>
        <v>4.5972697255933788E-2</v>
      </c>
      <c r="V245" s="34" t="e">
        <f t="shared" si="76"/>
        <v>#DIV/0!</v>
      </c>
      <c r="W245" s="34">
        <f>W244/(W9/1000)</f>
        <v>0.14182022774933623</v>
      </c>
      <c r="X245" s="34">
        <f>X244/(X9/1000)</f>
        <v>7.0180789178642164E-2</v>
      </c>
      <c r="Y245" s="34">
        <f t="shared" si="76"/>
        <v>4.8527199495317121E-2</v>
      </c>
      <c r="Z245" s="34">
        <f t="shared" si="76"/>
        <v>8.9481931574019138E-2</v>
      </c>
      <c r="AA245" s="34">
        <f t="shared" si="76"/>
        <v>8.685525685727967E-2</v>
      </c>
      <c r="AB245" s="34">
        <f t="shared" si="76"/>
        <v>2.2615631535431158</v>
      </c>
      <c r="AC245" s="34" t="e">
        <f t="shared" si="76"/>
        <v>#DIV/0!</v>
      </c>
      <c r="AD245" s="34" t="e">
        <f t="shared" si="76"/>
        <v>#DIV/0!</v>
      </c>
      <c r="AE245" s="34">
        <f t="shared" si="76"/>
        <v>6.3648080669395965E-2</v>
      </c>
      <c r="AF245" s="34">
        <f t="shared" si="76"/>
        <v>7.1466813214706632E-2</v>
      </c>
      <c r="AG245" s="34">
        <f t="shared" si="76"/>
        <v>8.6112952297669423E-2</v>
      </c>
      <c r="AH245" s="34">
        <f t="shared" si="76"/>
        <v>4.5385066102185061E-2</v>
      </c>
      <c r="AI245" s="34">
        <f t="shared" si="76"/>
        <v>9.7466396987830439E-2</v>
      </c>
      <c r="AJ245" s="34">
        <f t="shared" si="76"/>
        <v>0.21275347008246032</v>
      </c>
      <c r="AK245" s="251"/>
      <c r="AM245" s="1541">
        <f>AM244/AM9*1000000</f>
        <v>112.24184687118054</v>
      </c>
      <c r="CT245" s="148"/>
    </row>
    <row r="246" spans="3:98 15064:15456" s="16" customFormat="1" x14ac:dyDescent="0.2">
      <c r="C246" s="17"/>
      <c r="D246" s="248" t="s">
        <v>9</v>
      </c>
      <c r="E246" s="271">
        <v>179.63</v>
      </c>
      <c r="F246" s="249" t="s">
        <v>366</v>
      </c>
      <c r="G246" s="251">
        <f>93</f>
        <v>93</v>
      </c>
      <c r="H246" s="251">
        <v>24</v>
      </c>
      <c r="I246" s="251">
        <v>68</v>
      </c>
      <c r="J246" s="251">
        <v>72</v>
      </c>
      <c r="K246" s="251">
        <v>85</v>
      </c>
      <c r="L246" s="251">
        <v>72</v>
      </c>
      <c r="M246" s="251">
        <v>61</v>
      </c>
      <c r="N246" s="251">
        <v>81</v>
      </c>
      <c r="O246" s="251">
        <v>22</v>
      </c>
      <c r="P246" s="251">
        <v>93</v>
      </c>
      <c r="Q246" s="251">
        <v>82</v>
      </c>
      <c r="R246" s="251">
        <v>62</v>
      </c>
      <c r="S246" s="251">
        <v>63</v>
      </c>
      <c r="T246" s="251">
        <v>52</v>
      </c>
      <c r="U246" s="251">
        <v>73</v>
      </c>
      <c r="V246" s="251">
        <v>96</v>
      </c>
      <c r="W246" s="251">
        <v>1</v>
      </c>
      <c r="X246" s="251">
        <v>76</v>
      </c>
      <c r="Y246" s="251">
        <v>71</v>
      </c>
      <c r="Z246" s="251">
        <v>103</v>
      </c>
      <c r="AA246" s="251">
        <v>95</v>
      </c>
      <c r="AB246" s="251">
        <v>27</v>
      </c>
      <c r="AC246" s="251">
        <v>0</v>
      </c>
      <c r="AD246" s="251">
        <v>0</v>
      </c>
      <c r="AE246" s="251">
        <v>75</v>
      </c>
      <c r="AF246" s="251">
        <v>92</v>
      </c>
      <c r="AG246" s="251">
        <v>122</v>
      </c>
      <c r="AH246" s="251">
        <v>118</v>
      </c>
      <c r="AI246" s="251">
        <v>82</v>
      </c>
      <c r="AJ246" s="251">
        <v>99</v>
      </c>
      <c r="AK246" s="251"/>
      <c r="AM246" s="848">
        <f>SUM(G246:AK246)</f>
        <v>2060</v>
      </c>
      <c r="CT246" s="148"/>
    </row>
    <row r="247" spans="3:98 15064:15456" s="16" customFormat="1" x14ac:dyDescent="0.25">
      <c r="C247" s="17"/>
      <c r="D247" s="31"/>
      <c r="E247" s="271">
        <v>0.4</v>
      </c>
      <c r="F247" s="32" t="s">
        <v>367</v>
      </c>
      <c r="G247" s="34">
        <f t="shared" ref="G247:AJ247" si="77">G246/(G23/1000)</f>
        <v>0.17655903526624345</v>
      </c>
      <c r="H247" s="34">
        <f t="shared" si="77"/>
        <v>0.10689946995679481</v>
      </c>
      <c r="I247" s="34">
        <f t="shared" si="77"/>
        <v>0.1007705986959099</v>
      </c>
      <c r="J247" s="34">
        <f t="shared" si="77"/>
        <v>0.10354304154808351</v>
      </c>
      <c r="K247" s="34">
        <f t="shared" si="77"/>
        <v>0.11363985791006943</v>
      </c>
      <c r="L247" s="34">
        <f t="shared" si="77"/>
        <v>0.13728825193919658</v>
      </c>
      <c r="M247" s="34">
        <f>M246/(M23/1000)</f>
        <v>0.12161714921427347</v>
      </c>
      <c r="N247" s="34">
        <f>N246/(N23/1000)</f>
        <v>0.1189839650745339</v>
      </c>
      <c r="O247" s="34">
        <f t="shared" si="77"/>
        <v>3.7329577751571662E-2</v>
      </c>
      <c r="P247" s="34">
        <f t="shared" si="77"/>
        <v>0.11381855119999021</v>
      </c>
      <c r="Q247" s="34">
        <f t="shared" si="77"/>
        <v>7.381249645564994E-2</v>
      </c>
      <c r="R247" s="34">
        <f t="shared" si="77"/>
        <v>0.15081378632605455</v>
      </c>
      <c r="S247" s="34">
        <f>S246/(S23/1000)</f>
        <v>9.9350280703967703E-2</v>
      </c>
      <c r="T247" s="34">
        <f t="shared" si="77"/>
        <v>5.9838206694974742E-2</v>
      </c>
      <c r="U247" s="34">
        <f t="shared" si="77"/>
        <v>6.3362775324278531E-2</v>
      </c>
      <c r="V247" s="34">
        <f t="shared" si="77"/>
        <v>0.13933519694159244</v>
      </c>
      <c r="W247" s="34" t="e">
        <f t="shared" si="77"/>
        <v>#DIV/0!</v>
      </c>
      <c r="X247" s="34">
        <f t="shared" si="77"/>
        <v>6.2196434343888995E-2</v>
      </c>
      <c r="Y247" s="34">
        <f t="shared" si="77"/>
        <v>8.1863914501788898E-2</v>
      </c>
      <c r="Z247" s="34">
        <f t="shared" si="77"/>
        <v>8.451677329729472E-2</v>
      </c>
      <c r="AA247" s="34">
        <f t="shared" si="77"/>
        <v>9.5137854751534967E-2</v>
      </c>
      <c r="AB247" s="34">
        <f t="shared" si="77"/>
        <v>9.4958411732639317E-2</v>
      </c>
      <c r="AC247" s="34" t="e">
        <f t="shared" si="77"/>
        <v>#DIV/0!</v>
      </c>
      <c r="AD247" s="34" t="e">
        <f t="shared" si="77"/>
        <v>#DIV/0!</v>
      </c>
      <c r="AE247" s="34">
        <f t="shared" si="77"/>
        <v>0.25333900812711541</v>
      </c>
      <c r="AF247" s="34">
        <f t="shared" si="77"/>
        <v>5.886632417556753E-2</v>
      </c>
      <c r="AG247" s="34">
        <f t="shared" si="77"/>
        <v>7.7527951368368347E-2</v>
      </c>
      <c r="AH247" s="34">
        <f t="shared" si="77"/>
        <v>7.5177623061946364E-2</v>
      </c>
      <c r="AI247" s="34">
        <f t="shared" si="77"/>
        <v>7.0734901117783966E-2</v>
      </c>
      <c r="AJ247" s="34">
        <f t="shared" si="77"/>
        <v>9.9807240964924299E-2</v>
      </c>
      <c r="AK247" s="251" t="e">
        <f>AK246/(AK12/1000)</f>
        <v>#DIV/0!</v>
      </c>
      <c r="AL247" s="1539"/>
      <c r="AM247" s="1541">
        <f>AM246/AM23*1000000</f>
        <v>91.178808770108958</v>
      </c>
      <c r="CT247" s="148"/>
    </row>
    <row r="248" spans="3:98 15064:15456" s="16" customFormat="1" x14ac:dyDescent="0.2">
      <c r="C248" s="17"/>
      <c r="D248" s="248" t="s">
        <v>8</v>
      </c>
      <c r="E248" s="270">
        <v>491.59</v>
      </c>
      <c r="F248" s="249" t="s">
        <v>124</v>
      </c>
      <c r="G248" s="251">
        <v>336</v>
      </c>
      <c r="H248" s="251">
        <v>320</v>
      </c>
      <c r="I248" s="251">
        <v>384</v>
      </c>
      <c r="J248" s="251">
        <v>336</v>
      </c>
      <c r="K248" s="251">
        <v>336</v>
      </c>
      <c r="L248" s="251">
        <v>384</v>
      </c>
      <c r="M248" s="251">
        <v>384</v>
      </c>
      <c r="N248" s="251">
        <v>320</v>
      </c>
      <c r="O248" s="251">
        <v>384</v>
      </c>
      <c r="P248" s="251">
        <v>320</v>
      </c>
      <c r="Q248" s="251">
        <v>384</v>
      </c>
      <c r="R248" s="251">
        <v>384</v>
      </c>
      <c r="S248" s="251">
        <v>384</v>
      </c>
      <c r="T248" s="251">
        <v>320</v>
      </c>
      <c r="U248" s="251">
        <v>384</v>
      </c>
      <c r="V248" s="251">
        <v>320</v>
      </c>
      <c r="W248" s="251">
        <v>384</v>
      </c>
      <c r="X248" s="251">
        <v>384</v>
      </c>
      <c r="Y248" s="251">
        <v>219.5</v>
      </c>
      <c r="Z248" s="251">
        <v>280.39999999999998</v>
      </c>
      <c r="AA248" s="251">
        <v>296.8</v>
      </c>
      <c r="AB248" s="251">
        <v>206.4</v>
      </c>
      <c r="AC248" s="251">
        <v>166.2</v>
      </c>
      <c r="AD248" s="251">
        <v>67.8</v>
      </c>
      <c r="AE248" s="251">
        <v>356.1</v>
      </c>
      <c r="AF248" s="251">
        <v>343.1</v>
      </c>
      <c r="AG248" s="251">
        <v>384</v>
      </c>
      <c r="AH248" s="251">
        <v>384</v>
      </c>
      <c r="AI248" s="251">
        <v>384</v>
      </c>
      <c r="AJ248" s="251">
        <v>384</v>
      </c>
      <c r="AK248" s="251"/>
      <c r="AM248" s="848">
        <f>SUM(G248:AK248)</f>
        <v>9920.2999999999993</v>
      </c>
      <c r="CT248" s="148"/>
    </row>
    <row r="249" spans="3:98 15064:15456" s="16" customFormat="1" x14ac:dyDescent="0.2">
      <c r="C249" s="17"/>
      <c r="D249" s="31" t="s">
        <v>7</v>
      </c>
      <c r="E249" s="270">
        <v>337.28</v>
      </c>
      <c r="F249" s="32" t="s">
        <v>124</v>
      </c>
      <c r="G249" s="34">
        <f>G242-G244-G246-G248</f>
        <v>-37</v>
      </c>
      <c r="H249" s="34">
        <f t="shared" ref="H249:AJ249" si="78">H242-H244-H246-H248</f>
        <v>87</v>
      </c>
      <c r="I249" s="34">
        <f t="shared" si="78"/>
        <v>96</v>
      </c>
      <c r="J249" s="34">
        <f t="shared" si="78"/>
        <v>160</v>
      </c>
      <c r="K249" s="34">
        <f t="shared" si="78"/>
        <v>422</v>
      </c>
      <c r="L249" s="34">
        <f t="shared" si="78"/>
        <v>177</v>
      </c>
      <c r="M249" s="34">
        <f t="shared" ref="M249:N249" si="79">M242-M244-M246-M248</f>
        <v>199</v>
      </c>
      <c r="N249" s="34">
        <f t="shared" si="79"/>
        <v>125</v>
      </c>
      <c r="O249" s="34">
        <f t="shared" si="78"/>
        <v>13</v>
      </c>
      <c r="P249" s="34">
        <f t="shared" si="78"/>
        <v>5</v>
      </c>
      <c r="Q249" s="34">
        <f t="shared" si="78"/>
        <v>173</v>
      </c>
      <c r="R249" s="34">
        <f t="shared" si="78"/>
        <v>217</v>
      </c>
      <c r="S249" s="34">
        <f>S242-S244-S246-S248</f>
        <v>16</v>
      </c>
      <c r="T249" s="34">
        <f>T242-T244-T246-T248</f>
        <v>121</v>
      </c>
      <c r="U249" s="34">
        <f t="shared" si="78"/>
        <v>73</v>
      </c>
      <c r="V249" s="34">
        <f t="shared" si="78"/>
        <v>195</v>
      </c>
      <c r="W249" s="34">
        <f t="shared" si="78"/>
        <v>23</v>
      </c>
      <c r="X249" s="34">
        <f t="shared" si="78"/>
        <v>128</v>
      </c>
      <c r="Y249" s="34">
        <f t="shared" si="78"/>
        <v>247.5</v>
      </c>
      <c r="Z249" s="34">
        <f t="shared" si="78"/>
        <v>197.60000000000002</v>
      </c>
      <c r="AA249" s="34">
        <f t="shared" si="78"/>
        <v>77.199999999999989</v>
      </c>
      <c r="AB249" s="34">
        <f t="shared" si="78"/>
        <v>152.6</v>
      </c>
      <c r="AC249" s="34">
        <f t="shared" si="78"/>
        <v>15.800000000000011</v>
      </c>
      <c r="AD249" s="34">
        <f t="shared" si="78"/>
        <v>106.2</v>
      </c>
      <c r="AE249" s="34">
        <f t="shared" si="78"/>
        <v>357.9</v>
      </c>
      <c r="AF249" s="34">
        <f t="shared" si="78"/>
        <v>145.89999999999998</v>
      </c>
      <c r="AG249" s="34">
        <f t="shared" si="78"/>
        <v>303</v>
      </c>
      <c r="AH249" s="34">
        <f>AH242-AH244-AH246-AH248</f>
        <v>307</v>
      </c>
      <c r="AI249" s="34">
        <f t="shared" si="78"/>
        <v>68</v>
      </c>
      <c r="AJ249" s="34">
        <f t="shared" si="78"/>
        <v>114</v>
      </c>
      <c r="AK249" s="34">
        <f>AK242-AK244-AK246-AK248</f>
        <v>0</v>
      </c>
      <c r="AM249" s="57">
        <f>SUM(G249:AK249)</f>
        <v>4285.7</v>
      </c>
      <c r="CT249" s="148"/>
    </row>
    <row r="250" spans="3:98 15064:15456" s="16" customFormat="1" x14ac:dyDescent="0.2">
      <c r="C250" s="17"/>
      <c r="D250" s="248" t="s">
        <v>6</v>
      </c>
      <c r="E250" s="270">
        <v>330</v>
      </c>
      <c r="F250" s="249" t="s">
        <v>124</v>
      </c>
      <c r="G250" s="251">
        <v>192</v>
      </c>
      <c r="H250" s="251">
        <v>163</v>
      </c>
      <c r="I250" s="251">
        <v>283</v>
      </c>
      <c r="J250" s="251">
        <v>162</v>
      </c>
      <c r="K250" s="251">
        <v>150</v>
      </c>
      <c r="L250" s="251">
        <v>197</v>
      </c>
      <c r="M250" s="251">
        <v>223</v>
      </c>
      <c r="N250" s="251">
        <v>206</v>
      </c>
      <c r="O250" s="251">
        <v>170</v>
      </c>
      <c r="P250" s="251">
        <v>117</v>
      </c>
      <c r="Q250" s="251">
        <v>191</v>
      </c>
      <c r="R250" s="251">
        <v>284</v>
      </c>
      <c r="S250" s="251">
        <v>187</v>
      </c>
      <c r="T250" s="251">
        <v>139</v>
      </c>
      <c r="U250" s="251">
        <v>209</v>
      </c>
      <c r="V250" s="251">
        <v>249</v>
      </c>
      <c r="W250" s="251">
        <v>165</v>
      </c>
      <c r="X250" s="251">
        <v>183</v>
      </c>
      <c r="Y250" s="251">
        <v>157</v>
      </c>
      <c r="Z250" s="251">
        <v>212</v>
      </c>
      <c r="AA250" s="251">
        <v>133</v>
      </c>
      <c r="AB250" s="251">
        <v>135</v>
      </c>
      <c r="AC250" s="251">
        <v>22</v>
      </c>
      <c r="AD250" s="251">
        <v>0</v>
      </c>
      <c r="AE250" s="251">
        <v>35</v>
      </c>
      <c r="AF250" s="251">
        <v>80</v>
      </c>
      <c r="AG250" s="251">
        <v>256</v>
      </c>
      <c r="AH250" s="251">
        <v>294</v>
      </c>
      <c r="AI250" s="251">
        <v>196</v>
      </c>
      <c r="AJ250" s="251">
        <v>247</v>
      </c>
      <c r="AK250" s="251"/>
      <c r="AM250" s="991">
        <f>SUM(G250:AK250)</f>
        <v>5237</v>
      </c>
      <c r="CT250" s="148"/>
    </row>
    <row r="251" spans="3:98 15064:15456" s="16" customFormat="1" x14ac:dyDescent="0.2">
      <c r="C251" s="986"/>
      <c r="D251" s="987"/>
      <c r="E251" s="988"/>
      <c r="F251" s="989"/>
      <c r="G251" s="280"/>
      <c r="H251" s="280"/>
      <c r="I251" s="280"/>
      <c r="J251" s="280"/>
      <c r="K251" s="280"/>
      <c r="L251" s="280"/>
      <c r="M251" s="449"/>
      <c r="N251" s="449"/>
      <c r="O251" s="280"/>
      <c r="P251" s="280"/>
      <c r="Q251" s="280"/>
      <c r="R251" s="280"/>
      <c r="T251" s="280"/>
      <c r="U251" s="280"/>
      <c r="V251" s="280"/>
      <c r="W251" s="280"/>
      <c r="X251" s="280"/>
      <c r="Y251" s="280"/>
      <c r="Z251" s="280"/>
      <c r="AA251" s="280"/>
      <c r="AB251" s="280"/>
      <c r="AC251" s="280"/>
      <c r="AD251" s="280"/>
      <c r="AE251" s="280"/>
      <c r="AF251" s="280"/>
      <c r="AG251" s="280"/>
      <c r="AH251" s="280"/>
      <c r="AI251" s="280"/>
      <c r="AJ251" s="280"/>
      <c r="AK251" s="280"/>
      <c r="AL251" s="832"/>
      <c r="AM251" s="990">
        <f>AM250/AM6</f>
        <v>193.96296296296296</v>
      </c>
      <c r="CT251" s="148"/>
    </row>
    <row r="252" spans="3:98 15064:15456" s="1" customFormat="1" x14ac:dyDescent="0.25">
      <c r="C252" s="86">
        <v>7</v>
      </c>
      <c r="D252" s="78" t="s">
        <v>5</v>
      </c>
      <c r="E252" s="79"/>
      <c r="F252" s="80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  <c r="AE252" s="97"/>
      <c r="AF252" s="97"/>
      <c r="AG252" s="97"/>
      <c r="AH252" s="97"/>
      <c r="AI252" s="97"/>
      <c r="AJ252" s="97"/>
      <c r="AK252" s="97"/>
      <c r="AM252" s="125" t="s">
        <v>135</v>
      </c>
      <c r="CT252" s="145"/>
      <c r="VGJ252" s="47"/>
      <c r="VGK252" s="47"/>
      <c r="VGL252" s="47"/>
      <c r="VGM252" s="47"/>
      <c r="VGN252" s="47"/>
      <c r="VGO252" s="47"/>
      <c r="VGP252" s="47"/>
      <c r="VGQ252" s="47"/>
      <c r="VGR252" s="47"/>
      <c r="VGS252" s="47"/>
      <c r="VGT252" s="47"/>
      <c r="VGU252" s="47"/>
      <c r="VGV252" s="47"/>
      <c r="VGW252" s="47"/>
      <c r="VGX252" s="47"/>
      <c r="VGY252" s="47"/>
      <c r="VGZ252" s="47"/>
      <c r="VHA252" s="47"/>
      <c r="VHB252" s="47"/>
      <c r="VHC252" s="47"/>
      <c r="VHD252" s="47"/>
      <c r="VHE252" s="47"/>
      <c r="VHF252" s="47"/>
      <c r="VHG252" s="47"/>
      <c r="VHH252" s="47"/>
      <c r="VHI252" s="47"/>
      <c r="VHJ252" s="47"/>
      <c r="VHK252" s="47"/>
      <c r="VHL252" s="47"/>
      <c r="VHM252" s="47"/>
      <c r="VHN252" s="47"/>
      <c r="VHO252" s="47"/>
      <c r="VHP252" s="47"/>
      <c r="VHQ252" s="47"/>
      <c r="VHR252" s="47"/>
      <c r="VHS252" s="47"/>
      <c r="VHT252" s="47"/>
      <c r="VHU252" s="47"/>
      <c r="VHV252" s="47"/>
      <c r="VHW252" s="47"/>
      <c r="VHX252" s="47"/>
      <c r="VHY252" s="47"/>
      <c r="VHZ252" s="47"/>
      <c r="VIA252" s="47"/>
      <c r="VIB252" s="47"/>
      <c r="VIC252" s="47"/>
      <c r="VID252" s="47"/>
      <c r="VIE252" s="47"/>
      <c r="VIF252" s="47"/>
      <c r="VIG252" s="47"/>
      <c r="VIH252" s="47"/>
      <c r="VII252" s="47"/>
      <c r="VIJ252" s="47"/>
      <c r="VIK252" s="47"/>
      <c r="VIL252" s="47"/>
      <c r="VIM252" s="47"/>
      <c r="VIN252" s="47"/>
      <c r="VIO252" s="47"/>
      <c r="VIP252" s="47"/>
      <c r="VIQ252" s="47"/>
      <c r="VIR252" s="47"/>
      <c r="VIS252" s="47"/>
      <c r="VIT252" s="47"/>
      <c r="VIU252" s="47"/>
      <c r="VIV252" s="47"/>
      <c r="VIW252" s="47"/>
      <c r="VIX252" s="47"/>
      <c r="VIY252" s="47"/>
      <c r="VIZ252" s="47"/>
      <c r="VJA252" s="47"/>
      <c r="VJB252" s="47"/>
      <c r="VJC252" s="47"/>
      <c r="VJD252" s="47"/>
      <c r="VJE252" s="47"/>
      <c r="VJF252" s="47"/>
      <c r="VJG252" s="47"/>
      <c r="VJH252" s="47"/>
      <c r="VJI252" s="47"/>
      <c r="VJJ252" s="47"/>
      <c r="VJK252" s="47"/>
      <c r="VJL252" s="47"/>
      <c r="VJM252" s="47"/>
      <c r="VJN252" s="47"/>
      <c r="VJO252" s="47"/>
      <c r="VJP252" s="47"/>
      <c r="VJQ252" s="47"/>
      <c r="VJR252" s="47"/>
      <c r="VJS252" s="47"/>
      <c r="VJT252" s="47"/>
      <c r="VJU252" s="47"/>
      <c r="VJV252" s="47"/>
      <c r="VJW252" s="47"/>
      <c r="VJX252" s="47"/>
      <c r="VJY252" s="47"/>
      <c r="VJZ252" s="47"/>
      <c r="VKA252" s="47"/>
      <c r="VKB252" s="47"/>
      <c r="VKC252" s="47"/>
      <c r="VKD252" s="47"/>
      <c r="VKE252" s="47"/>
      <c r="VKF252" s="47"/>
      <c r="VKG252" s="47"/>
      <c r="VKH252" s="47"/>
      <c r="VKI252" s="47"/>
      <c r="VKJ252" s="47"/>
      <c r="VKK252" s="47"/>
      <c r="VKL252" s="47"/>
      <c r="VKM252" s="47"/>
      <c r="VKN252" s="47"/>
      <c r="VKO252" s="47"/>
      <c r="VKP252" s="47"/>
      <c r="VKQ252" s="47"/>
      <c r="VKR252" s="47"/>
      <c r="VKS252" s="47"/>
      <c r="VKT252" s="47"/>
      <c r="VKU252" s="47"/>
      <c r="VKV252" s="47"/>
      <c r="VKW252" s="47"/>
      <c r="VKX252" s="47"/>
      <c r="VKY252" s="47"/>
      <c r="VKZ252" s="47"/>
      <c r="VLA252" s="47"/>
      <c r="VLB252" s="47"/>
      <c r="VLC252" s="47"/>
      <c r="VLD252" s="47"/>
      <c r="VLE252" s="47"/>
      <c r="VLF252" s="47"/>
      <c r="VLG252" s="47"/>
      <c r="VLH252" s="47"/>
      <c r="VLI252" s="47"/>
      <c r="VLJ252" s="47"/>
      <c r="VLK252" s="47"/>
      <c r="VLL252" s="47"/>
      <c r="VLM252" s="47"/>
      <c r="VLN252" s="47"/>
      <c r="VLO252" s="47"/>
      <c r="VLP252" s="47"/>
      <c r="VLQ252" s="47"/>
      <c r="VLR252" s="47"/>
      <c r="VLS252" s="47"/>
      <c r="VLT252" s="47"/>
      <c r="VLU252" s="47"/>
      <c r="VLV252" s="47"/>
      <c r="VLW252" s="47"/>
      <c r="VLX252" s="47"/>
      <c r="VLY252" s="47"/>
      <c r="VLZ252" s="47"/>
      <c r="VMA252" s="47"/>
      <c r="VMB252" s="47"/>
      <c r="VMC252" s="47"/>
      <c r="VMD252" s="47"/>
      <c r="VME252" s="47"/>
      <c r="VMF252" s="47"/>
      <c r="VMG252" s="47"/>
      <c r="VMH252" s="47"/>
      <c r="VMI252" s="47"/>
      <c r="VMJ252" s="47"/>
      <c r="VMK252" s="47"/>
      <c r="VML252" s="47"/>
      <c r="VMM252" s="47"/>
      <c r="VMN252" s="47"/>
      <c r="VMO252" s="47"/>
      <c r="VMP252" s="47"/>
      <c r="VMQ252" s="47"/>
      <c r="VMR252" s="47"/>
      <c r="VMS252" s="47"/>
      <c r="VMT252" s="47"/>
      <c r="VMU252" s="47"/>
      <c r="VMV252" s="47"/>
      <c r="VMW252" s="47"/>
      <c r="VMX252" s="47"/>
      <c r="VMY252" s="47"/>
      <c r="VMZ252" s="47"/>
      <c r="VNA252" s="47"/>
      <c r="VNB252" s="47"/>
      <c r="VNC252" s="47"/>
      <c r="VND252" s="47"/>
      <c r="VNE252" s="47"/>
      <c r="VNF252" s="47"/>
      <c r="VNG252" s="47"/>
      <c r="VNH252" s="47"/>
      <c r="VNI252" s="47"/>
      <c r="VNJ252" s="47"/>
      <c r="VNK252" s="47"/>
      <c r="VNL252" s="47"/>
      <c r="VNM252" s="47"/>
      <c r="VNN252" s="47"/>
      <c r="VNO252" s="47"/>
      <c r="VNP252" s="47"/>
      <c r="VNQ252" s="47"/>
      <c r="VNR252" s="47"/>
      <c r="VNS252" s="47"/>
      <c r="VNT252" s="47"/>
      <c r="VNU252" s="47"/>
      <c r="VNV252" s="47"/>
      <c r="VNW252" s="47"/>
      <c r="VNX252" s="47"/>
      <c r="VNY252" s="47"/>
      <c r="VNZ252" s="47"/>
      <c r="VOA252" s="47"/>
      <c r="VOB252" s="47"/>
      <c r="VOC252" s="47"/>
      <c r="VOD252" s="47"/>
      <c r="VOE252" s="47"/>
      <c r="VOF252" s="47"/>
      <c r="VOG252" s="47"/>
      <c r="VOH252" s="47"/>
      <c r="VOI252" s="47"/>
      <c r="VOJ252" s="47"/>
      <c r="VOK252" s="47"/>
      <c r="VOL252" s="47"/>
      <c r="VOM252" s="47"/>
      <c r="VON252" s="47"/>
      <c r="VOO252" s="47"/>
      <c r="VOP252" s="47"/>
      <c r="VOQ252" s="47"/>
      <c r="VOR252" s="47"/>
      <c r="VOS252" s="47"/>
      <c r="VOT252" s="47"/>
      <c r="VOU252" s="47"/>
      <c r="VOV252" s="47"/>
      <c r="VOW252" s="47"/>
      <c r="VOX252" s="47"/>
      <c r="VOY252" s="47"/>
      <c r="VOZ252" s="47"/>
      <c r="VPA252" s="47"/>
      <c r="VPB252" s="47"/>
      <c r="VPC252" s="47"/>
      <c r="VPD252" s="47"/>
      <c r="VPE252" s="47"/>
      <c r="VPF252" s="47"/>
      <c r="VPG252" s="47"/>
      <c r="VPH252" s="47"/>
      <c r="VPI252" s="47"/>
      <c r="VPJ252" s="47"/>
      <c r="VPK252" s="47"/>
      <c r="VPL252" s="47"/>
      <c r="VPM252" s="47"/>
      <c r="VPN252" s="47"/>
      <c r="VPO252" s="47"/>
      <c r="VPP252" s="47"/>
      <c r="VPQ252" s="47"/>
      <c r="VPR252" s="47"/>
      <c r="VPS252" s="47"/>
      <c r="VPT252" s="47"/>
      <c r="VPU252" s="47"/>
      <c r="VPV252" s="47"/>
      <c r="VPW252" s="47"/>
      <c r="VPX252" s="47"/>
      <c r="VPY252" s="47"/>
      <c r="VPZ252" s="47"/>
      <c r="VQA252" s="47"/>
      <c r="VQB252" s="47"/>
      <c r="VQC252" s="47"/>
      <c r="VQD252" s="47"/>
      <c r="VQE252" s="47"/>
      <c r="VQF252" s="47"/>
      <c r="VQG252" s="47"/>
      <c r="VQH252" s="47"/>
      <c r="VQI252" s="47"/>
      <c r="VQJ252" s="47"/>
      <c r="VQK252" s="47"/>
      <c r="VQL252" s="47"/>
      <c r="VQM252" s="47"/>
      <c r="VQN252" s="47"/>
      <c r="VQO252" s="47"/>
      <c r="VQP252" s="47"/>
      <c r="VQQ252" s="47"/>
      <c r="VQR252" s="47"/>
      <c r="VQS252" s="47"/>
      <c r="VQT252" s="47"/>
      <c r="VQU252" s="47"/>
      <c r="VQV252" s="47"/>
      <c r="VQW252" s="47"/>
      <c r="VQX252" s="47"/>
      <c r="VQY252" s="47"/>
      <c r="VQZ252" s="47"/>
      <c r="VRA252" s="47"/>
      <c r="VRB252" s="47"/>
      <c r="VRC252" s="47"/>
      <c r="VRD252" s="47"/>
      <c r="VRE252" s="47"/>
      <c r="VRF252" s="47"/>
      <c r="VRG252" s="47"/>
      <c r="VRH252" s="47"/>
      <c r="VRI252" s="47"/>
      <c r="VRJ252" s="47"/>
      <c r="VRK252" s="47"/>
      <c r="VRL252" s="47"/>
      <c r="VRM252" s="47"/>
      <c r="VRN252" s="47"/>
      <c r="VRO252" s="47"/>
      <c r="VRP252" s="47"/>
      <c r="VRQ252" s="47"/>
      <c r="VRR252" s="47"/>
      <c r="VRS252" s="47"/>
      <c r="VRT252" s="47"/>
      <c r="VRU252" s="47"/>
      <c r="VRV252" s="47"/>
      <c r="VRW252" s="47"/>
      <c r="VRX252" s="47"/>
      <c r="VRY252" s="47"/>
      <c r="VRZ252" s="47"/>
      <c r="VSA252" s="47"/>
      <c r="VSB252" s="47"/>
      <c r="VSC252" s="47"/>
      <c r="VSD252" s="47"/>
      <c r="VSE252" s="47"/>
      <c r="VSF252" s="47"/>
      <c r="VSG252" s="47"/>
      <c r="VSH252" s="47"/>
      <c r="VSI252" s="47"/>
      <c r="VSJ252" s="47"/>
      <c r="VSK252" s="47"/>
      <c r="VSL252" s="47"/>
      <c r="VSM252" s="47"/>
      <c r="VSN252" s="47"/>
      <c r="VSO252" s="47"/>
      <c r="VSP252" s="47"/>
      <c r="VSQ252" s="47"/>
      <c r="VSR252" s="47"/>
      <c r="VSS252" s="47"/>
      <c r="VST252" s="47"/>
      <c r="VSU252" s="47"/>
      <c r="VSV252" s="47"/>
      <c r="VSW252" s="47"/>
      <c r="VSX252" s="47"/>
      <c r="VSY252" s="47"/>
      <c r="VSZ252" s="47"/>
      <c r="VTA252" s="47"/>
      <c r="VTB252" s="47"/>
      <c r="VTC252" s="47"/>
      <c r="VTD252" s="47"/>
      <c r="VTE252" s="47"/>
      <c r="VTF252" s="47"/>
      <c r="VTG252" s="47"/>
      <c r="VTH252" s="47"/>
      <c r="VTI252" s="47"/>
      <c r="VTJ252" s="47"/>
      <c r="VTK252" s="47"/>
      <c r="VTL252" s="47"/>
      <c r="VTM252" s="47"/>
      <c r="VTN252" s="47"/>
      <c r="VTO252" s="47"/>
      <c r="VTP252" s="47"/>
      <c r="VTQ252" s="47"/>
      <c r="VTR252" s="47"/>
      <c r="VTS252" s="47"/>
      <c r="VTT252" s="47"/>
      <c r="VTU252" s="47"/>
      <c r="VTV252" s="47"/>
      <c r="VTW252" s="47"/>
      <c r="VTX252" s="47"/>
      <c r="VTY252" s="47"/>
      <c r="VTZ252" s="47"/>
      <c r="VUA252" s="47"/>
      <c r="VUB252" s="47"/>
      <c r="VUC252" s="47"/>
      <c r="VUD252" s="47"/>
      <c r="VUE252" s="47"/>
      <c r="VUF252" s="47"/>
      <c r="VUG252" s="47"/>
      <c r="VUH252" s="47"/>
      <c r="VUI252" s="47"/>
      <c r="VUJ252" s="47"/>
      <c r="VUK252" s="47"/>
      <c r="VUL252" s="47"/>
      <c r="VUM252" s="47"/>
      <c r="VUN252" s="47"/>
      <c r="VUO252" s="47"/>
      <c r="VUP252" s="47"/>
      <c r="VUQ252" s="47"/>
      <c r="VUR252" s="47"/>
      <c r="VUS252" s="47"/>
      <c r="VUT252" s="47"/>
      <c r="VUU252" s="47"/>
      <c r="VUV252" s="47"/>
      <c r="VUW252" s="47"/>
      <c r="VUX252" s="47"/>
      <c r="VUY252" s="47"/>
      <c r="VUZ252" s="47"/>
      <c r="VVA252" s="47"/>
      <c r="VVB252" s="47"/>
      <c r="VVC252" s="47"/>
      <c r="VVD252" s="47"/>
      <c r="VVE252" s="47"/>
      <c r="VVF252" s="47"/>
      <c r="VVG252" s="47"/>
      <c r="VVH252" s="47"/>
      <c r="VVI252" s="47"/>
      <c r="VVJ252" s="47"/>
      <c r="VVK252" s="47"/>
      <c r="VVL252" s="47"/>
    </row>
    <row r="253" spans="3:98 15064:15456" s="1" customFormat="1" x14ac:dyDescent="0.25">
      <c r="C253" s="86"/>
      <c r="D253" s="126" t="s">
        <v>4</v>
      </c>
      <c r="E253" s="1098"/>
      <c r="F253" s="127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M253" s="55" t="s">
        <v>4</v>
      </c>
      <c r="CT253" s="145"/>
      <c r="VGJ253" s="47"/>
      <c r="VGK253" s="47"/>
      <c r="VGL253" s="47"/>
      <c r="VGM253" s="47"/>
      <c r="VGN253" s="47"/>
      <c r="VGO253" s="47"/>
      <c r="VGP253" s="47"/>
      <c r="VGQ253" s="47"/>
      <c r="VGR253" s="47"/>
      <c r="VGS253" s="47"/>
      <c r="VGT253" s="47"/>
      <c r="VGU253" s="47"/>
      <c r="VGV253" s="47"/>
      <c r="VGW253" s="47"/>
      <c r="VGX253" s="47"/>
      <c r="VGY253" s="47"/>
      <c r="VGZ253" s="47"/>
      <c r="VHA253" s="47"/>
      <c r="VHB253" s="47"/>
      <c r="VHC253" s="47"/>
      <c r="VHD253" s="47"/>
      <c r="VHE253" s="47"/>
      <c r="VHF253" s="47"/>
      <c r="VHG253" s="47"/>
      <c r="VHH253" s="47"/>
      <c r="VHI253" s="47"/>
      <c r="VHJ253" s="47"/>
      <c r="VHK253" s="47"/>
      <c r="VHL253" s="47"/>
      <c r="VHM253" s="47"/>
      <c r="VHN253" s="47"/>
      <c r="VHO253" s="47"/>
      <c r="VHP253" s="47"/>
      <c r="VHQ253" s="47"/>
      <c r="VHR253" s="47"/>
      <c r="VHS253" s="47"/>
      <c r="VHT253" s="47"/>
      <c r="VHU253" s="47"/>
      <c r="VHV253" s="47"/>
      <c r="VHW253" s="47"/>
      <c r="VHX253" s="47"/>
      <c r="VHY253" s="47"/>
      <c r="VHZ253" s="47"/>
      <c r="VIA253" s="47"/>
      <c r="VIB253" s="47"/>
      <c r="VIC253" s="47"/>
      <c r="VID253" s="47"/>
      <c r="VIE253" s="47"/>
      <c r="VIF253" s="47"/>
      <c r="VIG253" s="47"/>
      <c r="VIH253" s="47"/>
      <c r="VII253" s="47"/>
      <c r="VIJ253" s="47"/>
      <c r="VIK253" s="47"/>
      <c r="VIL253" s="47"/>
      <c r="VIM253" s="47"/>
      <c r="VIN253" s="47"/>
      <c r="VIO253" s="47"/>
      <c r="VIP253" s="47"/>
      <c r="VIQ253" s="47"/>
      <c r="VIR253" s="47"/>
      <c r="VIS253" s="47"/>
      <c r="VIT253" s="47"/>
      <c r="VIU253" s="47"/>
      <c r="VIV253" s="47"/>
      <c r="VIW253" s="47"/>
      <c r="VIX253" s="47"/>
      <c r="VIY253" s="47"/>
      <c r="VIZ253" s="47"/>
      <c r="VJA253" s="47"/>
      <c r="VJB253" s="47"/>
      <c r="VJC253" s="47"/>
      <c r="VJD253" s="47"/>
      <c r="VJE253" s="47"/>
      <c r="VJF253" s="47"/>
      <c r="VJG253" s="47"/>
      <c r="VJH253" s="47"/>
      <c r="VJI253" s="47"/>
      <c r="VJJ253" s="47"/>
      <c r="VJK253" s="47"/>
      <c r="VJL253" s="47"/>
      <c r="VJM253" s="47"/>
      <c r="VJN253" s="47"/>
      <c r="VJO253" s="47"/>
      <c r="VJP253" s="47"/>
      <c r="VJQ253" s="47"/>
      <c r="VJR253" s="47"/>
      <c r="VJS253" s="47"/>
      <c r="VJT253" s="47"/>
      <c r="VJU253" s="47"/>
      <c r="VJV253" s="47"/>
      <c r="VJW253" s="47"/>
      <c r="VJX253" s="47"/>
      <c r="VJY253" s="47"/>
      <c r="VJZ253" s="47"/>
      <c r="VKA253" s="47"/>
      <c r="VKB253" s="47"/>
      <c r="VKC253" s="47"/>
      <c r="VKD253" s="47"/>
      <c r="VKE253" s="47"/>
      <c r="VKF253" s="47"/>
      <c r="VKG253" s="47"/>
      <c r="VKH253" s="47"/>
      <c r="VKI253" s="47"/>
      <c r="VKJ253" s="47"/>
      <c r="VKK253" s="47"/>
      <c r="VKL253" s="47"/>
      <c r="VKM253" s="47"/>
      <c r="VKN253" s="47"/>
      <c r="VKO253" s="47"/>
      <c r="VKP253" s="47"/>
      <c r="VKQ253" s="47"/>
      <c r="VKR253" s="47"/>
      <c r="VKS253" s="47"/>
      <c r="VKT253" s="47"/>
      <c r="VKU253" s="47"/>
      <c r="VKV253" s="47"/>
      <c r="VKW253" s="47"/>
      <c r="VKX253" s="47"/>
      <c r="VKY253" s="47"/>
      <c r="VKZ253" s="47"/>
      <c r="VLA253" s="47"/>
      <c r="VLB253" s="47"/>
      <c r="VLC253" s="47"/>
      <c r="VLD253" s="47"/>
      <c r="VLE253" s="47"/>
      <c r="VLF253" s="47"/>
      <c r="VLG253" s="47"/>
      <c r="VLH253" s="47"/>
      <c r="VLI253" s="47"/>
      <c r="VLJ253" s="47"/>
      <c r="VLK253" s="47"/>
      <c r="VLL253" s="47"/>
      <c r="VLM253" s="47"/>
      <c r="VLN253" s="47"/>
      <c r="VLO253" s="47"/>
      <c r="VLP253" s="47"/>
      <c r="VLQ253" s="47"/>
      <c r="VLR253" s="47"/>
      <c r="VLS253" s="47"/>
      <c r="VLT253" s="47"/>
      <c r="VLU253" s="47"/>
      <c r="VLV253" s="47"/>
      <c r="VLW253" s="47"/>
      <c r="VLX253" s="47"/>
      <c r="VLY253" s="47"/>
      <c r="VLZ253" s="47"/>
      <c r="VMA253" s="47"/>
      <c r="VMB253" s="47"/>
      <c r="VMC253" s="47"/>
      <c r="VMD253" s="47"/>
      <c r="VME253" s="47"/>
      <c r="VMF253" s="47"/>
      <c r="VMG253" s="47"/>
      <c r="VMH253" s="47"/>
      <c r="VMI253" s="47"/>
      <c r="VMJ253" s="47"/>
      <c r="VMK253" s="47"/>
      <c r="VML253" s="47"/>
      <c r="VMM253" s="47"/>
      <c r="VMN253" s="47"/>
      <c r="VMO253" s="47"/>
      <c r="VMP253" s="47"/>
      <c r="VMQ253" s="47"/>
      <c r="VMR253" s="47"/>
      <c r="VMS253" s="47"/>
      <c r="VMT253" s="47"/>
      <c r="VMU253" s="47"/>
      <c r="VMV253" s="47"/>
      <c r="VMW253" s="47"/>
      <c r="VMX253" s="47"/>
      <c r="VMY253" s="47"/>
      <c r="VMZ253" s="47"/>
      <c r="VNA253" s="47"/>
      <c r="VNB253" s="47"/>
      <c r="VNC253" s="47"/>
      <c r="VND253" s="47"/>
      <c r="VNE253" s="47"/>
      <c r="VNF253" s="47"/>
      <c r="VNG253" s="47"/>
      <c r="VNH253" s="47"/>
      <c r="VNI253" s="47"/>
      <c r="VNJ253" s="47"/>
      <c r="VNK253" s="47"/>
      <c r="VNL253" s="47"/>
      <c r="VNM253" s="47"/>
      <c r="VNN253" s="47"/>
      <c r="VNO253" s="47"/>
      <c r="VNP253" s="47"/>
      <c r="VNQ253" s="47"/>
      <c r="VNR253" s="47"/>
      <c r="VNS253" s="47"/>
      <c r="VNT253" s="47"/>
      <c r="VNU253" s="47"/>
      <c r="VNV253" s="47"/>
      <c r="VNW253" s="47"/>
      <c r="VNX253" s="47"/>
      <c r="VNY253" s="47"/>
      <c r="VNZ253" s="47"/>
      <c r="VOA253" s="47"/>
      <c r="VOB253" s="47"/>
      <c r="VOC253" s="47"/>
      <c r="VOD253" s="47"/>
      <c r="VOE253" s="47"/>
      <c r="VOF253" s="47"/>
      <c r="VOG253" s="47"/>
      <c r="VOH253" s="47"/>
      <c r="VOI253" s="47"/>
      <c r="VOJ253" s="47"/>
      <c r="VOK253" s="47"/>
      <c r="VOL253" s="47"/>
      <c r="VOM253" s="47"/>
      <c r="VON253" s="47"/>
      <c r="VOO253" s="47"/>
      <c r="VOP253" s="47"/>
      <c r="VOQ253" s="47"/>
      <c r="VOR253" s="47"/>
      <c r="VOS253" s="47"/>
      <c r="VOT253" s="47"/>
      <c r="VOU253" s="47"/>
      <c r="VOV253" s="47"/>
      <c r="VOW253" s="47"/>
      <c r="VOX253" s="47"/>
      <c r="VOY253" s="47"/>
      <c r="VOZ253" s="47"/>
      <c r="VPA253" s="47"/>
      <c r="VPB253" s="47"/>
      <c r="VPC253" s="47"/>
      <c r="VPD253" s="47"/>
      <c r="VPE253" s="47"/>
      <c r="VPF253" s="47"/>
      <c r="VPG253" s="47"/>
      <c r="VPH253" s="47"/>
      <c r="VPI253" s="47"/>
      <c r="VPJ253" s="47"/>
      <c r="VPK253" s="47"/>
      <c r="VPL253" s="47"/>
      <c r="VPM253" s="47"/>
      <c r="VPN253" s="47"/>
      <c r="VPO253" s="47"/>
      <c r="VPP253" s="47"/>
      <c r="VPQ253" s="47"/>
      <c r="VPR253" s="47"/>
      <c r="VPS253" s="47"/>
      <c r="VPT253" s="47"/>
      <c r="VPU253" s="47"/>
      <c r="VPV253" s="47"/>
      <c r="VPW253" s="47"/>
      <c r="VPX253" s="47"/>
      <c r="VPY253" s="47"/>
      <c r="VPZ253" s="47"/>
      <c r="VQA253" s="47"/>
      <c r="VQB253" s="47"/>
      <c r="VQC253" s="47"/>
      <c r="VQD253" s="47"/>
      <c r="VQE253" s="47"/>
      <c r="VQF253" s="47"/>
      <c r="VQG253" s="47"/>
      <c r="VQH253" s="47"/>
      <c r="VQI253" s="47"/>
      <c r="VQJ253" s="47"/>
      <c r="VQK253" s="47"/>
      <c r="VQL253" s="47"/>
      <c r="VQM253" s="47"/>
      <c r="VQN253" s="47"/>
      <c r="VQO253" s="47"/>
      <c r="VQP253" s="47"/>
      <c r="VQQ253" s="47"/>
      <c r="VQR253" s="47"/>
      <c r="VQS253" s="47"/>
      <c r="VQT253" s="47"/>
      <c r="VQU253" s="47"/>
      <c r="VQV253" s="47"/>
      <c r="VQW253" s="47"/>
      <c r="VQX253" s="47"/>
      <c r="VQY253" s="47"/>
      <c r="VQZ253" s="47"/>
      <c r="VRA253" s="47"/>
      <c r="VRB253" s="47"/>
      <c r="VRC253" s="47"/>
      <c r="VRD253" s="47"/>
      <c r="VRE253" s="47"/>
      <c r="VRF253" s="47"/>
      <c r="VRG253" s="47"/>
      <c r="VRH253" s="47"/>
      <c r="VRI253" s="47"/>
      <c r="VRJ253" s="47"/>
      <c r="VRK253" s="47"/>
      <c r="VRL253" s="47"/>
      <c r="VRM253" s="47"/>
      <c r="VRN253" s="47"/>
      <c r="VRO253" s="47"/>
      <c r="VRP253" s="47"/>
      <c r="VRQ253" s="47"/>
      <c r="VRR253" s="47"/>
      <c r="VRS253" s="47"/>
      <c r="VRT253" s="47"/>
      <c r="VRU253" s="47"/>
      <c r="VRV253" s="47"/>
      <c r="VRW253" s="47"/>
      <c r="VRX253" s="47"/>
      <c r="VRY253" s="47"/>
      <c r="VRZ253" s="47"/>
      <c r="VSA253" s="47"/>
      <c r="VSB253" s="47"/>
      <c r="VSC253" s="47"/>
      <c r="VSD253" s="47"/>
      <c r="VSE253" s="47"/>
      <c r="VSF253" s="47"/>
      <c r="VSG253" s="47"/>
      <c r="VSH253" s="47"/>
      <c r="VSI253" s="47"/>
      <c r="VSJ253" s="47"/>
      <c r="VSK253" s="47"/>
      <c r="VSL253" s="47"/>
      <c r="VSM253" s="47"/>
      <c r="VSN253" s="47"/>
      <c r="VSO253" s="47"/>
      <c r="VSP253" s="47"/>
      <c r="VSQ253" s="47"/>
      <c r="VSR253" s="47"/>
      <c r="VSS253" s="47"/>
      <c r="VST253" s="47"/>
      <c r="VSU253" s="47"/>
      <c r="VSV253" s="47"/>
      <c r="VSW253" s="47"/>
      <c r="VSX253" s="47"/>
      <c r="VSY253" s="47"/>
      <c r="VSZ253" s="47"/>
      <c r="VTA253" s="47"/>
      <c r="VTB253" s="47"/>
      <c r="VTC253" s="47"/>
      <c r="VTD253" s="47"/>
      <c r="VTE253" s="47"/>
      <c r="VTF253" s="47"/>
      <c r="VTG253" s="47"/>
      <c r="VTH253" s="47"/>
      <c r="VTI253" s="47"/>
      <c r="VTJ253" s="47"/>
      <c r="VTK253" s="47"/>
      <c r="VTL253" s="47"/>
      <c r="VTM253" s="47"/>
      <c r="VTN253" s="47"/>
      <c r="VTO253" s="47"/>
      <c r="VTP253" s="47"/>
      <c r="VTQ253" s="47"/>
      <c r="VTR253" s="47"/>
      <c r="VTS253" s="47"/>
      <c r="VTT253" s="47"/>
      <c r="VTU253" s="47"/>
      <c r="VTV253" s="47"/>
      <c r="VTW253" s="47"/>
      <c r="VTX253" s="47"/>
      <c r="VTY253" s="47"/>
      <c r="VTZ253" s="47"/>
      <c r="VUA253" s="47"/>
      <c r="VUB253" s="47"/>
      <c r="VUC253" s="47"/>
      <c r="VUD253" s="47"/>
      <c r="VUE253" s="47"/>
      <c r="VUF253" s="47"/>
      <c r="VUG253" s="47"/>
      <c r="VUH253" s="47"/>
      <c r="VUI253" s="47"/>
      <c r="VUJ253" s="47"/>
      <c r="VUK253" s="47"/>
      <c r="VUL253" s="47"/>
      <c r="VUM253" s="47"/>
      <c r="VUN253" s="47"/>
      <c r="VUO253" s="47"/>
      <c r="VUP253" s="47"/>
      <c r="VUQ253" s="47"/>
      <c r="VUR253" s="47"/>
      <c r="VUS253" s="47"/>
      <c r="VUT253" s="47"/>
      <c r="VUU253" s="47"/>
      <c r="VUV253" s="47"/>
      <c r="VUW253" s="47"/>
      <c r="VUX253" s="47"/>
      <c r="VUY253" s="47"/>
      <c r="VUZ253" s="47"/>
      <c r="VVA253" s="47"/>
      <c r="VVB253" s="47"/>
      <c r="VVC253" s="47"/>
      <c r="VVD253" s="47"/>
      <c r="VVE253" s="47"/>
      <c r="VVF253" s="47"/>
      <c r="VVG253" s="47"/>
      <c r="VVH253" s="47"/>
      <c r="VVI253" s="47"/>
      <c r="VVJ253" s="47"/>
      <c r="VVK253" s="47"/>
      <c r="VVL253" s="47"/>
    </row>
    <row r="254" spans="3:98 15064:15456" s="1" customFormat="1" x14ac:dyDescent="0.25">
      <c r="C254" s="86"/>
      <c r="D254" s="241" t="s">
        <v>3</v>
      </c>
      <c r="E254" s="240">
        <v>28770</v>
      </c>
      <c r="F254" s="252" t="s">
        <v>2</v>
      </c>
      <c r="G254" s="282">
        <v>21100</v>
      </c>
      <c r="H254" s="282">
        <v>19100</v>
      </c>
      <c r="I254" s="282">
        <v>23700</v>
      </c>
      <c r="J254" s="282">
        <v>22500</v>
      </c>
      <c r="K254" s="282">
        <v>21500</v>
      </c>
      <c r="L254" s="282">
        <v>20900</v>
      </c>
      <c r="M254" s="282">
        <v>20800</v>
      </c>
      <c r="N254" s="282">
        <v>20600</v>
      </c>
      <c r="O254" s="282">
        <v>19700</v>
      </c>
      <c r="P254" s="282">
        <v>23300</v>
      </c>
      <c r="Q254" s="282">
        <v>24100</v>
      </c>
      <c r="R254" s="282">
        <v>19900</v>
      </c>
      <c r="S254" s="282">
        <v>21200</v>
      </c>
      <c r="T254" s="282">
        <v>20600</v>
      </c>
      <c r="U254" s="282">
        <v>23400</v>
      </c>
      <c r="V254" s="282">
        <v>19500</v>
      </c>
      <c r="W254" s="282">
        <v>16200</v>
      </c>
      <c r="X254" s="282">
        <v>23100</v>
      </c>
      <c r="Y254" s="282">
        <v>24500</v>
      </c>
      <c r="Z254" s="282">
        <v>23500</v>
      </c>
      <c r="AA254" s="282">
        <v>22200</v>
      </c>
      <c r="AB254" s="282">
        <v>16800</v>
      </c>
      <c r="AC254" s="282">
        <v>15000</v>
      </c>
      <c r="AD254" s="282">
        <v>12400</v>
      </c>
      <c r="AE254" s="282">
        <v>20200</v>
      </c>
      <c r="AF254" s="282">
        <v>24800</v>
      </c>
      <c r="AG254" s="282">
        <v>26100</v>
      </c>
      <c r="AH254" s="282">
        <v>26100</v>
      </c>
      <c r="AI254" s="282">
        <v>24300</v>
      </c>
      <c r="AJ254" s="282">
        <v>23400</v>
      </c>
      <c r="AK254" s="282"/>
      <c r="AM254" s="85">
        <f>SUM(G254:AK254)</f>
        <v>640500</v>
      </c>
      <c r="AN254" s="177">
        <f>AM254/4</f>
        <v>160125</v>
      </c>
      <c r="AO254" s="65"/>
      <c r="CT254" s="145"/>
      <c r="VGJ254" s="47"/>
      <c r="VGK254" s="47"/>
      <c r="VGL254" s="47"/>
      <c r="VGM254" s="47"/>
      <c r="VGN254" s="47"/>
      <c r="VGO254" s="47"/>
      <c r="VGP254" s="47"/>
      <c r="VGQ254" s="47"/>
      <c r="VGR254" s="47"/>
      <c r="VGS254" s="47"/>
      <c r="VGT254" s="47"/>
      <c r="VGU254" s="47"/>
      <c r="VGV254" s="47"/>
      <c r="VGW254" s="47"/>
      <c r="VGX254" s="47"/>
      <c r="VGY254" s="47"/>
      <c r="VGZ254" s="47"/>
      <c r="VHA254" s="47"/>
      <c r="VHB254" s="47"/>
      <c r="VHC254" s="47"/>
      <c r="VHD254" s="47"/>
      <c r="VHE254" s="47"/>
      <c r="VHF254" s="47"/>
      <c r="VHG254" s="47"/>
      <c r="VHH254" s="47"/>
      <c r="VHI254" s="47"/>
      <c r="VHJ254" s="47"/>
      <c r="VHK254" s="47"/>
      <c r="VHL254" s="47"/>
      <c r="VHM254" s="47"/>
      <c r="VHN254" s="47"/>
      <c r="VHO254" s="47"/>
      <c r="VHP254" s="47"/>
      <c r="VHQ254" s="47"/>
      <c r="VHR254" s="47"/>
      <c r="VHS254" s="47"/>
      <c r="VHT254" s="47"/>
      <c r="VHU254" s="47"/>
      <c r="VHV254" s="47"/>
      <c r="VHW254" s="47"/>
      <c r="VHX254" s="47"/>
      <c r="VHY254" s="47"/>
      <c r="VHZ254" s="47"/>
      <c r="VIA254" s="47"/>
      <c r="VIB254" s="47"/>
      <c r="VIC254" s="47"/>
      <c r="VID254" s="47"/>
      <c r="VIE254" s="47"/>
      <c r="VIF254" s="47"/>
      <c r="VIG254" s="47"/>
      <c r="VIH254" s="47"/>
      <c r="VII254" s="47"/>
      <c r="VIJ254" s="47"/>
      <c r="VIK254" s="47"/>
      <c r="VIL254" s="47"/>
      <c r="VIM254" s="47"/>
      <c r="VIN254" s="47"/>
      <c r="VIO254" s="47"/>
      <c r="VIP254" s="47"/>
      <c r="VIQ254" s="47"/>
      <c r="VIR254" s="47"/>
      <c r="VIS254" s="47"/>
      <c r="VIT254" s="47"/>
      <c r="VIU254" s="47"/>
      <c r="VIV254" s="47"/>
      <c r="VIW254" s="47"/>
      <c r="VIX254" s="47"/>
      <c r="VIY254" s="47"/>
      <c r="VIZ254" s="47"/>
      <c r="VJA254" s="47"/>
      <c r="VJB254" s="47"/>
      <c r="VJC254" s="47"/>
      <c r="VJD254" s="47"/>
      <c r="VJE254" s="47"/>
      <c r="VJF254" s="47"/>
      <c r="VJG254" s="47"/>
      <c r="VJH254" s="47"/>
      <c r="VJI254" s="47"/>
      <c r="VJJ254" s="47"/>
      <c r="VJK254" s="47"/>
      <c r="VJL254" s="47"/>
      <c r="VJM254" s="47"/>
      <c r="VJN254" s="47"/>
      <c r="VJO254" s="47"/>
      <c r="VJP254" s="47"/>
      <c r="VJQ254" s="47"/>
      <c r="VJR254" s="47"/>
      <c r="VJS254" s="47"/>
      <c r="VJT254" s="47"/>
      <c r="VJU254" s="47"/>
      <c r="VJV254" s="47"/>
      <c r="VJW254" s="47"/>
      <c r="VJX254" s="47"/>
      <c r="VJY254" s="47"/>
      <c r="VJZ254" s="47"/>
      <c r="VKA254" s="47"/>
      <c r="VKB254" s="47"/>
      <c r="VKC254" s="47"/>
      <c r="VKD254" s="47"/>
      <c r="VKE254" s="47"/>
      <c r="VKF254" s="47"/>
      <c r="VKG254" s="47"/>
      <c r="VKH254" s="47"/>
      <c r="VKI254" s="47"/>
      <c r="VKJ254" s="47"/>
      <c r="VKK254" s="47"/>
      <c r="VKL254" s="47"/>
      <c r="VKM254" s="47"/>
      <c r="VKN254" s="47"/>
      <c r="VKO254" s="47"/>
      <c r="VKP254" s="47"/>
      <c r="VKQ254" s="47"/>
      <c r="VKR254" s="47"/>
      <c r="VKS254" s="47"/>
      <c r="VKT254" s="47"/>
      <c r="VKU254" s="47"/>
      <c r="VKV254" s="47"/>
      <c r="VKW254" s="47"/>
      <c r="VKX254" s="47"/>
      <c r="VKY254" s="47"/>
      <c r="VKZ254" s="47"/>
      <c r="VLA254" s="47"/>
      <c r="VLB254" s="47"/>
      <c r="VLC254" s="47"/>
      <c r="VLD254" s="47"/>
      <c r="VLE254" s="47"/>
      <c r="VLF254" s="47"/>
      <c r="VLG254" s="47"/>
      <c r="VLH254" s="47"/>
      <c r="VLI254" s="47"/>
      <c r="VLJ254" s="47"/>
      <c r="VLK254" s="47"/>
      <c r="VLL254" s="47"/>
      <c r="VLM254" s="47"/>
      <c r="VLN254" s="47"/>
      <c r="VLO254" s="47"/>
      <c r="VLP254" s="47"/>
      <c r="VLQ254" s="47"/>
      <c r="VLR254" s="47"/>
      <c r="VLS254" s="47"/>
      <c r="VLT254" s="47"/>
      <c r="VLU254" s="47"/>
      <c r="VLV254" s="47"/>
      <c r="VLW254" s="47"/>
      <c r="VLX254" s="47"/>
      <c r="VLY254" s="47"/>
      <c r="VLZ254" s="47"/>
      <c r="VMA254" s="47"/>
      <c r="VMB254" s="47"/>
      <c r="VMC254" s="47"/>
      <c r="VMD254" s="47"/>
      <c r="VME254" s="47"/>
      <c r="VMF254" s="47"/>
      <c r="VMG254" s="47"/>
      <c r="VMH254" s="47"/>
      <c r="VMI254" s="47"/>
      <c r="VMJ254" s="47"/>
      <c r="VMK254" s="47"/>
      <c r="VML254" s="47"/>
      <c r="VMM254" s="47"/>
      <c r="VMN254" s="47"/>
      <c r="VMO254" s="47"/>
      <c r="VMP254" s="47"/>
      <c r="VMQ254" s="47"/>
      <c r="VMR254" s="47"/>
      <c r="VMS254" s="47"/>
      <c r="VMT254" s="47"/>
      <c r="VMU254" s="47"/>
      <c r="VMV254" s="47"/>
      <c r="VMW254" s="47"/>
      <c r="VMX254" s="47"/>
      <c r="VMY254" s="47"/>
      <c r="VMZ254" s="47"/>
      <c r="VNA254" s="47"/>
      <c r="VNB254" s="47"/>
      <c r="VNC254" s="47"/>
      <c r="VND254" s="47"/>
      <c r="VNE254" s="47"/>
      <c r="VNF254" s="47"/>
      <c r="VNG254" s="47"/>
      <c r="VNH254" s="47"/>
      <c r="VNI254" s="47"/>
      <c r="VNJ254" s="47"/>
      <c r="VNK254" s="47"/>
      <c r="VNL254" s="47"/>
      <c r="VNM254" s="47"/>
      <c r="VNN254" s="47"/>
      <c r="VNO254" s="47"/>
      <c r="VNP254" s="47"/>
      <c r="VNQ254" s="47"/>
      <c r="VNR254" s="47"/>
      <c r="VNS254" s="47"/>
      <c r="VNT254" s="47"/>
      <c r="VNU254" s="47"/>
      <c r="VNV254" s="47"/>
      <c r="VNW254" s="47"/>
      <c r="VNX254" s="47"/>
      <c r="VNY254" s="47"/>
      <c r="VNZ254" s="47"/>
      <c r="VOA254" s="47"/>
      <c r="VOB254" s="47"/>
      <c r="VOC254" s="47"/>
      <c r="VOD254" s="47"/>
      <c r="VOE254" s="47"/>
      <c r="VOF254" s="47"/>
      <c r="VOG254" s="47"/>
      <c r="VOH254" s="47"/>
      <c r="VOI254" s="47"/>
      <c r="VOJ254" s="47"/>
      <c r="VOK254" s="47"/>
      <c r="VOL254" s="47"/>
      <c r="VOM254" s="47"/>
      <c r="VON254" s="47"/>
      <c r="VOO254" s="47"/>
      <c r="VOP254" s="47"/>
      <c r="VOQ254" s="47"/>
      <c r="VOR254" s="47"/>
      <c r="VOS254" s="47"/>
      <c r="VOT254" s="47"/>
      <c r="VOU254" s="47"/>
      <c r="VOV254" s="47"/>
      <c r="VOW254" s="47"/>
      <c r="VOX254" s="47"/>
      <c r="VOY254" s="47"/>
      <c r="VOZ254" s="47"/>
      <c r="VPA254" s="47"/>
      <c r="VPB254" s="47"/>
      <c r="VPC254" s="47"/>
      <c r="VPD254" s="47"/>
      <c r="VPE254" s="47"/>
      <c r="VPF254" s="47"/>
      <c r="VPG254" s="47"/>
      <c r="VPH254" s="47"/>
      <c r="VPI254" s="47"/>
      <c r="VPJ254" s="47"/>
      <c r="VPK254" s="47"/>
      <c r="VPL254" s="47"/>
      <c r="VPM254" s="47"/>
      <c r="VPN254" s="47"/>
      <c r="VPO254" s="47"/>
      <c r="VPP254" s="47"/>
      <c r="VPQ254" s="47"/>
      <c r="VPR254" s="47"/>
      <c r="VPS254" s="47"/>
      <c r="VPT254" s="47"/>
      <c r="VPU254" s="47"/>
      <c r="VPV254" s="47"/>
      <c r="VPW254" s="47"/>
      <c r="VPX254" s="47"/>
      <c r="VPY254" s="47"/>
      <c r="VPZ254" s="47"/>
      <c r="VQA254" s="47"/>
      <c r="VQB254" s="47"/>
      <c r="VQC254" s="47"/>
      <c r="VQD254" s="47"/>
      <c r="VQE254" s="47"/>
      <c r="VQF254" s="47"/>
      <c r="VQG254" s="47"/>
      <c r="VQH254" s="47"/>
      <c r="VQI254" s="47"/>
      <c r="VQJ254" s="47"/>
      <c r="VQK254" s="47"/>
      <c r="VQL254" s="47"/>
      <c r="VQM254" s="47"/>
      <c r="VQN254" s="47"/>
      <c r="VQO254" s="47"/>
      <c r="VQP254" s="47"/>
      <c r="VQQ254" s="47"/>
      <c r="VQR254" s="47"/>
      <c r="VQS254" s="47"/>
      <c r="VQT254" s="47"/>
      <c r="VQU254" s="47"/>
      <c r="VQV254" s="47"/>
      <c r="VQW254" s="47"/>
      <c r="VQX254" s="47"/>
      <c r="VQY254" s="47"/>
      <c r="VQZ254" s="47"/>
      <c r="VRA254" s="47"/>
      <c r="VRB254" s="47"/>
      <c r="VRC254" s="47"/>
      <c r="VRD254" s="47"/>
      <c r="VRE254" s="47"/>
      <c r="VRF254" s="47"/>
      <c r="VRG254" s="47"/>
      <c r="VRH254" s="47"/>
      <c r="VRI254" s="47"/>
      <c r="VRJ254" s="47"/>
      <c r="VRK254" s="47"/>
      <c r="VRL254" s="47"/>
      <c r="VRM254" s="47"/>
      <c r="VRN254" s="47"/>
      <c r="VRO254" s="47"/>
      <c r="VRP254" s="47"/>
      <c r="VRQ254" s="47"/>
      <c r="VRR254" s="47"/>
      <c r="VRS254" s="47"/>
      <c r="VRT254" s="47"/>
      <c r="VRU254" s="47"/>
      <c r="VRV254" s="47"/>
      <c r="VRW254" s="47"/>
      <c r="VRX254" s="47"/>
      <c r="VRY254" s="47"/>
      <c r="VRZ254" s="47"/>
      <c r="VSA254" s="47"/>
      <c r="VSB254" s="47"/>
      <c r="VSC254" s="47"/>
      <c r="VSD254" s="47"/>
      <c r="VSE254" s="47"/>
      <c r="VSF254" s="47"/>
      <c r="VSG254" s="47"/>
      <c r="VSH254" s="47"/>
      <c r="VSI254" s="47"/>
      <c r="VSJ254" s="47"/>
      <c r="VSK254" s="47"/>
      <c r="VSL254" s="47"/>
      <c r="VSM254" s="47"/>
      <c r="VSN254" s="47"/>
      <c r="VSO254" s="47"/>
      <c r="VSP254" s="47"/>
      <c r="VSQ254" s="47"/>
      <c r="VSR254" s="47"/>
      <c r="VSS254" s="47"/>
      <c r="VST254" s="47"/>
      <c r="VSU254" s="47"/>
      <c r="VSV254" s="47"/>
      <c r="VSW254" s="47"/>
      <c r="VSX254" s="47"/>
      <c r="VSY254" s="47"/>
      <c r="VSZ254" s="47"/>
      <c r="VTA254" s="47"/>
      <c r="VTB254" s="47"/>
      <c r="VTC254" s="47"/>
      <c r="VTD254" s="47"/>
      <c r="VTE254" s="47"/>
      <c r="VTF254" s="47"/>
      <c r="VTG254" s="47"/>
      <c r="VTH254" s="47"/>
      <c r="VTI254" s="47"/>
      <c r="VTJ254" s="47"/>
      <c r="VTK254" s="47"/>
      <c r="VTL254" s="47"/>
      <c r="VTM254" s="47"/>
      <c r="VTN254" s="47"/>
      <c r="VTO254" s="47"/>
      <c r="VTP254" s="47"/>
      <c r="VTQ254" s="47"/>
      <c r="VTR254" s="47"/>
      <c r="VTS254" s="47"/>
      <c r="VTT254" s="47"/>
      <c r="VTU254" s="47"/>
      <c r="VTV254" s="47"/>
      <c r="VTW254" s="47"/>
      <c r="VTX254" s="47"/>
      <c r="VTY254" s="47"/>
      <c r="VTZ254" s="47"/>
      <c r="VUA254" s="47"/>
      <c r="VUB254" s="47"/>
      <c r="VUC254" s="47"/>
      <c r="VUD254" s="47"/>
      <c r="VUE254" s="47"/>
      <c r="VUF254" s="47"/>
      <c r="VUG254" s="47"/>
      <c r="VUH254" s="47"/>
      <c r="VUI254" s="47"/>
      <c r="VUJ254" s="47"/>
      <c r="VUK254" s="47"/>
      <c r="VUL254" s="47"/>
      <c r="VUM254" s="47"/>
      <c r="VUN254" s="47"/>
      <c r="VUO254" s="47"/>
      <c r="VUP254" s="47"/>
      <c r="VUQ254" s="47"/>
      <c r="VUR254" s="47"/>
      <c r="VUS254" s="47"/>
      <c r="VUT254" s="47"/>
      <c r="VUU254" s="47"/>
      <c r="VUV254" s="47"/>
      <c r="VUW254" s="47"/>
      <c r="VUX254" s="47"/>
      <c r="VUY254" s="47"/>
      <c r="VUZ254" s="47"/>
      <c r="VVA254" s="47"/>
      <c r="VVB254" s="47"/>
      <c r="VVC254" s="47"/>
      <c r="VVD254" s="47"/>
      <c r="VVE254" s="47"/>
      <c r="VVF254" s="47"/>
      <c r="VVG254" s="47"/>
      <c r="VVH254" s="47"/>
      <c r="VVI254" s="47"/>
      <c r="VVJ254" s="47"/>
      <c r="VVK254" s="47"/>
      <c r="VVL254" s="47"/>
    </row>
    <row r="255" spans="3:98 15064:15456" s="1" customFormat="1" x14ac:dyDescent="0.25">
      <c r="C255" s="86"/>
      <c r="D255" s="126" t="s">
        <v>1</v>
      </c>
      <c r="E255" s="13"/>
      <c r="F255" s="72" t="s">
        <v>0</v>
      </c>
      <c r="G255" s="289">
        <f>G254</f>
        <v>21100</v>
      </c>
      <c r="H255" s="289">
        <f t="shared" ref="H255:AJ255" si="80">H254</f>
        <v>19100</v>
      </c>
      <c r="I255" s="289">
        <f t="shared" si="80"/>
        <v>23700</v>
      </c>
      <c r="J255" s="289">
        <f t="shared" si="80"/>
        <v>22500</v>
      </c>
      <c r="K255" s="289">
        <f t="shared" si="80"/>
        <v>21500</v>
      </c>
      <c r="L255" s="289">
        <f t="shared" si="80"/>
        <v>20900</v>
      </c>
      <c r="M255" s="289">
        <f t="shared" ref="M255:N255" si="81">M254</f>
        <v>20800</v>
      </c>
      <c r="N255" s="289">
        <f t="shared" si="81"/>
        <v>20600</v>
      </c>
      <c r="O255" s="289">
        <f t="shared" si="80"/>
        <v>19700</v>
      </c>
      <c r="P255" s="289">
        <f t="shared" si="80"/>
        <v>23300</v>
      </c>
      <c r="Q255" s="289">
        <f t="shared" si="80"/>
        <v>24100</v>
      </c>
      <c r="R255" s="289">
        <f t="shared" si="80"/>
        <v>19900</v>
      </c>
      <c r="S255" s="289">
        <f t="shared" ref="S255" si="82">S254</f>
        <v>21200</v>
      </c>
      <c r="T255" s="289">
        <f t="shared" si="80"/>
        <v>20600</v>
      </c>
      <c r="U255" s="289">
        <f t="shared" si="80"/>
        <v>23400</v>
      </c>
      <c r="V255" s="289">
        <f t="shared" si="80"/>
        <v>19500</v>
      </c>
      <c r="W255" s="289">
        <f t="shared" si="80"/>
        <v>16200</v>
      </c>
      <c r="X255" s="289">
        <f t="shared" si="80"/>
        <v>23100</v>
      </c>
      <c r="Y255" s="289">
        <f t="shared" si="80"/>
        <v>24500</v>
      </c>
      <c r="Z255" s="289">
        <f t="shared" si="80"/>
        <v>23500</v>
      </c>
      <c r="AA255" s="289">
        <f t="shared" si="80"/>
        <v>22200</v>
      </c>
      <c r="AB255" s="289">
        <f t="shared" si="80"/>
        <v>16800</v>
      </c>
      <c r="AC255" s="289">
        <f t="shared" si="80"/>
        <v>15000</v>
      </c>
      <c r="AD255" s="289">
        <f t="shared" si="80"/>
        <v>12400</v>
      </c>
      <c r="AE255" s="289">
        <f t="shared" si="80"/>
        <v>20200</v>
      </c>
      <c r="AF255" s="289">
        <f t="shared" si="80"/>
        <v>24800</v>
      </c>
      <c r="AG255" s="289">
        <f t="shared" si="80"/>
        <v>26100</v>
      </c>
      <c r="AH255" s="289">
        <f t="shared" si="80"/>
        <v>26100</v>
      </c>
      <c r="AI255" s="289">
        <f t="shared" si="80"/>
        <v>24300</v>
      </c>
      <c r="AJ255" s="289">
        <f t="shared" si="80"/>
        <v>23400</v>
      </c>
      <c r="AK255" s="289">
        <f>AK254</f>
        <v>0</v>
      </c>
      <c r="AL255" s="65"/>
      <c r="AM255" s="85">
        <f>SUM(G255:AK255)</f>
        <v>640500</v>
      </c>
      <c r="CT255" s="145"/>
      <c r="VGJ255" s="47"/>
      <c r="VGK255" s="47"/>
      <c r="VGL255" s="47"/>
      <c r="VGM255" s="47"/>
      <c r="VGN255" s="47"/>
      <c r="VGO255" s="47"/>
      <c r="VGP255" s="47"/>
      <c r="VGQ255" s="47"/>
      <c r="VGR255" s="47"/>
      <c r="VGS255" s="47"/>
      <c r="VGT255" s="47"/>
      <c r="VGU255" s="47"/>
      <c r="VGV255" s="47"/>
      <c r="VGW255" s="47"/>
      <c r="VGX255" s="47"/>
      <c r="VGY255" s="47"/>
      <c r="VGZ255" s="47"/>
      <c r="VHA255" s="47"/>
      <c r="VHB255" s="47"/>
      <c r="VHC255" s="47"/>
      <c r="VHD255" s="47"/>
      <c r="VHE255" s="47"/>
      <c r="VHF255" s="47"/>
      <c r="VHG255" s="47"/>
      <c r="VHH255" s="47"/>
      <c r="VHI255" s="47"/>
      <c r="VHJ255" s="47"/>
      <c r="VHK255" s="47"/>
      <c r="VHL255" s="47"/>
      <c r="VHM255" s="47"/>
      <c r="VHN255" s="47"/>
      <c r="VHO255" s="47"/>
      <c r="VHP255" s="47"/>
      <c r="VHQ255" s="47"/>
      <c r="VHR255" s="47"/>
      <c r="VHS255" s="47"/>
      <c r="VHT255" s="47"/>
      <c r="VHU255" s="47"/>
      <c r="VHV255" s="47"/>
      <c r="VHW255" s="47"/>
      <c r="VHX255" s="47"/>
      <c r="VHY255" s="47"/>
      <c r="VHZ255" s="47"/>
      <c r="VIA255" s="47"/>
      <c r="VIB255" s="47"/>
      <c r="VIC255" s="47"/>
      <c r="VID255" s="47"/>
      <c r="VIE255" s="47"/>
      <c r="VIF255" s="47"/>
      <c r="VIG255" s="47"/>
      <c r="VIH255" s="47"/>
      <c r="VII255" s="47"/>
      <c r="VIJ255" s="47"/>
      <c r="VIK255" s="47"/>
      <c r="VIL255" s="47"/>
      <c r="VIM255" s="47"/>
      <c r="VIN255" s="47"/>
      <c r="VIO255" s="47"/>
      <c r="VIP255" s="47"/>
      <c r="VIQ255" s="47"/>
      <c r="VIR255" s="47"/>
      <c r="VIS255" s="47"/>
      <c r="VIT255" s="47"/>
      <c r="VIU255" s="47"/>
      <c r="VIV255" s="47"/>
      <c r="VIW255" s="47"/>
      <c r="VIX255" s="47"/>
      <c r="VIY255" s="47"/>
      <c r="VIZ255" s="47"/>
      <c r="VJA255" s="47"/>
      <c r="VJB255" s="47"/>
      <c r="VJC255" s="47"/>
      <c r="VJD255" s="47"/>
      <c r="VJE255" s="47"/>
      <c r="VJF255" s="47"/>
      <c r="VJG255" s="47"/>
      <c r="VJH255" s="47"/>
      <c r="VJI255" s="47"/>
      <c r="VJJ255" s="47"/>
      <c r="VJK255" s="47"/>
      <c r="VJL255" s="47"/>
      <c r="VJM255" s="47"/>
      <c r="VJN255" s="47"/>
      <c r="VJO255" s="47"/>
      <c r="VJP255" s="47"/>
      <c r="VJQ255" s="47"/>
      <c r="VJR255" s="47"/>
      <c r="VJS255" s="47"/>
      <c r="VJT255" s="47"/>
      <c r="VJU255" s="47"/>
      <c r="VJV255" s="47"/>
      <c r="VJW255" s="47"/>
      <c r="VJX255" s="47"/>
      <c r="VJY255" s="47"/>
      <c r="VJZ255" s="47"/>
      <c r="VKA255" s="47"/>
      <c r="VKB255" s="47"/>
      <c r="VKC255" s="47"/>
      <c r="VKD255" s="47"/>
      <c r="VKE255" s="47"/>
      <c r="VKF255" s="47"/>
      <c r="VKG255" s="47"/>
      <c r="VKH255" s="47"/>
      <c r="VKI255" s="47"/>
      <c r="VKJ255" s="47"/>
      <c r="VKK255" s="47"/>
      <c r="VKL255" s="47"/>
      <c r="VKM255" s="47"/>
      <c r="VKN255" s="47"/>
      <c r="VKO255" s="47"/>
      <c r="VKP255" s="47"/>
      <c r="VKQ255" s="47"/>
      <c r="VKR255" s="47"/>
      <c r="VKS255" s="47"/>
      <c r="VKT255" s="47"/>
      <c r="VKU255" s="47"/>
      <c r="VKV255" s="47"/>
      <c r="VKW255" s="47"/>
      <c r="VKX255" s="47"/>
      <c r="VKY255" s="47"/>
      <c r="VKZ255" s="47"/>
      <c r="VLA255" s="47"/>
      <c r="VLB255" s="47"/>
      <c r="VLC255" s="47"/>
      <c r="VLD255" s="47"/>
      <c r="VLE255" s="47"/>
      <c r="VLF255" s="47"/>
      <c r="VLG255" s="47"/>
      <c r="VLH255" s="47"/>
      <c r="VLI255" s="47"/>
      <c r="VLJ255" s="47"/>
      <c r="VLK255" s="47"/>
      <c r="VLL255" s="47"/>
      <c r="VLM255" s="47"/>
      <c r="VLN255" s="47"/>
      <c r="VLO255" s="47"/>
      <c r="VLP255" s="47"/>
      <c r="VLQ255" s="47"/>
      <c r="VLR255" s="47"/>
      <c r="VLS255" s="47"/>
      <c r="VLT255" s="47"/>
      <c r="VLU255" s="47"/>
      <c r="VLV255" s="47"/>
      <c r="VLW255" s="47"/>
      <c r="VLX255" s="47"/>
      <c r="VLY255" s="47"/>
      <c r="VLZ255" s="47"/>
      <c r="VMA255" s="47"/>
      <c r="VMB255" s="47"/>
      <c r="VMC255" s="47"/>
      <c r="VMD255" s="47"/>
      <c r="VME255" s="47"/>
      <c r="VMF255" s="47"/>
      <c r="VMG255" s="47"/>
      <c r="VMH255" s="47"/>
      <c r="VMI255" s="47"/>
      <c r="VMJ255" s="47"/>
      <c r="VMK255" s="47"/>
      <c r="VML255" s="47"/>
      <c r="VMM255" s="47"/>
      <c r="VMN255" s="47"/>
      <c r="VMO255" s="47"/>
      <c r="VMP255" s="47"/>
      <c r="VMQ255" s="47"/>
      <c r="VMR255" s="47"/>
      <c r="VMS255" s="47"/>
      <c r="VMT255" s="47"/>
      <c r="VMU255" s="47"/>
      <c r="VMV255" s="47"/>
      <c r="VMW255" s="47"/>
      <c r="VMX255" s="47"/>
      <c r="VMY255" s="47"/>
      <c r="VMZ255" s="47"/>
      <c r="VNA255" s="47"/>
      <c r="VNB255" s="47"/>
      <c r="VNC255" s="47"/>
      <c r="VND255" s="47"/>
      <c r="VNE255" s="47"/>
      <c r="VNF255" s="47"/>
      <c r="VNG255" s="47"/>
      <c r="VNH255" s="47"/>
      <c r="VNI255" s="47"/>
      <c r="VNJ255" s="47"/>
      <c r="VNK255" s="47"/>
      <c r="VNL255" s="47"/>
      <c r="VNM255" s="47"/>
      <c r="VNN255" s="47"/>
      <c r="VNO255" s="47"/>
      <c r="VNP255" s="47"/>
      <c r="VNQ255" s="47"/>
      <c r="VNR255" s="47"/>
      <c r="VNS255" s="47"/>
      <c r="VNT255" s="47"/>
      <c r="VNU255" s="47"/>
      <c r="VNV255" s="47"/>
      <c r="VNW255" s="47"/>
      <c r="VNX255" s="47"/>
      <c r="VNY255" s="47"/>
      <c r="VNZ255" s="47"/>
      <c r="VOA255" s="47"/>
      <c r="VOB255" s="47"/>
      <c r="VOC255" s="47"/>
      <c r="VOD255" s="47"/>
      <c r="VOE255" s="47"/>
      <c r="VOF255" s="47"/>
      <c r="VOG255" s="47"/>
      <c r="VOH255" s="47"/>
      <c r="VOI255" s="47"/>
      <c r="VOJ255" s="47"/>
      <c r="VOK255" s="47"/>
      <c r="VOL255" s="47"/>
      <c r="VOM255" s="47"/>
      <c r="VON255" s="47"/>
      <c r="VOO255" s="47"/>
      <c r="VOP255" s="47"/>
      <c r="VOQ255" s="47"/>
      <c r="VOR255" s="47"/>
      <c r="VOS255" s="47"/>
      <c r="VOT255" s="47"/>
      <c r="VOU255" s="47"/>
      <c r="VOV255" s="47"/>
      <c r="VOW255" s="47"/>
      <c r="VOX255" s="47"/>
      <c r="VOY255" s="47"/>
      <c r="VOZ255" s="47"/>
      <c r="VPA255" s="47"/>
      <c r="VPB255" s="47"/>
      <c r="VPC255" s="47"/>
      <c r="VPD255" s="47"/>
      <c r="VPE255" s="47"/>
      <c r="VPF255" s="47"/>
      <c r="VPG255" s="47"/>
      <c r="VPH255" s="47"/>
      <c r="VPI255" s="47"/>
      <c r="VPJ255" s="47"/>
      <c r="VPK255" s="47"/>
      <c r="VPL255" s="47"/>
      <c r="VPM255" s="47"/>
      <c r="VPN255" s="47"/>
      <c r="VPO255" s="47"/>
      <c r="VPP255" s="47"/>
      <c r="VPQ255" s="47"/>
      <c r="VPR255" s="47"/>
      <c r="VPS255" s="47"/>
      <c r="VPT255" s="47"/>
      <c r="VPU255" s="47"/>
      <c r="VPV255" s="47"/>
      <c r="VPW255" s="47"/>
      <c r="VPX255" s="47"/>
      <c r="VPY255" s="47"/>
      <c r="VPZ255" s="47"/>
      <c r="VQA255" s="47"/>
      <c r="VQB255" s="47"/>
      <c r="VQC255" s="47"/>
      <c r="VQD255" s="47"/>
      <c r="VQE255" s="47"/>
      <c r="VQF255" s="47"/>
      <c r="VQG255" s="47"/>
      <c r="VQH255" s="47"/>
      <c r="VQI255" s="47"/>
      <c r="VQJ255" s="47"/>
      <c r="VQK255" s="47"/>
      <c r="VQL255" s="47"/>
      <c r="VQM255" s="47"/>
      <c r="VQN255" s="47"/>
      <c r="VQO255" s="47"/>
      <c r="VQP255" s="47"/>
      <c r="VQQ255" s="47"/>
      <c r="VQR255" s="47"/>
      <c r="VQS255" s="47"/>
      <c r="VQT255" s="47"/>
      <c r="VQU255" s="47"/>
      <c r="VQV255" s="47"/>
      <c r="VQW255" s="47"/>
      <c r="VQX255" s="47"/>
      <c r="VQY255" s="47"/>
      <c r="VQZ255" s="47"/>
      <c r="VRA255" s="47"/>
      <c r="VRB255" s="47"/>
      <c r="VRC255" s="47"/>
      <c r="VRD255" s="47"/>
      <c r="VRE255" s="47"/>
      <c r="VRF255" s="47"/>
      <c r="VRG255" s="47"/>
      <c r="VRH255" s="47"/>
      <c r="VRI255" s="47"/>
      <c r="VRJ255" s="47"/>
      <c r="VRK255" s="47"/>
      <c r="VRL255" s="47"/>
      <c r="VRM255" s="47"/>
      <c r="VRN255" s="47"/>
      <c r="VRO255" s="47"/>
      <c r="VRP255" s="47"/>
      <c r="VRQ255" s="47"/>
      <c r="VRR255" s="47"/>
      <c r="VRS255" s="47"/>
      <c r="VRT255" s="47"/>
      <c r="VRU255" s="47"/>
      <c r="VRV255" s="47"/>
      <c r="VRW255" s="47"/>
      <c r="VRX255" s="47"/>
      <c r="VRY255" s="47"/>
      <c r="VRZ255" s="47"/>
      <c r="VSA255" s="47"/>
      <c r="VSB255" s="47"/>
      <c r="VSC255" s="47"/>
      <c r="VSD255" s="47"/>
      <c r="VSE255" s="47"/>
      <c r="VSF255" s="47"/>
      <c r="VSG255" s="47"/>
      <c r="VSH255" s="47"/>
      <c r="VSI255" s="47"/>
      <c r="VSJ255" s="47"/>
      <c r="VSK255" s="47"/>
      <c r="VSL255" s="47"/>
      <c r="VSM255" s="47"/>
      <c r="VSN255" s="47"/>
      <c r="VSO255" s="47"/>
      <c r="VSP255" s="47"/>
      <c r="VSQ255" s="47"/>
      <c r="VSR255" s="47"/>
      <c r="VSS255" s="47"/>
      <c r="VST255" s="47"/>
      <c r="VSU255" s="47"/>
      <c r="VSV255" s="47"/>
      <c r="VSW255" s="47"/>
      <c r="VSX255" s="47"/>
      <c r="VSY255" s="47"/>
      <c r="VSZ255" s="47"/>
      <c r="VTA255" s="47"/>
      <c r="VTB255" s="47"/>
      <c r="VTC255" s="47"/>
      <c r="VTD255" s="47"/>
      <c r="VTE255" s="47"/>
      <c r="VTF255" s="47"/>
      <c r="VTG255" s="47"/>
      <c r="VTH255" s="47"/>
      <c r="VTI255" s="47"/>
      <c r="VTJ255" s="47"/>
      <c r="VTK255" s="47"/>
      <c r="VTL255" s="47"/>
      <c r="VTM255" s="47"/>
      <c r="VTN255" s="47"/>
      <c r="VTO255" s="47"/>
      <c r="VTP255" s="47"/>
      <c r="VTQ255" s="47"/>
      <c r="VTR255" s="47"/>
      <c r="VTS255" s="47"/>
      <c r="VTT255" s="47"/>
      <c r="VTU255" s="47"/>
      <c r="VTV255" s="47"/>
      <c r="VTW255" s="47"/>
      <c r="VTX255" s="47"/>
      <c r="VTY255" s="47"/>
      <c r="VTZ255" s="47"/>
      <c r="VUA255" s="47"/>
      <c r="VUB255" s="47"/>
      <c r="VUC255" s="47"/>
      <c r="VUD255" s="47"/>
      <c r="VUE255" s="47"/>
      <c r="VUF255" s="47"/>
      <c r="VUG255" s="47"/>
      <c r="VUH255" s="47"/>
      <c r="VUI255" s="47"/>
      <c r="VUJ255" s="47"/>
      <c r="VUK255" s="47"/>
      <c r="VUL255" s="47"/>
      <c r="VUM255" s="47"/>
      <c r="VUN255" s="47"/>
      <c r="VUO255" s="47"/>
      <c r="VUP255" s="47"/>
      <c r="VUQ255" s="47"/>
      <c r="VUR255" s="47"/>
      <c r="VUS255" s="47"/>
      <c r="VUT255" s="47"/>
      <c r="VUU255" s="47"/>
      <c r="VUV255" s="47"/>
      <c r="VUW255" s="47"/>
      <c r="VUX255" s="47"/>
      <c r="VUY255" s="47"/>
      <c r="VUZ255" s="47"/>
      <c r="VVA255" s="47"/>
      <c r="VVB255" s="47"/>
      <c r="VVC255" s="47"/>
      <c r="VVD255" s="47"/>
      <c r="VVE255" s="47"/>
      <c r="VVF255" s="47"/>
      <c r="VVG255" s="47"/>
      <c r="VVH255" s="47"/>
      <c r="VVI255" s="47"/>
      <c r="VVJ255" s="47"/>
      <c r="VVK255" s="47"/>
      <c r="VVL255" s="47"/>
    </row>
    <row r="256" spans="3:98 15064:15456" s="1" customFormat="1" x14ac:dyDescent="0.25">
      <c r="C256" s="86"/>
      <c r="D256" s="126" t="s">
        <v>16</v>
      </c>
      <c r="E256" s="13"/>
      <c r="F256" s="72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289"/>
      <c r="W256" s="289"/>
      <c r="X256" s="289"/>
      <c r="Y256" s="289"/>
      <c r="Z256" s="289"/>
      <c r="AA256" s="289"/>
      <c r="AB256" s="289"/>
      <c r="AC256" s="289"/>
      <c r="AD256" s="289"/>
      <c r="AE256" s="289"/>
      <c r="AF256" s="289"/>
      <c r="AG256" s="289"/>
      <c r="AH256" s="289"/>
      <c r="AI256" s="289"/>
      <c r="AJ256" s="289"/>
      <c r="AK256" s="289"/>
      <c r="AL256" s="65"/>
      <c r="AM256" s="128" t="s">
        <v>16</v>
      </c>
      <c r="CT256" s="145"/>
      <c r="VGJ256" s="47"/>
      <c r="VGK256" s="47"/>
      <c r="VGL256" s="47"/>
      <c r="VGM256" s="47"/>
      <c r="VGN256" s="47"/>
      <c r="VGO256" s="47"/>
      <c r="VGP256" s="47"/>
      <c r="VGQ256" s="47"/>
      <c r="VGR256" s="47"/>
      <c r="VGS256" s="47"/>
      <c r="VGT256" s="47"/>
      <c r="VGU256" s="47"/>
      <c r="VGV256" s="47"/>
      <c r="VGW256" s="47"/>
      <c r="VGX256" s="47"/>
      <c r="VGY256" s="47"/>
      <c r="VGZ256" s="47"/>
      <c r="VHA256" s="47"/>
      <c r="VHB256" s="47"/>
      <c r="VHC256" s="47"/>
      <c r="VHD256" s="47"/>
      <c r="VHE256" s="47"/>
      <c r="VHF256" s="47"/>
      <c r="VHG256" s="47"/>
      <c r="VHH256" s="47"/>
      <c r="VHI256" s="47"/>
      <c r="VHJ256" s="47"/>
      <c r="VHK256" s="47"/>
      <c r="VHL256" s="47"/>
      <c r="VHM256" s="47"/>
      <c r="VHN256" s="47"/>
      <c r="VHO256" s="47"/>
      <c r="VHP256" s="47"/>
      <c r="VHQ256" s="47"/>
      <c r="VHR256" s="47"/>
      <c r="VHS256" s="47"/>
      <c r="VHT256" s="47"/>
      <c r="VHU256" s="47"/>
      <c r="VHV256" s="47"/>
      <c r="VHW256" s="47"/>
      <c r="VHX256" s="47"/>
      <c r="VHY256" s="47"/>
      <c r="VHZ256" s="47"/>
      <c r="VIA256" s="47"/>
      <c r="VIB256" s="47"/>
      <c r="VIC256" s="47"/>
      <c r="VID256" s="47"/>
      <c r="VIE256" s="47"/>
      <c r="VIF256" s="47"/>
      <c r="VIG256" s="47"/>
      <c r="VIH256" s="47"/>
      <c r="VII256" s="47"/>
      <c r="VIJ256" s="47"/>
      <c r="VIK256" s="47"/>
      <c r="VIL256" s="47"/>
      <c r="VIM256" s="47"/>
      <c r="VIN256" s="47"/>
      <c r="VIO256" s="47"/>
      <c r="VIP256" s="47"/>
      <c r="VIQ256" s="47"/>
      <c r="VIR256" s="47"/>
      <c r="VIS256" s="47"/>
      <c r="VIT256" s="47"/>
      <c r="VIU256" s="47"/>
      <c r="VIV256" s="47"/>
      <c r="VIW256" s="47"/>
      <c r="VIX256" s="47"/>
      <c r="VIY256" s="47"/>
      <c r="VIZ256" s="47"/>
      <c r="VJA256" s="47"/>
      <c r="VJB256" s="47"/>
      <c r="VJC256" s="47"/>
      <c r="VJD256" s="47"/>
      <c r="VJE256" s="47"/>
      <c r="VJF256" s="47"/>
      <c r="VJG256" s="47"/>
      <c r="VJH256" s="47"/>
      <c r="VJI256" s="47"/>
      <c r="VJJ256" s="47"/>
      <c r="VJK256" s="47"/>
      <c r="VJL256" s="47"/>
      <c r="VJM256" s="47"/>
      <c r="VJN256" s="47"/>
      <c r="VJO256" s="47"/>
      <c r="VJP256" s="47"/>
      <c r="VJQ256" s="47"/>
      <c r="VJR256" s="47"/>
      <c r="VJS256" s="47"/>
      <c r="VJT256" s="47"/>
      <c r="VJU256" s="47"/>
      <c r="VJV256" s="47"/>
      <c r="VJW256" s="47"/>
      <c r="VJX256" s="47"/>
      <c r="VJY256" s="47"/>
      <c r="VJZ256" s="47"/>
      <c r="VKA256" s="47"/>
      <c r="VKB256" s="47"/>
      <c r="VKC256" s="47"/>
      <c r="VKD256" s="47"/>
      <c r="VKE256" s="47"/>
      <c r="VKF256" s="47"/>
      <c r="VKG256" s="47"/>
      <c r="VKH256" s="47"/>
      <c r="VKI256" s="47"/>
      <c r="VKJ256" s="47"/>
      <c r="VKK256" s="47"/>
      <c r="VKL256" s="47"/>
      <c r="VKM256" s="47"/>
      <c r="VKN256" s="47"/>
      <c r="VKO256" s="47"/>
      <c r="VKP256" s="47"/>
      <c r="VKQ256" s="47"/>
      <c r="VKR256" s="47"/>
      <c r="VKS256" s="47"/>
      <c r="VKT256" s="47"/>
      <c r="VKU256" s="47"/>
      <c r="VKV256" s="47"/>
      <c r="VKW256" s="47"/>
      <c r="VKX256" s="47"/>
      <c r="VKY256" s="47"/>
      <c r="VKZ256" s="47"/>
      <c r="VLA256" s="47"/>
      <c r="VLB256" s="47"/>
      <c r="VLC256" s="47"/>
      <c r="VLD256" s="47"/>
      <c r="VLE256" s="47"/>
      <c r="VLF256" s="47"/>
      <c r="VLG256" s="47"/>
      <c r="VLH256" s="47"/>
      <c r="VLI256" s="47"/>
      <c r="VLJ256" s="47"/>
      <c r="VLK256" s="47"/>
      <c r="VLL256" s="47"/>
      <c r="VLM256" s="47"/>
      <c r="VLN256" s="47"/>
      <c r="VLO256" s="47"/>
      <c r="VLP256" s="47"/>
      <c r="VLQ256" s="47"/>
      <c r="VLR256" s="47"/>
      <c r="VLS256" s="47"/>
      <c r="VLT256" s="47"/>
      <c r="VLU256" s="47"/>
      <c r="VLV256" s="47"/>
      <c r="VLW256" s="47"/>
      <c r="VLX256" s="47"/>
      <c r="VLY256" s="47"/>
      <c r="VLZ256" s="47"/>
      <c r="VMA256" s="47"/>
      <c r="VMB256" s="47"/>
      <c r="VMC256" s="47"/>
      <c r="VMD256" s="47"/>
      <c r="VME256" s="47"/>
      <c r="VMF256" s="47"/>
      <c r="VMG256" s="47"/>
      <c r="VMH256" s="47"/>
      <c r="VMI256" s="47"/>
      <c r="VMJ256" s="47"/>
      <c r="VMK256" s="47"/>
      <c r="VML256" s="47"/>
      <c r="VMM256" s="47"/>
      <c r="VMN256" s="47"/>
      <c r="VMO256" s="47"/>
      <c r="VMP256" s="47"/>
      <c r="VMQ256" s="47"/>
      <c r="VMR256" s="47"/>
      <c r="VMS256" s="47"/>
      <c r="VMT256" s="47"/>
      <c r="VMU256" s="47"/>
      <c r="VMV256" s="47"/>
      <c r="VMW256" s="47"/>
      <c r="VMX256" s="47"/>
      <c r="VMY256" s="47"/>
      <c r="VMZ256" s="47"/>
      <c r="VNA256" s="47"/>
      <c r="VNB256" s="47"/>
      <c r="VNC256" s="47"/>
      <c r="VND256" s="47"/>
      <c r="VNE256" s="47"/>
      <c r="VNF256" s="47"/>
      <c r="VNG256" s="47"/>
      <c r="VNH256" s="47"/>
      <c r="VNI256" s="47"/>
      <c r="VNJ256" s="47"/>
      <c r="VNK256" s="47"/>
      <c r="VNL256" s="47"/>
      <c r="VNM256" s="47"/>
      <c r="VNN256" s="47"/>
      <c r="VNO256" s="47"/>
      <c r="VNP256" s="47"/>
      <c r="VNQ256" s="47"/>
      <c r="VNR256" s="47"/>
      <c r="VNS256" s="47"/>
      <c r="VNT256" s="47"/>
      <c r="VNU256" s="47"/>
      <c r="VNV256" s="47"/>
      <c r="VNW256" s="47"/>
      <c r="VNX256" s="47"/>
      <c r="VNY256" s="47"/>
      <c r="VNZ256" s="47"/>
      <c r="VOA256" s="47"/>
      <c r="VOB256" s="47"/>
      <c r="VOC256" s="47"/>
      <c r="VOD256" s="47"/>
      <c r="VOE256" s="47"/>
      <c r="VOF256" s="47"/>
      <c r="VOG256" s="47"/>
      <c r="VOH256" s="47"/>
      <c r="VOI256" s="47"/>
      <c r="VOJ256" s="47"/>
      <c r="VOK256" s="47"/>
      <c r="VOL256" s="47"/>
      <c r="VOM256" s="47"/>
      <c r="VON256" s="47"/>
      <c r="VOO256" s="47"/>
      <c r="VOP256" s="47"/>
      <c r="VOQ256" s="47"/>
      <c r="VOR256" s="47"/>
      <c r="VOS256" s="47"/>
      <c r="VOT256" s="47"/>
      <c r="VOU256" s="47"/>
      <c r="VOV256" s="47"/>
      <c r="VOW256" s="47"/>
      <c r="VOX256" s="47"/>
      <c r="VOY256" s="47"/>
      <c r="VOZ256" s="47"/>
      <c r="VPA256" s="47"/>
      <c r="VPB256" s="47"/>
      <c r="VPC256" s="47"/>
      <c r="VPD256" s="47"/>
      <c r="VPE256" s="47"/>
      <c r="VPF256" s="47"/>
      <c r="VPG256" s="47"/>
      <c r="VPH256" s="47"/>
      <c r="VPI256" s="47"/>
      <c r="VPJ256" s="47"/>
      <c r="VPK256" s="47"/>
      <c r="VPL256" s="47"/>
      <c r="VPM256" s="47"/>
      <c r="VPN256" s="47"/>
      <c r="VPO256" s="47"/>
      <c r="VPP256" s="47"/>
      <c r="VPQ256" s="47"/>
      <c r="VPR256" s="47"/>
      <c r="VPS256" s="47"/>
      <c r="VPT256" s="47"/>
      <c r="VPU256" s="47"/>
      <c r="VPV256" s="47"/>
      <c r="VPW256" s="47"/>
      <c r="VPX256" s="47"/>
      <c r="VPY256" s="47"/>
      <c r="VPZ256" s="47"/>
      <c r="VQA256" s="47"/>
      <c r="VQB256" s="47"/>
      <c r="VQC256" s="47"/>
      <c r="VQD256" s="47"/>
      <c r="VQE256" s="47"/>
      <c r="VQF256" s="47"/>
      <c r="VQG256" s="47"/>
      <c r="VQH256" s="47"/>
      <c r="VQI256" s="47"/>
      <c r="VQJ256" s="47"/>
      <c r="VQK256" s="47"/>
      <c r="VQL256" s="47"/>
      <c r="VQM256" s="47"/>
      <c r="VQN256" s="47"/>
      <c r="VQO256" s="47"/>
      <c r="VQP256" s="47"/>
      <c r="VQQ256" s="47"/>
      <c r="VQR256" s="47"/>
      <c r="VQS256" s="47"/>
      <c r="VQT256" s="47"/>
      <c r="VQU256" s="47"/>
      <c r="VQV256" s="47"/>
      <c r="VQW256" s="47"/>
      <c r="VQX256" s="47"/>
      <c r="VQY256" s="47"/>
      <c r="VQZ256" s="47"/>
      <c r="VRA256" s="47"/>
      <c r="VRB256" s="47"/>
      <c r="VRC256" s="47"/>
      <c r="VRD256" s="47"/>
      <c r="VRE256" s="47"/>
      <c r="VRF256" s="47"/>
      <c r="VRG256" s="47"/>
      <c r="VRH256" s="47"/>
      <c r="VRI256" s="47"/>
      <c r="VRJ256" s="47"/>
      <c r="VRK256" s="47"/>
      <c r="VRL256" s="47"/>
      <c r="VRM256" s="47"/>
      <c r="VRN256" s="47"/>
      <c r="VRO256" s="47"/>
      <c r="VRP256" s="47"/>
      <c r="VRQ256" s="47"/>
      <c r="VRR256" s="47"/>
      <c r="VRS256" s="47"/>
      <c r="VRT256" s="47"/>
      <c r="VRU256" s="47"/>
      <c r="VRV256" s="47"/>
      <c r="VRW256" s="47"/>
      <c r="VRX256" s="47"/>
      <c r="VRY256" s="47"/>
      <c r="VRZ256" s="47"/>
      <c r="VSA256" s="47"/>
      <c r="VSB256" s="47"/>
      <c r="VSC256" s="47"/>
      <c r="VSD256" s="47"/>
      <c r="VSE256" s="47"/>
      <c r="VSF256" s="47"/>
      <c r="VSG256" s="47"/>
      <c r="VSH256" s="47"/>
      <c r="VSI256" s="47"/>
      <c r="VSJ256" s="47"/>
      <c r="VSK256" s="47"/>
      <c r="VSL256" s="47"/>
      <c r="VSM256" s="47"/>
      <c r="VSN256" s="47"/>
      <c r="VSO256" s="47"/>
      <c r="VSP256" s="47"/>
      <c r="VSQ256" s="47"/>
      <c r="VSR256" s="47"/>
      <c r="VSS256" s="47"/>
      <c r="VST256" s="47"/>
      <c r="VSU256" s="47"/>
      <c r="VSV256" s="47"/>
      <c r="VSW256" s="47"/>
      <c r="VSX256" s="47"/>
      <c r="VSY256" s="47"/>
      <c r="VSZ256" s="47"/>
      <c r="VTA256" s="47"/>
      <c r="VTB256" s="47"/>
      <c r="VTC256" s="47"/>
      <c r="VTD256" s="47"/>
      <c r="VTE256" s="47"/>
      <c r="VTF256" s="47"/>
      <c r="VTG256" s="47"/>
      <c r="VTH256" s="47"/>
      <c r="VTI256" s="47"/>
      <c r="VTJ256" s="47"/>
      <c r="VTK256" s="47"/>
      <c r="VTL256" s="47"/>
      <c r="VTM256" s="47"/>
      <c r="VTN256" s="47"/>
      <c r="VTO256" s="47"/>
      <c r="VTP256" s="47"/>
      <c r="VTQ256" s="47"/>
      <c r="VTR256" s="47"/>
      <c r="VTS256" s="47"/>
      <c r="VTT256" s="47"/>
      <c r="VTU256" s="47"/>
      <c r="VTV256" s="47"/>
      <c r="VTW256" s="47"/>
      <c r="VTX256" s="47"/>
      <c r="VTY256" s="47"/>
      <c r="VTZ256" s="47"/>
      <c r="VUA256" s="47"/>
      <c r="VUB256" s="47"/>
      <c r="VUC256" s="47"/>
      <c r="VUD256" s="47"/>
      <c r="VUE256" s="47"/>
      <c r="VUF256" s="47"/>
      <c r="VUG256" s="47"/>
      <c r="VUH256" s="47"/>
      <c r="VUI256" s="47"/>
      <c r="VUJ256" s="47"/>
      <c r="VUK256" s="47"/>
      <c r="VUL256" s="47"/>
      <c r="VUM256" s="47"/>
      <c r="VUN256" s="47"/>
      <c r="VUO256" s="47"/>
      <c r="VUP256" s="47"/>
      <c r="VUQ256" s="47"/>
      <c r="VUR256" s="47"/>
      <c r="VUS256" s="47"/>
      <c r="VUT256" s="47"/>
      <c r="VUU256" s="47"/>
      <c r="VUV256" s="47"/>
      <c r="VUW256" s="47"/>
      <c r="VUX256" s="47"/>
      <c r="VUY256" s="47"/>
      <c r="VUZ256" s="47"/>
      <c r="VVA256" s="47"/>
      <c r="VVB256" s="47"/>
      <c r="VVC256" s="47"/>
      <c r="VVD256" s="47"/>
      <c r="VVE256" s="47"/>
      <c r="VVF256" s="47"/>
      <c r="VVG256" s="47"/>
      <c r="VVH256" s="47"/>
      <c r="VVI256" s="47"/>
      <c r="VVJ256" s="47"/>
      <c r="VVK256" s="47"/>
      <c r="VVL256" s="47"/>
    </row>
    <row r="257" spans="3:44" x14ac:dyDescent="0.25">
      <c r="C257" s="15"/>
      <c r="D257" s="253" t="s">
        <v>120</v>
      </c>
      <c r="E257" s="272">
        <v>3850.42</v>
      </c>
      <c r="F257" s="252" t="s">
        <v>2</v>
      </c>
      <c r="G257" s="282">
        <v>2710</v>
      </c>
      <c r="H257" s="282">
        <v>2440</v>
      </c>
      <c r="I257" s="282">
        <v>3050</v>
      </c>
      <c r="J257" s="282">
        <v>2060</v>
      </c>
      <c r="K257" s="282">
        <v>3350</v>
      </c>
      <c r="L257" s="282">
        <v>2710</v>
      </c>
      <c r="M257" s="282">
        <v>2810</v>
      </c>
      <c r="N257" s="282">
        <v>2700</v>
      </c>
      <c r="O257" s="282">
        <v>2700</v>
      </c>
      <c r="P257" s="282">
        <v>2740</v>
      </c>
      <c r="Q257" s="282">
        <v>2710</v>
      </c>
      <c r="R257" s="282">
        <v>2590</v>
      </c>
      <c r="S257" s="282">
        <v>2910</v>
      </c>
      <c r="T257" s="282">
        <v>2610</v>
      </c>
      <c r="U257" s="282">
        <v>2870</v>
      </c>
      <c r="V257" s="282">
        <v>2690</v>
      </c>
      <c r="W257" s="282">
        <v>2710</v>
      </c>
      <c r="X257" s="282">
        <v>2850</v>
      </c>
      <c r="Y257" s="282">
        <v>2820</v>
      </c>
      <c r="Z257" s="282">
        <v>2720</v>
      </c>
      <c r="AA257" s="282">
        <v>2840</v>
      </c>
      <c r="AB257" s="282">
        <v>2610</v>
      </c>
      <c r="AC257" s="282">
        <v>2860</v>
      </c>
      <c r="AD257" s="282">
        <v>2580</v>
      </c>
      <c r="AE257" s="282">
        <v>2530</v>
      </c>
      <c r="AF257" s="282">
        <v>2700</v>
      </c>
      <c r="AG257" s="282">
        <v>2040</v>
      </c>
      <c r="AH257" s="282">
        <v>3380</v>
      </c>
      <c r="AI257" s="282">
        <v>2790</v>
      </c>
      <c r="AJ257" s="282">
        <v>2680</v>
      </c>
      <c r="AK257" s="282"/>
      <c r="AM257" s="85">
        <f>SUM(G257:AK257)</f>
        <v>81760</v>
      </c>
    </row>
    <row r="258" spans="3:44" x14ac:dyDescent="0.25">
      <c r="C258" s="15"/>
      <c r="D258" s="983"/>
      <c r="E258" s="984"/>
      <c r="F258" s="64"/>
      <c r="G258" s="977">
        <f>G257/G9*1000000</f>
        <v>8331.693639628118</v>
      </c>
      <c r="H258" s="977">
        <f t="shared" ref="H258:W258" si="83">H257/H9*1000000</f>
        <v>9984.7773067290855</v>
      </c>
      <c r="I258" s="977">
        <f t="shared" si="83"/>
        <v>2697.6969628354655</v>
      </c>
      <c r="J258" s="977">
        <f t="shared" si="83"/>
        <v>3000.8944413529084</v>
      </c>
      <c r="K258" s="977">
        <f t="shared" si="83"/>
        <v>5504.2736166199493</v>
      </c>
      <c r="L258" s="977">
        <f t="shared" si="83"/>
        <v>4091.0971084548337</v>
      </c>
      <c r="M258" s="977">
        <f>M257/M9*1000000</f>
        <v>4588.3469051518487</v>
      </c>
      <c r="N258" s="977">
        <f t="shared" si="83"/>
        <v>6986.7458842891374</v>
      </c>
      <c r="O258" s="977">
        <f t="shared" si="83"/>
        <v>2592.2629591545765</v>
      </c>
      <c r="P258" s="977">
        <f t="shared" si="83"/>
        <v>2592.7106979596124</v>
      </c>
      <c r="Q258" s="977">
        <f t="shared" si="83"/>
        <v>2538.0140180789012</v>
      </c>
      <c r="R258" s="977">
        <f t="shared" si="83"/>
        <v>3690.5258928151588</v>
      </c>
      <c r="S258" s="977">
        <f t="shared" si="83"/>
        <v>5163.0531208970579</v>
      </c>
      <c r="T258" s="977">
        <f t="shared" si="83"/>
        <v>4307.9188130610819</v>
      </c>
      <c r="U258" s="977">
        <f t="shared" si="83"/>
        <v>1807.4197414319174</v>
      </c>
      <c r="V258" s="977" t="e">
        <f t="shared" si="83"/>
        <v>#DIV/0!</v>
      </c>
      <c r="W258" s="977">
        <f t="shared" si="83"/>
        <v>6300.5379868967411</v>
      </c>
      <c r="X258" s="977">
        <f>X257/X9*1000000</f>
        <v>2469.324063692965</v>
      </c>
      <c r="Y258" s="977">
        <f>Y257/Y9*1000000</f>
        <v>2042.4880981611088</v>
      </c>
      <c r="Z258" s="977">
        <f t="shared" ref="Z258:AE258" si="84">Z257/Z9*1000000</f>
        <v>2897.5101652539529</v>
      </c>
      <c r="AA258" s="977">
        <f t="shared" si="84"/>
        <v>3245.6438088772929</v>
      </c>
      <c r="AB258" s="977">
        <f t="shared" si="84"/>
        <v>63469.675599435825</v>
      </c>
      <c r="AC258" s="977" t="e">
        <f t="shared" si="84"/>
        <v>#DIV/0!</v>
      </c>
      <c r="AD258" s="977" t="e">
        <f t="shared" si="84"/>
        <v>#DIV/0!</v>
      </c>
      <c r="AE258" s="977">
        <f t="shared" si="84"/>
        <v>2875.5293588137815</v>
      </c>
      <c r="AF258" s="977">
        <f>AF257/AF9*1000000</f>
        <v>1663.4516868940339</v>
      </c>
      <c r="AG258" s="977">
        <f t="shared" ref="AG258:AK258" si="85">AG257/AG9*1000000</f>
        <v>1237.1156527270821</v>
      </c>
      <c r="AH258" s="977">
        <f t="shared" si="85"/>
        <v>1966.6861977613526</v>
      </c>
      <c r="AI258" s="977">
        <f t="shared" si="85"/>
        <v>1825.0419301748116</v>
      </c>
      <c r="AJ258" s="977">
        <f t="shared" si="85"/>
        <v>4915.3387915602898</v>
      </c>
      <c r="AK258" s="977" t="e">
        <f t="shared" si="85"/>
        <v>#DIV/0!</v>
      </c>
      <c r="AL258" s="65"/>
      <c r="AM258" s="985">
        <f>AM257/AM9*1000</f>
        <v>3.400108706998044</v>
      </c>
      <c r="AR258" s="3"/>
    </row>
    <row r="259" spans="3:44" x14ac:dyDescent="0.25">
      <c r="C259" s="15"/>
      <c r="D259" s="253" t="s">
        <v>119</v>
      </c>
      <c r="E259" s="272">
        <v>5404.17</v>
      </c>
      <c r="F259" s="252" t="s">
        <v>2</v>
      </c>
      <c r="G259" s="282">
        <v>2700</v>
      </c>
      <c r="H259" s="282">
        <v>2400</v>
      </c>
      <c r="I259" s="282">
        <v>4200</v>
      </c>
      <c r="J259" s="282">
        <v>2700</v>
      </c>
      <c r="K259" s="282">
        <v>3800</v>
      </c>
      <c r="L259" s="282">
        <v>2800</v>
      </c>
      <c r="M259" s="282">
        <v>2800</v>
      </c>
      <c r="N259" s="282">
        <v>2400</v>
      </c>
      <c r="O259" s="282">
        <v>3400</v>
      </c>
      <c r="P259" s="282">
        <v>4000</v>
      </c>
      <c r="Q259" s="282">
        <v>4000</v>
      </c>
      <c r="R259" s="282">
        <v>3200</v>
      </c>
      <c r="S259" s="282">
        <v>2800</v>
      </c>
      <c r="T259" s="282">
        <v>2800</v>
      </c>
      <c r="U259" s="282">
        <v>4700</v>
      </c>
      <c r="V259" s="282">
        <v>1800</v>
      </c>
      <c r="W259" s="282">
        <v>2500</v>
      </c>
      <c r="X259" s="282">
        <v>4100</v>
      </c>
      <c r="Y259" s="282">
        <v>4300</v>
      </c>
      <c r="Z259" s="282">
        <v>3800</v>
      </c>
      <c r="AA259" s="282">
        <v>3500</v>
      </c>
      <c r="AB259" s="282">
        <v>1900</v>
      </c>
      <c r="AC259" s="282">
        <v>1900</v>
      </c>
      <c r="AD259" s="282">
        <v>1000</v>
      </c>
      <c r="AE259" s="282">
        <v>3000</v>
      </c>
      <c r="AF259" s="282">
        <v>4700</v>
      </c>
      <c r="AG259" s="282">
        <v>3400</v>
      </c>
      <c r="AH259" s="282">
        <v>6100</v>
      </c>
      <c r="AI259" s="282">
        <v>4600</v>
      </c>
      <c r="AJ259" s="282">
        <v>2900</v>
      </c>
      <c r="AK259" s="282"/>
      <c r="AM259" s="85">
        <f>SUM(G259:AK259)</f>
        <v>98200</v>
      </c>
    </row>
    <row r="260" spans="3:44" x14ac:dyDescent="0.25">
      <c r="C260" s="15"/>
      <c r="D260" s="983"/>
      <c r="E260" s="984"/>
      <c r="F260" s="64"/>
      <c r="G260" s="977">
        <f>G259/G9*1000000</f>
        <v>8300.9493826553207</v>
      </c>
      <c r="H260" s="977">
        <f t="shared" ref="H260:AK260" si="86">H259/H9*1000000</f>
        <v>9821.0924328482797</v>
      </c>
      <c r="I260" s="977">
        <f t="shared" si="86"/>
        <v>3714.8613914455586</v>
      </c>
      <c r="J260" s="977">
        <f t="shared" si="86"/>
        <v>3933.21116099653</v>
      </c>
      <c r="K260" s="977">
        <f t="shared" si="86"/>
        <v>6243.6536546733741</v>
      </c>
      <c r="L260" s="977">
        <f t="shared" si="86"/>
        <v>4226.9638020935554</v>
      </c>
      <c r="M260" s="977">
        <f t="shared" si="86"/>
        <v>4572.0182684787096</v>
      </c>
      <c r="N260" s="977">
        <f t="shared" si="86"/>
        <v>6210.4407860347883</v>
      </c>
      <c r="O260" s="977">
        <f>O259/O9*1000000</f>
        <v>3264.3311337502078</v>
      </c>
      <c r="P260" s="977">
        <f t="shared" si="86"/>
        <v>3784.9791211089232</v>
      </c>
      <c r="Q260" s="977">
        <f t="shared" si="86"/>
        <v>3746.1461521459801</v>
      </c>
      <c r="R260" s="977">
        <f t="shared" si="86"/>
        <v>4559.7231108140959</v>
      </c>
      <c r="S260" s="977">
        <f>S259/S9*1000000</f>
        <v>4967.8861644370318</v>
      </c>
      <c r="T260" s="977">
        <f t="shared" si="86"/>
        <v>4621.5220983030758</v>
      </c>
      <c r="U260" s="977">
        <f t="shared" si="86"/>
        <v>2959.8859877108052</v>
      </c>
      <c r="V260" s="977" t="e">
        <f t="shared" si="86"/>
        <v>#DIV/0!</v>
      </c>
      <c r="W260" s="977">
        <f t="shared" si="86"/>
        <v>5812.3044159564033</v>
      </c>
      <c r="X260" s="977">
        <f t="shared" si="86"/>
        <v>3552.3609337337393</v>
      </c>
      <c r="Y260" s="977">
        <f t="shared" si="86"/>
        <v>3114.432206415875</v>
      </c>
      <c r="Z260" s="977">
        <f t="shared" si="86"/>
        <v>4047.9921426341989</v>
      </c>
      <c r="AA260" s="977">
        <f t="shared" si="86"/>
        <v>3999.9131447431428</v>
      </c>
      <c r="AB260" s="977">
        <f t="shared" si="86"/>
        <v>46203.978405719572</v>
      </c>
      <c r="AC260" s="977" t="e">
        <f t="shared" si="86"/>
        <v>#DIV/0!</v>
      </c>
      <c r="AD260" s="977" t="e">
        <f t="shared" si="86"/>
        <v>#DIV/0!</v>
      </c>
      <c r="AE260" s="977">
        <f t="shared" si="86"/>
        <v>3409.718607289069</v>
      </c>
      <c r="AF260" s="977">
        <f t="shared" si="86"/>
        <v>2895.6381216303548</v>
      </c>
      <c r="AG260" s="977">
        <f t="shared" si="86"/>
        <v>2061.8594212118032</v>
      </c>
      <c r="AH260" s="977">
        <f t="shared" si="86"/>
        <v>3549.3449131196007</v>
      </c>
      <c r="AI260" s="977">
        <f t="shared" si="86"/>
        <v>3009.0297056645641</v>
      </c>
      <c r="AJ260" s="977">
        <f t="shared" si="86"/>
        <v>5318.8367520615084</v>
      </c>
      <c r="AK260" s="977" t="e">
        <f t="shared" si="86"/>
        <v>#DIV/0!</v>
      </c>
      <c r="AL260" s="65"/>
      <c r="AM260" s="985">
        <f>AM259/AM9*1000</f>
        <v>4.0837900565950092</v>
      </c>
    </row>
    <row r="261" spans="3:44" x14ac:dyDescent="0.25">
      <c r="C261" s="15"/>
      <c r="D261" s="44" t="s">
        <v>15</v>
      </c>
      <c r="E261" s="546"/>
      <c r="F261" s="45"/>
      <c r="G261" s="307"/>
      <c r="H261" s="307"/>
      <c r="I261" s="307"/>
      <c r="J261" s="307"/>
      <c r="K261" s="307"/>
      <c r="L261" s="307"/>
      <c r="M261" s="546"/>
      <c r="N261" s="546"/>
      <c r="O261" s="307"/>
      <c r="P261" s="307"/>
      <c r="Q261" s="307"/>
      <c r="R261" s="307"/>
      <c r="T261" s="307"/>
      <c r="U261" s="307"/>
      <c r="V261" s="307"/>
      <c r="W261" s="307"/>
      <c r="X261" s="307"/>
      <c r="Y261" s="307"/>
      <c r="Z261" s="307"/>
      <c r="AA261" s="307"/>
      <c r="AB261" s="307"/>
      <c r="AC261" s="307"/>
      <c r="AD261" s="307"/>
      <c r="AE261" s="307"/>
      <c r="AF261" s="307"/>
      <c r="AG261" s="307"/>
      <c r="AH261" s="307"/>
      <c r="AI261" s="307"/>
      <c r="AJ261" s="307"/>
      <c r="AK261" s="307"/>
      <c r="AM261" s="129" t="s">
        <v>15</v>
      </c>
    </row>
    <row r="262" spans="3:44" x14ac:dyDescent="0.25">
      <c r="C262" s="15"/>
      <c r="D262" s="253" t="s">
        <v>120</v>
      </c>
      <c r="E262" s="272">
        <v>1308.96</v>
      </c>
      <c r="F262" s="252" t="s">
        <v>2</v>
      </c>
      <c r="G262" s="282">
        <v>996</v>
      </c>
      <c r="H262" s="282">
        <v>336</v>
      </c>
      <c r="I262" s="282">
        <v>973</v>
      </c>
      <c r="J262" s="282">
        <v>686</v>
      </c>
      <c r="K262" s="282">
        <v>1047</v>
      </c>
      <c r="L262" s="282">
        <v>833</v>
      </c>
      <c r="M262" s="282">
        <v>850</v>
      </c>
      <c r="N262" s="282">
        <v>905</v>
      </c>
      <c r="O262" s="282">
        <v>358</v>
      </c>
      <c r="P262" s="282">
        <v>948</v>
      </c>
      <c r="Q262" s="282">
        <v>922</v>
      </c>
      <c r="R262" s="282">
        <v>643</v>
      </c>
      <c r="S262" s="282">
        <v>630</v>
      </c>
      <c r="T262" s="282">
        <v>788</v>
      </c>
      <c r="U262" s="282">
        <v>972</v>
      </c>
      <c r="V262" s="282">
        <v>847</v>
      </c>
      <c r="W262" s="282">
        <v>1</v>
      </c>
      <c r="X262" s="282">
        <v>784</v>
      </c>
      <c r="Y262" s="282">
        <v>971</v>
      </c>
      <c r="Z262" s="282">
        <v>975</v>
      </c>
      <c r="AA262" s="282">
        <v>927</v>
      </c>
      <c r="AB262" s="282">
        <v>407</v>
      </c>
      <c r="AC262" s="282">
        <v>0</v>
      </c>
      <c r="AD262" s="282">
        <v>0</v>
      </c>
      <c r="AE262" s="282">
        <v>647</v>
      </c>
      <c r="AF262" s="282">
        <v>995</v>
      </c>
      <c r="AG262" s="282">
        <v>796</v>
      </c>
      <c r="AH262" s="282">
        <v>1312</v>
      </c>
      <c r="AI262" s="282">
        <v>1072</v>
      </c>
      <c r="AJ262" s="282">
        <v>1024</v>
      </c>
      <c r="AK262" s="282"/>
      <c r="AM262" s="85">
        <f>SUM(G262:AK262)</f>
        <v>22645</v>
      </c>
    </row>
    <row r="263" spans="3:44" x14ac:dyDescent="0.25">
      <c r="C263" s="15"/>
      <c r="D263" s="983"/>
      <c r="E263" s="984"/>
      <c r="F263" s="64"/>
      <c r="G263" s="977"/>
      <c r="H263" s="977"/>
      <c r="I263" s="977"/>
      <c r="J263" s="977"/>
      <c r="K263" s="977"/>
      <c r="L263" s="977"/>
      <c r="M263" s="546"/>
      <c r="N263" s="546"/>
      <c r="O263" s="977"/>
      <c r="P263" s="977"/>
      <c r="Q263" s="977"/>
      <c r="R263" s="977"/>
      <c r="T263" s="977"/>
      <c r="U263" s="977"/>
      <c r="V263" s="977"/>
      <c r="W263" s="977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M263" s="994">
        <f>AM262/AM23*1000</f>
        <v>1.0023029731063677</v>
      </c>
    </row>
    <row r="264" spans="3:44" x14ac:dyDescent="0.25">
      <c r="C264" s="15"/>
      <c r="D264" s="253" t="s">
        <v>121</v>
      </c>
      <c r="E264" s="272">
        <v>5759.67</v>
      </c>
      <c r="F264" s="252" t="s">
        <v>2</v>
      </c>
      <c r="G264" s="282">
        <v>4000</v>
      </c>
      <c r="H264" s="282">
        <v>1100</v>
      </c>
      <c r="I264" s="282">
        <v>3600</v>
      </c>
      <c r="J264" s="282">
        <v>2800</v>
      </c>
      <c r="K264" s="282">
        <v>4200</v>
      </c>
      <c r="L264" s="282">
        <v>3000</v>
      </c>
      <c r="M264" s="282">
        <v>3300</v>
      </c>
      <c r="N264" s="282">
        <v>3800</v>
      </c>
      <c r="O264" s="282">
        <v>1700</v>
      </c>
      <c r="P264" s="282">
        <v>3700</v>
      </c>
      <c r="Q264" s="282">
        <v>4300</v>
      </c>
      <c r="R264" s="282">
        <v>2400</v>
      </c>
      <c r="S264" s="282">
        <v>3000</v>
      </c>
      <c r="T264" s="282">
        <v>2900</v>
      </c>
      <c r="U264" s="282">
        <v>4200</v>
      </c>
      <c r="V264" s="282">
        <v>3500</v>
      </c>
      <c r="W264" s="282">
        <v>200</v>
      </c>
      <c r="X264" s="282">
        <v>3200</v>
      </c>
      <c r="Y264" s="282">
        <v>4000</v>
      </c>
      <c r="Z264" s="282">
        <v>4300</v>
      </c>
      <c r="AA264" s="282">
        <v>4000</v>
      </c>
      <c r="AB264" s="282">
        <v>1400</v>
      </c>
      <c r="AC264" s="282">
        <v>100</v>
      </c>
      <c r="AD264" s="282">
        <v>0</v>
      </c>
      <c r="AE264" s="282">
        <v>2000</v>
      </c>
      <c r="AF264" s="282">
        <v>4600</v>
      </c>
      <c r="AG264" s="282">
        <v>3800</v>
      </c>
      <c r="AH264" s="282">
        <v>6400</v>
      </c>
      <c r="AI264" s="282">
        <v>4300</v>
      </c>
      <c r="AJ264" s="282">
        <v>4400</v>
      </c>
      <c r="AK264" s="282"/>
      <c r="AM264" s="85">
        <f>SUM(G264:AK264)</f>
        <v>94200</v>
      </c>
    </row>
    <row r="265" spans="3:44" x14ac:dyDescent="0.25">
      <c r="C265" s="15"/>
      <c r="D265" s="983"/>
      <c r="E265" s="984"/>
      <c r="F265" s="64"/>
      <c r="G265" s="977"/>
      <c r="H265" s="977"/>
      <c r="I265" s="977"/>
      <c r="J265" s="977"/>
      <c r="K265" s="977"/>
      <c r="L265" s="977"/>
      <c r="M265" s="307"/>
      <c r="N265" s="307"/>
      <c r="O265" s="977"/>
      <c r="P265" s="977"/>
      <c r="Q265" s="977"/>
      <c r="R265" s="977"/>
      <c r="S265" s="307"/>
      <c r="T265" s="977"/>
      <c r="U265" s="977"/>
      <c r="V265" s="977"/>
      <c r="W265" s="977"/>
      <c r="X265" s="977"/>
      <c r="Y265" s="977"/>
      <c r="Z265" s="977"/>
      <c r="AA265" s="977"/>
      <c r="AB265" s="977"/>
      <c r="AC265" s="977"/>
      <c r="AD265" s="977"/>
      <c r="AE265" s="977"/>
      <c r="AF265" s="977"/>
      <c r="AG265" s="977"/>
      <c r="AH265" s="977"/>
      <c r="AI265" s="977"/>
      <c r="AJ265" s="977"/>
      <c r="AK265" s="977"/>
      <c r="AL265" s="65"/>
      <c r="AM265" s="994">
        <f>AM264/AM23*1000</f>
        <v>4.1694387311379923</v>
      </c>
    </row>
    <row r="266" spans="3:44" x14ac:dyDescent="0.25">
      <c r="C266" s="15"/>
      <c r="D266" s="44" t="s">
        <v>7</v>
      </c>
      <c r="E266" s="546"/>
      <c r="F266" s="64"/>
      <c r="G266" s="307"/>
      <c r="H266" s="307"/>
      <c r="I266" s="307"/>
      <c r="J266" s="307"/>
      <c r="K266" s="307"/>
      <c r="L266" s="307"/>
      <c r="M266" s="546"/>
      <c r="N266" s="546"/>
      <c r="O266" s="307"/>
      <c r="P266" s="307"/>
      <c r="Q266" s="307"/>
      <c r="R266" s="307"/>
      <c r="T266" s="307"/>
      <c r="U266" s="307"/>
      <c r="V266" s="307"/>
      <c r="W266" s="307"/>
      <c r="X266" s="307"/>
      <c r="Y266" s="307"/>
      <c r="Z266" s="307"/>
      <c r="AA266" s="307"/>
      <c r="AB266" s="307"/>
      <c r="AC266" s="307"/>
      <c r="AD266" s="307"/>
      <c r="AE266" s="307"/>
      <c r="AF266" s="307"/>
      <c r="AG266" s="307"/>
      <c r="AH266" s="307"/>
      <c r="AI266" s="307"/>
      <c r="AJ266" s="307"/>
      <c r="AK266" s="307"/>
      <c r="AM266" s="129" t="s">
        <v>7</v>
      </c>
    </row>
    <row r="267" spans="3:44" x14ac:dyDescent="0.25">
      <c r="C267" s="15"/>
      <c r="D267" s="253" t="s">
        <v>122</v>
      </c>
      <c r="E267" s="272">
        <v>11.81</v>
      </c>
      <c r="F267" s="252" t="s">
        <v>2</v>
      </c>
      <c r="G267" s="251">
        <v>8.2799999999999994</v>
      </c>
      <c r="H267" s="251">
        <v>2.56</v>
      </c>
      <c r="I267" s="251">
        <v>18.88</v>
      </c>
      <c r="J267" s="251">
        <v>18.71</v>
      </c>
      <c r="K267" s="251">
        <v>24.83</v>
      </c>
      <c r="L267" s="251">
        <v>4.53</v>
      </c>
      <c r="M267" s="251">
        <v>12.28</v>
      </c>
      <c r="N267" s="251">
        <v>15.02</v>
      </c>
      <c r="O267" s="251">
        <v>3.01</v>
      </c>
      <c r="P267" s="251">
        <v>17.05</v>
      </c>
      <c r="Q267" s="251">
        <v>17.190000000000001</v>
      </c>
      <c r="R267" s="251">
        <v>12.23</v>
      </c>
      <c r="S267" s="251">
        <v>26.52</v>
      </c>
      <c r="T267" s="251">
        <v>53.89</v>
      </c>
      <c r="U267" s="251">
        <v>30.68</v>
      </c>
      <c r="V267" s="251">
        <v>33.64</v>
      </c>
      <c r="W267" s="251">
        <v>13.03</v>
      </c>
      <c r="X267" s="251">
        <v>21.96</v>
      </c>
      <c r="Y267" s="251">
        <v>24.35</v>
      </c>
      <c r="Z267" s="251">
        <v>34.700000000000003</v>
      </c>
      <c r="AA267" s="251">
        <v>9.49</v>
      </c>
      <c r="AB267" s="251">
        <v>0.57999999999999996</v>
      </c>
      <c r="AC267" s="251">
        <v>36.700000000000003</v>
      </c>
      <c r="AD267" s="251">
        <v>0.76</v>
      </c>
      <c r="AE267" s="251">
        <v>0.72</v>
      </c>
      <c r="AF267" s="251">
        <v>0.62</v>
      </c>
      <c r="AG267" s="251">
        <v>0.48</v>
      </c>
      <c r="AH267" s="251">
        <v>0.63</v>
      </c>
      <c r="AI267" s="251">
        <v>0.56000000000000005</v>
      </c>
      <c r="AJ267" s="251">
        <v>0.48</v>
      </c>
      <c r="AK267" s="251"/>
      <c r="AM267" s="85">
        <f>SUM(G267:AK267)</f>
        <v>444.36</v>
      </c>
    </row>
    <row r="268" spans="3:44" ht="15.75" thickBot="1" x14ac:dyDescent="0.3">
      <c r="C268" s="19"/>
      <c r="D268" s="254" t="s">
        <v>123</v>
      </c>
      <c r="E268" s="273">
        <v>241.12</v>
      </c>
      <c r="F268" s="255" t="s">
        <v>2</v>
      </c>
      <c r="G268" s="308">
        <v>277</v>
      </c>
      <c r="H268" s="308">
        <v>246.7</v>
      </c>
      <c r="I268" s="308">
        <v>291.5</v>
      </c>
      <c r="J268" s="308">
        <v>207.4</v>
      </c>
      <c r="K268" s="308">
        <v>319.10000000000002</v>
      </c>
      <c r="L268" s="308">
        <v>267</v>
      </c>
      <c r="M268" s="308">
        <v>252.4</v>
      </c>
      <c r="N268" s="308">
        <v>260.2</v>
      </c>
      <c r="O268" s="308">
        <v>250.8</v>
      </c>
      <c r="P268" s="308">
        <v>267.3</v>
      </c>
      <c r="Q268" s="308">
        <v>271.10000000000002</v>
      </c>
      <c r="R268" s="308">
        <v>264.39999999999998</v>
      </c>
      <c r="S268" s="308">
        <v>260.2</v>
      </c>
      <c r="T268" s="308">
        <v>238.2</v>
      </c>
      <c r="U268" s="308">
        <v>267.7</v>
      </c>
      <c r="V268" s="308">
        <v>253.9</v>
      </c>
      <c r="W268" s="308">
        <v>243.8</v>
      </c>
      <c r="X268" s="308">
        <v>257.2</v>
      </c>
      <c r="Y268" s="308">
        <v>264.89999999999998</v>
      </c>
      <c r="Z268" s="308">
        <v>257.2</v>
      </c>
      <c r="AA268" s="308">
        <v>263</v>
      </c>
      <c r="AB268" s="308">
        <v>249.1</v>
      </c>
      <c r="AC268" s="308">
        <v>243</v>
      </c>
      <c r="AD268" s="308">
        <v>244.4</v>
      </c>
      <c r="AE268" s="308">
        <v>235</v>
      </c>
      <c r="AF268" s="308">
        <v>262.8</v>
      </c>
      <c r="AG268" s="308">
        <v>211.9</v>
      </c>
      <c r="AH268" s="308">
        <v>345</v>
      </c>
      <c r="AI268" s="308">
        <v>267.39999999999998</v>
      </c>
      <c r="AJ268" s="308">
        <v>251.9</v>
      </c>
      <c r="AK268" s="308"/>
      <c r="AM268" s="274">
        <f>SUM(G268:AK268)</f>
        <v>7791.4999999999982</v>
      </c>
    </row>
    <row r="291" spans="3:98 15064:15456" s="1" customFormat="1" x14ac:dyDescent="0.25">
      <c r="C291" s="5"/>
      <c r="F291" s="2"/>
      <c r="Z291" s="46"/>
      <c r="CT291" s="145"/>
      <c r="VGJ291" s="47"/>
      <c r="VGK291" s="47"/>
      <c r="VGL291" s="47"/>
      <c r="VGM291" s="47"/>
      <c r="VGN291" s="47"/>
      <c r="VGO291" s="47"/>
      <c r="VGP291" s="47"/>
      <c r="VGQ291" s="47"/>
      <c r="VGR291" s="47"/>
      <c r="VGS291" s="47"/>
      <c r="VGT291" s="47"/>
      <c r="VGU291" s="47"/>
      <c r="VGV291" s="47"/>
      <c r="VGW291" s="47"/>
      <c r="VGX291" s="47"/>
      <c r="VGY291" s="47"/>
      <c r="VGZ291" s="47"/>
      <c r="VHA291" s="47"/>
      <c r="VHB291" s="47"/>
      <c r="VHC291" s="47"/>
      <c r="VHD291" s="47"/>
      <c r="VHE291" s="47"/>
      <c r="VHF291" s="47"/>
      <c r="VHG291" s="47"/>
      <c r="VHH291" s="47"/>
      <c r="VHI291" s="47"/>
      <c r="VHJ291" s="47"/>
      <c r="VHK291" s="47"/>
      <c r="VHL291" s="47"/>
      <c r="VHM291" s="47"/>
      <c r="VHN291" s="47"/>
      <c r="VHO291" s="47"/>
      <c r="VHP291" s="47"/>
      <c r="VHQ291" s="47"/>
      <c r="VHR291" s="47"/>
      <c r="VHS291" s="47"/>
      <c r="VHT291" s="47"/>
      <c r="VHU291" s="47"/>
      <c r="VHV291" s="47"/>
      <c r="VHW291" s="47"/>
      <c r="VHX291" s="47"/>
      <c r="VHY291" s="47"/>
      <c r="VHZ291" s="47"/>
      <c r="VIA291" s="47"/>
      <c r="VIB291" s="47"/>
      <c r="VIC291" s="47"/>
      <c r="VID291" s="47"/>
      <c r="VIE291" s="47"/>
      <c r="VIF291" s="47"/>
      <c r="VIG291" s="47"/>
      <c r="VIH291" s="47"/>
      <c r="VII291" s="47"/>
      <c r="VIJ291" s="47"/>
      <c r="VIK291" s="47"/>
      <c r="VIL291" s="47"/>
      <c r="VIM291" s="47"/>
      <c r="VIN291" s="47"/>
      <c r="VIO291" s="47"/>
      <c r="VIP291" s="47"/>
      <c r="VIQ291" s="47"/>
      <c r="VIR291" s="47"/>
      <c r="VIS291" s="47"/>
      <c r="VIT291" s="47"/>
      <c r="VIU291" s="47"/>
      <c r="VIV291" s="47"/>
      <c r="VIW291" s="47"/>
      <c r="VIX291" s="47"/>
      <c r="VIY291" s="47"/>
      <c r="VIZ291" s="47"/>
      <c r="VJA291" s="47"/>
      <c r="VJB291" s="47"/>
      <c r="VJC291" s="47"/>
      <c r="VJD291" s="47"/>
      <c r="VJE291" s="47"/>
      <c r="VJF291" s="47"/>
      <c r="VJG291" s="47"/>
      <c r="VJH291" s="47"/>
      <c r="VJI291" s="47"/>
      <c r="VJJ291" s="47"/>
      <c r="VJK291" s="47"/>
      <c r="VJL291" s="47"/>
      <c r="VJM291" s="47"/>
      <c r="VJN291" s="47"/>
      <c r="VJO291" s="47"/>
      <c r="VJP291" s="47"/>
      <c r="VJQ291" s="47"/>
      <c r="VJR291" s="47"/>
      <c r="VJS291" s="47"/>
      <c r="VJT291" s="47"/>
      <c r="VJU291" s="47"/>
      <c r="VJV291" s="47"/>
      <c r="VJW291" s="47"/>
      <c r="VJX291" s="47"/>
      <c r="VJY291" s="47"/>
      <c r="VJZ291" s="47"/>
      <c r="VKA291" s="47"/>
      <c r="VKB291" s="47"/>
      <c r="VKC291" s="47"/>
      <c r="VKD291" s="47"/>
      <c r="VKE291" s="47"/>
      <c r="VKF291" s="47"/>
      <c r="VKG291" s="47"/>
      <c r="VKH291" s="47"/>
      <c r="VKI291" s="47"/>
      <c r="VKJ291" s="47"/>
      <c r="VKK291" s="47"/>
      <c r="VKL291" s="47"/>
      <c r="VKM291" s="47"/>
      <c r="VKN291" s="47"/>
      <c r="VKO291" s="47"/>
      <c r="VKP291" s="47"/>
      <c r="VKQ291" s="47"/>
      <c r="VKR291" s="47"/>
      <c r="VKS291" s="47"/>
      <c r="VKT291" s="47"/>
      <c r="VKU291" s="47"/>
      <c r="VKV291" s="47"/>
      <c r="VKW291" s="47"/>
      <c r="VKX291" s="47"/>
      <c r="VKY291" s="47"/>
      <c r="VKZ291" s="47"/>
      <c r="VLA291" s="47"/>
      <c r="VLB291" s="47"/>
      <c r="VLC291" s="47"/>
      <c r="VLD291" s="47"/>
      <c r="VLE291" s="47"/>
      <c r="VLF291" s="47"/>
      <c r="VLG291" s="47"/>
      <c r="VLH291" s="47"/>
      <c r="VLI291" s="47"/>
      <c r="VLJ291" s="47"/>
      <c r="VLK291" s="47"/>
      <c r="VLL291" s="47"/>
      <c r="VLM291" s="47"/>
      <c r="VLN291" s="47"/>
      <c r="VLO291" s="47"/>
      <c r="VLP291" s="47"/>
      <c r="VLQ291" s="47"/>
      <c r="VLR291" s="47"/>
      <c r="VLS291" s="47"/>
      <c r="VLT291" s="47"/>
      <c r="VLU291" s="47"/>
      <c r="VLV291" s="47"/>
      <c r="VLW291" s="47"/>
      <c r="VLX291" s="47"/>
      <c r="VLY291" s="47"/>
      <c r="VLZ291" s="47"/>
      <c r="VMA291" s="47"/>
      <c r="VMB291" s="47"/>
      <c r="VMC291" s="47"/>
      <c r="VMD291" s="47"/>
      <c r="VME291" s="47"/>
      <c r="VMF291" s="47"/>
      <c r="VMG291" s="47"/>
      <c r="VMH291" s="47"/>
      <c r="VMI291" s="47"/>
      <c r="VMJ291" s="47"/>
      <c r="VMK291" s="47"/>
      <c r="VML291" s="47"/>
      <c r="VMM291" s="47"/>
      <c r="VMN291" s="47"/>
      <c r="VMO291" s="47"/>
      <c r="VMP291" s="47"/>
      <c r="VMQ291" s="47"/>
      <c r="VMR291" s="47"/>
      <c r="VMS291" s="47"/>
      <c r="VMT291" s="47"/>
      <c r="VMU291" s="47"/>
      <c r="VMV291" s="47"/>
      <c r="VMW291" s="47"/>
      <c r="VMX291" s="47"/>
      <c r="VMY291" s="47"/>
      <c r="VMZ291" s="47"/>
      <c r="VNA291" s="47"/>
      <c r="VNB291" s="47"/>
      <c r="VNC291" s="47"/>
      <c r="VND291" s="47"/>
      <c r="VNE291" s="47"/>
      <c r="VNF291" s="47"/>
      <c r="VNG291" s="47"/>
      <c r="VNH291" s="47"/>
      <c r="VNI291" s="47"/>
      <c r="VNJ291" s="47"/>
      <c r="VNK291" s="47"/>
      <c r="VNL291" s="47"/>
      <c r="VNM291" s="47"/>
      <c r="VNN291" s="47"/>
      <c r="VNO291" s="47"/>
      <c r="VNP291" s="47"/>
      <c r="VNQ291" s="47"/>
      <c r="VNR291" s="47"/>
      <c r="VNS291" s="47"/>
      <c r="VNT291" s="47"/>
      <c r="VNU291" s="47"/>
      <c r="VNV291" s="47"/>
      <c r="VNW291" s="47"/>
      <c r="VNX291" s="47"/>
      <c r="VNY291" s="47"/>
      <c r="VNZ291" s="47"/>
      <c r="VOA291" s="47"/>
      <c r="VOB291" s="47"/>
      <c r="VOC291" s="47"/>
      <c r="VOD291" s="47"/>
      <c r="VOE291" s="47"/>
      <c r="VOF291" s="47"/>
      <c r="VOG291" s="47"/>
      <c r="VOH291" s="47"/>
      <c r="VOI291" s="47"/>
      <c r="VOJ291" s="47"/>
      <c r="VOK291" s="47"/>
      <c r="VOL291" s="47"/>
      <c r="VOM291" s="47"/>
      <c r="VON291" s="47"/>
      <c r="VOO291" s="47"/>
      <c r="VOP291" s="47"/>
      <c r="VOQ291" s="47"/>
      <c r="VOR291" s="47"/>
      <c r="VOS291" s="47"/>
      <c r="VOT291" s="47"/>
      <c r="VOU291" s="47"/>
      <c r="VOV291" s="47"/>
      <c r="VOW291" s="47"/>
      <c r="VOX291" s="47"/>
      <c r="VOY291" s="47"/>
      <c r="VOZ291" s="47"/>
      <c r="VPA291" s="47"/>
      <c r="VPB291" s="47"/>
      <c r="VPC291" s="47"/>
      <c r="VPD291" s="47"/>
      <c r="VPE291" s="47"/>
      <c r="VPF291" s="47"/>
      <c r="VPG291" s="47"/>
      <c r="VPH291" s="47"/>
      <c r="VPI291" s="47"/>
      <c r="VPJ291" s="47"/>
      <c r="VPK291" s="47"/>
      <c r="VPL291" s="47"/>
      <c r="VPM291" s="47"/>
      <c r="VPN291" s="47"/>
      <c r="VPO291" s="47"/>
      <c r="VPP291" s="47"/>
      <c r="VPQ291" s="47"/>
      <c r="VPR291" s="47"/>
      <c r="VPS291" s="47"/>
      <c r="VPT291" s="47"/>
      <c r="VPU291" s="47"/>
      <c r="VPV291" s="47"/>
      <c r="VPW291" s="47"/>
      <c r="VPX291" s="47"/>
      <c r="VPY291" s="47"/>
      <c r="VPZ291" s="47"/>
      <c r="VQA291" s="47"/>
      <c r="VQB291" s="47"/>
      <c r="VQC291" s="47"/>
      <c r="VQD291" s="47"/>
      <c r="VQE291" s="47"/>
      <c r="VQF291" s="47"/>
      <c r="VQG291" s="47"/>
      <c r="VQH291" s="47"/>
      <c r="VQI291" s="47"/>
      <c r="VQJ291" s="47"/>
      <c r="VQK291" s="47"/>
      <c r="VQL291" s="47"/>
      <c r="VQM291" s="47"/>
      <c r="VQN291" s="47"/>
      <c r="VQO291" s="47"/>
      <c r="VQP291" s="47"/>
      <c r="VQQ291" s="47"/>
      <c r="VQR291" s="47"/>
      <c r="VQS291" s="47"/>
      <c r="VQT291" s="47"/>
      <c r="VQU291" s="47"/>
      <c r="VQV291" s="47"/>
      <c r="VQW291" s="47"/>
      <c r="VQX291" s="47"/>
      <c r="VQY291" s="47"/>
      <c r="VQZ291" s="47"/>
      <c r="VRA291" s="47"/>
      <c r="VRB291" s="47"/>
      <c r="VRC291" s="47"/>
      <c r="VRD291" s="47"/>
      <c r="VRE291" s="47"/>
      <c r="VRF291" s="47"/>
      <c r="VRG291" s="47"/>
      <c r="VRH291" s="47"/>
      <c r="VRI291" s="47"/>
      <c r="VRJ291" s="47"/>
      <c r="VRK291" s="47"/>
      <c r="VRL291" s="47"/>
      <c r="VRM291" s="47"/>
      <c r="VRN291" s="47"/>
      <c r="VRO291" s="47"/>
      <c r="VRP291" s="47"/>
      <c r="VRQ291" s="47"/>
      <c r="VRR291" s="47"/>
      <c r="VRS291" s="47"/>
      <c r="VRT291" s="47"/>
      <c r="VRU291" s="47"/>
      <c r="VRV291" s="47"/>
      <c r="VRW291" s="47"/>
      <c r="VRX291" s="47"/>
      <c r="VRY291" s="47"/>
      <c r="VRZ291" s="47"/>
      <c r="VSA291" s="47"/>
      <c r="VSB291" s="47"/>
      <c r="VSC291" s="47"/>
      <c r="VSD291" s="47"/>
      <c r="VSE291" s="47"/>
      <c r="VSF291" s="47"/>
      <c r="VSG291" s="47"/>
      <c r="VSH291" s="47"/>
      <c r="VSI291" s="47"/>
      <c r="VSJ291" s="47"/>
      <c r="VSK291" s="47"/>
      <c r="VSL291" s="47"/>
      <c r="VSM291" s="47"/>
      <c r="VSN291" s="47"/>
      <c r="VSO291" s="47"/>
      <c r="VSP291" s="47"/>
      <c r="VSQ291" s="47"/>
      <c r="VSR291" s="47"/>
      <c r="VSS291" s="47"/>
      <c r="VST291" s="47"/>
      <c r="VSU291" s="47"/>
      <c r="VSV291" s="47"/>
      <c r="VSW291" s="47"/>
      <c r="VSX291" s="47"/>
      <c r="VSY291" s="47"/>
      <c r="VSZ291" s="47"/>
      <c r="VTA291" s="47"/>
      <c r="VTB291" s="47"/>
      <c r="VTC291" s="47"/>
      <c r="VTD291" s="47"/>
      <c r="VTE291" s="47"/>
      <c r="VTF291" s="47"/>
      <c r="VTG291" s="47"/>
      <c r="VTH291" s="47"/>
      <c r="VTI291" s="47"/>
      <c r="VTJ291" s="47"/>
      <c r="VTK291" s="47"/>
      <c r="VTL291" s="47"/>
      <c r="VTM291" s="47"/>
      <c r="VTN291" s="47"/>
      <c r="VTO291" s="47"/>
      <c r="VTP291" s="47"/>
      <c r="VTQ291" s="47"/>
      <c r="VTR291" s="47"/>
      <c r="VTS291" s="47"/>
      <c r="VTT291" s="47"/>
      <c r="VTU291" s="47"/>
      <c r="VTV291" s="47"/>
      <c r="VTW291" s="47"/>
      <c r="VTX291" s="47"/>
      <c r="VTY291" s="47"/>
      <c r="VTZ291" s="47"/>
      <c r="VUA291" s="47"/>
      <c r="VUB291" s="47"/>
      <c r="VUC291" s="47"/>
      <c r="VUD291" s="47"/>
      <c r="VUE291" s="47"/>
      <c r="VUF291" s="47"/>
      <c r="VUG291" s="47"/>
      <c r="VUH291" s="47"/>
      <c r="VUI291" s="47"/>
      <c r="VUJ291" s="47"/>
      <c r="VUK291" s="47"/>
      <c r="VUL291" s="47"/>
      <c r="VUM291" s="47"/>
      <c r="VUN291" s="47"/>
      <c r="VUO291" s="47"/>
      <c r="VUP291" s="47"/>
      <c r="VUQ291" s="47"/>
      <c r="VUR291" s="47"/>
      <c r="VUS291" s="47"/>
      <c r="VUT291" s="47"/>
      <c r="VUU291" s="47"/>
      <c r="VUV291" s="47"/>
      <c r="VUW291" s="47"/>
      <c r="VUX291" s="47"/>
      <c r="VUY291" s="47"/>
      <c r="VUZ291" s="47"/>
      <c r="VVA291" s="47"/>
      <c r="VVB291" s="47"/>
      <c r="VVC291" s="47"/>
      <c r="VVD291" s="47"/>
      <c r="VVE291" s="47"/>
      <c r="VVF291" s="47"/>
      <c r="VVG291" s="47"/>
      <c r="VVH291" s="47"/>
      <c r="VVI291" s="47"/>
      <c r="VVJ291" s="47"/>
      <c r="VVK291" s="47"/>
      <c r="VVL291" s="47"/>
    </row>
  </sheetData>
  <mergeCells count="6">
    <mergeCell ref="AM2:AM3"/>
    <mergeCell ref="C2:C3"/>
    <mergeCell ref="D2:D3"/>
    <mergeCell ref="E2:E3"/>
    <mergeCell ref="F2:F3"/>
    <mergeCell ref="G2:AK2"/>
  </mergeCells>
  <pageMargins left="0.11811023622047245" right="0.11811023622047245" top="0.35433070866141736" bottom="0.15748031496062992" header="0.31496062992125984" footer="0.31496062992125984"/>
  <pageSetup paperSize="9" scale="52" orientation="landscape" horizontalDpi="90" verticalDpi="90" r:id="rId1"/>
  <colBreaks count="2" manualBreakCount="2">
    <brk id="20" min="63" max="267" man="1"/>
    <brk id="39" min="63" max="267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topLeftCell="B1" workbookViewId="0">
      <selection activeCell="G22" sqref="G22"/>
    </sheetView>
  </sheetViews>
  <sheetFormatPr defaultColWidth="8.85546875" defaultRowHeight="15" x14ac:dyDescent="0.25"/>
  <cols>
    <col min="1" max="1" width="8.28515625" style="353" customWidth="1"/>
    <col min="2" max="2" width="5.28515625" style="353" customWidth="1"/>
    <col min="3" max="3" width="24.28515625" style="353" customWidth="1"/>
    <col min="4" max="4" width="5.140625" style="353" customWidth="1"/>
    <col min="5" max="5" width="46.5703125" style="353" customWidth="1"/>
    <col min="6" max="6" width="5.140625" style="353" customWidth="1"/>
    <col min="7" max="7" width="18.42578125" style="353" customWidth="1"/>
    <col min="8" max="8" width="10.85546875" style="353" customWidth="1"/>
    <col min="9" max="9" width="13" style="353" customWidth="1"/>
    <col min="10" max="10" width="3.5703125" style="353" customWidth="1"/>
    <col min="11" max="12" width="8.85546875" style="353"/>
    <col min="13" max="13" width="20.28515625" style="353" customWidth="1"/>
    <col min="14" max="16384" width="8.85546875" style="353"/>
  </cols>
  <sheetData>
    <row r="2" spans="2:13" ht="19.5" thickBot="1" x14ac:dyDescent="0.3">
      <c r="B2" s="856" t="s">
        <v>392</v>
      </c>
    </row>
    <row r="3" spans="2:13" x14ac:dyDescent="0.25">
      <c r="B3" s="916" t="s">
        <v>232</v>
      </c>
      <c r="C3" s="917"/>
      <c r="D3" s="917"/>
      <c r="E3" s="917"/>
      <c r="F3" s="917"/>
      <c r="G3" s="918"/>
      <c r="H3" s="919" t="s">
        <v>390</v>
      </c>
      <c r="I3" s="920">
        <f>'HPP REF '!$N$3</f>
        <v>890.60333333333335</v>
      </c>
    </row>
    <row r="4" spans="2:13" x14ac:dyDescent="0.25">
      <c r="B4" s="921" t="s">
        <v>234</v>
      </c>
      <c r="C4" s="922"/>
      <c r="D4" s="922"/>
      <c r="E4" s="922"/>
      <c r="F4" s="995">
        <v>1</v>
      </c>
      <c r="G4" s="996"/>
      <c r="H4" s="923" t="s">
        <v>233</v>
      </c>
      <c r="I4" s="924">
        <f>'HPP REF '!$N$4</f>
        <v>27</v>
      </c>
    </row>
    <row r="5" spans="2:13" ht="15.75" thickBot="1" x14ac:dyDescent="0.3">
      <c r="B5" s="997" t="s">
        <v>563</v>
      </c>
      <c r="C5" s="998"/>
      <c r="D5" s="998"/>
      <c r="E5" s="998"/>
      <c r="F5" s="998"/>
      <c r="G5" s="927"/>
      <c r="H5" s="999" t="s">
        <v>285</v>
      </c>
      <c r="I5" s="929">
        <f>$I$4*$I$3</f>
        <v>24046.29</v>
      </c>
    </row>
    <row r="6" spans="2:13" x14ac:dyDescent="0.25">
      <c r="B6" s="916" t="s">
        <v>391</v>
      </c>
      <c r="C6" s="917"/>
      <c r="D6" s="917"/>
      <c r="E6" s="917"/>
      <c r="F6" s="917"/>
      <c r="G6" s="1000"/>
      <c r="H6" s="919" t="s">
        <v>390</v>
      </c>
      <c r="I6" s="920">
        <f>'HPP FRACT'!$O$3</f>
        <v>836.77662962962961</v>
      </c>
    </row>
    <row r="7" spans="2:13" x14ac:dyDescent="0.25">
      <c r="B7" s="921" t="s">
        <v>234</v>
      </c>
      <c r="C7" s="922"/>
      <c r="D7" s="922"/>
      <c r="E7" s="922"/>
      <c r="F7" s="922"/>
      <c r="G7" s="996"/>
      <c r="H7" s="923" t="s">
        <v>233</v>
      </c>
      <c r="I7" s="924">
        <f>'HPP FRACT'!$O$4</f>
        <v>27</v>
      </c>
    </row>
    <row r="8" spans="2:13" ht="15.75" thickBot="1" x14ac:dyDescent="0.3">
      <c r="B8" s="997" t="s">
        <v>564</v>
      </c>
      <c r="C8" s="998"/>
      <c r="D8" s="998"/>
      <c r="E8" s="998"/>
      <c r="F8" s="998"/>
      <c r="G8" s="927"/>
      <c r="H8" s="999" t="s">
        <v>285</v>
      </c>
      <c r="I8" s="929">
        <f>$I$7*$I$6</f>
        <v>22592.969000000001</v>
      </c>
    </row>
    <row r="9" spans="2:13" ht="15.75" thickBot="1" x14ac:dyDescent="0.3">
      <c r="B9" s="925" t="s">
        <v>236</v>
      </c>
      <c r="C9" s="926"/>
      <c r="D9" s="926"/>
      <c r="E9" s="926"/>
      <c r="F9" s="926"/>
      <c r="G9" s="927"/>
      <c r="H9" s="928" t="s">
        <v>237</v>
      </c>
      <c r="I9" s="929">
        <v>16000</v>
      </c>
    </row>
    <row r="10" spans="2:13" ht="15.75" thickBot="1" x14ac:dyDescent="0.3">
      <c r="B10" s="930" t="s">
        <v>100</v>
      </c>
      <c r="C10" s="931" t="s">
        <v>289</v>
      </c>
      <c r="D10" s="1611" t="s">
        <v>290</v>
      </c>
      <c r="E10" s="1612"/>
      <c r="F10" s="1613"/>
      <c r="G10" s="932" t="s">
        <v>378</v>
      </c>
      <c r="H10" s="930" t="s">
        <v>291</v>
      </c>
      <c r="I10" s="932" t="s">
        <v>231</v>
      </c>
    </row>
    <row r="11" spans="2:13" ht="15.75" thickTop="1" x14ac:dyDescent="0.25">
      <c r="B11" s="933" t="s">
        <v>292</v>
      </c>
      <c r="C11" s="934" t="s">
        <v>379</v>
      </c>
      <c r="D11" s="935" t="s">
        <v>380</v>
      </c>
      <c r="E11" s="934" t="s">
        <v>293</v>
      </c>
      <c r="F11" s="936"/>
      <c r="G11" s="937">
        <f>'HPP REF '!$M$48</f>
        <v>4751134578.0638437</v>
      </c>
      <c r="H11" s="938">
        <f>$G$11/($I$5*1000)</f>
        <v>197.58285282527342</v>
      </c>
      <c r="I11" s="939">
        <f>(G11/$I$9)/$I$5</f>
        <v>12.348928301579587</v>
      </c>
      <c r="M11" s="940"/>
    </row>
    <row r="12" spans="2:13" x14ac:dyDescent="0.25">
      <c r="B12" s="941"/>
      <c r="D12" s="942" t="s">
        <v>380</v>
      </c>
      <c r="E12" s="943" t="s">
        <v>283</v>
      </c>
      <c r="F12" s="944"/>
      <c r="G12" s="419">
        <f>'HPP FRACT'!$M$22</f>
        <v>1042486714.4681541</v>
      </c>
      <c r="H12" s="420">
        <f>$G$12/($I$8*1000)</f>
        <v>46.142085817413111</v>
      </c>
      <c r="I12" s="945">
        <f>(G12/$I$9)/$I$8</f>
        <v>2.8838803635883195</v>
      </c>
      <c r="M12" s="940"/>
    </row>
    <row r="13" spans="2:13" x14ac:dyDescent="0.25">
      <c r="B13" s="941"/>
      <c r="D13" s="942" t="s">
        <v>380</v>
      </c>
      <c r="E13" s="943" t="s">
        <v>294</v>
      </c>
      <c r="F13" s="946">
        <v>1</v>
      </c>
      <c r="G13" s="419">
        <f>MTC!$F$18</f>
        <v>710383850.47058821</v>
      </c>
      <c r="H13" s="420">
        <f>$G$13/($I$5*1000)</f>
        <v>29.54234730058517</v>
      </c>
      <c r="I13" s="947">
        <f t="shared" ref="I13" si="0">(G13/$I$9)/$I$5</f>
        <v>1.8463967062865732</v>
      </c>
      <c r="M13" s="940"/>
    </row>
    <row r="14" spans="2:13" x14ac:dyDescent="0.25">
      <c r="B14" s="941"/>
      <c r="D14" s="942"/>
      <c r="E14" s="943"/>
      <c r="F14" s="946"/>
      <c r="G14" s="948">
        <f>SUM(G11:$G$13)</f>
        <v>6504005143.0025864</v>
      </c>
      <c r="H14" s="421">
        <f>SUM($H$11:$H$13)</f>
        <v>273.2672859432717</v>
      </c>
      <c r="I14" s="949">
        <f>SUM(I11:I13)</f>
        <v>17.079205371454481</v>
      </c>
      <c r="M14" s="940"/>
    </row>
    <row r="15" spans="2:13" x14ac:dyDescent="0.25">
      <c r="B15" s="950"/>
      <c r="C15" s="951"/>
      <c r="D15" s="952"/>
      <c r="E15" s="953"/>
      <c r="F15" s="954"/>
      <c r="G15" s="955"/>
      <c r="H15" s="956"/>
      <c r="I15" s="957"/>
      <c r="M15" s="940"/>
    </row>
    <row r="16" spans="2:13" x14ac:dyDescent="0.25">
      <c r="B16" s="941" t="s">
        <v>295</v>
      </c>
      <c r="C16" s="353" t="s">
        <v>381</v>
      </c>
      <c r="D16" s="942" t="s">
        <v>380</v>
      </c>
      <c r="E16" s="958" t="s">
        <v>382</v>
      </c>
      <c r="F16" s="946"/>
      <c r="G16" s="419">
        <f>LOG!I8+LOG!I9+LOG!$I$10</f>
        <v>2496582012.96</v>
      </c>
      <c r="H16" s="420">
        <f>$G$16/($I$5*1000)</f>
        <v>103.824</v>
      </c>
      <c r="I16" s="945">
        <f>($G$16/$I$9)/$I$5</f>
        <v>6.4889999999999999</v>
      </c>
      <c r="M16" s="959"/>
    </row>
    <row r="17" spans="2:13" x14ac:dyDescent="0.25">
      <c r="B17" s="941"/>
      <c r="D17" s="942" t="s">
        <v>380</v>
      </c>
      <c r="E17" s="960" t="s">
        <v>383</v>
      </c>
      <c r="F17" s="946">
        <v>1</v>
      </c>
      <c r="G17" s="419">
        <f>LOG!I11+LOG!I12+LOG!I13+LOG!$I$14</f>
        <v>1886000000</v>
      </c>
      <c r="H17" s="420">
        <f>$G$17/($I$5*1000)</f>
        <v>78.432057502425536</v>
      </c>
      <c r="I17" s="945">
        <f>($G$17/$I$9)/$I$5</f>
        <v>4.9020035939015951</v>
      </c>
      <c r="M17" s="959"/>
    </row>
    <row r="18" spans="2:13" x14ac:dyDescent="0.25">
      <c r="B18" s="941"/>
      <c r="D18" s="942" t="s">
        <v>380</v>
      </c>
      <c r="E18" s="943" t="s">
        <v>384</v>
      </c>
      <c r="F18" s="946"/>
      <c r="G18" s="419">
        <f>LOG!I18+LOG!I19+LOG!I20+LOG!$I$21</f>
        <v>1288111662.7199998</v>
      </c>
      <c r="H18" s="420">
        <f>$G$18/($I$5*1000)</f>
        <v>53.567999999999991</v>
      </c>
      <c r="I18" s="945">
        <f>($G$18/$I$9)/$I$5</f>
        <v>3.3479999999999994</v>
      </c>
      <c r="M18" s="959"/>
    </row>
    <row r="19" spans="2:13" x14ac:dyDescent="0.25">
      <c r="B19" s="941"/>
      <c r="D19" s="942" t="s">
        <v>380</v>
      </c>
      <c r="E19" s="943" t="s">
        <v>385</v>
      </c>
      <c r="F19" s="946"/>
      <c r="G19" s="419">
        <f>LOG!I15+LOG!I16+LOG!$I$17</f>
        <v>681718546.24000001</v>
      </c>
      <c r="H19" s="420">
        <f>$G$19/($I$5*1000)</f>
        <v>28.350258864881027</v>
      </c>
      <c r="I19" s="945">
        <f>($G$19/$I$9)/$I$5</f>
        <v>1.7718911790550642</v>
      </c>
      <c r="M19" s="959"/>
    </row>
    <row r="20" spans="2:13" x14ac:dyDescent="0.25">
      <c r="B20" s="941"/>
      <c r="D20" s="418"/>
      <c r="E20" s="943"/>
      <c r="F20" s="944"/>
      <c r="G20" s="948">
        <f>SUM($G$16:$G$19)</f>
        <v>6352412221.9200001</v>
      </c>
      <c r="H20" s="421">
        <f>SUM($H$16:$H$19)</f>
        <v>264.17431636730657</v>
      </c>
      <c r="I20" s="421">
        <f>SUM($I$16:$I$19)</f>
        <v>16.510894772956657</v>
      </c>
      <c r="K20" s="961"/>
      <c r="M20" s="959"/>
    </row>
    <row r="21" spans="2:13" x14ac:dyDescent="0.25">
      <c r="B21" s="950"/>
      <c r="C21" s="951"/>
      <c r="D21" s="962"/>
      <c r="E21" s="953"/>
      <c r="F21" s="963"/>
      <c r="G21" s="951"/>
      <c r="H21" s="964"/>
      <c r="I21" s="965"/>
      <c r="M21" s="959"/>
    </row>
    <row r="22" spans="2:13" x14ac:dyDescent="0.25">
      <c r="B22" s="966" t="s">
        <v>295</v>
      </c>
      <c r="C22" s="967" t="s">
        <v>296</v>
      </c>
      <c r="D22" s="968" t="s">
        <v>380</v>
      </c>
      <c r="E22" s="967" t="s">
        <v>297</v>
      </c>
      <c r="F22" s="969">
        <f>F4</f>
        <v>1</v>
      </c>
      <c r="G22" s="970">
        <f>[20]MPC!$H$29*$F$22</f>
        <v>2184665532.2092161</v>
      </c>
      <c r="H22" s="420">
        <f>$G$22/($I$5*1000)</f>
        <v>90.852498751749906</v>
      </c>
      <c r="I22" s="945">
        <f>($G$22/$I$9)/$I$5</f>
        <v>5.6782811719843691</v>
      </c>
      <c r="M22" s="940"/>
    </row>
    <row r="23" spans="2:13" x14ac:dyDescent="0.25">
      <c r="B23" s="941"/>
      <c r="D23" s="942" t="s">
        <v>380</v>
      </c>
      <c r="E23" s="943" t="s">
        <v>298</v>
      </c>
      <c r="F23" s="946">
        <f>F4</f>
        <v>1</v>
      </c>
      <c r="G23" s="419">
        <f>OH!G51*$F$23</f>
        <v>1436056392.483475</v>
      </c>
      <c r="H23" s="420">
        <f>$G$23/($I$5*1000)</f>
        <v>59.720497111341288</v>
      </c>
      <c r="I23" s="945">
        <f>($G$23/$I$9)/$I$5</f>
        <v>3.7325310694588305</v>
      </c>
      <c r="M23" s="940"/>
    </row>
    <row r="24" spans="2:13" x14ac:dyDescent="0.25">
      <c r="B24" s="941"/>
      <c r="D24" s="942" t="s">
        <v>380</v>
      </c>
      <c r="E24" s="943" t="s">
        <v>299</v>
      </c>
      <c r="F24" s="946">
        <f>F4</f>
        <v>1</v>
      </c>
      <c r="G24" s="419">
        <f>DEP!I9*$F$24</f>
        <v>4181184787.4775009</v>
      </c>
      <c r="H24" s="420">
        <f>$G$24/($I$5*1000)</f>
        <v>173.88066048764699</v>
      </c>
      <c r="I24" s="945">
        <f>($G$24/$I$9)/$I$5</f>
        <v>10.867541280477935</v>
      </c>
      <c r="M24" s="940"/>
    </row>
    <row r="25" spans="2:13" x14ac:dyDescent="0.25">
      <c r="B25" s="941"/>
      <c r="D25" s="942" t="s">
        <v>380</v>
      </c>
      <c r="E25" s="943" t="s">
        <v>300</v>
      </c>
      <c r="F25" s="946">
        <f>F4</f>
        <v>1</v>
      </c>
      <c r="G25" s="419">
        <f>AMOR!$G$20*$F$25</f>
        <v>1048409804.9999995</v>
      </c>
      <c r="H25" s="420">
        <f>$G$25/($I$5*1000)</f>
        <v>43.599649051891149</v>
      </c>
      <c r="I25" s="945">
        <f>($G$25/$I$9)/$I$5</f>
        <v>2.7249780657431963</v>
      </c>
      <c r="M25" s="940"/>
    </row>
    <row r="26" spans="2:13" x14ac:dyDescent="0.25">
      <c r="B26" s="941"/>
      <c r="D26" s="418"/>
      <c r="E26" s="943"/>
      <c r="F26" s="944"/>
      <c r="G26" s="948">
        <f>SUM($G$22:$G$25)</f>
        <v>8850316517.1701908</v>
      </c>
      <c r="H26" s="421">
        <f>SUM($H$22:$H$25)</f>
        <v>368.05330540262935</v>
      </c>
      <c r="I26" s="949">
        <f>SUM($I$22:$I$25)</f>
        <v>23.003331587664331</v>
      </c>
      <c r="K26" s="961">
        <f>I26+I14</f>
        <v>40.082536959118812</v>
      </c>
      <c r="M26" s="940"/>
    </row>
    <row r="27" spans="2:13" ht="15.75" thickBot="1" x14ac:dyDescent="0.3">
      <c r="B27" s="941"/>
      <c r="D27" s="418"/>
      <c r="E27" s="943"/>
      <c r="F27" s="944"/>
      <c r="H27" s="421"/>
      <c r="I27" s="971"/>
      <c r="M27" s="940"/>
    </row>
    <row r="28" spans="2:13" ht="17.25" thickTop="1" thickBot="1" x14ac:dyDescent="0.3">
      <c r="B28" s="1614" t="s">
        <v>386</v>
      </c>
      <c r="C28" s="1614"/>
      <c r="D28" s="1614"/>
      <c r="E28" s="1614"/>
      <c r="F28" s="1614"/>
      <c r="G28" s="972">
        <f>$G$26+$G$20+$G$14</f>
        <v>21706733882.092777</v>
      </c>
      <c r="H28" s="973">
        <f>$H$26+$H$20+$H$14</f>
        <v>905.49490771320757</v>
      </c>
      <c r="I28" s="973">
        <f>$I$26+$I$20+$I$14</f>
        <v>56.593431732075473</v>
      </c>
      <c r="K28" s="961"/>
    </row>
  </sheetData>
  <mergeCells count="2">
    <mergeCell ref="D10:F10"/>
    <mergeCell ref="B28:F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workbookViewId="0">
      <selection activeCell="F12" sqref="F12"/>
    </sheetView>
  </sheetViews>
  <sheetFormatPr defaultRowHeight="15" x14ac:dyDescent="0.25"/>
  <cols>
    <col min="1" max="1" width="7.7109375" customWidth="1"/>
    <col min="2" max="2" width="5" customWidth="1"/>
    <col min="3" max="3" width="38.5703125" customWidth="1"/>
    <col min="4" max="4" width="9.7109375" customWidth="1"/>
    <col min="5" max="5" width="13.42578125" customWidth="1"/>
    <col min="6" max="6" width="16.42578125" customWidth="1"/>
    <col min="7" max="7" width="10.7109375" customWidth="1"/>
    <col min="8" max="8" width="7.140625" customWidth="1"/>
    <col min="9" max="9" width="5.28515625" customWidth="1"/>
    <col min="10" max="10" width="15.42578125" customWidth="1"/>
    <col min="11" max="11" width="10" customWidth="1"/>
    <col min="12" max="12" width="7.140625" customWidth="1"/>
    <col min="13" max="13" width="17.85546875" customWidth="1"/>
    <col min="14" max="14" width="11.85546875" customWidth="1"/>
    <col min="15" max="15" width="11.28515625" customWidth="1"/>
  </cols>
  <sheetData>
    <row r="1" spans="2:15" ht="7.15" customHeight="1" x14ac:dyDescent="0.25"/>
    <row r="2" spans="2:15" ht="24.6" customHeight="1" thickBot="1" x14ac:dyDescent="0.3">
      <c r="B2" s="856" t="s">
        <v>222</v>
      </c>
      <c r="C2" s="399"/>
      <c r="D2" s="400"/>
      <c r="E2" s="400"/>
      <c r="F2" s="401"/>
      <c r="G2" s="401"/>
      <c r="H2" s="401"/>
      <c r="I2" s="401"/>
      <c r="J2" s="401"/>
      <c r="K2" s="400"/>
      <c r="L2" s="400"/>
      <c r="M2" s="400"/>
      <c r="N2" s="400"/>
      <c r="O2" s="400"/>
    </row>
    <row r="3" spans="2:15" x14ac:dyDescent="0.25">
      <c r="B3" s="857" t="s">
        <v>370</v>
      </c>
      <c r="C3" s="858"/>
      <c r="D3" s="859"/>
      <c r="E3" s="859"/>
      <c r="F3" s="859"/>
      <c r="G3" s="859"/>
      <c r="H3" s="859"/>
      <c r="I3" s="859"/>
      <c r="J3" s="859"/>
      <c r="K3" s="859"/>
      <c r="L3" s="859"/>
      <c r="M3" s="859"/>
      <c r="N3" s="978">
        <f>('September - 2024'!AM10)/1000</f>
        <v>890.60333333333335</v>
      </c>
      <c r="O3" s="860" t="s">
        <v>390</v>
      </c>
    </row>
    <row r="4" spans="2:15" x14ac:dyDescent="0.25">
      <c r="B4" s="861" t="s">
        <v>234</v>
      </c>
      <c r="C4" s="402"/>
      <c r="D4" s="403"/>
      <c r="E4" s="403"/>
      <c r="F4" s="403"/>
      <c r="G4" s="403"/>
      <c r="H4" s="403"/>
      <c r="I4" s="403"/>
      <c r="J4" s="403"/>
      <c r="K4" s="403"/>
      <c r="L4" s="403"/>
      <c r="M4" s="403"/>
      <c r="N4" s="404">
        <f>'September - 2024'!AM6</f>
        <v>27</v>
      </c>
      <c r="O4" s="862" t="s">
        <v>233</v>
      </c>
    </row>
    <row r="5" spans="2:15" x14ac:dyDescent="0.25">
      <c r="B5" s="863" t="s">
        <v>235</v>
      </c>
      <c r="C5" s="403"/>
      <c r="D5" s="403"/>
      <c r="E5" s="403"/>
      <c r="F5" s="403"/>
      <c r="G5" s="403"/>
      <c r="H5" s="403"/>
      <c r="I5" s="403"/>
      <c r="J5" s="403"/>
      <c r="K5" s="403"/>
      <c r="L5" s="403"/>
      <c r="M5" s="403"/>
      <c r="N5" s="404">
        <f>N4*N3</f>
        <v>24046.29</v>
      </c>
      <c r="O5" s="862" t="s">
        <v>285</v>
      </c>
    </row>
    <row r="6" spans="2:15" ht="15.75" thickBot="1" x14ac:dyDescent="0.3">
      <c r="B6" s="864" t="s">
        <v>236</v>
      </c>
      <c r="C6" s="406"/>
      <c r="D6" s="406"/>
      <c r="E6" s="406"/>
      <c r="F6" s="406"/>
      <c r="G6" s="406"/>
      <c r="H6" s="406"/>
      <c r="I6" s="406"/>
      <c r="J6" s="406"/>
      <c r="K6" s="406"/>
      <c r="L6" s="406"/>
      <c r="M6" s="406"/>
      <c r="N6" s="865">
        <v>16000</v>
      </c>
      <c r="O6" s="866" t="s">
        <v>237</v>
      </c>
    </row>
    <row r="7" spans="2:15" ht="21" customHeight="1" thickBot="1" x14ac:dyDescent="0.3">
      <c r="B7" s="867" t="s">
        <v>100</v>
      </c>
      <c r="C7" s="868" t="s">
        <v>223</v>
      </c>
      <c r="D7" s="1615" t="s">
        <v>224</v>
      </c>
      <c r="E7" s="1615"/>
      <c r="F7" s="1616" t="s">
        <v>225</v>
      </c>
      <c r="G7" s="1616"/>
      <c r="H7" s="1617" t="s">
        <v>226</v>
      </c>
      <c r="I7" s="1618"/>
      <c r="J7" s="870" t="s">
        <v>227</v>
      </c>
      <c r="K7" s="1619" t="s">
        <v>228</v>
      </c>
      <c r="L7" s="1620"/>
      <c r="M7" s="869" t="s">
        <v>229</v>
      </c>
      <c r="N7" s="869" t="s">
        <v>230</v>
      </c>
      <c r="O7" s="871" t="s">
        <v>231</v>
      </c>
    </row>
    <row r="8" spans="2:15" ht="15.75" thickTop="1" x14ac:dyDescent="0.25">
      <c r="B8" s="872">
        <v>1</v>
      </c>
      <c r="C8" s="873" t="s">
        <v>238</v>
      </c>
      <c r="D8" s="992">
        <f>'September - 2024'!$AM$66</f>
        <v>0.7798001271713848</v>
      </c>
      <c r="E8" s="874"/>
      <c r="F8" s="875">
        <f>($D$8*$N$3*10)</f>
        <v>6944.9259259259261</v>
      </c>
      <c r="G8" s="876" t="s">
        <v>239</v>
      </c>
      <c r="H8" s="875">
        <f>$N$4</f>
        <v>27</v>
      </c>
      <c r="I8" s="875"/>
      <c r="J8" s="982">
        <f>$H$8*$F$8</f>
        <v>187513</v>
      </c>
      <c r="K8" s="877">
        <v>2400</v>
      </c>
      <c r="L8" s="877"/>
      <c r="M8" s="875">
        <f>$J$8*$K$8</f>
        <v>450031200</v>
      </c>
      <c r="N8" s="878">
        <f>$M$8/($N$5*1000)</f>
        <v>18.715203052113235</v>
      </c>
      <c r="O8" s="879">
        <f>($M$8/$N$6)/$N$5</f>
        <v>1.1697001907570772</v>
      </c>
    </row>
    <row r="9" spans="2:15" x14ac:dyDescent="0.25">
      <c r="B9" s="880">
        <v>2</v>
      </c>
      <c r="C9" s="378" t="s">
        <v>240</v>
      </c>
      <c r="D9" s="384">
        <f>'September - 2024'!$AM$70</f>
        <v>5.1981066517953492E-2</v>
      </c>
      <c r="E9" s="881"/>
      <c r="F9" s="391">
        <f>($D$9*$N$3*10)</f>
        <v>462.94511111111103</v>
      </c>
      <c r="G9" s="882" t="s">
        <v>239</v>
      </c>
      <c r="H9" s="391">
        <f>$H$8</f>
        <v>27</v>
      </c>
      <c r="I9" s="391"/>
      <c r="J9" s="391">
        <f>$H$9*$F$9</f>
        <v>12499.517999999998</v>
      </c>
      <c r="K9" s="379">
        <v>17420</v>
      </c>
      <c r="L9" s="379"/>
      <c r="M9" s="391">
        <f>$J$9*$K$9</f>
        <v>217741603.55999997</v>
      </c>
      <c r="N9" s="413">
        <f>$M$9/($N$5*1000)</f>
        <v>9.0551017874274979</v>
      </c>
      <c r="O9" s="883">
        <f>($M$9/$N$6)/$N$5</f>
        <v>0.56594386171421862</v>
      </c>
    </row>
    <row r="10" spans="2:15" x14ac:dyDescent="0.25">
      <c r="B10" s="880">
        <v>3</v>
      </c>
      <c r="C10" s="378" t="s">
        <v>241</v>
      </c>
      <c r="D10" s="384">
        <v>29.1666666666667</v>
      </c>
      <c r="E10" s="882" t="s">
        <v>242</v>
      </c>
      <c r="F10" s="391">
        <f>D10</f>
        <v>29.1666666666667</v>
      </c>
      <c r="G10" s="882" t="s">
        <v>242</v>
      </c>
      <c r="H10" s="391">
        <f>$H$8</f>
        <v>27</v>
      </c>
      <c r="I10" s="391"/>
      <c r="J10" s="391">
        <f>$H$10*$F$10</f>
        <v>787.50000000000091</v>
      </c>
      <c r="K10" s="379">
        <v>15700</v>
      </c>
      <c r="L10" s="379"/>
      <c r="M10" s="391">
        <f>$J$10*$K$10</f>
        <v>12363750.000000015</v>
      </c>
      <c r="N10" s="413">
        <f>$M$10/($N$5*1000)</f>
        <v>0.51416455511432391</v>
      </c>
      <c r="O10" s="883">
        <f>($M$10/$N$6)/$N$5</f>
        <v>3.2135284694645237E-2</v>
      </c>
    </row>
    <row r="11" spans="2:15" x14ac:dyDescent="0.25">
      <c r="B11" s="884">
        <v>4</v>
      </c>
      <c r="C11" s="378" t="s">
        <v>243</v>
      </c>
      <c r="D11" s="413"/>
      <c r="E11" s="881"/>
      <c r="F11" s="391"/>
      <c r="G11" s="882"/>
      <c r="H11" s="391"/>
      <c r="I11" s="391"/>
      <c r="J11" s="391"/>
      <c r="K11" s="379"/>
      <c r="L11" s="379"/>
      <c r="M11" s="391"/>
      <c r="N11" s="413"/>
      <c r="O11" s="883"/>
    </row>
    <row r="12" spans="2:15" x14ac:dyDescent="0.25">
      <c r="B12" s="885"/>
      <c r="C12" s="380" t="s">
        <v>244</v>
      </c>
      <c r="D12" s="413">
        <f>'September - 2024'!$AM$229</f>
        <v>0.24405569098534974</v>
      </c>
      <c r="E12" s="881" t="s">
        <v>245</v>
      </c>
      <c r="F12" s="391">
        <f>$D$12*$N$3</f>
        <v>217.35681191052242</v>
      </c>
      <c r="G12" s="882" t="s">
        <v>246</v>
      </c>
      <c r="H12" s="391">
        <f t="shared" ref="H12:H14" si="0">$H$8</f>
        <v>27</v>
      </c>
      <c r="I12" s="391"/>
      <c r="J12" s="391">
        <f>$H$12*$F$12</f>
        <v>5868.6339215841053</v>
      </c>
      <c r="K12" s="379">
        <f>12.7*$N$6</f>
        <v>203200</v>
      </c>
      <c r="L12" s="379"/>
      <c r="M12" s="391">
        <f>$J$12*$K$12</f>
        <v>1192506412.8658903</v>
      </c>
      <c r="N12" s="413">
        <f>$M$12/($N$5*1000)</f>
        <v>49.59211640822307</v>
      </c>
      <c r="O12" s="883">
        <f>($M$12/$N$6)/$N$5</f>
        <v>3.0995072755139415</v>
      </c>
    </row>
    <row r="13" spans="2:15" x14ac:dyDescent="0.25">
      <c r="B13" s="885"/>
      <c r="C13" s="380" t="s">
        <v>247</v>
      </c>
      <c r="D13" s="413">
        <v>0</v>
      </c>
      <c r="E13" s="881" t="s">
        <v>245</v>
      </c>
      <c r="F13" s="391">
        <f>$D$13*$N$3</f>
        <v>0</v>
      </c>
      <c r="G13" s="882" t="s">
        <v>246</v>
      </c>
      <c r="H13" s="391">
        <f t="shared" si="0"/>
        <v>27</v>
      </c>
      <c r="I13" s="391"/>
      <c r="J13" s="391">
        <f>$H$13*$F$13</f>
        <v>0</v>
      </c>
      <c r="K13" s="379">
        <f>12.7*$N$6</f>
        <v>203200</v>
      </c>
      <c r="L13" s="379"/>
      <c r="M13" s="391">
        <f>$J$13*$K$13</f>
        <v>0</v>
      </c>
      <c r="N13" s="413">
        <f>$M$13/($N$5*1000)</f>
        <v>0</v>
      </c>
      <c r="O13" s="883">
        <f>($M$13/$N$6)/$N$5</f>
        <v>0</v>
      </c>
    </row>
    <row r="14" spans="2:15" x14ac:dyDescent="0.25">
      <c r="B14" s="886"/>
      <c r="C14" s="380" t="s">
        <v>248</v>
      </c>
      <c r="D14" s="413">
        <v>0</v>
      </c>
      <c r="E14" s="881" t="s">
        <v>245</v>
      </c>
      <c r="F14" s="391">
        <f>$D$14*$N$3</f>
        <v>0</v>
      </c>
      <c r="G14" s="882" t="s">
        <v>246</v>
      </c>
      <c r="H14" s="391">
        <f t="shared" si="0"/>
        <v>27</v>
      </c>
      <c r="I14" s="391"/>
      <c r="J14" s="391">
        <f>$H$14*$F$14</f>
        <v>0</v>
      </c>
      <c r="K14" s="379">
        <f t="shared" ref="K14" si="1">12.7*$N$6</f>
        <v>203200</v>
      </c>
      <c r="L14" s="379"/>
      <c r="M14" s="391">
        <f>$J$14*$K$14</f>
        <v>0</v>
      </c>
      <c r="N14" s="413">
        <f>$M$14/($N$5*1000)</f>
        <v>0</v>
      </c>
      <c r="O14" s="883">
        <f>($M$14/$N$6)/$N$5</f>
        <v>0</v>
      </c>
    </row>
    <row r="15" spans="2:15" x14ac:dyDescent="0.25">
      <c r="B15" s="884">
        <v>5</v>
      </c>
      <c r="C15" s="378" t="s">
        <v>371</v>
      </c>
      <c r="D15" s="413"/>
      <c r="E15" s="881"/>
      <c r="F15" s="391"/>
      <c r="G15" s="882"/>
      <c r="H15" s="391"/>
      <c r="I15" s="391"/>
      <c r="J15" s="391"/>
      <c r="K15" s="379"/>
      <c r="L15" s="379"/>
      <c r="M15" s="391"/>
      <c r="N15" s="413"/>
      <c r="O15" s="883"/>
    </row>
    <row r="16" spans="2:15" x14ac:dyDescent="0.25">
      <c r="B16" s="885"/>
      <c r="C16" s="380" t="s">
        <v>249</v>
      </c>
      <c r="D16" s="381">
        <f>'September - 2024'!$AM$236</f>
        <v>163.35135274505964</v>
      </c>
      <c r="E16" s="881" t="s">
        <v>250</v>
      </c>
      <c r="F16" s="391">
        <f>$D$16*$N$3/1000</f>
        <v>145.48125925925928</v>
      </c>
      <c r="G16" s="882" t="s">
        <v>251</v>
      </c>
      <c r="H16" s="391">
        <f t="shared" ref="H16:H17" si="2">$H$8</f>
        <v>27</v>
      </c>
      <c r="I16" s="391"/>
      <c r="J16" s="391">
        <f>$H$16*$F$16</f>
        <v>3927.9940000000006</v>
      </c>
      <c r="K16" s="379">
        <v>507006</v>
      </c>
      <c r="L16" s="379"/>
      <c r="M16" s="391">
        <f>$J$16*$K$16</f>
        <v>1991516525.9640002</v>
      </c>
      <c r="N16" s="413">
        <f>$M$16/($N$5*1000)</f>
        <v>82.820115949861716</v>
      </c>
      <c r="O16" s="883">
        <f>($M$16/$N$6)/$N$5</f>
        <v>5.1762572468663572</v>
      </c>
    </row>
    <row r="17" spans="2:15" x14ac:dyDescent="0.25">
      <c r="B17" s="886"/>
      <c r="C17" s="380" t="s">
        <v>252</v>
      </c>
      <c r="D17" s="381">
        <v>30</v>
      </c>
      <c r="E17" s="881" t="s">
        <v>250</v>
      </c>
      <c r="F17" s="391">
        <f>$D$17*$N$3/1000</f>
        <v>26.718100000000003</v>
      </c>
      <c r="G17" s="882" t="s">
        <v>251</v>
      </c>
      <c r="H17" s="391">
        <f t="shared" si="2"/>
        <v>27</v>
      </c>
      <c r="I17" s="391"/>
      <c r="J17" s="391">
        <f>$H$17*$F$17</f>
        <v>721.38870000000009</v>
      </c>
      <c r="K17" s="379">
        <v>507006</v>
      </c>
      <c r="L17" s="379"/>
      <c r="M17" s="391">
        <f>$J$17*$K$17</f>
        <v>365748399.23220003</v>
      </c>
      <c r="N17" s="413">
        <f>$M$17/($N$5*1000)</f>
        <v>15.210180000000001</v>
      </c>
      <c r="O17" s="883">
        <f>($M$17/$N$6)/$N$5</f>
        <v>0.95063624999999996</v>
      </c>
    </row>
    <row r="18" spans="2:15" x14ac:dyDescent="0.25">
      <c r="B18" s="885">
        <v>6</v>
      </c>
      <c r="C18" s="378" t="s">
        <v>372</v>
      </c>
      <c r="D18" s="383"/>
      <c r="E18" s="881"/>
      <c r="F18" s="386"/>
      <c r="G18" s="882"/>
      <c r="H18" s="391"/>
      <c r="I18" s="391"/>
      <c r="J18" s="391"/>
      <c r="K18" s="379"/>
      <c r="L18" s="379"/>
      <c r="M18" s="391"/>
      <c r="N18" s="413"/>
      <c r="O18" s="883"/>
    </row>
    <row r="19" spans="2:15" x14ac:dyDescent="0.25">
      <c r="B19" s="885"/>
      <c r="C19" s="380" t="s">
        <v>249</v>
      </c>
      <c r="D19" s="413">
        <f>'September - 2024'!$AM$258</f>
        <v>3.400108706998044</v>
      </c>
      <c r="E19" s="881" t="s">
        <v>253</v>
      </c>
      <c r="F19" s="391">
        <f>$D$19*$N$3</f>
        <v>3028.1481481481483</v>
      </c>
      <c r="G19" s="882" t="s">
        <v>254</v>
      </c>
      <c r="H19" s="391">
        <f t="shared" ref="H19:H21" si="3">$H$8</f>
        <v>27</v>
      </c>
      <c r="I19" s="391">
        <v>0</v>
      </c>
      <c r="J19" s="391">
        <f>$H$19*$F$19</f>
        <v>81760</v>
      </c>
      <c r="K19" s="379">
        <v>1550</v>
      </c>
      <c r="L19" s="379">
        <f>[20]Electric!H21</f>
        <v>3666.6666666666665</v>
      </c>
      <c r="M19" s="391">
        <f>($F$19*$H$19*$K$19)+($F$19*$I$19*$L$19)</f>
        <v>126728000</v>
      </c>
      <c r="N19" s="413">
        <f>$M$19/($N$5*1000)</f>
        <v>5.2701684958469688</v>
      </c>
      <c r="O19" s="883">
        <f>($M$19/$N$6)/$N$5</f>
        <v>0.32938553099043549</v>
      </c>
    </row>
    <row r="20" spans="2:15" x14ac:dyDescent="0.25">
      <c r="B20" s="885"/>
      <c r="C20" s="380" t="s">
        <v>255</v>
      </c>
      <c r="D20" s="384">
        <f>'September - 2024'!$AM$260</f>
        <v>4.0837900565950092</v>
      </c>
      <c r="E20" s="881" t="s">
        <v>253</v>
      </c>
      <c r="F20" s="391">
        <f>$D$20*$N$3</f>
        <v>3637.0370370370374</v>
      </c>
      <c r="G20" s="882" t="s">
        <v>254</v>
      </c>
      <c r="H20" s="391">
        <f t="shared" si="3"/>
        <v>27</v>
      </c>
      <c r="I20" s="391">
        <v>0</v>
      </c>
      <c r="J20" s="391">
        <f>$H$20*$F$20</f>
        <v>98200.000000000015</v>
      </c>
      <c r="K20" s="379">
        <v>1550</v>
      </c>
      <c r="L20" s="379">
        <f>L19</f>
        <v>3666.6666666666665</v>
      </c>
      <c r="M20" s="391">
        <f t="shared" ref="M20" si="4">(F20*H20*K20)+(F20*I20*L20)</f>
        <v>152210000.00000003</v>
      </c>
      <c r="N20" s="413">
        <f>$M$20/($N$5*1000)</f>
        <v>6.3298745877222649</v>
      </c>
      <c r="O20" s="883">
        <f>($M$20/$N$6)/$N$5</f>
        <v>0.39561716173264155</v>
      </c>
    </row>
    <row r="21" spans="2:15" x14ac:dyDescent="0.25">
      <c r="B21" s="885"/>
      <c r="C21" s="380" t="s">
        <v>256</v>
      </c>
      <c r="D21" s="385">
        <v>0.33778769841269801</v>
      </c>
      <c r="E21" s="881" t="s">
        <v>253</v>
      </c>
      <c r="F21" s="391">
        <f>$D$21*$N$3</f>
        <v>300.83485016534354</v>
      </c>
      <c r="G21" s="882" t="s">
        <v>254</v>
      </c>
      <c r="H21" s="391">
        <f t="shared" si="3"/>
        <v>27</v>
      </c>
      <c r="I21" s="391">
        <v>0</v>
      </c>
      <c r="J21" s="391">
        <f>$H$21*$F$21</f>
        <v>8122.5409544642753</v>
      </c>
      <c r="K21" s="379">
        <v>1550</v>
      </c>
      <c r="L21" s="379">
        <f>L20</f>
        <v>3666.6666666666665</v>
      </c>
      <c r="M21" s="391">
        <f>($F$21*$H$21*$K$21)+($F$21*$I$21*$L$21)</f>
        <v>12589938.479419626</v>
      </c>
      <c r="N21" s="413">
        <f>$M$21/($N$5*1000)</f>
        <v>0.5235709325396819</v>
      </c>
      <c r="O21" s="883">
        <f>($M$21/$N$6)/$N$5</f>
        <v>3.2723183283730119E-2</v>
      </c>
    </row>
    <row r="22" spans="2:15" x14ac:dyDescent="0.25">
      <c r="B22" s="885">
        <v>7</v>
      </c>
      <c r="C22" s="378" t="s">
        <v>373</v>
      </c>
      <c r="D22" s="384"/>
      <c r="E22" s="881"/>
      <c r="F22" s="391"/>
      <c r="G22" s="882"/>
      <c r="H22" s="391"/>
      <c r="I22" s="391"/>
      <c r="J22" s="391"/>
      <c r="K22" s="379"/>
      <c r="L22" s="379"/>
      <c r="M22" s="391"/>
      <c r="N22" s="413"/>
      <c r="O22" s="883"/>
    </row>
    <row r="23" spans="2:15" x14ac:dyDescent="0.25">
      <c r="B23" s="885"/>
      <c r="C23" s="380" t="s">
        <v>258</v>
      </c>
      <c r="D23" s="381">
        <f>'September - 2024'!$AM$245</f>
        <v>112.24184687118054</v>
      </c>
      <c r="E23" s="881" t="s">
        <v>259</v>
      </c>
      <c r="F23" s="391">
        <f>$D$23</f>
        <v>112.24184687118054</v>
      </c>
      <c r="G23" s="882" t="s">
        <v>259</v>
      </c>
      <c r="H23" s="391">
        <f>$H$8</f>
        <v>27</v>
      </c>
      <c r="I23" s="391"/>
      <c r="J23" s="391">
        <f>$H$23*$F$23</f>
        <v>3030.5298655218749</v>
      </c>
      <c r="K23" s="379">
        <v>8700</v>
      </c>
      <c r="L23" s="379"/>
      <c r="M23" s="391">
        <f>$J$23*$K$23</f>
        <v>26365609.83004031</v>
      </c>
      <c r="N23" s="413">
        <f>$M$23/($N$5*1000)</f>
        <v>1.0964522938898396</v>
      </c>
      <c r="O23" s="883">
        <f>($M$23/$N$6)/$N$5</f>
        <v>6.8528268368114972E-2</v>
      </c>
    </row>
    <row r="24" spans="2:15" x14ac:dyDescent="0.25">
      <c r="B24" s="884">
        <v>8</v>
      </c>
      <c r="C24" s="378" t="s">
        <v>260</v>
      </c>
      <c r="D24" s="386"/>
      <c r="E24" s="881"/>
      <c r="F24" s="391"/>
      <c r="G24" s="882"/>
      <c r="H24" s="391"/>
      <c r="I24" s="391"/>
      <c r="J24" s="391"/>
      <c r="K24" s="379"/>
      <c r="L24" s="379"/>
      <c r="M24" s="391"/>
      <c r="N24" s="413">
        <f>$M$24/($N$5*1000)</f>
        <v>0</v>
      </c>
      <c r="O24" s="883">
        <f>($M$24/$N$6)/$N$5</f>
        <v>0</v>
      </c>
    </row>
    <row r="25" spans="2:15" x14ac:dyDescent="0.25">
      <c r="B25" s="885"/>
      <c r="C25" s="380" t="s">
        <v>261</v>
      </c>
      <c r="D25" s="386">
        <v>0.4</v>
      </c>
      <c r="E25" s="881" t="s">
        <v>239</v>
      </c>
      <c r="F25" s="386">
        <f>D25</f>
        <v>0.4</v>
      </c>
      <c r="G25" s="882" t="s">
        <v>239</v>
      </c>
      <c r="H25" s="391">
        <f t="shared" ref="H25:H28" si="5">$H$8</f>
        <v>27</v>
      </c>
      <c r="I25" s="391"/>
      <c r="J25" s="391">
        <f>$H$25*$F$25</f>
        <v>10.8</v>
      </c>
      <c r="K25" s="379">
        <v>27240</v>
      </c>
      <c r="L25" s="379"/>
      <c r="M25" s="391">
        <f>$J$25*$K$25</f>
        <v>294192</v>
      </c>
      <c r="N25" s="413">
        <f>$M$25/($N$5*1000)</f>
        <v>1.2234402895415468E-2</v>
      </c>
      <c r="O25" s="883">
        <f>($M$25/$N$6)/$N$5</f>
        <v>7.6465018096346672E-4</v>
      </c>
    </row>
    <row r="26" spans="2:15" x14ac:dyDescent="0.25">
      <c r="B26" s="885"/>
      <c r="C26" s="380" t="s">
        <v>262</v>
      </c>
      <c r="D26" s="386">
        <v>0.66</v>
      </c>
      <c r="E26" s="881" t="s">
        <v>239</v>
      </c>
      <c r="F26" s="386">
        <f t="shared" ref="F26:F28" si="6">D26</f>
        <v>0.66</v>
      </c>
      <c r="G26" s="882" t="s">
        <v>239</v>
      </c>
      <c r="H26" s="391">
        <f t="shared" si="5"/>
        <v>27</v>
      </c>
      <c r="I26" s="391"/>
      <c r="J26" s="391">
        <f>$H$26*$F$26</f>
        <v>17.82</v>
      </c>
      <c r="K26" s="379">
        <v>29120</v>
      </c>
      <c r="L26" s="379"/>
      <c r="M26" s="391">
        <f>$J$26*$K$26</f>
        <v>518918.40000000002</v>
      </c>
      <c r="N26" s="413">
        <f>$M$26/($N$5*1000)</f>
        <v>2.1579977618168957E-2</v>
      </c>
      <c r="O26" s="883">
        <f>($M$26/$N$6)/$N$5</f>
        <v>1.3487486011355598E-3</v>
      </c>
    </row>
    <row r="27" spans="2:15" x14ac:dyDescent="0.25">
      <c r="B27" s="885"/>
      <c r="C27" s="380" t="s">
        <v>263</v>
      </c>
      <c r="D27" s="386">
        <v>0.41</v>
      </c>
      <c r="E27" s="881" t="s">
        <v>239</v>
      </c>
      <c r="F27" s="386">
        <f t="shared" si="6"/>
        <v>0.41</v>
      </c>
      <c r="G27" s="882" t="s">
        <v>239</v>
      </c>
      <c r="H27" s="391">
        <f t="shared" si="5"/>
        <v>27</v>
      </c>
      <c r="I27" s="391"/>
      <c r="J27" s="391">
        <f>$H$27*$F$27</f>
        <v>11.069999999999999</v>
      </c>
      <c r="K27" s="379">
        <v>117212</v>
      </c>
      <c r="L27" s="379"/>
      <c r="M27" s="391">
        <f>$J$27*$K$27</f>
        <v>1297536.8399999999</v>
      </c>
      <c r="N27" s="413">
        <f>$M$27/($N$5*1000)</f>
        <v>5.3959959727675241E-2</v>
      </c>
      <c r="O27" s="883">
        <f>($M$27/$N$6)/$N$5</f>
        <v>3.3724974829797021E-3</v>
      </c>
    </row>
    <row r="28" spans="2:15" x14ac:dyDescent="0.25">
      <c r="B28" s="886"/>
      <c r="C28" s="380" t="s">
        <v>264</v>
      </c>
      <c r="D28" s="386">
        <v>0.1</v>
      </c>
      <c r="E28" s="881" t="s">
        <v>239</v>
      </c>
      <c r="F28" s="386">
        <f t="shared" si="6"/>
        <v>0.1</v>
      </c>
      <c r="G28" s="882" t="s">
        <v>239</v>
      </c>
      <c r="H28" s="391">
        <f t="shared" si="5"/>
        <v>27</v>
      </c>
      <c r="I28" s="391"/>
      <c r="J28" s="391">
        <f>$H$28*$F$28</f>
        <v>2.7</v>
      </c>
      <c r="K28" s="379">
        <v>45940</v>
      </c>
      <c r="L28" s="379"/>
      <c r="M28" s="391">
        <f>$J$28*$K$28</f>
        <v>124038.00000000001</v>
      </c>
      <c r="N28" s="413">
        <f>$M$28/($N$5*1000)</f>
        <v>5.1583009270868814E-3</v>
      </c>
      <c r="O28" s="883">
        <f>($M$28/$N$6)/$N$5</f>
        <v>3.2239380794293009E-4</v>
      </c>
    </row>
    <row r="29" spans="2:15" x14ac:dyDescent="0.25">
      <c r="B29" s="884">
        <v>9</v>
      </c>
      <c r="C29" s="378" t="s">
        <v>7</v>
      </c>
      <c r="D29" s="386"/>
      <c r="E29" s="881"/>
      <c r="F29" s="391"/>
      <c r="G29" s="882"/>
      <c r="H29" s="391"/>
      <c r="I29" s="391"/>
      <c r="J29" s="391"/>
      <c r="K29" s="379"/>
      <c r="L29" s="379"/>
      <c r="M29" s="391"/>
      <c r="N29" s="413"/>
      <c r="O29" s="883"/>
    </row>
    <row r="30" spans="2:15" x14ac:dyDescent="0.25">
      <c r="B30" s="885"/>
      <c r="C30" s="387" t="s">
        <v>265</v>
      </c>
      <c r="D30" s="388">
        <v>0.90361445783132532</v>
      </c>
      <c r="E30" s="887" t="s">
        <v>266</v>
      </c>
      <c r="F30" s="388">
        <f>D30</f>
        <v>0.90361445783132532</v>
      </c>
      <c r="G30" s="888" t="s">
        <v>266</v>
      </c>
      <c r="H30" s="391">
        <f t="shared" ref="H30:H34" si="7">$H$8</f>
        <v>27</v>
      </c>
      <c r="I30" s="391"/>
      <c r="J30" s="391">
        <f>$H$30*$F$30</f>
        <v>24.397590361445783</v>
      </c>
      <c r="K30" s="379">
        <v>40000</v>
      </c>
      <c r="L30" s="379"/>
      <c r="M30" s="391">
        <f>$J$30*$K$30</f>
        <v>975903.61445783125</v>
      </c>
      <c r="N30" s="413">
        <f>$M$30/($N$5*1000)</f>
        <v>4.058437349203687E-2</v>
      </c>
      <c r="O30" s="883">
        <f>($M$30/$N$6)/$N$5</f>
        <v>2.5365233432523043E-3</v>
      </c>
    </row>
    <row r="31" spans="2:15" x14ac:dyDescent="0.25">
      <c r="B31" s="885"/>
      <c r="C31" s="387" t="s">
        <v>267</v>
      </c>
      <c r="D31" s="388">
        <v>0.63253012048192769</v>
      </c>
      <c r="E31" s="887" t="s">
        <v>266</v>
      </c>
      <c r="F31" s="388">
        <f t="shared" ref="F31:F33" si="8">D31</f>
        <v>0.63253012048192769</v>
      </c>
      <c r="G31" s="888" t="s">
        <v>266</v>
      </c>
      <c r="H31" s="391">
        <f t="shared" si="7"/>
        <v>27</v>
      </c>
      <c r="I31" s="391"/>
      <c r="J31" s="391">
        <f>$H$31*$F$31</f>
        <v>17.078313253012048</v>
      </c>
      <c r="K31" s="379">
        <v>125000</v>
      </c>
      <c r="L31" s="379"/>
      <c r="M31" s="391">
        <f>$J$31*$K$31</f>
        <v>2134789.1566265062</v>
      </c>
      <c r="N31" s="413">
        <f>$M$31/($N$5*1000)</f>
        <v>8.8778317013830668E-2</v>
      </c>
      <c r="O31" s="883">
        <f>($M$31/$N$6)/$N$5</f>
        <v>5.5486448133644159E-3</v>
      </c>
    </row>
    <row r="32" spans="2:15" x14ac:dyDescent="0.25">
      <c r="B32" s="885"/>
      <c r="C32" s="387" t="s">
        <v>268</v>
      </c>
      <c r="D32" s="388">
        <v>1.5666666666666667</v>
      </c>
      <c r="E32" s="887" t="s">
        <v>266</v>
      </c>
      <c r="F32" s="388">
        <f t="shared" si="8"/>
        <v>1.5666666666666667</v>
      </c>
      <c r="G32" s="888" t="s">
        <v>266</v>
      </c>
      <c r="H32" s="391">
        <f t="shared" si="7"/>
        <v>27</v>
      </c>
      <c r="I32" s="391"/>
      <c r="J32" s="391">
        <f>$H$32*$F$32</f>
        <v>42.3</v>
      </c>
      <c r="K32" s="379">
        <v>145000</v>
      </c>
      <c r="L32" s="379"/>
      <c r="M32" s="391">
        <f>$J$32*$K$32</f>
        <v>6133500</v>
      </c>
      <c r="N32" s="413">
        <f>$M$32/($N$5*1000)</f>
        <v>0.25507053271003549</v>
      </c>
      <c r="O32" s="883">
        <f>($M$32/$N$6)/$N$5</f>
        <v>1.5941908294377218E-2</v>
      </c>
    </row>
    <row r="33" spans="2:15" x14ac:dyDescent="0.25">
      <c r="B33" s="885"/>
      <c r="C33" s="387" t="s">
        <v>269</v>
      </c>
      <c r="D33" s="388">
        <v>0.12048192771084337</v>
      </c>
      <c r="E33" s="887" t="s">
        <v>266</v>
      </c>
      <c r="F33" s="388">
        <f t="shared" si="8"/>
        <v>0.12048192771084337</v>
      </c>
      <c r="G33" s="888" t="s">
        <v>266</v>
      </c>
      <c r="H33" s="391">
        <f t="shared" si="7"/>
        <v>27</v>
      </c>
      <c r="I33" s="391"/>
      <c r="J33" s="391">
        <f>$H$33*$F$33</f>
        <v>3.2530120481927711</v>
      </c>
      <c r="K33" s="379">
        <v>682500</v>
      </c>
      <c r="L33" s="379"/>
      <c r="M33" s="391">
        <f>$J$33*$K$33</f>
        <v>2220180.7228915663</v>
      </c>
      <c r="N33" s="413">
        <f>$M$33/($N$5*1000)</f>
        <v>9.2329449694383892E-2</v>
      </c>
      <c r="O33" s="883">
        <f>($M$33/$N$6)/$N$5</f>
        <v>5.7705906058989932E-3</v>
      </c>
    </row>
    <row r="34" spans="2:15" x14ac:dyDescent="0.25">
      <c r="B34" s="886"/>
      <c r="C34" s="387" t="s">
        <v>270</v>
      </c>
      <c r="D34" s="389">
        <v>3.6144578313253013</v>
      </c>
      <c r="E34" s="887" t="s">
        <v>266</v>
      </c>
      <c r="F34" s="388">
        <f>D34</f>
        <v>3.6144578313253013</v>
      </c>
      <c r="G34" s="888" t="s">
        <v>266</v>
      </c>
      <c r="H34" s="391">
        <f t="shared" si="7"/>
        <v>27</v>
      </c>
      <c r="I34" s="391"/>
      <c r="J34" s="391">
        <f>$H$34*$F$34</f>
        <v>97.590361445783131</v>
      </c>
      <c r="K34" s="379">
        <v>14500</v>
      </c>
      <c r="L34" s="379"/>
      <c r="M34" s="391">
        <f>$J$34*$K$34</f>
        <v>1415060.2409638553</v>
      </c>
      <c r="N34" s="413">
        <f>$M$34/($N$5*1000)</f>
        <v>5.8847341563453462E-2</v>
      </c>
      <c r="O34" s="883">
        <f>($M$34/$N$6)/$N$5</f>
        <v>3.6779588477158409E-3</v>
      </c>
    </row>
    <row r="35" spans="2:15" x14ac:dyDescent="0.25">
      <c r="B35" s="880">
        <v>10</v>
      </c>
      <c r="C35" s="390" t="s">
        <v>374</v>
      </c>
      <c r="D35" s="391">
        <f>'September - 2024'!$AM$251</f>
        <v>193.96296296296296</v>
      </c>
      <c r="E35" s="881" t="s">
        <v>259</v>
      </c>
      <c r="F35" s="410">
        <f>D35</f>
        <v>193.96296296296296</v>
      </c>
      <c r="G35" s="888" t="s">
        <v>259</v>
      </c>
      <c r="H35" s="391">
        <f>$H$8</f>
        <v>27</v>
      </c>
      <c r="I35" s="391"/>
      <c r="J35" s="391">
        <f>$H$35*$F$35</f>
        <v>5237</v>
      </c>
      <c r="K35" s="379">
        <v>18616</v>
      </c>
      <c r="L35" s="379"/>
      <c r="M35" s="391">
        <f>$J$35*$K$35</f>
        <v>97491992</v>
      </c>
      <c r="N35" s="413">
        <f>$M$35/($N$5*1000)</f>
        <v>4.0543465124973537</v>
      </c>
      <c r="O35" s="883">
        <f>($M$35/$N$6)/$N$5</f>
        <v>0.2533966570310846</v>
      </c>
    </row>
    <row r="36" spans="2:15" x14ac:dyDescent="0.25">
      <c r="B36" s="885">
        <v>11</v>
      </c>
      <c r="C36" s="392" t="s">
        <v>271</v>
      </c>
      <c r="D36" s="389"/>
      <c r="E36" s="887"/>
      <c r="F36" s="394"/>
      <c r="G36" s="888"/>
      <c r="H36" s="391"/>
      <c r="I36" s="391"/>
      <c r="J36" s="391"/>
      <c r="K36" s="393"/>
      <c r="L36" s="393"/>
      <c r="M36" s="391"/>
      <c r="N36" s="413"/>
      <c r="O36" s="883"/>
    </row>
    <row r="37" spans="2:15" x14ac:dyDescent="0.25">
      <c r="B37" s="885"/>
      <c r="C37" s="387" t="s">
        <v>272</v>
      </c>
      <c r="D37" s="394">
        <f>'September - 2024'!$AM$74</f>
        <v>189044.9220495199</v>
      </c>
      <c r="E37" s="887" t="s">
        <v>239</v>
      </c>
      <c r="F37" s="394">
        <f>D37</f>
        <v>189044.9220495199</v>
      </c>
      <c r="G37" s="888" t="s">
        <v>239</v>
      </c>
      <c r="H37" s="391">
        <f t="shared" ref="H37:H38" si="9">$H$8</f>
        <v>27</v>
      </c>
      <c r="I37" s="391"/>
      <c r="J37" s="391">
        <f>$F$37</f>
        <v>189044.9220495199</v>
      </c>
      <c r="K37" s="393">
        <v>275</v>
      </c>
      <c r="L37" s="393"/>
      <c r="M37" s="391">
        <f>$J$37*$K$37</f>
        <v>51987353.563617975</v>
      </c>
      <c r="N37" s="413">
        <f>$M$37/($N$5*1000)</f>
        <v>2.1619698325029755</v>
      </c>
      <c r="O37" s="883">
        <f>($M$37/$N$6)/$N$5</f>
        <v>0.13512311453143597</v>
      </c>
    </row>
    <row r="38" spans="2:15" x14ac:dyDescent="0.25">
      <c r="B38" s="885"/>
      <c r="C38" s="387" t="s">
        <v>273</v>
      </c>
      <c r="D38" s="388">
        <v>0.1</v>
      </c>
      <c r="E38" s="887" t="s">
        <v>274</v>
      </c>
      <c r="F38" s="388">
        <f>D38</f>
        <v>0.1</v>
      </c>
      <c r="G38" s="888" t="s">
        <v>274</v>
      </c>
      <c r="H38" s="391">
        <f t="shared" si="9"/>
        <v>27</v>
      </c>
      <c r="I38" s="391"/>
      <c r="J38" s="391">
        <f>$H$38*$F$38</f>
        <v>2.7</v>
      </c>
      <c r="K38" s="393">
        <v>303030.30303030298</v>
      </c>
      <c r="L38" s="393"/>
      <c r="M38" s="391">
        <f>$J$38*$K$38</f>
        <v>818181.81818181812</v>
      </c>
      <c r="N38" s="413">
        <f>$M$38/($N$5*1000)</f>
        <v>3.402528282665717E-2</v>
      </c>
      <c r="O38" s="883">
        <f>($M$38/$N$6)/$N$5</f>
        <v>2.1265801766660731E-3</v>
      </c>
    </row>
    <row r="39" spans="2:15" x14ac:dyDescent="0.25">
      <c r="B39" s="889">
        <v>12</v>
      </c>
      <c r="C39" s="395" t="s">
        <v>375</v>
      </c>
      <c r="D39" s="396"/>
      <c r="E39" s="890"/>
      <c r="F39" s="396"/>
      <c r="G39" s="891"/>
      <c r="H39" s="391"/>
      <c r="I39" s="892"/>
      <c r="J39" s="391"/>
      <c r="K39" s="397"/>
      <c r="L39" s="397"/>
      <c r="M39" s="391"/>
      <c r="N39" s="413">
        <f>$M$39/($N$5*1000)</f>
        <v>0</v>
      </c>
      <c r="O39" s="883">
        <f>($M$39/$N$6)/$N$5</f>
        <v>0</v>
      </c>
    </row>
    <row r="40" spans="2:15" x14ac:dyDescent="0.25">
      <c r="B40" s="893"/>
      <c r="C40" s="398" t="s">
        <v>275</v>
      </c>
      <c r="D40" s="396">
        <f>[20]Chemical!$H$33</f>
        <v>745255.21064425772</v>
      </c>
      <c r="E40" s="890" t="s">
        <v>276</v>
      </c>
      <c r="F40" s="396">
        <f>D40</f>
        <v>745255.21064425772</v>
      </c>
      <c r="G40" s="891" t="s">
        <v>276</v>
      </c>
      <c r="H40" s="391">
        <f t="shared" ref="H40:H44" si="10">$H$8</f>
        <v>27</v>
      </c>
      <c r="I40" s="892"/>
      <c r="J40" s="391"/>
      <c r="K40" s="397"/>
      <c r="L40" s="397"/>
      <c r="M40" s="391">
        <f>$H$40*$F$40</f>
        <v>20121890.687394958</v>
      </c>
      <c r="N40" s="413">
        <f>$M$40/($N$5*1000)</f>
        <v>0.83679813756695764</v>
      </c>
      <c r="O40" s="883">
        <f>($M$40/$N$6)/$N$5</f>
        <v>5.2299883597934846E-2</v>
      </c>
    </row>
    <row r="41" spans="2:15" x14ac:dyDescent="0.25">
      <c r="B41" s="893"/>
      <c r="C41" s="398" t="s">
        <v>376</v>
      </c>
      <c r="D41" s="396">
        <f>[20]Chemical!$H$54</f>
        <v>259161.44425770309</v>
      </c>
      <c r="E41" s="890" t="s">
        <v>276</v>
      </c>
      <c r="F41" s="396">
        <f t="shared" ref="F41:F44" si="11">D41</f>
        <v>259161.44425770309</v>
      </c>
      <c r="G41" s="891" t="s">
        <v>276</v>
      </c>
      <c r="H41" s="391">
        <f t="shared" si="10"/>
        <v>27</v>
      </c>
      <c r="I41" s="892"/>
      <c r="J41" s="391"/>
      <c r="K41" s="397"/>
      <c r="L41" s="397"/>
      <c r="M41" s="391">
        <f>$H$41*$F$41</f>
        <v>6997358.9949579835</v>
      </c>
      <c r="N41" s="413">
        <f>$M$41/($N$5*1000)</f>
        <v>0.29099536747489879</v>
      </c>
      <c r="O41" s="883">
        <f>($M$41/$N$6)/$N$5</f>
        <v>1.8187210467181174E-2</v>
      </c>
    </row>
    <row r="42" spans="2:15" x14ac:dyDescent="0.25">
      <c r="B42" s="893"/>
      <c r="C42" s="398" t="s">
        <v>277</v>
      </c>
      <c r="D42" s="396">
        <v>13909.09090909091</v>
      </c>
      <c r="E42" s="890" t="s">
        <v>276</v>
      </c>
      <c r="F42" s="396">
        <f t="shared" si="11"/>
        <v>13909.09090909091</v>
      </c>
      <c r="G42" s="891" t="s">
        <v>276</v>
      </c>
      <c r="H42" s="391">
        <f t="shared" si="10"/>
        <v>27</v>
      </c>
      <c r="I42" s="892"/>
      <c r="J42" s="391"/>
      <c r="K42" s="397"/>
      <c r="L42" s="397"/>
      <c r="M42" s="391">
        <f>$H$42*$F$42</f>
        <v>375545.45454545459</v>
      </c>
      <c r="N42" s="413">
        <f>$M$42/($N$5*1000)</f>
        <v>1.5617604817435645E-2</v>
      </c>
      <c r="O42" s="883">
        <f>($M$42/$N$6)/$N$5</f>
        <v>9.7610030108972773E-4</v>
      </c>
    </row>
    <row r="43" spans="2:15" x14ac:dyDescent="0.25">
      <c r="B43" s="893"/>
      <c r="C43" s="398" t="s">
        <v>377</v>
      </c>
      <c r="D43" s="396">
        <f>[20]Chemical!$H$61</f>
        <v>27103.641456582631</v>
      </c>
      <c r="E43" s="890" t="s">
        <v>276</v>
      </c>
      <c r="F43" s="396">
        <f t="shared" si="11"/>
        <v>27103.641456582631</v>
      </c>
      <c r="G43" s="891" t="s">
        <v>276</v>
      </c>
      <c r="H43" s="391">
        <f t="shared" si="10"/>
        <v>27</v>
      </c>
      <c r="I43" s="892"/>
      <c r="J43" s="391"/>
      <c r="K43" s="397"/>
      <c r="L43" s="397"/>
      <c r="M43" s="391">
        <f>$H$43*$F$43</f>
        <v>731798.31932773103</v>
      </c>
      <c r="N43" s="413">
        <f>$M$43/($N$5*1000)</f>
        <v>3.0432899184353639E-2</v>
      </c>
      <c r="O43" s="883">
        <f>($M$43/$N$6)/$N$5</f>
        <v>1.9020561990221025E-3</v>
      </c>
    </row>
    <row r="44" spans="2:15" x14ac:dyDescent="0.25">
      <c r="B44" s="894"/>
      <c r="C44" s="398" t="s">
        <v>278</v>
      </c>
      <c r="D44" s="396">
        <f>'[20]Spere part Lab'!$I$46</f>
        <v>135770.30812324933</v>
      </c>
      <c r="E44" s="890" t="s">
        <v>276</v>
      </c>
      <c r="F44" s="396">
        <f t="shared" si="11"/>
        <v>135770.30812324933</v>
      </c>
      <c r="G44" s="891" t="s">
        <v>276</v>
      </c>
      <c r="H44" s="391">
        <f t="shared" si="10"/>
        <v>27</v>
      </c>
      <c r="I44" s="892"/>
      <c r="J44" s="391"/>
      <c r="K44" s="397"/>
      <c r="L44" s="397"/>
      <c r="M44" s="391">
        <f>$H$44*$F$44</f>
        <v>3665798.3193277316</v>
      </c>
      <c r="N44" s="413">
        <f>$M$44/($N$5*1000)</f>
        <v>0.15244756340074631</v>
      </c>
      <c r="O44" s="883">
        <f>($M$44/$N$6)/$N$5</f>
        <v>9.5279727125466424E-3</v>
      </c>
    </row>
    <row r="45" spans="2:15" x14ac:dyDescent="0.25">
      <c r="B45" s="885">
        <v>13</v>
      </c>
      <c r="C45" s="390" t="s">
        <v>279</v>
      </c>
      <c r="D45" s="391"/>
      <c r="E45" s="881"/>
      <c r="F45" s="386"/>
      <c r="G45" s="882"/>
      <c r="H45" s="391"/>
      <c r="I45" s="391"/>
      <c r="J45" s="391"/>
      <c r="K45" s="379"/>
      <c r="L45" s="379"/>
      <c r="M45" s="391"/>
      <c r="N45" s="413"/>
      <c r="O45" s="883"/>
    </row>
    <row r="46" spans="2:15" x14ac:dyDescent="0.25">
      <c r="B46" s="885"/>
      <c r="C46" s="380" t="s">
        <v>280</v>
      </c>
      <c r="D46" s="386">
        <v>15.4</v>
      </c>
      <c r="E46" s="882" t="s">
        <v>281</v>
      </c>
      <c r="F46" s="391">
        <f>D46</f>
        <v>15.4</v>
      </c>
      <c r="G46" s="882" t="s">
        <v>281</v>
      </c>
      <c r="H46" s="391">
        <f t="shared" ref="H46:H47" si="12">$H$8</f>
        <v>27</v>
      </c>
      <c r="I46" s="391"/>
      <c r="J46" s="391">
        <f>$H$46*$F$46</f>
        <v>415.8</v>
      </c>
      <c r="K46" s="379">
        <v>14500</v>
      </c>
      <c r="L46" s="379"/>
      <c r="M46" s="391">
        <f>$J$46*$K$46</f>
        <v>6029100</v>
      </c>
      <c r="N46" s="413">
        <f>$M$46/($N$5*1000)</f>
        <v>0.25072890662135405</v>
      </c>
      <c r="O46" s="883">
        <f>($M$46/$N$6)/$N$5</f>
        <v>1.5670556663834628E-2</v>
      </c>
    </row>
    <row r="47" spans="2:15" ht="15.75" thickBot="1" x14ac:dyDescent="0.3">
      <c r="B47" s="895"/>
      <c r="C47" s="896" t="s">
        <v>282</v>
      </c>
      <c r="D47" s="897">
        <v>0</v>
      </c>
      <c r="E47" s="898" t="s">
        <v>281</v>
      </c>
      <c r="F47" s="899">
        <f>D47</f>
        <v>0</v>
      </c>
      <c r="G47" s="898" t="s">
        <v>281</v>
      </c>
      <c r="H47" s="899">
        <f t="shared" si="12"/>
        <v>27</v>
      </c>
      <c r="I47" s="899"/>
      <c r="J47" s="899">
        <f>$H$47*$F$47</f>
        <v>0</v>
      </c>
      <c r="K47" s="900">
        <v>14500</v>
      </c>
      <c r="L47" s="900"/>
      <c r="M47" s="899">
        <f>$J$47*$K$47</f>
        <v>0</v>
      </c>
      <c r="N47" s="901">
        <f>$M$47/($N$5*1000)</f>
        <v>0</v>
      </c>
      <c r="O47" s="902">
        <f>($M$47/$N$6)/$N$5</f>
        <v>0</v>
      </c>
    </row>
    <row r="48" spans="2:15" ht="21.6" customHeight="1" thickBot="1" x14ac:dyDescent="0.3">
      <c r="B48" s="416"/>
      <c r="C48" s="399"/>
      <c r="D48" s="400"/>
      <c r="E48" s="400"/>
      <c r="F48" s="401"/>
      <c r="G48" s="401"/>
      <c r="H48" s="401"/>
      <c r="I48" s="401"/>
      <c r="J48" s="401"/>
      <c r="K48" s="400"/>
      <c r="L48" s="400"/>
      <c r="M48" s="903">
        <f>SUM($M$8:$M$47)</f>
        <v>4751134578.0638437</v>
      </c>
      <c r="N48" s="904">
        <f>SUM($N$8:$N$47)</f>
        <v>197.58285282527336</v>
      </c>
      <c r="O48" s="904">
        <f>SUM($O$8:$O$47)</f>
        <v>12.348928301579585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G9" sqref="G9"/>
    </sheetView>
  </sheetViews>
  <sheetFormatPr defaultRowHeight="15" x14ac:dyDescent="0.25"/>
  <cols>
    <col min="1" max="1" width="7.140625" customWidth="1"/>
    <col min="2" max="2" width="4.42578125" customWidth="1"/>
    <col min="3" max="3" width="25.5703125" customWidth="1"/>
    <col min="4" max="4" width="6.42578125" customWidth="1"/>
    <col min="5" max="5" width="13.7109375" customWidth="1"/>
    <col min="6" max="6" width="10.7109375" customWidth="1"/>
    <col min="9" max="9" width="6.140625" customWidth="1"/>
    <col min="10" max="10" width="17" customWidth="1"/>
    <col min="11" max="11" width="11.85546875" customWidth="1"/>
    <col min="13" max="13" width="18.7109375" customWidth="1"/>
    <col min="14" max="14" width="11.7109375" customWidth="1"/>
    <col min="15" max="15" width="12.5703125" customWidth="1"/>
  </cols>
  <sheetData>
    <row r="2" spans="2:15" ht="19.5" thickBot="1" x14ac:dyDescent="0.3">
      <c r="B2" s="856" t="s">
        <v>283</v>
      </c>
      <c r="C2" s="399"/>
      <c r="D2" s="400"/>
      <c r="E2" s="400"/>
      <c r="F2" s="401"/>
      <c r="G2" s="401"/>
      <c r="H2" s="401"/>
      <c r="I2" s="401"/>
      <c r="J2" s="401"/>
      <c r="K2" s="400"/>
      <c r="L2" s="400"/>
      <c r="M2" s="400"/>
      <c r="N2" s="400"/>
      <c r="O2" s="400"/>
    </row>
    <row r="3" spans="2:15" x14ac:dyDescent="0.25">
      <c r="B3" s="857" t="s">
        <v>284</v>
      </c>
      <c r="C3" s="858"/>
      <c r="D3" s="859"/>
      <c r="E3" s="859"/>
      <c r="F3" s="859"/>
      <c r="G3" s="859"/>
      <c r="H3" s="859"/>
      <c r="I3" s="859"/>
      <c r="J3" s="859"/>
      <c r="K3" s="859"/>
      <c r="L3" s="859"/>
      <c r="M3" s="859"/>
      <c r="N3" s="905" t="s">
        <v>390</v>
      </c>
      <c r="O3" s="906">
        <f>('September - 2024'!AM24)/1000</f>
        <v>836.77662962962961</v>
      </c>
    </row>
    <row r="4" spans="2:15" x14ac:dyDescent="0.25">
      <c r="B4" s="861" t="s">
        <v>286</v>
      </c>
      <c r="C4" s="402"/>
      <c r="D4" s="403"/>
      <c r="E4" s="403"/>
      <c r="F4" s="403"/>
      <c r="G4" s="403"/>
      <c r="H4" s="403"/>
      <c r="I4" s="403"/>
      <c r="J4" s="403"/>
      <c r="K4" s="403"/>
      <c r="L4" s="403"/>
      <c r="M4" s="403"/>
      <c r="N4" s="405" t="s">
        <v>233</v>
      </c>
      <c r="O4" s="907">
        <f>'September - 2024'!AM21</f>
        <v>27</v>
      </c>
    </row>
    <row r="5" spans="2:15" x14ac:dyDescent="0.25">
      <c r="B5" s="863" t="s">
        <v>235</v>
      </c>
      <c r="C5" s="406"/>
      <c r="D5" s="406"/>
      <c r="E5" s="406"/>
      <c r="F5" s="406"/>
      <c r="G5" s="406"/>
      <c r="H5" s="406"/>
      <c r="I5" s="406"/>
      <c r="J5" s="406"/>
      <c r="K5" s="406"/>
      <c r="L5" s="406"/>
      <c r="M5" s="406"/>
      <c r="N5" s="405" t="s">
        <v>285</v>
      </c>
      <c r="O5" s="907">
        <f>O3*O4</f>
        <v>22592.969000000001</v>
      </c>
    </row>
    <row r="6" spans="2:15" ht="15.75" thickBot="1" x14ac:dyDescent="0.3">
      <c r="B6" s="864" t="s">
        <v>236</v>
      </c>
      <c r="C6" s="406"/>
      <c r="D6" s="406"/>
      <c r="E6" s="406"/>
      <c r="F6" s="406"/>
      <c r="G6" s="406"/>
      <c r="H6" s="406"/>
      <c r="I6" s="406"/>
      <c r="J6" s="406"/>
      <c r="K6" s="406"/>
      <c r="L6" s="406"/>
      <c r="M6" s="406"/>
      <c r="N6" s="908" t="s">
        <v>237</v>
      </c>
      <c r="O6" s="909">
        <f>[20]Formula!I6</f>
        <v>16000</v>
      </c>
    </row>
    <row r="7" spans="2:15" ht="15.75" thickBot="1" x14ac:dyDescent="0.3">
      <c r="B7" s="867" t="s">
        <v>100</v>
      </c>
      <c r="C7" s="868" t="s">
        <v>223</v>
      </c>
      <c r="D7" s="1615" t="s">
        <v>224</v>
      </c>
      <c r="E7" s="1615"/>
      <c r="F7" s="1616" t="s">
        <v>225</v>
      </c>
      <c r="G7" s="1616"/>
      <c r="H7" s="1617" t="s">
        <v>226</v>
      </c>
      <c r="I7" s="1618"/>
      <c r="J7" s="870" t="s">
        <v>227</v>
      </c>
      <c r="K7" s="1619" t="s">
        <v>228</v>
      </c>
      <c r="L7" s="1620"/>
      <c r="M7" s="869" t="s">
        <v>229</v>
      </c>
      <c r="N7" s="869" t="s">
        <v>230</v>
      </c>
      <c r="O7" s="871" t="s">
        <v>231</v>
      </c>
    </row>
    <row r="8" spans="2:15" ht="15.75" thickTop="1" x14ac:dyDescent="0.25">
      <c r="B8" s="886">
        <v>1</v>
      </c>
      <c r="C8" s="407" t="s">
        <v>133</v>
      </c>
      <c r="D8" s="408">
        <f>'September - 2024'!$AM$238</f>
        <v>72.243714405131968</v>
      </c>
      <c r="E8" s="409" t="s">
        <v>250</v>
      </c>
      <c r="F8" s="410">
        <f>$D$8*$O$3/1000</f>
        <v>60.451851851851849</v>
      </c>
      <c r="G8" s="410" t="s">
        <v>251</v>
      </c>
      <c r="H8" s="410">
        <f>$O$4</f>
        <v>27</v>
      </c>
      <c r="I8" s="410"/>
      <c r="J8" s="410">
        <f>$H$8*$F$8</f>
        <v>1632.1999999999998</v>
      </c>
      <c r="K8" s="411">
        <f>[20]Steam!$H$15</f>
        <v>507005.6291455882</v>
      </c>
      <c r="L8" s="411"/>
      <c r="M8" s="410">
        <f>$K$8*$J$8</f>
        <v>827534587.89142895</v>
      </c>
      <c r="N8" s="412">
        <f>$M$8/($O$5*1000)</f>
        <v>36.627969873788125</v>
      </c>
      <c r="O8" s="910">
        <f>($M$8/$O$6)/$O$5</f>
        <v>2.2892481171117574</v>
      </c>
    </row>
    <row r="9" spans="2:15" x14ac:dyDescent="0.25">
      <c r="B9" s="884">
        <v>2</v>
      </c>
      <c r="C9" s="390" t="s">
        <v>287</v>
      </c>
      <c r="D9" s="385"/>
      <c r="E9" s="382"/>
      <c r="F9" s="391"/>
      <c r="G9" s="391"/>
      <c r="H9" s="391"/>
      <c r="I9" s="391"/>
      <c r="J9" s="391"/>
      <c r="K9" s="379"/>
      <c r="L9" s="379"/>
      <c r="M9" s="391"/>
      <c r="N9" s="413"/>
      <c r="O9" s="883"/>
    </row>
    <row r="10" spans="2:15" x14ac:dyDescent="0.25">
      <c r="B10" s="885"/>
      <c r="C10" s="380" t="s">
        <v>249</v>
      </c>
      <c r="D10" s="384">
        <f>'September - 2024'!$AM$265</f>
        <v>4.1694387311379923</v>
      </c>
      <c r="E10" s="382" t="s">
        <v>253</v>
      </c>
      <c r="F10" s="391">
        <f>$D$10*$O$3</f>
        <v>3488.8888888888887</v>
      </c>
      <c r="G10" s="391" t="s">
        <v>254</v>
      </c>
      <c r="H10" s="391">
        <f>$O$4</f>
        <v>27</v>
      </c>
      <c r="I10" s="391">
        <v>0</v>
      </c>
      <c r="J10" s="391">
        <f>$H$10*$F$10</f>
        <v>94200</v>
      </c>
      <c r="K10" s="379">
        <f>[20]Electric!$L$5</f>
        <v>1550</v>
      </c>
      <c r="L10" s="379">
        <v>3666.6666666666665</v>
      </c>
      <c r="M10" s="391">
        <f>($F$10*$H$10*$K$10)+($F$10*$I$10*$L$10)</f>
        <v>146010000</v>
      </c>
      <c r="N10" s="412">
        <f>$M$10/($O$5*1000)</f>
        <v>6.4626300332638884</v>
      </c>
      <c r="O10" s="910">
        <f>($M$10/$O$6)/$O$5</f>
        <v>0.40391437707899303</v>
      </c>
    </row>
    <row r="11" spans="2:15" x14ac:dyDescent="0.25">
      <c r="B11" s="886"/>
      <c r="C11" s="380" t="s">
        <v>255</v>
      </c>
      <c r="D11" s="384">
        <f>'September - 2024'!$AM$263</f>
        <v>1.0023029731063677</v>
      </c>
      <c r="E11" s="382" t="s">
        <v>253</v>
      </c>
      <c r="F11" s="391">
        <f>$D$11*$O$3</f>
        <v>838.7037037037037</v>
      </c>
      <c r="G11" s="391" t="s">
        <v>254</v>
      </c>
      <c r="H11" s="391">
        <f>$H$10</f>
        <v>27</v>
      </c>
      <c r="I11" s="391">
        <v>0</v>
      </c>
      <c r="J11" s="391">
        <f>$H$11*$F$11</f>
        <v>22645</v>
      </c>
      <c r="K11" s="379">
        <f>$K$10</f>
        <v>1550</v>
      </c>
      <c r="L11" s="379">
        <v>3666.6666666666665</v>
      </c>
      <c r="M11" s="391">
        <f>($F$11*$H$11*$K$11)+($F$11*$I$11*$L$11)</f>
        <v>35099750</v>
      </c>
      <c r="N11" s="412">
        <f>$M$11/($O$5*1000)</f>
        <v>1.55356960831487</v>
      </c>
      <c r="O11" s="910">
        <f>($M$11/$O$6)/$O$5</f>
        <v>9.7098100519679376E-2</v>
      </c>
    </row>
    <row r="12" spans="2:15" x14ac:dyDescent="0.25">
      <c r="B12" s="885">
        <v>3</v>
      </c>
      <c r="C12" s="378" t="s">
        <v>257</v>
      </c>
      <c r="D12" s="384"/>
      <c r="E12" s="382"/>
      <c r="F12" s="391"/>
      <c r="G12" s="391"/>
      <c r="H12" s="391"/>
      <c r="I12" s="391"/>
      <c r="J12" s="391"/>
      <c r="K12" s="379"/>
      <c r="L12" s="379"/>
      <c r="M12" s="391"/>
      <c r="N12" s="413"/>
      <c r="O12" s="883"/>
    </row>
    <row r="13" spans="2:15" x14ac:dyDescent="0.25">
      <c r="B13" s="885"/>
      <c r="C13" s="380" t="s">
        <v>258</v>
      </c>
      <c r="D13" s="381">
        <f>'September - 2024'!$AM$247</f>
        <v>91.178808770108958</v>
      </c>
      <c r="E13" s="382" t="s">
        <v>259</v>
      </c>
      <c r="F13" s="391">
        <f>$D$13</f>
        <v>91.178808770108958</v>
      </c>
      <c r="G13" s="391" t="s">
        <v>259</v>
      </c>
      <c r="H13" s="391">
        <f>$H$11</f>
        <v>27</v>
      </c>
      <c r="I13" s="391"/>
      <c r="J13" s="391">
        <f>$H$13*$F$13</f>
        <v>2461.827836792942</v>
      </c>
      <c r="K13" s="379">
        <f>[20]Water!$F$10</f>
        <v>8700</v>
      </c>
      <c r="L13" s="379"/>
      <c r="M13" s="410">
        <f>$K$13*$J$13</f>
        <v>21417902.180098597</v>
      </c>
      <c r="N13" s="412">
        <f>$M$13/($O$5*1000)</f>
        <v>0.94798971220199513</v>
      </c>
      <c r="O13" s="910">
        <f>($M$13/$O$6)/$O$5</f>
        <v>5.9249357012624695E-2</v>
      </c>
    </row>
    <row r="14" spans="2:15" x14ac:dyDescent="0.25">
      <c r="B14" s="884">
        <v>4</v>
      </c>
      <c r="C14" s="378" t="s">
        <v>260</v>
      </c>
      <c r="D14" s="391"/>
      <c r="E14" s="382"/>
      <c r="F14" s="391"/>
      <c r="G14" s="391"/>
      <c r="H14" s="391"/>
      <c r="I14" s="391"/>
      <c r="J14" s="391"/>
      <c r="K14" s="379"/>
      <c r="L14" s="379"/>
      <c r="M14" s="391"/>
      <c r="N14" s="413"/>
      <c r="O14" s="883"/>
    </row>
    <row r="15" spans="2:15" x14ac:dyDescent="0.25">
      <c r="B15" s="885"/>
      <c r="C15" s="380" t="s">
        <v>261</v>
      </c>
      <c r="D15" s="386">
        <v>0.4</v>
      </c>
      <c r="E15" s="382" t="s">
        <v>239</v>
      </c>
      <c r="F15" s="386">
        <f>$D$15</f>
        <v>0.4</v>
      </c>
      <c r="G15" s="391" t="s">
        <v>239</v>
      </c>
      <c r="H15" s="391">
        <f>$H$13</f>
        <v>27</v>
      </c>
      <c r="I15" s="391"/>
      <c r="J15" s="391">
        <f>$H$15*$F$15</f>
        <v>10.8</v>
      </c>
      <c r="K15" s="379">
        <v>27240</v>
      </c>
      <c r="L15" s="379"/>
      <c r="M15" s="410">
        <f>$K$15*$J$15</f>
        <v>294192</v>
      </c>
      <c r="N15" s="412">
        <f>$M$15/($O$5*1000)</f>
        <v>1.3021396169755289E-2</v>
      </c>
      <c r="O15" s="910">
        <f>($M$15/$O$6)/$O$5</f>
        <v>8.1383726060970556E-4</v>
      </c>
    </row>
    <row r="16" spans="2:15" x14ac:dyDescent="0.25">
      <c r="B16" s="885"/>
      <c r="C16" s="380" t="s">
        <v>262</v>
      </c>
      <c r="D16" s="386">
        <v>0.66</v>
      </c>
      <c r="E16" s="382" t="s">
        <v>239</v>
      </c>
      <c r="F16" s="386">
        <f>$D$16</f>
        <v>0.66</v>
      </c>
      <c r="G16" s="391" t="s">
        <v>239</v>
      </c>
      <c r="H16" s="391">
        <f>$H$15</f>
        <v>27</v>
      </c>
      <c r="I16" s="391"/>
      <c r="J16" s="391">
        <f>$H$16*$F$16</f>
        <v>17.82</v>
      </c>
      <c r="K16" s="379">
        <v>29120</v>
      </c>
      <c r="L16" s="379"/>
      <c r="M16" s="410">
        <f>$K$16*$J$16</f>
        <v>518918.40000000002</v>
      </c>
      <c r="N16" s="412">
        <f>$M$16/($O$5*1000)</f>
        <v>2.2968136680044132E-2</v>
      </c>
      <c r="O16" s="910">
        <f>($M$16/$O$6)/$O$5</f>
        <v>1.4355085425027583E-3</v>
      </c>
    </row>
    <row r="17" spans="2:15" x14ac:dyDescent="0.25">
      <c r="B17" s="885"/>
      <c r="C17" s="380" t="s">
        <v>263</v>
      </c>
      <c r="D17" s="386">
        <v>0.41</v>
      </c>
      <c r="E17" s="382" t="s">
        <v>239</v>
      </c>
      <c r="F17" s="386">
        <f>$D$17</f>
        <v>0.41</v>
      </c>
      <c r="G17" s="391" t="s">
        <v>239</v>
      </c>
      <c r="H17" s="391">
        <f>$H$15</f>
        <v>27</v>
      </c>
      <c r="I17" s="391"/>
      <c r="J17" s="391">
        <f>$H$17*$F$17</f>
        <v>11.069999999999999</v>
      </c>
      <c r="K17" s="379">
        <v>117212</v>
      </c>
      <c r="L17" s="379"/>
      <c r="M17" s="410">
        <f>$K$17*$J$17</f>
        <v>1297536.8399999999</v>
      </c>
      <c r="N17" s="412">
        <f>$M$17/($O$5*1000)</f>
        <v>5.7431001653656048E-2</v>
      </c>
      <c r="O17" s="910">
        <f>($M$17/$O$6)/$O$5</f>
        <v>3.5894376033535026E-3</v>
      </c>
    </row>
    <row r="18" spans="2:15" x14ac:dyDescent="0.25">
      <c r="B18" s="885"/>
      <c r="C18" s="387" t="s">
        <v>264</v>
      </c>
      <c r="D18" s="386">
        <v>0.1</v>
      </c>
      <c r="E18" s="382" t="s">
        <v>239</v>
      </c>
      <c r="F18" s="386">
        <f>$D$18</f>
        <v>0.1</v>
      </c>
      <c r="G18" s="391" t="s">
        <v>239</v>
      </c>
      <c r="H18" s="391">
        <f>$H$16</f>
        <v>27</v>
      </c>
      <c r="I18" s="391"/>
      <c r="J18" s="391">
        <f>$H$18*$F$18</f>
        <v>2.7</v>
      </c>
      <c r="K18" s="379">
        <v>45940</v>
      </c>
      <c r="L18" s="379"/>
      <c r="M18" s="410">
        <f>$K$18*$J$18</f>
        <v>124038.00000000001</v>
      </c>
      <c r="N18" s="412">
        <f>$M$18/($O$5*1000)</f>
        <v>5.490115088459601E-3</v>
      </c>
      <c r="O18" s="910">
        <f>($M$18/$O$6)/$O$5</f>
        <v>3.4313219302872501E-4</v>
      </c>
    </row>
    <row r="19" spans="2:15" x14ac:dyDescent="0.25">
      <c r="B19" s="884">
        <v>5</v>
      </c>
      <c r="C19" s="414" t="s">
        <v>7</v>
      </c>
      <c r="D19" s="391"/>
      <c r="E19" s="382"/>
      <c r="F19" s="391"/>
      <c r="G19" s="391"/>
      <c r="H19" s="391"/>
      <c r="I19" s="391"/>
      <c r="J19" s="391"/>
      <c r="K19" s="379"/>
      <c r="L19" s="379"/>
      <c r="M19" s="391"/>
      <c r="N19" s="413"/>
      <c r="O19" s="883"/>
    </row>
    <row r="20" spans="2:15" x14ac:dyDescent="0.25">
      <c r="B20" s="885"/>
      <c r="C20" s="415" t="s">
        <v>288</v>
      </c>
      <c r="D20" s="386">
        <v>0.33333333333333331</v>
      </c>
      <c r="E20" s="382" t="s">
        <v>266</v>
      </c>
      <c r="F20" s="386">
        <f>$D$20</f>
        <v>0.33333333333333331</v>
      </c>
      <c r="G20" s="391" t="s">
        <v>266</v>
      </c>
      <c r="H20" s="391">
        <f>$H$18</f>
        <v>27</v>
      </c>
      <c r="I20" s="391"/>
      <c r="J20" s="391">
        <f>$H$20*$F$20</f>
        <v>9</v>
      </c>
      <c r="K20" s="379">
        <v>895000</v>
      </c>
      <c r="L20" s="379"/>
      <c r="M20" s="410">
        <f>$K$20*$J$20</f>
        <v>8055000</v>
      </c>
      <c r="N20" s="412">
        <f>$M$20/($O$5*1000)</f>
        <v>0.35652684691418823</v>
      </c>
      <c r="O20" s="910">
        <f>($M$20/$O$6)/$O$5</f>
        <v>2.2282927932136761E-2</v>
      </c>
    </row>
    <row r="21" spans="2:15" ht="15.75" thickBot="1" x14ac:dyDescent="0.3">
      <c r="B21" s="895"/>
      <c r="C21" s="911" t="s">
        <v>267</v>
      </c>
      <c r="D21" s="897">
        <v>0.63253012048192769</v>
      </c>
      <c r="E21" s="912" t="s">
        <v>266</v>
      </c>
      <c r="F21" s="897">
        <f>$D$21</f>
        <v>0.63253012048192769</v>
      </c>
      <c r="G21" s="899" t="s">
        <v>266</v>
      </c>
      <c r="H21" s="899">
        <f>$H$20</f>
        <v>27</v>
      </c>
      <c r="I21" s="899"/>
      <c r="J21" s="899">
        <f>$H$21*$F$21</f>
        <v>17.078313253012048</v>
      </c>
      <c r="K21" s="900">
        <v>125000</v>
      </c>
      <c r="L21" s="900"/>
      <c r="M21" s="913">
        <f>$K$21*$J$21</f>
        <v>2134789.1566265062</v>
      </c>
      <c r="N21" s="914">
        <f>$M$21/($O$5*1000)</f>
        <v>9.4489093338131269E-2</v>
      </c>
      <c r="O21" s="915">
        <f>($M$21/$O$6)/$O$5</f>
        <v>5.9055683336332035E-3</v>
      </c>
    </row>
    <row r="22" spans="2:15" ht="15.75" thickBot="1" x14ac:dyDescent="0.3">
      <c r="B22" s="416"/>
      <c r="C22" s="399"/>
      <c r="D22" s="400"/>
      <c r="E22" s="400"/>
      <c r="F22" s="401"/>
      <c r="G22" s="401"/>
      <c r="H22" s="401"/>
      <c r="I22" s="401"/>
      <c r="M22" s="903">
        <f>SUM(M8:M21)</f>
        <v>1042486714.4681541</v>
      </c>
      <c r="N22" s="904">
        <f t="shared" ref="N22" si="0">SUM(N8:N21)</f>
        <v>46.142085817413104</v>
      </c>
      <c r="O22" s="904">
        <f>SUM($O$8:$O$21)</f>
        <v>2.883880363588319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G22" sqref="G22"/>
    </sheetView>
  </sheetViews>
  <sheetFormatPr defaultColWidth="8.85546875" defaultRowHeight="12.75" x14ac:dyDescent="0.25"/>
  <cols>
    <col min="1" max="1" width="8.85546875" style="1019"/>
    <col min="2" max="2" width="5.5703125" style="1018" customWidth="1"/>
    <col min="3" max="3" width="63.7109375" style="1019" customWidth="1"/>
    <col min="4" max="4" width="15.7109375" style="1019" customWidth="1"/>
    <col min="5" max="5" width="15" style="1019" customWidth="1"/>
    <col min="6" max="6" width="15.140625" style="1019" customWidth="1"/>
    <col min="7" max="7" width="14.7109375" style="1019" customWidth="1"/>
    <col min="8" max="8" width="11.42578125" style="1019" customWidth="1"/>
    <col min="9" max="9" width="12.42578125" style="1019" customWidth="1"/>
    <col min="10" max="10" width="11" style="1019" bestFit="1" customWidth="1"/>
    <col min="11" max="16384" width="8.85546875" style="1019"/>
  </cols>
  <sheetData>
    <row r="2" spans="2:10" ht="19.5" thickBot="1" x14ac:dyDescent="0.3">
      <c r="B2" s="1020" t="s">
        <v>554</v>
      </c>
    </row>
    <row r="3" spans="2:10" x14ac:dyDescent="0.25">
      <c r="B3" s="1625" t="s">
        <v>370</v>
      </c>
      <c r="C3" s="1626"/>
      <c r="D3" s="1021"/>
      <c r="E3" s="1021"/>
      <c r="F3" s="1021"/>
      <c r="G3" s="1021"/>
      <c r="H3" s="1023" t="s">
        <v>390</v>
      </c>
      <c r="I3" s="1024">
        <f>'HPP REF '!N3</f>
        <v>890.60333333333335</v>
      </c>
    </row>
    <row r="4" spans="2:10" x14ac:dyDescent="0.25">
      <c r="B4" s="1627" t="s">
        <v>423</v>
      </c>
      <c r="C4" s="1628"/>
      <c r="H4" s="1025" t="s">
        <v>83</v>
      </c>
      <c r="I4" s="1026">
        <f>'HPP REF '!N4</f>
        <v>27</v>
      </c>
    </row>
    <row r="5" spans="2:10" x14ac:dyDescent="0.25">
      <c r="B5" s="1627" t="s">
        <v>424</v>
      </c>
      <c r="C5" s="1628"/>
      <c r="H5" s="1025" t="s">
        <v>425</v>
      </c>
      <c r="I5" s="1026">
        <f>I4*I3</f>
        <v>24046.29</v>
      </c>
    </row>
    <row r="6" spans="2:10" ht="13.5" thickBot="1" x14ac:dyDescent="0.3">
      <c r="B6" s="997" t="s">
        <v>426</v>
      </c>
      <c r="C6" s="998"/>
      <c r="D6" s="1027"/>
      <c r="E6" s="1027"/>
      <c r="F6" s="1027"/>
      <c r="G6" s="1027"/>
      <c r="H6" s="1029"/>
      <c r="I6" s="1030">
        <f>[21]Formula!I6</f>
        <v>16000</v>
      </c>
    </row>
    <row r="7" spans="2:10" ht="15" x14ac:dyDescent="0.25">
      <c r="B7" s="1629" t="s">
        <v>100</v>
      </c>
      <c r="C7" s="1631" t="s">
        <v>290</v>
      </c>
      <c r="D7" s="1621" t="s">
        <v>555</v>
      </c>
      <c r="E7" s="1633"/>
      <c r="F7" s="1621" t="s">
        <v>451</v>
      </c>
      <c r="G7" s="1621"/>
      <c r="H7" s="1621"/>
      <c r="I7" s="1622"/>
    </row>
    <row r="8" spans="2:10" ht="15.75" thickBot="1" x14ac:dyDescent="0.3">
      <c r="B8" s="1630"/>
      <c r="C8" s="1632"/>
      <c r="D8" s="1074" t="s">
        <v>452</v>
      </c>
      <c r="E8" s="1074" t="s">
        <v>453</v>
      </c>
      <c r="F8" s="1074" t="s">
        <v>452</v>
      </c>
      <c r="G8" s="1074" t="s">
        <v>453</v>
      </c>
      <c r="H8" s="1075" t="s">
        <v>428</v>
      </c>
      <c r="I8" s="1086" t="s">
        <v>231</v>
      </c>
    </row>
    <row r="9" spans="2:10" ht="13.5" thickTop="1" x14ac:dyDescent="0.25">
      <c r="B9" s="1076">
        <v>1</v>
      </c>
      <c r="C9" s="1096" t="s">
        <v>556</v>
      </c>
      <c r="D9" s="1092">
        <v>962709313.75999999</v>
      </c>
      <c r="E9" s="1092">
        <f>D9/12</f>
        <v>80225776.146666661</v>
      </c>
      <c r="F9" s="1092">
        <f>G9*12</f>
        <v>531927347.99999374</v>
      </c>
      <c r="G9" s="1092">
        <v>44327278.999999478</v>
      </c>
      <c r="H9" s="1093">
        <f>$G$9/($I$5*1000)</f>
        <v>1.843414472669151</v>
      </c>
      <c r="I9" s="1093">
        <f>($G$9/$I$6)/$I$5</f>
        <v>0.11521340454182193</v>
      </c>
      <c r="J9" s="1019">
        <f>D9/12</f>
        <v>80225776.146666661</v>
      </c>
    </row>
    <row r="10" spans="2:10" x14ac:dyDescent="0.25">
      <c r="B10" s="1041">
        <f>B9+1</f>
        <v>2</v>
      </c>
      <c r="C10" s="1096" t="s">
        <v>557</v>
      </c>
      <c r="D10" s="1046">
        <v>269614444.44</v>
      </c>
      <c r="E10" s="1046">
        <f>D10/12</f>
        <v>22467870.370000001</v>
      </c>
      <c r="F10" s="1046">
        <v>0</v>
      </c>
      <c r="G10" s="1046">
        <v>0</v>
      </c>
      <c r="H10" s="1047">
        <f>$G$10/($I$5*1000)</f>
        <v>0</v>
      </c>
      <c r="I10" s="1047">
        <f>($G$10/$I$6)/$I$5</f>
        <v>0</v>
      </c>
    </row>
    <row r="11" spans="2:10" x14ac:dyDescent="0.25">
      <c r="B11" s="1041">
        <f t="shared" ref="B11:B15" si="0">B10+1</f>
        <v>3</v>
      </c>
      <c r="C11" s="1096" t="s">
        <v>558</v>
      </c>
      <c r="D11" s="1046">
        <v>0</v>
      </c>
      <c r="E11" s="1046">
        <f t="shared" ref="E11:E15" si="1">D11/12</f>
        <v>0</v>
      </c>
      <c r="F11" s="1046">
        <v>0</v>
      </c>
      <c r="G11" s="1046">
        <v>0</v>
      </c>
      <c r="H11" s="1047">
        <f>$G$11/($I$5*1000)</f>
        <v>0</v>
      </c>
      <c r="I11" s="1047">
        <f>($G$11/$I$6)/$I$5</f>
        <v>0</v>
      </c>
    </row>
    <row r="12" spans="2:10" x14ac:dyDescent="0.25">
      <c r="B12" s="1041">
        <f t="shared" si="0"/>
        <v>4</v>
      </c>
      <c r="C12" s="1096" t="s">
        <v>559</v>
      </c>
      <c r="D12" s="1046">
        <v>0</v>
      </c>
      <c r="E12" s="1046">
        <f t="shared" si="1"/>
        <v>0</v>
      </c>
      <c r="F12" s="1046">
        <v>0</v>
      </c>
      <c r="G12" s="1046">
        <v>0</v>
      </c>
      <c r="H12" s="1047">
        <f>$G$12/($I$5*1000)</f>
        <v>0</v>
      </c>
      <c r="I12" s="1047">
        <f>($G$12/$I$6)/$I$5</f>
        <v>0</v>
      </c>
    </row>
    <row r="13" spans="2:10" x14ac:dyDescent="0.25">
      <c r="B13" s="1041">
        <f t="shared" si="0"/>
        <v>5</v>
      </c>
      <c r="C13" s="1096" t="s">
        <v>560</v>
      </c>
      <c r="D13" s="1046">
        <v>0</v>
      </c>
      <c r="E13" s="1046">
        <f t="shared" si="1"/>
        <v>0</v>
      </c>
      <c r="F13" s="1046">
        <v>0</v>
      </c>
      <c r="G13" s="1046">
        <v>0</v>
      </c>
      <c r="H13" s="1047">
        <f>$G$13/($I$5*1000)</f>
        <v>0</v>
      </c>
      <c r="I13" s="1047">
        <f>($G$13/$I$6)/$I$5</f>
        <v>0</v>
      </c>
    </row>
    <row r="14" spans="2:10" x14ac:dyDescent="0.25">
      <c r="B14" s="1041">
        <f t="shared" si="0"/>
        <v>6</v>
      </c>
      <c r="C14" s="1096" t="s">
        <v>561</v>
      </c>
      <c r="D14" s="1046">
        <v>0</v>
      </c>
      <c r="E14" s="1046">
        <f t="shared" si="1"/>
        <v>0</v>
      </c>
      <c r="F14" s="1097">
        <v>0</v>
      </c>
      <c r="G14" s="1046">
        <v>0</v>
      </c>
      <c r="H14" s="1047">
        <f>$G$14/($I$5*1000)</f>
        <v>0</v>
      </c>
      <c r="I14" s="1047">
        <f>($G$14/$I$6)/$I$5</f>
        <v>0</v>
      </c>
    </row>
    <row r="15" spans="2:10" x14ac:dyDescent="0.25">
      <c r="B15" s="1041">
        <f t="shared" si="0"/>
        <v>7</v>
      </c>
      <c r="C15" s="1096" t="s">
        <v>562</v>
      </c>
      <c r="D15" s="1046">
        <v>12576902836.549999</v>
      </c>
      <c r="E15" s="1046">
        <f t="shared" si="1"/>
        <v>1048075236.3791666</v>
      </c>
      <c r="F15" s="1038">
        <f>G15*12</f>
        <v>12048990312</v>
      </c>
      <c r="G15" s="1046">
        <v>1004082526</v>
      </c>
      <c r="H15" s="1047">
        <f>$G$15/($I$5*1000)</f>
        <v>41.756234579221996</v>
      </c>
      <c r="I15" s="1047">
        <f>($G$15/$I$6)/$I$5</f>
        <v>2.6097646612013743</v>
      </c>
    </row>
    <row r="16" spans="2:10" x14ac:dyDescent="0.25">
      <c r="B16" s="1041"/>
      <c r="C16" s="1048"/>
      <c r="D16" s="1046"/>
      <c r="E16" s="1046"/>
      <c r="F16" s="1046"/>
      <c r="G16" s="1046"/>
      <c r="H16" s="1047"/>
      <c r="I16" s="1047"/>
    </row>
    <row r="17" spans="2:9" x14ac:dyDescent="0.25">
      <c r="B17" s="1041"/>
      <c r="C17" s="1048"/>
      <c r="D17" s="1046"/>
      <c r="E17" s="1046"/>
      <c r="F17" s="1046"/>
      <c r="G17" s="1046"/>
      <c r="H17" s="1047"/>
      <c r="I17" s="1047"/>
    </row>
    <row r="18" spans="2:9" x14ac:dyDescent="0.25">
      <c r="B18" s="1041"/>
      <c r="C18" s="1048"/>
      <c r="D18" s="1046"/>
      <c r="E18" s="1046"/>
      <c r="F18" s="1046"/>
      <c r="G18" s="1046"/>
      <c r="H18" s="1047"/>
      <c r="I18" s="1047"/>
    </row>
    <row r="19" spans="2:9" ht="13.5" thickBot="1" x14ac:dyDescent="0.3">
      <c r="B19" s="1079"/>
      <c r="C19" s="1080"/>
      <c r="D19" s="1081"/>
      <c r="E19" s="1081"/>
      <c r="F19" s="1081"/>
      <c r="G19" s="1081"/>
      <c r="H19" s="1095"/>
      <c r="I19" s="1095"/>
    </row>
    <row r="20" spans="2:9" ht="16.5" thickTop="1" thickBot="1" x14ac:dyDescent="0.3">
      <c r="B20" s="1623" t="s">
        <v>498</v>
      </c>
      <c r="C20" s="1624"/>
      <c r="D20" s="1087">
        <f t="shared" ref="D20:I20" si="2">SUM(D9:D19)</f>
        <v>13809226594.75</v>
      </c>
      <c r="E20" s="1087">
        <f t="shared" si="2"/>
        <v>1150768882.8958333</v>
      </c>
      <c r="F20" s="1088">
        <f t="shared" si="2"/>
        <v>12580917659.999994</v>
      </c>
      <c r="G20" s="1088">
        <f t="shared" si="2"/>
        <v>1048409804.9999995</v>
      </c>
      <c r="H20" s="1089">
        <f t="shared" si="2"/>
        <v>43.599649051891149</v>
      </c>
      <c r="I20" s="1089">
        <f t="shared" si="2"/>
        <v>2.7249780657431963</v>
      </c>
    </row>
    <row r="21" spans="2:9" ht="13.5" thickTop="1" x14ac:dyDescent="0.25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5" activePane="bottomLeft" state="frozen"/>
      <selection activeCell="G22" sqref="G22"/>
      <selection pane="bottomLeft" activeCell="G22" sqref="G22"/>
    </sheetView>
  </sheetViews>
  <sheetFormatPr defaultColWidth="8.85546875" defaultRowHeight="12.75" x14ac:dyDescent="0.25"/>
  <cols>
    <col min="1" max="1" width="8.85546875" style="1019"/>
    <col min="2" max="2" width="5.5703125" style="1018" customWidth="1"/>
    <col min="3" max="3" width="49.140625" style="1019" customWidth="1"/>
    <col min="4" max="4" width="16.7109375" style="1019" customWidth="1"/>
    <col min="5" max="5" width="15.7109375" style="1019" customWidth="1"/>
    <col min="6" max="7" width="15" style="1019" customWidth="1"/>
    <col min="8" max="8" width="15.140625" style="1019" customWidth="1"/>
    <col min="9" max="9" width="14.7109375" style="1019" customWidth="1"/>
    <col min="10" max="10" width="11.42578125" style="1019" customWidth="1"/>
    <col min="11" max="11" width="12.42578125" style="1019" customWidth="1"/>
    <col min="12" max="12" width="17.7109375" style="1019" customWidth="1"/>
    <col min="13" max="16384" width="8.85546875" style="1019"/>
  </cols>
  <sheetData>
    <row r="1" spans="2:11" ht="4.9000000000000004" customHeight="1" x14ac:dyDescent="0.25"/>
    <row r="2" spans="2:11" ht="23.45" customHeight="1" thickBot="1" x14ac:dyDescent="0.3">
      <c r="B2" s="1020" t="s">
        <v>496</v>
      </c>
    </row>
    <row r="3" spans="2:11" ht="14.45" customHeight="1" x14ac:dyDescent="0.25">
      <c r="B3" s="1625" t="s">
        <v>370</v>
      </c>
      <c r="C3" s="1626"/>
      <c r="D3" s="917"/>
      <c r="E3" s="1021"/>
      <c r="F3" s="1021"/>
      <c r="G3" s="1021"/>
      <c r="H3" s="1021"/>
      <c r="I3" s="1021"/>
      <c r="J3" s="1023" t="s">
        <v>390</v>
      </c>
      <c r="K3" s="1024">
        <f>'HPP REF '!N3</f>
        <v>890.60333333333335</v>
      </c>
    </row>
    <row r="4" spans="2:11" ht="14.45" customHeight="1" x14ac:dyDescent="0.25">
      <c r="B4" s="1627" t="s">
        <v>423</v>
      </c>
      <c r="C4" s="1628"/>
      <c r="D4" s="922"/>
      <c r="J4" s="1025" t="s">
        <v>83</v>
      </c>
      <c r="K4" s="1026">
        <f>'HPP REF '!N4</f>
        <v>27</v>
      </c>
    </row>
    <row r="5" spans="2:11" ht="14.45" customHeight="1" x14ac:dyDescent="0.25">
      <c r="B5" s="1627" t="s">
        <v>424</v>
      </c>
      <c r="C5" s="1628"/>
      <c r="D5" s="922"/>
      <c r="J5" s="1025" t="s">
        <v>425</v>
      </c>
      <c r="K5" s="1026">
        <f>K4*K3</f>
        <v>24046.29</v>
      </c>
    </row>
    <row r="6" spans="2:11" ht="14.45" customHeight="1" thickBot="1" x14ac:dyDescent="0.3">
      <c r="B6" s="997" t="s">
        <v>426</v>
      </c>
      <c r="C6" s="998"/>
      <c r="D6" s="998"/>
      <c r="E6" s="1027"/>
      <c r="F6" s="1027"/>
      <c r="G6" s="1027"/>
      <c r="H6" s="1027"/>
      <c r="I6" s="1027"/>
      <c r="J6" s="1029"/>
      <c r="K6" s="1030">
        <f>[21]Formula!I6</f>
        <v>16000</v>
      </c>
    </row>
    <row r="7" spans="2:11" ht="15.6" customHeight="1" x14ac:dyDescent="0.25">
      <c r="B7" s="1629" t="s">
        <v>100</v>
      </c>
      <c r="C7" s="1631" t="s">
        <v>290</v>
      </c>
      <c r="D7" s="1634" t="s">
        <v>450</v>
      </c>
      <c r="E7" s="1621"/>
      <c r="F7" s="1633"/>
      <c r="G7" s="1634" t="s">
        <v>451</v>
      </c>
      <c r="H7" s="1621"/>
      <c r="I7" s="1621"/>
      <c r="J7" s="1621"/>
      <c r="K7" s="1622"/>
    </row>
    <row r="8" spans="2:11" ht="15" customHeight="1" thickBot="1" x14ac:dyDescent="0.3">
      <c r="B8" s="1630"/>
      <c r="C8" s="1632"/>
      <c r="D8" s="1073" t="s">
        <v>497</v>
      </c>
      <c r="E8" s="1074" t="s">
        <v>452</v>
      </c>
      <c r="F8" s="1074" t="s">
        <v>453</v>
      </c>
      <c r="G8" s="1073" t="s">
        <v>497</v>
      </c>
      <c r="H8" s="1074" t="s">
        <v>452</v>
      </c>
      <c r="I8" s="1074" t="s">
        <v>453</v>
      </c>
      <c r="J8" s="1075" t="s">
        <v>428</v>
      </c>
      <c r="K8" s="1086" t="s">
        <v>231</v>
      </c>
    </row>
    <row r="9" spans="2:11" ht="23.45" customHeight="1" thickTop="1" thickBot="1" x14ac:dyDescent="0.3">
      <c r="B9" s="1623" t="s">
        <v>498</v>
      </c>
      <c r="C9" s="1624"/>
      <c r="D9" s="1087">
        <f t="shared" ref="D9:K9" si="0">SUM(D10:D75)</f>
        <v>679712126808.7334</v>
      </c>
      <c r="E9" s="1087">
        <f t="shared" si="0"/>
        <v>41807174181.37001</v>
      </c>
      <c r="F9" s="1087">
        <f t="shared" si="0"/>
        <v>3483931181.7808337</v>
      </c>
      <c r="G9" s="1088">
        <f t="shared" si="0"/>
        <v>775031394297.89551</v>
      </c>
      <c r="H9" s="1088">
        <f t="shared" si="0"/>
        <v>50174217449.730003</v>
      </c>
      <c r="I9" s="1088">
        <f t="shared" si="0"/>
        <v>4181184787.4775009</v>
      </c>
      <c r="J9" s="1089">
        <f t="shared" si="0"/>
        <v>173.88066048764702</v>
      </c>
      <c r="K9" s="1089">
        <f t="shared" si="0"/>
        <v>10.867541280477939</v>
      </c>
    </row>
    <row r="10" spans="2:11" ht="13.5" thickTop="1" x14ac:dyDescent="0.25">
      <c r="B10" s="1076">
        <v>1</v>
      </c>
      <c r="C10" s="1090" t="s">
        <v>499</v>
      </c>
      <c r="D10" s="1091">
        <v>3844320790</v>
      </c>
      <c r="E10" s="1092">
        <v>192216039.49999997</v>
      </c>
      <c r="F10" s="1092">
        <v>16018003.291666664</v>
      </c>
      <c r="G10" s="1092">
        <v>3844320789.5999999</v>
      </c>
      <c r="H10" s="1092">
        <f>I10*12</f>
        <v>192216039.48000002</v>
      </c>
      <c r="I10" s="1092">
        <v>16018003.290000001</v>
      </c>
      <c r="J10" s="1093">
        <f>$I$10/($K$5*1000)</f>
        <v>0.66613200165181408</v>
      </c>
      <c r="K10" s="1093">
        <f>($I$10/$K$6)/$K$5</f>
        <v>4.163325010323838E-2</v>
      </c>
    </row>
    <row r="11" spans="2:11" x14ac:dyDescent="0.25">
      <c r="B11" s="1041">
        <f>B10+1</f>
        <v>2</v>
      </c>
      <c r="C11" s="1094" t="s">
        <v>500</v>
      </c>
      <c r="D11" s="1044">
        <v>247144032</v>
      </c>
      <c r="E11" s="1046">
        <v>12357201.600000001</v>
      </c>
      <c r="F11" s="1046">
        <v>1029766.8000000002</v>
      </c>
      <c r="G11" s="1046">
        <v>247144031.75</v>
      </c>
      <c r="H11" s="1046">
        <f>I11*12</f>
        <v>12357201.5875</v>
      </c>
      <c r="I11" s="1046">
        <v>1029766.7989583333</v>
      </c>
      <c r="J11" s="1047">
        <f>$I$11/($K$5*1000)</f>
        <v>4.2824352486738423E-2</v>
      </c>
      <c r="K11" s="1047">
        <f>($I$11/$K$6)/$K$5</f>
        <v>2.6765220304211515E-3</v>
      </c>
    </row>
    <row r="12" spans="2:11" x14ac:dyDescent="0.25">
      <c r="B12" s="1041">
        <f t="shared" ref="B12:B71" si="1">B11+1</f>
        <v>3</v>
      </c>
      <c r="C12" s="1094" t="s">
        <v>501</v>
      </c>
      <c r="D12" s="1044">
        <v>199088248</v>
      </c>
      <c r="E12" s="1046">
        <v>12429395.071824417</v>
      </c>
      <c r="F12" s="1046">
        <v>1035782.9226520347</v>
      </c>
      <c r="G12" s="1046">
        <v>397086862.12595332</v>
      </c>
      <c r="H12" s="1046">
        <f t="shared" ref="H12:H71" si="2">I12*12</f>
        <v>19854343.106297664</v>
      </c>
      <c r="I12" s="1046">
        <v>1654528.5921914722</v>
      </c>
      <c r="J12" s="1047">
        <f>$I$12/($K$5*1000)</f>
        <v>6.8805981803907054E-2</v>
      </c>
      <c r="K12" s="1047">
        <f>($I$12/$K$6)/$K$5</f>
        <v>4.3003738627441909E-3</v>
      </c>
    </row>
    <row r="13" spans="2:11" x14ac:dyDescent="0.25">
      <c r="B13" s="1041">
        <f t="shared" si="1"/>
        <v>4</v>
      </c>
      <c r="C13" s="1094" t="s">
        <v>502</v>
      </c>
      <c r="D13" s="1044">
        <v>53111657402</v>
      </c>
      <c r="E13" s="1046">
        <v>2655582870.099999</v>
      </c>
      <c r="F13" s="1046">
        <v>221298572.50833324</v>
      </c>
      <c r="G13" s="1046">
        <v>53111657403.529999</v>
      </c>
      <c r="H13" s="1046">
        <f t="shared" si="2"/>
        <v>2655582870.1764994</v>
      </c>
      <c r="I13" s="1046">
        <v>221298572.51470828</v>
      </c>
      <c r="J13" s="1047">
        <f>$I$13/($K$5*1000)</f>
        <v>9.203023523159219</v>
      </c>
      <c r="K13" s="1047">
        <f>($I$13/$K$6)/$K$5</f>
        <v>0.57518897019745108</v>
      </c>
    </row>
    <row r="14" spans="2:11" x14ac:dyDescent="0.25">
      <c r="B14" s="1041">
        <f t="shared" si="1"/>
        <v>5</v>
      </c>
      <c r="C14" s="1094" t="s">
        <v>503</v>
      </c>
      <c r="D14" s="1044">
        <v>1392076443.1299996</v>
      </c>
      <c r="E14" s="1046">
        <v>70956821.50959149</v>
      </c>
      <c r="F14" s="1046">
        <v>5913068.4591326239</v>
      </c>
      <c r="G14" s="1046">
        <v>1500316391.3773193</v>
      </c>
      <c r="H14" s="1046">
        <f t="shared" si="2"/>
        <v>75015819.56886597</v>
      </c>
      <c r="I14" s="1046">
        <v>6251318.2974054972</v>
      </c>
      <c r="J14" s="1047">
        <f>$I$14/($K$5*1000)</f>
        <v>0.25997017824394103</v>
      </c>
      <c r="K14" s="1047">
        <f>($I$14/$K$6)/$K$5</f>
        <v>1.6248136140246314E-2</v>
      </c>
    </row>
    <row r="15" spans="2:11" x14ac:dyDescent="0.25">
      <c r="B15" s="1041">
        <f t="shared" si="1"/>
        <v>6</v>
      </c>
      <c r="C15" s="1094" t="s">
        <v>504</v>
      </c>
      <c r="D15" s="1044">
        <v>22378266872</v>
      </c>
      <c r="E15" s="1046">
        <v>1118913343.5999999</v>
      </c>
      <c r="F15" s="1046">
        <v>93242778.633333325</v>
      </c>
      <c r="G15" s="1046">
        <v>22378266872.27499</v>
      </c>
      <c r="H15" s="1046">
        <f t="shared" si="2"/>
        <v>1118913343.6137495</v>
      </c>
      <c r="I15" s="1046">
        <v>93242778.63447912</v>
      </c>
      <c r="J15" s="1047">
        <f>$I$15/($K$5*1000)</f>
        <v>3.8776367844885478</v>
      </c>
      <c r="K15" s="1047">
        <f>($I$15/$K$6)/$K$5</f>
        <v>0.24235229903053424</v>
      </c>
    </row>
    <row r="16" spans="2:11" x14ac:dyDescent="0.25">
      <c r="B16" s="1041">
        <f t="shared" si="1"/>
        <v>7</v>
      </c>
      <c r="C16" s="1094" t="s">
        <v>505</v>
      </c>
      <c r="D16" s="1044">
        <v>22378266872</v>
      </c>
      <c r="E16" s="1046">
        <v>1118913343.5999999</v>
      </c>
      <c r="F16" s="1046">
        <v>93242778.633333325</v>
      </c>
      <c r="G16" s="1046">
        <v>22378266872.274998</v>
      </c>
      <c r="H16" s="1046">
        <f t="shared" si="2"/>
        <v>1118913343.61375</v>
      </c>
      <c r="I16" s="1046">
        <v>93242778.634479165</v>
      </c>
      <c r="J16" s="1047">
        <f>$I$16/($K$5*1000)</f>
        <v>3.8776367844885495</v>
      </c>
      <c r="K16" s="1047">
        <f>($I$16/$K$6)/$K$5</f>
        <v>0.24235229903053435</v>
      </c>
    </row>
    <row r="17" spans="2:11" x14ac:dyDescent="0.25">
      <c r="B17" s="1041">
        <f t="shared" si="1"/>
        <v>8</v>
      </c>
      <c r="C17" s="1094" t="s">
        <v>506</v>
      </c>
      <c r="D17" s="1044">
        <v>22548996820</v>
      </c>
      <c r="E17" s="1046">
        <v>1127449840.9999998</v>
      </c>
      <c r="F17" s="1046">
        <v>93954153.416666642</v>
      </c>
      <c r="G17" s="1046">
        <v>22548996819.889999</v>
      </c>
      <c r="H17" s="1046">
        <f t="shared" si="2"/>
        <v>1127449840.9944999</v>
      </c>
      <c r="I17" s="1046">
        <v>93954153.416208327</v>
      </c>
      <c r="J17" s="1047">
        <f>$I$17/($K$5*1000)</f>
        <v>3.9072203411090993</v>
      </c>
      <c r="K17" s="1047">
        <f>($I$17/$K$6)/$K$5</f>
        <v>0.24420127131931871</v>
      </c>
    </row>
    <row r="18" spans="2:11" x14ac:dyDescent="0.25">
      <c r="B18" s="1041">
        <f t="shared" si="1"/>
        <v>9</v>
      </c>
      <c r="C18" s="1094" t="s">
        <v>507</v>
      </c>
      <c r="D18" s="1044">
        <v>3242778116</v>
      </c>
      <c r="E18" s="1046">
        <v>166633458.44554368</v>
      </c>
      <c r="F18" s="1046">
        <v>13886121.53712864</v>
      </c>
      <c r="G18" s="1046">
        <v>3602342327.2934937</v>
      </c>
      <c r="H18" s="1046">
        <f t="shared" si="2"/>
        <v>180117116.36467469</v>
      </c>
      <c r="I18" s="1046">
        <v>15009759.697056225</v>
      </c>
      <c r="J18" s="1047">
        <f>$I$18/($K$5*1000)</f>
        <v>0.62420272304194224</v>
      </c>
      <c r="K18" s="1047">
        <f>($I$18/$K$6)/$K$5</f>
        <v>3.9012670190121383E-2</v>
      </c>
    </row>
    <row r="19" spans="2:11" x14ac:dyDescent="0.25">
      <c r="B19" s="1041">
        <f t="shared" si="1"/>
        <v>10</v>
      </c>
      <c r="C19" s="1094" t="s">
        <v>508</v>
      </c>
      <c r="D19" s="1044">
        <v>3088358215.0299997</v>
      </c>
      <c r="E19" s="1046">
        <v>167987620.50608689</v>
      </c>
      <c r="F19" s="1046">
        <v>13998968.375507241</v>
      </c>
      <c r="G19" s="1046">
        <v>4173934995.3969541</v>
      </c>
      <c r="H19" s="1046">
        <f t="shared" si="2"/>
        <v>208696749.76984769</v>
      </c>
      <c r="I19" s="1046">
        <v>17391395.814153973</v>
      </c>
      <c r="J19" s="1047">
        <f>$I$19/($K$5*1000)</f>
        <v>0.7232465305106931</v>
      </c>
      <c r="K19" s="1047">
        <f>($I$19/$K$6)/$K$5</f>
        <v>4.5202908156918312E-2</v>
      </c>
    </row>
    <row r="20" spans="2:11" x14ac:dyDescent="0.25">
      <c r="B20" s="1041">
        <f t="shared" si="1"/>
        <v>11</v>
      </c>
      <c r="C20" s="1094" t="s">
        <v>509</v>
      </c>
      <c r="D20" s="1044">
        <v>1306714556.04</v>
      </c>
      <c r="E20" s="1046">
        <v>65335727.801999979</v>
      </c>
      <c r="F20" s="1046">
        <v>5444643.9834999982</v>
      </c>
      <c r="G20" s="1046">
        <v>1306714556.04</v>
      </c>
      <c r="H20" s="1046">
        <f t="shared" si="2"/>
        <v>65335727.801999986</v>
      </c>
      <c r="I20" s="1046">
        <v>5444643.9834999992</v>
      </c>
      <c r="J20" s="1047">
        <f>$I$20/($K$5*1000)</f>
        <v>0.22642345174661035</v>
      </c>
      <c r="K20" s="1047">
        <f>($I$20/$K$6)/$K$5</f>
        <v>1.4151465734163147E-2</v>
      </c>
    </row>
    <row r="21" spans="2:11" x14ac:dyDescent="0.25">
      <c r="B21" s="1041">
        <f t="shared" si="1"/>
        <v>12</v>
      </c>
      <c r="C21" s="1094" t="s">
        <v>502</v>
      </c>
      <c r="D21" s="1044">
        <v>0</v>
      </c>
      <c r="E21" s="1046">
        <v>0</v>
      </c>
      <c r="F21" s="1046">
        <v>0</v>
      </c>
      <c r="G21" s="1046">
        <v>0</v>
      </c>
      <c r="H21" s="1046">
        <f t="shared" si="2"/>
        <v>0</v>
      </c>
      <c r="I21" s="1046">
        <v>0</v>
      </c>
      <c r="J21" s="1047">
        <f>$I$21/($K$5*1000)</f>
        <v>0</v>
      </c>
      <c r="K21" s="1047">
        <f>($I$21/$K$6)/$K$5</f>
        <v>0</v>
      </c>
    </row>
    <row r="22" spans="2:11" x14ac:dyDescent="0.25">
      <c r="B22" s="1041">
        <f t="shared" si="1"/>
        <v>13</v>
      </c>
      <c r="C22" s="1094" t="s">
        <v>510</v>
      </c>
      <c r="D22" s="1044">
        <v>26865966199</v>
      </c>
      <c r="E22" s="1046">
        <v>1343298309.95</v>
      </c>
      <c r="F22" s="1046">
        <v>111941525.82916667</v>
      </c>
      <c r="G22" s="1046">
        <v>26865966198.669998</v>
      </c>
      <c r="H22" s="1046">
        <f t="shared" si="2"/>
        <v>1895783032.6504397</v>
      </c>
      <c r="I22" s="1046">
        <v>157981919.38753664</v>
      </c>
      <c r="J22" s="1047">
        <f>$I$22/($K$5*1000)</f>
        <v>6.5699082639166644</v>
      </c>
      <c r="K22" s="1047">
        <f>($I$22/$K$6)/$K$5</f>
        <v>0.41061926649479152</v>
      </c>
    </row>
    <row r="23" spans="2:11" x14ac:dyDescent="0.25">
      <c r="B23" s="1041">
        <f t="shared" si="1"/>
        <v>14</v>
      </c>
      <c r="C23" s="1094" t="s">
        <v>511</v>
      </c>
      <c r="D23" s="1044">
        <v>808088751</v>
      </c>
      <c r="E23" s="1046">
        <v>52164852.670642003</v>
      </c>
      <c r="F23" s="1046">
        <v>4347071.0558868339</v>
      </c>
      <c r="G23" s="1046">
        <v>1748921960.5313604</v>
      </c>
      <c r="H23" s="1046">
        <f t="shared" si="2"/>
        <v>87446098.026568025</v>
      </c>
      <c r="I23" s="1046">
        <v>7287174.8355473354</v>
      </c>
      <c r="J23" s="1047">
        <f>$I$23/($K$5*1000)</f>
        <v>0.30304778140608535</v>
      </c>
      <c r="K23" s="1047">
        <f>($I$23/$K$6)/$K$5</f>
        <v>1.8940486337880331E-2</v>
      </c>
    </row>
    <row r="24" spans="2:11" x14ac:dyDescent="0.25">
      <c r="B24" s="1041">
        <f t="shared" si="1"/>
        <v>15</v>
      </c>
      <c r="C24" s="1094" t="s">
        <v>512</v>
      </c>
      <c r="D24" s="1044">
        <v>669445527</v>
      </c>
      <c r="E24" s="1046">
        <v>33472276.350000005</v>
      </c>
      <c r="F24" s="1046">
        <v>2789356.3625000003</v>
      </c>
      <c r="G24" s="1046">
        <v>669445526.98000002</v>
      </c>
      <c r="H24" s="1046">
        <f t="shared" si="2"/>
        <v>33472276.348999999</v>
      </c>
      <c r="I24" s="1046">
        <v>2789356.3624166665</v>
      </c>
      <c r="J24" s="1047">
        <f>$I$24/($K$5*1000)</f>
        <v>0.11599944783235445</v>
      </c>
      <c r="K24" s="1047">
        <f>($I$24/$K$6)/$K$5</f>
        <v>7.2499654895221526E-3</v>
      </c>
    </row>
    <row r="25" spans="2:11" x14ac:dyDescent="0.25">
      <c r="B25" s="1041">
        <f t="shared" si="1"/>
        <v>16</v>
      </c>
      <c r="C25" s="1094" t="s">
        <v>502</v>
      </c>
      <c r="D25" s="1044">
        <v>0</v>
      </c>
      <c r="E25" s="1046">
        <v>0</v>
      </c>
      <c r="F25" s="1046">
        <v>0</v>
      </c>
      <c r="G25" s="1046">
        <v>0</v>
      </c>
      <c r="H25" s="1046">
        <f t="shared" si="2"/>
        <v>0</v>
      </c>
      <c r="I25" s="1046">
        <v>0</v>
      </c>
      <c r="J25" s="1047">
        <f>$I$25/($K$5*1000)</f>
        <v>0</v>
      </c>
      <c r="K25" s="1047">
        <f>($I$25/$K$6)/$K$5</f>
        <v>0</v>
      </c>
    </row>
    <row r="26" spans="2:11" x14ac:dyDescent="0.25">
      <c r="B26" s="1041">
        <f t="shared" si="1"/>
        <v>17</v>
      </c>
      <c r="C26" s="1094" t="s">
        <v>513</v>
      </c>
      <c r="D26" s="1044">
        <v>35739000</v>
      </c>
      <c r="E26" s="1046">
        <v>3573900</v>
      </c>
      <c r="F26" s="1046">
        <v>297825</v>
      </c>
      <c r="G26" s="1046">
        <v>35739000</v>
      </c>
      <c r="H26" s="1046">
        <f t="shared" si="2"/>
        <v>3573900</v>
      </c>
      <c r="I26" s="1046">
        <v>297825</v>
      </c>
      <c r="J26" s="1047">
        <f>$I$26/($K$5*1000)</f>
        <v>1.2385486492926768E-2</v>
      </c>
      <c r="K26" s="1047">
        <f>($I$26/$K$6)/$K$5</f>
        <v>7.7409290580792291E-4</v>
      </c>
    </row>
    <row r="27" spans="2:11" x14ac:dyDescent="0.25">
      <c r="B27" s="1041">
        <f t="shared" si="1"/>
        <v>18</v>
      </c>
      <c r="C27" s="1094" t="s">
        <v>514</v>
      </c>
      <c r="D27" s="1044">
        <v>537402145</v>
      </c>
      <c r="E27" s="1046">
        <v>26870107.250000004</v>
      </c>
      <c r="F27" s="1046">
        <v>2239175.604166667</v>
      </c>
      <c r="G27" s="1046">
        <v>537402145</v>
      </c>
      <c r="H27" s="1046">
        <f t="shared" si="2"/>
        <v>26870107.25</v>
      </c>
      <c r="I27" s="1046">
        <v>2239175.6041666665</v>
      </c>
      <c r="J27" s="1047">
        <f>$I$27/($K$5*1000)</f>
        <v>9.3119379503726632E-2</v>
      </c>
      <c r="K27" s="1047">
        <f>($I$27/$K$6)/$K$5</f>
        <v>5.8199612189829136E-3</v>
      </c>
    </row>
    <row r="28" spans="2:11" x14ac:dyDescent="0.25">
      <c r="B28" s="1041">
        <f t="shared" si="1"/>
        <v>19</v>
      </c>
      <c r="C28" s="1094" t="s">
        <v>515</v>
      </c>
      <c r="D28" s="1044">
        <v>1071796228</v>
      </c>
      <c r="E28" s="1046">
        <v>26794905.699999999</v>
      </c>
      <c r="F28" s="1046">
        <v>2232908.8083333331</v>
      </c>
      <c r="G28" s="1046">
        <v>1071796228</v>
      </c>
      <c r="H28" s="1046">
        <f t="shared" si="2"/>
        <v>53589811.399999991</v>
      </c>
      <c r="I28" s="1046">
        <v>4465817.6166666662</v>
      </c>
      <c r="J28" s="1047">
        <f>$I$28/($K$5*1000)</f>
        <v>0.18571753133920726</v>
      </c>
      <c r="K28" s="1047">
        <f>($I$28/$K$6)/$K$5</f>
        <v>1.1607345708700454E-2</v>
      </c>
    </row>
    <row r="29" spans="2:11" x14ac:dyDescent="0.25">
      <c r="B29" s="1041">
        <f t="shared" si="1"/>
        <v>20</v>
      </c>
      <c r="C29" s="1094" t="s">
        <v>516</v>
      </c>
      <c r="D29" s="1044">
        <v>236594750</v>
      </c>
      <c r="E29" s="1046">
        <v>67601093.483989701</v>
      </c>
      <c r="F29" s="1046">
        <v>5633424.4569991417</v>
      </c>
      <c r="G29" s="1046">
        <v>3751924228.7191768</v>
      </c>
      <c r="H29" s="1046">
        <f t="shared" si="2"/>
        <v>199425948.93595883</v>
      </c>
      <c r="I29" s="1046">
        <v>16618829.077996569</v>
      </c>
      <c r="J29" s="1047">
        <f>$I$29/($K$5*1000)</f>
        <v>0.69111821732153145</v>
      </c>
      <c r="K29" s="1047">
        <f>($I$29/$K$6)/$K$5</f>
        <v>4.3194888582595715E-2</v>
      </c>
    </row>
    <row r="30" spans="2:11" x14ac:dyDescent="0.25">
      <c r="B30" s="1041">
        <f t="shared" si="1"/>
        <v>21</v>
      </c>
      <c r="C30" s="1094" t="s">
        <v>517</v>
      </c>
      <c r="D30" s="1044">
        <v>30414179484</v>
      </c>
      <c r="E30" s="1046">
        <v>1612030479.5500002</v>
      </c>
      <c r="F30" s="1046">
        <v>134335873.29583335</v>
      </c>
      <c r="G30" s="1046">
        <v>30414179484.479996</v>
      </c>
      <c r="H30" s="1046">
        <f t="shared" si="2"/>
        <v>1710615892.4508348</v>
      </c>
      <c r="I30" s="1046">
        <v>142551324.3709029</v>
      </c>
      <c r="J30" s="1047">
        <f>$I$30/($K$5*1000)</f>
        <v>5.92820449104219</v>
      </c>
      <c r="K30" s="1047">
        <f>($I$30/$K$6)/$K$5</f>
        <v>0.37051278069013688</v>
      </c>
    </row>
    <row r="31" spans="2:11" x14ac:dyDescent="0.25">
      <c r="B31" s="1041">
        <f t="shared" si="1"/>
        <v>22</v>
      </c>
      <c r="C31" s="1094" t="s">
        <v>518</v>
      </c>
      <c r="D31" s="1044">
        <v>15714477178</v>
      </c>
      <c r="E31" s="1046">
        <v>1590698081.0625</v>
      </c>
      <c r="F31" s="1046">
        <v>132558173.421875</v>
      </c>
      <c r="G31" s="1046">
        <v>15714477178.919996</v>
      </c>
      <c r="H31" s="1046">
        <f t="shared" si="2"/>
        <v>1689283494.0092032</v>
      </c>
      <c r="I31" s="1046">
        <v>140773624.50076693</v>
      </c>
      <c r="J31" s="1047">
        <f>$I$31/($K$5*1000)</f>
        <v>5.8542762522105045</v>
      </c>
      <c r="K31" s="1047">
        <f>($I$31/$K$6)/$K$5</f>
        <v>0.36589226576315648</v>
      </c>
    </row>
    <row r="32" spans="2:11" x14ac:dyDescent="0.25">
      <c r="B32" s="1041">
        <f t="shared" si="1"/>
        <v>23</v>
      </c>
      <c r="C32" s="1094" t="s">
        <v>519</v>
      </c>
      <c r="D32" s="1044">
        <v>39160256164.880692</v>
      </c>
      <c r="E32" s="1046">
        <v>1815696823.0725431</v>
      </c>
      <c r="F32" s="1046">
        <v>151308068.5893786</v>
      </c>
      <c r="G32" s="1046">
        <v>39160256163.939995</v>
      </c>
      <c r="H32" s="1046">
        <f t="shared" si="2"/>
        <v>1914282235.9513264</v>
      </c>
      <c r="I32" s="1046">
        <v>159523519.66261053</v>
      </c>
      <c r="J32" s="1047">
        <f>$I$32/($K$5*1000)</f>
        <v>6.6340179571406042</v>
      </c>
      <c r="K32" s="1047">
        <f>($I$32/$K$6)/$K$5</f>
        <v>0.4146261223212877</v>
      </c>
    </row>
    <row r="33" spans="2:12" x14ac:dyDescent="0.25">
      <c r="B33" s="1041">
        <f t="shared" si="1"/>
        <v>24</v>
      </c>
      <c r="C33" s="1094" t="s">
        <v>520</v>
      </c>
      <c r="D33" s="1044">
        <v>26158484525</v>
      </c>
      <c r="E33" s="1046">
        <v>1546139031.6360409</v>
      </c>
      <c r="F33" s="1046">
        <v>128844919.30300342</v>
      </c>
      <c r="G33" s="1046">
        <v>26158484522.87001</v>
      </c>
      <c r="H33" s="1046">
        <f t="shared" si="2"/>
        <v>2104335894.8711185</v>
      </c>
      <c r="I33" s="1046">
        <v>175361324.57259321</v>
      </c>
      <c r="J33" s="1047">
        <f>$I$33/($K$5*1000)</f>
        <v>7.2926561466485351</v>
      </c>
      <c r="K33" s="1047">
        <f>($I$33/$K$6)/$K$5</f>
        <v>0.45579100916553345</v>
      </c>
    </row>
    <row r="34" spans="2:12" x14ac:dyDescent="0.25">
      <c r="B34" s="1041">
        <f t="shared" si="1"/>
        <v>25</v>
      </c>
      <c r="C34" s="1094" t="s">
        <v>521</v>
      </c>
      <c r="D34" s="1044">
        <v>44700543389</v>
      </c>
      <c r="E34" s="1046">
        <v>2525781268.3374996</v>
      </c>
      <c r="F34" s="1046">
        <v>210481772.3614583</v>
      </c>
      <c r="G34" s="1046">
        <v>44700543388.480034</v>
      </c>
      <c r="H34" s="1046">
        <f t="shared" si="2"/>
        <v>2624366681.1205378</v>
      </c>
      <c r="I34" s="1046">
        <v>218697223.4267115</v>
      </c>
      <c r="J34" s="1047">
        <f>$I$34/($K$5*1000)</f>
        <v>9.0948426317203825</v>
      </c>
      <c r="K34" s="1047">
        <f>($I$34/$K$6)/$K$5</f>
        <v>0.56842766448252391</v>
      </c>
    </row>
    <row r="35" spans="2:12" x14ac:dyDescent="0.25">
      <c r="B35" s="1041">
        <f t="shared" si="1"/>
        <v>26</v>
      </c>
      <c r="C35" s="1094" t="s">
        <v>522</v>
      </c>
      <c r="D35" s="1044">
        <v>12406716786</v>
      </c>
      <c r="E35" s="1046">
        <v>697263539.22500026</v>
      </c>
      <c r="F35" s="1046">
        <v>58105294.935416691</v>
      </c>
      <c r="G35" s="1046">
        <v>12406716785.500004</v>
      </c>
      <c r="H35" s="1046">
        <f t="shared" si="2"/>
        <v>697263539.18067789</v>
      </c>
      <c r="I35" s="1046">
        <v>58105294.931723163</v>
      </c>
      <c r="J35" s="1047">
        <f>$I$35/($K$5*1000)</f>
        <v>2.4163933368400348</v>
      </c>
      <c r="K35" s="1047">
        <f>($I$35/$K$6)/$K$5</f>
        <v>0.15102458355250217</v>
      </c>
    </row>
    <row r="36" spans="2:12" x14ac:dyDescent="0.25">
      <c r="B36" s="1041">
        <f t="shared" si="1"/>
        <v>27</v>
      </c>
      <c r="C36" s="1094" t="s">
        <v>523</v>
      </c>
      <c r="D36" s="1044">
        <v>2279256408</v>
      </c>
      <c r="E36" s="1046">
        <v>168443707.171875</v>
      </c>
      <c r="F36" s="1046">
        <v>14036975.59765625</v>
      </c>
      <c r="G36" s="1046">
        <v>2279256406.4351387</v>
      </c>
      <c r="H36" s="1046">
        <f t="shared" si="2"/>
        <v>203668384.116157</v>
      </c>
      <c r="I36" s="1046">
        <v>16972365.343013082</v>
      </c>
      <c r="J36" s="1047">
        <f>$I$36/($K$5*1000)</f>
        <v>0.70582053792967991</v>
      </c>
      <c r="K36" s="1047">
        <f>($I$36/$K$6)/$K$5</f>
        <v>4.4113783620604995E-2</v>
      </c>
    </row>
    <row r="37" spans="2:12" x14ac:dyDescent="0.25">
      <c r="B37" s="1041">
        <f t="shared" si="1"/>
        <v>28</v>
      </c>
      <c r="C37" s="1094" t="s">
        <v>524</v>
      </c>
      <c r="D37" s="1044">
        <v>8173671310</v>
      </c>
      <c r="E37" s="1046">
        <v>501654825.27499992</v>
      </c>
      <c r="F37" s="1046">
        <v>41804568.77291666</v>
      </c>
      <c r="G37" s="1046">
        <v>8173671308.9999981</v>
      </c>
      <c r="H37" s="1046">
        <f t="shared" si="2"/>
        <v>518407225.14050961</v>
      </c>
      <c r="I37" s="1046">
        <v>43200602.095042467</v>
      </c>
      <c r="J37" s="1047">
        <f>$I$37/($K$5*1000)</f>
        <v>1.7965599722469647</v>
      </c>
      <c r="K37" s="1047">
        <f>($I$37/$K$6)/$K$5</f>
        <v>0.1122849982654353</v>
      </c>
    </row>
    <row r="38" spans="2:12" x14ac:dyDescent="0.25">
      <c r="B38" s="1041">
        <f t="shared" si="1"/>
        <v>29</v>
      </c>
      <c r="C38" s="1094" t="s">
        <v>525</v>
      </c>
      <c r="D38" s="1044">
        <v>8136945794.652689</v>
      </c>
      <c r="E38" s="1046">
        <v>469788395.43263459</v>
      </c>
      <c r="F38" s="1046">
        <v>39149032.952719547</v>
      </c>
      <c r="G38" s="1046">
        <v>8136945802.1199989</v>
      </c>
      <c r="H38" s="1046">
        <f t="shared" si="2"/>
        <v>469788395.77994156</v>
      </c>
      <c r="I38" s="1046">
        <v>39149032.981661797</v>
      </c>
      <c r="J38" s="1047">
        <f>$I$38/($K$5*1000)</f>
        <v>1.6280695683892108</v>
      </c>
      <c r="K38" s="1047">
        <f>($I$38/$K$6)/$K$5</f>
        <v>0.10175434802432567</v>
      </c>
    </row>
    <row r="39" spans="2:12" x14ac:dyDescent="0.25">
      <c r="B39" s="1041">
        <f t="shared" si="1"/>
        <v>30</v>
      </c>
      <c r="C39" s="1094" t="s">
        <v>526</v>
      </c>
      <c r="D39" s="1044">
        <v>5554219736</v>
      </c>
      <c r="E39" s="1046">
        <v>370213728.22500008</v>
      </c>
      <c r="F39" s="1046">
        <v>30851144.018750008</v>
      </c>
      <c r="G39" s="1046">
        <v>5554219736.7600012</v>
      </c>
      <c r="H39" s="1046">
        <f t="shared" si="2"/>
        <v>370213728.37244105</v>
      </c>
      <c r="I39" s="1046">
        <v>30851144.031036757</v>
      </c>
      <c r="J39" s="1047">
        <f>$I$39/($K$5*1000)</f>
        <v>1.282989768111287</v>
      </c>
      <c r="K39" s="1047">
        <f>($I$39/$K$6)/$K$5</f>
        <v>8.0186860506955435E-2</v>
      </c>
    </row>
    <row r="40" spans="2:12" x14ac:dyDescent="0.25">
      <c r="B40" s="1041">
        <f t="shared" si="1"/>
        <v>31</v>
      </c>
      <c r="C40" s="1094" t="s">
        <v>527</v>
      </c>
      <c r="D40" s="1044">
        <v>28411905935</v>
      </c>
      <c r="E40" s="1046">
        <v>1600990284.1625001</v>
      </c>
      <c r="F40" s="1046">
        <v>133415857.01354168</v>
      </c>
      <c r="G40" s="1046">
        <v>28411905934.010002</v>
      </c>
      <c r="H40" s="1046">
        <f t="shared" si="2"/>
        <v>1600990284.0066733</v>
      </c>
      <c r="I40" s="1046">
        <v>133415857.00055611</v>
      </c>
      <c r="J40" s="1047">
        <f>$I$40/($K$5*1000)</f>
        <v>5.5482927720058317</v>
      </c>
      <c r="K40" s="1047">
        <f>($I$40/$K$6)/$K$5</f>
        <v>0.34676829825036443</v>
      </c>
      <c r="L40" s="1019">
        <f>H40/12</f>
        <v>133415857.00055611</v>
      </c>
    </row>
    <row r="41" spans="2:12" x14ac:dyDescent="0.25">
      <c r="B41" s="1041">
        <f t="shared" si="1"/>
        <v>32</v>
      </c>
      <c r="C41" s="1094" t="s">
        <v>528</v>
      </c>
      <c r="D41" s="1044">
        <v>8813632097</v>
      </c>
      <c r="E41" s="1046">
        <v>557196884.82499993</v>
      </c>
      <c r="F41" s="1046">
        <v>46433073.735416658</v>
      </c>
      <c r="G41" s="1046">
        <v>8813632095.9899998</v>
      </c>
      <c r="H41" s="1046">
        <f t="shared" si="2"/>
        <v>557196884.7227875</v>
      </c>
      <c r="I41" s="1046">
        <v>46433073.726898961</v>
      </c>
      <c r="J41" s="1047">
        <f>$I$41/($K$5*1000)</f>
        <v>1.9309870140840422</v>
      </c>
      <c r="K41" s="1047">
        <f>($I$41/$K$6)/$K$5</f>
        <v>0.12068668838025264</v>
      </c>
    </row>
    <row r="42" spans="2:12" x14ac:dyDescent="0.25">
      <c r="B42" s="1041">
        <f t="shared" si="1"/>
        <v>33</v>
      </c>
      <c r="C42" s="1094" t="s">
        <v>529</v>
      </c>
      <c r="D42" s="1044">
        <v>4990631887</v>
      </c>
      <c r="E42" s="1046">
        <v>359915737.76250005</v>
      </c>
      <c r="F42" s="1046">
        <v>29992978.146875005</v>
      </c>
      <c r="G42" s="1046">
        <v>4990631885.8800001</v>
      </c>
      <c r="H42" s="1046">
        <f t="shared" si="2"/>
        <v>359915737.56721592</v>
      </c>
      <c r="I42" s="1046">
        <v>29992978.130601324</v>
      </c>
      <c r="J42" s="1047">
        <f>$I$42/($K$5*1000)</f>
        <v>1.2473016889757764</v>
      </c>
      <c r="K42" s="1047">
        <f>($I$42/$K$6)/$K$5</f>
        <v>7.7956355560986026E-2</v>
      </c>
    </row>
    <row r="43" spans="2:12" x14ac:dyDescent="0.25">
      <c r="B43" s="1041">
        <f t="shared" si="1"/>
        <v>34</v>
      </c>
      <c r="C43" s="1094" t="s">
        <v>530</v>
      </c>
      <c r="D43" s="1044">
        <v>11752092639</v>
      </c>
      <c r="E43" s="1046">
        <v>611861933.47500002</v>
      </c>
      <c r="F43" s="1046">
        <v>50988494.456250004</v>
      </c>
      <c r="G43" s="1046">
        <v>11752092638.839998</v>
      </c>
      <c r="H43" s="1046">
        <f t="shared" si="2"/>
        <v>611861933.53528774</v>
      </c>
      <c r="I43" s="1046">
        <v>50988494.461273976</v>
      </c>
      <c r="J43" s="1047">
        <f>$I$43/($K$5*1000)</f>
        <v>2.1204308216059098</v>
      </c>
      <c r="K43" s="1047">
        <f>($I$43/$K$6)/$K$5</f>
        <v>0.13252692635036936</v>
      </c>
    </row>
    <row r="44" spans="2:12" x14ac:dyDescent="0.25">
      <c r="B44" s="1041">
        <f t="shared" si="1"/>
        <v>35</v>
      </c>
      <c r="C44" s="1094" t="s">
        <v>531</v>
      </c>
      <c r="D44" s="1044">
        <v>9891619567</v>
      </c>
      <c r="E44" s="1046">
        <v>899876594.18749964</v>
      </c>
      <c r="F44" s="1046">
        <v>74989716.182291642</v>
      </c>
      <c r="G44" s="1046">
        <v>9891619567.5300026</v>
      </c>
      <c r="H44" s="1046">
        <f t="shared" si="2"/>
        <v>899876594.12820303</v>
      </c>
      <c r="I44" s="1046">
        <v>74989716.177350253</v>
      </c>
      <c r="J44" s="1047">
        <f>$I$44/($K$5*1000)</f>
        <v>3.1185565913640008</v>
      </c>
      <c r="K44" s="1047">
        <f>($I$44/$K$6)/$K$5</f>
        <v>0.19490978696025005</v>
      </c>
    </row>
    <row r="45" spans="2:12" x14ac:dyDescent="0.25">
      <c r="B45" s="1041">
        <f t="shared" si="1"/>
        <v>36</v>
      </c>
      <c r="C45" s="1094" t="s">
        <v>532</v>
      </c>
      <c r="D45" s="1044">
        <v>4518985787</v>
      </c>
      <c r="E45" s="1046">
        <v>244637940.60000005</v>
      </c>
      <c r="F45" s="1046">
        <v>20386495.050000004</v>
      </c>
      <c r="G45" s="1046">
        <v>4518985787.3899994</v>
      </c>
      <c r="H45" s="1046">
        <f t="shared" si="2"/>
        <v>244637940.5848676</v>
      </c>
      <c r="I45" s="1046">
        <v>20386495.048738968</v>
      </c>
      <c r="J45" s="1047">
        <f>$I$45/($K$5*1000)</f>
        <v>0.84780209540594276</v>
      </c>
      <c r="K45" s="1047">
        <f>($I$45/$K$6)/$K$5</f>
        <v>5.2987630962871422E-2</v>
      </c>
    </row>
    <row r="46" spans="2:12" x14ac:dyDescent="0.25">
      <c r="B46" s="1041">
        <f t="shared" si="1"/>
        <v>37</v>
      </c>
      <c r="C46" s="1094" t="s">
        <v>533</v>
      </c>
      <c r="D46" s="1044">
        <v>34206697993</v>
      </c>
      <c r="E46" s="1046">
        <v>3139434562.2500439</v>
      </c>
      <c r="F46" s="1046">
        <v>261619546.85417032</v>
      </c>
      <c r="G46" s="1046">
        <v>121634364373.43024</v>
      </c>
      <c r="H46" s="1046">
        <f t="shared" si="2"/>
        <v>7874623587.8125553</v>
      </c>
      <c r="I46" s="1046">
        <v>656218632.3177129</v>
      </c>
      <c r="J46" s="1047">
        <f>$I$46/($K$5*1000)</f>
        <v>27.289807796450635</v>
      </c>
      <c r="K46" s="1047">
        <f>($I$46/$K$6)/$K$5</f>
        <v>1.7056129872781645</v>
      </c>
    </row>
    <row r="47" spans="2:12" x14ac:dyDescent="0.25">
      <c r="B47" s="1041">
        <f t="shared" si="1"/>
        <v>38</v>
      </c>
      <c r="C47" s="1094" t="s">
        <v>534</v>
      </c>
      <c r="D47" s="1044">
        <v>93804025615</v>
      </c>
      <c r="E47" s="1046">
        <v>6310838834.0541668</v>
      </c>
      <c r="F47" s="1046">
        <v>525903236.17118055</v>
      </c>
      <c r="G47" s="1046">
        <v>93804025613.289978</v>
      </c>
      <c r="H47" s="1046">
        <f t="shared" si="2"/>
        <v>6332772167.2313156</v>
      </c>
      <c r="I47" s="1046">
        <v>527731013.93594301</v>
      </c>
      <c r="J47" s="1047">
        <f>$I$47/($K$5*1000)</f>
        <v>21.946463006806582</v>
      </c>
      <c r="K47" s="1047">
        <f>($I$47/$K$6)/$K$5</f>
        <v>1.3716539379254113</v>
      </c>
    </row>
    <row r="48" spans="2:12" x14ac:dyDescent="0.25">
      <c r="B48" s="1041">
        <f t="shared" si="1"/>
        <v>39</v>
      </c>
      <c r="C48" s="1094" t="s">
        <v>535</v>
      </c>
      <c r="D48" s="1044">
        <v>69305898501</v>
      </c>
      <c r="E48" s="1046">
        <v>4714142216.8125</v>
      </c>
      <c r="F48" s="1046">
        <v>392845184.734375</v>
      </c>
      <c r="G48" s="1046">
        <v>69305898500.289993</v>
      </c>
      <c r="H48" s="1046">
        <f t="shared" si="2"/>
        <v>4714142216.7859001</v>
      </c>
      <c r="I48" s="1046">
        <v>392845184.7321583</v>
      </c>
      <c r="J48" s="1047">
        <f>$I$48/($K$5*1000)</f>
        <v>16.337039299291423</v>
      </c>
      <c r="K48" s="1047">
        <f>($I$48/$K$6)/$K$5</f>
        <v>1.0210649562057139</v>
      </c>
    </row>
    <row r="49" spans="2:11" x14ac:dyDescent="0.25">
      <c r="B49" s="1041">
        <f t="shared" si="1"/>
        <v>40</v>
      </c>
      <c r="C49" s="1094" t="s">
        <v>536</v>
      </c>
      <c r="D49" s="1044">
        <v>1222833568</v>
      </c>
      <c r="E49" s="1046">
        <v>76427098</v>
      </c>
      <c r="F49" s="1046">
        <v>6368924.833333333</v>
      </c>
      <c r="G49" s="1046">
        <v>1222833567.6900001</v>
      </c>
      <c r="H49" s="1046">
        <f t="shared" si="2"/>
        <v>76427097.980625004</v>
      </c>
      <c r="I49" s="1046">
        <v>6368924.8317187503</v>
      </c>
      <c r="J49" s="1047">
        <f>$I$49/($K$5*1000)</f>
        <v>0.26486101730116163</v>
      </c>
      <c r="K49" s="1047">
        <f>($I$49/$K$6)/$K$5</f>
        <v>1.6553813581322602E-2</v>
      </c>
    </row>
    <row r="50" spans="2:11" x14ac:dyDescent="0.25">
      <c r="B50" s="1041">
        <f t="shared" si="1"/>
        <v>41</v>
      </c>
      <c r="C50" s="1094" t="s">
        <v>537</v>
      </c>
      <c r="D50" s="1044">
        <v>2557397646</v>
      </c>
      <c r="E50" s="1046">
        <v>127869882.30000001</v>
      </c>
      <c r="F50" s="1046">
        <v>10655823.525</v>
      </c>
      <c r="G50" s="1046">
        <v>2557397645.6100001</v>
      </c>
      <c r="H50" s="1046">
        <f t="shared" si="2"/>
        <v>127869882.28050001</v>
      </c>
      <c r="I50" s="1046">
        <v>10655823.523375001</v>
      </c>
      <c r="J50" s="1047">
        <f>$I$50/($K$5*1000)</f>
        <v>0.44313794449684341</v>
      </c>
      <c r="K50" s="1047">
        <f>($I$50/$K$6)/$K$5</f>
        <v>2.7696121531052709E-2</v>
      </c>
    </row>
    <row r="51" spans="2:11" x14ac:dyDescent="0.25">
      <c r="B51" s="1041">
        <f t="shared" si="1"/>
        <v>42</v>
      </c>
      <c r="C51" s="1094" t="s">
        <v>538</v>
      </c>
      <c r="D51" s="1044">
        <v>30580769059</v>
      </c>
      <c r="E51" s="1046">
        <v>1658149317.4009175</v>
      </c>
      <c r="F51" s="1046">
        <v>138179109.7834098</v>
      </c>
      <c r="G51" s="1046">
        <v>30797884415.073391</v>
      </c>
      <c r="H51" s="1046">
        <f t="shared" si="2"/>
        <v>2888992764.2857904</v>
      </c>
      <c r="I51" s="1046">
        <v>240749397.02381587</v>
      </c>
      <c r="J51" s="1047">
        <f>$I$51/($K$5*1000)</f>
        <v>10.011914396100849</v>
      </c>
      <c r="K51" s="1047">
        <f>($I$51/$K$6)/$K$5</f>
        <v>0.62574464975630295</v>
      </c>
    </row>
    <row r="52" spans="2:11" x14ac:dyDescent="0.25">
      <c r="B52" s="1041">
        <f t="shared" si="1"/>
        <v>43</v>
      </c>
      <c r="C52" s="1094" t="s">
        <v>539</v>
      </c>
      <c r="D52" s="1044">
        <v>2460303143</v>
      </c>
      <c r="E52" s="1046">
        <v>153768946.4375</v>
      </c>
      <c r="F52" s="1046">
        <v>12814078.869791666</v>
      </c>
      <c r="G52" s="1046">
        <v>2460303143</v>
      </c>
      <c r="H52" s="1046">
        <f t="shared" si="2"/>
        <v>153768946.4375</v>
      </c>
      <c r="I52" s="1046">
        <v>12814078.869791666</v>
      </c>
      <c r="J52" s="1047">
        <f>$I$52/($K$5*1000)</f>
        <v>0.5328921371983647</v>
      </c>
      <c r="K52" s="1047">
        <f>($I$52/$K$6)/$K$5</f>
        <v>3.3305758574897794E-2</v>
      </c>
    </row>
    <row r="53" spans="2:11" x14ac:dyDescent="0.25">
      <c r="B53" s="1041">
        <f t="shared" si="1"/>
        <v>44</v>
      </c>
      <c r="C53" s="1094" t="s">
        <v>538</v>
      </c>
      <c r="D53" s="1044">
        <v>0</v>
      </c>
      <c r="E53" s="1046">
        <v>0</v>
      </c>
      <c r="F53" s="1046">
        <v>0</v>
      </c>
      <c r="G53" s="1046">
        <v>0</v>
      </c>
      <c r="H53" s="1046">
        <f t="shared" si="2"/>
        <v>0</v>
      </c>
      <c r="I53" s="1046">
        <v>0</v>
      </c>
      <c r="J53" s="1047">
        <f>$I$53/($K$5*1000)</f>
        <v>0</v>
      </c>
      <c r="K53" s="1047">
        <f>($I$53/$K$6)/$K$5</f>
        <v>0</v>
      </c>
    </row>
    <row r="54" spans="2:11" x14ac:dyDescent="0.25">
      <c r="B54" s="1041">
        <f t="shared" si="1"/>
        <v>45</v>
      </c>
      <c r="C54" s="1094" t="s">
        <v>538</v>
      </c>
      <c r="D54" s="1044">
        <v>0</v>
      </c>
      <c r="E54" s="1046">
        <v>0</v>
      </c>
      <c r="F54" s="1046">
        <v>0</v>
      </c>
      <c r="G54" s="1046">
        <v>0</v>
      </c>
      <c r="H54" s="1046">
        <f t="shared" si="2"/>
        <v>0</v>
      </c>
      <c r="I54" s="1046">
        <v>0</v>
      </c>
      <c r="J54" s="1047">
        <f>$I$54/($K$5*1000)</f>
        <v>0</v>
      </c>
      <c r="K54" s="1047">
        <f>($I$54/$K$6)/$K$5</f>
        <v>0</v>
      </c>
    </row>
    <row r="55" spans="2:11" x14ac:dyDescent="0.25">
      <c r="B55" s="1041">
        <f t="shared" si="1"/>
        <v>46</v>
      </c>
      <c r="C55" s="1094" t="s">
        <v>520</v>
      </c>
      <c r="D55" s="1044">
        <v>0</v>
      </c>
      <c r="E55" s="1046">
        <v>0</v>
      </c>
      <c r="F55" s="1046">
        <v>0</v>
      </c>
      <c r="G55" s="1046">
        <v>0</v>
      </c>
      <c r="H55" s="1046">
        <f t="shared" si="2"/>
        <v>0</v>
      </c>
      <c r="I55" s="1046">
        <v>0</v>
      </c>
      <c r="J55" s="1047">
        <f>$I$55/($K$5*1000)</f>
        <v>0</v>
      </c>
      <c r="K55" s="1047">
        <f>($I$55/$K$6)/$K$5</f>
        <v>0</v>
      </c>
    </row>
    <row r="56" spans="2:11" x14ac:dyDescent="0.25">
      <c r="B56" s="1041">
        <f t="shared" si="1"/>
        <v>47</v>
      </c>
      <c r="C56" s="1094" t="s">
        <v>540</v>
      </c>
      <c r="D56" s="1044">
        <v>814629325</v>
      </c>
      <c r="E56" s="1046">
        <v>138420459.72499999</v>
      </c>
      <c r="F56" s="1046">
        <v>11535038.310416667</v>
      </c>
      <c r="G56" s="1046">
        <v>814629325</v>
      </c>
      <c r="H56" s="1046">
        <f t="shared" si="2"/>
        <v>138420459.72499999</v>
      </c>
      <c r="I56" s="1046">
        <v>11535038.310416667</v>
      </c>
      <c r="J56" s="1047">
        <f>$I$56/($K$5*1000)</f>
        <v>0.47970137224564235</v>
      </c>
      <c r="K56" s="1047">
        <f>($I$56/$K$6)/$K$5</f>
        <v>2.9981335765352644E-2</v>
      </c>
    </row>
    <row r="57" spans="2:11" x14ac:dyDescent="0.25">
      <c r="B57" s="1041">
        <f t="shared" si="1"/>
        <v>48</v>
      </c>
      <c r="C57" s="1094" t="s">
        <v>502</v>
      </c>
      <c r="D57" s="1044">
        <v>0</v>
      </c>
      <c r="E57" s="1046">
        <v>0</v>
      </c>
      <c r="F57" s="1046">
        <v>0</v>
      </c>
      <c r="G57" s="1046">
        <v>0</v>
      </c>
      <c r="H57" s="1046">
        <f t="shared" si="2"/>
        <v>0</v>
      </c>
      <c r="I57" s="1046">
        <v>0</v>
      </c>
      <c r="J57" s="1047">
        <f>$I$57/($K$5*1000)</f>
        <v>0</v>
      </c>
      <c r="K57" s="1047">
        <f>($I$57/$K$6)/$K$5</f>
        <v>0</v>
      </c>
    </row>
    <row r="58" spans="2:11" x14ac:dyDescent="0.25">
      <c r="B58" s="1041">
        <f t="shared" si="1"/>
        <v>49</v>
      </c>
      <c r="C58" s="1094" t="s">
        <v>541</v>
      </c>
      <c r="D58" s="1044">
        <v>3324550757</v>
      </c>
      <c r="E58" s="1046">
        <v>166227537.84999993</v>
      </c>
      <c r="F58" s="1046">
        <v>13852294.820833327</v>
      </c>
      <c r="G58" s="1046">
        <v>3324550757.3499999</v>
      </c>
      <c r="H58" s="1046">
        <f t="shared" si="2"/>
        <v>166227537.86750001</v>
      </c>
      <c r="I58" s="1046">
        <v>13852294.822291667</v>
      </c>
      <c r="J58" s="1047">
        <f>$I$58/($K$5*1000)</f>
        <v>0.57606786004376009</v>
      </c>
      <c r="K58" s="1047">
        <f>($I$58/$K$6)/$K$5</f>
        <v>3.6004241252735006E-2</v>
      </c>
    </row>
    <row r="59" spans="2:11" x14ac:dyDescent="0.25">
      <c r="B59" s="1041">
        <f t="shared" si="1"/>
        <v>50</v>
      </c>
      <c r="C59" s="1094" t="s">
        <v>542</v>
      </c>
      <c r="D59" s="1044">
        <v>1457273906</v>
      </c>
      <c r="E59" s="1046">
        <v>72863695.299999997</v>
      </c>
      <c r="F59" s="1046">
        <v>6071974.6083333334</v>
      </c>
      <c r="G59" s="1046">
        <v>1457273906</v>
      </c>
      <c r="H59" s="1046">
        <f t="shared" si="2"/>
        <v>72863695.299999997</v>
      </c>
      <c r="I59" s="1046">
        <v>6071974.6083333334</v>
      </c>
      <c r="J59" s="1047">
        <f>$I$59/($K$5*1000)</f>
        <v>0.25251190966811649</v>
      </c>
      <c r="K59" s="1047">
        <f>($I$59/$K$6)/$K$5</f>
        <v>1.578199435425728E-2</v>
      </c>
    </row>
    <row r="60" spans="2:11" x14ac:dyDescent="0.25">
      <c r="B60" s="1041">
        <f t="shared" si="1"/>
        <v>51</v>
      </c>
      <c r="C60" s="1094" t="s">
        <v>502</v>
      </c>
      <c r="D60" s="1044">
        <v>0</v>
      </c>
      <c r="E60" s="1046">
        <v>0</v>
      </c>
      <c r="F60" s="1046">
        <v>0</v>
      </c>
      <c r="G60" s="1046">
        <v>0</v>
      </c>
      <c r="H60" s="1046">
        <f t="shared" si="2"/>
        <v>0</v>
      </c>
      <c r="I60" s="1046">
        <v>0</v>
      </c>
      <c r="J60" s="1047">
        <f>$I$60/($K$5*1000)</f>
        <v>0</v>
      </c>
      <c r="K60" s="1047">
        <f>($I$60/$K$6)/$K$5</f>
        <v>0</v>
      </c>
    </row>
    <row r="61" spans="2:11" x14ac:dyDescent="0.25">
      <c r="B61" s="1041">
        <f t="shared" si="1"/>
        <v>52</v>
      </c>
      <c r="C61" s="1094" t="s">
        <v>543</v>
      </c>
      <c r="D61" s="1044">
        <v>702420000</v>
      </c>
      <c r="E61" s="1046">
        <v>58515250</v>
      </c>
      <c r="F61" s="1046">
        <v>4876270.833333333</v>
      </c>
      <c r="G61" s="1046">
        <v>702420000</v>
      </c>
      <c r="H61" s="1046">
        <f t="shared" si="2"/>
        <v>92109000</v>
      </c>
      <c r="I61" s="1046">
        <v>7675750</v>
      </c>
      <c r="J61" s="1047">
        <f>$I$61/($K$5*1000)</f>
        <v>0.31920724569153913</v>
      </c>
      <c r="K61" s="1047">
        <f>($I$61/$K$6)/$K$5</f>
        <v>1.9950452855721192E-2</v>
      </c>
    </row>
    <row r="62" spans="2:11" x14ac:dyDescent="0.25">
      <c r="B62" s="1041">
        <f t="shared" si="1"/>
        <v>53</v>
      </c>
      <c r="C62" s="1094" t="s">
        <v>544</v>
      </c>
      <c r="D62" s="1044">
        <v>2093240354</v>
      </c>
      <c r="E62" s="1046">
        <v>287495712.54999989</v>
      </c>
      <c r="F62" s="1046">
        <v>23957976.045833323</v>
      </c>
      <c r="G62" s="1046">
        <v>2093240354</v>
      </c>
      <c r="H62" s="1046">
        <f t="shared" si="2"/>
        <v>287495712.54999995</v>
      </c>
      <c r="I62" s="1046">
        <v>23957976.045833331</v>
      </c>
      <c r="J62" s="1047">
        <f>$I$62/($K$5*1000)</f>
        <v>0.9963273355612583</v>
      </c>
      <c r="K62" s="1047">
        <f>($I$62/$K$6)/$K$5</f>
        <v>6.2270458472578644E-2</v>
      </c>
    </row>
    <row r="63" spans="2:11" x14ac:dyDescent="0.25">
      <c r="B63" s="1041">
        <f t="shared" si="1"/>
        <v>54</v>
      </c>
      <c r="C63" s="1094" t="s">
        <v>545</v>
      </c>
      <c r="D63" s="1044">
        <v>0</v>
      </c>
      <c r="E63" s="1046">
        <v>0</v>
      </c>
      <c r="F63" s="1046">
        <v>0</v>
      </c>
      <c r="G63" s="1046">
        <v>0</v>
      </c>
      <c r="H63" s="1046">
        <f t="shared" si="2"/>
        <v>0</v>
      </c>
      <c r="I63" s="1046">
        <v>0</v>
      </c>
      <c r="J63" s="1047">
        <f>$I$63/($K$5*1000)</f>
        <v>0</v>
      </c>
      <c r="K63" s="1047">
        <f>($I$63/$K$6)/$K$5</f>
        <v>0</v>
      </c>
    </row>
    <row r="64" spans="2:11" x14ac:dyDescent="0.25">
      <c r="B64" s="1041">
        <f t="shared" si="1"/>
        <v>55</v>
      </c>
      <c r="C64" s="1094" t="s">
        <v>546</v>
      </c>
      <c r="D64" s="1044">
        <v>68073000</v>
      </c>
      <c r="E64" s="1046">
        <v>13614600</v>
      </c>
      <c r="F64" s="1046">
        <v>1134550</v>
      </c>
      <c r="G64" s="1046">
        <v>68073000</v>
      </c>
      <c r="H64" s="1046">
        <f t="shared" si="2"/>
        <v>13614600</v>
      </c>
      <c r="I64" s="1046">
        <v>1134550</v>
      </c>
      <c r="J64" s="1047">
        <f>$I$64/($K$5*1000)</f>
        <v>4.7181914548980318E-2</v>
      </c>
      <c r="K64" s="1047">
        <f>($I$64/$K$6)/$K$5</f>
        <v>2.9488696593112699E-3</v>
      </c>
    </row>
    <row r="65" spans="2:11" x14ac:dyDescent="0.25">
      <c r="B65" s="1041">
        <f t="shared" si="1"/>
        <v>56</v>
      </c>
      <c r="C65" s="1094" t="s">
        <v>547</v>
      </c>
      <c r="D65" s="1044">
        <v>140550000</v>
      </c>
      <c r="E65" s="1046">
        <v>28110000</v>
      </c>
      <c r="F65" s="1046">
        <v>2342500</v>
      </c>
      <c r="G65" s="1046">
        <v>140550000</v>
      </c>
      <c r="H65" s="1046">
        <f t="shared" si="2"/>
        <v>28110000</v>
      </c>
      <c r="I65" s="1046">
        <v>2342500</v>
      </c>
      <c r="J65" s="1047">
        <f>$I$65/($K$5*1000)</f>
        <v>9.7416275026209864E-2</v>
      </c>
      <c r="K65" s="1047">
        <f>($I$65/$K$6)/$K$5</f>
        <v>6.0885171891381165E-3</v>
      </c>
    </row>
    <row r="66" spans="2:11" x14ac:dyDescent="0.25">
      <c r="B66" s="1041">
        <f t="shared" si="1"/>
        <v>57</v>
      </c>
      <c r="C66" s="1094" t="s">
        <v>548</v>
      </c>
      <c r="D66" s="1044">
        <v>3453064640</v>
      </c>
      <c r="E66" s="1046">
        <v>373988923.72499996</v>
      </c>
      <c r="F66" s="1046">
        <v>31165743.643749997</v>
      </c>
      <c r="G66" s="1046">
        <v>4405170868</v>
      </c>
      <c r="H66" s="1046">
        <f t="shared" si="2"/>
        <v>896034173.60000002</v>
      </c>
      <c r="I66" s="1046">
        <v>74669514.466666669</v>
      </c>
      <c r="J66" s="1047">
        <f>$I$66/($K$5*1000)</f>
        <v>3.1052405367591702</v>
      </c>
      <c r="K66" s="1047">
        <f>($I$66/$K$6)/$K$5</f>
        <v>0.19407753354744814</v>
      </c>
    </row>
    <row r="67" spans="2:11" x14ac:dyDescent="0.25">
      <c r="B67" s="1041">
        <f t="shared" si="1"/>
        <v>58</v>
      </c>
      <c r="C67" s="1094" t="s">
        <v>549</v>
      </c>
      <c r="D67" s="1044">
        <v>1542535419</v>
      </c>
      <c r="E67" s="1046">
        <v>294442763.82414317</v>
      </c>
      <c r="F67" s="1046">
        <v>24536896.985345263</v>
      </c>
      <c r="G67" s="1046">
        <v>1976060354.2647929</v>
      </c>
      <c r="H67" s="1046">
        <f t="shared" si="2"/>
        <v>298253959.59197366</v>
      </c>
      <c r="I67" s="1046">
        <v>24854496.632664472</v>
      </c>
      <c r="J67" s="1047">
        <f>$I$67/($K$5*1000)</f>
        <v>1.0336104502051864</v>
      </c>
      <c r="K67" s="1047">
        <f>($I$67/$K$6)/$K$5</f>
        <v>6.4600653137824149E-2</v>
      </c>
    </row>
    <row r="68" spans="2:11" x14ac:dyDescent="0.25">
      <c r="B68" s="1041">
        <f t="shared" si="1"/>
        <v>59</v>
      </c>
      <c r="C68" s="1094" t="s">
        <v>550</v>
      </c>
      <c r="D68" s="1044">
        <v>11270000</v>
      </c>
      <c r="E68" s="1046">
        <v>2253999.9999999995</v>
      </c>
      <c r="F68" s="1046">
        <v>187833.33333333328</v>
      </c>
      <c r="G68" s="1046">
        <v>11270000</v>
      </c>
      <c r="H68" s="1046">
        <f t="shared" si="2"/>
        <v>2254000</v>
      </c>
      <c r="I68" s="1046">
        <v>187833.33333333334</v>
      </c>
      <c r="J68" s="1047">
        <f>$I$68/($K$5*1000)</f>
        <v>7.811322800038315E-3</v>
      </c>
      <c r="K68" s="1047">
        <f>($I$68/$K$6)/$K$5</f>
        <v>4.8820767500239469E-4</v>
      </c>
    </row>
    <row r="69" spans="2:11" x14ac:dyDescent="0.25">
      <c r="B69" s="1041">
        <f t="shared" si="1"/>
        <v>60</v>
      </c>
      <c r="C69" s="1094" t="s">
        <v>551</v>
      </c>
      <c r="D69" s="1044">
        <v>26932688</v>
      </c>
      <c r="E69" s="1046">
        <v>5386537.5999999996</v>
      </c>
      <c r="F69" s="1046">
        <v>448878.1333333333</v>
      </c>
      <c r="G69" s="1046">
        <v>26932688</v>
      </c>
      <c r="H69" s="1046">
        <f t="shared" si="2"/>
        <v>5386537.5380002018</v>
      </c>
      <c r="I69" s="1046">
        <v>448878.12816668348</v>
      </c>
      <c r="J69" s="1047">
        <f>$I$69/($K$5*1000)</f>
        <v>1.8667250880143402E-2</v>
      </c>
      <c r="K69" s="1047">
        <f>($I$69/$K$6)/$K$5</f>
        <v>1.1667031800089627E-3</v>
      </c>
    </row>
    <row r="70" spans="2:11" x14ac:dyDescent="0.25">
      <c r="B70" s="1041">
        <f t="shared" si="1"/>
        <v>61</v>
      </c>
      <c r="C70" s="1094" t="s">
        <v>552</v>
      </c>
      <c r="D70" s="1044">
        <v>30000000</v>
      </c>
      <c r="E70" s="1046">
        <v>6000000</v>
      </c>
      <c r="F70" s="1046">
        <v>500000</v>
      </c>
      <c r="G70" s="1046">
        <v>30000000.340209961</v>
      </c>
      <c r="H70" s="1046">
        <f t="shared" si="2"/>
        <v>6000000.0680419924</v>
      </c>
      <c r="I70" s="1046">
        <v>500000.00567016605</v>
      </c>
      <c r="J70" s="1047">
        <f>$I$70/($K$5*1000)</f>
        <v>2.0793228629870389E-2</v>
      </c>
      <c r="K70" s="1047">
        <f>($I$70/$K$6)/$K$5</f>
        <v>1.2995767893668993E-3</v>
      </c>
    </row>
    <row r="71" spans="2:11" x14ac:dyDescent="0.25">
      <c r="B71" s="1041">
        <f t="shared" si="1"/>
        <v>62</v>
      </c>
      <c r="C71" s="1094" t="s">
        <v>553</v>
      </c>
      <c r="D71" s="1044">
        <v>6869341541</v>
      </c>
      <c r="E71" s="1046">
        <v>344483481.40046716</v>
      </c>
      <c r="F71" s="1046">
        <v>28706956.783372264</v>
      </c>
      <c r="G71" s="1046">
        <v>6950653888.9573593</v>
      </c>
      <c r="H71" s="1046">
        <f t="shared" si="2"/>
        <v>347532694.44786799</v>
      </c>
      <c r="I71" s="1046">
        <v>28961057.870655663</v>
      </c>
      <c r="J71" s="1047">
        <f>$I$71/($K$5*1000)</f>
        <v>1.2043877816767437</v>
      </c>
      <c r="K71" s="1047">
        <f>($I$71/$K$6)/$K$5</f>
        <v>7.5274236354796478E-2</v>
      </c>
    </row>
    <row r="72" spans="2:11" x14ac:dyDescent="0.25">
      <c r="B72" s="1041"/>
      <c r="C72" s="1048"/>
      <c r="D72" s="1048"/>
      <c r="E72" s="1046"/>
      <c r="F72" s="1046"/>
      <c r="G72" s="1046"/>
      <c r="H72" s="1046"/>
      <c r="I72" s="1046"/>
      <c r="J72" s="1047"/>
      <c r="K72" s="1047"/>
    </row>
    <row r="73" spans="2:11" x14ac:dyDescent="0.25">
      <c r="B73" s="1041"/>
      <c r="C73" s="1048"/>
      <c r="D73" s="1048"/>
      <c r="E73" s="1046"/>
      <c r="F73" s="1046"/>
      <c r="G73" s="1046"/>
      <c r="H73" s="1046"/>
      <c r="I73" s="1046"/>
      <c r="J73" s="1047"/>
      <c r="K73" s="1047"/>
    </row>
    <row r="74" spans="2:11" x14ac:dyDescent="0.25">
      <c r="B74" s="1041"/>
      <c r="C74" s="1048"/>
      <c r="D74" s="1048"/>
      <c r="E74" s="1046"/>
      <c r="F74" s="1046"/>
      <c r="G74" s="1046"/>
      <c r="H74" s="1046"/>
      <c r="I74" s="1046"/>
      <c r="J74" s="1047"/>
      <c r="K74" s="1047"/>
    </row>
    <row r="75" spans="2:11" ht="13.5" thickBot="1" x14ac:dyDescent="0.3">
      <c r="B75" s="1079"/>
      <c r="C75" s="1080"/>
      <c r="D75" s="1080"/>
      <c r="E75" s="1081"/>
      <c r="F75" s="1081"/>
      <c r="G75" s="1081"/>
      <c r="H75" s="1081"/>
      <c r="I75" s="1081"/>
      <c r="J75" s="1095"/>
      <c r="K75" s="1095"/>
    </row>
    <row r="76" spans="2:11" ht="19.149999999999999" customHeight="1" x14ac:dyDescent="0.25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G9" sqref="G9"/>
    </sheetView>
  </sheetViews>
  <sheetFormatPr defaultColWidth="8.85546875" defaultRowHeight="15" x14ac:dyDescent="0.25"/>
  <cols>
    <col min="1" max="1" width="8.85546875" style="353"/>
    <col min="2" max="2" width="52.85546875" style="353" customWidth="1"/>
    <col min="3" max="4" width="17.7109375" style="1002" customWidth="1"/>
    <col min="5" max="5" width="55.42578125" style="353" customWidth="1"/>
    <col min="6" max="6" width="17.5703125" style="1002" customWidth="1"/>
    <col min="7" max="16384" width="8.85546875" style="353"/>
  </cols>
  <sheetData>
    <row r="1" spans="2:6" x14ac:dyDescent="0.25">
      <c r="C1" s="1002" t="s">
        <v>419</v>
      </c>
      <c r="F1" s="1002" t="s">
        <v>419</v>
      </c>
    </row>
    <row r="2" spans="2:6" ht="19.5" thickBot="1" x14ac:dyDescent="0.3">
      <c r="B2" s="1001" t="s">
        <v>393</v>
      </c>
      <c r="C2" s="1072">
        <f>'September - 2024'!AM6</f>
        <v>27</v>
      </c>
      <c r="E2" s="1001" t="s">
        <v>394</v>
      </c>
      <c r="F2" s="1072">
        <f>'September - 2024'!AM6</f>
        <v>27</v>
      </c>
    </row>
    <row r="3" spans="2:6" x14ac:dyDescent="0.25">
      <c r="B3" s="1635" t="s">
        <v>395</v>
      </c>
      <c r="C3" s="1003" t="s">
        <v>396</v>
      </c>
      <c r="E3" s="1635" t="s">
        <v>395</v>
      </c>
      <c r="F3" s="1003" t="s">
        <v>396</v>
      </c>
    </row>
    <row r="4" spans="2:6" ht="15.75" thickBot="1" x14ac:dyDescent="0.3">
      <c r="B4" s="1636"/>
      <c r="C4" s="1004" t="s">
        <v>397</v>
      </c>
      <c r="E4" s="1636"/>
      <c r="F4" s="1004" t="s">
        <v>397</v>
      </c>
    </row>
    <row r="5" spans="2:6" ht="15.75" thickTop="1" x14ac:dyDescent="0.25">
      <c r="B5" s="1005" t="s">
        <v>398</v>
      </c>
      <c r="C5" s="1006">
        <v>1648879.5518207287</v>
      </c>
      <c r="E5" s="1007" t="s">
        <v>399</v>
      </c>
      <c r="F5" s="1008">
        <v>4911824.2689075638</v>
      </c>
    </row>
    <row r="6" spans="2:6" x14ac:dyDescent="0.25">
      <c r="B6" s="1005" t="s">
        <v>149</v>
      </c>
      <c r="C6" s="1006">
        <v>2678431.3725490198</v>
      </c>
      <c r="E6" s="1005" t="s">
        <v>400</v>
      </c>
      <c r="F6" s="1006">
        <v>1230672.2689075631</v>
      </c>
    </row>
    <row r="7" spans="2:6" x14ac:dyDescent="0.25">
      <c r="B7" s="1005" t="s">
        <v>401</v>
      </c>
      <c r="C7" s="1006">
        <v>288459.3837535014</v>
      </c>
      <c r="E7" s="1005" t="s">
        <v>402</v>
      </c>
      <c r="F7" s="1006">
        <v>1084733.893557423</v>
      </c>
    </row>
    <row r="8" spans="2:6" x14ac:dyDescent="0.25">
      <c r="B8" s="1005" t="s">
        <v>403</v>
      </c>
      <c r="C8" s="1006">
        <v>404271.70868347352</v>
      </c>
      <c r="E8" s="1005" t="s">
        <v>404</v>
      </c>
      <c r="F8" s="1006">
        <v>833815.51820728299</v>
      </c>
    </row>
    <row r="9" spans="2:6" x14ac:dyDescent="0.25">
      <c r="B9" s="1005" t="s">
        <v>405</v>
      </c>
      <c r="C9" s="1006">
        <v>150891.40056022411</v>
      </c>
      <c r="E9" s="1005" t="s">
        <v>406</v>
      </c>
      <c r="F9" s="1006">
        <v>949299.71988795535</v>
      </c>
    </row>
    <row r="10" spans="2:6" x14ac:dyDescent="0.25">
      <c r="B10" s="1005" t="s">
        <v>407</v>
      </c>
      <c r="C10" s="1006">
        <v>58543.417366946771</v>
      </c>
      <c r="E10" s="1005" t="s">
        <v>408</v>
      </c>
      <c r="F10" s="1006">
        <v>1106022.4089635855</v>
      </c>
    </row>
    <row r="11" spans="2:6" x14ac:dyDescent="0.25">
      <c r="B11" s="1005" t="s">
        <v>409</v>
      </c>
      <c r="C11" s="1006">
        <v>87425.770308123247</v>
      </c>
      <c r="E11" s="1005" t="s">
        <v>410</v>
      </c>
      <c r="F11" s="1006">
        <v>5634698.8795518195</v>
      </c>
    </row>
    <row r="12" spans="2:6" ht="15.75" thickBot="1" x14ac:dyDescent="0.3">
      <c r="B12" s="1005" t="s">
        <v>411</v>
      </c>
      <c r="C12" s="1006">
        <v>254341.73669467788</v>
      </c>
      <c r="E12" s="1009"/>
      <c r="F12" s="1010"/>
    </row>
    <row r="13" spans="2:6" x14ac:dyDescent="0.25">
      <c r="B13" s="1005" t="s">
        <v>412</v>
      </c>
      <c r="C13" s="1006">
        <v>114733.89355742298</v>
      </c>
      <c r="E13" s="1011" t="s">
        <v>1</v>
      </c>
      <c r="F13" s="1012">
        <f>SUM(F5:F12)</f>
        <v>15751066.957983192</v>
      </c>
    </row>
    <row r="14" spans="2:6" x14ac:dyDescent="0.25">
      <c r="B14" s="1005" t="s">
        <v>413</v>
      </c>
      <c r="C14" s="1006">
        <v>203159.6638655462</v>
      </c>
      <c r="E14" s="1013" t="s">
        <v>414</v>
      </c>
      <c r="F14" s="1014">
        <f>F13*F2</f>
        <v>425278807.86554617</v>
      </c>
    </row>
    <row r="15" spans="2:6" ht="15.75" thickBot="1" x14ac:dyDescent="0.3">
      <c r="B15" s="1005" t="s">
        <v>415</v>
      </c>
      <c r="C15" s="1006">
        <v>580672.26890756306</v>
      </c>
      <c r="E15" s="1015" t="s">
        <v>416</v>
      </c>
      <c r="F15" s="1016">
        <f>F14*12</f>
        <v>5103345694.3865538</v>
      </c>
    </row>
    <row r="16" spans="2:6" ht="15.75" thickBot="1" x14ac:dyDescent="0.3">
      <c r="B16" s="1009" t="s">
        <v>417</v>
      </c>
      <c r="C16" s="1010">
        <v>4089635.8543417375</v>
      </c>
    </row>
    <row r="17" spans="2:6" x14ac:dyDescent="0.25">
      <c r="B17" s="1011" t="s">
        <v>418</v>
      </c>
      <c r="C17" s="1012">
        <f>SUM(C5:C16)</f>
        <v>10559446.022408964</v>
      </c>
      <c r="E17" s="353" t="s">
        <v>421</v>
      </c>
    </row>
    <row r="18" spans="2:6" x14ac:dyDescent="0.25">
      <c r="B18" s="1013" t="s">
        <v>414</v>
      </c>
      <c r="C18" s="1014">
        <f>C17*C2</f>
        <v>285105042.60504204</v>
      </c>
      <c r="E18" s="353" t="s">
        <v>420</v>
      </c>
      <c r="F18" s="1017">
        <f>F14+C18</f>
        <v>710383850.47058821</v>
      </c>
    </row>
    <row r="19" spans="2:6" ht="15.75" thickBot="1" x14ac:dyDescent="0.3">
      <c r="B19" s="1015" t="s">
        <v>416</v>
      </c>
      <c r="C19" s="1016">
        <f>C18*12</f>
        <v>3421260511.2605047</v>
      </c>
      <c r="E19" s="353" t="s">
        <v>191</v>
      </c>
      <c r="F19" s="1017">
        <f>F18*12</f>
        <v>8524606205.6470585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G9" sqref="G9"/>
    </sheetView>
  </sheetViews>
  <sheetFormatPr defaultColWidth="8.85546875" defaultRowHeight="12.75" x14ac:dyDescent="0.25"/>
  <cols>
    <col min="1" max="1" width="8.85546875" style="1019"/>
    <col min="2" max="2" width="6.28515625" style="1018" customWidth="1"/>
    <col min="3" max="3" width="48.28515625" style="1019" customWidth="1"/>
    <col min="4" max="4" width="4.5703125" style="1018" customWidth="1"/>
    <col min="5" max="5" width="23.85546875" style="1019" customWidth="1"/>
    <col min="6" max="6" width="9.5703125" style="1018" customWidth="1"/>
    <col min="7" max="7" width="9.28515625" style="1019" customWidth="1"/>
    <col min="8" max="8" width="9.5703125" style="1018" customWidth="1"/>
    <col min="9" max="9" width="16.7109375" style="1019" customWidth="1"/>
    <col min="10" max="10" width="16.28515625" style="1018" customWidth="1"/>
    <col min="11" max="11" width="13.85546875" style="1018" customWidth="1"/>
    <col min="12" max="12" width="18.7109375" style="1018" customWidth="1"/>
    <col min="13" max="16384" width="8.85546875" style="1019"/>
  </cols>
  <sheetData>
    <row r="2" spans="2:12" ht="19.5" thickBot="1" x14ac:dyDescent="0.3">
      <c r="B2" s="1020" t="s">
        <v>422</v>
      </c>
    </row>
    <row r="3" spans="2:12" x14ac:dyDescent="0.25">
      <c r="B3" s="1625" t="s">
        <v>370</v>
      </c>
      <c r="C3" s="1626"/>
      <c r="D3" s="919"/>
      <c r="E3" s="1021"/>
      <c r="F3" s="1022"/>
      <c r="G3" s="1021"/>
      <c r="H3" s="1022"/>
      <c r="I3" s="1021"/>
      <c r="J3" s="1023" t="s">
        <v>390</v>
      </c>
      <c r="K3" s="1024">
        <f>'HPP REF '!N3</f>
        <v>890.60333333333335</v>
      </c>
    </row>
    <row r="4" spans="2:12" x14ac:dyDescent="0.25">
      <c r="B4" s="1627" t="s">
        <v>423</v>
      </c>
      <c r="C4" s="1628"/>
      <c r="D4" s="923"/>
      <c r="J4" s="1025" t="s">
        <v>83</v>
      </c>
      <c r="K4" s="1026">
        <f>'HPP REF '!N4</f>
        <v>27</v>
      </c>
    </row>
    <row r="5" spans="2:12" x14ac:dyDescent="0.25">
      <c r="B5" s="1627" t="s">
        <v>424</v>
      </c>
      <c r="C5" s="1628"/>
      <c r="D5" s="923"/>
      <c r="J5" s="1025" t="s">
        <v>425</v>
      </c>
      <c r="K5" s="1026">
        <f>K4*K3</f>
        <v>24046.29</v>
      </c>
    </row>
    <row r="6" spans="2:12" ht="13.5" thickBot="1" x14ac:dyDescent="0.3">
      <c r="B6" s="997" t="s">
        <v>426</v>
      </c>
      <c r="C6" s="998"/>
      <c r="D6" s="999"/>
      <c r="E6" s="1027"/>
      <c r="F6" s="1028"/>
      <c r="G6" s="1027"/>
      <c r="H6" s="1028"/>
      <c r="I6" s="1027"/>
      <c r="J6" s="1029"/>
      <c r="K6" s="1030">
        <f>[21]Formula!I6</f>
        <v>16000</v>
      </c>
    </row>
    <row r="7" spans="2:12" ht="13.5" thickBot="1" x14ac:dyDescent="0.3">
      <c r="B7" s="1031" t="s">
        <v>100</v>
      </c>
      <c r="C7" s="1638" t="s">
        <v>290</v>
      </c>
      <c r="D7" s="1638"/>
      <c r="E7" s="1638"/>
      <c r="F7" s="1638"/>
      <c r="G7" s="1639" t="s">
        <v>224</v>
      </c>
      <c r="H7" s="1640"/>
      <c r="I7" s="1031" t="s">
        <v>427</v>
      </c>
      <c r="J7" s="1031" t="s">
        <v>428</v>
      </c>
      <c r="K7" s="1031" t="s">
        <v>231</v>
      </c>
    </row>
    <row r="8" spans="2:12" ht="13.5" thickTop="1" x14ac:dyDescent="0.25">
      <c r="B8" s="1032">
        <v>1</v>
      </c>
      <c r="C8" s="1033" t="s">
        <v>382</v>
      </c>
      <c r="D8" s="1034"/>
      <c r="E8" s="1035" t="s">
        <v>429</v>
      </c>
      <c r="F8" s="1036">
        <f>(100%-0.8%-1.1*5%)*80%*K5</f>
        <v>18025.098984</v>
      </c>
      <c r="G8" s="1037" t="s">
        <v>291</v>
      </c>
      <c r="H8" s="1037">
        <v>90</v>
      </c>
      <c r="I8" s="1038">
        <f>H8*F8*1000</f>
        <v>1622258908.5600002</v>
      </c>
      <c r="J8" s="1039">
        <f>I8/($K$5*1000)</f>
        <v>67.464000000000013</v>
      </c>
      <c r="K8" s="1039">
        <f t="shared" ref="K8:K21" si="0">(I8/$K$6)/$K$5</f>
        <v>4.2164999999999999</v>
      </c>
      <c r="L8" s="1040"/>
    </row>
    <row r="9" spans="2:12" x14ac:dyDescent="0.25">
      <c r="B9" s="1041"/>
      <c r="C9" s="1042"/>
      <c r="D9" s="417"/>
      <c r="E9" s="1043" t="s">
        <v>430</v>
      </c>
      <c r="F9" s="1044">
        <f>(100%-0.8%-1.1*5%)*20%*K5</f>
        <v>4506.2747460000001</v>
      </c>
      <c r="G9" s="1045" t="s">
        <v>291</v>
      </c>
      <c r="H9" s="1045">
        <v>150</v>
      </c>
      <c r="I9" s="1046">
        <f t="shared" ref="I9:I10" si="1">H9*F9*1000</f>
        <v>675941211.89999998</v>
      </c>
      <c r="J9" s="1047">
        <f t="shared" ref="J9:J21" si="2">I9/($K$5*1000)</f>
        <v>28.11</v>
      </c>
      <c r="K9" s="1047">
        <f t="shared" si="0"/>
        <v>1.756875</v>
      </c>
      <c r="L9" s="1040"/>
    </row>
    <row r="10" spans="2:12" x14ac:dyDescent="0.25">
      <c r="B10" s="1048"/>
      <c r="C10" s="1049"/>
      <c r="D10" s="1050"/>
      <c r="E10" s="1051" t="s">
        <v>431</v>
      </c>
      <c r="F10" s="1052">
        <f>1.1*5%*K5</f>
        <v>1322.5459500000002</v>
      </c>
      <c r="G10" s="1045" t="s">
        <v>291</v>
      </c>
      <c r="H10" s="1041">
        <v>150</v>
      </c>
      <c r="I10" s="1046">
        <f t="shared" si="1"/>
        <v>198381892.50000003</v>
      </c>
      <c r="J10" s="1047">
        <f t="shared" si="2"/>
        <v>8.2500000000000018</v>
      </c>
      <c r="K10" s="1047">
        <f t="shared" si="0"/>
        <v>0.515625</v>
      </c>
      <c r="L10" s="1040"/>
    </row>
    <row r="11" spans="2:12" x14ac:dyDescent="0.25">
      <c r="B11" s="1041">
        <v>2</v>
      </c>
      <c r="C11" s="1053" t="s">
        <v>383</v>
      </c>
      <c r="D11" s="1054"/>
      <c r="E11" s="1051" t="s">
        <v>432</v>
      </c>
      <c r="F11" s="1052">
        <v>1</v>
      </c>
      <c r="G11" s="1052" t="s">
        <v>291</v>
      </c>
      <c r="H11" s="1041">
        <v>77</v>
      </c>
      <c r="I11" s="1046">
        <f>H11*8000*F11*1000</f>
        <v>616000000</v>
      </c>
      <c r="J11" s="1047">
        <f t="shared" si="2"/>
        <v>25.617257381492113</v>
      </c>
      <c r="K11" s="1047">
        <f t="shared" si="0"/>
        <v>1.6010785863432571</v>
      </c>
      <c r="L11" s="1040"/>
    </row>
    <row r="12" spans="2:12" x14ac:dyDescent="0.25">
      <c r="B12" s="1041"/>
      <c r="C12" s="1049"/>
      <c r="D12" s="1050"/>
      <c r="E12" s="1051" t="s">
        <v>433</v>
      </c>
      <c r="F12" s="1041">
        <v>2</v>
      </c>
      <c r="G12" s="1052" t="s">
        <v>291</v>
      </c>
      <c r="H12" s="1041">
        <v>79</v>
      </c>
      <c r="I12" s="1046">
        <f>H12*5000*F12*1000</f>
        <v>790000000</v>
      </c>
      <c r="J12" s="1047">
        <f t="shared" si="2"/>
        <v>32.853300862627876</v>
      </c>
      <c r="K12" s="1047">
        <f t="shared" si="0"/>
        <v>2.0533313039142418</v>
      </c>
      <c r="L12" s="1040"/>
    </row>
    <row r="13" spans="2:12" x14ac:dyDescent="0.25">
      <c r="B13" s="1041"/>
      <c r="C13" s="1049"/>
      <c r="D13" s="1050"/>
      <c r="E13" s="1051" t="s">
        <v>434</v>
      </c>
      <c r="F13" s="1041">
        <v>1</v>
      </c>
      <c r="G13" s="1052" t="s">
        <v>291</v>
      </c>
      <c r="H13" s="1041">
        <v>77</v>
      </c>
      <c r="I13" s="1046">
        <f>H13*3000*F13*1000</f>
        <v>231000000</v>
      </c>
      <c r="J13" s="1047">
        <f t="shared" si="2"/>
        <v>9.6064715180595428</v>
      </c>
      <c r="K13" s="1047">
        <f t="shared" si="0"/>
        <v>0.60040446987872143</v>
      </c>
      <c r="L13" s="1040"/>
    </row>
    <row r="14" spans="2:12" x14ac:dyDescent="0.25">
      <c r="B14" s="1041"/>
      <c r="C14" s="1049"/>
      <c r="D14" s="1050"/>
      <c r="E14" s="1051" t="s">
        <v>435</v>
      </c>
      <c r="F14" s="1041">
        <v>1</v>
      </c>
      <c r="G14" s="1052" t="s">
        <v>291</v>
      </c>
      <c r="H14" s="1041">
        <v>83</v>
      </c>
      <c r="I14" s="1046">
        <f>H14*3000*F14*1000</f>
        <v>249000000</v>
      </c>
      <c r="J14" s="1047">
        <f t="shared" si="2"/>
        <v>10.355027740246001</v>
      </c>
      <c r="K14" s="1047">
        <f t="shared" si="0"/>
        <v>0.64718923376537496</v>
      </c>
      <c r="L14" s="1040"/>
    </row>
    <row r="15" spans="2:12" x14ac:dyDescent="0.25">
      <c r="B15" s="1041">
        <v>3</v>
      </c>
      <c r="C15" s="1049" t="s">
        <v>436</v>
      </c>
      <c r="D15" s="1050">
        <f>[21]Formula!F14</f>
        <v>1</v>
      </c>
      <c r="E15" s="1051" t="s">
        <v>437</v>
      </c>
      <c r="F15" s="1046">
        <f>F8-(8000*D15)</f>
        <v>10025.098984</v>
      </c>
      <c r="G15" s="1052" t="s">
        <v>291</v>
      </c>
      <c r="H15" s="1055">
        <v>43</v>
      </c>
      <c r="I15" s="1046">
        <f>H15*F15*1000</f>
        <v>431079256.31199998</v>
      </c>
      <c r="J15" s="1047">
        <f>I15/($K$5*1000)</f>
        <v>17.927058864881026</v>
      </c>
      <c r="K15" s="1047">
        <f>(I15/$K$6)/$K$5</f>
        <v>1.1204411790550641</v>
      </c>
      <c r="L15" s="1040"/>
    </row>
    <row r="16" spans="2:12" x14ac:dyDescent="0.25">
      <c r="B16" s="1041"/>
      <c r="C16" s="1049"/>
      <c r="D16" s="1050">
        <v>0</v>
      </c>
      <c r="E16" s="1051" t="s">
        <v>438</v>
      </c>
      <c r="F16" s="1046">
        <f>F9-(10000*D16)</f>
        <v>4506.2747460000001</v>
      </c>
      <c r="G16" s="1052" t="s">
        <v>291</v>
      </c>
      <c r="H16" s="1055">
        <v>43</v>
      </c>
      <c r="I16" s="1046">
        <f t="shared" ref="I16:I17" si="3">H16*F16*1000</f>
        <v>193769814.07800001</v>
      </c>
      <c r="J16" s="1047">
        <f t="shared" ref="J16:J17" si="4">I16/($K$5*1000)</f>
        <v>8.0582000000000011</v>
      </c>
      <c r="K16" s="1047">
        <f t="shared" ref="K16:K17" si="5">(I16/$K$6)/$K$5</f>
        <v>0.50363749999999996</v>
      </c>
      <c r="L16" s="1040"/>
    </row>
    <row r="17" spans="2:12" x14ac:dyDescent="0.25">
      <c r="B17" s="1041"/>
      <c r="C17" s="1049"/>
      <c r="D17" s="1050">
        <v>0</v>
      </c>
      <c r="E17" s="1051" t="s">
        <v>439</v>
      </c>
      <c r="F17" s="1046">
        <f>F10-(3000*D17)</f>
        <v>1322.5459500000002</v>
      </c>
      <c r="G17" s="1052" t="s">
        <v>291</v>
      </c>
      <c r="H17" s="1055">
        <v>43</v>
      </c>
      <c r="I17" s="1046">
        <f t="shared" si="3"/>
        <v>56869475.850000009</v>
      </c>
      <c r="J17" s="1047">
        <f t="shared" si="4"/>
        <v>2.3650000000000002</v>
      </c>
      <c r="K17" s="1047">
        <f t="shared" si="5"/>
        <v>0.14781250000000001</v>
      </c>
      <c r="L17" s="1040"/>
    </row>
    <row r="18" spans="2:12" x14ac:dyDescent="0.25">
      <c r="B18" s="1041">
        <v>3</v>
      </c>
      <c r="C18" s="1053" t="s">
        <v>440</v>
      </c>
      <c r="D18" s="1054"/>
      <c r="E18" s="1051" t="s">
        <v>441</v>
      </c>
      <c r="F18" s="1052">
        <f>SUM(F8:F10)</f>
        <v>23853.919679999999</v>
      </c>
      <c r="G18" s="1052" t="s">
        <v>291</v>
      </c>
      <c r="H18" s="1041">
        <v>22</v>
      </c>
      <c r="I18" s="1046">
        <f>H18*F18*1000</f>
        <v>524786232.95999992</v>
      </c>
      <c r="J18" s="1047">
        <f t="shared" si="2"/>
        <v>21.823999999999998</v>
      </c>
      <c r="K18" s="1047">
        <f t="shared" si="0"/>
        <v>1.3639999999999999</v>
      </c>
      <c r="L18" s="1040"/>
    </row>
    <row r="19" spans="2:12" x14ac:dyDescent="0.25">
      <c r="B19" s="1041">
        <f t="shared" ref="B19:B24" si="6">B18+1</f>
        <v>4</v>
      </c>
      <c r="C19" s="1053" t="s">
        <v>442</v>
      </c>
      <c r="D19" s="1054"/>
      <c r="E19" s="1051" t="s">
        <v>441</v>
      </c>
      <c r="F19" s="1046">
        <f>F18</f>
        <v>23853.919679999999</v>
      </c>
      <c r="G19" s="1052" t="s">
        <v>291</v>
      </c>
      <c r="H19" s="1041">
        <v>26</v>
      </c>
      <c r="I19" s="1046">
        <f>H19*F18*1000</f>
        <v>620201911.68000007</v>
      </c>
      <c r="J19" s="1047">
        <f t="shared" si="2"/>
        <v>25.792000000000002</v>
      </c>
      <c r="K19" s="1047">
        <f t="shared" si="0"/>
        <v>1.6120000000000001</v>
      </c>
    </row>
    <row r="20" spans="2:12" x14ac:dyDescent="0.25">
      <c r="B20" s="1041">
        <f t="shared" si="6"/>
        <v>5</v>
      </c>
      <c r="C20" s="1053" t="s">
        <v>443</v>
      </c>
      <c r="D20" s="1054"/>
      <c r="E20" s="1051" t="s">
        <v>441</v>
      </c>
      <c r="F20" s="1052">
        <f>F18</f>
        <v>23853.919679999999</v>
      </c>
      <c r="G20" s="1052" t="s">
        <v>291</v>
      </c>
      <c r="H20" s="1041">
        <v>3</v>
      </c>
      <c r="I20" s="1046">
        <f t="shared" ref="I20:I21" si="7">H20*F20*1000</f>
        <v>71561759.040000007</v>
      </c>
      <c r="J20" s="1047">
        <f t="shared" si="2"/>
        <v>2.9760000000000004</v>
      </c>
      <c r="K20" s="1047">
        <f t="shared" si="0"/>
        <v>0.186</v>
      </c>
    </row>
    <row r="21" spans="2:12" x14ac:dyDescent="0.25">
      <c r="B21" s="1041">
        <f t="shared" si="6"/>
        <v>6</v>
      </c>
      <c r="C21" s="1053" t="s">
        <v>444</v>
      </c>
      <c r="D21" s="1054"/>
      <c r="E21" s="1051" t="s">
        <v>441</v>
      </c>
      <c r="F21" s="1052">
        <f>F20</f>
        <v>23853.919679999999</v>
      </c>
      <c r="G21" s="1052" t="s">
        <v>291</v>
      </c>
      <c r="H21" s="1041">
        <v>3</v>
      </c>
      <c r="I21" s="1046">
        <f t="shared" si="7"/>
        <v>71561759.040000007</v>
      </c>
      <c r="J21" s="1047">
        <f t="shared" si="2"/>
        <v>2.9760000000000004</v>
      </c>
      <c r="K21" s="1047">
        <f t="shared" si="0"/>
        <v>0.186</v>
      </c>
    </row>
    <row r="22" spans="2:12" x14ac:dyDescent="0.25">
      <c r="B22" s="1041">
        <f t="shared" si="6"/>
        <v>7</v>
      </c>
      <c r="C22" s="1053" t="s">
        <v>445</v>
      </c>
      <c r="D22" s="1054"/>
      <c r="E22" s="1048"/>
      <c r="F22" s="1048"/>
      <c r="G22" s="1048"/>
      <c r="H22" s="1048"/>
      <c r="I22" s="1046"/>
      <c r="J22" s="1047"/>
      <c r="K22" s="1047"/>
    </row>
    <row r="23" spans="2:12" x14ac:dyDescent="0.25">
      <c r="B23" s="1041">
        <f t="shared" si="6"/>
        <v>8</v>
      </c>
      <c r="C23" s="1053" t="s">
        <v>446</v>
      </c>
      <c r="D23" s="1054"/>
      <c r="E23" s="1048"/>
      <c r="F23" s="1048"/>
      <c r="G23" s="1048"/>
      <c r="H23" s="1041"/>
      <c r="I23" s="1046"/>
      <c r="J23" s="1047"/>
      <c r="K23" s="1047"/>
    </row>
    <row r="24" spans="2:12" ht="13.5" thickBot="1" x14ac:dyDescent="0.3">
      <c r="B24" s="1056">
        <f t="shared" si="6"/>
        <v>9</v>
      </c>
      <c r="C24" s="1057" t="s">
        <v>447</v>
      </c>
      <c r="D24" s="1058"/>
      <c r="E24" s="1059"/>
      <c r="F24" s="1060"/>
      <c r="G24" s="1061"/>
      <c r="H24" s="1056"/>
      <c r="I24" s="1062"/>
      <c r="J24" s="1063"/>
      <c r="K24" s="1056"/>
    </row>
    <row r="25" spans="2:12" ht="14.25" thickTop="1" thickBot="1" x14ac:dyDescent="0.3">
      <c r="B25" s="1637" t="s">
        <v>448</v>
      </c>
      <c r="C25" s="1637"/>
      <c r="D25" s="1637"/>
      <c r="E25" s="1637"/>
      <c r="F25" s="1637"/>
      <c r="G25" s="1637"/>
      <c r="H25" s="1637"/>
      <c r="I25" s="1064">
        <f>SUM(I8:I24)</f>
        <v>6352412221.920001</v>
      </c>
      <c r="J25" s="1065">
        <f>SUM(J8:J24)</f>
        <v>264.17431636730657</v>
      </c>
      <c r="K25" s="1065">
        <f>SUM(K8:K24)</f>
        <v>16.510894772956661</v>
      </c>
      <c r="L25" s="1066"/>
    </row>
    <row r="26" spans="2:12" x14ac:dyDescent="0.25">
      <c r="C26" s="960"/>
      <c r="D26" s="1067"/>
      <c r="E26" s="960"/>
      <c r="F26" s="1067"/>
      <c r="G26" s="1068"/>
      <c r="J26" s="1067"/>
    </row>
    <row r="27" spans="2:12" x14ac:dyDescent="0.25">
      <c r="C27" s="960"/>
      <c r="D27" s="1067"/>
      <c r="E27" s="960"/>
      <c r="F27" s="1067"/>
      <c r="G27" s="1068"/>
      <c r="J27" s="1067"/>
    </row>
    <row r="28" spans="2:12" x14ac:dyDescent="0.25">
      <c r="C28" s="960"/>
      <c r="D28" s="1067"/>
      <c r="E28" s="960"/>
      <c r="F28" s="1069"/>
      <c r="G28" s="1070"/>
      <c r="J28" s="1067"/>
    </row>
    <row r="29" spans="2:12" x14ac:dyDescent="0.25">
      <c r="C29" s="1071"/>
      <c r="D29" s="1069"/>
      <c r="E29" s="1071"/>
      <c r="F29" s="1067"/>
      <c r="G29" s="1068"/>
      <c r="J29" s="1067"/>
    </row>
    <row r="30" spans="2:12" x14ac:dyDescent="0.25">
      <c r="E30" s="960"/>
      <c r="F30" s="1067"/>
      <c r="G30" s="1068"/>
      <c r="J30" s="1067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topLeftCell="A16" workbookViewId="0">
      <selection activeCell="G9" sqref="G9"/>
    </sheetView>
  </sheetViews>
  <sheetFormatPr defaultColWidth="8.85546875" defaultRowHeight="12.75" x14ac:dyDescent="0.25"/>
  <cols>
    <col min="1" max="1" width="8.85546875" style="1019"/>
    <col min="2" max="2" width="5.5703125" style="1018" customWidth="1"/>
    <col min="3" max="3" width="64.28515625" style="1019" customWidth="1"/>
    <col min="4" max="4" width="15.7109375" style="1019" customWidth="1"/>
    <col min="5" max="5" width="15" style="1019" customWidth="1"/>
    <col min="6" max="6" width="15.140625" style="1019" customWidth="1"/>
    <col min="7" max="7" width="14.7109375" style="1019" customWidth="1"/>
    <col min="8" max="8" width="11.42578125" style="1019" customWidth="1"/>
    <col min="9" max="9" width="12.42578125" style="1019" customWidth="1"/>
    <col min="10" max="16384" width="8.85546875" style="1019"/>
  </cols>
  <sheetData>
    <row r="1" spans="2:9" ht="4.9000000000000004" customHeight="1" x14ac:dyDescent="0.25"/>
    <row r="2" spans="2:9" ht="26.45" customHeight="1" thickBot="1" x14ac:dyDescent="0.3">
      <c r="B2" s="1020" t="s">
        <v>449</v>
      </c>
    </row>
    <row r="3" spans="2:9" ht="14.45" customHeight="1" x14ac:dyDescent="0.25">
      <c r="B3" s="1625" t="s">
        <v>370</v>
      </c>
      <c r="C3" s="1626"/>
      <c r="D3" s="1021"/>
      <c r="E3" s="1021"/>
      <c r="F3" s="1021"/>
      <c r="G3" s="1021"/>
      <c r="H3" s="1023" t="s">
        <v>390</v>
      </c>
      <c r="I3" s="1024">
        <f>'HPP REF '!N3</f>
        <v>890.60333333333335</v>
      </c>
    </row>
    <row r="4" spans="2:9" ht="14.45" customHeight="1" x14ac:dyDescent="0.25">
      <c r="B4" s="1627" t="s">
        <v>423</v>
      </c>
      <c r="C4" s="1628"/>
      <c r="H4" s="1025" t="s">
        <v>83</v>
      </c>
      <c r="I4" s="1026">
        <f>'SUMMARY HPP '!I4</f>
        <v>27</v>
      </c>
    </row>
    <row r="5" spans="2:9" ht="14.45" customHeight="1" x14ac:dyDescent="0.25">
      <c r="B5" s="1627" t="s">
        <v>424</v>
      </c>
      <c r="C5" s="1628"/>
      <c r="H5" s="1025" t="s">
        <v>425</v>
      </c>
      <c r="I5" s="1026">
        <f>I4*I3</f>
        <v>24046.29</v>
      </c>
    </row>
    <row r="6" spans="2:9" ht="14.45" customHeight="1" thickBot="1" x14ac:dyDescent="0.3">
      <c r="B6" s="997" t="s">
        <v>426</v>
      </c>
      <c r="C6" s="998"/>
      <c r="D6" s="1027"/>
      <c r="E6" s="1027"/>
      <c r="F6" s="1027"/>
      <c r="G6" s="1027"/>
      <c r="H6" s="1029"/>
      <c r="I6" s="1030">
        <f>[21]Formula!I6</f>
        <v>16000</v>
      </c>
    </row>
    <row r="7" spans="2:9" ht="15.6" customHeight="1" x14ac:dyDescent="0.25">
      <c r="B7" s="1631" t="s">
        <v>100</v>
      </c>
      <c r="C7" s="1631" t="s">
        <v>290</v>
      </c>
      <c r="D7" s="1641" t="s">
        <v>450</v>
      </c>
      <c r="E7" s="1641"/>
      <c r="F7" s="1641" t="s">
        <v>451</v>
      </c>
      <c r="G7" s="1641"/>
      <c r="H7" s="1641"/>
      <c r="I7" s="1641"/>
    </row>
    <row r="8" spans="2:9" ht="15" customHeight="1" thickBot="1" x14ac:dyDescent="0.3">
      <c r="B8" s="1632"/>
      <c r="C8" s="1632"/>
      <c r="D8" s="1074" t="s">
        <v>452</v>
      </c>
      <c r="E8" s="1074" t="s">
        <v>453</v>
      </c>
      <c r="F8" s="1074" t="s">
        <v>452</v>
      </c>
      <c r="G8" s="1074" t="s">
        <v>453</v>
      </c>
      <c r="H8" s="1075" t="s">
        <v>428</v>
      </c>
      <c r="I8" s="1075" t="s">
        <v>231</v>
      </c>
    </row>
    <row r="9" spans="2:9" ht="13.5" thickTop="1" x14ac:dyDescent="0.25">
      <c r="B9" s="1076">
        <v>1</v>
      </c>
      <c r="C9" s="1077" t="s">
        <v>454</v>
      </c>
      <c r="D9" s="1038">
        <v>305458258</v>
      </c>
      <c r="E9" s="1038">
        <f>IFERROR(D9/12,0)</f>
        <v>25454854.833333332</v>
      </c>
      <c r="F9" s="1078">
        <f>G9*12</f>
        <v>366549909.59999996</v>
      </c>
      <c r="G9" s="1078">
        <v>30545825.799999997</v>
      </c>
      <c r="H9" s="1039">
        <f>G9/($I$5*1000)</f>
        <v>1.2702926646896464</v>
      </c>
      <c r="I9" s="1039">
        <f>(G9/$I$6)/$I$5</f>
        <v>7.9393291543102901E-2</v>
      </c>
    </row>
    <row r="10" spans="2:9" x14ac:dyDescent="0.25">
      <c r="B10" s="1041">
        <f>B9+1</f>
        <v>2</v>
      </c>
      <c r="C10" s="1048" t="s">
        <v>455</v>
      </c>
      <c r="D10" s="1046">
        <v>2628729528.8000002</v>
      </c>
      <c r="E10" s="1046">
        <f t="shared" ref="E10:E50" si="0">IFERROR(D10/12,0)</f>
        <v>219060794.06666669</v>
      </c>
      <c r="F10" s="1078">
        <f>G10*12</f>
        <v>3548784863.8800001</v>
      </c>
      <c r="G10" s="1078">
        <v>295732071.99000001</v>
      </c>
      <c r="H10" s="1039">
        <f t="shared" ref="H10:H50" si="1">G10/($I$5*1000)</f>
        <v>12.298449032678223</v>
      </c>
      <c r="I10" s="1039">
        <f t="shared" ref="I10:I50" si="2">(G10/$I$6)/$I$5</f>
        <v>0.76865306454238891</v>
      </c>
    </row>
    <row r="11" spans="2:9" x14ac:dyDescent="0.25">
      <c r="B11" s="1041">
        <f t="shared" ref="B11:B50" si="3">B10+1</f>
        <v>3</v>
      </c>
      <c r="C11" s="1048" t="s">
        <v>456</v>
      </c>
      <c r="D11" s="1046">
        <v>720175678</v>
      </c>
      <c r="E11" s="1046">
        <f t="shared" si="0"/>
        <v>60014639.833333336</v>
      </c>
      <c r="F11" s="1078">
        <f t="shared" ref="F11:F49" si="4">G11*12</f>
        <v>756184461.9000001</v>
      </c>
      <c r="G11" s="1078">
        <v>63015371.825000003</v>
      </c>
      <c r="H11" s="1039">
        <f t="shared" si="1"/>
        <v>2.62058603738872</v>
      </c>
      <c r="I11" s="1039">
        <f t="shared" si="2"/>
        <v>0.163786627336795</v>
      </c>
    </row>
    <row r="12" spans="2:9" x14ac:dyDescent="0.25">
      <c r="B12" s="1041">
        <f t="shared" si="3"/>
        <v>4</v>
      </c>
      <c r="C12" s="1048" t="s">
        <v>457</v>
      </c>
      <c r="D12" s="1046">
        <v>2428347903</v>
      </c>
      <c r="E12" s="1046">
        <f t="shared" si="0"/>
        <v>202362325.25</v>
      </c>
      <c r="F12" s="1078">
        <f t="shared" si="4"/>
        <v>2220000000</v>
      </c>
      <c r="G12" s="1078">
        <v>185000000</v>
      </c>
      <c r="H12" s="1039">
        <f t="shared" si="1"/>
        <v>7.6934945058052611</v>
      </c>
      <c r="I12" s="1039">
        <f t="shared" si="2"/>
        <v>0.48084340661282882</v>
      </c>
    </row>
    <row r="13" spans="2:9" x14ac:dyDescent="0.25">
      <c r="B13" s="1041">
        <f t="shared" si="3"/>
        <v>5</v>
      </c>
      <c r="C13" s="1048" t="s">
        <v>458</v>
      </c>
      <c r="D13" s="1046">
        <v>110862850</v>
      </c>
      <c r="E13" s="1046">
        <f t="shared" si="0"/>
        <v>9238570.833333334</v>
      </c>
      <c r="F13" s="1078">
        <f t="shared" si="4"/>
        <v>110862850</v>
      </c>
      <c r="G13" s="1078">
        <v>9238570.833333334</v>
      </c>
      <c r="H13" s="1039">
        <f t="shared" si="1"/>
        <v>0.38419942674455537</v>
      </c>
      <c r="I13" s="1039">
        <f t="shared" si="2"/>
        <v>2.4012464171534707E-2</v>
      </c>
    </row>
    <row r="14" spans="2:9" x14ac:dyDescent="0.25">
      <c r="B14" s="1041">
        <f t="shared" si="3"/>
        <v>6</v>
      </c>
      <c r="C14" s="1048" t="s">
        <v>459</v>
      </c>
      <c r="D14" s="1046">
        <v>126990400</v>
      </c>
      <c r="E14" s="1046">
        <f t="shared" si="0"/>
        <v>10582533.333333334</v>
      </c>
      <c r="F14" s="1078">
        <f t="shared" si="4"/>
        <v>110000400</v>
      </c>
      <c r="G14" s="1078">
        <v>9166700</v>
      </c>
      <c r="H14" s="1039">
        <f t="shared" si="1"/>
        <v>0.3812105734398113</v>
      </c>
      <c r="I14" s="1039">
        <f t="shared" si="2"/>
        <v>2.3825660839988206E-2</v>
      </c>
    </row>
    <row r="15" spans="2:9" x14ac:dyDescent="0.25">
      <c r="B15" s="1041">
        <f t="shared" si="3"/>
        <v>7</v>
      </c>
      <c r="C15" s="1048" t="s">
        <v>460</v>
      </c>
      <c r="D15" s="1046">
        <v>108868060</v>
      </c>
      <c r="E15" s="1046">
        <f t="shared" si="0"/>
        <v>9072338.333333334</v>
      </c>
      <c r="F15" s="1078">
        <f t="shared" si="4"/>
        <v>100000000</v>
      </c>
      <c r="G15" s="1078">
        <v>8333333.333333333</v>
      </c>
      <c r="H15" s="1039">
        <f t="shared" si="1"/>
        <v>0.34655380656780455</v>
      </c>
      <c r="I15" s="1039">
        <f t="shared" si="2"/>
        <v>2.1659612910487781E-2</v>
      </c>
    </row>
    <row r="16" spans="2:9" x14ac:dyDescent="0.25">
      <c r="B16" s="1041">
        <f t="shared" si="3"/>
        <v>8</v>
      </c>
      <c r="C16" s="1048" t="s">
        <v>461</v>
      </c>
      <c r="D16" s="1046">
        <v>203000</v>
      </c>
      <c r="E16" s="1046">
        <f t="shared" si="0"/>
        <v>16916.666666666668</v>
      </c>
      <c r="F16" s="1078">
        <f t="shared" si="4"/>
        <v>0</v>
      </c>
      <c r="G16" s="1078">
        <v>0</v>
      </c>
      <c r="H16" s="1039">
        <f t="shared" si="1"/>
        <v>0</v>
      </c>
      <c r="I16" s="1039">
        <f t="shared" si="2"/>
        <v>0</v>
      </c>
    </row>
    <row r="17" spans="2:9" x14ac:dyDescent="0.25">
      <c r="B17" s="1041">
        <f t="shared" si="3"/>
        <v>9</v>
      </c>
      <c r="C17" s="1048" t="s">
        <v>462</v>
      </c>
      <c r="D17" s="1046">
        <v>108952486</v>
      </c>
      <c r="E17" s="1046">
        <f t="shared" si="0"/>
        <v>9079373.833333334</v>
      </c>
      <c r="F17" s="1078">
        <f t="shared" si="4"/>
        <v>114400110.30000001</v>
      </c>
      <c r="G17" s="1078">
        <v>9533342.5250000004</v>
      </c>
      <c r="H17" s="1039">
        <f t="shared" si="1"/>
        <v>0.3964579369624171</v>
      </c>
      <c r="I17" s="1039">
        <f t="shared" si="2"/>
        <v>2.4778621060151065E-2</v>
      </c>
    </row>
    <row r="18" spans="2:9" x14ac:dyDescent="0.25">
      <c r="B18" s="1041">
        <f t="shared" si="3"/>
        <v>10</v>
      </c>
      <c r="C18" s="1048" t="s">
        <v>463</v>
      </c>
      <c r="D18" s="1046">
        <v>32369030</v>
      </c>
      <c r="E18" s="1046">
        <f t="shared" si="0"/>
        <v>2697419.1666666665</v>
      </c>
      <c r="F18" s="1078">
        <f t="shared" si="4"/>
        <v>33987481.5</v>
      </c>
      <c r="G18" s="1078">
        <v>2832290.125</v>
      </c>
      <c r="H18" s="1039">
        <f t="shared" si="1"/>
        <v>0.11778491089477837</v>
      </c>
      <c r="I18" s="1039">
        <f t="shared" si="2"/>
        <v>7.3615569309236472E-3</v>
      </c>
    </row>
    <row r="19" spans="2:9" x14ac:dyDescent="0.25">
      <c r="B19" s="1041">
        <f t="shared" si="3"/>
        <v>11</v>
      </c>
      <c r="C19" s="1048" t="s">
        <v>464</v>
      </c>
      <c r="D19" s="1046">
        <v>179265600</v>
      </c>
      <c r="E19" s="1046">
        <f t="shared" si="0"/>
        <v>14938800</v>
      </c>
      <c r="F19" s="1078">
        <f t="shared" si="4"/>
        <v>188228880</v>
      </c>
      <c r="G19" s="1078">
        <v>15685740</v>
      </c>
      <c r="H19" s="1039">
        <f t="shared" si="1"/>
        <v>0.65231434869994498</v>
      </c>
      <c r="I19" s="1039">
        <f t="shared" si="2"/>
        <v>4.0769646793746561E-2</v>
      </c>
    </row>
    <row r="20" spans="2:9" x14ac:dyDescent="0.25">
      <c r="B20" s="1041">
        <f t="shared" si="3"/>
        <v>12</v>
      </c>
      <c r="C20" s="1048" t="s">
        <v>465</v>
      </c>
      <c r="D20" s="1046">
        <v>253700695</v>
      </c>
      <c r="E20" s="1046">
        <f t="shared" si="0"/>
        <v>21141724.583333332</v>
      </c>
      <c r="F20" s="1078">
        <f t="shared" si="4"/>
        <v>266385729.75</v>
      </c>
      <c r="G20" s="1078">
        <v>22198810.8125</v>
      </c>
      <c r="H20" s="1039">
        <f t="shared" si="1"/>
        <v>0.92316988660204968</v>
      </c>
      <c r="I20" s="1039">
        <f t="shared" si="2"/>
        <v>5.7698117912628098E-2</v>
      </c>
    </row>
    <row r="21" spans="2:9" x14ac:dyDescent="0.25">
      <c r="B21" s="1041">
        <f t="shared" si="3"/>
        <v>13</v>
      </c>
      <c r="C21" s="1048" t="s">
        <v>466</v>
      </c>
      <c r="D21" s="1046">
        <v>1859843066</v>
      </c>
      <c r="E21" s="1046">
        <f t="shared" si="0"/>
        <v>154986922.16666666</v>
      </c>
      <c r="F21" s="1078">
        <f t="shared" si="4"/>
        <v>335473201</v>
      </c>
      <c r="G21" s="1078">
        <v>27956100.083333332</v>
      </c>
      <c r="H21" s="1039">
        <f t="shared" si="1"/>
        <v>1.1625951480803622</v>
      </c>
      <c r="I21" s="1039">
        <f t="shared" si="2"/>
        <v>7.2662196755022626E-2</v>
      </c>
    </row>
    <row r="22" spans="2:9" x14ac:dyDescent="0.25">
      <c r="B22" s="1041">
        <f t="shared" si="3"/>
        <v>14</v>
      </c>
      <c r="C22" s="1048" t="s">
        <v>467</v>
      </c>
      <c r="D22" s="1046">
        <v>694460474</v>
      </c>
      <c r="E22" s="1046">
        <f t="shared" si="0"/>
        <v>57871706.166666664</v>
      </c>
      <c r="F22" s="1078">
        <f t="shared" si="4"/>
        <v>268391053.16000003</v>
      </c>
      <c r="G22" s="1078">
        <v>22365921.096666668</v>
      </c>
      <c r="H22" s="1039">
        <f t="shared" si="1"/>
        <v>0.93011941121340003</v>
      </c>
      <c r="I22" s="1039">
        <f t="shared" si="2"/>
        <v>5.8132463200837502E-2</v>
      </c>
    </row>
    <row r="23" spans="2:9" x14ac:dyDescent="0.25">
      <c r="B23" s="1041">
        <f t="shared" si="3"/>
        <v>15</v>
      </c>
      <c r="C23" s="1048" t="s">
        <v>468</v>
      </c>
      <c r="D23" s="1046"/>
      <c r="E23" s="1046">
        <f t="shared" si="0"/>
        <v>0</v>
      </c>
      <c r="F23" s="1078">
        <f t="shared" si="4"/>
        <v>60000000</v>
      </c>
      <c r="G23" s="1078">
        <v>5000000</v>
      </c>
      <c r="H23" s="1039">
        <f t="shared" si="1"/>
        <v>0.20793228394068275</v>
      </c>
      <c r="I23" s="1039">
        <f t="shared" si="2"/>
        <v>1.299576774629267E-2</v>
      </c>
    </row>
    <row r="24" spans="2:9" x14ac:dyDescent="0.25">
      <c r="B24" s="1041">
        <f t="shared" si="3"/>
        <v>16</v>
      </c>
      <c r="C24" s="1048" t="s">
        <v>469</v>
      </c>
      <c r="D24" s="1046">
        <v>659276883</v>
      </c>
      <c r="E24" s="1046">
        <f t="shared" si="0"/>
        <v>54939740.25</v>
      </c>
      <c r="F24" s="1078">
        <f t="shared" si="4"/>
        <v>1518332400</v>
      </c>
      <c r="G24" s="1078">
        <v>126527700</v>
      </c>
      <c r="H24" s="1039">
        <f t="shared" si="1"/>
        <v>5.2618387285523047</v>
      </c>
      <c r="I24" s="1039">
        <f t="shared" si="2"/>
        <v>0.32886492053451905</v>
      </c>
    </row>
    <row r="25" spans="2:9" x14ac:dyDescent="0.25">
      <c r="B25" s="1041">
        <f t="shared" si="3"/>
        <v>17</v>
      </c>
      <c r="C25" s="1048" t="s">
        <v>470</v>
      </c>
      <c r="D25" s="1046"/>
      <c r="E25" s="1046">
        <f t="shared" si="0"/>
        <v>0</v>
      </c>
      <c r="F25" s="1078">
        <f t="shared" si="4"/>
        <v>197000000</v>
      </c>
      <c r="G25" s="1078">
        <v>16416666.666666666</v>
      </c>
      <c r="H25" s="1039">
        <f t="shared" si="1"/>
        <v>0.68271099893857501</v>
      </c>
      <c r="I25" s="1039">
        <f t="shared" si="2"/>
        <v>4.2669437433660931E-2</v>
      </c>
    </row>
    <row r="26" spans="2:9" x14ac:dyDescent="0.25">
      <c r="B26" s="1041">
        <f t="shared" si="3"/>
        <v>18</v>
      </c>
      <c r="C26" s="1048" t="s">
        <v>471</v>
      </c>
      <c r="D26" s="1046">
        <v>62716328</v>
      </c>
      <c r="E26" s="1046">
        <f t="shared" si="0"/>
        <v>5226360.666666667</v>
      </c>
      <c r="F26" s="1078">
        <f t="shared" si="4"/>
        <v>80400000</v>
      </c>
      <c r="G26" s="1078">
        <v>6700000</v>
      </c>
      <c r="H26" s="1039">
        <f t="shared" si="1"/>
        <v>0.2786292604805149</v>
      </c>
      <c r="I26" s="1039">
        <f t="shared" si="2"/>
        <v>1.7414328780032177E-2</v>
      </c>
    </row>
    <row r="27" spans="2:9" x14ac:dyDescent="0.25">
      <c r="B27" s="1041">
        <f t="shared" si="3"/>
        <v>19</v>
      </c>
      <c r="C27" s="1048" t="s">
        <v>472</v>
      </c>
      <c r="D27" s="1046">
        <v>1756590</v>
      </c>
      <c r="E27" s="1046">
        <f t="shared" si="0"/>
        <v>146382.5</v>
      </c>
      <c r="F27" s="1078">
        <f t="shared" si="4"/>
        <v>6840000</v>
      </c>
      <c r="G27" s="1078">
        <v>570000</v>
      </c>
      <c r="H27" s="1039">
        <f t="shared" si="1"/>
        <v>2.3704280369237832E-2</v>
      </c>
      <c r="I27" s="1039">
        <f t="shared" si="2"/>
        <v>1.4815175230773645E-3</v>
      </c>
    </row>
    <row r="28" spans="2:9" x14ac:dyDescent="0.25">
      <c r="B28" s="1041">
        <f t="shared" si="3"/>
        <v>20</v>
      </c>
      <c r="C28" s="1048" t="s">
        <v>473</v>
      </c>
      <c r="D28" s="1046">
        <v>1193620819.1700001</v>
      </c>
      <c r="E28" s="1046">
        <f t="shared" si="0"/>
        <v>99468401.597500011</v>
      </c>
      <c r="F28" s="1078">
        <f t="shared" si="4"/>
        <v>1193620819.1700001</v>
      </c>
      <c r="G28" s="1078">
        <v>99468401.597500011</v>
      </c>
      <c r="H28" s="1039">
        <f t="shared" si="1"/>
        <v>4.1365383848194464</v>
      </c>
      <c r="I28" s="1039">
        <f t="shared" si="2"/>
        <v>0.2585336490512154</v>
      </c>
    </row>
    <row r="29" spans="2:9" x14ac:dyDescent="0.25">
      <c r="B29" s="1041">
        <f t="shared" si="3"/>
        <v>21</v>
      </c>
      <c r="C29" s="1048" t="s">
        <v>474</v>
      </c>
      <c r="D29" s="1046">
        <v>488020500</v>
      </c>
      <c r="E29" s="1046">
        <f t="shared" si="0"/>
        <v>40668375</v>
      </c>
      <c r="F29" s="1078">
        <f t="shared" si="4"/>
        <v>264000000</v>
      </c>
      <c r="G29" s="1078">
        <v>22000000</v>
      </c>
      <c r="H29" s="1039">
        <f t="shared" si="1"/>
        <v>0.9149020493390041</v>
      </c>
      <c r="I29" s="1039">
        <f t="shared" si="2"/>
        <v>5.7181378083687749E-2</v>
      </c>
    </row>
    <row r="30" spans="2:9" x14ac:dyDescent="0.25">
      <c r="B30" s="1041">
        <f t="shared" si="3"/>
        <v>22</v>
      </c>
      <c r="C30" s="1048" t="s">
        <v>475</v>
      </c>
      <c r="D30" s="1046">
        <v>68171900</v>
      </c>
      <c r="E30" s="1046">
        <f t="shared" si="0"/>
        <v>5680991.666666667</v>
      </c>
      <c r="F30" s="1078">
        <f t="shared" si="4"/>
        <v>258000000</v>
      </c>
      <c r="G30" s="1078">
        <v>21500000</v>
      </c>
      <c r="H30" s="1039">
        <f t="shared" si="1"/>
        <v>0.89410882094493582</v>
      </c>
      <c r="I30" s="1039">
        <f t="shared" si="2"/>
        <v>5.5881801309058482E-2</v>
      </c>
    </row>
    <row r="31" spans="2:9" x14ac:dyDescent="0.25">
      <c r="B31" s="1041">
        <f t="shared" si="3"/>
        <v>23</v>
      </c>
      <c r="C31" s="1048" t="s">
        <v>476</v>
      </c>
      <c r="D31" s="1046">
        <v>1186354647</v>
      </c>
      <c r="E31" s="1046">
        <f t="shared" si="0"/>
        <v>98862887.25</v>
      </c>
      <c r="F31" s="1078">
        <f t="shared" si="4"/>
        <v>10000000</v>
      </c>
      <c r="G31" s="1078">
        <v>833333.33333333337</v>
      </c>
      <c r="H31" s="1039">
        <f t="shared" si="1"/>
        <v>3.4655380656780456E-2</v>
      </c>
      <c r="I31" s="1039">
        <f t="shared" si="2"/>
        <v>2.1659612910487785E-3</v>
      </c>
    </row>
    <row r="32" spans="2:9" x14ac:dyDescent="0.25">
      <c r="B32" s="1041">
        <f t="shared" si="3"/>
        <v>24</v>
      </c>
      <c r="C32" s="1048" t="s">
        <v>477</v>
      </c>
      <c r="D32" s="1046">
        <v>847778298.30999994</v>
      </c>
      <c r="E32" s="1046">
        <f t="shared" si="0"/>
        <v>70648191.525833324</v>
      </c>
      <c r="F32" s="1078">
        <f t="shared" si="4"/>
        <v>907122779.19169986</v>
      </c>
      <c r="G32" s="1078">
        <v>75593564.932641655</v>
      </c>
      <c r="H32" s="1039">
        <f t="shared" si="1"/>
        <v>3.1436685215324967</v>
      </c>
      <c r="I32" s="1039">
        <f t="shared" si="2"/>
        <v>0.19647928259578104</v>
      </c>
    </row>
    <row r="33" spans="2:9" x14ac:dyDescent="0.25">
      <c r="B33" s="1041">
        <f t="shared" si="3"/>
        <v>25</v>
      </c>
      <c r="C33" s="1048" t="s">
        <v>478</v>
      </c>
      <c r="D33" s="1046">
        <v>245454645</v>
      </c>
      <c r="E33" s="1046">
        <f t="shared" si="0"/>
        <v>20454553.75</v>
      </c>
      <c r="F33" s="1078">
        <f t="shared" si="4"/>
        <v>270000109.5</v>
      </c>
      <c r="G33" s="1078">
        <v>22500009.125</v>
      </c>
      <c r="H33" s="1039">
        <f t="shared" si="1"/>
        <v>0.93569565720949055</v>
      </c>
      <c r="I33" s="1039">
        <f t="shared" si="2"/>
        <v>5.8480978575593159E-2</v>
      </c>
    </row>
    <row r="34" spans="2:9" x14ac:dyDescent="0.25">
      <c r="B34" s="1041">
        <f t="shared" si="3"/>
        <v>26</v>
      </c>
      <c r="C34" s="1048" t="s">
        <v>479</v>
      </c>
      <c r="D34" s="1046"/>
      <c r="E34" s="1046">
        <f t="shared" si="0"/>
        <v>0</v>
      </c>
      <c r="F34" s="1078">
        <f t="shared" si="4"/>
        <v>0</v>
      </c>
      <c r="G34" s="1078">
        <v>0</v>
      </c>
      <c r="H34" s="1039">
        <f t="shared" si="1"/>
        <v>0</v>
      </c>
      <c r="I34" s="1039">
        <f t="shared" si="2"/>
        <v>0</v>
      </c>
    </row>
    <row r="35" spans="2:9" x14ac:dyDescent="0.25">
      <c r="B35" s="1041">
        <f t="shared" si="3"/>
        <v>27</v>
      </c>
      <c r="C35" s="1048" t="s">
        <v>480</v>
      </c>
      <c r="D35" s="1046"/>
      <c r="E35" s="1046">
        <f t="shared" si="0"/>
        <v>0</v>
      </c>
      <c r="F35" s="1078">
        <f t="shared" si="4"/>
        <v>0</v>
      </c>
      <c r="G35" s="1078">
        <v>0</v>
      </c>
      <c r="H35" s="1039">
        <f t="shared" si="1"/>
        <v>0</v>
      </c>
      <c r="I35" s="1039">
        <f t="shared" si="2"/>
        <v>0</v>
      </c>
    </row>
    <row r="36" spans="2:9" x14ac:dyDescent="0.25">
      <c r="B36" s="1041">
        <f t="shared" si="3"/>
        <v>28</v>
      </c>
      <c r="C36" s="1048" t="s">
        <v>481</v>
      </c>
      <c r="D36" s="1046">
        <v>188207400</v>
      </c>
      <c r="E36" s="1046">
        <f t="shared" si="0"/>
        <v>15683950</v>
      </c>
      <c r="F36" s="1078">
        <f t="shared" si="4"/>
        <v>207028140</v>
      </c>
      <c r="G36" s="1078">
        <v>17252345</v>
      </c>
      <c r="H36" s="1039">
        <f t="shared" si="1"/>
        <v>0.71746389983652359</v>
      </c>
      <c r="I36" s="1039">
        <f t="shared" si="2"/>
        <v>4.4841493739782731E-2</v>
      </c>
    </row>
    <row r="37" spans="2:9" x14ac:dyDescent="0.25">
      <c r="B37" s="1041">
        <f t="shared" si="3"/>
        <v>29</v>
      </c>
      <c r="C37" s="1048" t="s">
        <v>482</v>
      </c>
      <c r="D37" s="1046">
        <v>4384212523</v>
      </c>
      <c r="E37" s="1046">
        <f t="shared" si="0"/>
        <v>365351043.58333331</v>
      </c>
      <c r="F37" s="1078">
        <f t="shared" si="4"/>
        <v>666345107</v>
      </c>
      <c r="G37" s="1078">
        <v>55528758.916666664</v>
      </c>
      <c r="H37" s="1039">
        <f t="shared" si="1"/>
        <v>2.3092443331868102</v>
      </c>
      <c r="I37" s="1039">
        <f t="shared" si="2"/>
        <v>0.14432777082417564</v>
      </c>
    </row>
    <row r="38" spans="2:9" x14ac:dyDescent="0.25">
      <c r="B38" s="1041">
        <f t="shared" si="3"/>
        <v>30</v>
      </c>
      <c r="C38" s="1048" t="s">
        <v>483</v>
      </c>
      <c r="D38" s="1046">
        <v>108648500</v>
      </c>
      <c r="E38" s="1046">
        <f t="shared" si="0"/>
        <v>9054041.666666666</v>
      </c>
      <c r="F38" s="1078">
        <f t="shared" si="4"/>
        <v>114080925</v>
      </c>
      <c r="G38" s="1078">
        <v>9506743.75</v>
      </c>
      <c r="H38" s="1039">
        <f t="shared" si="1"/>
        <v>0.39535178815526223</v>
      </c>
      <c r="I38" s="1039">
        <f t="shared" si="2"/>
        <v>2.4709486759703886E-2</v>
      </c>
    </row>
    <row r="39" spans="2:9" x14ac:dyDescent="0.25">
      <c r="B39" s="1041">
        <f t="shared" si="3"/>
        <v>31</v>
      </c>
      <c r="C39" s="1048" t="s">
        <v>484</v>
      </c>
      <c r="D39" s="1046">
        <v>80056015</v>
      </c>
      <c r="E39" s="1046">
        <f t="shared" si="0"/>
        <v>6671334.583333333</v>
      </c>
      <c r="F39" s="1078">
        <f t="shared" si="4"/>
        <v>0</v>
      </c>
      <c r="G39" s="1078">
        <v>0</v>
      </c>
      <c r="H39" s="1039">
        <f t="shared" si="1"/>
        <v>0</v>
      </c>
      <c r="I39" s="1039">
        <f t="shared" si="2"/>
        <v>0</v>
      </c>
    </row>
    <row r="40" spans="2:9" x14ac:dyDescent="0.25">
      <c r="B40" s="1041">
        <f t="shared" si="3"/>
        <v>32</v>
      </c>
      <c r="C40" s="1048" t="s">
        <v>485</v>
      </c>
      <c r="D40" s="1046">
        <v>84564877</v>
      </c>
      <c r="E40" s="1046">
        <f t="shared" si="0"/>
        <v>7047073.083333333</v>
      </c>
      <c r="F40" s="1078">
        <f t="shared" si="4"/>
        <v>88793120.849999994</v>
      </c>
      <c r="G40" s="1078">
        <v>7399426.7374999998</v>
      </c>
      <c r="H40" s="1039">
        <f t="shared" si="1"/>
        <v>0.30771594027602595</v>
      </c>
      <c r="I40" s="1039">
        <f t="shared" si="2"/>
        <v>1.9232246267251622E-2</v>
      </c>
    </row>
    <row r="41" spans="2:9" x14ac:dyDescent="0.25">
      <c r="B41" s="1041">
        <f t="shared" si="3"/>
        <v>33</v>
      </c>
      <c r="C41" s="1048" t="s">
        <v>486</v>
      </c>
      <c r="D41" s="1046"/>
      <c r="E41" s="1046">
        <f t="shared" si="0"/>
        <v>0</v>
      </c>
      <c r="F41" s="1078">
        <f t="shared" si="4"/>
        <v>0</v>
      </c>
      <c r="G41" s="1078">
        <v>0</v>
      </c>
      <c r="H41" s="1039">
        <f t="shared" si="1"/>
        <v>0</v>
      </c>
      <c r="I41" s="1039">
        <f t="shared" si="2"/>
        <v>0</v>
      </c>
    </row>
    <row r="42" spans="2:9" x14ac:dyDescent="0.25">
      <c r="B42" s="1041">
        <f t="shared" si="3"/>
        <v>34</v>
      </c>
      <c r="C42" s="1048" t="s">
        <v>487</v>
      </c>
      <c r="D42" s="1046"/>
      <c r="E42" s="1046">
        <f t="shared" si="0"/>
        <v>0</v>
      </c>
      <c r="F42" s="1078">
        <f t="shared" si="4"/>
        <v>0</v>
      </c>
      <c r="G42" s="1078">
        <v>0</v>
      </c>
      <c r="H42" s="1039">
        <f t="shared" si="1"/>
        <v>0</v>
      </c>
      <c r="I42" s="1039">
        <f t="shared" si="2"/>
        <v>0</v>
      </c>
    </row>
    <row r="43" spans="2:9" x14ac:dyDescent="0.25">
      <c r="B43" s="1041">
        <f t="shared" si="3"/>
        <v>35</v>
      </c>
      <c r="C43" s="1048" t="s">
        <v>488</v>
      </c>
      <c r="D43" s="1046">
        <v>3864122096</v>
      </c>
      <c r="E43" s="1046">
        <f t="shared" si="0"/>
        <v>322010174.66666669</v>
      </c>
      <c r="F43" s="1078">
        <f t="shared" si="4"/>
        <v>2223000000</v>
      </c>
      <c r="G43" s="1078">
        <v>185250000</v>
      </c>
      <c r="H43" s="1039">
        <f t="shared" si="1"/>
        <v>7.7038911200022957</v>
      </c>
      <c r="I43" s="1039">
        <f t="shared" si="2"/>
        <v>0.48149319500014348</v>
      </c>
    </row>
    <row r="44" spans="2:9" x14ac:dyDescent="0.25">
      <c r="B44" s="1041">
        <f t="shared" si="3"/>
        <v>36</v>
      </c>
      <c r="C44" s="1048" t="s">
        <v>489</v>
      </c>
      <c r="D44" s="1046">
        <v>810000</v>
      </c>
      <c r="E44" s="1046">
        <f t="shared" si="0"/>
        <v>67500</v>
      </c>
      <c r="F44" s="1078">
        <f t="shared" si="4"/>
        <v>0</v>
      </c>
      <c r="G44" s="1078">
        <v>0</v>
      </c>
      <c r="H44" s="1039">
        <f t="shared" si="1"/>
        <v>0</v>
      </c>
      <c r="I44" s="1039">
        <f t="shared" si="2"/>
        <v>0</v>
      </c>
    </row>
    <row r="45" spans="2:9" x14ac:dyDescent="0.25">
      <c r="B45" s="1041">
        <f t="shared" si="3"/>
        <v>37</v>
      </c>
      <c r="C45" s="1048" t="s">
        <v>490</v>
      </c>
      <c r="D45" s="1046">
        <v>185612516</v>
      </c>
      <c r="E45" s="1046">
        <f t="shared" si="0"/>
        <v>15467709.666666666</v>
      </c>
      <c r="F45" s="1078">
        <f t="shared" si="4"/>
        <v>41405668</v>
      </c>
      <c r="G45" s="1078">
        <v>3450472.3333333335</v>
      </c>
      <c r="H45" s="1039">
        <f t="shared" si="1"/>
        <v>0.14349291858882737</v>
      </c>
      <c r="I45" s="1039">
        <f t="shared" si="2"/>
        <v>8.9683074118017108E-3</v>
      </c>
    </row>
    <row r="46" spans="2:9" x14ac:dyDescent="0.25">
      <c r="B46" s="1041">
        <f t="shared" si="3"/>
        <v>38</v>
      </c>
      <c r="C46" s="1048" t="s">
        <v>491</v>
      </c>
      <c r="D46" s="1046">
        <v>300000</v>
      </c>
      <c r="E46" s="1046">
        <f t="shared" si="0"/>
        <v>25000</v>
      </c>
      <c r="F46" s="1078">
        <f t="shared" si="4"/>
        <v>25000000</v>
      </c>
      <c r="G46" s="1078">
        <v>2083333.3333333333</v>
      </c>
      <c r="H46" s="1039">
        <f t="shared" si="1"/>
        <v>8.6638451641951136E-2</v>
      </c>
      <c r="I46" s="1039">
        <f t="shared" si="2"/>
        <v>5.4149032276219452E-3</v>
      </c>
    </row>
    <row r="47" spans="2:9" x14ac:dyDescent="0.25">
      <c r="B47" s="1041">
        <f t="shared" si="3"/>
        <v>39</v>
      </c>
      <c r="C47" s="1048" t="s">
        <v>492</v>
      </c>
      <c r="D47" s="1046">
        <v>497881607</v>
      </c>
      <c r="E47" s="1046">
        <f t="shared" si="0"/>
        <v>41490133.916666664</v>
      </c>
      <c r="F47" s="1078">
        <f t="shared" si="4"/>
        <v>420000000</v>
      </c>
      <c r="G47" s="1078">
        <v>35000000</v>
      </c>
      <c r="H47" s="1039">
        <f t="shared" si="1"/>
        <v>1.4555259875847792</v>
      </c>
      <c r="I47" s="1039">
        <f t="shared" si="2"/>
        <v>9.0970374224048703E-2</v>
      </c>
    </row>
    <row r="48" spans="2:9" x14ac:dyDescent="0.25">
      <c r="B48" s="1041">
        <f t="shared" si="3"/>
        <v>40</v>
      </c>
      <c r="C48" s="1048" t="s">
        <v>493</v>
      </c>
      <c r="D48" s="1046">
        <v>79298165</v>
      </c>
      <c r="E48" s="1046">
        <f t="shared" si="0"/>
        <v>6608180.416666667</v>
      </c>
      <c r="F48" s="1078">
        <f t="shared" si="4"/>
        <v>12458700</v>
      </c>
      <c r="G48" s="1078">
        <v>1038225</v>
      </c>
      <c r="H48" s="1039">
        <f t="shared" si="1"/>
        <v>4.3176099098863066E-2</v>
      </c>
      <c r="I48" s="1039">
        <f t="shared" si="2"/>
        <v>2.6985061936789412E-3</v>
      </c>
    </row>
    <row r="49" spans="2:9" x14ac:dyDescent="0.25">
      <c r="B49" s="1041">
        <f t="shared" si="3"/>
        <v>41</v>
      </c>
      <c r="C49" s="1048" t="s">
        <v>494</v>
      </c>
      <c r="D49" s="1046"/>
      <c r="E49" s="1046">
        <f t="shared" si="0"/>
        <v>0</v>
      </c>
      <c r="F49" s="1078">
        <f t="shared" si="4"/>
        <v>250000000</v>
      </c>
      <c r="G49" s="1078">
        <v>20833333.333333332</v>
      </c>
      <c r="H49" s="1039">
        <f t="shared" si="1"/>
        <v>0.86638451641951142</v>
      </c>
      <c r="I49" s="1039">
        <f t="shared" si="2"/>
        <v>5.4149032276219457E-2</v>
      </c>
    </row>
    <row r="50" spans="2:9" ht="13.5" thickBot="1" x14ac:dyDescent="0.3">
      <c r="B50" s="1079">
        <f t="shared" si="3"/>
        <v>42</v>
      </c>
      <c r="C50" s="1080" t="s">
        <v>495</v>
      </c>
      <c r="D50" s="1081">
        <v>11059767</v>
      </c>
      <c r="E50" s="1081">
        <f t="shared" si="0"/>
        <v>921647.25</v>
      </c>
      <c r="F50" s="1082">
        <f>G50*12</f>
        <v>0</v>
      </c>
      <c r="G50" s="1082">
        <v>0</v>
      </c>
      <c r="H50" s="1039">
        <f t="shared" si="1"/>
        <v>0</v>
      </c>
      <c r="I50" s="1039">
        <f t="shared" si="2"/>
        <v>0</v>
      </c>
    </row>
    <row r="51" spans="2:9" ht="19.149999999999999" customHeight="1" thickBot="1" x14ac:dyDescent="0.3">
      <c r="D51" s="1083">
        <f>SUM(D9:D50)</f>
        <v>23796151105.279999</v>
      </c>
      <c r="E51" s="1083">
        <f>SUM(E9:E50)</f>
        <v>1983012592.1066668</v>
      </c>
      <c r="F51" s="1084">
        <f t="shared" ref="F51:I51" si="5">SUM(F9:F50)</f>
        <v>17232676709.801701</v>
      </c>
      <c r="G51" s="1084">
        <f t="shared" si="5"/>
        <v>1436056392.483475</v>
      </c>
      <c r="H51" s="1085">
        <f t="shared" si="5"/>
        <v>59.720497111341295</v>
      </c>
      <c r="I51" s="1085">
        <f t="shared" si="5"/>
        <v>3.732531069458831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8"/>
  <sheetViews>
    <sheetView showGridLines="0" topLeftCell="A3" zoomScaleNormal="100" workbookViewId="0">
      <pane xSplit="2" ySplit="5" topLeftCell="C8" activePane="bottomRight" state="frozen"/>
      <selection pane="topRight"/>
      <selection pane="bottomLeft"/>
      <selection pane="bottomRight" activeCell="L7" sqref="L7"/>
    </sheetView>
  </sheetViews>
  <sheetFormatPr defaultColWidth="9" defaultRowHeight="14.25" x14ac:dyDescent="0.2"/>
  <cols>
    <col min="1" max="1" width="9" style="185"/>
    <col min="2" max="2" width="8.7109375" style="185" customWidth="1"/>
    <col min="3" max="3" width="18" style="179" customWidth="1"/>
    <col min="4" max="4" width="11.28515625" style="185" customWidth="1"/>
    <col min="5" max="5" width="15.5703125" style="185" customWidth="1"/>
    <col min="6" max="6" width="14.7109375" style="185" customWidth="1"/>
    <col min="7" max="7" width="13.5703125" style="185" customWidth="1"/>
    <col min="8" max="8" width="15.42578125" style="185" customWidth="1"/>
    <col min="9" max="9" width="14.85546875" style="234" customWidth="1"/>
    <col min="10" max="10" width="16.28515625" style="185" customWidth="1"/>
    <col min="11" max="11" width="17.85546875" style="185" customWidth="1"/>
    <col min="12" max="12" width="17.140625" style="234" customWidth="1"/>
    <col min="13" max="13" width="10.42578125" style="185" customWidth="1"/>
    <col min="14" max="14" width="8.85546875" style="185" customWidth="1"/>
    <col min="15" max="16384" width="9" style="185"/>
  </cols>
  <sheetData>
    <row r="2" spans="2:14" s="180" customFormat="1" x14ac:dyDescent="0.2">
      <c r="C2" s="156"/>
    </row>
    <row r="3" spans="2:14" s="180" customFormat="1" ht="21" customHeight="1" x14ac:dyDescent="0.2">
      <c r="B3" s="1642" t="s">
        <v>136</v>
      </c>
      <c r="C3" s="1642"/>
      <c r="D3" s="1642"/>
      <c r="E3" s="1642"/>
      <c r="F3" s="1642"/>
      <c r="G3" s="1642"/>
      <c r="H3" s="1642"/>
      <c r="I3" s="1642"/>
      <c r="J3" s="1642"/>
      <c r="K3" s="1642"/>
      <c r="L3" s="1642"/>
      <c r="M3" s="1642"/>
      <c r="N3" s="1642"/>
    </row>
    <row r="4" spans="2:14" s="180" customFormat="1" ht="15" thickBot="1" x14ac:dyDescent="0.25">
      <c r="B4" s="181"/>
      <c r="C4" s="156"/>
      <c r="D4" s="180">
        <v>2024</v>
      </c>
    </row>
    <row r="5" spans="2:14" ht="18.75" customHeight="1" thickBot="1" x14ac:dyDescent="0.25">
      <c r="B5" s="1643"/>
      <c r="C5" s="1644" t="s">
        <v>137</v>
      </c>
      <c r="D5" s="1645"/>
      <c r="E5" s="1646"/>
      <c r="F5" s="1643" t="s">
        <v>138</v>
      </c>
      <c r="G5" s="182"/>
      <c r="H5" s="183"/>
      <c r="I5" s="184"/>
      <c r="J5" s="183"/>
      <c r="K5" s="1647" t="s">
        <v>139</v>
      </c>
      <c r="L5" s="1649" t="s">
        <v>140</v>
      </c>
      <c r="M5" s="1651" t="s">
        <v>141</v>
      </c>
      <c r="N5" s="1647"/>
    </row>
    <row r="6" spans="2:14" ht="60.75" thickBot="1" x14ac:dyDescent="0.25">
      <c r="B6" s="1643"/>
      <c r="C6" s="157" t="s">
        <v>142</v>
      </c>
      <c r="D6" s="182" t="s">
        <v>143</v>
      </c>
      <c r="E6" s="182" t="s">
        <v>144</v>
      </c>
      <c r="F6" s="1643"/>
      <c r="G6" s="182" t="s">
        <v>145</v>
      </c>
      <c r="H6" s="182" t="s">
        <v>146</v>
      </c>
      <c r="I6" s="186" t="s">
        <v>147</v>
      </c>
      <c r="J6" s="182" t="s">
        <v>148</v>
      </c>
      <c r="K6" s="1648"/>
      <c r="L6" s="1650"/>
      <c r="M6" s="182" t="s">
        <v>149</v>
      </c>
      <c r="N6" s="182" t="s">
        <v>150</v>
      </c>
    </row>
    <row r="7" spans="2:14" s="190" customFormat="1" ht="15" customHeight="1" thickBot="1" x14ac:dyDescent="0.25">
      <c r="B7" s="1643"/>
      <c r="C7" s="158">
        <v>1</v>
      </c>
      <c r="D7" s="187">
        <v>2</v>
      </c>
      <c r="E7" s="187" t="s">
        <v>151</v>
      </c>
      <c r="F7" s="187" t="s">
        <v>152</v>
      </c>
      <c r="G7" s="187">
        <v>5</v>
      </c>
      <c r="H7" s="187" t="s">
        <v>153</v>
      </c>
      <c r="I7" s="188">
        <v>7</v>
      </c>
      <c r="J7" s="187" t="s">
        <v>154</v>
      </c>
      <c r="K7" s="189" t="s">
        <v>155</v>
      </c>
      <c r="L7" s="188">
        <v>10</v>
      </c>
      <c r="M7" s="187" t="s">
        <v>156</v>
      </c>
      <c r="N7" s="187" t="s">
        <v>157</v>
      </c>
    </row>
    <row r="8" spans="2:14" x14ac:dyDescent="0.2">
      <c r="B8" s="191">
        <v>1</v>
      </c>
      <c r="C8" s="159">
        <v>750.8</v>
      </c>
      <c r="D8" s="160">
        <v>5</v>
      </c>
      <c r="E8" s="161">
        <f>C8*D8</f>
        <v>3754</v>
      </c>
      <c r="F8" s="161">
        <f t="shared" ref="F8:F21" si="0">E8</f>
        <v>3754</v>
      </c>
      <c r="G8" s="162">
        <v>35.314667</v>
      </c>
      <c r="H8" s="162">
        <f>(F8*G8)/1000</f>
        <v>132.57125991800001</v>
      </c>
      <c r="I8" s="192">
        <v>1063.6403800000001</v>
      </c>
      <c r="J8" s="163">
        <f>(H8*I8)/1000</f>
        <v>141.00814527626031</v>
      </c>
      <c r="K8" s="193">
        <f t="shared" ref="K8:K21" si="1">L8-J8</f>
        <v>-141.00814527626031</v>
      </c>
      <c r="L8" s="164"/>
      <c r="M8" s="165" t="e">
        <f t="shared" ref="M8:M21" si="2">(J8/L8)</f>
        <v>#DIV/0!</v>
      </c>
      <c r="N8" s="165" t="e">
        <f t="shared" ref="N8:N21" si="3">K8/L8</f>
        <v>#DIV/0!</v>
      </c>
    </row>
    <row r="9" spans="2:14" x14ac:dyDescent="0.2">
      <c r="B9" s="194">
        <f>B8+1</f>
        <v>2</v>
      </c>
      <c r="C9" s="195">
        <v>928.9</v>
      </c>
      <c r="D9" s="166">
        <v>5</v>
      </c>
      <c r="E9" s="167">
        <f t="shared" ref="E9:E21" si="4">C9*D9</f>
        <v>4644.5</v>
      </c>
      <c r="F9" s="167">
        <f t="shared" si="0"/>
        <v>4644.5</v>
      </c>
      <c r="G9" s="168">
        <v>35.314667</v>
      </c>
      <c r="H9" s="168">
        <f t="shared" ref="H9:H21" si="5">(F9*G9)/1000</f>
        <v>164.0189708815</v>
      </c>
      <c r="I9" s="196">
        <v>1063.7813900000001</v>
      </c>
      <c r="J9" s="169">
        <f t="shared" ref="J9:J21" si="6">(H9*I9)/1000</f>
        <v>174.4803288306916</v>
      </c>
      <c r="K9" s="197">
        <f t="shared" si="1"/>
        <v>-174.4803288306916</v>
      </c>
      <c r="L9" s="170"/>
      <c r="M9" s="171" t="e">
        <f t="shared" si="2"/>
        <v>#DIV/0!</v>
      </c>
      <c r="N9" s="172" t="e">
        <f t="shared" si="3"/>
        <v>#DIV/0!</v>
      </c>
    </row>
    <row r="10" spans="2:14" x14ac:dyDescent="0.2">
      <c r="B10" s="194">
        <f t="shared" ref="B10:B38" si="7">B9+1</f>
        <v>3</v>
      </c>
      <c r="C10" s="195">
        <v>1286</v>
      </c>
      <c r="D10" s="166">
        <v>5</v>
      </c>
      <c r="E10" s="167">
        <f t="shared" si="4"/>
        <v>6430</v>
      </c>
      <c r="F10" s="167">
        <f t="shared" si="0"/>
        <v>6430</v>
      </c>
      <c r="G10" s="168">
        <v>35.314667</v>
      </c>
      <c r="H10" s="168">
        <f t="shared" si="5"/>
        <v>227.07330880999999</v>
      </c>
      <c r="I10" s="196">
        <v>1064.4930400000001</v>
      </c>
      <c r="J10" s="169">
        <f t="shared" si="6"/>
        <v>241.71795679801568</v>
      </c>
      <c r="K10" s="197">
        <f t="shared" si="1"/>
        <v>-241.71795679801568</v>
      </c>
      <c r="L10" s="170"/>
      <c r="M10" s="171" t="e">
        <f t="shared" si="2"/>
        <v>#DIV/0!</v>
      </c>
      <c r="N10" s="172" t="e">
        <f t="shared" si="3"/>
        <v>#DIV/0!</v>
      </c>
    </row>
    <row r="11" spans="2:14" x14ac:dyDescent="0.2">
      <c r="B11" s="194">
        <f t="shared" si="7"/>
        <v>4</v>
      </c>
      <c r="C11" s="195">
        <v>1351.5</v>
      </c>
      <c r="D11" s="166">
        <v>5</v>
      </c>
      <c r="E11" s="167">
        <f t="shared" si="4"/>
        <v>6757.5</v>
      </c>
      <c r="F11" s="167">
        <f t="shared" si="0"/>
        <v>6757.5</v>
      </c>
      <c r="G11" s="168">
        <v>35.314667</v>
      </c>
      <c r="H11" s="168">
        <f t="shared" si="5"/>
        <v>238.63886225249999</v>
      </c>
      <c r="I11" s="196">
        <v>1065.4599599999999</v>
      </c>
      <c r="J11" s="169">
        <f>(H11*I11)/1000</f>
        <v>254.26015262999411</v>
      </c>
      <c r="K11" s="197">
        <f t="shared" si="1"/>
        <v>-254.26015262999411</v>
      </c>
      <c r="L11" s="173"/>
      <c r="M11" s="171" t="e">
        <f t="shared" si="2"/>
        <v>#DIV/0!</v>
      </c>
      <c r="N11" s="172" t="e">
        <f t="shared" si="3"/>
        <v>#DIV/0!</v>
      </c>
    </row>
    <row r="12" spans="2:14" x14ac:dyDescent="0.2">
      <c r="B12" s="194">
        <f t="shared" si="7"/>
        <v>5</v>
      </c>
      <c r="C12" s="195">
        <v>673.7</v>
      </c>
      <c r="D12" s="166">
        <v>5</v>
      </c>
      <c r="E12" s="167">
        <f t="shared" si="4"/>
        <v>3368.5</v>
      </c>
      <c r="F12" s="167">
        <f t="shared" si="0"/>
        <v>3368.5</v>
      </c>
      <c r="G12" s="168">
        <v>35.314667</v>
      </c>
      <c r="H12" s="168">
        <f t="shared" si="5"/>
        <v>118.9574557895</v>
      </c>
      <c r="I12" s="196">
        <v>1064.30529</v>
      </c>
      <c r="J12" s="169">
        <f t="shared" si="6"/>
        <v>126.60704948170599</v>
      </c>
      <c r="K12" s="197">
        <f t="shared" si="1"/>
        <v>-126.60704948170599</v>
      </c>
      <c r="L12" s="170"/>
      <c r="M12" s="171" t="e">
        <f t="shared" si="2"/>
        <v>#DIV/0!</v>
      </c>
      <c r="N12" s="172" t="e">
        <f t="shared" si="3"/>
        <v>#DIV/0!</v>
      </c>
    </row>
    <row r="13" spans="2:14" x14ac:dyDescent="0.2">
      <c r="B13" s="194">
        <f t="shared" si="7"/>
        <v>6</v>
      </c>
      <c r="C13" s="195">
        <v>736.9</v>
      </c>
      <c r="D13" s="166">
        <v>5</v>
      </c>
      <c r="E13" s="167">
        <f t="shared" si="4"/>
        <v>3684.5</v>
      </c>
      <c r="F13" s="167">
        <f t="shared" si="0"/>
        <v>3684.5</v>
      </c>
      <c r="G13" s="168">
        <v>35.314667</v>
      </c>
      <c r="H13" s="168">
        <f t="shared" si="5"/>
        <v>130.11689056149999</v>
      </c>
      <c r="I13" s="196">
        <v>1059.89264</v>
      </c>
      <c r="J13" s="169">
        <f t="shared" si="6"/>
        <v>137.90993464581931</v>
      </c>
      <c r="K13" s="197">
        <f t="shared" si="1"/>
        <v>-137.90993464581931</v>
      </c>
      <c r="L13" s="170"/>
      <c r="M13" s="171" t="e">
        <f t="shared" si="2"/>
        <v>#DIV/0!</v>
      </c>
      <c r="N13" s="172" t="e">
        <f t="shared" si="3"/>
        <v>#DIV/0!</v>
      </c>
    </row>
    <row r="14" spans="2:14" x14ac:dyDescent="0.2">
      <c r="B14" s="194">
        <f t="shared" si="7"/>
        <v>7</v>
      </c>
      <c r="C14" s="195">
        <v>681.7</v>
      </c>
      <c r="D14" s="166">
        <v>5</v>
      </c>
      <c r="E14" s="167">
        <f t="shared" si="4"/>
        <v>3408.5</v>
      </c>
      <c r="F14" s="167">
        <f t="shared" si="0"/>
        <v>3408.5</v>
      </c>
      <c r="G14" s="168">
        <v>35.314667</v>
      </c>
      <c r="H14" s="168">
        <f t="shared" si="5"/>
        <v>120.37004246949999</v>
      </c>
      <c r="I14" s="196">
        <v>1063.2267999999999</v>
      </c>
      <c r="J14" s="169">
        <f t="shared" si="6"/>
        <v>127.98065507071057</v>
      </c>
      <c r="K14" s="197">
        <f t="shared" si="1"/>
        <v>-127.98065507071057</v>
      </c>
      <c r="L14" s="170"/>
      <c r="M14" s="171" t="e">
        <f t="shared" si="2"/>
        <v>#DIV/0!</v>
      </c>
      <c r="N14" s="172" t="e">
        <f t="shared" si="3"/>
        <v>#DIV/0!</v>
      </c>
    </row>
    <row r="15" spans="2:14" x14ac:dyDescent="0.2">
      <c r="B15" s="194">
        <f t="shared" si="7"/>
        <v>8</v>
      </c>
      <c r="C15" s="195">
        <v>402.4</v>
      </c>
      <c r="D15" s="166">
        <v>5</v>
      </c>
      <c r="E15" s="167">
        <f t="shared" si="4"/>
        <v>2012</v>
      </c>
      <c r="F15" s="167">
        <f t="shared" si="0"/>
        <v>2012</v>
      </c>
      <c r="G15" s="168">
        <v>35.314667</v>
      </c>
      <c r="H15" s="168">
        <f t="shared" si="5"/>
        <v>71.053110004000004</v>
      </c>
      <c r="I15" s="196">
        <v>1067.71496</v>
      </c>
      <c r="J15" s="169">
        <f>(H15*I15)/1000</f>
        <v>75.864468505796467</v>
      </c>
      <c r="K15" s="197">
        <f>L15-J15</f>
        <v>-75.864468505796467</v>
      </c>
      <c r="L15" s="170"/>
      <c r="M15" s="171" t="e">
        <f t="shared" si="2"/>
        <v>#DIV/0!</v>
      </c>
      <c r="N15" s="172" t="e">
        <f t="shared" si="3"/>
        <v>#DIV/0!</v>
      </c>
    </row>
    <row r="16" spans="2:14" x14ac:dyDescent="0.2">
      <c r="B16" s="194">
        <f t="shared" si="7"/>
        <v>9</v>
      </c>
      <c r="C16" s="195">
        <v>1008</v>
      </c>
      <c r="D16" s="166">
        <v>5</v>
      </c>
      <c r="E16" s="167">
        <f t="shared" si="4"/>
        <v>5040</v>
      </c>
      <c r="F16" s="167">
        <f t="shared" si="0"/>
        <v>5040</v>
      </c>
      <c r="G16" s="168">
        <v>35.314667</v>
      </c>
      <c r="H16" s="168">
        <f t="shared" si="5"/>
        <v>177.98592167999999</v>
      </c>
      <c r="I16" s="196">
        <v>1067.71496</v>
      </c>
      <c r="J16" s="169">
        <f t="shared" si="6"/>
        <v>190.03823124712432</v>
      </c>
      <c r="K16" s="197">
        <f t="shared" si="1"/>
        <v>-190.03823124712432</v>
      </c>
      <c r="L16" s="170"/>
      <c r="M16" s="171" t="e">
        <f t="shared" si="2"/>
        <v>#DIV/0!</v>
      </c>
      <c r="N16" s="172" t="e">
        <f t="shared" si="3"/>
        <v>#DIV/0!</v>
      </c>
    </row>
    <row r="17" spans="2:14" x14ac:dyDescent="0.2">
      <c r="B17" s="194">
        <f t="shared" si="7"/>
        <v>10</v>
      </c>
      <c r="C17" s="195">
        <v>1307.0999999999999</v>
      </c>
      <c r="D17" s="166">
        <v>5</v>
      </c>
      <c r="E17" s="167">
        <f t="shared" si="4"/>
        <v>6535.5</v>
      </c>
      <c r="F17" s="167">
        <f t="shared" si="0"/>
        <v>6535.5</v>
      </c>
      <c r="G17" s="168">
        <v>35.314667</v>
      </c>
      <c r="H17" s="168">
        <f t="shared" si="5"/>
        <v>230.79900617850001</v>
      </c>
      <c r="I17" s="196">
        <v>1065.3777299999999</v>
      </c>
      <c r="J17" s="169">
        <f t="shared" si="6"/>
        <v>245.88812128870629</v>
      </c>
      <c r="K17" s="197">
        <f t="shared" si="1"/>
        <v>-245.88812128870629</v>
      </c>
      <c r="L17" s="170"/>
      <c r="M17" s="171" t="e">
        <f t="shared" si="2"/>
        <v>#DIV/0!</v>
      </c>
      <c r="N17" s="172" t="e">
        <f t="shared" si="3"/>
        <v>#DIV/0!</v>
      </c>
    </row>
    <row r="18" spans="2:14" x14ac:dyDescent="0.2">
      <c r="B18" s="194">
        <f t="shared" si="7"/>
        <v>11</v>
      </c>
      <c r="C18" s="195">
        <v>1361.4</v>
      </c>
      <c r="D18" s="166">
        <v>5</v>
      </c>
      <c r="E18" s="167">
        <f t="shared" si="4"/>
        <v>6807</v>
      </c>
      <c r="F18" s="167">
        <f t="shared" si="0"/>
        <v>6807</v>
      </c>
      <c r="G18" s="168">
        <v>35.314667</v>
      </c>
      <c r="H18" s="168">
        <f t="shared" si="5"/>
        <v>240.38693826900001</v>
      </c>
      <c r="I18" s="196">
        <v>1069.3462400000001</v>
      </c>
      <c r="J18" s="169">
        <f t="shared" si="6"/>
        <v>257.05686858306728</v>
      </c>
      <c r="K18" s="197">
        <f t="shared" si="1"/>
        <v>-257.05686858306728</v>
      </c>
      <c r="L18" s="170"/>
      <c r="M18" s="171" t="e">
        <f t="shared" si="2"/>
        <v>#DIV/0!</v>
      </c>
      <c r="N18" s="172" t="e">
        <f t="shared" si="3"/>
        <v>#DIV/0!</v>
      </c>
    </row>
    <row r="19" spans="2:14" x14ac:dyDescent="0.2">
      <c r="B19" s="194">
        <f t="shared" si="7"/>
        <v>12</v>
      </c>
      <c r="C19" s="195">
        <v>645.6</v>
      </c>
      <c r="D19" s="166">
        <v>5</v>
      </c>
      <c r="E19" s="167">
        <f t="shared" si="4"/>
        <v>3228</v>
      </c>
      <c r="F19" s="167">
        <f t="shared" si="0"/>
        <v>3228</v>
      </c>
      <c r="G19" s="168">
        <v>35.314667</v>
      </c>
      <c r="H19" s="168">
        <f t="shared" si="5"/>
        <v>113.99574507600001</v>
      </c>
      <c r="I19" s="196">
        <v>1051.80287</v>
      </c>
      <c r="J19" s="169">
        <f t="shared" si="6"/>
        <v>119.90105183872518</v>
      </c>
      <c r="K19" s="197">
        <f t="shared" si="1"/>
        <v>-119.90105183872518</v>
      </c>
      <c r="L19" s="170"/>
      <c r="M19" s="171" t="e">
        <f t="shared" si="2"/>
        <v>#DIV/0!</v>
      </c>
      <c r="N19" s="172" t="e">
        <f t="shared" si="3"/>
        <v>#DIV/0!</v>
      </c>
    </row>
    <row r="20" spans="2:14" x14ac:dyDescent="0.2">
      <c r="B20" s="194">
        <f t="shared" si="7"/>
        <v>13</v>
      </c>
      <c r="C20" s="195">
        <v>848.8</v>
      </c>
      <c r="D20" s="166">
        <v>5</v>
      </c>
      <c r="E20" s="167">
        <f t="shared" si="4"/>
        <v>4244</v>
      </c>
      <c r="F20" s="167">
        <f t="shared" si="0"/>
        <v>4244</v>
      </c>
      <c r="G20" s="168">
        <v>35.314667</v>
      </c>
      <c r="H20" s="168">
        <f t="shared" si="5"/>
        <v>149.875446748</v>
      </c>
      <c r="I20" s="196">
        <v>1056.07005</v>
      </c>
      <c r="J20" s="169">
        <f t="shared" si="6"/>
        <v>158.2789705409327</v>
      </c>
      <c r="K20" s="197">
        <f t="shared" si="1"/>
        <v>-158.2789705409327</v>
      </c>
      <c r="L20" s="170"/>
      <c r="M20" s="171" t="e">
        <f t="shared" si="2"/>
        <v>#DIV/0!</v>
      </c>
      <c r="N20" s="172" t="e">
        <f t="shared" si="3"/>
        <v>#DIV/0!</v>
      </c>
    </row>
    <row r="21" spans="2:14" x14ac:dyDescent="0.2">
      <c r="B21" s="194">
        <f t="shared" si="7"/>
        <v>14</v>
      </c>
      <c r="C21" s="195">
        <v>783.3</v>
      </c>
      <c r="D21" s="166">
        <v>5</v>
      </c>
      <c r="E21" s="167">
        <f t="shared" si="4"/>
        <v>3916.5</v>
      </c>
      <c r="F21" s="167">
        <f t="shared" si="0"/>
        <v>3916.5</v>
      </c>
      <c r="G21" s="168">
        <v>35.314667</v>
      </c>
      <c r="H21" s="168">
        <f t="shared" si="5"/>
        <v>138.3098933055</v>
      </c>
      <c r="I21" s="196">
        <v>1056.5717500000001</v>
      </c>
      <c r="J21" s="169">
        <f t="shared" si="6"/>
        <v>146.13432601210542</v>
      </c>
      <c r="K21" s="197">
        <f t="shared" si="1"/>
        <v>-146.13432601210542</v>
      </c>
      <c r="L21" s="170"/>
      <c r="M21" s="171" t="e">
        <f t="shared" si="2"/>
        <v>#DIV/0!</v>
      </c>
      <c r="N21" s="172" t="e">
        <f t="shared" si="3"/>
        <v>#DIV/0!</v>
      </c>
    </row>
    <row r="22" spans="2:14" x14ac:dyDescent="0.2">
      <c r="B22" s="194">
        <f t="shared" si="7"/>
        <v>15</v>
      </c>
      <c r="C22" s="195">
        <v>1315.3</v>
      </c>
      <c r="D22" s="166">
        <v>5</v>
      </c>
      <c r="E22" s="167">
        <f t="shared" ref="E22:E38" si="8">C22*D22</f>
        <v>6576.5</v>
      </c>
      <c r="F22" s="167">
        <f t="shared" ref="F22:F38" si="9">E22</f>
        <v>6576.5</v>
      </c>
      <c r="G22" s="168">
        <v>36.314667</v>
      </c>
      <c r="H22" s="168">
        <f t="shared" ref="H22:H38" si="10">(F22*G22)/1000</f>
        <v>238.82340752549999</v>
      </c>
      <c r="I22" s="196">
        <v>1057.55844</v>
      </c>
      <c r="J22" s="169">
        <f t="shared" ref="J22:J38" si="11">(H22*I22)/1000</f>
        <v>252.56971029815202</v>
      </c>
      <c r="K22" s="197">
        <f t="shared" ref="K22:K38" si="12">L22-J22</f>
        <v>-252.56971029815202</v>
      </c>
      <c r="L22" s="170"/>
      <c r="M22" s="171" t="e">
        <f t="shared" ref="M22:M38" si="13">(J22/L22)</f>
        <v>#DIV/0!</v>
      </c>
      <c r="N22" s="172" t="e">
        <f t="shared" ref="N22:N38" si="14">K22/L22</f>
        <v>#DIV/0!</v>
      </c>
    </row>
    <row r="23" spans="2:14" x14ac:dyDescent="0.2">
      <c r="B23" s="194">
        <f t="shared" si="7"/>
        <v>16</v>
      </c>
      <c r="C23" s="195">
        <v>274.2</v>
      </c>
      <c r="D23" s="166">
        <v>5</v>
      </c>
      <c r="E23" s="167">
        <f t="shared" si="8"/>
        <v>1371</v>
      </c>
      <c r="F23" s="167">
        <f t="shared" si="9"/>
        <v>1371</v>
      </c>
      <c r="G23" s="168">
        <v>37.314667</v>
      </c>
      <c r="H23" s="168">
        <f t="shared" si="10"/>
        <v>51.158408457</v>
      </c>
      <c r="I23" s="196">
        <v>1057.6089999999999</v>
      </c>
      <c r="J23" s="169">
        <f t="shared" si="11"/>
        <v>54.105593209799309</v>
      </c>
      <c r="K23" s="197">
        <f t="shared" si="12"/>
        <v>-54.105593209799309</v>
      </c>
      <c r="L23" s="170"/>
      <c r="M23" s="171" t="e">
        <f t="shared" si="13"/>
        <v>#DIV/0!</v>
      </c>
      <c r="N23" s="172" t="e">
        <f t="shared" si="14"/>
        <v>#DIV/0!</v>
      </c>
    </row>
    <row r="24" spans="2:14" x14ac:dyDescent="0.2">
      <c r="B24" s="194">
        <f t="shared" si="7"/>
        <v>17</v>
      </c>
      <c r="C24" s="195">
        <v>613.6</v>
      </c>
      <c r="D24" s="166">
        <v>5</v>
      </c>
      <c r="E24" s="167">
        <f t="shared" si="8"/>
        <v>3068</v>
      </c>
      <c r="F24" s="167">
        <f t="shared" si="9"/>
        <v>3068</v>
      </c>
      <c r="G24" s="168">
        <v>38.314667</v>
      </c>
      <c r="H24" s="168">
        <f t="shared" si="10"/>
        <v>117.54939835600001</v>
      </c>
      <c r="I24" s="196">
        <v>1058.4967099999999</v>
      </c>
      <c r="J24" s="169">
        <f t="shared" si="11"/>
        <v>124.42565142230541</v>
      </c>
      <c r="K24" s="197">
        <f t="shared" si="12"/>
        <v>-124.42565142230541</v>
      </c>
      <c r="L24" s="170"/>
      <c r="M24" s="171" t="e">
        <f t="shared" si="13"/>
        <v>#DIV/0!</v>
      </c>
      <c r="N24" s="172" t="e">
        <f t="shared" si="14"/>
        <v>#DIV/0!</v>
      </c>
    </row>
    <row r="25" spans="2:14" x14ac:dyDescent="0.2">
      <c r="B25" s="194">
        <f t="shared" si="7"/>
        <v>18</v>
      </c>
      <c r="C25" s="195">
        <v>1329.7</v>
      </c>
      <c r="D25" s="166">
        <v>5</v>
      </c>
      <c r="E25" s="167">
        <f t="shared" si="8"/>
        <v>6648.5</v>
      </c>
      <c r="F25" s="167">
        <f t="shared" si="9"/>
        <v>6648.5</v>
      </c>
      <c r="G25" s="168">
        <v>39.314667</v>
      </c>
      <c r="H25" s="168">
        <f t="shared" si="10"/>
        <v>261.38356354949997</v>
      </c>
      <c r="I25" s="196">
        <v>1068.5148300000001</v>
      </c>
      <c r="J25" s="169">
        <f t="shared" si="11"/>
        <v>279.29221397088816</v>
      </c>
      <c r="K25" s="197">
        <f t="shared" si="12"/>
        <v>-279.29221397088816</v>
      </c>
      <c r="L25" s="170"/>
      <c r="M25" s="171" t="e">
        <f t="shared" si="13"/>
        <v>#DIV/0!</v>
      </c>
      <c r="N25" s="172" t="e">
        <f t="shared" si="14"/>
        <v>#DIV/0!</v>
      </c>
    </row>
    <row r="26" spans="2:14" x14ac:dyDescent="0.2">
      <c r="B26" s="194">
        <f t="shared" si="7"/>
        <v>19</v>
      </c>
      <c r="C26" s="195">
        <v>1311.5</v>
      </c>
      <c r="D26" s="166">
        <v>5</v>
      </c>
      <c r="E26" s="167">
        <f t="shared" si="8"/>
        <v>6557.5</v>
      </c>
      <c r="F26" s="167">
        <f t="shared" si="9"/>
        <v>6557.5</v>
      </c>
      <c r="G26" s="168">
        <v>40.314667</v>
      </c>
      <c r="H26" s="168">
        <f t="shared" si="10"/>
        <v>264.36342885249996</v>
      </c>
      <c r="I26" s="196">
        <v>1062.6320499999999</v>
      </c>
      <c r="J26" s="169">
        <f t="shared" si="11"/>
        <v>280.92105234656117</v>
      </c>
      <c r="K26" s="197">
        <f t="shared" si="12"/>
        <v>-280.92105234656117</v>
      </c>
      <c r="L26" s="170"/>
      <c r="M26" s="171" t="e">
        <f t="shared" si="13"/>
        <v>#DIV/0!</v>
      </c>
      <c r="N26" s="172" t="e">
        <f t="shared" si="14"/>
        <v>#DIV/0!</v>
      </c>
    </row>
    <row r="27" spans="2:14" x14ac:dyDescent="0.2">
      <c r="B27" s="194">
        <f t="shared" si="7"/>
        <v>20</v>
      </c>
      <c r="C27" s="195">
        <v>1270.8</v>
      </c>
      <c r="D27" s="166">
        <v>5</v>
      </c>
      <c r="E27" s="167">
        <f t="shared" si="8"/>
        <v>6354</v>
      </c>
      <c r="F27" s="167">
        <f t="shared" si="9"/>
        <v>6354</v>
      </c>
      <c r="G27" s="168">
        <v>41.314667</v>
      </c>
      <c r="H27" s="168">
        <f t="shared" si="10"/>
        <v>262.51339411800001</v>
      </c>
      <c r="I27" s="196">
        <v>1052.42157</v>
      </c>
      <c r="J27" s="169">
        <f t="shared" si="11"/>
        <v>276.27475838369435</v>
      </c>
      <c r="K27" s="197">
        <f t="shared" si="12"/>
        <v>-276.27475838369435</v>
      </c>
      <c r="L27" s="170"/>
      <c r="M27" s="171" t="e">
        <f t="shared" si="13"/>
        <v>#DIV/0!</v>
      </c>
      <c r="N27" s="172" t="e">
        <f t="shared" si="14"/>
        <v>#DIV/0!</v>
      </c>
    </row>
    <row r="28" spans="2:14" x14ac:dyDescent="0.2">
      <c r="B28" s="194">
        <f t="shared" si="7"/>
        <v>21</v>
      </c>
      <c r="C28" s="195">
        <v>1066.2</v>
      </c>
      <c r="D28" s="166">
        <v>5</v>
      </c>
      <c r="E28" s="167">
        <f t="shared" si="8"/>
        <v>5331</v>
      </c>
      <c r="F28" s="167">
        <f t="shared" si="9"/>
        <v>5331</v>
      </c>
      <c r="G28" s="168">
        <v>42.314667</v>
      </c>
      <c r="H28" s="168">
        <f t="shared" si="10"/>
        <v>225.57948977700002</v>
      </c>
      <c r="I28" s="196">
        <v>1037.99143</v>
      </c>
      <c r="J28" s="169">
        <f t="shared" si="11"/>
        <v>234.14957717229865</v>
      </c>
      <c r="K28" s="197">
        <f t="shared" si="12"/>
        <v>-234.14957717229865</v>
      </c>
      <c r="L28" s="170"/>
      <c r="M28" s="171" t="e">
        <f t="shared" si="13"/>
        <v>#DIV/0!</v>
      </c>
      <c r="N28" s="172" t="e">
        <f t="shared" si="14"/>
        <v>#DIV/0!</v>
      </c>
    </row>
    <row r="29" spans="2:14" x14ac:dyDescent="0.2">
      <c r="B29" s="194">
        <f t="shared" si="7"/>
        <v>22</v>
      </c>
      <c r="C29" s="195">
        <v>193.5</v>
      </c>
      <c r="D29" s="166">
        <v>5</v>
      </c>
      <c r="E29" s="167">
        <f t="shared" si="8"/>
        <v>967.5</v>
      </c>
      <c r="F29" s="167">
        <f t="shared" si="9"/>
        <v>967.5</v>
      </c>
      <c r="G29" s="168">
        <v>43.314667</v>
      </c>
      <c r="H29" s="168">
        <f t="shared" si="10"/>
        <v>41.906940322499999</v>
      </c>
      <c r="I29" s="196">
        <v>1043.6450400000001</v>
      </c>
      <c r="J29" s="169">
        <f t="shared" si="11"/>
        <v>43.735970409153133</v>
      </c>
      <c r="K29" s="197">
        <f t="shared" si="12"/>
        <v>-43.735970409153133</v>
      </c>
      <c r="L29" s="170"/>
      <c r="M29" s="171" t="e">
        <f t="shared" si="13"/>
        <v>#DIV/0!</v>
      </c>
      <c r="N29" s="172" t="e">
        <f t="shared" si="14"/>
        <v>#DIV/0!</v>
      </c>
    </row>
    <row r="30" spans="2:14" x14ac:dyDescent="0.2">
      <c r="B30" s="194">
        <f t="shared" si="7"/>
        <v>23</v>
      </c>
      <c r="C30" s="195">
        <v>53.6</v>
      </c>
      <c r="D30" s="166">
        <v>5</v>
      </c>
      <c r="E30" s="167">
        <f t="shared" si="8"/>
        <v>268</v>
      </c>
      <c r="F30" s="167">
        <f t="shared" si="9"/>
        <v>268</v>
      </c>
      <c r="G30" s="168">
        <v>44.314667</v>
      </c>
      <c r="H30" s="168">
        <f t="shared" si="10"/>
        <v>11.876330756</v>
      </c>
      <c r="I30" s="196">
        <v>1042.98918</v>
      </c>
      <c r="J30" s="169">
        <f>(H30*I30)/1000</f>
        <v>12.38688447660922</v>
      </c>
      <c r="K30" s="197">
        <f t="shared" si="12"/>
        <v>-12.38688447660922</v>
      </c>
      <c r="L30" s="170"/>
      <c r="M30" s="171" t="e">
        <f t="shared" si="13"/>
        <v>#DIV/0!</v>
      </c>
      <c r="N30" s="172" t="e">
        <f t="shared" si="14"/>
        <v>#DIV/0!</v>
      </c>
    </row>
    <row r="31" spans="2:14" x14ac:dyDescent="0.2">
      <c r="B31" s="194">
        <f t="shared" si="7"/>
        <v>24</v>
      </c>
      <c r="C31" s="195">
        <v>121.1</v>
      </c>
      <c r="D31" s="166">
        <v>5</v>
      </c>
      <c r="E31" s="167">
        <f t="shared" si="8"/>
        <v>605.5</v>
      </c>
      <c r="F31" s="167">
        <f t="shared" si="9"/>
        <v>605.5</v>
      </c>
      <c r="G31" s="168">
        <v>45.314667</v>
      </c>
      <c r="H31" s="168">
        <f t="shared" si="10"/>
        <v>27.4380308685</v>
      </c>
      <c r="I31" s="196">
        <v>1045.6499899999999</v>
      </c>
      <c r="J31" s="169">
        <f>(H31*I31)/1000</f>
        <v>28.690576703266714</v>
      </c>
      <c r="K31" s="197">
        <f t="shared" si="12"/>
        <v>-28.690576703266714</v>
      </c>
      <c r="L31" s="170"/>
      <c r="M31" s="171" t="e">
        <f t="shared" si="13"/>
        <v>#DIV/0!</v>
      </c>
      <c r="N31" s="172" t="e">
        <f t="shared" si="14"/>
        <v>#DIV/0!</v>
      </c>
    </row>
    <row r="32" spans="2:14" x14ac:dyDescent="0.2">
      <c r="B32" s="194">
        <f t="shared" si="7"/>
        <v>25</v>
      </c>
      <c r="C32" s="195">
        <v>1222.0999999999999</v>
      </c>
      <c r="D32" s="166">
        <v>5</v>
      </c>
      <c r="E32" s="167">
        <f t="shared" si="8"/>
        <v>6110.5</v>
      </c>
      <c r="F32" s="167">
        <f t="shared" si="9"/>
        <v>6110.5</v>
      </c>
      <c r="G32" s="168">
        <v>46.314667</v>
      </c>
      <c r="H32" s="168">
        <f t="shared" si="10"/>
        <v>283.00577270349999</v>
      </c>
      <c r="I32" s="196">
        <v>1046.5682400000001</v>
      </c>
      <c r="J32" s="169">
        <f>(H32*I32)/1000</f>
        <v>296.18485344814206</v>
      </c>
      <c r="K32" s="197">
        <f t="shared" si="12"/>
        <v>-296.18485344814206</v>
      </c>
      <c r="L32" s="170"/>
      <c r="M32" s="171" t="e">
        <f t="shared" si="13"/>
        <v>#DIV/0!</v>
      </c>
      <c r="N32" s="172" t="e">
        <f t="shared" si="14"/>
        <v>#DIV/0!</v>
      </c>
    </row>
    <row r="33" spans="2:14" x14ac:dyDescent="0.2">
      <c r="B33" s="194">
        <f t="shared" si="7"/>
        <v>26</v>
      </c>
      <c r="C33" s="195">
        <v>1367.4</v>
      </c>
      <c r="D33" s="166">
        <v>5</v>
      </c>
      <c r="E33" s="167">
        <f t="shared" si="8"/>
        <v>6837</v>
      </c>
      <c r="F33" s="167">
        <f t="shared" si="9"/>
        <v>6837</v>
      </c>
      <c r="G33" s="168">
        <v>47.314667</v>
      </c>
      <c r="H33" s="168">
        <f t="shared" si="10"/>
        <v>323.49037827899997</v>
      </c>
      <c r="I33" s="196">
        <v>1046.6215400000001</v>
      </c>
      <c r="J33" s="169">
        <f t="shared" si="11"/>
        <v>338.57199788954955</v>
      </c>
      <c r="K33" s="197">
        <f t="shared" si="12"/>
        <v>-338.57199788954955</v>
      </c>
      <c r="L33" s="170"/>
      <c r="M33" s="171" t="e">
        <f t="shared" si="13"/>
        <v>#DIV/0!</v>
      </c>
      <c r="N33" s="172" t="e">
        <f t="shared" si="14"/>
        <v>#DIV/0!</v>
      </c>
    </row>
    <row r="34" spans="2:14" x14ac:dyDescent="0.2">
      <c r="B34" s="194">
        <f t="shared" si="7"/>
        <v>27</v>
      </c>
      <c r="C34" s="195">
        <v>1370.8</v>
      </c>
      <c r="D34" s="166">
        <v>5</v>
      </c>
      <c r="E34" s="167">
        <f t="shared" si="8"/>
        <v>6854</v>
      </c>
      <c r="F34" s="167">
        <f t="shared" si="9"/>
        <v>6854</v>
      </c>
      <c r="G34" s="168">
        <v>48.314667</v>
      </c>
      <c r="H34" s="168">
        <f t="shared" si="10"/>
        <v>331.14872761800001</v>
      </c>
      <c r="I34" s="196">
        <v>1043.6264200000001</v>
      </c>
      <c r="J34" s="169">
        <f t="shared" si="11"/>
        <v>345.59556109152851</v>
      </c>
      <c r="K34" s="197">
        <f t="shared" si="12"/>
        <v>-345.59556109152851</v>
      </c>
      <c r="L34" s="170"/>
      <c r="M34" s="171" t="e">
        <f t="shared" si="13"/>
        <v>#DIV/0!</v>
      </c>
      <c r="N34" s="172" t="e">
        <f t="shared" si="14"/>
        <v>#DIV/0!</v>
      </c>
    </row>
    <row r="35" spans="2:14" x14ac:dyDescent="0.2">
      <c r="B35" s="194">
        <f t="shared" si="7"/>
        <v>28</v>
      </c>
      <c r="C35" s="195">
        <v>1390.2</v>
      </c>
      <c r="D35" s="166">
        <v>5</v>
      </c>
      <c r="E35" s="167">
        <f t="shared" si="8"/>
        <v>6951</v>
      </c>
      <c r="F35" s="167">
        <f t="shared" si="9"/>
        <v>6951</v>
      </c>
      <c r="G35" s="168">
        <v>49.314667</v>
      </c>
      <c r="H35" s="168">
        <f t="shared" si="10"/>
        <v>342.78625031700005</v>
      </c>
      <c r="I35" s="196">
        <v>1045.6400619999999</v>
      </c>
      <c r="J35" s="169">
        <f t="shared" si="11"/>
        <v>358.43103603421542</v>
      </c>
      <c r="K35" s="197">
        <f t="shared" si="12"/>
        <v>-358.43103603421542</v>
      </c>
      <c r="L35" s="170"/>
      <c r="M35" s="171" t="e">
        <f t="shared" si="13"/>
        <v>#DIV/0!</v>
      </c>
      <c r="N35" s="172" t="e">
        <f t="shared" si="14"/>
        <v>#DIV/0!</v>
      </c>
    </row>
    <row r="36" spans="2:14" x14ac:dyDescent="0.2">
      <c r="B36" s="194">
        <f t="shared" si="7"/>
        <v>29</v>
      </c>
      <c r="C36" s="195">
        <v>1257.4000000000001</v>
      </c>
      <c r="D36" s="166">
        <v>5</v>
      </c>
      <c r="E36" s="167">
        <f t="shared" si="8"/>
        <v>6287</v>
      </c>
      <c r="F36" s="167">
        <f t="shared" si="9"/>
        <v>6287</v>
      </c>
      <c r="G36" s="168">
        <v>50.314667</v>
      </c>
      <c r="H36" s="168">
        <f t="shared" si="10"/>
        <v>316.328311429</v>
      </c>
      <c r="I36" s="196">
        <v>1042.3679199999999</v>
      </c>
      <c r="J36" s="169">
        <f t="shared" si="11"/>
        <v>329.73048402135896</v>
      </c>
      <c r="K36" s="197">
        <f t="shared" si="12"/>
        <v>-329.73048402135896</v>
      </c>
      <c r="L36" s="170"/>
      <c r="M36" s="171" t="e">
        <f t="shared" si="13"/>
        <v>#DIV/0!</v>
      </c>
      <c r="N36" s="172" t="e">
        <f t="shared" si="14"/>
        <v>#DIV/0!</v>
      </c>
    </row>
    <row r="37" spans="2:14" ht="15" thickBot="1" x14ac:dyDescent="0.25">
      <c r="B37" s="194">
        <f t="shared" si="7"/>
        <v>30</v>
      </c>
      <c r="C37" s="195">
        <v>809.9</v>
      </c>
      <c r="D37" s="166">
        <v>5</v>
      </c>
      <c r="E37" s="167">
        <f t="shared" si="8"/>
        <v>4049.5</v>
      </c>
      <c r="F37" s="167">
        <f t="shared" si="9"/>
        <v>4049.5</v>
      </c>
      <c r="G37" s="168">
        <v>51.314667</v>
      </c>
      <c r="H37" s="168">
        <f t="shared" si="10"/>
        <v>207.7987440165</v>
      </c>
      <c r="I37" s="196">
        <v>1041.5932600000001</v>
      </c>
      <c r="J37" s="169">
        <f t="shared" si="11"/>
        <v>216.44177120405175</v>
      </c>
      <c r="K37" s="197">
        <f t="shared" si="12"/>
        <v>-216.44177120405175</v>
      </c>
      <c r="L37" s="170"/>
      <c r="M37" s="171" t="e">
        <f t="shared" si="13"/>
        <v>#DIV/0!</v>
      </c>
      <c r="N37" s="172" t="e">
        <f t="shared" si="14"/>
        <v>#DIV/0!</v>
      </c>
    </row>
    <row r="38" spans="2:14" ht="15" hidden="1" thickBot="1" x14ac:dyDescent="0.25">
      <c r="B38" s="194">
        <f t="shared" si="7"/>
        <v>31</v>
      </c>
      <c r="C38" s="195"/>
      <c r="D38" s="166">
        <v>5</v>
      </c>
      <c r="E38" s="167">
        <f t="shared" si="8"/>
        <v>0</v>
      </c>
      <c r="F38" s="167">
        <f t="shared" si="9"/>
        <v>0</v>
      </c>
      <c r="G38" s="168">
        <v>52.314667</v>
      </c>
      <c r="H38" s="168">
        <f t="shared" si="10"/>
        <v>0</v>
      </c>
      <c r="I38" s="196"/>
      <c r="J38" s="169">
        <f t="shared" si="11"/>
        <v>0</v>
      </c>
      <c r="K38" s="197">
        <f t="shared" si="12"/>
        <v>0</v>
      </c>
      <c r="L38" s="170"/>
      <c r="M38" s="171" t="e">
        <f t="shared" si="13"/>
        <v>#DIV/0!</v>
      </c>
      <c r="N38" s="172" t="e">
        <f t="shared" si="14"/>
        <v>#DIV/0!</v>
      </c>
    </row>
    <row r="39" spans="2:14" ht="15" x14ac:dyDescent="0.25">
      <c r="B39" s="198" t="s">
        <v>158</v>
      </c>
      <c r="C39" s="174"/>
      <c r="D39" s="199"/>
      <c r="E39" s="199"/>
      <c r="F39" s="200">
        <f>AVERAGE(F8:F38)</f>
        <v>4473.1290322580644</v>
      </c>
      <c r="G39" s="200"/>
      <c r="H39" s="200">
        <f t="shared" ref="H39:N39" si="15">AVERAGE(H8:H38)</f>
        <v>179.39688480287094</v>
      </c>
      <c r="I39" s="201">
        <f t="shared" si="15"/>
        <v>1055.7774580666667</v>
      </c>
      <c r="J39" s="202">
        <f t="shared" si="15"/>
        <v>189.31077267197514</v>
      </c>
      <c r="K39" s="203">
        <f t="shared" si="15"/>
        <v>-189.31077267197514</v>
      </c>
      <c r="L39" s="204" t="e">
        <f t="shared" si="15"/>
        <v>#DIV/0!</v>
      </c>
      <c r="M39" s="205" t="e">
        <f t="shared" si="15"/>
        <v>#DIV/0!</v>
      </c>
      <c r="N39" s="205" t="e">
        <f t="shared" si="15"/>
        <v>#DIV/0!</v>
      </c>
    </row>
    <row r="40" spans="2:14" ht="15" x14ac:dyDescent="0.25">
      <c r="B40" s="206" t="s">
        <v>159</v>
      </c>
      <c r="C40" s="115">
        <f>SUM(C8:C38)</f>
        <v>27733.399999999998</v>
      </c>
      <c r="D40" s="207"/>
      <c r="E40" s="208">
        <f>SUM(E8:E38)</f>
        <v>138667</v>
      </c>
      <c r="F40" s="208">
        <f>SUM(F8:F38)</f>
        <v>138667</v>
      </c>
      <c r="G40" s="208"/>
      <c r="H40" s="208">
        <f>SUM(H8:H38)</f>
        <v>5561.3034288889994</v>
      </c>
      <c r="I40" s="209"/>
      <c r="J40" s="210">
        <f>SUM(J8:J38)</f>
        <v>5868.6339528312292</v>
      </c>
      <c r="K40" s="211"/>
      <c r="L40" s="212"/>
      <c r="M40" s="213"/>
      <c r="N40" s="213"/>
    </row>
    <row r="41" spans="2:14" ht="15" x14ac:dyDescent="0.25">
      <c r="B41" s="214" t="s">
        <v>160</v>
      </c>
      <c r="C41" s="175"/>
      <c r="D41" s="215"/>
      <c r="E41" s="215"/>
      <c r="F41" s="216"/>
      <c r="G41" s="216"/>
      <c r="H41" s="216"/>
      <c r="I41" s="217"/>
      <c r="J41" s="213"/>
      <c r="K41" s="211"/>
      <c r="L41" s="218"/>
      <c r="M41" s="213"/>
      <c r="N41" s="213"/>
    </row>
    <row r="42" spans="2:14" ht="30.75" customHeight="1" thickBot="1" x14ac:dyDescent="0.25">
      <c r="B42" s="219" t="s">
        <v>161</v>
      </c>
      <c r="C42" s="176"/>
      <c r="D42" s="220"/>
      <c r="E42" s="220"/>
      <c r="F42" s="221"/>
      <c r="G42" s="221"/>
      <c r="H42" s="222">
        <f>H40+H41</f>
        <v>5561.3034288889994</v>
      </c>
      <c r="I42" s="223"/>
      <c r="J42" s="224">
        <f>J40+J41</f>
        <v>5868.6339528312292</v>
      </c>
      <c r="K42" s="225"/>
      <c r="L42" s="226"/>
      <c r="M42" s="227"/>
      <c r="N42" s="227"/>
    </row>
    <row r="43" spans="2:14" s="180" customFormat="1" x14ac:dyDescent="0.2">
      <c r="C43" s="156"/>
    </row>
    <row r="44" spans="2:14" s="180" customFormat="1" x14ac:dyDescent="0.2">
      <c r="C44" s="156" t="s">
        <v>162</v>
      </c>
      <c r="F44" s="228"/>
    </row>
    <row r="45" spans="2:14" s="180" customFormat="1" x14ac:dyDescent="0.2">
      <c r="C45" s="156">
        <f>C40</f>
        <v>27733.399999999998</v>
      </c>
      <c r="D45" s="180" t="s">
        <v>124</v>
      </c>
      <c r="F45" s="156">
        <f>C40*5</f>
        <v>138667</v>
      </c>
      <c r="G45" s="180">
        <v>9983.7000000000007</v>
      </c>
    </row>
    <row r="46" spans="2:14" s="180" customFormat="1" ht="15" x14ac:dyDescent="0.25">
      <c r="C46" s="156">
        <v>5</v>
      </c>
      <c r="D46" s="180" t="s">
        <v>163</v>
      </c>
      <c r="F46" s="156">
        <v>21286.9</v>
      </c>
      <c r="G46" s="228">
        <f>G45-C40</f>
        <v>-17749.699999999997</v>
      </c>
      <c r="H46" s="229"/>
      <c r="L46" s="229"/>
    </row>
    <row r="47" spans="2:14" s="180" customFormat="1" x14ac:dyDescent="0.2">
      <c r="C47" s="156">
        <f>C45*C46</f>
        <v>138667</v>
      </c>
      <c r="D47" s="180" t="s">
        <v>164</v>
      </c>
      <c r="F47" s="156">
        <f>F45/F46</f>
        <v>6.5141941757606787</v>
      </c>
      <c r="G47" s="228"/>
      <c r="H47" s="147"/>
      <c r="J47" s="147"/>
      <c r="L47" s="230"/>
    </row>
    <row r="48" spans="2:14" s="180" customFormat="1" x14ac:dyDescent="0.2">
      <c r="C48" s="156">
        <f>G38</f>
        <v>52.314667</v>
      </c>
      <c r="D48" s="180" t="s">
        <v>165</v>
      </c>
      <c r="H48" s="231"/>
      <c r="J48" s="156"/>
      <c r="L48" s="230"/>
    </row>
    <row r="49" spans="3:12" s="180" customFormat="1" ht="15" x14ac:dyDescent="0.25">
      <c r="C49" s="156">
        <f>(C47*C48)/1000</f>
        <v>7254.3179288889996</v>
      </c>
      <c r="D49" s="180" t="s">
        <v>166</v>
      </c>
      <c r="H49" s="178"/>
      <c r="J49" s="147"/>
      <c r="L49" s="156"/>
    </row>
    <row r="50" spans="3:12" s="180" customFormat="1" x14ac:dyDescent="0.2">
      <c r="C50" s="156">
        <f>I39</f>
        <v>1055.7774580666667</v>
      </c>
      <c r="D50" s="180" t="s">
        <v>167</v>
      </c>
      <c r="H50" s="156"/>
      <c r="J50" s="232"/>
    </row>
    <row r="51" spans="3:12" s="180" customFormat="1" ht="15" x14ac:dyDescent="0.25">
      <c r="C51" s="178">
        <f>(C49*C50)/1000</f>
        <v>7658.9453429698742</v>
      </c>
      <c r="D51" s="180" t="s">
        <v>168</v>
      </c>
      <c r="H51" s="233"/>
      <c r="I51" s="229"/>
    </row>
    <row r="52" spans="3:12" s="180" customFormat="1" x14ac:dyDescent="0.2">
      <c r="C52" s="156"/>
    </row>
    <row r="53" spans="3:12" s="180" customFormat="1" x14ac:dyDescent="0.2">
      <c r="C53" s="156"/>
    </row>
    <row r="54" spans="3:12" s="180" customFormat="1" x14ac:dyDescent="0.2">
      <c r="C54" s="156"/>
    </row>
    <row r="55" spans="3:12" s="180" customFormat="1" x14ac:dyDescent="0.2">
      <c r="C55" s="156"/>
    </row>
    <row r="56" spans="3:12" s="180" customFormat="1" x14ac:dyDescent="0.2">
      <c r="C56" s="156"/>
    </row>
    <row r="57" spans="3:12" s="180" customFormat="1" x14ac:dyDescent="0.2">
      <c r="C57" s="156"/>
    </row>
    <row r="58" spans="3:12" s="180" customFormat="1" x14ac:dyDescent="0.2">
      <c r="C58" s="156"/>
    </row>
    <row r="59" spans="3:12" s="180" customFormat="1" x14ac:dyDescent="0.2">
      <c r="C59" s="156"/>
    </row>
    <row r="60" spans="3:12" s="180" customFormat="1" x14ac:dyDescent="0.2">
      <c r="C60" s="156"/>
      <c r="F60" s="147"/>
    </row>
    <row r="61" spans="3:12" s="180" customFormat="1" x14ac:dyDescent="0.2">
      <c r="C61" s="156"/>
      <c r="F61" s="147"/>
    </row>
    <row r="62" spans="3:12" s="180" customFormat="1" x14ac:dyDescent="0.2">
      <c r="C62" s="156"/>
      <c r="F62" s="147"/>
    </row>
    <row r="63" spans="3:12" s="180" customFormat="1" x14ac:dyDescent="0.2">
      <c r="C63" s="156"/>
      <c r="F63" s="147"/>
    </row>
    <row r="64" spans="3:12" s="180" customFormat="1" x14ac:dyDescent="0.2">
      <c r="C64" s="156"/>
    </row>
    <row r="65" spans="3:3" s="180" customFormat="1" x14ac:dyDescent="0.2">
      <c r="C65" s="156"/>
    </row>
    <row r="66" spans="3:3" s="180" customFormat="1" x14ac:dyDescent="0.2">
      <c r="C66" s="156"/>
    </row>
    <row r="67" spans="3:3" s="180" customFormat="1" x14ac:dyDescent="0.2">
      <c r="C67" s="156"/>
    </row>
    <row r="68" spans="3:3" s="180" customFormat="1" x14ac:dyDescent="0.2">
      <c r="C68" s="156"/>
    </row>
    <row r="69" spans="3:3" s="180" customFormat="1" x14ac:dyDescent="0.2">
      <c r="C69" s="156"/>
    </row>
    <row r="70" spans="3:3" s="180" customFormat="1" x14ac:dyDescent="0.2">
      <c r="C70" s="156"/>
    </row>
    <row r="71" spans="3:3" s="180" customFormat="1" x14ac:dyDescent="0.2">
      <c r="C71" s="156"/>
    </row>
    <row r="72" spans="3:3" s="180" customFormat="1" x14ac:dyDescent="0.2">
      <c r="C72" s="156"/>
    </row>
    <row r="73" spans="3:3" s="180" customFormat="1" x14ac:dyDescent="0.2">
      <c r="C73" s="156"/>
    </row>
    <row r="74" spans="3:3" s="180" customFormat="1" x14ac:dyDescent="0.2">
      <c r="C74" s="156"/>
    </row>
    <row r="75" spans="3:3" s="180" customFormat="1" x14ac:dyDescent="0.2">
      <c r="C75" s="156"/>
    </row>
    <row r="76" spans="3:3" s="180" customFormat="1" x14ac:dyDescent="0.2">
      <c r="C76" s="156"/>
    </row>
    <row r="77" spans="3:3" s="180" customFormat="1" x14ac:dyDescent="0.2">
      <c r="C77" s="156"/>
    </row>
    <row r="78" spans="3:3" s="180" customFormat="1" x14ac:dyDescent="0.2">
      <c r="C78" s="156"/>
    </row>
    <row r="79" spans="3:3" s="180" customFormat="1" x14ac:dyDescent="0.2">
      <c r="C79" s="156"/>
    </row>
    <row r="80" spans="3:3" s="180" customFormat="1" x14ac:dyDescent="0.2">
      <c r="C80" s="156"/>
    </row>
    <row r="81" spans="3:3" s="180" customFormat="1" x14ac:dyDescent="0.2">
      <c r="C81" s="156"/>
    </row>
    <row r="82" spans="3:3" s="180" customFormat="1" x14ac:dyDescent="0.2">
      <c r="C82" s="156"/>
    </row>
    <row r="83" spans="3:3" s="180" customFormat="1" x14ac:dyDescent="0.2">
      <c r="C83" s="156"/>
    </row>
    <row r="84" spans="3:3" s="180" customFormat="1" x14ac:dyDescent="0.2">
      <c r="C84" s="156"/>
    </row>
    <row r="85" spans="3:3" s="180" customFormat="1" x14ac:dyDescent="0.2">
      <c r="C85" s="156"/>
    </row>
    <row r="86" spans="3:3" s="180" customFormat="1" x14ac:dyDescent="0.2">
      <c r="C86" s="156"/>
    </row>
    <row r="87" spans="3:3" s="180" customFormat="1" x14ac:dyDescent="0.2">
      <c r="C87" s="156"/>
    </row>
    <row r="88" spans="3:3" s="180" customFormat="1" x14ac:dyDescent="0.2">
      <c r="C88" s="156"/>
    </row>
    <row r="89" spans="3:3" s="180" customFormat="1" x14ac:dyDescent="0.2">
      <c r="C89" s="156"/>
    </row>
    <row r="90" spans="3:3" s="180" customFormat="1" x14ac:dyDescent="0.2">
      <c r="C90" s="156"/>
    </row>
    <row r="91" spans="3:3" s="180" customFormat="1" x14ac:dyDescent="0.2">
      <c r="C91" s="156"/>
    </row>
    <row r="92" spans="3:3" s="180" customFormat="1" x14ac:dyDescent="0.2">
      <c r="C92" s="156"/>
    </row>
    <row r="93" spans="3:3" s="180" customFormat="1" x14ac:dyDescent="0.2">
      <c r="C93" s="156"/>
    </row>
    <row r="94" spans="3:3" s="180" customFormat="1" x14ac:dyDescent="0.2">
      <c r="C94" s="156"/>
    </row>
    <row r="95" spans="3:3" s="180" customFormat="1" x14ac:dyDescent="0.2">
      <c r="C95" s="156"/>
    </row>
    <row r="96" spans="3:3" s="180" customFormat="1" x14ac:dyDescent="0.2">
      <c r="C96" s="156"/>
    </row>
    <row r="97" spans="3:3" s="180" customFormat="1" x14ac:dyDescent="0.2">
      <c r="C97" s="156"/>
    </row>
    <row r="98" spans="3:3" s="180" customFormat="1" x14ac:dyDescent="0.2">
      <c r="C98" s="156"/>
    </row>
    <row r="99" spans="3:3" s="180" customFormat="1" x14ac:dyDescent="0.2">
      <c r="C99" s="156"/>
    </row>
    <row r="100" spans="3:3" s="180" customFormat="1" x14ac:dyDescent="0.2">
      <c r="C100" s="156"/>
    </row>
    <row r="101" spans="3:3" s="180" customFormat="1" x14ac:dyDescent="0.2">
      <c r="C101" s="156"/>
    </row>
    <row r="102" spans="3:3" s="180" customFormat="1" x14ac:dyDescent="0.2">
      <c r="C102" s="156"/>
    </row>
    <row r="103" spans="3:3" s="180" customFormat="1" x14ac:dyDescent="0.2">
      <c r="C103" s="156"/>
    </row>
    <row r="104" spans="3:3" s="180" customFormat="1" x14ac:dyDescent="0.2">
      <c r="C104" s="156"/>
    </row>
    <row r="105" spans="3:3" s="180" customFormat="1" x14ac:dyDescent="0.2">
      <c r="C105" s="156"/>
    </row>
    <row r="106" spans="3:3" s="180" customFormat="1" x14ac:dyDescent="0.2">
      <c r="C106" s="156"/>
    </row>
    <row r="107" spans="3:3" s="180" customFormat="1" x14ac:dyDescent="0.2">
      <c r="C107" s="156"/>
    </row>
    <row r="108" spans="3:3" s="180" customFormat="1" x14ac:dyDescent="0.2">
      <c r="C108" s="156"/>
    </row>
    <row r="109" spans="3:3" s="180" customFormat="1" x14ac:dyDescent="0.2">
      <c r="C109" s="156"/>
    </row>
    <row r="110" spans="3:3" s="180" customFormat="1" x14ac:dyDescent="0.2">
      <c r="C110" s="156"/>
    </row>
    <row r="111" spans="3:3" s="180" customFormat="1" x14ac:dyDescent="0.2">
      <c r="C111" s="156"/>
    </row>
    <row r="112" spans="3:3" s="180" customFormat="1" x14ac:dyDescent="0.2">
      <c r="C112" s="156"/>
    </row>
    <row r="113" spans="3:3" s="180" customFormat="1" x14ac:dyDescent="0.2">
      <c r="C113" s="156"/>
    </row>
    <row r="114" spans="3:3" s="180" customFormat="1" x14ac:dyDescent="0.2">
      <c r="C114" s="156"/>
    </row>
    <row r="115" spans="3:3" s="180" customFormat="1" x14ac:dyDescent="0.2">
      <c r="C115" s="156"/>
    </row>
    <row r="116" spans="3:3" s="180" customFormat="1" x14ac:dyDescent="0.2">
      <c r="C116" s="156"/>
    </row>
    <row r="117" spans="3:3" s="180" customFormat="1" x14ac:dyDescent="0.2">
      <c r="C117" s="156"/>
    </row>
    <row r="118" spans="3:3" s="180" customFormat="1" x14ac:dyDescent="0.2">
      <c r="C118" s="156"/>
    </row>
    <row r="119" spans="3:3" s="180" customFormat="1" x14ac:dyDescent="0.2">
      <c r="C119" s="156"/>
    </row>
    <row r="120" spans="3:3" s="180" customFormat="1" x14ac:dyDescent="0.2">
      <c r="C120" s="156"/>
    </row>
    <row r="121" spans="3:3" s="180" customFormat="1" x14ac:dyDescent="0.2">
      <c r="C121" s="156"/>
    </row>
    <row r="122" spans="3:3" s="180" customFormat="1" x14ac:dyDescent="0.2">
      <c r="C122" s="156"/>
    </row>
    <row r="123" spans="3:3" s="180" customFormat="1" x14ac:dyDescent="0.2">
      <c r="C123" s="156"/>
    </row>
    <row r="124" spans="3:3" s="180" customFormat="1" x14ac:dyDescent="0.2">
      <c r="C124" s="156"/>
    </row>
    <row r="125" spans="3:3" s="180" customFormat="1" x14ac:dyDescent="0.2">
      <c r="C125" s="156"/>
    </row>
    <row r="126" spans="3:3" s="180" customFormat="1" x14ac:dyDescent="0.2">
      <c r="C126" s="156"/>
    </row>
    <row r="127" spans="3:3" s="180" customFormat="1" x14ac:dyDescent="0.2">
      <c r="C127" s="156"/>
    </row>
    <row r="128" spans="3:3" s="180" customFormat="1" x14ac:dyDescent="0.2">
      <c r="C128" s="156"/>
    </row>
    <row r="129" spans="3:3" s="180" customFormat="1" x14ac:dyDescent="0.2">
      <c r="C129" s="156"/>
    </row>
    <row r="130" spans="3:3" s="180" customFormat="1" x14ac:dyDescent="0.2">
      <c r="C130" s="156"/>
    </row>
    <row r="131" spans="3:3" s="180" customFormat="1" x14ac:dyDescent="0.2">
      <c r="C131" s="156"/>
    </row>
    <row r="132" spans="3:3" s="180" customFormat="1" x14ac:dyDescent="0.2">
      <c r="C132" s="156"/>
    </row>
    <row r="133" spans="3:3" s="180" customFormat="1" x14ac:dyDescent="0.2">
      <c r="C133" s="156"/>
    </row>
    <row r="134" spans="3:3" s="180" customFormat="1" x14ac:dyDescent="0.2">
      <c r="C134" s="156"/>
    </row>
    <row r="135" spans="3:3" s="180" customFormat="1" x14ac:dyDescent="0.2">
      <c r="C135" s="156"/>
    </row>
    <row r="136" spans="3:3" s="180" customFormat="1" x14ac:dyDescent="0.2">
      <c r="C136" s="156"/>
    </row>
    <row r="137" spans="3:3" s="180" customFormat="1" x14ac:dyDescent="0.2">
      <c r="C137" s="156"/>
    </row>
    <row r="138" spans="3:3" s="180" customFormat="1" x14ac:dyDescent="0.2">
      <c r="C138" s="156"/>
    </row>
    <row r="139" spans="3:3" s="180" customFormat="1" x14ac:dyDescent="0.2">
      <c r="C139" s="156"/>
    </row>
    <row r="140" spans="3:3" s="180" customFormat="1" x14ac:dyDescent="0.2">
      <c r="C140" s="156"/>
    </row>
    <row r="141" spans="3:3" s="180" customFormat="1" x14ac:dyDescent="0.2">
      <c r="C141" s="156"/>
    </row>
    <row r="142" spans="3:3" s="180" customFormat="1" x14ac:dyDescent="0.2">
      <c r="C142" s="156"/>
    </row>
    <row r="143" spans="3:3" s="180" customFormat="1" x14ac:dyDescent="0.2">
      <c r="C143" s="156"/>
    </row>
    <row r="144" spans="3:3" s="180" customFormat="1" x14ac:dyDescent="0.2">
      <c r="C144" s="156"/>
    </row>
    <row r="145" spans="3:3" s="180" customFormat="1" x14ac:dyDescent="0.2">
      <c r="C145" s="156"/>
    </row>
    <row r="146" spans="3:3" s="180" customFormat="1" x14ac:dyDescent="0.2">
      <c r="C146" s="156"/>
    </row>
    <row r="147" spans="3:3" s="180" customFormat="1" x14ac:dyDescent="0.2">
      <c r="C147" s="156"/>
    </row>
    <row r="148" spans="3:3" s="180" customFormat="1" x14ac:dyDescent="0.2">
      <c r="C148" s="156"/>
    </row>
    <row r="149" spans="3:3" s="180" customFormat="1" x14ac:dyDescent="0.2">
      <c r="C149" s="156"/>
    </row>
    <row r="150" spans="3:3" s="180" customFormat="1" x14ac:dyDescent="0.2">
      <c r="C150" s="156"/>
    </row>
    <row r="151" spans="3:3" s="180" customFormat="1" x14ac:dyDescent="0.2">
      <c r="C151" s="156"/>
    </row>
    <row r="152" spans="3:3" s="180" customFormat="1" x14ac:dyDescent="0.2">
      <c r="C152" s="156"/>
    </row>
    <row r="153" spans="3:3" s="180" customFormat="1" x14ac:dyDescent="0.2">
      <c r="C153" s="156"/>
    </row>
    <row r="154" spans="3:3" s="180" customFormat="1" x14ac:dyDescent="0.2">
      <c r="C154" s="156"/>
    </row>
    <row r="155" spans="3:3" s="180" customFormat="1" x14ac:dyDescent="0.2">
      <c r="C155" s="156"/>
    </row>
    <row r="156" spans="3:3" s="180" customFormat="1" x14ac:dyDescent="0.2">
      <c r="C156" s="156"/>
    </row>
    <row r="157" spans="3:3" s="180" customFormat="1" x14ac:dyDescent="0.2">
      <c r="C157" s="156"/>
    </row>
    <row r="158" spans="3:3" s="180" customFormat="1" x14ac:dyDescent="0.2">
      <c r="C158" s="156"/>
    </row>
    <row r="159" spans="3:3" s="180" customFormat="1" x14ac:dyDescent="0.2">
      <c r="C159" s="156"/>
    </row>
    <row r="160" spans="3:3" s="180" customFormat="1" x14ac:dyDescent="0.2">
      <c r="C160" s="156"/>
    </row>
    <row r="161" spans="3:3" s="180" customFormat="1" x14ac:dyDescent="0.2">
      <c r="C161" s="156"/>
    </row>
    <row r="162" spans="3:3" s="180" customFormat="1" x14ac:dyDescent="0.2">
      <c r="C162" s="156"/>
    </row>
    <row r="163" spans="3:3" s="180" customFormat="1" x14ac:dyDescent="0.2">
      <c r="C163" s="156"/>
    </row>
    <row r="164" spans="3:3" s="180" customFormat="1" x14ac:dyDescent="0.2">
      <c r="C164" s="156"/>
    </row>
    <row r="165" spans="3:3" s="180" customFormat="1" x14ac:dyDescent="0.2">
      <c r="C165" s="156"/>
    </row>
    <row r="166" spans="3:3" s="180" customFormat="1" x14ac:dyDescent="0.2">
      <c r="C166" s="156"/>
    </row>
    <row r="167" spans="3:3" s="180" customFormat="1" x14ac:dyDescent="0.2">
      <c r="C167" s="156"/>
    </row>
    <row r="168" spans="3:3" s="180" customFormat="1" x14ac:dyDescent="0.2">
      <c r="C168" s="156"/>
    </row>
    <row r="169" spans="3:3" s="180" customFormat="1" x14ac:dyDescent="0.2">
      <c r="C169" s="156"/>
    </row>
    <row r="170" spans="3:3" s="180" customFormat="1" x14ac:dyDescent="0.2">
      <c r="C170" s="156"/>
    </row>
    <row r="171" spans="3:3" s="180" customFormat="1" x14ac:dyDescent="0.2">
      <c r="C171" s="156"/>
    </row>
    <row r="172" spans="3:3" s="180" customFormat="1" x14ac:dyDescent="0.2">
      <c r="C172" s="156"/>
    </row>
    <row r="173" spans="3:3" s="180" customFormat="1" x14ac:dyDescent="0.2">
      <c r="C173" s="156"/>
    </row>
    <row r="174" spans="3:3" s="180" customFormat="1" x14ac:dyDescent="0.2">
      <c r="C174" s="156"/>
    </row>
    <row r="175" spans="3:3" s="180" customFormat="1" x14ac:dyDescent="0.2">
      <c r="C175" s="156"/>
    </row>
    <row r="176" spans="3:3" s="180" customFormat="1" x14ac:dyDescent="0.2">
      <c r="C176" s="156"/>
    </row>
    <row r="177" spans="3:3" s="180" customFormat="1" x14ac:dyDescent="0.2">
      <c r="C177" s="156"/>
    </row>
    <row r="178" spans="3:3" s="180" customFormat="1" x14ac:dyDescent="0.2">
      <c r="C178" s="156"/>
    </row>
    <row r="179" spans="3:3" s="180" customFormat="1" x14ac:dyDescent="0.2">
      <c r="C179" s="156"/>
    </row>
    <row r="180" spans="3:3" s="180" customFormat="1" x14ac:dyDescent="0.2">
      <c r="C180" s="156"/>
    </row>
    <row r="181" spans="3:3" s="180" customFormat="1" x14ac:dyDescent="0.2">
      <c r="C181" s="156"/>
    </row>
    <row r="182" spans="3:3" s="180" customFormat="1" x14ac:dyDescent="0.2">
      <c r="C182" s="156"/>
    </row>
    <row r="183" spans="3:3" s="180" customFormat="1" x14ac:dyDescent="0.2">
      <c r="C183" s="156"/>
    </row>
    <row r="184" spans="3:3" s="180" customFormat="1" x14ac:dyDescent="0.2">
      <c r="C184" s="156"/>
    </row>
    <row r="185" spans="3:3" s="180" customFormat="1" x14ac:dyDescent="0.2">
      <c r="C185" s="156"/>
    </row>
    <row r="186" spans="3:3" s="180" customFormat="1" x14ac:dyDescent="0.2">
      <c r="C186" s="156"/>
    </row>
    <row r="187" spans="3:3" s="180" customFormat="1" x14ac:dyDescent="0.2">
      <c r="C187" s="156"/>
    </row>
    <row r="188" spans="3:3" s="180" customFormat="1" x14ac:dyDescent="0.2">
      <c r="C188" s="156"/>
    </row>
    <row r="189" spans="3:3" s="180" customFormat="1" x14ac:dyDescent="0.2">
      <c r="C189" s="156"/>
    </row>
    <row r="190" spans="3:3" s="180" customFormat="1" x14ac:dyDescent="0.2">
      <c r="C190" s="156"/>
    </row>
    <row r="191" spans="3:3" s="180" customFormat="1" x14ac:dyDescent="0.2">
      <c r="C191" s="156"/>
    </row>
    <row r="192" spans="3:3" s="180" customFormat="1" x14ac:dyDescent="0.2">
      <c r="C192" s="156"/>
    </row>
    <row r="193" spans="3:3" s="180" customFormat="1" x14ac:dyDescent="0.2">
      <c r="C193" s="156"/>
    </row>
    <row r="194" spans="3:3" s="180" customFormat="1" x14ac:dyDescent="0.2">
      <c r="C194" s="156"/>
    </row>
    <row r="195" spans="3:3" s="180" customFormat="1" x14ac:dyDescent="0.2">
      <c r="C195" s="156"/>
    </row>
    <row r="196" spans="3:3" s="180" customFormat="1" x14ac:dyDescent="0.2">
      <c r="C196" s="156"/>
    </row>
    <row r="197" spans="3:3" s="180" customFormat="1" x14ac:dyDescent="0.2">
      <c r="C197" s="156"/>
    </row>
    <row r="198" spans="3:3" s="180" customFormat="1" x14ac:dyDescent="0.2">
      <c r="C198" s="156"/>
    </row>
    <row r="199" spans="3:3" s="180" customFormat="1" x14ac:dyDescent="0.2">
      <c r="C199" s="156"/>
    </row>
    <row r="200" spans="3:3" s="180" customFormat="1" x14ac:dyDescent="0.2">
      <c r="C200" s="156"/>
    </row>
    <row r="201" spans="3:3" s="180" customFormat="1" x14ac:dyDescent="0.2">
      <c r="C201" s="156"/>
    </row>
    <row r="202" spans="3:3" s="180" customFormat="1" x14ac:dyDescent="0.2">
      <c r="C202" s="156"/>
    </row>
    <row r="203" spans="3:3" s="180" customFormat="1" x14ac:dyDescent="0.2">
      <c r="C203" s="156"/>
    </row>
    <row r="204" spans="3:3" s="180" customFormat="1" x14ac:dyDescent="0.2">
      <c r="C204" s="156"/>
    </row>
    <row r="205" spans="3:3" s="180" customFormat="1" x14ac:dyDescent="0.2">
      <c r="C205" s="156"/>
    </row>
    <row r="206" spans="3:3" s="180" customFormat="1" x14ac:dyDescent="0.2">
      <c r="C206" s="156"/>
    </row>
    <row r="207" spans="3:3" s="180" customFormat="1" x14ac:dyDescent="0.2">
      <c r="C207" s="156"/>
    </row>
    <row r="208" spans="3:3" s="180" customFormat="1" x14ac:dyDescent="0.2">
      <c r="C208" s="156"/>
    </row>
    <row r="209" spans="3:3" s="180" customFormat="1" x14ac:dyDescent="0.2">
      <c r="C209" s="156"/>
    </row>
    <row r="210" spans="3:3" s="180" customFormat="1" x14ac:dyDescent="0.2">
      <c r="C210" s="156"/>
    </row>
    <row r="211" spans="3:3" s="180" customFormat="1" x14ac:dyDescent="0.2">
      <c r="C211" s="156"/>
    </row>
    <row r="212" spans="3:3" s="180" customFormat="1" x14ac:dyDescent="0.2">
      <c r="C212" s="156"/>
    </row>
    <row r="213" spans="3:3" s="180" customFormat="1" x14ac:dyDescent="0.2">
      <c r="C213" s="156"/>
    </row>
    <row r="214" spans="3:3" s="180" customFormat="1" x14ac:dyDescent="0.2">
      <c r="C214" s="156"/>
    </row>
    <row r="215" spans="3:3" s="180" customFormat="1" x14ac:dyDescent="0.2">
      <c r="C215" s="156"/>
    </row>
    <row r="216" spans="3:3" s="180" customFormat="1" x14ac:dyDescent="0.2">
      <c r="C216" s="156"/>
    </row>
    <row r="217" spans="3:3" s="180" customFormat="1" x14ac:dyDescent="0.2">
      <c r="C217" s="156"/>
    </row>
    <row r="218" spans="3:3" s="180" customFormat="1" x14ac:dyDescent="0.2">
      <c r="C218" s="156"/>
    </row>
    <row r="219" spans="3:3" s="180" customFormat="1" x14ac:dyDescent="0.2">
      <c r="C219" s="156"/>
    </row>
    <row r="220" spans="3:3" s="180" customFormat="1" x14ac:dyDescent="0.2">
      <c r="C220" s="156"/>
    </row>
    <row r="221" spans="3:3" s="180" customFormat="1" x14ac:dyDescent="0.2">
      <c r="C221" s="156"/>
    </row>
    <row r="222" spans="3:3" s="180" customFormat="1" x14ac:dyDescent="0.2">
      <c r="C222" s="156"/>
    </row>
    <row r="223" spans="3:3" s="180" customFormat="1" x14ac:dyDescent="0.2">
      <c r="C223" s="156"/>
    </row>
    <row r="224" spans="3:3" s="180" customFormat="1" x14ac:dyDescent="0.2">
      <c r="C224" s="156"/>
    </row>
    <row r="225" spans="3:3" s="180" customFormat="1" x14ac:dyDescent="0.2">
      <c r="C225" s="156"/>
    </row>
    <row r="226" spans="3:3" s="180" customFormat="1" x14ac:dyDescent="0.2">
      <c r="C226" s="156"/>
    </row>
    <row r="227" spans="3:3" s="180" customFormat="1" x14ac:dyDescent="0.2">
      <c r="C227" s="156"/>
    </row>
    <row r="228" spans="3:3" s="180" customFormat="1" x14ac:dyDescent="0.2">
      <c r="C228" s="156"/>
    </row>
    <row r="229" spans="3:3" s="180" customFormat="1" x14ac:dyDescent="0.2">
      <c r="C229" s="156"/>
    </row>
    <row r="230" spans="3:3" s="180" customFormat="1" x14ac:dyDescent="0.2">
      <c r="C230" s="156"/>
    </row>
    <row r="231" spans="3:3" s="180" customFormat="1" x14ac:dyDescent="0.2">
      <c r="C231" s="156"/>
    </row>
    <row r="232" spans="3:3" s="180" customFormat="1" x14ac:dyDescent="0.2">
      <c r="C232" s="156"/>
    </row>
    <row r="233" spans="3:3" s="180" customFormat="1" x14ac:dyDescent="0.2">
      <c r="C233" s="156"/>
    </row>
    <row r="234" spans="3:3" s="180" customFormat="1" x14ac:dyDescent="0.2">
      <c r="C234" s="156"/>
    </row>
    <row r="235" spans="3:3" s="180" customFormat="1" x14ac:dyDescent="0.2">
      <c r="C235" s="156"/>
    </row>
    <row r="236" spans="3:3" s="180" customFormat="1" x14ac:dyDescent="0.2">
      <c r="C236" s="156"/>
    </row>
    <row r="237" spans="3:3" s="180" customFormat="1" x14ac:dyDescent="0.2">
      <c r="C237" s="156"/>
    </row>
    <row r="238" spans="3:3" s="180" customFormat="1" x14ac:dyDescent="0.2">
      <c r="C238" s="156"/>
    </row>
    <row r="239" spans="3:3" s="180" customFormat="1" x14ac:dyDescent="0.2">
      <c r="C239" s="156"/>
    </row>
    <row r="240" spans="3:3" s="180" customFormat="1" x14ac:dyDescent="0.2">
      <c r="C240" s="156"/>
    </row>
    <row r="241" spans="3:3" s="180" customFormat="1" x14ac:dyDescent="0.2">
      <c r="C241" s="156"/>
    </row>
    <row r="242" spans="3:3" s="180" customFormat="1" x14ac:dyDescent="0.2">
      <c r="C242" s="156"/>
    </row>
    <row r="243" spans="3:3" s="180" customFormat="1" x14ac:dyDescent="0.2">
      <c r="C243" s="156"/>
    </row>
    <row r="244" spans="3:3" s="180" customFormat="1" x14ac:dyDescent="0.2">
      <c r="C244" s="156"/>
    </row>
    <row r="245" spans="3:3" s="180" customFormat="1" x14ac:dyDescent="0.2">
      <c r="C245" s="156"/>
    </row>
    <row r="246" spans="3:3" s="180" customFormat="1" x14ac:dyDescent="0.2">
      <c r="C246" s="156"/>
    </row>
    <row r="247" spans="3:3" s="180" customFormat="1" x14ac:dyDescent="0.2">
      <c r="C247" s="156"/>
    </row>
    <row r="248" spans="3:3" s="180" customFormat="1" x14ac:dyDescent="0.2">
      <c r="C248" s="156"/>
    </row>
    <row r="249" spans="3:3" s="180" customFormat="1" x14ac:dyDescent="0.2">
      <c r="C249" s="156"/>
    </row>
    <row r="250" spans="3:3" s="180" customFormat="1" x14ac:dyDescent="0.2">
      <c r="C250" s="156"/>
    </row>
    <row r="251" spans="3:3" s="180" customFormat="1" x14ac:dyDescent="0.2">
      <c r="C251" s="156"/>
    </row>
    <row r="252" spans="3:3" s="180" customFormat="1" x14ac:dyDescent="0.2">
      <c r="C252" s="156"/>
    </row>
    <row r="253" spans="3:3" s="180" customFormat="1" x14ac:dyDescent="0.2">
      <c r="C253" s="156"/>
    </row>
    <row r="254" spans="3:3" s="180" customFormat="1" x14ac:dyDescent="0.2">
      <c r="C254" s="156"/>
    </row>
    <row r="255" spans="3:3" s="180" customFormat="1" x14ac:dyDescent="0.2">
      <c r="C255" s="156"/>
    </row>
    <row r="256" spans="3:3" s="180" customFormat="1" x14ac:dyDescent="0.2">
      <c r="C256" s="156"/>
    </row>
    <row r="257" spans="3:3" s="180" customFormat="1" x14ac:dyDescent="0.2">
      <c r="C257" s="156"/>
    </row>
    <row r="258" spans="3:3" s="180" customFormat="1" x14ac:dyDescent="0.2">
      <c r="C258" s="156"/>
    </row>
    <row r="259" spans="3:3" s="180" customFormat="1" x14ac:dyDescent="0.2">
      <c r="C259" s="156"/>
    </row>
    <row r="260" spans="3:3" s="180" customFormat="1" x14ac:dyDescent="0.2">
      <c r="C260" s="156"/>
    </row>
    <row r="261" spans="3:3" s="180" customFormat="1" x14ac:dyDescent="0.2">
      <c r="C261" s="156"/>
    </row>
    <row r="262" spans="3:3" s="180" customFormat="1" x14ac:dyDescent="0.2">
      <c r="C262" s="156"/>
    </row>
    <row r="263" spans="3:3" s="180" customFormat="1" x14ac:dyDescent="0.2">
      <c r="C263" s="156"/>
    </row>
    <row r="264" spans="3:3" s="180" customFormat="1" x14ac:dyDescent="0.2">
      <c r="C264" s="156"/>
    </row>
    <row r="265" spans="3:3" s="180" customFormat="1" x14ac:dyDescent="0.2">
      <c r="C265" s="156"/>
    </row>
    <row r="266" spans="3:3" s="180" customFormat="1" x14ac:dyDescent="0.2">
      <c r="C266" s="156"/>
    </row>
    <row r="267" spans="3:3" s="180" customFormat="1" x14ac:dyDescent="0.2">
      <c r="C267" s="156"/>
    </row>
    <row r="268" spans="3:3" s="180" customFormat="1" x14ac:dyDescent="0.2">
      <c r="C268" s="156"/>
    </row>
  </sheetData>
  <mergeCells count="7">
    <mergeCell ref="B3:N3"/>
    <mergeCell ref="B5:B7"/>
    <mergeCell ref="C5:E5"/>
    <mergeCell ref="F5:F6"/>
    <mergeCell ref="K5:K6"/>
    <mergeCell ref="L5:L6"/>
    <mergeCell ref="M5:N5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2193-B474-4F44-B5CF-B68E824798F6}">
  <dimension ref="B2:J34"/>
  <sheetViews>
    <sheetView topLeftCell="A13" workbookViewId="0">
      <selection activeCell="G34" sqref="G34"/>
    </sheetView>
  </sheetViews>
  <sheetFormatPr defaultRowHeight="15" x14ac:dyDescent="0.25"/>
  <cols>
    <col min="3" max="3" width="25.5703125" customWidth="1"/>
    <col min="4" max="4" width="15.85546875" customWidth="1"/>
    <col min="5" max="5" width="14.42578125" customWidth="1"/>
    <col min="6" max="6" width="14.42578125" hidden="1" customWidth="1"/>
    <col min="7" max="7" width="12.5703125" customWidth="1"/>
    <col min="9" max="9" width="2.7109375" customWidth="1"/>
    <col min="10" max="10" width="11.7109375" customWidth="1"/>
  </cols>
  <sheetData>
    <row r="2" spans="2:10" ht="14.45" customHeight="1" x14ac:dyDescent="0.25">
      <c r="B2" s="1652" t="s">
        <v>170</v>
      </c>
      <c r="C2" s="1653"/>
      <c r="D2" s="1653"/>
      <c r="E2" s="1653"/>
      <c r="F2" s="1653"/>
      <c r="G2" s="1654"/>
    </row>
    <row r="3" spans="2:10" ht="14.45" customHeight="1" x14ac:dyDescent="0.25">
      <c r="B3" s="1655"/>
      <c r="C3" s="1656"/>
      <c r="D3" s="1656"/>
      <c r="E3" s="1656"/>
      <c r="F3" s="1656"/>
      <c r="G3" s="1657"/>
    </row>
    <row r="4" spans="2:10" ht="34.9" customHeight="1" x14ac:dyDescent="0.25">
      <c r="B4" s="317" t="s">
        <v>171</v>
      </c>
      <c r="C4" s="317" t="s">
        <v>172</v>
      </c>
      <c r="D4" s="317" t="s">
        <v>173</v>
      </c>
      <c r="E4" s="317" t="s">
        <v>174</v>
      </c>
      <c r="F4" s="317" t="s">
        <v>174</v>
      </c>
      <c r="G4" s="326" t="s">
        <v>301</v>
      </c>
    </row>
    <row r="5" spans="2:10" x14ac:dyDescent="0.25">
      <c r="B5" s="317">
        <v>1</v>
      </c>
      <c r="C5" s="849">
        <v>45536</v>
      </c>
      <c r="D5" s="318">
        <v>283428</v>
      </c>
      <c r="E5" s="318">
        <v>258370</v>
      </c>
      <c r="F5" s="318">
        <v>278115</v>
      </c>
      <c r="G5" s="377">
        <f t="shared" ref="G5:G34" si="0">E5-D5</f>
        <v>-25058</v>
      </c>
      <c r="I5" s="1658"/>
      <c r="J5" s="1658"/>
    </row>
    <row r="6" spans="2:10" x14ac:dyDescent="0.25">
      <c r="B6" s="317">
        <v>2</v>
      </c>
      <c r="C6" s="849">
        <v>45537</v>
      </c>
      <c r="D6" s="318">
        <f>E5</f>
        <v>258370</v>
      </c>
      <c r="E6" s="318">
        <v>263554</v>
      </c>
      <c r="F6" s="318">
        <v>218067</v>
      </c>
      <c r="G6" s="377">
        <f t="shared" si="0"/>
        <v>5184</v>
      </c>
    </row>
    <row r="7" spans="2:10" x14ac:dyDescent="0.25">
      <c r="B7" s="317">
        <v>3</v>
      </c>
      <c r="C7" s="849">
        <v>45538</v>
      </c>
      <c r="D7" s="318">
        <f>E6</f>
        <v>263554</v>
      </c>
      <c r="E7" s="318">
        <v>276348</v>
      </c>
      <c r="F7" s="318">
        <v>257614</v>
      </c>
      <c r="G7" s="377">
        <f t="shared" si="0"/>
        <v>12794</v>
      </c>
    </row>
    <row r="8" spans="2:10" x14ac:dyDescent="0.25">
      <c r="B8" s="317">
        <v>4</v>
      </c>
      <c r="C8" s="849">
        <v>45539</v>
      </c>
      <c r="D8" s="318">
        <f>E7</f>
        <v>276348</v>
      </c>
      <c r="E8" s="318">
        <v>261140</v>
      </c>
      <c r="F8" s="318">
        <v>246851</v>
      </c>
      <c r="G8" s="377">
        <f t="shared" si="0"/>
        <v>-15208</v>
      </c>
    </row>
    <row r="9" spans="2:10" x14ac:dyDescent="0.25">
      <c r="B9" s="317">
        <v>5</v>
      </c>
      <c r="C9" s="849">
        <v>45540</v>
      </c>
      <c r="D9" s="318">
        <f>E8</f>
        <v>261140</v>
      </c>
      <c r="E9" s="318">
        <v>258430</v>
      </c>
      <c r="F9" s="318">
        <v>255653</v>
      </c>
      <c r="G9" s="377">
        <f t="shared" si="0"/>
        <v>-2710</v>
      </c>
    </row>
    <row r="10" spans="2:10" x14ac:dyDescent="0.25">
      <c r="B10" s="317">
        <v>6</v>
      </c>
      <c r="C10" s="849">
        <v>45541</v>
      </c>
      <c r="D10" s="318">
        <f t="shared" ref="D10:D34" si="1">E9</f>
        <v>258430</v>
      </c>
      <c r="E10" s="318">
        <v>262670</v>
      </c>
      <c r="F10" s="318">
        <v>258450</v>
      </c>
      <c r="G10" s="377">
        <f t="shared" si="0"/>
        <v>4240</v>
      </c>
    </row>
    <row r="11" spans="2:10" x14ac:dyDescent="0.25">
      <c r="B11" s="317">
        <v>7</v>
      </c>
      <c r="C11" s="849">
        <v>45542</v>
      </c>
      <c r="D11" s="318">
        <f t="shared" si="1"/>
        <v>262670</v>
      </c>
      <c r="E11" s="318">
        <v>266620</v>
      </c>
      <c r="F11" s="318">
        <v>238552</v>
      </c>
      <c r="G11" s="377">
        <f t="shared" si="0"/>
        <v>3950</v>
      </c>
    </row>
    <row r="12" spans="2:10" x14ac:dyDescent="0.25">
      <c r="B12" s="317">
        <v>8</v>
      </c>
      <c r="C12" s="849">
        <v>45543</v>
      </c>
      <c r="D12" s="318">
        <f t="shared" si="1"/>
        <v>266620</v>
      </c>
      <c r="E12" s="318">
        <v>274697</v>
      </c>
      <c r="F12" s="318">
        <v>283505</v>
      </c>
      <c r="G12" s="377">
        <f t="shared" si="0"/>
        <v>8077</v>
      </c>
      <c r="H12" s="375"/>
    </row>
    <row r="13" spans="2:10" x14ac:dyDescent="0.25">
      <c r="B13" s="317">
        <v>9</v>
      </c>
      <c r="C13" s="849">
        <v>45544</v>
      </c>
      <c r="D13" s="318">
        <f t="shared" si="1"/>
        <v>274697</v>
      </c>
      <c r="E13" s="318">
        <v>258292</v>
      </c>
      <c r="F13" s="318">
        <v>269320</v>
      </c>
      <c r="G13" s="377">
        <f>E13-D13</f>
        <v>-16405</v>
      </c>
    </row>
    <row r="14" spans="2:10" x14ac:dyDescent="0.25">
      <c r="B14" s="317">
        <v>10</v>
      </c>
      <c r="C14" s="849">
        <v>45545</v>
      </c>
      <c r="D14" s="318">
        <f t="shared" si="1"/>
        <v>258292</v>
      </c>
      <c r="E14" s="318">
        <v>260550</v>
      </c>
      <c r="F14" s="318">
        <v>281809</v>
      </c>
      <c r="G14" s="377">
        <f t="shared" si="0"/>
        <v>2258</v>
      </c>
    </row>
    <row r="15" spans="2:10" x14ac:dyDescent="0.25">
      <c r="B15" s="317">
        <v>11</v>
      </c>
      <c r="C15" s="849">
        <v>45546</v>
      </c>
      <c r="D15" s="318">
        <f t="shared" si="1"/>
        <v>260550</v>
      </c>
      <c r="E15" s="318">
        <v>263737</v>
      </c>
      <c r="F15" s="318">
        <v>267958</v>
      </c>
      <c r="G15" s="377">
        <f t="shared" si="0"/>
        <v>3187</v>
      </c>
    </row>
    <row r="16" spans="2:10" x14ac:dyDescent="0.25">
      <c r="B16" s="317">
        <v>12</v>
      </c>
      <c r="C16" s="849">
        <v>45547</v>
      </c>
      <c r="D16" s="318">
        <f t="shared" si="1"/>
        <v>263737</v>
      </c>
      <c r="E16" s="318">
        <v>266193</v>
      </c>
      <c r="F16" s="318">
        <v>267268</v>
      </c>
      <c r="G16" s="377">
        <f t="shared" si="0"/>
        <v>2456</v>
      </c>
    </row>
    <row r="17" spans="2:7" x14ac:dyDescent="0.25">
      <c r="B17" s="317">
        <v>13</v>
      </c>
      <c r="C17" s="849">
        <v>45548</v>
      </c>
      <c r="D17" s="318">
        <f t="shared" si="1"/>
        <v>266193</v>
      </c>
      <c r="E17" s="318">
        <v>286995</v>
      </c>
      <c r="F17" s="318">
        <v>285895</v>
      </c>
      <c r="G17" s="377">
        <f t="shared" si="0"/>
        <v>20802</v>
      </c>
    </row>
    <row r="18" spans="2:7" x14ac:dyDescent="0.25">
      <c r="B18" s="317">
        <v>14</v>
      </c>
      <c r="C18" s="849">
        <v>45549</v>
      </c>
      <c r="D18" s="318">
        <f t="shared" si="1"/>
        <v>286995</v>
      </c>
      <c r="E18" s="318">
        <v>277461</v>
      </c>
      <c r="F18" s="318">
        <f>286934-27000</f>
        <v>259934</v>
      </c>
      <c r="G18" s="377">
        <f t="shared" si="0"/>
        <v>-9534</v>
      </c>
    </row>
    <row r="19" spans="2:7" x14ac:dyDescent="0.25">
      <c r="B19" s="317">
        <v>15</v>
      </c>
      <c r="C19" s="849">
        <v>45550</v>
      </c>
      <c r="D19" s="318">
        <f t="shared" si="1"/>
        <v>277461</v>
      </c>
      <c r="E19" s="318">
        <v>276869</v>
      </c>
      <c r="F19" s="318">
        <f>259375-30000</f>
        <v>229375</v>
      </c>
      <c r="G19" s="377">
        <f t="shared" si="0"/>
        <v>-592</v>
      </c>
    </row>
    <row r="20" spans="2:7" x14ac:dyDescent="0.25">
      <c r="B20" s="317">
        <v>16</v>
      </c>
      <c r="C20" s="849">
        <v>45551</v>
      </c>
      <c r="D20" s="318">
        <f t="shared" si="1"/>
        <v>276869</v>
      </c>
      <c r="E20" s="318">
        <v>276843</v>
      </c>
      <c r="F20" s="318">
        <v>206080</v>
      </c>
      <c r="G20" s="377">
        <f t="shared" si="0"/>
        <v>-26</v>
      </c>
    </row>
    <row r="21" spans="2:7" x14ac:dyDescent="0.25">
      <c r="B21" s="317">
        <v>17</v>
      </c>
      <c r="C21" s="849">
        <v>45552</v>
      </c>
      <c r="D21" s="318">
        <f t="shared" si="1"/>
        <v>276843</v>
      </c>
      <c r="E21" s="318">
        <v>290612</v>
      </c>
      <c r="F21" s="318">
        <v>205580</v>
      </c>
      <c r="G21" s="377">
        <f t="shared" si="0"/>
        <v>13769</v>
      </c>
    </row>
    <row r="22" spans="2:7" x14ac:dyDescent="0.25">
      <c r="B22" s="317">
        <v>18</v>
      </c>
      <c r="C22" s="849">
        <v>45553</v>
      </c>
      <c r="D22" s="318">
        <f t="shared" si="1"/>
        <v>290612</v>
      </c>
      <c r="E22" s="318">
        <v>288381</v>
      </c>
      <c r="F22" s="318">
        <v>204650</v>
      </c>
      <c r="G22" s="377">
        <f t="shared" si="0"/>
        <v>-2231</v>
      </c>
    </row>
    <row r="23" spans="2:7" x14ac:dyDescent="0.25">
      <c r="B23" s="317">
        <v>19</v>
      </c>
      <c r="C23" s="849">
        <v>45554</v>
      </c>
      <c r="D23" s="318">
        <f t="shared" si="1"/>
        <v>288381</v>
      </c>
      <c r="E23" s="318">
        <v>263865</v>
      </c>
      <c r="F23" s="318">
        <v>204650</v>
      </c>
      <c r="G23" s="377">
        <f>E23-D23</f>
        <v>-24516</v>
      </c>
    </row>
    <row r="24" spans="2:7" x14ac:dyDescent="0.25">
      <c r="B24" s="317">
        <v>20</v>
      </c>
      <c r="C24" s="849">
        <v>45555</v>
      </c>
      <c r="D24" s="318">
        <f t="shared" si="1"/>
        <v>263865</v>
      </c>
      <c r="E24" s="318">
        <v>261183</v>
      </c>
      <c r="F24" s="318">
        <f>259103-20000</f>
        <v>239103</v>
      </c>
      <c r="G24" s="377">
        <f t="shared" si="0"/>
        <v>-2682</v>
      </c>
    </row>
    <row r="25" spans="2:7" x14ac:dyDescent="0.25">
      <c r="B25" s="317">
        <v>21</v>
      </c>
      <c r="C25" s="849">
        <v>45556</v>
      </c>
      <c r="D25" s="318">
        <f t="shared" si="1"/>
        <v>261183</v>
      </c>
      <c r="E25" s="318">
        <v>252851</v>
      </c>
      <c r="F25" s="318">
        <f>222878+20000</f>
        <v>242878</v>
      </c>
      <c r="G25" s="377">
        <f t="shared" si="0"/>
        <v>-8332</v>
      </c>
    </row>
    <row r="26" spans="2:7" x14ac:dyDescent="0.25">
      <c r="B26" s="317">
        <v>22</v>
      </c>
      <c r="C26" s="849">
        <v>45557</v>
      </c>
      <c r="D26" s="318">
        <f t="shared" si="1"/>
        <v>252851</v>
      </c>
      <c r="E26" s="318">
        <v>247622</v>
      </c>
      <c r="F26" s="318">
        <f>222984+20500</f>
        <v>243484</v>
      </c>
      <c r="G26" s="377">
        <f t="shared" si="0"/>
        <v>-5229</v>
      </c>
    </row>
    <row r="27" spans="2:7" x14ac:dyDescent="0.25">
      <c r="B27" s="317">
        <v>23</v>
      </c>
      <c r="C27" s="849">
        <v>45558</v>
      </c>
      <c r="D27" s="318">
        <f t="shared" si="1"/>
        <v>247622</v>
      </c>
      <c r="E27" s="318">
        <v>243430</v>
      </c>
      <c r="F27" s="318">
        <v>219216</v>
      </c>
      <c r="G27" s="377">
        <f t="shared" si="0"/>
        <v>-4192</v>
      </c>
    </row>
    <row r="28" spans="2:7" x14ac:dyDescent="0.25">
      <c r="B28" s="317">
        <v>24</v>
      </c>
      <c r="C28" s="849">
        <v>45559</v>
      </c>
      <c r="D28" s="318">
        <f t="shared" si="1"/>
        <v>243430</v>
      </c>
      <c r="E28" s="318">
        <v>247662</v>
      </c>
      <c r="F28" s="318">
        <v>244970</v>
      </c>
      <c r="G28" s="377">
        <f t="shared" si="0"/>
        <v>4232</v>
      </c>
    </row>
    <row r="29" spans="2:7" x14ac:dyDescent="0.25">
      <c r="B29" s="317">
        <v>25</v>
      </c>
      <c r="C29" s="849">
        <v>45560</v>
      </c>
      <c r="D29" s="318">
        <f t="shared" si="1"/>
        <v>247662</v>
      </c>
      <c r="E29" s="318">
        <v>269395</v>
      </c>
      <c r="F29" s="318">
        <f>209886+25000</f>
        <v>234886</v>
      </c>
      <c r="G29" s="377">
        <f t="shared" si="0"/>
        <v>21733</v>
      </c>
    </row>
    <row r="30" spans="2:7" x14ac:dyDescent="0.25">
      <c r="B30" s="317">
        <v>26</v>
      </c>
      <c r="C30" s="849">
        <v>45561</v>
      </c>
      <c r="D30" s="318">
        <f t="shared" si="1"/>
        <v>269395</v>
      </c>
      <c r="E30" s="318">
        <v>262439</v>
      </c>
      <c r="F30" s="318">
        <v>0</v>
      </c>
      <c r="G30" s="377">
        <f t="shared" si="0"/>
        <v>-6956</v>
      </c>
    </row>
    <row r="31" spans="2:7" x14ac:dyDescent="0.25">
      <c r="B31" s="317">
        <v>27</v>
      </c>
      <c r="C31" s="849">
        <v>45562</v>
      </c>
      <c r="D31" s="318">
        <f t="shared" si="1"/>
        <v>262439</v>
      </c>
      <c r="E31" s="318">
        <v>250429</v>
      </c>
      <c r="F31" s="318">
        <v>0</v>
      </c>
      <c r="G31" s="377">
        <f t="shared" si="0"/>
        <v>-12010</v>
      </c>
    </row>
    <row r="32" spans="2:7" x14ac:dyDescent="0.25">
      <c r="B32" s="317">
        <v>28</v>
      </c>
      <c r="C32" s="849">
        <v>45563</v>
      </c>
      <c r="D32" s="318">
        <f t="shared" si="1"/>
        <v>250429</v>
      </c>
      <c r="E32" s="318">
        <v>262606</v>
      </c>
      <c r="F32" s="318">
        <v>0</v>
      </c>
      <c r="G32" s="377">
        <f t="shared" si="0"/>
        <v>12177</v>
      </c>
    </row>
    <row r="33" spans="2:7" x14ac:dyDescent="0.25">
      <c r="B33" s="317">
        <v>29</v>
      </c>
      <c r="C33" s="849">
        <v>45564</v>
      </c>
      <c r="D33" s="318">
        <f t="shared" si="1"/>
        <v>262606</v>
      </c>
      <c r="E33" s="318">
        <v>254790</v>
      </c>
      <c r="F33" s="318">
        <v>0</v>
      </c>
      <c r="G33" s="377">
        <f t="shared" si="0"/>
        <v>-7816</v>
      </c>
    </row>
    <row r="34" spans="2:7" x14ac:dyDescent="0.25">
      <c r="B34" s="317">
        <v>30</v>
      </c>
      <c r="C34" s="849">
        <v>45565</v>
      </c>
      <c r="D34" s="318">
        <f t="shared" si="1"/>
        <v>254790</v>
      </c>
      <c r="E34" s="318">
        <v>258530</v>
      </c>
      <c r="F34" s="318">
        <v>0</v>
      </c>
      <c r="G34" s="377">
        <f t="shared" si="0"/>
        <v>3740</v>
      </c>
    </row>
  </sheetData>
  <mergeCells count="2">
    <mergeCell ref="B2:G3"/>
    <mergeCell ref="I5:J5"/>
  </mergeCells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7CF8-DDCE-4F62-9413-DD7D1400D2BC}">
  <dimension ref="B2:G34"/>
  <sheetViews>
    <sheetView workbookViewId="0">
      <selection activeCell="E35" sqref="E35"/>
    </sheetView>
  </sheetViews>
  <sheetFormatPr defaultRowHeight="15" x14ac:dyDescent="0.25"/>
  <cols>
    <col min="3" max="3" width="19.5703125" customWidth="1"/>
    <col min="4" max="4" width="15.85546875" customWidth="1"/>
    <col min="5" max="5" width="14.42578125" customWidth="1"/>
    <col min="6" max="6" width="14" customWidth="1"/>
  </cols>
  <sheetData>
    <row r="2" spans="2:7" ht="14.45" customHeight="1" x14ac:dyDescent="0.25">
      <c r="B2" s="1652" t="s">
        <v>219</v>
      </c>
      <c r="C2" s="1653"/>
      <c r="D2" s="1653"/>
      <c r="E2" s="1653"/>
      <c r="F2" s="1654"/>
    </row>
    <row r="3" spans="2:7" ht="14.45" customHeight="1" x14ac:dyDescent="0.25">
      <c r="B3" s="1655"/>
      <c r="C3" s="1656"/>
      <c r="D3" s="1656"/>
      <c r="E3" s="1656"/>
      <c r="F3" s="1657"/>
    </row>
    <row r="4" spans="2:7" x14ac:dyDescent="0.25">
      <c r="B4" s="317" t="s">
        <v>171</v>
      </c>
      <c r="C4" s="317" t="s">
        <v>172</v>
      </c>
      <c r="D4" s="317" t="s">
        <v>173</v>
      </c>
      <c r="E4" s="317" t="s">
        <v>174</v>
      </c>
      <c r="F4" s="317" t="s">
        <v>220</v>
      </c>
    </row>
    <row r="5" spans="2:7" x14ac:dyDescent="0.25">
      <c r="B5" s="317">
        <v>1</v>
      </c>
      <c r="C5" s="849">
        <v>45536</v>
      </c>
      <c r="D5" s="318">
        <v>637920</v>
      </c>
      <c r="E5" s="318">
        <v>245680</v>
      </c>
      <c r="F5" s="377">
        <f>E5-D5</f>
        <v>-392240</v>
      </c>
    </row>
    <row r="6" spans="2:7" x14ac:dyDescent="0.25">
      <c r="B6" s="317">
        <v>2</v>
      </c>
      <c r="C6" s="849">
        <v>45537</v>
      </c>
      <c r="D6" s="318">
        <f>E5</f>
        <v>245680</v>
      </c>
      <c r="E6" s="318">
        <v>246050</v>
      </c>
      <c r="F6" s="377">
        <f t="shared" ref="F6:F34" si="0">E6-D6</f>
        <v>370</v>
      </c>
    </row>
    <row r="7" spans="2:7" x14ac:dyDescent="0.25">
      <c r="B7" s="317">
        <v>3</v>
      </c>
      <c r="C7" s="849">
        <v>45538</v>
      </c>
      <c r="D7" s="318">
        <f>E6</f>
        <v>246050</v>
      </c>
      <c r="E7" s="318">
        <v>381770</v>
      </c>
      <c r="F7" s="377">
        <f t="shared" si="0"/>
        <v>135720</v>
      </c>
    </row>
    <row r="8" spans="2:7" x14ac:dyDescent="0.25">
      <c r="B8" s="317">
        <v>4</v>
      </c>
      <c r="C8" s="849">
        <v>45539</v>
      </c>
      <c r="D8" s="318">
        <f>E7</f>
        <v>381770</v>
      </c>
      <c r="E8" s="318">
        <v>354940</v>
      </c>
      <c r="F8" s="377">
        <f t="shared" si="0"/>
        <v>-26830</v>
      </c>
    </row>
    <row r="9" spans="2:7" x14ac:dyDescent="0.25">
      <c r="B9" s="317">
        <v>5</v>
      </c>
      <c r="C9" s="849">
        <v>45540</v>
      </c>
      <c r="D9" s="318">
        <f>E8</f>
        <v>354940</v>
      </c>
      <c r="E9" s="318">
        <v>354600</v>
      </c>
      <c r="F9" s="377">
        <f t="shared" si="0"/>
        <v>-340</v>
      </c>
    </row>
    <row r="10" spans="2:7" x14ac:dyDescent="0.25">
      <c r="B10" s="317">
        <v>6</v>
      </c>
      <c r="C10" s="849">
        <v>45541</v>
      </c>
      <c r="D10" s="318">
        <f t="shared" ref="D10:D34" si="1">E9</f>
        <v>354600</v>
      </c>
      <c r="E10" s="318">
        <v>300810</v>
      </c>
      <c r="F10" s="377">
        <f t="shared" si="0"/>
        <v>-53790</v>
      </c>
    </row>
    <row r="11" spans="2:7" x14ac:dyDescent="0.25">
      <c r="B11" s="317">
        <v>7</v>
      </c>
      <c r="C11" s="849">
        <v>45542</v>
      </c>
      <c r="D11" s="318">
        <f t="shared" si="1"/>
        <v>300810</v>
      </c>
      <c r="E11" s="318">
        <v>300790</v>
      </c>
      <c r="F11" s="377">
        <f t="shared" si="0"/>
        <v>-20</v>
      </c>
    </row>
    <row r="12" spans="2:7" x14ac:dyDescent="0.25">
      <c r="B12" s="317">
        <v>8</v>
      </c>
      <c r="C12" s="849">
        <v>45543</v>
      </c>
      <c r="D12" s="318">
        <f t="shared" si="1"/>
        <v>300790</v>
      </c>
      <c r="E12" s="318">
        <v>159610</v>
      </c>
      <c r="F12" s="377">
        <f t="shared" si="0"/>
        <v>-141180</v>
      </c>
      <c r="G12" s="375"/>
    </row>
    <row r="13" spans="2:7" x14ac:dyDescent="0.25">
      <c r="B13" s="317">
        <v>9</v>
      </c>
      <c r="C13" s="849">
        <v>45544</v>
      </c>
      <c r="D13" s="318">
        <f t="shared" si="1"/>
        <v>159610</v>
      </c>
      <c r="E13" s="318">
        <v>464780</v>
      </c>
      <c r="F13" s="377">
        <f t="shared" si="0"/>
        <v>305170</v>
      </c>
    </row>
    <row r="14" spans="2:7" x14ac:dyDescent="0.25">
      <c r="B14" s="317">
        <v>10</v>
      </c>
      <c r="C14" s="849">
        <v>45545</v>
      </c>
      <c r="D14" s="318">
        <f t="shared" si="1"/>
        <v>464780</v>
      </c>
      <c r="E14" s="318">
        <v>354710</v>
      </c>
      <c r="F14" s="377">
        <f t="shared" si="0"/>
        <v>-110070</v>
      </c>
    </row>
    <row r="15" spans="2:7" x14ac:dyDescent="0.25">
      <c r="B15" s="317">
        <v>11</v>
      </c>
      <c r="C15" s="849">
        <v>45546</v>
      </c>
      <c r="D15" s="318">
        <f t="shared" si="1"/>
        <v>354710</v>
      </c>
      <c r="E15" s="318">
        <v>299810</v>
      </c>
      <c r="F15" s="377">
        <f t="shared" si="0"/>
        <v>-54900</v>
      </c>
    </row>
    <row r="16" spans="2:7" x14ac:dyDescent="0.25">
      <c r="B16" s="317">
        <v>12</v>
      </c>
      <c r="C16" s="849">
        <v>45547</v>
      </c>
      <c r="D16" s="318">
        <f t="shared" si="1"/>
        <v>299810</v>
      </c>
      <c r="E16" s="318">
        <v>81190</v>
      </c>
      <c r="F16" s="377">
        <f t="shared" si="0"/>
        <v>-218620</v>
      </c>
    </row>
    <row r="17" spans="2:6" x14ac:dyDescent="0.25">
      <c r="B17" s="317">
        <v>13</v>
      </c>
      <c r="C17" s="849">
        <v>45548</v>
      </c>
      <c r="D17" s="318">
        <f t="shared" si="1"/>
        <v>81190</v>
      </c>
      <c r="E17" s="318">
        <v>33350</v>
      </c>
      <c r="F17" s="377">
        <f t="shared" si="0"/>
        <v>-47840</v>
      </c>
    </row>
    <row r="18" spans="2:6" x14ac:dyDescent="0.25">
      <c r="B18" s="317">
        <v>14</v>
      </c>
      <c r="C18" s="849">
        <v>45549</v>
      </c>
      <c r="D18" s="318">
        <f t="shared" si="1"/>
        <v>33350</v>
      </c>
      <c r="E18" s="318">
        <v>300530</v>
      </c>
      <c r="F18" s="377">
        <f t="shared" si="0"/>
        <v>267180</v>
      </c>
    </row>
    <row r="19" spans="2:6" x14ac:dyDescent="0.25">
      <c r="B19" s="317">
        <v>15</v>
      </c>
      <c r="C19" s="849">
        <v>45550</v>
      </c>
      <c r="D19" s="318">
        <f t="shared" si="1"/>
        <v>300530</v>
      </c>
      <c r="E19" s="318">
        <v>467220</v>
      </c>
      <c r="F19" s="377">
        <f t="shared" si="0"/>
        <v>166690</v>
      </c>
    </row>
    <row r="20" spans="2:6" x14ac:dyDescent="0.25">
      <c r="B20" s="317">
        <v>16</v>
      </c>
      <c r="C20" s="849">
        <v>45551</v>
      </c>
      <c r="D20" s="318">
        <f t="shared" si="1"/>
        <v>467220</v>
      </c>
      <c r="E20" s="318">
        <v>25990</v>
      </c>
      <c r="F20" s="377">
        <f t="shared" si="0"/>
        <v>-441230</v>
      </c>
    </row>
    <row r="21" spans="2:6" x14ac:dyDescent="0.25">
      <c r="B21" s="317">
        <v>17</v>
      </c>
      <c r="C21" s="849">
        <v>45552</v>
      </c>
      <c r="D21" s="318">
        <f t="shared" si="1"/>
        <v>25990</v>
      </c>
      <c r="E21" s="318">
        <v>30270</v>
      </c>
      <c r="F21" s="377">
        <f t="shared" si="0"/>
        <v>4280</v>
      </c>
    </row>
    <row r="22" spans="2:6" x14ac:dyDescent="0.25">
      <c r="B22" s="317">
        <v>18</v>
      </c>
      <c r="C22" s="849">
        <v>45553</v>
      </c>
      <c r="D22" s="318">
        <f t="shared" si="1"/>
        <v>30270</v>
      </c>
      <c r="E22" s="318">
        <v>585230</v>
      </c>
      <c r="F22" s="377">
        <f t="shared" si="0"/>
        <v>554960</v>
      </c>
    </row>
    <row r="23" spans="2:6" x14ac:dyDescent="0.25">
      <c r="B23" s="317">
        <v>19</v>
      </c>
      <c r="C23" s="849">
        <v>45554</v>
      </c>
      <c r="D23" s="318">
        <f t="shared" si="1"/>
        <v>585230</v>
      </c>
      <c r="E23" s="318">
        <v>408021</v>
      </c>
      <c r="F23" s="377">
        <f t="shared" si="0"/>
        <v>-177209</v>
      </c>
    </row>
    <row r="24" spans="2:6" x14ac:dyDescent="0.25">
      <c r="B24" s="317">
        <v>20</v>
      </c>
      <c r="C24" s="849">
        <v>45555</v>
      </c>
      <c r="D24" s="318">
        <f t="shared" si="1"/>
        <v>408021</v>
      </c>
      <c r="E24" s="318">
        <v>482160</v>
      </c>
      <c r="F24" s="377">
        <f t="shared" si="0"/>
        <v>74139</v>
      </c>
    </row>
    <row r="25" spans="2:6" x14ac:dyDescent="0.25">
      <c r="B25" s="317">
        <v>21</v>
      </c>
      <c r="C25" s="849">
        <v>45556</v>
      </c>
      <c r="D25" s="318">
        <f t="shared" si="1"/>
        <v>482160</v>
      </c>
      <c r="E25" s="318">
        <v>398000</v>
      </c>
      <c r="F25" s="377">
        <f t="shared" si="0"/>
        <v>-84160</v>
      </c>
    </row>
    <row r="26" spans="2:6" x14ac:dyDescent="0.25">
      <c r="B26" s="317">
        <v>22</v>
      </c>
      <c r="C26" s="849">
        <v>45557</v>
      </c>
      <c r="D26" s="318">
        <f t="shared" si="1"/>
        <v>398000</v>
      </c>
      <c r="E26" s="318">
        <v>347190</v>
      </c>
      <c r="F26" s="377">
        <f t="shared" si="0"/>
        <v>-50810</v>
      </c>
    </row>
    <row r="27" spans="2:6" x14ac:dyDescent="0.25">
      <c r="B27" s="317">
        <v>23</v>
      </c>
      <c r="C27" s="849">
        <v>45558</v>
      </c>
      <c r="D27" s="318">
        <f t="shared" si="1"/>
        <v>347190</v>
      </c>
      <c r="E27" s="318">
        <v>377770</v>
      </c>
      <c r="F27" s="377">
        <f t="shared" si="0"/>
        <v>30580</v>
      </c>
    </row>
    <row r="28" spans="2:6" x14ac:dyDescent="0.25">
      <c r="B28" s="317">
        <v>24</v>
      </c>
      <c r="C28" s="849">
        <v>45559</v>
      </c>
      <c r="D28" s="318">
        <f t="shared" si="1"/>
        <v>377770</v>
      </c>
      <c r="E28" s="318">
        <v>377770</v>
      </c>
      <c r="F28" s="377">
        <f t="shared" si="0"/>
        <v>0</v>
      </c>
    </row>
    <row r="29" spans="2:6" x14ac:dyDescent="0.25">
      <c r="B29" s="317">
        <v>25</v>
      </c>
      <c r="C29" s="849">
        <v>45560</v>
      </c>
      <c r="D29" s="318">
        <f t="shared" si="1"/>
        <v>377770</v>
      </c>
      <c r="E29" s="318">
        <v>404120</v>
      </c>
      <c r="F29" s="377">
        <f t="shared" si="0"/>
        <v>26350</v>
      </c>
    </row>
    <row r="30" spans="2:6" x14ac:dyDescent="0.25">
      <c r="B30" s="317">
        <v>26</v>
      </c>
      <c r="C30" s="849">
        <v>45561</v>
      </c>
      <c r="D30" s="318">
        <f t="shared" si="1"/>
        <v>404120</v>
      </c>
      <c r="E30" s="318">
        <v>663186</v>
      </c>
      <c r="F30" s="377">
        <f t="shared" si="0"/>
        <v>259066</v>
      </c>
    </row>
    <row r="31" spans="2:6" x14ac:dyDescent="0.25">
      <c r="B31" s="317">
        <v>27</v>
      </c>
      <c r="C31" s="849">
        <v>45562</v>
      </c>
      <c r="D31" s="318">
        <f t="shared" si="1"/>
        <v>663186</v>
      </c>
      <c r="E31" s="318">
        <v>663860</v>
      </c>
      <c r="F31" s="377">
        <f t="shared" si="0"/>
        <v>674</v>
      </c>
    </row>
    <row r="32" spans="2:6" x14ac:dyDescent="0.25">
      <c r="B32" s="317">
        <v>28</v>
      </c>
      <c r="C32" s="849">
        <v>45563</v>
      </c>
      <c r="D32" s="318">
        <f t="shared" si="1"/>
        <v>663860</v>
      </c>
      <c r="E32" s="318">
        <v>504730</v>
      </c>
      <c r="F32" s="377">
        <f t="shared" si="0"/>
        <v>-159130</v>
      </c>
    </row>
    <row r="33" spans="2:6" x14ac:dyDescent="0.25">
      <c r="B33" s="317">
        <v>29</v>
      </c>
      <c r="C33" s="849">
        <v>45564</v>
      </c>
      <c r="D33" s="318">
        <f t="shared" si="1"/>
        <v>504730</v>
      </c>
      <c r="E33" s="318">
        <v>648940</v>
      </c>
      <c r="F33" s="377">
        <f t="shared" si="0"/>
        <v>144210</v>
      </c>
    </row>
    <row r="34" spans="2:6" x14ac:dyDescent="0.25">
      <c r="B34" s="317">
        <v>30</v>
      </c>
      <c r="C34" s="849">
        <v>45565</v>
      </c>
      <c r="D34" s="318">
        <f t="shared" si="1"/>
        <v>648940</v>
      </c>
      <c r="E34" s="318">
        <v>509720</v>
      </c>
      <c r="F34" s="377">
        <f t="shared" si="0"/>
        <v>-139220</v>
      </c>
    </row>
  </sheetData>
  <mergeCells count="1">
    <mergeCell ref="B2:F3"/>
  </mergeCells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G10" sqref="G10"/>
    </sheetView>
  </sheetViews>
  <sheetFormatPr defaultRowHeight="15" x14ac:dyDescent="0.25"/>
  <cols>
    <col min="1" max="1" width="9.28515625" style="1002" bestFit="1" customWidth="1"/>
    <col min="2" max="2" width="13.140625" style="1002" customWidth="1"/>
    <col min="3" max="3" width="49.7109375" style="1002" bestFit="1" customWidth="1"/>
    <col min="4" max="4" width="39.140625" style="1002" bestFit="1" customWidth="1"/>
    <col min="5" max="5" width="9.140625" style="1002"/>
  </cols>
  <sheetData>
    <row r="1" spans="1:5" ht="24" customHeight="1" x14ac:dyDescent="0.25">
      <c r="A1" s="1659" t="s">
        <v>565</v>
      </c>
      <c r="B1" s="1659" t="s">
        <v>172</v>
      </c>
      <c r="C1" s="1659" t="s">
        <v>566</v>
      </c>
      <c r="D1" s="1659"/>
      <c r="E1" s="1109"/>
    </row>
    <row r="2" spans="1:5" ht="21" customHeight="1" x14ac:dyDescent="0.25">
      <c r="A2" s="1659"/>
      <c r="B2" s="1659"/>
      <c r="C2" s="1109" t="s">
        <v>16</v>
      </c>
      <c r="D2" s="1109" t="s">
        <v>567</v>
      </c>
      <c r="E2" s="1109"/>
    </row>
    <row r="3" spans="1:5" x14ac:dyDescent="0.25">
      <c r="A3" s="1103">
        <v>1</v>
      </c>
      <c r="B3" s="1104">
        <v>45536</v>
      </c>
      <c r="C3" s="1103"/>
      <c r="D3" s="1103"/>
      <c r="E3" s="317"/>
    </row>
    <row r="4" spans="1:5" x14ac:dyDescent="0.25">
      <c r="A4" s="1103">
        <v>2</v>
      </c>
      <c r="B4" s="1104">
        <v>45537</v>
      </c>
      <c r="C4" s="1103"/>
      <c r="D4" s="1103"/>
      <c r="E4" s="317"/>
    </row>
    <row r="5" spans="1:5" x14ac:dyDescent="0.25">
      <c r="A5" s="1103">
        <v>3</v>
      </c>
      <c r="B5" s="1104">
        <v>45538</v>
      </c>
      <c r="C5" s="1103"/>
      <c r="D5" s="1103"/>
      <c r="E5" s="317"/>
    </row>
    <row r="6" spans="1:5" x14ac:dyDescent="0.25">
      <c r="A6" s="1103">
        <v>4</v>
      </c>
      <c r="B6" s="1104">
        <v>45539</v>
      </c>
      <c r="C6" s="1103"/>
      <c r="D6" s="1103"/>
      <c r="E6" s="317"/>
    </row>
    <row r="7" spans="1:5" x14ac:dyDescent="0.25">
      <c r="A7" s="1103">
        <v>5</v>
      </c>
      <c r="B7" s="1104">
        <v>45540</v>
      </c>
      <c r="C7" s="1103"/>
      <c r="D7" s="1103"/>
      <c r="E7" s="317"/>
    </row>
    <row r="8" spans="1:5" x14ac:dyDescent="0.25">
      <c r="A8" s="1103">
        <v>6</v>
      </c>
      <c r="B8" s="1104">
        <v>45541</v>
      </c>
      <c r="C8" s="1103"/>
      <c r="D8" s="1103"/>
      <c r="E8" s="317"/>
    </row>
    <row r="9" spans="1:5" x14ac:dyDescent="0.25">
      <c r="A9" s="1103">
        <v>7</v>
      </c>
      <c r="B9" s="1104">
        <v>45542</v>
      </c>
      <c r="C9" s="1103"/>
      <c r="D9" s="1103"/>
      <c r="E9" s="317"/>
    </row>
    <row r="10" spans="1:5" x14ac:dyDescent="0.25">
      <c r="A10" s="1103">
        <v>8</v>
      </c>
      <c r="B10" s="1104">
        <v>45543</v>
      </c>
      <c r="C10" s="1103"/>
      <c r="D10" s="1103"/>
      <c r="E10" s="317"/>
    </row>
    <row r="11" spans="1:5" x14ac:dyDescent="0.25">
      <c r="A11" s="1103">
        <v>9</v>
      </c>
      <c r="B11" s="1104">
        <v>45544</v>
      </c>
      <c r="C11" s="1103"/>
      <c r="D11" s="1103"/>
      <c r="E11" s="317"/>
    </row>
    <row r="12" spans="1:5" x14ac:dyDescent="0.25">
      <c r="A12" s="1103">
        <v>10</v>
      </c>
      <c r="B12" s="1104">
        <v>45545</v>
      </c>
      <c r="C12" s="1103"/>
      <c r="D12" s="1103"/>
      <c r="E12" s="317"/>
    </row>
    <row r="13" spans="1:5" x14ac:dyDescent="0.25">
      <c r="A13" s="1103">
        <v>11</v>
      </c>
      <c r="B13" s="1104">
        <v>45546</v>
      </c>
      <c r="C13" s="1103"/>
      <c r="D13" s="1103"/>
      <c r="E13" s="317"/>
    </row>
    <row r="14" spans="1:5" x14ac:dyDescent="0.25">
      <c r="A14" s="1103">
        <v>12</v>
      </c>
      <c r="B14" s="1104">
        <v>45547</v>
      </c>
      <c r="C14" s="1103"/>
      <c r="D14" s="1103"/>
      <c r="E14" s="317"/>
    </row>
    <row r="15" spans="1:5" x14ac:dyDescent="0.25">
      <c r="A15" s="1103">
        <v>13</v>
      </c>
      <c r="B15" s="1104">
        <v>45548</v>
      </c>
      <c r="C15" s="1103"/>
      <c r="D15" s="1103"/>
      <c r="E15" s="317"/>
    </row>
    <row r="16" spans="1:5" x14ac:dyDescent="0.25">
      <c r="A16" s="1103">
        <v>14</v>
      </c>
      <c r="B16" s="1104">
        <v>45549</v>
      </c>
      <c r="C16" s="1103"/>
      <c r="D16" s="1103"/>
      <c r="E16" s="317"/>
    </row>
    <row r="17" spans="1:5" x14ac:dyDescent="0.25">
      <c r="A17" s="1103">
        <v>15</v>
      </c>
      <c r="B17" s="1104">
        <v>45550</v>
      </c>
      <c r="C17" s="1103"/>
      <c r="D17" s="1103"/>
      <c r="E17" s="317"/>
    </row>
    <row r="18" spans="1:5" x14ac:dyDescent="0.25">
      <c r="A18" s="1103">
        <v>16</v>
      </c>
      <c r="B18" s="1104">
        <v>45551</v>
      </c>
      <c r="C18" s="1103"/>
      <c r="D18" s="1103"/>
      <c r="E18" s="317"/>
    </row>
    <row r="19" spans="1:5" x14ac:dyDescent="0.25">
      <c r="A19" s="1103">
        <v>17</v>
      </c>
      <c r="B19" s="1104">
        <v>45552</v>
      </c>
      <c r="C19" s="1103"/>
      <c r="D19" s="1103"/>
      <c r="E19" s="317"/>
    </row>
    <row r="20" spans="1:5" x14ac:dyDescent="0.25">
      <c r="A20" s="1103">
        <v>18</v>
      </c>
      <c r="B20" s="1104">
        <v>45553</v>
      </c>
      <c r="C20" s="1103"/>
      <c r="D20" s="1103"/>
      <c r="E20" s="317"/>
    </row>
    <row r="21" spans="1:5" x14ac:dyDescent="0.25">
      <c r="A21" s="1103">
        <v>19</v>
      </c>
      <c r="B21" s="1104">
        <v>45554</v>
      </c>
      <c r="C21" s="1103"/>
      <c r="D21" s="1103"/>
      <c r="E21" s="317"/>
    </row>
    <row r="22" spans="1:5" x14ac:dyDescent="0.25">
      <c r="A22" s="1103">
        <v>20</v>
      </c>
      <c r="B22" s="1104">
        <v>45555</v>
      </c>
      <c r="C22" s="1103"/>
      <c r="D22" s="1103"/>
      <c r="E22" s="317"/>
    </row>
    <row r="23" spans="1:5" x14ac:dyDescent="0.25">
      <c r="A23" s="1103">
        <v>21</v>
      </c>
      <c r="B23" s="1104">
        <v>45556</v>
      </c>
      <c r="C23" s="1103"/>
      <c r="D23" s="1103"/>
      <c r="E23" s="317"/>
    </row>
    <row r="24" spans="1:5" x14ac:dyDescent="0.25">
      <c r="A24" s="1103">
        <v>22</v>
      </c>
      <c r="B24" s="1104">
        <v>45557</v>
      </c>
      <c r="C24" s="1103"/>
      <c r="D24" s="1103"/>
      <c r="E24" s="317"/>
    </row>
    <row r="25" spans="1:5" x14ac:dyDescent="0.25">
      <c r="A25" s="1103">
        <v>23</v>
      </c>
      <c r="B25" s="1104">
        <v>45558</v>
      </c>
      <c r="C25" s="1103"/>
      <c r="D25" s="1103"/>
      <c r="E25" s="317"/>
    </row>
    <row r="26" spans="1:5" ht="120" x14ac:dyDescent="0.25">
      <c r="A26" s="1103">
        <v>24</v>
      </c>
      <c r="B26" s="1104">
        <v>45559</v>
      </c>
      <c r="C26" s="1105" t="s">
        <v>571</v>
      </c>
      <c r="D26" s="1106" t="s">
        <v>568</v>
      </c>
      <c r="E26" s="317"/>
    </row>
    <row r="27" spans="1:5" ht="45" x14ac:dyDescent="0.25">
      <c r="A27" s="1103">
        <v>25</v>
      </c>
      <c r="B27" s="1104">
        <v>45560</v>
      </c>
      <c r="C27" s="1105" t="s">
        <v>569</v>
      </c>
      <c r="D27" s="1107" t="s">
        <v>570</v>
      </c>
      <c r="E27" s="317"/>
    </row>
    <row r="28" spans="1:5" x14ac:dyDescent="0.25">
      <c r="A28" s="1103">
        <v>26</v>
      </c>
      <c r="B28" s="1104">
        <v>45561</v>
      </c>
      <c r="C28" s="1108"/>
      <c r="D28" s="1103"/>
      <c r="E28" s="317"/>
    </row>
    <row r="29" spans="1:5" x14ac:dyDescent="0.25">
      <c r="A29" s="1103">
        <v>27</v>
      </c>
      <c r="B29" s="1104">
        <v>45562</v>
      </c>
      <c r="C29" s="1108"/>
      <c r="D29" s="1103"/>
      <c r="E29" s="317"/>
    </row>
    <row r="30" spans="1:5" x14ac:dyDescent="0.25">
      <c r="A30" s="1103">
        <v>28</v>
      </c>
      <c r="B30" s="1104">
        <v>45563</v>
      </c>
      <c r="C30" s="1108"/>
      <c r="D30" s="1103"/>
      <c r="E30" s="317"/>
    </row>
    <row r="31" spans="1:5" x14ac:dyDescent="0.25">
      <c r="A31" s="1103">
        <v>29</v>
      </c>
      <c r="B31" s="1104">
        <v>45564</v>
      </c>
      <c r="C31" s="1108"/>
      <c r="D31" s="1103"/>
      <c r="E31" s="317"/>
    </row>
    <row r="32" spans="1:5" x14ac:dyDescent="0.25">
      <c r="A32" s="1103">
        <v>30</v>
      </c>
      <c r="B32" s="1104">
        <v>45565</v>
      </c>
      <c r="C32" s="1108"/>
      <c r="D32" s="1103"/>
      <c r="E32" s="317"/>
    </row>
    <row r="33" spans="3:3" x14ac:dyDescent="0.25">
      <c r="C33" s="335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D1F3-94D5-4F8C-8356-879F772949DB}">
  <dimension ref="A1:VBO259"/>
  <sheetViews>
    <sheetView topLeftCell="A2" zoomScale="70" zoomScaleNormal="70" workbookViewId="0">
      <pane xSplit="4" ySplit="4" topLeftCell="E6" activePane="bottomRight" state="frozen"/>
      <selection activeCell="F12" sqref="F12"/>
      <selection pane="topRight" activeCell="F12" sqref="F12"/>
      <selection pane="bottomLeft" activeCell="F12" sqref="F12"/>
      <selection pane="bottomRight" activeCell="N51" sqref="N51"/>
    </sheetView>
  </sheetViews>
  <sheetFormatPr defaultRowHeight="15" x14ac:dyDescent="0.25"/>
  <cols>
    <col min="1" max="1" width="4.140625" customWidth="1"/>
    <col min="3" max="3" width="41.140625" customWidth="1"/>
    <col min="4" max="4" width="16.140625" customWidth="1"/>
    <col min="5" max="5" width="8.42578125" customWidth="1"/>
    <col min="6" max="6" width="19.28515625" bestFit="1" customWidth="1"/>
    <col min="7" max="8" width="17.7109375" bestFit="1" customWidth="1"/>
    <col min="9" max="10" width="18.140625" bestFit="1" customWidth="1"/>
    <col min="11" max="11" width="17.7109375" bestFit="1" customWidth="1"/>
    <col min="12" max="13" width="17.140625" customWidth="1"/>
    <col min="14" max="14" width="17.28515625" bestFit="1" customWidth="1"/>
    <col min="15" max="15" width="15.140625" hidden="1" customWidth="1"/>
    <col min="16" max="16" width="15.28515625" hidden="1" customWidth="1"/>
    <col min="17" max="17" width="15.7109375" hidden="1" customWidth="1"/>
    <col min="19" max="19" width="25.140625" customWidth="1"/>
    <col min="20" max="21" width="25.140625" hidden="1" customWidth="1"/>
    <col min="22" max="22" width="13.42578125" customWidth="1"/>
    <col min="23" max="23" width="15.28515625" customWidth="1"/>
    <col min="24" max="32" width="9.140625" customWidth="1"/>
    <col min="33" max="33" width="28.7109375" customWidth="1"/>
    <col min="34" max="37" width="9.140625" customWidth="1"/>
    <col min="38" max="38" width="13.28515625" customWidth="1"/>
    <col min="39" max="39" width="61.85546875" customWidth="1"/>
    <col min="40" max="40" width="41.7109375" customWidth="1"/>
    <col min="41" max="49" width="9.140625" customWidth="1"/>
    <col min="50" max="50" width="14" customWidth="1"/>
    <col min="51" max="60" width="9.140625" customWidth="1"/>
  </cols>
  <sheetData>
    <row r="1" spans="2:933" x14ac:dyDescent="0.25">
      <c r="B1" s="423"/>
    </row>
    <row r="2" spans="2:933" ht="18" x14ac:dyDescent="0.25">
      <c r="C2" s="424" t="s">
        <v>303</v>
      </c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5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4"/>
      <c r="AM2" s="424"/>
      <c r="AN2" s="424"/>
    </row>
    <row r="3" spans="2:933" ht="15.75" thickBot="1" x14ac:dyDescent="0.3">
      <c r="B3" s="426"/>
      <c r="F3" s="427"/>
      <c r="G3" s="427"/>
      <c r="H3" s="427"/>
      <c r="I3" s="427"/>
      <c r="J3" s="427"/>
      <c r="K3" s="427"/>
      <c r="L3" s="427"/>
      <c r="M3" s="427"/>
      <c r="N3" s="427"/>
      <c r="O3" s="427"/>
      <c r="P3" s="427"/>
      <c r="Q3" s="427"/>
    </row>
    <row r="4" spans="2:933" ht="30.75" thickBot="1" x14ac:dyDescent="0.3">
      <c r="B4" s="1669" t="s">
        <v>100</v>
      </c>
      <c r="C4" s="1671" t="s">
        <v>101</v>
      </c>
      <c r="D4" s="1673" t="s">
        <v>102</v>
      </c>
      <c r="E4" s="1671" t="s">
        <v>103</v>
      </c>
      <c r="F4" s="1660" t="s">
        <v>304</v>
      </c>
      <c r="G4" s="1661"/>
      <c r="H4" s="1661"/>
      <c r="I4" s="1661"/>
      <c r="J4" s="1661"/>
      <c r="K4" s="1661"/>
      <c r="L4" s="1661"/>
      <c r="M4" s="1661"/>
      <c r="N4" s="1661"/>
      <c r="O4" s="1661"/>
      <c r="P4" s="1661"/>
      <c r="Q4" s="1662"/>
      <c r="R4" s="736"/>
      <c r="S4" s="422" t="s">
        <v>305</v>
      </c>
      <c r="T4" s="681" t="s">
        <v>306</v>
      </c>
      <c r="U4" s="788" t="s">
        <v>307</v>
      </c>
      <c r="X4" s="65"/>
      <c r="Y4" s="824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R4" s="65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DA4" s="1"/>
    </row>
    <row r="5" spans="2:933" ht="30" x14ac:dyDescent="0.25">
      <c r="B5" s="1670"/>
      <c r="C5" s="1672"/>
      <c r="D5" s="1674"/>
      <c r="E5" s="1672"/>
      <c r="F5" s="429" t="s">
        <v>308</v>
      </c>
      <c r="G5" s="429" t="s">
        <v>309</v>
      </c>
      <c r="H5" s="429" t="s">
        <v>310</v>
      </c>
      <c r="I5" s="430" t="s">
        <v>311</v>
      </c>
      <c r="J5" s="429" t="s">
        <v>312</v>
      </c>
      <c r="K5" s="429" t="s">
        <v>313</v>
      </c>
      <c r="L5" s="429" t="s">
        <v>314</v>
      </c>
      <c r="M5" s="429" t="s">
        <v>315</v>
      </c>
      <c r="N5" s="430" t="s">
        <v>316</v>
      </c>
      <c r="O5" s="429" t="s">
        <v>317</v>
      </c>
      <c r="P5" s="430" t="s">
        <v>318</v>
      </c>
      <c r="Q5" s="429" t="s">
        <v>319</v>
      </c>
      <c r="S5" s="428" t="s">
        <v>126</v>
      </c>
      <c r="T5" s="681" t="s">
        <v>126</v>
      </c>
      <c r="U5" s="788" t="s">
        <v>320</v>
      </c>
      <c r="X5" s="65"/>
      <c r="Y5" s="824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R5" s="65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DA5" s="1"/>
    </row>
    <row r="6" spans="2:933" ht="15.75" thickBot="1" x14ac:dyDescent="0.3">
      <c r="B6" s="1663">
        <v>1</v>
      </c>
      <c r="C6" s="431" t="s">
        <v>85</v>
      </c>
      <c r="D6" s="49"/>
      <c r="E6" s="49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3"/>
      <c r="S6" s="432" t="s">
        <v>127</v>
      </c>
      <c r="T6" s="682" t="s">
        <v>127</v>
      </c>
      <c r="U6" s="789" t="s">
        <v>127</v>
      </c>
      <c r="V6" s="65"/>
      <c r="W6" s="1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R6" s="65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V6" s="1"/>
      <c r="BW6" s="1"/>
      <c r="BX6" s="1"/>
      <c r="BY6" s="1"/>
      <c r="DA6" s="1"/>
      <c r="DE6" s="433"/>
      <c r="DF6" s="434"/>
      <c r="DG6" s="435">
        <v>29</v>
      </c>
      <c r="DH6" s="436">
        <v>30</v>
      </c>
      <c r="DI6" s="437">
        <v>31</v>
      </c>
    </row>
    <row r="7" spans="2:933" x14ac:dyDescent="0.25">
      <c r="B7" s="1664"/>
      <c r="C7" s="438" t="s">
        <v>16</v>
      </c>
      <c r="D7" s="439"/>
      <c r="E7" s="440"/>
      <c r="F7" s="441"/>
      <c r="G7" s="442"/>
      <c r="H7" s="441"/>
      <c r="I7" s="441"/>
      <c r="J7" s="443"/>
      <c r="K7" s="441"/>
      <c r="L7" s="441"/>
      <c r="M7" s="441"/>
      <c r="N7" s="441"/>
      <c r="O7" s="441"/>
      <c r="P7" s="441"/>
      <c r="Q7" s="441"/>
      <c r="R7" s="3"/>
      <c r="S7" s="731" t="s">
        <v>16</v>
      </c>
      <c r="T7" s="683" t="s">
        <v>16</v>
      </c>
      <c r="U7" s="790" t="s">
        <v>16</v>
      </c>
      <c r="V7" s="65"/>
      <c r="W7" s="1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R7" s="65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V7" s="1"/>
      <c r="BW7" s="1"/>
      <c r="BX7" s="1"/>
      <c r="BY7" s="1"/>
      <c r="DA7" s="1"/>
      <c r="DE7" s="444" t="s">
        <v>321</v>
      </c>
      <c r="DF7" s="5" t="s">
        <v>14</v>
      </c>
      <c r="DG7" s="445">
        <v>1971319.99999999</v>
      </c>
      <c r="DH7" s="446">
        <v>2015120.00000001</v>
      </c>
      <c r="DI7" s="447">
        <v>2015230</v>
      </c>
      <c r="AIU7" s="448" t="s">
        <v>322</v>
      </c>
      <c r="AIV7" s="448" t="s">
        <v>127</v>
      </c>
      <c r="AIW7" s="448" t="s">
        <v>323</v>
      </c>
    </row>
    <row r="8" spans="2:933" x14ac:dyDescent="0.25">
      <c r="B8" s="1664"/>
      <c r="C8" s="449" t="s">
        <v>84</v>
      </c>
      <c r="D8" s="450"/>
      <c r="E8" s="451" t="s">
        <v>83</v>
      </c>
      <c r="F8" s="452">
        <f>'[22]Januari 24'!AL9</f>
        <v>18</v>
      </c>
      <c r="G8" s="452">
        <f>'[22]Februari 24'!AL9</f>
        <v>11</v>
      </c>
      <c r="H8" s="452">
        <f>'[22]Maret 24'!AL9</f>
        <v>5</v>
      </c>
      <c r="I8" s="452">
        <f>'[23]April - 24'!$AK$9</f>
        <v>0</v>
      </c>
      <c r="J8" s="452">
        <f>'[24]Mei - 24'!$AL$9</f>
        <v>0</v>
      </c>
      <c r="K8" s="452">
        <f>'[25]Juni - 24'!$AL$9</f>
        <v>18</v>
      </c>
      <c r="L8" s="452">
        <f>'[26]Juli - 2024 ( Revisi )'!$AL$6</f>
        <v>22</v>
      </c>
      <c r="M8" s="452">
        <f>'[27]Agustus - 2024'!$AN$6</f>
        <v>0</v>
      </c>
      <c r="N8" s="452">
        <f>'September - 2024'!$AM$6</f>
        <v>27</v>
      </c>
      <c r="O8" s="452">
        <f>'[22]Oktober 24'!AL9</f>
        <v>0</v>
      </c>
      <c r="P8" s="452">
        <f>'[22]November 24'!AL9</f>
        <v>0</v>
      </c>
      <c r="Q8" s="452">
        <f>'[22]Desember 24'!AL9</f>
        <v>0</v>
      </c>
      <c r="R8" s="3"/>
      <c r="S8" s="57">
        <f>SUM(F8:Q8)</f>
        <v>101</v>
      </c>
      <c r="T8" s="684">
        <v>231</v>
      </c>
      <c r="U8" s="791">
        <f>S8/T8*100</f>
        <v>43.722943722943725</v>
      </c>
      <c r="V8" s="65"/>
      <c r="W8" s="1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R8" s="65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V8" s="1"/>
      <c r="BW8" s="1"/>
      <c r="BX8" s="1"/>
      <c r="BY8" s="1"/>
      <c r="DA8" s="1"/>
      <c r="DE8" s="444"/>
      <c r="DG8" s="445"/>
      <c r="DH8" s="446"/>
      <c r="DI8" s="447"/>
      <c r="FN8" s="3"/>
      <c r="OR8" s="145" t="s">
        <v>324</v>
      </c>
      <c r="AEE8" s="5" t="s">
        <v>325</v>
      </c>
      <c r="AEF8" s="5" t="s">
        <v>326</v>
      </c>
      <c r="AIT8" s="2" t="s">
        <v>195</v>
      </c>
      <c r="AIU8" s="145">
        <v>11008948</v>
      </c>
      <c r="AIV8" s="145">
        <f>S11</f>
        <v>75717833.336325914</v>
      </c>
      <c r="AIW8" s="4">
        <f>AIU8-AIV8</f>
        <v>-64708885.336325914</v>
      </c>
    </row>
    <row r="9" spans="2:933" x14ac:dyDescent="0.25">
      <c r="B9" s="1664"/>
      <c r="C9" s="11" t="s">
        <v>104</v>
      </c>
      <c r="D9" s="450"/>
      <c r="E9" s="451"/>
      <c r="F9" s="453">
        <f>'[22]Januari 24'!AL10</f>
        <v>17.457608504398824</v>
      </c>
      <c r="G9" s="453">
        <f>'[22]Februari 24'!AL10</f>
        <v>17.224766862170089</v>
      </c>
      <c r="H9" s="453">
        <f>'[22]Maret 24'!AL10</f>
        <v>4.5497712609970664</v>
      </c>
      <c r="I9" s="453">
        <f>'[23]April - 24'!$AK$11</f>
        <v>0</v>
      </c>
      <c r="J9" s="453">
        <f>'[24]Mei - 24'!$AL$11</f>
        <v>0</v>
      </c>
      <c r="K9" s="453">
        <f>'[25]Juni - 24'!$AL$11</f>
        <v>13.078035190615838</v>
      </c>
      <c r="L9" s="453">
        <f>'[26]Juli - 2024 ( Revisi )'!$AL$8</f>
        <v>23.454543988269798</v>
      </c>
      <c r="M9" s="453">
        <f>'[27]Agustus - 2024'!$AN$8</f>
        <v>0</v>
      </c>
      <c r="N9" s="453">
        <f>'September - 2024'!$AM$8</f>
        <v>40.481969696969699</v>
      </c>
      <c r="O9" s="453">
        <f>'[22]Oktober 24'!AL10</f>
        <v>0</v>
      </c>
      <c r="P9" s="452">
        <f>'[22]November 24'!AL10</f>
        <v>0</v>
      </c>
      <c r="Q9" s="453">
        <f>'[22]Desember 24'!AL10</f>
        <v>0</v>
      </c>
      <c r="R9" s="3"/>
      <c r="S9" s="57"/>
      <c r="T9" s="684"/>
      <c r="U9" s="791"/>
      <c r="V9" s="65"/>
      <c r="W9" s="1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R9" s="65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V9" s="1"/>
      <c r="BW9" s="1"/>
      <c r="BX9" s="1"/>
      <c r="BY9" s="1"/>
      <c r="DA9" s="1"/>
      <c r="DE9" s="444"/>
      <c r="DG9" s="445"/>
      <c r="DH9" s="446"/>
      <c r="DI9" s="447"/>
      <c r="FN9" s="3"/>
      <c r="OR9" s="145"/>
      <c r="AEE9" s="5"/>
      <c r="AEF9" s="5"/>
      <c r="AIT9" s="2"/>
      <c r="AIU9" s="145"/>
      <c r="AIV9" s="145"/>
      <c r="AIW9" s="4"/>
    </row>
    <row r="10" spans="2:933" x14ac:dyDescent="0.25">
      <c r="B10" s="1664"/>
      <c r="C10" s="11" t="s">
        <v>327</v>
      </c>
      <c r="D10" s="450"/>
      <c r="E10" s="451"/>
      <c r="F10" s="453">
        <f>F11/F14*100</f>
        <v>18.288923195084486</v>
      </c>
      <c r="G10" s="453">
        <f t="shared" ref="G10:Q10" si="0">G11/G14*100</f>
        <v>25.98670722265236</v>
      </c>
      <c r="H10" s="453">
        <f t="shared" si="0"/>
        <v>7.9383544821940237</v>
      </c>
      <c r="I10" s="453" t="e">
        <f t="shared" si="0"/>
        <v>#VALUE!</v>
      </c>
      <c r="J10" s="453">
        <f t="shared" si="0"/>
        <v>0</v>
      </c>
      <c r="K10" s="453">
        <f t="shared" si="0"/>
        <v>24.530982700294288</v>
      </c>
      <c r="L10" s="453">
        <f t="shared" si="0"/>
        <v>43.994606562336699</v>
      </c>
      <c r="M10" s="453">
        <f>M11/M14*100</f>
        <v>9.2501420983624589E-7</v>
      </c>
      <c r="N10" s="453">
        <f t="shared" si="0"/>
        <v>66.135729805550199</v>
      </c>
      <c r="O10" s="453">
        <f t="shared" si="0"/>
        <v>0</v>
      </c>
      <c r="P10" s="453">
        <f t="shared" si="0"/>
        <v>0</v>
      </c>
      <c r="Q10" s="453">
        <f t="shared" si="0"/>
        <v>0</v>
      </c>
      <c r="R10" s="3"/>
      <c r="S10" s="57" t="e">
        <f>AVERAGE(F10:O10)</f>
        <v>#VALUE!</v>
      </c>
      <c r="T10" s="684"/>
      <c r="U10" s="791"/>
      <c r="V10" s="65"/>
      <c r="W10" s="1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R10" s="65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V10" s="1"/>
      <c r="BW10" s="1"/>
      <c r="BX10" s="1"/>
      <c r="BY10" s="1"/>
      <c r="DA10" s="1"/>
      <c r="DE10" s="444"/>
      <c r="DG10" s="445"/>
      <c r="DH10" s="446"/>
      <c r="DI10" s="447"/>
      <c r="FN10" s="3"/>
      <c r="OR10" s="145"/>
      <c r="AEE10" s="5"/>
      <c r="AEF10" s="5"/>
      <c r="AIT10" s="2"/>
      <c r="AIU10" s="145"/>
      <c r="AIV10" s="145"/>
      <c r="AIW10" s="4"/>
    </row>
    <row r="11" spans="2:933" x14ac:dyDescent="0.25">
      <c r="B11" s="1664"/>
      <c r="C11" s="454" t="s">
        <v>97</v>
      </c>
      <c r="D11" s="455">
        <v>701400000</v>
      </c>
      <c r="E11" s="456" t="s">
        <v>14</v>
      </c>
      <c r="F11" s="457">
        <f>'[22]Januari 24'!AL11</f>
        <v>11906089</v>
      </c>
      <c r="G11" s="457">
        <f>'[22]Februari 24'!AL11</f>
        <v>11747291</v>
      </c>
      <c r="H11" s="457">
        <f>'[22]Maret 24'!AL11</f>
        <v>3102944</v>
      </c>
      <c r="I11" s="457">
        <f>'[23]April - 24'!$AK$12</f>
        <v>0</v>
      </c>
      <c r="J11" s="457">
        <f>'[24]Mei - 24'!$AL$12</f>
        <v>0</v>
      </c>
      <c r="K11" s="457">
        <f>'[25]Juni - 24'!$AL$12</f>
        <v>8919220</v>
      </c>
      <c r="L11" s="457">
        <f>'[26]Juli - 2024 ( Revisi )'!$AL$9</f>
        <v>15995999</v>
      </c>
      <c r="M11" s="457">
        <f>'[27]Agustus - 2024'!$AN$9</f>
        <v>0.33632591655436067</v>
      </c>
      <c r="N11" s="457">
        <f>'September - 2024'!$AM$9</f>
        <v>24046290</v>
      </c>
      <c r="O11" s="457">
        <f>'[22]Oktober 24'!AL11</f>
        <v>0</v>
      </c>
      <c r="P11" s="457">
        <f>'[22]November 24'!AL11</f>
        <v>0</v>
      </c>
      <c r="Q11" s="457">
        <f>'[22]Desember 24'!AL11</f>
        <v>0</v>
      </c>
      <c r="R11" s="737"/>
      <c r="S11" s="60">
        <f>SUM(F11:Q11)</f>
        <v>75717833.336325914</v>
      </c>
      <c r="T11" s="685">
        <v>421374000</v>
      </c>
      <c r="U11" s="792">
        <f>S11/T11</f>
        <v>0.17969270371766155</v>
      </c>
      <c r="V11" s="1101">
        <f>S11/D11</f>
        <v>0.10795242848064715</v>
      </c>
      <c r="W11" s="465"/>
      <c r="X11" s="826"/>
      <c r="Y11" s="827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R11" s="65"/>
      <c r="AT11" s="465"/>
      <c r="AU11" s="465"/>
      <c r="AV11" s="1"/>
      <c r="AW11" s="1"/>
      <c r="AX11" s="372">
        <f>S11/D11</f>
        <v>0.10795242848064715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V11" s="1"/>
      <c r="BW11" s="1"/>
      <c r="BX11" s="146"/>
      <c r="BY11" s="1"/>
      <c r="DA11" s="1"/>
      <c r="DE11" s="458" t="s">
        <v>328</v>
      </c>
      <c r="DF11" s="459" t="s">
        <v>19</v>
      </c>
      <c r="DG11" s="460">
        <v>251.19641540408301</v>
      </c>
      <c r="DH11" s="461">
        <v>257.91391043490898</v>
      </c>
      <c r="DI11" s="462">
        <v>251.51265323328099</v>
      </c>
      <c r="DJ11" s="146"/>
      <c r="FM11" s="145"/>
      <c r="FN11" s="3"/>
      <c r="JH11" s="146"/>
      <c r="JI11" s="146"/>
      <c r="JJ11" s="145"/>
      <c r="JK11" s="146"/>
      <c r="OO11" s="146">
        <v>26946.1077844311</v>
      </c>
      <c r="OP11" s="146">
        <v>17383.2335329341</v>
      </c>
      <c r="OR11" s="146" t="s">
        <v>329</v>
      </c>
      <c r="PF11" s="149"/>
      <c r="PJ11" s="146"/>
      <c r="RM11" s="149"/>
      <c r="AEE11" s="145">
        <f>35.8500000000058*1000</f>
        <v>35850.000000005799</v>
      </c>
      <c r="AGV11" s="145"/>
      <c r="AIK11" s="145"/>
      <c r="AIL11" s="145"/>
      <c r="AIM11" s="145"/>
      <c r="AIT11" s="2" t="s">
        <v>64</v>
      </c>
      <c r="AIU11" s="145">
        <v>566885</v>
      </c>
      <c r="AIV11" s="145">
        <f>S20</f>
        <v>3445900</v>
      </c>
      <c r="AIW11" s="4">
        <f>AIU11-AIV11</f>
        <v>-2879015</v>
      </c>
    </row>
    <row r="12" spans="2:933" x14ac:dyDescent="0.25">
      <c r="B12" s="1664"/>
      <c r="C12" s="454" t="s">
        <v>98</v>
      </c>
      <c r="D12" s="455"/>
      <c r="E12" s="456" t="s">
        <v>14</v>
      </c>
      <c r="F12" s="457">
        <f>'[22]Januari 24'!AL12</f>
        <v>10284032.518182635</v>
      </c>
      <c r="G12" s="457">
        <f>'[22]Februari 24'!AL12</f>
        <v>10885810.60758747</v>
      </c>
      <c r="H12" s="457">
        <f>'[22]Maret 24'!AL12</f>
        <v>2891954.6607774799</v>
      </c>
      <c r="I12" s="457">
        <f>'[23]April - 24'!$AK$13</f>
        <v>0</v>
      </c>
      <c r="J12" s="457">
        <f>'[24]Mei - 24'!$AL$13</f>
        <v>0</v>
      </c>
      <c r="K12" s="457">
        <f>'[25]Juni - 24'!$AL$13</f>
        <v>8919220</v>
      </c>
      <c r="L12" s="457">
        <f>'[26]Juli - 2024 ( Revisi )'!$AL$10</f>
        <v>15995999</v>
      </c>
      <c r="M12" s="457">
        <f>'[27]Agustus - 2024'!$AN$10</f>
        <v>0</v>
      </c>
      <c r="N12" s="457">
        <f>N11-N13</f>
        <v>24046290</v>
      </c>
      <c r="O12" s="457">
        <v>0</v>
      </c>
      <c r="P12" s="457" t="e">
        <f>'[22]November 24'!AL12</f>
        <v>#DIV/0!</v>
      </c>
      <c r="Q12" s="457" t="e">
        <f>'[22]Desember 24'!AL12</f>
        <v>#DIV/0!</v>
      </c>
      <c r="R12" s="737"/>
      <c r="S12" s="60">
        <f>SUM(F12:O12)</f>
        <v>73023306.786547586</v>
      </c>
      <c r="T12" s="686"/>
      <c r="U12" s="793"/>
      <c r="V12" s="65"/>
      <c r="W12" s="3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R12" s="65"/>
      <c r="AT12" s="465"/>
      <c r="AU12" s="46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V12" s="1"/>
      <c r="BW12" s="1"/>
      <c r="BX12" s="146"/>
      <c r="BY12" s="1"/>
      <c r="DA12" s="1"/>
      <c r="DE12" s="444"/>
      <c r="DF12" s="5"/>
      <c r="DG12" s="464"/>
      <c r="DH12" s="465"/>
      <c r="DI12" s="466"/>
      <c r="DJ12" s="146"/>
      <c r="FM12" s="146"/>
      <c r="JH12" s="146"/>
      <c r="JI12" s="146"/>
      <c r="JJ12" s="146"/>
      <c r="JK12" s="146"/>
      <c r="OO12" s="146"/>
      <c r="OP12" s="146"/>
      <c r="OR12" s="146"/>
      <c r="PF12" s="149"/>
      <c r="PJ12" s="146"/>
      <c r="RM12" s="149"/>
      <c r="AGV12" s="145"/>
      <c r="AIK12" s="145"/>
      <c r="AIL12" s="145"/>
      <c r="AIM12" s="145"/>
      <c r="AIT12" s="2"/>
      <c r="AIU12" s="145"/>
      <c r="AIV12" s="145"/>
    </row>
    <row r="13" spans="2:933" x14ac:dyDescent="0.25">
      <c r="B13" s="1664"/>
      <c r="C13" s="454" t="s">
        <v>99</v>
      </c>
      <c r="D13" s="455"/>
      <c r="E13" s="456" t="s">
        <v>14</v>
      </c>
      <c r="F13" s="457">
        <f>'[22]Januari 24'!AL13</f>
        <v>1622056.4818173659</v>
      </c>
      <c r="G13" s="457">
        <f>'[22]Februari 24'!AL13</f>
        <v>861480.39241253119</v>
      </c>
      <c r="H13" s="457">
        <f>'[22]Maret 24'!AL13</f>
        <v>210989.3392225201</v>
      </c>
      <c r="I13" s="457">
        <v>0</v>
      </c>
      <c r="J13" s="457">
        <v>0</v>
      </c>
      <c r="K13" s="457">
        <v>0</v>
      </c>
      <c r="L13" s="457">
        <f>'[26]Juli - 2024 ( Revisi )'!$AL$11</f>
        <v>0</v>
      </c>
      <c r="M13" s="457">
        <f>'[27]Agustus - 2024'!$AN$11</f>
        <v>0</v>
      </c>
      <c r="N13" s="457">
        <v>0</v>
      </c>
      <c r="O13" s="457">
        <v>0</v>
      </c>
      <c r="P13" s="457" t="e">
        <f>'[22]November 24'!AL13</f>
        <v>#DIV/0!</v>
      </c>
      <c r="Q13" s="457" t="e">
        <f>'[22]Desember 24'!AL13</f>
        <v>#DIV/0!</v>
      </c>
      <c r="R13" s="737"/>
      <c r="S13" s="463">
        <f>SUM(F13:O13)</f>
        <v>2694526.2134524169</v>
      </c>
      <c r="T13" s="686"/>
      <c r="U13" s="793"/>
      <c r="V13" s="376"/>
      <c r="W13" s="3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R13" s="65"/>
      <c r="AT13" s="465"/>
      <c r="AU13" s="465"/>
      <c r="AV13" s="1"/>
      <c r="AW13" s="1"/>
      <c r="AX13" s="372" t="e">
        <f>AW13/P13</f>
        <v>#DIV/0!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V13" s="1"/>
      <c r="BW13" s="1"/>
      <c r="BX13" s="146"/>
      <c r="BY13" s="1"/>
      <c r="DA13" s="1"/>
      <c r="DE13" s="444"/>
      <c r="DF13" s="5"/>
      <c r="DG13" s="464"/>
      <c r="DH13" s="465"/>
      <c r="DI13" s="466"/>
      <c r="DJ13" s="146"/>
      <c r="FM13" s="146"/>
      <c r="JH13" s="146"/>
      <c r="JI13" s="146"/>
      <c r="JJ13" s="146"/>
      <c r="JK13" s="146"/>
      <c r="OO13" s="146"/>
      <c r="OP13" s="146"/>
      <c r="OR13" s="146"/>
      <c r="PF13" s="149"/>
      <c r="PJ13" s="146"/>
      <c r="RM13" s="149"/>
      <c r="AGV13" s="145"/>
      <c r="AIK13" s="145"/>
      <c r="AIL13" s="145"/>
      <c r="AIM13" s="145"/>
      <c r="AIT13" s="2"/>
      <c r="AIU13" s="145"/>
      <c r="AIV13" s="145"/>
    </row>
    <row r="14" spans="2:933" x14ac:dyDescent="0.25">
      <c r="B14" s="1664"/>
      <c r="C14" s="454" t="s">
        <v>330</v>
      </c>
      <c r="D14" s="455"/>
      <c r="E14" s="456" t="s">
        <v>14</v>
      </c>
      <c r="F14" s="457">
        <v>65100000</v>
      </c>
      <c r="G14" s="457">
        <v>45205000</v>
      </c>
      <c r="H14" s="457">
        <v>39088000</v>
      </c>
      <c r="I14" s="457" t="str">
        <f>'[23]April - 24'!$C$12</f>
        <v>CPO Consume Total</v>
      </c>
      <c r="J14" s="457">
        <f>'[24]Mei - 24'!$D$12</f>
        <v>36359000</v>
      </c>
      <c r="K14" s="457">
        <f>'[25]Juni - 24'!$D$12</f>
        <v>36359000</v>
      </c>
      <c r="L14" s="457">
        <f>'[28]Juli - 2024'!$D$9</f>
        <v>36359000</v>
      </c>
      <c r="M14" s="457">
        <f>'[28]Juli - 2024'!D$9</f>
        <v>36359000</v>
      </c>
      <c r="N14" s="457">
        <f>'[28]Juli - 2024'!$D$9</f>
        <v>36359000</v>
      </c>
      <c r="O14" s="457">
        <f>'[28]Juli - 2024'!$D$9</f>
        <v>36359000</v>
      </c>
      <c r="P14" s="457">
        <f>'[28]Juli - 2024'!$D$9</f>
        <v>36359000</v>
      </c>
      <c r="Q14" s="457">
        <f>'[28]Juli - 2024'!$D$9</f>
        <v>36359000</v>
      </c>
      <c r="R14" s="737"/>
      <c r="S14" s="60">
        <f>SUM(F14:Q14)</f>
        <v>440265000</v>
      </c>
      <c r="T14" s="686"/>
      <c r="U14" s="793"/>
      <c r="V14" s="376"/>
      <c r="W14" s="3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R14" s="65"/>
      <c r="AT14" s="465"/>
      <c r="AU14" s="46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V14" s="1"/>
      <c r="BW14" s="1"/>
      <c r="BX14" s="146"/>
      <c r="BY14" s="1"/>
      <c r="DA14" s="1"/>
      <c r="DE14" s="444"/>
      <c r="DF14" s="5"/>
      <c r="DG14" s="464"/>
      <c r="DH14" s="465"/>
      <c r="DI14" s="466"/>
      <c r="DJ14" s="146"/>
      <c r="FM14" s="146"/>
      <c r="JH14" s="146"/>
      <c r="JI14" s="146"/>
      <c r="JJ14" s="146"/>
      <c r="JK14" s="146"/>
      <c r="OO14" s="146"/>
      <c r="OP14" s="146"/>
      <c r="OR14" s="146"/>
      <c r="PF14" s="149"/>
      <c r="PJ14" s="146"/>
      <c r="RM14" s="149"/>
      <c r="AGV14" s="145"/>
      <c r="AIK14" s="145"/>
      <c r="AIL14" s="145"/>
      <c r="AIM14" s="145"/>
      <c r="AIT14" s="2"/>
      <c r="AIU14" s="145"/>
      <c r="AIV14" s="145"/>
    </row>
    <row r="15" spans="2:933" x14ac:dyDescent="0.25">
      <c r="B15" s="1664"/>
      <c r="C15" s="467" t="s">
        <v>82</v>
      </c>
      <c r="D15" s="468">
        <v>5</v>
      </c>
      <c r="E15" s="469" t="s">
        <v>25</v>
      </c>
      <c r="F15" s="470">
        <v>4.38</v>
      </c>
      <c r="G15" s="470">
        <v>4.5599999999999996</v>
      </c>
      <c r="H15" s="470">
        <v>4.1900000000000004</v>
      </c>
      <c r="I15" s="470">
        <v>4.1100000000000003</v>
      </c>
      <c r="J15" s="470">
        <v>3.86</v>
      </c>
      <c r="K15" s="470">
        <v>4.25</v>
      </c>
      <c r="L15" s="470">
        <f>'[26]Juli - 2024 ( Revisi )'!$AL$12</f>
        <v>3.8848484848484857</v>
      </c>
      <c r="M15" s="470">
        <f>'[27]Agustus - 2024'!$AN$12</f>
        <v>0</v>
      </c>
      <c r="N15" s="470">
        <f>'September - 2024'!AM13</f>
        <v>3.6441975308641967</v>
      </c>
      <c r="O15" s="470">
        <v>0</v>
      </c>
      <c r="P15" s="470" t="e">
        <f>'[22]November 24'!AL14</f>
        <v>#DIV/0!</v>
      </c>
      <c r="Q15" s="470" t="e">
        <f>'[22]Desember 24'!AL14</f>
        <v>#DIV/0!</v>
      </c>
      <c r="S15" s="61">
        <f>AVERAGE(F15:O15)</f>
        <v>3.2879046015712681</v>
      </c>
      <c r="T15" s="687" t="e">
        <f t="shared" ref="T15:U17" si="1">AVERAGE(G15:R15)</f>
        <v>#DIV/0!</v>
      </c>
      <c r="U15" s="791" t="e">
        <f t="shared" si="1"/>
        <v>#DIV/0!</v>
      </c>
      <c r="V15" s="65"/>
      <c r="W15" s="1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R15" s="65"/>
      <c r="AT15" s="828"/>
      <c r="AU15" s="828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V15" s="1"/>
      <c r="BW15" s="1"/>
      <c r="BX15" s="471"/>
      <c r="BY15" s="1"/>
      <c r="DA15" s="1"/>
      <c r="DE15" s="444" t="s">
        <v>331</v>
      </c>
      <c r="DF15" s="5" t="s">
        <v>14</v>
      </c>
      <c r="DG15" s="445">
        <v>182230</v>
      </c>
      <c r="DH15" s="446">
        <v>190070</v>
      </c>
      <c r="DI15" s="447">
        <v>197800.00000000099</v>
      </c>
      <c r="DJ15" s="471"/>
      <c r="FM15" s="471"/>
      <c r="FN15" s="471"/>
      <c r="JH15" s="471"/>
      <c r="JI15" s="471"/>
      <c r="JJ15" s="472"/>
      <c r="JK15" s="471"/>
      <c r="OO15" s="471">
        <f>S11/1000</f>
        <v>75717.833336325915</v>
      </c>
      <c r="OP15" s="471">
        <f>(S25+S43+S34)/1000</f>
        <v>21294.289000000001</v>
      </c>
      <c r="OR15" s="471" t="e">
        <f>SUM(OR16:OR17)</f>
        <v>#REF!</v>
      </c>
      <c r="PF15" s="473"/>
      <c r="PJ15" s="471"/>
      <c r="RM15" s="473"/>
      <c r="AGV15" s="471">
        <v>2000</v>
      </c>
      <c r="AIK15" s="471"/>
      <c r="AIL15" s="471"/>
      <c r="AIM15" s="471"/>
      <c r="AIT15" s="474"/>
      <c r="AIU15" s="471"/>
      <c r="AIV15" s="471"/>
    </row>
    <row r="16" spans="2:933" ht="15.75" thickBot="1" x14ac:dyDescent="0.3">
      <c r="B16" s="1664"/>
      <c r="C16" s="475" t="s">
        <v>81</v>
      </c>
      <c r="D16" s="476">
        <v>0.5</v>
      </c>
      <c r="E16" s="477" t="s">
        <v>25</v>
      </c>
      <c r="F16" s="470">
        <f>'[22]Januari 24'!AL15</f>
        <v>0.42388888888888893</v>
      </c>
      <c r="G16" s="470">
        <f>'[22]Februari 24'!AL15</f>
        <v>0.43545454545454548</v>
      </c>
      <c r="H16" s="470">
        <f>'[22]Maret 24'!AL15</f>
        <v>0.43</v>
      </c>
      <c r="I16" s="470">
        <f>'[23]April - 24'!$AK$16</f>
        <v>0</v>
      </c>
      <c r="J16" s="470">
        <f>'[24]Mei - 24'!$AL$16</f>
        <v>0</v>
      </c>
      <c r="K16" s="470">
        <f>'[25]Juni - 24'!$AL$16</f>
        <v>0.45375000000000004</v>
      </c>
      <c r="L16" s="470">
        <f>'[26]Juli - 2024 ( Revisi )'!$AL$13</f>
        <v>0.41795454545454547</v>
      </c>
      <c r="M16" s="470">
        <f>'[27]Agustus - 2024'!$AN$13</f>
        <v>0</v>
      </c>
      <c r="N16" s="470">
        <f>'September - 2024'!AM14</f>
        <v>0.41401234567901246</v>
      </c>
      <c r="O16" s="470">
        <v>0</v>
      </c>
      <c r="P16" s="470" t="e">
        <f>'[22]November 24'!AL15</f>
        <v>#DIV/0!</v>
      </c>
      <c r="Q16" s="470" t="e">
        <f>'[22]Desember 24'!AL15</f>
        <v>#DIV/0!</v>
      </c>
      <c r="R16" s="737"/>
      <c r="S16" s="61">
        <f>AVERAGE(F16:O16)</f>
        <v>0.25750603254769927</v>
      </c>
      <c r="T16" s="687" t="e">
        <f t="shared" si="1"/>
        <v>#DIV/0!</v>
      </c>
      <c r="U16" s="791" t="e">
        <f t="shared" si="1"/>
        <v>#DIV/0!</v>
      </c>
      <c r="V16" s="65"/>
      <c r="W16" s="1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R16" s="65"/>
      <c r="AT16" s="465"/>
      <c r="AU16" s="46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V16" s="1"/>
      <c r="BW16" s="1"/>
      <c r="BX16" s="146"/>
      <c r="BY16" s="1"/>
      <c r="DA16" s="1"/>
      <c r="DE16" s="478"/>
      <c r="DF16" s="479" t="s">
        <v>332</v>
      </c>
      <c r="DG16" s="480">
        <f>DG15/(DG7/1000)</f>
        <v>92.440598177871138</v>
      </c>
      <c r="DH16" s="481">
        <f>DH15/(DH7/1000)</f>
        <v>94.321926237642941</v>
      </c>
      <c r="DI16" s="482">
        <f>DI15/(DI7/1000)</f>
        <v>98.152568193209206</v>
      </c>
      <c r="DJ16" s="146"/>
      <c r="FM16" s="146"/>
      <c r="JH16" s="146"/>
      <c r="JI16" s="471"/>
      <c r="JJ16" s="146"/>
      <c r="JK16" s="146"/>
      <c r="OO16" s="483"/>
      <c r="OP16" s="483"/>
      <c r="OR16" s="483" t="e">
        <f>#REF!/1000</f>
        <v>#REF!</v>
      </c>
      <c r="OS16" s="149" t="e">
        <f>OR16/OR15*100</f>
        <v>#REF!</v>
      </c>
      <c r="PF16" s="149"/>
      <c r="PJ16" s="146"/>
      <c r="RM16" s="149"/>
      <c r="AGU16" s="484">
        <v>0.94199999999999995</v>
      </c>
      <c r="AGV16" s="145">
        <f>AGU16*AGV15</f>
        <v>1884</v>
      </c>
      <c r="AGW16" s="1" t="s">
        <v>16</v>
      </c>
      <c r="AIK16" s="145"/>
      <c r="AIL16" s="145"/>
      <c r="AIM16" s="145"/>
      <c r="AIT16" s="2" t="s">
        <v>63</v>
      </c>
      <c r="AIU16" s="145">
        <v>9594130</v>
      </c>
      <c r="AIV16" s="145">
        <f>S26</f>
        <v>15950222</v>
      </c>
      <c r="AIW16" s="4">
        <f>AIU16-AIV16</f>
        <v>-6356092</v>
      </c>
    </row>
    <row r="17" spans="2:933" x14ac:dyDescent="0.25">
      <c r="B17" s="1664"/>
      <c r="C17" s="475" t="s">
        <v>80</v>
      </c>
      <c r="D17" s="485" t="s">
        <v>79</v>
      </c>
      <c r="E17" s="477" t="s">
        <v>25</v>
      </c>
      <c r="F17" s="470">
        <f>'[22]Januari 24'!AL16</f>
        <v>2.2105555555555561</v>
      </c>
      <c r="G17" s="470">
        <f>'[22]Februari 24'!AL16</f>
        <v>2.2127272727272729</v>
      </c>
      <c r="H17" s="470">
        <f>'[22]Maret 24'!AL16</f>
        <v>2.21</v>
      </c>
      <c r="I17" s="470">
        <f>'[23]April - 24'!$AK$17</f>
        <v>0</v>
      </c>
      <c r="J17" s="470">
        <f>'[24]Mei - 24'!$AL$17</f>
        <v>0</v>
      </c>
      <c r="K17" s="470">
        <f>'[25]Juni - 24'!$AL$17</f>
        <v>2.2100000000000004</v>
      </c>
      <c r="L17" s="470">
        <f>'[28]Juli - 2024'!$AL$14</f>
        <v>2.2135714285714285</v>
      </c>
      <c r="M17" s="470">
        <f>'[27]Agustus - 2024'!$AN$14</f>
        <v>0</v>
      </c>
      <c r="N17" s="470">
        <f>'September - 2024'!AM15</f>
        <v>21.265185185185178</v>
      </c>
      <c r="O17" s="470">
        <v>0</v>
      </c>
      <c r="P17" s="470" t="e">
        <f>'[22]November 24'!AL16</f>
        <v>#DIV/0!</v>
      </c>
      <c r="Q17" s="486" t="e">
        <f>'[22]Desember 24'!AL16</f>
        <v>#DIV/0!</v>
      </c>
      <c r="R17" s="737"/>
      <c r="S17" s="61">
        <f>AVERAGE(F17:O17)</f>
        <v>3.2322039442039441</v>
      </c>
      <c r="T17" s="687" t="e">
        <f t="shared" si="1"/>
        <v>#DIV/0!</v>
      </c>
      <c r="U17" s="791" t="e">
        <f t="shared" si="1"/>
        <v>#DIV/0!</v>
      </c>
      <c r="V17" s="65"/>
      <c r="W17" s="1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R17" s="65"/>
      <c r="AT17" s="465"/>
      <c r="AU17" s="46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V17" s="1"/>
      <c r="BW17" s="1"/>
      <c r="BX17" s="146"/>
      <c r="BY17" s="1"/>
      <c r="DA17" s="1"/>
      <c r="DJ17" s="146"/>
      <c r="FM17" s="146"/>
      <c r="JH17" s="146"/>
      <c r="JI17" s="146"/>
      <c r="JJ17" s="146"/>
      <c r="JK17" s="146"/>
      <c r="OO17" s="146">
        <f>SUM(OO15:OO16)</f>
        <v>75717.833336325915</v>
      </c>
      <c r="OP17" s="146">
        <f>SUM(OP15:OP16)</f>
        <v>21294.289000000001</v>
      </c>
      <c r="OR17" s="483" t="e">
        <f>#REF!/1000</f>
        <v>#REF!</v>
      </c>
      <c r="OS17" s="149" t="e">
        <f>OR17/OR15*100</f>
        <v>#REF!</v>
      </c>
      <c r="PF17" s="149"/>
      <c r="PJ17" s="146"/>
      <c r="RM17" s="149"/>
      <c r="AGU17" s="487">
        <v>0.05</v>
      </c>
      <c r="AGV17" s="145">
        <f>AGU17*AGV15</f>
        <v>100</v>
      </c>
      <c r="AIK17" s="145"/>
      <c r="AIL17" s="145"/>
      <c r="AIM17" s="145"/>
      <c r="AIT17" s="2" t="s">
        <v>62</v>
      </c>
      <c r="AIU17" s="145">
        <v>2161151</v>
      </c>
      <c r="AIV17" s="145">
        <f>S27</f>
        <v>3206375</v>
      </c>
      <c r="AIW17" s="4">
        <f>AIU17-AIV17</f>
        <v>-1045224</v>
      </c>
    </row>
    <row r="18" spans="2:933" x14ac:dyDescent="0.25">
      <c r="B18" s="1664"/>
      <c r="C18" s="488" t="s">
        <v>78</v>
      </c>
      <c r="D18" s="489"/>
      <c r="E18" s="490"/>
      <c r="F18" s="452"/>
      <c r="G18" s="452"/>
      <c r="H18" s="452"/>
      <c r="I18" s="452"/>
      <c r="J18" s="452"/>
      <c r="K18" s="452"/>
      <c r="L18" s="452"/>
      <c r="M18" s="452"/>
      <c r="N18" s="452"/>
      <c r="O18" s="452"/>
      <c r="P18" s="452"/>
      <c r="Q18" s="452"/>
      <c r="R18" s="738"/>
      <c r="S18" s="729" t="s">
        <v>78</v>
      </c>
      <c r="T18" s="688" t="s">
        <v>78</v>
      </c>
      <c r="U18" s="794" t="s">
        <v>78</v>
      </c>
      <c r="V18" s="65"/>
      <c r="W18" s="1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R18" s="65"/>
      <c r="AT18" s="465"/>
      <c r="AU18" s="46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44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V18" s="1"/>
      <c r="BW18" s="1"/>
      <c r="BX18" s="146"/>
      <c r="BY18" s="1"/>
      <c r="DA18" s="1"/>
      <c r="DF18" s="5"/>
      <c r="DG18" s="146"/>
      <c r="DH18" s="146"/>
      <c r="DI18" s="146"/>
      <c r="DJ18" s="146"/>
      <c r="FM18" s="146"/>
      <c r="JH18" s="146"/>
      <c r="JI18" s="146"/>
      <c r="JJ18" s="146"/>
      <c r="JK18" s="146"/>
      <c r="OO18" s="149">
        <f>OO17/OO11*100</f>
        <v>280.99729260369878</v>
      </c>
      <c r="OP18" s="149">
        <f>OP17/OP11*100</f>
        <v>122.49901009300746</v>
      </c>
      <c r="OR18" s="146"/>
      <c r="PF18" s="149"/>
      <c r="PJ18" s="146"/>
      <c r="RM18" s="149"/>
      <c r="AEG18" s="423" t="s">
        <v>333</v>
      </c>
      <c r="AEH18" s="423"/>
      <c r="AEI18" s="423"/>
      <c r="AEJ18" s="423"/>
      <c r="AEK18" s="423"/>
      <c r="AEL18" s="423"/>
      <c r="AEM18" s="423"/>
      <c r="AEN18" s="423"/>
      <c r="AEO18" s="423"/>
      <c r="AEP18" s="423"/>
      <c r="AEQ18" s="5" t="s">
        <v>334</v>
      </c>
      <c r="AER18" s="423" t="s">
        <v>335</v>
      </c>
      <c r="AGV18" s="145"/>
      <c r="AIK18" s="145"/>
      <c r="AIL18" s="145"/>
      <c r="AIM18" s="145"/>
      <c r="AIU18" s="145"/>
      <c r="AIV18" s="145"/>
    </row>
    <row r="19" spans="2:933" ht="15.75" thickBot="1" x14ac:dyDescent="0.3">
      <c r="B19" s="1664"/>
      <c r="C19" s="491" t="s">
        <v>77</v>
      </c>
      <c r="D19" s="455">
        <f>D51%*D11</f>
        <v>660718800</v>
      </c>
      <c r="E19" s="492" t="s">
        <v>14</v>
      </c>
      <c r="F19" s="457">
        <f>'[22]Januari 24'!AL18</f>
        <v>11255730</v>
      </c>
      <c r="G19" s="457">
        <f>'[22]Februari 24'!AL18</f>
        <v>11075536</v>
      </c>
      <c r="H19" s="457">
        <f>'[22]Maret 24'!AL18</f>
        <v>2943785</v>
      </c>
      <c r="I19" s="457">
        <f>'[23]April - 24'!$AK$19</f>
        <v>0</v>
      </c>
      <c r="J19" s="457">
        <f>'[24]Mei - 24'!$AL$19</f>
        <v>0</v>
      </c>
      <c r="K19" s="457">
        <f>'[25]Juni - 24'!$AL$19</f>
        <v>8432668</v>
      </c>
      <c r="L19" s="457">
        <f>'[26]Juli - 2024 ( Revisi )'!$AL$16</f>
        <v>14396709</v>
      </c>
      <c r="M19" s="457">
        <f>'[27]Agustus - 2024'!$AN$16</f>
        <v>0</v>
      </c>
      <c r="N19" s="457">
        <f>'September - 2024'!$AM$18</f>
        <v>22783491</v>
      </c>
      <c r="O19" s="457">
        <f>'[22]Oktober 24'!AL18</f>
        <v>0</v>
      </c>
      <c r="P19" s="457">
        <f>'[22]November 24'!AL18</f>
        <v>0</v>
      </c>
      <c r="Q19" s="457">
        <f>'[22]Desember 24'!AL18</f>
        <v>0</v>
      </c>
      <c r="R19" s="737"/>
      <c r="S19" s="106">
        <f>SUM(F19:Q19)</f>
        <v>70887919</v>
      </c>
      <c r="T19" s="685">
        <v>399336000</v>
      </c>
      <c r="U19" s="793">
        <f>S19/T19*100</f>
        <v>17.751447152272775</v>
      </c>
      <c r="V19" s="65"/>
      <c r="W19" s="1"/>
      <c r="X19" s="65"/>
      <c r="Y19" s="65"/>
      <c r="Z19" s="829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R19" s="65"/>
      <c r="AT19" s="446"/>
      <c r="AU19" s="446"/>
      <c r="AV19" s="3"/>
      <c r="AW19" s="1"/>
      <c r="AX19" s="372">
        <f>AX20/D19</f>
        <v>9.0381672203061272E-2</v>
      </c>
      <c r="AY19" s="1"/>
      <c r="AZ19" s="1"/>
      <c r="BA19" s="1"/>
      <c r="BB19" s="1"/>
      <c r="BC19" s="1"/>
      <c r="BD19" s="1"/>
      <c r="BE19" s="1"/>
      <c r="BF19" s="144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V19" s="1"/>
      <c r="BW19" s="1"/>
      <c r="BX19" s="145"/>
      <c r="BY19" s="1"/>
      <c r="DA19" s="1"/>
      <c r="DE19" s="493" t="s">
        <v>336</v>
      </c>
      <c r="DF19" s="5"/>
      <c r="DG19" s="145"/>
      <c r="DH19" s="145"/>
      <c r="DI19" s="145"/>
      <c r="DJ19" s="145"/>
      <c r="FM19" s="145"/>
      <c r="JH19" s="145"/>
      <c r="JI19" s="145"/>
      <c r="JJ19" s="145"/>
      <c r="JK19" s="145"/>
      <c r="OO19" s="145"/>
      <c r="OP19" s="145"/>
      <c r="OR19" s="145"/>
      <c r="PF19" s="494"/>
      <c r="PJ19" s="145"/>
      <c r="RM19" s="494"/>
      <c r="AEE19" s="145">
        <v>136359.999999986</v>
      </c>
      <c r="AEF19" s="145">
        <v>109339.999999997</v>
      </c>
      <c r="AEG19" s="495">
        <f>SUM(AEE19:AEF19)</f>
        <v>245699.999999983</v>
      </c>
      <c r="AEQ19" s="145">
        <v>34157.880000005498</v>
      </c>
      <c r="AER19" s="495">
        <f>AEG19-AEQ19</f>
        <v>211542.1199999775</v>
      </c>
      <c r="AGV19" s="145">
        <f>AGV16</f>
        <v>1884</v>
      </c>
      <c r="AIK19" s="145"/>
      <c r="AIL19" s="145"/>
      <c r="AIM19" s="145"/>
      <c r="AIU19" s="145"/>
      <c r="AIV19" s="145"/>
    </row>
    <row r="20" spans="2:933" x14ac:dyDescent="0.25">
      <c r="B20" s="1664"/>
      <c r="C20" s="491" t="s">
        <v>64</v>
      </c>
      <c r="D20" s="455">
        <f>D52%*D11</f>
        <v>35070000</v>
      </c>
      <c r="E20" s="492" t="s">
        <v>14</v>
      </c>
      <c r="F20" s="457">
        <f>'[22]Januari 24'!AL19</f>
        <v>568791</v>
      </c>
      <c r="G20" s="457">
        <f>'[22]Februari 24'!AL19</f>
        <v>594383</v>
      </c>
      <c r="H20" s="457">
        <f>'[22]Maret 24'!AL19</f>
        <v>137988</v>
      </c>
      <c r="I20" s="457">
        <f>'[23]April - 24'!$AK$20</f>
        <v>0</v>
      </c>
      <c r="J20" s="457">
        <f>'[24]Mei - 24'!$AL$20</f>
        <v>0</v>
      </c>
      <c r="K20" s="457">
        <f>'[25]Juni - 24'!$AL$20</f>
        <v>432588</v>
      </c>
      <c r="L20" s="457">
        <f>'[26]Juli - 2024 ( Revisi )'!$AL$17</f>
        <v>713632</v>
      </c>
      <c r="M20" s="457">
        <f>'[27]Agustus - 2024'!$AN$17</f>
        <v>0</v>
      </c>
      <c r="N20" s="457">
        <f>'September - 2024'!$AM$19</f>
        <v>998518</v>
      </c>
      <c r="O20" s="457">
        <f>'[22]Oktober 24'!AL19</f>
        <v>0</v>
      </c>
      <c r="P20" s="457">
        <f>'[22]November 24'!AL19</f>
        <v>0</v>
      </c>
      <c r="Q20" s="457">
        <f>'[22]Desember 24'!AL19</f>
        <v>0</v>
      </c>
      <c r="R20" s="737"/>
      <c r="S20" s="60">
        <f>SUM(F20:Q20)</f>
        <v>3445900</v>
      </c>
      <c r="T20" s="689">
        <v>19024000</v>
      </c>
      <c r="U20" s="793">
        <f>S20/T20*100</f>
        <v>18.11343566021867</v>
      </c>
      <c r="V20" s="65"/>
      <c r="W20" s="1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R20" s="65"/>
      <c r="AT20" s="446"/>
      <c r="AU20" s="446"/>
      <c r="AV20" s="3"/>
      <c r="AW20" s="1"/>
      <c r="AX20" s="3">
        <f>S25+S29+S34+S43+S38</f>
        <v>59716870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V20" s="1"/>
      <c r="BW20" s="1"/>
      <c r="BX20" s="145"/>
      <c r="BY20" s="1"/>
      <c r="DA20" s="1"/>
      <c r="DE20" s="496" t="s">
        <v>289</v>
      </c>
      <c r="DF20" s="497"/>
      <c r="DG20" s="498" t="s">
        <v>218</v>
      </c>
      <c r="DH20" s="499" t="s">
        <v>337</v>
      </c>
      <c r="DI20" s="500"/>
      <c r="DJ20" s="145"/>
      <c r="FM20" s="145"/>
      <c r="JH20" s="145"/>
      <c r="JI20" s="145"/>
      <c r="JJ20" s="145"/>
      <c r="JK20" s="145"/>
      <c r="OO20" s="145">
        <f>OO11-OO17</f>
        <v>-48771.725551894815</v>
      </c>
      <c r="OP20" s="145">
        <f>OP11-OP17</f>
        <v>-3911.0554670659003</v>
      </c>
      <c r="OR20" s="501" t="s">
        <v>338</v>
      </c>
      <c r="OS20" s="502">
        <v>0</v>
      </c>
      <c r="PE20" s="145">
        <v>564.70506750000004</v>
      </c>
      <c r="PF20" s="494">
        <f>OS20/PE20*100</f>
        <v>0</v>
      </c>
      <c r="PI20" s="487"/>
      <c r="PJ20" s="145"/>
      <c r="RM20" s="494"/>
      <c r="AEE20" s="145">
        <v>13799.9999999993</v>
      </c>
      <c r="AEF20" s="145">
        <v>2799.9999999992701</v>
      </c>
      <c r="AEG20" s="495">
        <f>SUM(AEE20:AEF20)</f>
        <v>16599.99999999857</v>
      </c>
      <c r="AEQ20" s="145">
        <v>1469.85000000024</v>
      </c>
      <c r="AER20" s="495">
        <f>AEG20-AEQ20</f>
        <v>15130.14999999833</v>
      </c>
      <c r="AGU20" s="487">
        <v>0.75</v>
      </c>
      <c r="AGV20" s="145">
        <f>AGU20*AGV19</f>
        <v>1413</v>
      </c>
      <c r="AIK20" s="145"/>
      <c r="AIL20" s="145"/>
      <c r="AIM20" s="145"/>
      <c r="AIU20" s="145"/>
      <c r="AIV20" s="145"/>
    </row>
    <row r="21" spans="2:933" x14ac:dyDescent="0.25">
      <c r="B21" s="1664"/>
      <c r="C21" s="735" t="s">
        <v>359</v>
      </c>
      <c r="D21" s="455"/>
      <c r="E21" s="509"/>
      <c r="F21" s="452"/>
      <c r="G21" s="452"/>
      <c r="H21" s="452"/>
      <c r="I21" s="452"/>
      <c r="J21" s="452"/>
      <c r="K21" s="452"/>
      <c r="L21" s="452"/>
      <c r="M21" s="452"/>
      <c r="N21" s="452"/>
      <c r="O21" s="457"/>
      <c r="P21" s="457"/>
      <c r="Q21" s="457"/>
      <c r="R21" s="737"/>
      <c r="S21" s="60"/>
      <c r="T21" s="689"/>
      <c r="U21" s="793"/>
      <c r="V21" s="65"/>
      <c r="W21" s="1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R21" s="65"/>
      <c r="AT21" s="446"/>
      <c r="AU21" s="446"/>
      <c r="AV21" s="3"/>
      <c r="AW21" s="1"/>
      <c r="AX21" s="3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V21" s="1"/>
      <c r="BW21" s="1"/>
      <c r="BX21" s="145"/>
      <c r="BY21" s="1"/>
      <c r="DA21" s="1"/>
      <c r="DE21" s="779"/>
      <c r="DF21" s="780"/>
      <c r="DG21" s="781"/>
      <c r="DH21" s="782"/>
      <c r="DI21" s="783"/>
      <c r="DJ21" s="145"/>
      <c r="FM21" s="145"/>
      <c r="JH21" s="145"/>
      <c r="JI21" s="145"/>
      <c r="JJ21" s="145"/>
      <c r="JK21" s="145"/>
      <c r="OO21" s="145"/>
      <c r="OP21" s="145"/>
      <c r="OR21" s="501"/>
      <c r="OS21" s="502"/>
      <c r="PE21" s="145"/>
      <c r="PF21" s="494"/>
      <c r="PI21" s="487"/>
      <c r="PJ21" s="145"/>
      <c r="RM21" s="494"/>
      <c r="AEE21" s="145"/>
      <c r="AEF21" s="145"/>
      <c r="AEG21" s="495"/>
      <c r="AEQ21" s="145"/>
      <c r="AER21" s="495"/>
      <c r="AGU21" s="487"/>
      <c r="AGV21" s="145"/>
      <c r="AIK21" s="145"/>
      <c r="AIL21" s="145"/>
      <c r="AIM21" s="145"/>
      <c r="AIU21" s="145"/>
      <c r="AIV21" s="145"/>
    </row>
    <row r="22" spans="2:933" x14ac:dyDescent="0.25">
      <c r="B22" s="1664"/>
      <c r="C22" s="67" t="s">
        <v>362</v>
      </c>
      <c r="D22" s="785">
        <f>399289.3*1000</f>
        <v>399289300</v>
      </c>
      <c r="E22" s="492" t="s">
        <v>14</v>
      </c>
      <c r="F22" s="457">
        <f>F23</f>
        <v>6744590</v>
      </c>
      <c r="G22" s="457">
        <f t="shared" ref="G22:L22" si="2">G23</f>
        <v>7673369</v>
      </c>
      <c r="H22" s="457">
        <f t="shared" si="2"/>
        <v>1794600</v>
      </c>
      <c r="I22" s="457">
        <f t="shared" si="2"/>
        <v>0</v>
      </c>
      <c r="J22" s="457">
        <f t="shared" si="2"/>
        <v>0</v>
      </c>
      <c r="K22" s="457">
        <f t="shared" si="2"/>
        <v>7764784</v>
      </c>
      <c r="L22" s="457">
        <f t="shared" si="2"/>
        <v>11686063</v>
      </c>
      <c r="M22" s="457">
        <f>'[27]Agustus - 2024'!$AN$21</f>
        <v>0</v>
      </c>
      <c r="N22" s="452">
        <f>'September - 2024'!AM23</f>
        <v>22592969</v>
      </c>
      <c r="O22" s="452"/>
      <c r="P22" s="452"/>
      <c r="Q22" s="452"/>
      <c r="R22" s="737"/>
      <c r="S22" s="786">
        <f>SUM(F22:N22)</f>
        <v>58256375</v>
      </c>
      <c r="T22" s="689"/>
      <c r="U22" s="793"/>
      <c r="V22" s="1100">
        <f>S22/D22</f>
        <v>0.14590016561926403</v>
      </c>
      <c r="W22" s="1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R22" s="65"/>
      <c r="AT22" s="446"/>
      <c r="AU22" s="446"/>
      <c r="AV22" s="3"/>
      <c r="AW22" s="1"/>
      <c r="AX22" s="3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V22" s="1"/>
      <c r="BW22" s="1"/>
      <c r="BX22" s="145"/>
      <c r="BY22" s="1"/>
      <c r="DA22" s="1"/>
      <c r="DE22" s="779"/>
      <c r="DF22" s="780"/>
      <c r="DG22" s="781"/>
      <c r="DH22" s="782"/>
      <c r="DI22" s="783"/>
      <c r="DJ22" s="145"/>
      <c r="FM22" s="145"/>
      <c r="JH22" s="145"/>
      <c r="JI22" s="145"/>
      <c r="JJ22" s="145"/>
      <c r="JK22" s="145"/>
      <c r="OO22" s="145"/>
      <c r="OP22" s="145"/>
      <c r="OR22" s="501"/>
      <c r="OS22" s="502"/>
      <c r="PE22" s="145"/>
      <c r="PF22" s="494"/>
      <c r="PI22" s="487"/>
      <c r="PJ22" s="145"/>
      <c r="RM22" s="494"/>
      <c r="AEE22" s="145"/>
      <c r="AEF22" s="145"/>
      <c r="AEG22" s="495"/>
      <c r="AEQ22" s="145"/>
      <c r="AER22" s="495"/>
      <c r="AGU22" s="487"/>
      <c r="AGV22" s="145"/>
      <c r="AIK22" s="145"/>
      <c r="AIL22" s="145"/>
      <c r="AIM22" s="145"/>
      <c r="AIU22" s="145"/>
      <c r="AIV22" s="145"/>
    </row>
    <row r="23" spans="2:933" x14ac:dyDescent="0.25">
      <c r="B23" s="1664"/>
      <c r="C23" s="14" t="s">
        <v>361</v>
      </c>
      <c r="D23" s="784"/>
      <c r="E23" s="509" t="s">
        <v>14</v>
      </c>
      <c r="F23" s="452">
        <f>SUM(F25,F29,F34,F38,F43)</f>
        <v>6744590</v>
      </c>
      <c r="G23" s="452">
        <f t="shared" ref="G23:L23" si="3">SUM(G25,G29,G34,G38,G43)</f>
        <v>7673369</v>
      </c>
      <c r="H23" s="452">
        <f t="shared" si="3"/>
        <v>1794600</v>
      </c>
      <c r="I23" s="452">
        <f t="shared" si="3"/>
        <v>0</v>
      </c>
      <c r="J23" s="452">
        <f t="shared" si="3"/>
        <v>0</v>
      </c>
      <c r="K23" s="452">
        <f t="shared" si="3"/>
        <v>7764784</v>
      </c>
      <c r="L23" s="452">
        <f t="shared" si="3"/>
        <v>11686063</v>
      </c>
      <c r="M23" s="452">
        <f>SUM($M$25,$M$29,$M$34,$M$38,$M$43)</f>
        <v>224749</v>
      </c>
      <c r="N23" s="452">
        <f>'September - 2024'!AM25</f>
        <v>23189025</v>
      </c>
      <c r="O23" s="452"/>
      <c r="P23" s="452"/>
      <c r="Q23" s="452"/>
      <c r="R23" s="737"/>
      <c r="S23" s="787">
        <f>SUM(F23:N23)</f>
        <v>59077180</v>
      </c>
      <c r="T23" s="689"/>
      <c r="U23" s="793"/>
      <c r="V23" s="65"/>
      <c r="W23" s="1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R23" s="65"/>
      <c r="AT23" s="446"/>
      <c r="AU23" s="446"/>
      <c r="AV23" s="3"/>
      <c r="AW23" s="1"/>
      <c r="AX23" s="3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V23" s="1"/>
      <c r="BW23" s="1"/>
      <c r="BX23" s="145"/>
      <c r="BY23" s="1"/>
      <c r="DA23" s="1"/>
      <c r="DE23" s="779"/>
      <c r="DF23" s="780"/>
      <c r="DG23" s="781"/>
      <c r="DH23" s="782"/>
      <c r="DI23" s="783"/>
      <c r="DJ23" s="145"/>
      <c r="FM23" s="145"/>
      <c r="JH23" s="145"/>
      <c r="JI23" s="145"/>
      <c r="JJ23" s="145"/>
      <c r="JK23" s="145"/>
      <c r="OO23" s="145"/>
      <c r="OP23" s="145"/>
      <c r="OR23" s="501"/>
      <c r="OS23" s="502"/>
      <c r="PE23" s="145"/>
      <c r="PF23" s="494"/>
      <c r="PI23" s="487"/>
      <c r="PJ23" s="145"/>
      <c r="RM23" s="494"/>
      <c r="AEE23" s="145"/>
      <c r="AEF23" s="145"/>
      <c r="AEG23" s="495"/>
      <c r="AEQ23" s="145"/>
      <c r="AER23" s="495"/>
      <c r="AGU23" s="487"/>
      <c r="AGV23" s="145"/>
      <c r="AIK23" s="145"/>
      <c r="AIL23" s="145"/>
      <c r="AIM23" s="145"/>
      <c r="AIU23" s="145"/>
      <c r="AIV23" s="145"/>
    </row>
    <row r="24" spans="2:933" ht="15.75" thickBot="1" x14ac:dyDescent="0.3">
      <c r="B24" s="1664"/>
      <c r="C24" s="503" t="s">
        <v>76</v>
      </c>
      <c r="D24" s="504"/>
      <c r="E24" s="505"/>
      <c r="F24" s="441"/>
      <c r="G24" s="441"/>
      <c r="H24" s="441"/>
      <c r="I24" s="441"/>
      <c r="J24" s="441"/>
      <c r="K24" s="441"/>
      <c r="L24" s="441"/>
      <c r="M24" s="441"/>
      <c r="N24" s="441"/>
      <c r="O24" s="441"/>
      <c r="P24" s="441"/>
      <c r="Q24" s="441"/>
      <c r="R24" s="737"/>
      <c r="S24" s="730" t="s">
        <v>63</v>
      </c>
      <c r="T24" s="690" t="s">
        <v>63</v>
      </c>
      <c r="U24" s="795" t="s">
        <v>63</v>
      </c>
      <c r="V24" s="65"/>
      <c r="W24" s="1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R24" s="65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V24" s="1"/>
      <c r="BW24" s="1"/>
      <c r="BX24" s="1"/>
      <c r="BY24" s="1"/>
      <c r="DA24" s="1"/>
      <c r="DE24" s="433"/>
      <c r="DF24" s="506"/>
      <c r="DG24" s="435">
        <v>24</v>
      </c>
      <c r="DH24" s="436">
        <v>2</v>
      </c>
      <c r="DI24" s="437">
        <v>3</v>
      </c>
      <c r="OR24" s="501" t="s">
        <v>61</v>
      </c>
      <c r="OS24" s="507">
        <f>80.53776+PF34</f>
        <v>120.78492</v>
      </c>
      <c r="PE24" s="145">
        <v>4695.7554</v>
      </c>
      <c r="PF24" s="494">
        <f>OS24/PE24*100</f>
        <v>2.5722148985869238</v>
      </c>
      <c r="AGU24" s="487">
        <v>0.25</v>
      </c>
      <c r="AGV24" s="145">
        <f>AGU24*AGV19</f>
        <v>471</v>
      </c>
    </row>
    <row r="25" spans="2:933" x14ac:dyDescent="0.25">
      <c r="B25" s="1664"/>
      <c r="C25" s="491" t="s">
        <v>75</v>
      </c>
      <c r="D25" s="508">
        <f>SUM(D26:D27)</f>
        <v>0</v>
      </c>
      <c r="E25" s="509" t="s">
        <v>14</v>
      </c>
      <c r="F25" s="452">
        <f>F26+F27</f>
        <v>2379082</v>
      </c>
      <c r="G25" s="452">
        <f>'[22]Februari 24'!AL21</f>
        <v>50570</v>
      </c>
      <c r="H25" s="452">
        <f>'[22]Maret 24'!AL21</f>
        <v>0</v>
      </c>
      <c r="I25" s="452">
        <f>'[22]April 24'!AL21</f>
        <v>0</v>
      </c>
      <c r="J25" s="452">
        <f>'[22]Mei 24'!AL21</f>
        <v>0</v>
      </c>
      <c r="K25" s="452">
        <f t="shared" ref="K25:Q25" si="4">K26+K27</f>
        <v>0</v>
      </c>
      <c r="L25" s="452">
        <f>'[26]Juli - 2024 ( Revisi )'!$AL$19</f>
        <v>0</v>
      </c>
      <c r="M25" s="452">
        <f>'[27]Agustus - 2024'!$AN$25</f>
        <v>0</v>
      </c>
      <c r="N25" s="452">
        <f>$N$26+$N$27</f>
        <v>16566545</v>
      </c>
      <c r="O25" s="452">
        <f t="shared" si="4"/>
        <v>0</v>
      </c>
      <c r="P25" s="452">
        <f t="shared" si="4"/>
        <v>0</v>
      </c>
      <c r="Q25" s="452">
        <f t="shared" si="4"/>
        <v>0</v>
      </c>
      <c r="R25" s="737"/>
      <c r="S25" s="60">
        <f>S26+S27</f>
        <v>19156597</v>
      </c>
      <c r="T25" s="685">
        <f>T26+T27</f>
        <v>87311000</v>
      </c>
      <c r="U25" s="793">
        <f>S25/T25*100</f>
        <v>21.940645508584254</v>
      </c>
      <c r="V25" s="65"/>
      <c r="W25" s="1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R25" s="65"/>
      <c r="AT25" s="465"/>
      <c r="AU25" s="465"/>
      <c r="AV25" s="1"/>
      <c r="AW25" s="1"/>
      <c r="AX25" s="3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V25" s="1"/>
      <c r="BW25" s="1"/>
      <c r="BX25" s="146"/>
      <c r="BY25" s="1"/>
      <c r="DA25" s="1"/>
      <c r="DE25" s="444" t="s">
        <v>321</v>
      </c>
      <c r="DF25" s="5" t="s">
        <v>14</v>
      </c>
      <c r="DG25" s="445">
        <v>2000530</v>
      </c>
      <c r="DH25" s="465">
        <v>2005167</v>
      </c>
      <c r="DI25" s="447">
        <v>2025879</v>
      </c>
      <c r="DJ25" s="146"/>
      <c r="FM25" s="146"/>
      <c r="JH25" s="146"/>
      <c r="JI25" s="146"/>
      <c r="JJ25" s="146"/>
      <c r="JK25" s="146"/>
      <c r="OO25" s="146"/>
      <c r="OP25" s="146"/>
      <c r="OR25" s="146"/>
      <c r="PF25" s="149"/>
      <c r="PJ25" s="146"/>
      <c r="RM25" s="149"/>
      <c r="AEE25" s="4">
        <f>95.28%*AEE11</f>
        <v>34157.880000005527</v>
      </c>
      <c r="AEG25" s="4">
        <f>AEE19-AEQ19</f>
        <v>102202.1199999805</v>
      </c>
      <c r="AGV25" s="145"/>
      <c r="AIK25" s="145"/>
      <c r="AIL25" s="145"/>
      <c r="AIM25" s="145"/>
      <c r="AIQ25" s="1" t="s">
        <v>339</v>
      </c>
    </row>
    <row r="26" spans="2:933" x14ac:dyDescent="0.25">
      <c r="B26" s="1664"/>
      <c r="C26" s="491" t="s">
        <v>74</v>
      </c>
      <c r="D26" s="508"/>
      <c r="E26" s="492" t="s">
        <v>14</v>
      </c>
      <c r="F26" s="457">
        <f>'[22]Januari 24'!AL22</f>
        <v>1982807</v>
      </c>
      <c r="G26" s="457">
        <f>'[22]Februari 24'!AL22</f>
        <v>42320</v>
      </c>
      <c r="H26" s="457">
        <f>'[22]Maret 24'!AL22</f>
        <v>0</v>
      </c>
      <c r="I26" s="457">
        <f>'[22]April 24'!AL22</f>
        <v>0</v>
      </c>
      <c r="J26" s="457">
        <f>'[22]Mei 24'!AL22</f>
        <v>0</v>
      </c>
      <c r="K26" s="457">
        <f>'[22]Juny 24'!AL22</f>
        <v>0</v>
      </c>
      <c r="L26" s="457">
        <f>'[26]Juli - 2024 ( Revisi )'!$AL$20</f>
        <v>135300</v>
      </c>
      <c r="M26" s="457">
        <f>'[27]Agustus - 2024'!$AN$26</f>
        <v>0</v>
      </c>
      <c r="N26" s="457">
        <f>'September - 2024'!$AM$29</f>
        <v>13789795</v>
      </c>
      <c r="O26" s="457">
        <f>'[22]Oktober 24'!AL22</f>
        <v>0</v>
      </c>
      <c r="P26" s="457">
        <f>'[22]November 24'!AL22</f>
        <v>0</v>
      </c>
      <c r="Q26" s="457">
        <f>'[22]Desember 24'!AL22</f>
        <v>0</v>
      </c>
      <c r="R26" s="737"/>
      <c r="S26" s="60">
        <f>SUM(F26:Q26)</f>
        <v>15950222</v>
      </c>
      <c r="T26" s="689">
        <v>71627000</v>
      </c>
      <c r="U26" s="793">
        <f>S26/T26*100</f>
        <v>22.268449048543147</v>
      </c>
      <c r="V26" s="65"/>
      <c r="W26" s="1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R26" s="65"/>
      <c r="AT26" s="1"/>
      <c r="AU26" s="1"/>
      <c r="AV26" s="3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V26" s="1"/>
      <c r="BW26" s="1"/>
      <c r="BX26" s="1"/>
      <c r="BY26" s="1"/>
      <c r="DA26" s="1"/>
      <c r="DE26" s="458" t="s">
        <v>328</v>
      </c>
      <c r="DF26" s="459" t="s">
        <v>19</v>
      </c>
      <c r="DG26" s="460">
        <v>255.536188590634</v>
      </c>
      <c r="DH26" s="510">
        <v>255.09239449100701</v>
      </c>
      <c r="DI26" s="462">
        <v>260.824545250543</v>
      </c>
      <c r="OO26" s="483" t="e">
        <f>#REF!/1000</f>
        <v>#REF!</v>
      </c>
      <c r="OR26" s="511" t="s">
        <v>340</v>
      </c>
      <c r="OS26" s="145">
        <v>0</v>
      </c>
      <c r="PE26" s="145">
        <v>9.7534799999999997</v>
      </c>
      <c r="PF26" s="494">
        <f>(OS26*PE26)/1000</f>
        <v>0</v>
      </c>
      <c r="AEE26" s="4">
        <f>4.1%*AEE11</f>
        <v>1469.8500000002375</v>
      </c>
      <c r="AEG26" s="4">
        <f>AEE20-AEQ20</f>
        <v>12330.149999999059</v>
      </c>
    </row>
    <row r="27" spans="2:933" x14ac:dyDescent="0.25">
      <c r="B27" s="1664"/>
      <c r="C27" s="491" t="s">
        <v>73</v>
      </c>
      <c r="D27" s="508"/>
      <c r="E27" s="492" t="s">
        <v>14</v>
      </c>
      <c r="F27" s="457">
        <f>'[22]Januari 24'!AL23</f>
        <v>396275</v>
      </c>
      <c r="G27" s="457">
        <f>'[22]Februari 24'!AL23</f>
        <v>8250</v>
      </c>
      <c r="H27" s="457">
        <f>'[22]Maret 24'!AL23</f>
        <v>0</v>
      </c>
      <c r="I27" s="457">
        <f>'[22]April 24'!AL23</f>
        <v>0</v>
      </c>
      <c r="J27" s="457">
        <f>'[22]Mei 24'!AL23</f>
        <v>0</v>
      </c>
      <c r="K27" s="457">
        <f>'[22]Juny 24'!AL23</f>
        <v>0</v>
      </c>
      <c r="L27" s="457">
        <f>'[26]Juli - 2024 ( Revisi )'!$AL$21</f>
        <v>25100</v>
      </c>
      <c r="M27" s="457">
        <f>'[27]Agustus - 2024'!$AN$27</f>
        <v>0</v>
      </c>
      <c r="N27" s="457">
        <f>'September - 2024'!$AM$30</f>
        <v>2776750</v>
      </c>
      <c r="O27" s="457">
        <f>'[22]Oktober 24'!AL23</f>
        <v>0</v>
      </c>
      <c r="P27" s="457">
        <f>'[22]November 24'!AL23</f>
        <v>0</v>
      </c>
      <c r="Q27" s="457">
        <f>'[22]Desember 24'!AL23</f>
        <v>0</v>
      </c>
      <c r="R27" s="737"/>
      <c r="S27" s="60">
        <f>SUM(F27:Q27)</f>
        <v>3206375</v>
      </c>
      <c r="T27" s="689">
        <v>15684000</v>
      </c>
      <c r="U27" s="793">
        <f>S27/T27*100</f>
        <v>20.443604947717418</v>
      </c>
      <c r="V27" s="65"/>
      <c r="W27" s="3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R27" s="65"/>
      <c r="AT27" s="1"/>
      <c r="AU27" s="1"/>
      <c r="AV27" s="3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V27" s="1"/>
      <c r="BW27" s="1"/>
      <c r="BX27" s="1"/>
      <c r="BY27" s="1"/>
      <c r="DA27" s="1"/>
      <c r="DE27" s="444" t="s">
        <v>331</v>
      </c>
      <c r="DF27" s="5" t="s">
        <v>14</v>
      </c>
      <c r="DG27" s="445">
        <v>146000</v>
      </c>
      <c r="DH27" s="446">
        <v>151100</v>
      </c>
      <c r="DI27" s="447">
        <v>152900</v>
      </c>
      <c r="OO27" s="145">
        <v>1796</v>
      </c>
      <c r="OQ27" s="494"/>
      <c r="OR27" s="511" t="s">
        <v>341</v>
      </c>
      <c r="OS27" s="483">
        <v>1262</v>
      </c>
      <c r="PE27" s="1">
        <v>10.86</v>
      </c>
      <c r="PF27" s="494">
        <f>(OS27*PE27)/1000</f>
        <v>13.70532</v>
      </c>
      <c r="AIQ27" s="2" t="s">
        <v>342</v>
      </c>
    </row>
    <row r="28" spans="2:933" x14ac:dyDescent="0.25">
      <c r="B28" s="1664"/>
      <c r="C28" s="503" t="s">
        <v>105</v>
      </c>
      <c r="D28" s="508"/>
      <c r="E28" s="512"/>
      <c r="F28" s="513"/>
      <c r="G28" s="513"/>
      <c r="H28" s="513"/>
      <c r="I28" s="513"/>
      <c r="J28" s="513"/>
      <c r="K28" s="513"/>
      <c r="L28" s="513"/>
      <c r="M28" s="513"/>
      <c r="N28" s="513"/>
      <c r="O28" s="513"/>
      <c r="P28" s="513"/>
      <c r="Q28" s="513"/>
      <c r="R28" s="737"/>
      <c r="S28" s="730" t="s">
        <v>107</v>
      </c>
      <c r="T28" s="690" t="s">
        <v>107</v>
      </c>
      <c r="U28" s="795" t="s">
        <v>107</v>
      </c>
      <c r="V28" s="65"/>
      <c r="W28" s="3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R28" s="65"/>
      <c r="AT28" s="1"/>
      <c r="AU28" s="1"/>
      <c r="AV28" s="3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V28" s="1"/>
      <c r="BW28" s="1"/>
      <c r="BX28" s="1"/>
      <c r="BY28" s="1"/>
      <c r="DA28" s="1"/>
      <c r="DE28" s="444"/>
      <c r="DF28" s="5"/>
      <c r="DG28" s="445"/>
      <c r="DH28" s="446"/>
      <c r="DI28" s="447"/>
      <c r="OO28" s="145"/>
      <c r="OQ28" s="494"/>
      <c r="OR28" s="511"/>
      <c r="OS28" s="483"/>
      <c r="PE28" s="1"/>
      <c r="PF28" s="494"/>
      <c r="AIQ28" s="2"/>
    </row>
    <row r="29" spans="2:933" x14ac:dyDescent="0.25">
      <c r="B29" s="1664"/>
      <c r="C29" s="491" t="s">
        <v>75</v>
      </c>
      <c r="D29" s="508"/>
      <c r="E29" s="492" t="s">
        <v>14</v>
      </c>
      <c r="F29" s="457">
        <f>F30+F31</f>
        <v>2827867</v>
      </c>
      <c r="G29" s="457">
        <f>'[29]Februari - 24'!$AL$34</f>
        <v>7224129</v>
      </c>
      <c r="H29" s="457">
        <f>'[22]Maret 24'!AL25</f>
        <v>0</v>
      </c>
      <c r="I29" s="457">
        <f>'[23]April - 24'!$AK$26</f>
        <v>0</v>
      </c>
      <c r="J29" s="457">
        <f>'[22]Mei 24'!AL25</f>
        <v>0</v>
      </c>
      <c r="K29" s="457">
        <f t="shared" ref="K29:Q29" si="5">K30+K31</f>
        <v>0</v>
      </c>
      <c r="L29" s="457">
        <f t="shared" si="5"/>
        <v>0</v>
      </c>
      <c r="M29" s="457">
        <f t="shared" si="5"/>
        <v>0</v>
      </c>
      <c r="N29" s="457">
        <f t="shared" si="5"/>
        <v>0</v>
      </c>
      <c r="O29" s="457">
        <f t="shared" si="5"/>
        <v>0</v>
      </c>
      <c r="P29" s="457">
        <f t="shared" si="5"/>
        <v>0</v>
      </c>
      <c r="Q29" s="457">
        <f t="shared" si="5"/>
        <v>0</v>
      </c>
      <c r="R29" s="737"/>
      <c r="S29" s="60">
        <f>S30+S31</f>
        <v>10051996</v>
      </c>
      <c r="T29" s="685">
        <f>T30+T31</f>
        <v>5121000</v>
      </c>
      <c r="U29" s="793">
        <f>S29/T29*100</f>
        <v>196.28970904120288</v>
      </c>
      <c r="V29" s="376"/>
      <c r="W29" s="1"/>
      <c r="X29" s="65"/>
      <c r="Y29" s="65"/>
      <c r="Z29" s="65"/>
      <c r="AA29" s="65"/>
      <c r="AB29" s="65"/>
      <c r="AC29" s="65"/>
      <c r="AD29" s="65"/>
      <c r="AE29" s="65"/>
      <c r="AF29" s="831"/>
      <c r="AG29" s="831"/>
      <c r="AH29" s="831"/>
      <c r="AI29" s="831"/>
      <c r="AJ29" s="831"/>
      <c r="AK29" s="831"/>
      <c r="AL29" s="831"/>
      <c r="AM29" s="831"/>
      <c r="AN29" s="65"/>
      <c r="AO29" s="65"/>
      <c r="AP29" s="65"/>
      <c r="AR29" s="65"/>
      <c r="AT29" s="1"/>
      <c r="AU29" s="1"/>
      <c r="AV29" s="3"/>
      <c r="AW29" s="1"/>
      <c r="AX29" s="376">
        <f>S29+S34</f>
        <v>10253377</v>
      </c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V29" s="1"/>
      <c r="BW29" s="1"/>
      <c r="BX29" s="1"/>
      <c r="BY29" s="1"/>
      <c r="DA29" s="1"/>
      <c r="DE29" s="444"/>
      <c r="DF29" s="5"/>
      <c r="DG29" s="445"/>
      <c r="DH29" s="446"/>
      <c r="DI29" s="447"/>
      <c r="OO29" s="145"/>
      <c r="OQ29" s="494"/>
      <c r="OR29" s="511"/>
      <c r="OS29" s="483"/>
      <c r="PE29" s="1"/>
      <c r="PF29" s="494"/>
      <c r="AIQ29" s="2"/>
    </row>
    <row r="30" spans="2:933" x14ac:dyDescent="0.25">
      <c r="B30" s="1664"/>
      <c r="C30" s="491" t="s">
        <v>106</v>
      </c>
      <c r="D30" s="508"/>
      <c r="E30" s="492" t="s">
        <v>14</v>
      </c>
      <c r="F30" s="457">
        <f>'[22]Januari 24'!AL26</f>
        <v>2230587</v>
      </c>
      <c r="G30" s="457">
        <f>'[29]Februari - 24'!$AL$35</f>
        <v>5178274</v>
      </c>
      <c r="H30" s="457">
        <f>'[22]Maret 24'!AL26</f>
        <v>0</v>
      </c>
      <c r="I30" s="457">
        <f>'[23]April - 24'!$AK$27</f>
        <v>0</v>
      </c>
      <c r="J30" s="457">
        <f>'[22]Mei 24'!AL26</f>
        <v>0</v>
      </c>
      <c r="K30" s="457">
        <f>'[22]Juny 24'!AL26</f>
        <v>0</v>
      </c>
      <c r="L30" s="457">
        <f>'[22]July 24'!AL26</f>
        <v>0</v>
      </c>
      <c r="M30" s="457">
        <f>'[22]Agustus 24'!AL26</f>
        <v>0</v>
      </c>
      <c r="N30" s="457">
        <f>'[22]September 24'!AL26</f>
        <v>0</v>
      </c>
      <c r="O30" s="457">
        <f>'[22]Oktober 24'!AL26</f>
        <v>0</v>
      </c>
      <c r="P30" s="457">
        <f>'[22]November 24'!AL26</f>
        <v>0</v>
      </c>
      <c r="Q30" s="457">
        <f>'[22]Desember 24'!AL26</f>
        <v>0</v>
      </c>
      <c r="R30" s="737"/>
      <c r="S30" s="60">
        <f>SUM(F30:Q30)</f>
        <v>7408861</v>
      </c>
      <c r="T30" s="689">
        <v>3934000</v>
      </c>
      <c r="U30" s="793">
        <f>S30/T30*100</f>
        <v>188.328952719878</v>
      </c>
      <c r="V30" s="376"/>
      <c r="W30" s="1"/>
      <c r="X30" s="65"/>
      <c r="Y30" s="65"/>
      <c r="Z30" s="65"/>
      <c r="AA30" s="65"/>
      <c r="AB30" s="65"/>
      <c r="AC30" s="65"/>
      <c r="AD30" s="65"/>
      <c r="AE30" s="65"/>
      <c r="AF30" s="831"/>
      <c r="AG30" s="831"/>
      <c r="AH30" s="65"/>
      <c r="AI30" s="65"/>
      <c r="AJ30" s="65"/>
      <c r="AK30" s="65"/>
      <c r="AL30" s="65"/>
      <c r="AM30" s="65"/>
      <c r="AN30" s="65"/>
      <c r="AO30" s="65"/>
      <c r="AP30" s="65"/>
      <c r="AR30" s="65"/>
      <c r="AT30" s="1"/>
      <c r="AU30" s="1"/>
      <c r="AV30" s="3"/>
      <c r="AW30" s="1"/>
      <c r="AX30" s="376">
        <f>S30+S35</f>
        <v>7560308</v>
      </c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V30" s="1"/>
      <c r="BW30" s="1"/>
      <c r="BX30" s="1"/>
      <c r="BY30" s="1"/>
      <c r="DA30" s="1"/>
      <c r="DE30" s="444"/>
      <c r="DF30" s="5"/>
      <c r="DG30" s="445"/>
      <c r="DH30" s="446"/>
      <c r="DI30" s="447"/>
      <c r="OO30" s="145"/>
      <c r="OQ30" s="494"/>
      <c r="OR30" s="511"/>
      <c r="OS30" s="483"/>
      <c r="PE30" s="1"/>
      <c r="PF30" s="494"/>
      <c r="AIQ30" s="2"/>
    </row>
    <row r="31" spans="2:933" x14ac:dyDescent="0.25">
      <c r="B31" s="1664"/>
      <c r="C31" s="491" t="s">
        <v>73</v>
      </c>
      <c r="D31" s="508"/>
      <c r="E31" s="492" t="s">
        <v>14</v>
      </c>
      <c r="F31" s="457">
        <f>'[22]Januari 24'!AL27</f>
        <v>597280</v>
      </c>
      <c r="G31" s="457">
        <f>'[29]Februari - 24'!$AL$36</f>
        <v>2045855</v>
      </c>
      <c r="H31" s="457">
        <f>'[22]Maret 24'!AL27</f>
        <v>0</v>
      </c>
      <c r="I31" s="457">
        <f>'[23]April - 24'!$AK$28</f>
        <v>0</v>
      </c>
      <c r="J31" s="457">
        <f>'[22]Mei 24'!AL27</f>
        <v>0</v>
      </c>
      <c r="K31" s="457">
        <f>'[22]Juny 24'!AL27</f>
        <v>0</v>
      </c>
      <c r="L31" s="457">
        <f>'[22]July 24'!AL27</f>
        <v>0</v>
      </c>
      <c r="M31" s="457">
        <f>'[22]Agustus 24'!AL27</f>
        <v>0</v>
      </c>
      <c r="N31" s="457">
        <f>'[22]September 24'!AL27</f>
        <v>0</v>
      </c>
      <c r="O31" s="457">
        <f>'[22]Oktober 24'!AL27</f>
        <v>0</v>
      </c>
      <c r="P31" s="457">
        <f>'[22]November 24'!AL27</f>
        <v>0</v>
      </c>
      <c r="Q31" s="457">
        <f>'[22]Desember 24'!AL27</f>
        <v>0</v>
      </c>
      <c r="R31" s="737"/>
      <c r="S31" s="60">
        <f>SUM(F31:Q31)</f>
        <v>2643135</v>
      </c>
      <c r="T31" s="689">
        <v>1187000</v>
      </c>
      <c r="U31" s="793">
        <f>S31/T31*100</f>
        <v>222.67354675652905</v>
      </c>
      <c r="V31" s="376"/>
      <c r="W31" s="1"/>
      <c r="X31" s="65"/>
      <c r="Y31" s="65"/>
      <c r="Z31" s="65"/>
      <c r="AA31" s="65"/>
      <c r="AB31" s="65"/>
      <c r="AC31" s="65"/>
      <c r="AD31" s="65"/>
      <c r="AE31" s="65"/>
      <c r="AF31" s="831"/>
      <c r="AG31" s="831"/>
      <c r="AH31" s="65"/>
      <c r="AI31" s="65"/>
      <c r="AJ31" s="65"/>
      <c r="AK31" s="65"/>
      <c r="AL31" s="65"/>
      <c r="AM31" s="65"/>
      <c r="AN31" s="65"/>
      <c r="AO31" s="65"/>
      <c r="AP31" s="65"/>
      <c r="AR31" s="65"/>
      <c r="AT31" s="1"/>
      <c r="AU31" s="1"/>
      <c r="AV31" s="3"/>
      <c r="AW31" s="1"/>
      <c r="AX31" s="376">
        <f>S31+S36</f>
        <v>2693069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V31" s="1"/>
      <c r="BW31" s="1"/>
      <c r="BX31" s="1"/>
      <c r="BY31" s="1"/>
      <c r="DA31" s="1"/>
      <c r="DE31" s="444"/>
      <c r="DF31" s="5"/>
      <c r="DG31" s="445"/>
      <c r="DH31" s="446"/>
      <c r="DI31" s="447"/>
      <c r="OO31" s="145"/>
      <c r="OQ31" s="494"/>
      <c r="OR31" s="511"/>
      <c r="OS31" s="483"/>
      <c r="PE31" s="1"/>
      <c r="PF31" s="494"/>
      <c r="AIQ31" s="2"/>
    </row>
    <row r="32" spans="2:933" ht="15.75" thickBot="1" x14ac:dyDescent="0.3">
      <c r="B32" s="1664"/>
      <c r="C32" s="503" t="s">
        <v>108</v>
      </c>
      <c r="D32" s="514"/>
      <c r="E32" s="505"/>
      <c r="F32" s="441"/>
      <c r="G32" s="441"/>
      <c r="H32" s="441"/>
      <c r="I32" s="515"/>
      <c r="J32" s="441"/>
      <c r="K32" s="441"/>
      <c r="L32" s="441"/>
      <c r="M32" s="441"/>
      <c r="N32" s="441"/>
      <c r="O32" s="441"/>
      <c r="P32" s="441"/>
      <c r="Q32" s="441"/>
      <c r="R32" s="737"/>
      <c r="S32" s="730" t="s">
        <v>109</v>
      </c>
      <c r="T32" s="690" t="s">
        <v>109</v>
      </c>
      <c r="U32" s="795" t="s">
        <v>109</v>
      </c>
      <c r="V32" s="65"/>
      <c r="W32" s="1"/>
      <c r="X32" s="65"/>
      <c r="Y32" s="65"/>
      <c r="Z32" s="65"/>
      <c r="AA32" s="65"/>
      <c r="AB32" s="65"/>
      <c r="AC32" s="65"/>
      <c r="AD32" s="65"/>
      <c r="AE32" s="65"/>
      <c r="AF32" s="1675"/>
      <c r="AG32" s="1675"/>
      <c r="AH32" s="65"/>
      <c r="AI32" s="65"/>
      <c r="AJ32" s="65"/>
      <c r="AK32" s="65"/>
      <c r="AL32" s="65"/>
      <c r="AM32" s="65"/>
      <c r="AN32" s="65"/>
      <c r="AO32" s="65"/>
      <c r="AP32" s="65"/>
      <c r="AR32" s="65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V32" s="1"/>
      <c r="BW32" s="1"/>
      <c r="BX32" s="1"/>
      <c r="BY32" s="1"/>
      <c r="DA32" s="1"/>
      <c r="DE32" s="478"/>
      <c r="DF32" s="479" t="s">
        <v>332</v>
      </c>
      <c r="DG32" s="516">
        <f>DG27/(DG25/1000)</f>
        <v>72.980660125066862</v>
      </c>
      <c r="DH32" s="517">
        <f>DH27/(DH25/1000)</f>
        <v>75.35531953198911</v>
      </c>
      <c r="DI32" s="518">
        <f>DI27/(DI25/1000)</f>
        <v>75.473411788167013</v>
      </c>
      <c r="OO32" s="494" t="e">
        <f>OO26/OO27*100</f>
        <v>#REF!</v>
      </c>
      <c r="OQ32" s="494"/>
      <c r="OR32" s="511" t="s">
        <v>343</v>
      </c>
      <c r="OS32" s="483">
        <v>2444</v>
      </c>
      <c r="PE32" s="1">
        <v>10.86</v>
      </c>
      <c r="PF32" s="494">
        <f>(OS32*PE32)/1000</f>
        <v>26.541840000000001</v>
      </c>
      <c r="AIQ32" s="2" t="s">
        <v>323</v>
      </c>
    </row>
    <row r="33" spans="1:14939" x14ac:dyDescent="0.25">
      <c r="A33" s="16"/>
      <c r="B33" s="1664"/>
      <c r="C33" s="519" t="s">
        <v>71</v>
      </c>
      <c r="D33" s="520"/>
      <c r="E33" s="521" t="s">
        <v>14</v>
      </c>
      <c r="F33" s="457">
        <f>'[22]Januari 24'!AL29</f>
        <v>0</v>
      </c>
      <c r="G33" s="457"/>
      <c r="H33" s="457">
        <f>'[22]Maret 24'!AL29</f>
        <v>210989.3392225201</v>
      </c>
      <c r="I33" s="457">
        <f>'[22]April 24'!AL29</f>
        <v>0</v>
      </c>
      <c r="J33" s="457">
        <f>'[22]Mei 24'!AL29</f>
        <v>0</v>
      </c>
      <c r="K33" s="457">
        <f>'[22]Juny 24'!AL29</f>
        <v>0</v>
      </c>
      <c r="L33" s="457">
        <f>'[22]July 24'!AL29</f>
        <v>0</v>
      </c>
      <c r="M33" s="457">
        <f>'[22]Agustus 24'!AL29</f>
        <v>0</v>
      </c>
      <c r="N33" s="457">
        <f>'[22]September 24'!AL29</f>
        <v>0</v>
      </c>
      <c r="O33" s="457">
        <f>'[22]Oktober 24'!AL29</f>
        <v>0</v>
      </c>
      <c r="P33" s="457">
        <f>'[22]November 24'!AL29</f>
        <v>0</v>
      </c>
      <c r="Q33" s="457">
        <f>'[22]Desember 24'!AL29</f>
        <v>0</v>
      </c>
      <c r="R33" s="739"/>
      <c r="S33" s="522">
        <f>SUM(F33:Q33)</f>
        <v>210989.3392225201</v>
      </c>
      <c r="T33" s="691">
        <f>T34/T51%</f>
        <v>32338304.029689282</v>
      </c>
      <c r="U33" s="793">
        <f>(S33/T33)*100</f>
        <v>0.65244404601061989</v>
      </c>
      <c r="V33" s="832"/>
      <c r="W33" s="16"/>
      <c r="X33" s="832"/>
      <c r="Y33" s="832"/>
      <c r="Z33" s="832"/>
      <c r="AA33" s="832"/>
      <c r="AB33" s="832"/>
      <c r="AC33" s="832"/>
      <c r="AD33" s="832"/>
      <c r="AE33" s="832"/>
      <c r="AF33" s="833"/>
      <c r="AG33" s="833"/>
      <c r="AH33" s="832"/>
      <c r="AI33" s="832"/>
      <c r="AJ33" s="832"/>
      <c r="AK33" s="832"/>
      <c r="AL33" s="832"/>
      <c r="AM33" s="832"/>
      <c r="AN33" s="832"/>
      <c r="AO33" s="832"/>
      <c r="AP33" s="832"/>
      <c r="AQ33" s="832"/>
      <c r="AR33" s="832"/>
      <c r="AS33" s="832"/>
      <c r="AT33" s="834"/>
      <c r="AU33" s="834"/>
      <c r="AV33" s="16"/>
      <c r="AW33" s="16"/>
      <c r="AX33" s="1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V33" s="16"/>
      <c r="BW33" s="16"/>
      <c r="BX33" s="148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F33" s="5" t="s">
        <v>332</v>
      </c>
      <c r="DG33" s="149" t="e">
        <f>DG27/(DG20/1000)</f>
        <v>#VALUE!</v>
      </c>
      <c r="DH33" s="149" t="e">
        <f>DI27/(DH20/1000)</f>
        <v>#VALUE!</v>
      </c>
      <c r="DI33" s="149" t="e">
        <f>#REF!/(DI20/1000)</f>
        <v>#REF!</v>
      </c>
      <c r="DJ33" s="148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48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48"/>
      <c r="JI33" s="148"/>
      <c r="JJ33" s="148"/>
      <c r="JK33" s="148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48"/>
      <c r="OP33" s="148"/>
      <c r="OQ33" s="523"/>
      <c r="OR33" s="148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16"/>
      <c r="PF33" s="523"/>
      <c r="PG33" s="16"/>
      <c r="PH33" s="16"/>
      <c r="PI33" s="16"/>
      <c r="PJ33" s="148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16"/>
      <c r="RM33" s="523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48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6"/>
      <c r="AIK33" s="148"/>
      <c r="AIL33" s="148"/>
      <c r="AIM33" s="148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6"/>
      <c r="AJQ33" s="16"/>
      <c r="AJR33" s="16"/>
      <c r="AJS33" s="16"/>
      <c r="AJT33" s="16"/>
      <c r="AJU33" s="16"/>
      <c r="AJV33" s="16"/>
      <c r="AJW33" s="16"/>
      <c r="AJX33" s="16"/>
      <c r="AJY33" s="16"/>
      <c r="AJZ33" s="16"/>
      <c r="AKA33" s="16"/>
      <c r="AKB33" s="16"/>
      <c r="AKC33" s="16"/>
      <c r="AKD33" s="16"/>
      <c r="AKE33" s="16"/>
      <c r="AKF33" s="16"/>
      <c r="AKG33" s="16"/>
      <c r="AKH33" s="16"/>
      <c r="AKI33" s="16"/>
      <c r="AKJ33" s="16"/>
      <c r="AKK33" s="16"/>
      <c r="AKL33" s="16"/>
      <c r="AKM33" s="16"/>
      <c r="AKN33" s="16"/>
      <c r="AKO33" s="16"/>
      <c r="AKP33" s="16"/>
      <c r="AKQ33" s="16"/>
      <c r="AKR33" s="16"/>
      <c r="AKS33" s="16"/>
      <c r="AKT33" s="16"/>
      <c r="AKU33" s="16"/>
      <c r="AKV33" s="16"/>
      <c r="AKW33" s="16"/>
      <c r="AKX33" s="16"/>
      <c r="AKY33" s="16"/>
      <c r="AKZ33" s="16"/>
      <c r="ALA33" s="16"/>
      <c r="ALB33" s="16"/>
      <c r="ALC33" s="16"/>
      <c r="ALD33" s="16"/>
      <c r="ALE33" s="16"/>
      <c r="ALF33" s="16"/>
      <c r="ALG33" s="16"/>
      <c r="ALH33" s="16"/>
      <c r="ALI33" s="16"/>
      <c r="ALJ33" s="16"/>
      <c r="ALK33" s="16"/>
      <c r="ALL33" s="16"/>
      <c r="ALM33" s="16"/>
      <c r="ALN33" s="16"/>
      <c r="ALO33" s="16"/>
      <c r="ALP33" s="16"/>
      <c r="ALQ33" s="16"/>
      <c r="ALR33" s="16"/>
      <c r="ALS33" s="16"/>
      <c r="ALT33" s="16"/>
      <c r="ALU33" s="16"/>
      <c r="ALV33" s="16"/>
      <c r="ALW33" s="16"/>
      <c r="ALX33" s="16"/>
      <c r="ALY33" s="16"/>
      <c r="ALZ33" s="16"/>
      <c r="AMA33" s="16"/>
      <c r="AMB33" s="16"/>
      <c r="AMC33" s="16"/>
      <c r="AMD33" s="16"/>
      <c r="AME33" s="16"/>
      <c r="AMF33" s="16"/>
      <c r="AMG33" s="16"/>
      <c r="AMH33" s="16"/>
      <c r="AMI33" s="16"/>
      <c r="AMJ33" s="16"/>
      <c r="AMK33" s="16"/>
      <c r="AML33" s="16"/>
      <c r="AMM33" s="16"/>
      <c r="AMN33" s="16"/>
      <c r="AMO33" s="16"/>
      <c r="AMP33" s="16"/>
      <c r="AMQ33" s="16"/>
      <c r="AMR33" s="16"/>
      <c r="AMS33" s="16"/>
      <c r="AMT33" s="16"/>
      <c r="AMU33" s="16"/>
      <c r="AMV33" s="16"/>
      <c r="AMW33" s="16"/>
      <c r="AMX33" s="16"/>
      <c r="AMY33" s="16"/>
      <c r="AMZ33" s="16"/>
      <c r="ANA33" s="16"/>
      <c r="ANB33" s="16"/>
      <c r="ANC33" s="16"/>
      <c r="AND33" s="16"/>
      <c r="ANE33" s="16"/>
      <c r="ANF33" s="16"/>
      <c r="ANG33" s="16"/>
      <c r="ANH33" s="16"/>
      <c r="ANI33" s="16"/>
      <c r="ANJ33" s="16"/>
      <c r="ANK33" s="16"/>
      <c r="ANL33" s="16"/>
      <c r="ANM33" s="16"/>
      <c r="ANN33" s="16"/>
      <c r="ANO33" s="16"/>
      <c r="ANP33" s="16"/>
      <c r="ANQ33" s="16"/>
      <c r="ANR33" s="16"/>
      <c r="ANS33" s="16"/>
      <c r="ANT33" s="16"/>
      <c r="ANU33" s="16"/>
      <c r="ANV33" s="16"/>
      <c r="ANW33" s="16"/>
      <c r="ANX33" s="16"/>
      <c r="ANY33" s="16"/>
      <c r="ANZ33" s="16"/>
      <c r="AOA33" s="16"/>
      <c r="AOB33" s="16"/>
      <c r="AOC33" s="16"/>
      <c r="AOD33" s="16"/>
      <c r="AOE33" s="16"/>
      <c r="AOF33" s="16"/>
      <c r="AOG33" s="16"/>
      <c r="AOH33" s="16"/>
      <c r="AOI33" s="16"/>
      <c r="AOJ33" s="16"/>
      <c r="AOK33" s="16"/>
      <c r="AOL33" s="16"/>
      <c r="AOM33" s="16"/>
      <c r="AON33" s="16"/>
      <c r="AOO33" s="16"/>
      <c r="AOP33" s="16"/>
      <c r="AOQ33" s="16"/>
      <c r="AOR33" s="16"/>
      <c r="AOS33" s="16"/>
      <c r="AOT33" s="16"/>
      <c r="AOU33" s="16"/>
      <c r="AOV33" s="16"/>
      <c r="AOW33" s="16"/>
      <c r="AOX33" s="16"/>
      <c r="AOY33" s="16"/>
      <c r="AOZ33" s="16"/>
      <c r="APA33" s="16"/>
      <c r="APB33" s="16"/>
      <c r="APC33" s="16"/>
      <c r="APD33" s="16"/>
      <c r="APE33" s="16"/>
      <c r="APF33" s="16"/>
      <c r="APG33" s="16"/>
      <c r="APH33" s="16"/>
      <c r="API33" s="16"/>
      <c r="APJ33" s="16"/>
      <c r="APK33" s="16"/>
      <c r="APL33" s="16"/>
      <c r="APM33" s="16"/>
      <c r="APN33" s="16"/>
      <c r="APO33" s="16"/>
      <c r="APP33" s="16"/>
      <c r="APQ33" s="16"/>
      <c r="APR33" s="16"/>
      <c r="APS33" s="16"/>
      <c r="APT33" s="16"/>
      <c r="APU33" s="16"/>
      <c r="APV33" s="16"/>
      <c r="APW33" s="16"/>
      <c r="APX33" s="16"/>
      <c r="APY33" s="16"/>
      <c r="APZ33" s="16"/>
      <c r="AQA33" s="16"/>
      <c r="AQB33" s="16"/>
      <c r="AQC33" s="16"/>
      <c r="AQD33" s="16"/>
      <c r="AQE33" s="16"/>
      <c r="AQF33" s="16"/>
      <c r="AQG33" s="16"/>
      <c r="AQH33" s="16"/>
      <c r="AQI33" s="16"/>
      <c r="AQJ33" s="16"/>
      <c r="AQK33" s="16"/>
      <c r="AQL33" s="16"/>
      <c r="AQM33" s="16"/>
      <c r="AQN33" s="16"/>
      <c r="AQO33" s="16"/>
      <c r="AQP33" s="16"/>
      <c r="AQQ33" s="16"/>
      <c r="AQR33" s="16"/>
      <c r="AQS33" s="16"/>
      <c r="AQT33" s="16"/>
      <c r="AQU33" s="16"/>
      <c r="AQV33" s="16"/>
      <c r="AQW33" s="16"/>
      <c r="AQX33" s="16"/>
      <c r="AQY33" s="16"/>
      <c r="AQZ33" s="16"/>
      <c r="ARA33" s="16"/>
      <c r="ARB33" s="16"/>
      <c r="ARC33" s="16"/>
      <c r="ARD33" s="16"/>
      <c r="ARE33" s="16"/>
      <c r="ARF33" s="16"/>
      <c r="ARG33" s="16"/>
      <c r="ARH33" s="16"/>
      <c r="ARI33" s="16"/>
      <c r="ARJ33" s="16"/>
      <c r="ARK33" s="16"/>
      <c r="ARL33" s="16"/>
      <c r="ARM33" s="16"/>
      <c r="ARN33" s="16"/>
      <c r="ARO33" s="16"/>
      <c r="ARP33" s="16"/>
      <c r="ARQ33" s="16"/>
      <c r="ARR33" s="16"/>
      <c r="ARS33" s="16"/>
      <c r="ART33" s="16"/>
      <c r="ARU33" s="16"/>
      <c r="ARV33" s="16"/>
      <c r="ARW33" s="16"/>
      <c r="ARX33" s="16"/>
      <c r="ARY33" s="16"/>
      <c r="ARZ33" s="16"/>
      <c r="ASA33" s="16"/>
      <c r="ASB33" s="16"/>
      <c r="ASC33" s="16"/>
      <c r="ASD33" s="16"/>
      <c r="ASE33" s="16"/>
      <c r="ASF33" s="16"/>
      <c r="ASG33" s="16"/>
      <c r="ASH33" s="16"/>
      <c r="ASI33" s="16"/>
      <c r="ASJ33" s="16"/>
      <c r="ASK33" s="16"/>
      <c r="ASL33" s="16"/>
      <c r="ASM33" s="16"/>
      <c r="ASN33" s="16"/>
      <c r="ASO33" s="16"/>
      <c r="ASP33" s="16"/>
      <c r="ASQ33" s="16"/>
      <c r="ASR33" s="16"/>
      <c r="ASS33" s="16"/>
      <c r="AST33" s="16"/>
      <c r="ASU33" s="16"/>
      <c r="ASV33" s="16"/>
      <c r="ASW33" s="16"/>
      <c r="ASX33" s="16"/>
      <c r="ASY33" s="16"/>
      <c r="ASZ33" s="16"/>
      <c r="ATA33" s="16"/>
      <c r="ATB33" s="16"/>
      <c r="ATC33" s="16"/>
      <c r="ATD33" s="16"/>
      <c r="ATE33" s="16"/>
      <c r="ATF33" s="16"/>
      <c r="ATG33" s="16"/>
      <c r="ATH33" s="16"/>
      <c r="ATI33" s="16"/>
      <c r="ATJ33" s="16"/>
      <c r="ATK33" s="16"/>
      <c r="ATL33" s="16"/>
      <c r="ATM33" s="16"/>
      <c r="ATN33" s="16"/>
      <c r="ATO33" s="16"/>
      <c r="ATP33" s="16"/>
      <c r="ATQ33" s="16"/>
      <c r="ATR33" s="16"/>
      <c r="ATS33" s="16"/>
      <c r="ATT33" s="16"/>
      <c r="ATU33" s="16"/>
      <c r="ATV33" s="16"/>
      <c r="ATW33" s="16"/>
      <c r="ATX33" s="16"/>
      <c r="ATY33" s="16"/>
      <c r="ATZ33" s="16"/>
      <c r="AUA33" s="16"/>
      <c r="AUB33" s="16"/>
      <c r="AUC33" s="16"/>
      <c r="AUD33" s="16"/>
      <c r="AUE33" s="16"/>
      <c r="AUF33" s="16"/>
      <c r="AUG33" s="16"/>
      <c r="AUH33" s="16"/>
      <c r="AUI33" s="16"/>
      <c r="AUJ33" s="16"/>
      <c r="AUK33" s="16"/>
      <c r="AUL33" s="16"/>
      <c r="AUM33" s="16"/>
      <c r="AUN33" s="16"/>
      <c r="AUO33" s="16"/>
      <c r="AUP33" s="16"/>
      <c r="AUQ33" s="16"/>
      <c r="AUR33" s="16"/>
      <c r="AUS33" s="16"/>
      <c r="AUT33" s="16"/>
      <c r="AUU33" s="16"/>
      <c r="AUV33" s="16"/>
      <c r="AUW33" s="16"/>
      <c r="AUX33" s="16"/>
      <c r="AUY33" s="16"/>
      <c r="AUZ33" s="16"/>
      <c r="AVA33" s="16"/>
      <c r="AVB33" s="16"/>
      <c r="AVC33" s="16"/>
      <c r="AVD33" s="16"/>
      <c r="AVE33" s="16"/>
      <c r="AVF33" s="16"/>
      <c r="AVG33" s="16"/>
      <c r="AVH33" s="16"/>
      <c r="AVI33" s="16"/>
      <c r="AVJ33" s="16"/>
      <c r="AVK33" s="16"/>
      <c r="AVL33" s="16"/>
      <c r="AVM33" s="16"/>
      <c r="AVN33" s="16"/>
      <c r="AVO33" s="16"/>
      <c r="AVP33" s="16"/>
      <c r="AVQ33" s="16"/>
      <c r="AVR33" s="16"/>
      <c r="AVS33" s="16"/>
      <c r="AVT33" s="16"/>
      <c r="AVU33" s="16"/>
      <c r="AVV33" s="16"/>
      <c r="AVW33" s="16"/>
      <c r="AVX33" s="16"/>
      <c r="AVY33" s="16"/>
      <c r="AVZ33" s="16"/>
      <c r="AWA33" s="16"/>
      <c r="AWB33" s="16"/>
      <c r="AWC33" s="16"/>
      <c r="AWD33" s="16"/>
      <c r="AWE33" s="16"/>
      <c r="AWF33" s="16"/>
      <c r="AWG33" s="16"/>
      <c r="AWH33" s="16"/>
      <c r="AWI33" s="16"/>
      <c r="AWJ33" s="16"/>
      <c r="AWK33" s="16"/>
      <c r="AWL33" s="16"/>
      <c r="AWM33" s="16"/>
      <c r="AWN33" s="16"/>
      <c r="AWO33" s="16"/>
      <c r="AWP33" s="16"/>
      <c r="AWQ33" s="16"/>
      <c r="AWR33" s="16"/>
      <c r="AWS33" s="16"/>
      <c r="AWT33" s="16"/>
      <c r="AWU33" s="16"/>
      <c r="AWV33" s="16"/>
      <c r="AWW33" s="16"/>
      <c r="AWX33" s="16"/>
      <c r="AWY33" s="16"/>
      <c r="AWZ33" s="16"/>
      <c r="AXA33" s="16"/>
      <c r="AXB33" s="16"/>
      <c r="AXC33" s="16"/>
      <c r="AXD33" s="16"/>
      <c r="AXE33" s="16"/>
      <c r="AXF33" s="16"/>
      <c r="AXG33" s="16"/>
      <c r="AXH33" s="16"/>
      <c r="AXI33" s="16"/>
      <c r="AXJ33" s="16"/>
      <c r="AXK33" s="16"/>
      <c r="AXL33" s="16"/>
      <c r="AXM33" s="16"/>
      <c r="AXN33" s="16"/>
      <c r="AXO33" s="16"/>
      <c r="AXP33" s="16"/>
      <c r="AXQ33" s="16"/>
      <c r="AXR33" s="16"/>
      <c r="AXS33" s="16"/>
      <c r="AXT33" s="16"/>
      <c r="AXU33" s="16"/>
      <c r="AXV33" s="16"/>
      <c r="AXW33" s="16"/>
      <c r="AXX33" s="16"/>
      <c r="AXY33" s="16"/>
      <c r="AXZ33" s="16"/>
      <c r="AYA33" s="16"/>
      <c r="AYB33" s="16"/>
      <c r="AYC33" s="16"/>
      <c r="AYD33" s="16"/>
      <c r="AYE33" s="16"/>
      <c r="AYF33" s="16"/>
      <c r="AYG33" s="16"/>
      <c r="AYH33" s="16"/>
      <c r="AYI33" s="16"/>
      <c r="AYJ33" s="16"/>
      <c r="AYK33" s="16"/>
      <c r="AYL33" s="16"/>
      <c r="AYM33" s="16"/>
      <c r="AYN33" s="16"/>
      <c r="AYO33" s="16"/>
      <c r="AYP33" s="16"/>
      <c r="AYQ33" s="16"/>
      <c r="AYR33" s="16"/>
      <c r="AYS33" s="16"/>
      <c r="AYT33" s="16"/>
      <c r="AYU33" s="16"/>
      <c r="AYV33" s="16"/>
      <c r="AYW33" s="16"/>
      <c r="AYX33" s="16"/>
      <c r="AYY33" s="16"/>
      <c r="AYZ33" s="16"/>
      <c r="AZA33" s="16"/>
      <c r="AZB33" s="16"/>
      <c r="AZC33" s="16"/>
      <c r="AZD33" s="16"/>
      <c r="AZE33" s="16"/>
      <c r="AZF33" s="16"/>
      <c r="AZG33" s="16"/>
      <c r="AZH33" s="16"/>
      <c r="AZI33" s="16"/>
      <c r="AZJ33" s="16"/>
      <c r="AZK33" s="16"/>
      <c r="AZL33" s="16"/>
      <c r="AZM33" s="16"/>
      <c r="AZN33" s="16"/>
      <c r="AZO33" s="16"/>
      <c r="AZP33" s="16"/>
      <c r="AZQ33" s="16"/>
      <c r="AZR33" s="16"/>
      <c r="AZS33" s="16"/>
      <c r="AZT33" s="16"/>
      <c r="AZU33" s="16"/>
      <c r="AZV33" s="16"/>
      <c r="AZW33" s="16"/>
      <c r="AZX33" s="16"/>
      <c r="AZY33" s="16"/>
      <c r="AZZ33" s="16"/>
      <c r="BAA33" s="16"/>
      <c r="BAB33" s="16"/>
      <c r="BAC33" s="16"/>
      <c r="BAD33" s="16"/>
      <c r="BAE33" s="16"/>
      <c r="BAF33" s="16"/>
      <c r="BAG33" s="16"/>
      <c r="BAH33" s="16"/>
      <c r="BAI33" s="16"/>
      <c r="BAJ33" s="16"/>
      <c r="BAK33" s="16"/>
      <c r="BAL33" s="16"/>
      <c r="BAM33" s="16"/>
      <c r="BAN33" s="16"/>
      <c r="BAO33" s="16"/>
      <c r="BAP33" s="16"/>
      <c r="BAQ33" s="16"/>
      <c r="BAR33" s="16"/>
      <c r="BAS33" s="16"/>
      <c r="BAT33" s="16"/>
      <c r="BAU33" s="16"/>
      <c r="BAV33" s="16"/>
      <c r="BAW33" s="16"/>
      <c r="BAX33" s="16"/>
      <c r="BAY33" s="16"/>
      <c r="BAZ33" s="16"/>
      <c r="BBA33" s="16"/>
      <c r="BBB33" s="16"/>
      <c r="BBC33" s="16"/>
      <c r="BBD33" s="16"/>
      <c r="BBE33" s="16"/>
      <c r="BBF33" s="16"/>
      <c r="BBG33" s="16"/>
      <c r="BBH33" s="16"/>
      <c r="BBI33" s="16"/>
      <c r="BBJ33" s="16"/>
      <c r="BBK33" s="16"/>
      <c r="BBL33" s="16"/>
      <c r="BBM33" s="16"/>
      <c r="BBN33" s="16"/>
      <c r="BBO33" s="16"/>
      <c r="BBP33" s="16"/>
      <c r="BBQ33" s="16"/>
      <c r="BBR33" s="16"/>
      <c r="BBS33" s="16"/>
      <c r="BBT33" s="16"/>
      <c r="BBU33" s="16"/>
      <c r="BBV33" s="16"/>
      <c r="BBW33" s="16"/>
      <c r="BBX33" s="16"/>
      <c r="BBY33" s="16"/>
      <c r="BBZ33" s="16"/>
      <c r="BCA33" s="16"/>
      <c r="BCB33" s="16"/>
      <c r="BCC33" s="16"/>
      <c r="BCD33" s="16"/>
      <c r="BCE33" s="16"/>
      <c r="BCF33" s="16"/>
      <c r="BCG33" s="16"/>
      <c r="BCH33" s="16"/>
      <c r="BCI33" s="16"/>
      <c r="BCJ33" s="16"/>
      <c r="BCK33" s="16"/>
      <c r="BCL33" s="16"/>
      <c r="BCM33" s="16"/>
      <c r="BCN33" s="16"/>
      <c r="BCO33" s="16"/>
      <c r="BCP33" s="16"/>
      <c r="BCQ33" s="16"/>
      <c r="BCR33" s="16"/>
      <c r="BCS33" s="16"/>
      <c r="BCT33" s="16"/>
      <c r="BCU33" s="16"/>
      <c r="BCV33" s="16"/>
      <c r="BCW33" s="16"/>
      <c r="BCX33" s="16"/>
      <c r="BCY33" s="16"/>
      <c r="BCZ33" s="16"/>
      <c r="BDA33" s="16"/>
      <c r="BDB33" s="16"/>
      <c r="BDC33" s="16"/>
      <c r="BDD33" s="16"/>
      <c r="BDE33" s="16"/>
      <c r="BDF33" s="16"/>
      <c r="BDG33" s="16"/>
      <c r="BDH33" s="16"/>
      <c r="BDI33" s="16"/>
      <c r="BDJ33" s="16"/>
      <c r="BDK33" s="16"/>
      <c r="BDL33" s="16"/>
      <c r="BDM33" s="16"/>
      <c r="BDN33" s="16"/>
      <c r="BDO33" s="16"/>
      <c r="BDP33" s="16"/>
      <c r="BDQ33" s="16"/>
      <c r="BDR33" s="16"/>
      <c r="BDS33" s="16"/>
      <c r="BDT33" s="16"/>
      <c r="BDU33" s="16"/>
      <c r="BDV33" s="16"/>
      <c r="BDW33" s="16"/>
      <c r="BDX33" s="16"/>
      <c r="BDY33" s="16"/>
      <c r="BDZ33" s="16"/>
      <c r="BEA33" s="16"/>
      <c r="BEB33" s="16"/>
      <c r="BEC33" s="16"/>
      <c r="BED33" s="16"/>
      <c r="BEE33" s="16"/>
      <c r="BEF33" s="16"/>
      <c r="BEG33" s="16"/>
      <c r="BEH33" s="16"/>
      <c r="BEI33" s="16"/>
      <c r="BEJ33" s="16"/>
      <c r="BEK33" s="16"/>
      <c r="BEL33" s="16"/>
      <c r="BEM33" s="16"/>
      <c r="BEN33" s="16"/>
      <c r="BEO33" s="16"/>
      <c r="BEP33" s="16"/>
      <c r="BEQ33" s="16"/>
      <c r="BER33" s="16"/>
      <c r="BES33" s="16"/>
      <c r="BET33" s="16"/>
      <c r="BEU33" s="16"/>
      <c r="BEV33" s="16"/>
      <c r="BEW33" s="16"/>
      <c r="BEX33" s="16"/>
      <c r="BEY33" s="16"/>
      <c r="BEZ33" s="16"/>
      <c r="BFA33" s="16"/>
      <c r="BFB33" s="16"/>
      <c r="BFC33" s="16"/>
      <c r="BFD33" s="16"/>
      <c r="BFE33" s="16"/>
      <c r="BFF33" s="16"/>
      <c r="BFG33" s="16"/>
      <c r="BFH33" s="16"/>
      <c r="BFI33" s="16"/>
      <c r="BFJ33" s="16"/>
      <c r="BFK33" s="16"/>
      <c r="BFL33" s="16"/>
      <c r="BFM33" s="16"/>
      <c r="BFN33" s="16"/>
      <c r="BFO33" s="16"/>
      <c r="BFP33" s="16"/>
      <c r="BFQ33" s="16"/>
      <c r="BFR33" s="16"/>
      <c r="BFS33" s="16"/>
      <c r="BFT33" s="16"/>
      <c r="BFU33" s="16"/>
      <c r="BFV33" s="16"/>
      <c r="BFW33" s="16"/>
      <c r="BFX33" s="16"/>
      <c r="BFY33" s="16"/>
      <c r="BFZ33" s="16"/>
      <c r="BGA33" s="16"/>
      <c r="BGB33" s="16"/>
      <c r="BGC33" s="16"/>
      <c r="BGD33" s="16"/>
      <c r="BGE33" s="16"/>
      <c r="BGF33" s="16"/>
      <c r="BGG33" s="16"/>
      <c r="BGH33" s="16"/>
      <c r="BGI33" s="16"/>
      <c r="BGJ33" s="16"/>
      <c r="BGK33" s="16"/>
      <c r="BGL33" s="16"/>
      <c r="BGM33" s="16"/>
      <c r="BGN33" s="16"/>
      <c r="BGO33" s="16"/>
      <c r="BGP33" s="16"/>
      <c r="BGQ33" s="16"/>
      <c r="BGR33" s="16"/>
      <c r="BGS33" s="16"/>
      <c r="BGT33" s="16"/>
      <c r="BGU33" s="16"/>
      <c r="BGV33" s="16"/>
      <c r="BGW33" s="16"/>
      <c r="BGX33" s="16"/>
      <c r="BGY33" s="16"/>
      <c r="BGZ33" s="16"/>
      <c r="BHA33" s="16"/>
      <c r="BHB33" s="16"/>
      <c r="BHC33" s="16"/>
      <c r="BHD33" s="16"/>
      <c r="BHE33" s="16"/>
      <c r="BHF33" s="16"/>
      <c r="BHG33" s="16"/>
      <c r="BHH33" s="16"/>
      <c r="BHI33" s="16"/>
      <c r="BHJ33" s="16"/>
      <c r="BHK33" s="16"/>
      <c r="BHL33" s="16"/>
      <c r="BHM33" s="16"/>
      <c r="BHN33" s="16"/>
      <c r="BHO33" s="16"/>
      <c r="BHP33" s="16"/>
      <c r="BHQ33" s="16"/>
      <c r="BHR33" s="16"/>
      <c r="BHS33" s="16"/>
      <c r="BHT33" s="16"/>
      <c r="BHU33" s="16"/>
      <c r="BHV33" s="16"/>
      <c r="BHW33" s="16"/>
      <c r="BHX33" s="16"/>
      <c r="BHY33" s="16"/>
      <c r="BHZ33" s="16"/>
      <c r="BIA33" s="16"/>
      <c r="BIB33" s="16"/>
      <c r="BIC33" s="16"/>
      <c r="BID33" s="16"/>
      <c r="BIE33" s="16"/>
      <c r="BIF33" s="16"/>
      <c r="BIG33" s="16"/>
      <c r="BIH33" s="16"/>
      <c r="BII33" s="16"/>
      <c r="BIJ33" s="16"/>
      <c r="BIK33" s="16"/>
      <c r="BIL33" s="16"/>
      <c r="BIM33" s="16"/>
      <c r="BIN33" s="16"/>
      <c r="BIO33" s="16"/>
      <c r="BIP33" s="16"/>
      <c r="BIQ33" s="16"/>
      <c r="BIR33" s="16"/>
      <c r="BIS33" s="16"/>
      <c r="BIT33" s="16"/>
      <c r="BIU33" s="16"/>
      <c r="BIV33" s="16"/>
      <c r="BIW33" s="16"/>
      <c r="BIX33" s="16"/>
      <c r="BIY33" s="16"/>
      <c r="BIZ33" s="16"/>
      <c r="BJA33" s="16"/>
      <c r="BJB33" s="16"/>
      <c r="BJC33" s="16"/>
      <c r="BJD33" s="16"/>
      <c r="BJE33" s="16"/>
      <c r="BJF33" s="16"/>
      <c r="BJG33" s="16"/>
      <c r="BJH33" s="16"/>
      <c r="BJI33" s="16"/>
      <c r="BJJ33" s="16"/>
      <c r="BJK33" s="16"/>
      <c r="BJL33" s="16"/>
      <c r="BJM33" s="16"/>
      <c r="BJN33" s="16"/>
      <c r="BJO33" s="16"/>
      <c r="BJP33" s="16"/>
      <c r="BJQ33" s="16"/>
      <c r="BJR33" s="16"/>
      <c r="BJS33" s="16"/>
      <c r="BJT33" s="16"/>
      <c r="BJU33" s="16"/>
      <c r="BJV33" s="16"/>
      <c r="BJW33" s="16"/>
      <c r="BJX33" s="16"/>
      <c r="BJY33" s="16"/>
      <c r="BJZ33" s="16"/>
      <c r="BKA33" s="16"/>
      <c r="BKB33" s="16"/>
      <c r="BKC33" s="16"/>
      <c r="BKD33" s="16"/>
      <c r="BKE33" s="16"/>
      <c r="BKF33" s="16"/>
      <c r="BKG33" s="16"/>
      <c r="BKH33" s="16"/>
      <c r="BKI33" s="16"/>
      <c r="BKJ33" s="16"/>
      <c r="BKK33" s="16"/>
      <c r="BKL33" s="16"/>
      <c r="BKM33" s="16"/>
      <c r="BKN33" s="16"/>
      <c r="BKO33" s="16"/>
      <c r="BKP33" s="16"/>
      <c r="BKQ33" s="16"/>
      <c r="BKR33" s="16"/>
      <c r="BKS33" s="16"/>
      <c r="BKT33" s="16"/>
      <c r="BKU33" s="16"/>
      <c r="BKV33" s="16"/>
      <c r="BKW33" s="16"/>
      <c r="BKX33" s="16"/>
      <c r="BKY33" s="16"/>
      <c r="BKZ33" s="16"/>
      <c r="BLA33" s="16"/>
      <c r="BLB33" s="16"/>
      <c r="BLC33" s="16"/>
      <c r="BLD33" s="16"/>
      <c r="BLE33" s="16"/>
      <c r="BLF33" s="16"/>
      <c r="BLG33" s="16"/>
      <c r="BLH33" s="16"/>
      <c r="BLI33" s="16"/>
      <c r="BLJ33" s="16"/>
      <c r="BLK33" s="16"/>
      <c r="BLL33" s="16"/>
      <c r="BLM33" s="16"/>
      <c r="BLN33" s="16"/>
      <c r="BLO33" s="16"/>
      <c r="BLP33" s="16"/>
      <c r="BLQ33" s="16"/>
      <c r="BLR33" s="16"/>
      <c r="BLS33" s="16"/>
      <c r="BLT33" s="16"/>
      <c r="BLU33" s="16"/>
      <c r="BLV33" s="16"/>
      <c r="BLW33" s="16"/>
      <c r="BLX33" s="16"/>
      <c r="BLY33" s="16"/>
      <c r="BLZ33" s="16"/>
      <c r="BMA33" s="16"/>
      <c r="BMB33" s="16"/>
      <c r="BMC33" s="16"/>
      <c r="BMD33" s="16"/>
      <c r="BME33" s="16"/>
      <c r="BMF33" s="16"/>
      <c r="BMG33" s="16"/>
      <c r="BMH33" s="16"/>
      <c r="BMI33" s="16"/>
      <c r="BMJ33" s="16"/>
      <c r="BMK33" s="16"/>
      <c r="BML33" s="16"/>
      <c r="BMM33" s="16"/>
      <c r="BMN33" s="16"/>
      <c r="BMO33" s="16"/>
      <c r="BMP33" s="16"/>
      <c r="BMQ33" s="16"/>
      <c r="BMR33" s="16"/>
      <c r="BMS33" s="16"/>
      <c r="BMT33" s="16"/>
      <c r="BMU33" s="16"/>
      <c r="BMV33" s="16"/>
      <c r="BMW33" s="16"/>
      <c r="BMX33" s="16"/>
      <c r="BMY33" s="16"/>
      <c r="BMZ33" s="16"/>
      <c r="BNA33" s="16"/>
      <c r="BNB33" s="16"/>
      <c r="BNC33" s="16"/>
      <c r="BND33" s="16"/>
      <c r="BNE33" s="16"/>
      <c r="BNF33" s="16"/>
      <c r="BNG33" s="16"/>
      <c r="BNH33" s="16"/>
      <c r="BNI33" s="16"/>
      <c r="BNJ33" s="16"/>
      <c r="BNK33" s="16"/>
      <c r="BNL33" s="16"/>
      <c r="BNM33" s="16"/>
      <c r="BNN33" s="16"/>
      <c r="BNO33" s="16"/>
      <c r="BNP33" s="16"/>
      <c r="BNQ33" s="16"/>
      <c r="BNR33" s="16"/>
      <c r="BNS33" s="16"/>
      <c r="BNT33" s="16"/>
      <c r="BNU33" s="16"/>
      <c r="BNV33" s="16"/>
      <c r="BNW33" s="16"/>
      <c r="BNX33" s="16"/>
      <c r="BNY33" s="16"/>
      <c r="BNZ33" s="16"/>
      <c r="BOA33" s="16"/>
      <c r="BOB33" s="16"/>
      <c r="BOC33" s="16"/>
      <c r="BOD33" s="16"/>
      <c r="BOE33" s="16"/>
      <c r="BOF33" s="16"/>
      <c r="BOG33" s="16"/>
      <c r="BOH33" s="16"/>
      <c r="BOI33" s="16"/>
      <c r="BOJ33" s="16"/>
      <c r="BOK33" s="16"/>
      <c r="BOL33" s="16"/>
      <c r="BOM33" s="16"/>
      <c r="BON33" s="16"/>
      <c r="BOO33" s="16"/>
      <c r="BOP33" s="16"/>
      <c r="BOQ33" s="16"/>
      <c r="BOR33" s="16"/>
      <c r="BOS33" s="16"/>
      <c r="BOT33" s="16"/>
      <c r="BOU33" s="16"/>
      <c r="BOV33" s="16"/>
      <c r="BOW33" s="16"/>
      <c r="BOX33" s="16"/>
      <c r="BOY33" s="16"/>
      <c r="BOZ33" s="16"/>
      <c r="BPA33" s="16"/>
      <c r="BPB33" s="16"/>
      <c r="BPC33" s="16"/>
      <c r="BPD33" s="16"/>
      <c r="BPE33" s="16"/>
      <c r="BPF33" s="16"/>
      <c r="BPG33" s="16"/>
      <c r="BPH33" s="16"/>
      <c r="BPI33" s="16"/>
      <c r="BPJ33" s="16"/>
      <c r="BPK33" s="16"/>
      <c r="BPL33" s="16"/>
      <c r="BPM33" s="16"/>
      <c r="BPN33" s="16"/>
      <c r="BPO33" s="16"/>
      <c r="BPP33" s="16"/>
      <c r="BPQ33" s="16"/>
      <c r="BPR33" s="16"/>
      <c r="BPS33" s="16"/>
      <c r="BPT33" s="16"/>
      <c r="BPU33" s="16"/>
      <c r="BPV33" s="16"/>
      <c r="BPW33" s="16"/>
      <c r="BPX33" s="16"/>
      <c r="BPY33" s="16"/>
      <c r="BPZ33" s="16"/>
      <c r="BQA33" s="16"/>
      <c r="BQB33" s="16"/>
      <c r="BQC33" s="16"/>
      <c r="BQD33" s="16"/>
      <c r="BQE33" s="16"/>
      <c r="BQF33" s="16"/>
      <c r="BQG33" s="16"/>
      <c r="BQH33" s="16"/>
      <c r="BQI33" s="16"/>
      <c r="BQJ33" s="16"/>
      <c r="BQK33" s="16"/>
      <c r="BQL33" s="16"/>
      <c r="BQM33" s="16"/>
      <c r="BQN33" s="16"/>
      <c r="BQO33" s="16"/>
      <c r="BQP33" s="16"/>
      <c r="BQQ33" s="16"/>
      <c r="BQR33" s="16"/>
      <c r="BQS33" s="16"/>
      <c r="BQT33" s="16"/>
      <c r="BQU33" s="16"/>
      <c r="BQV33" s="16"/>
      <c r="BQW33" s="16"/>
      <c r="BQX33" s="16"/>
      <c r="BQY33" s="16"/>
      <c r="BQZ33" s="16"/>
      <c r="BRA33" s="16"/>
      <c r="BRB33" s="16"/>
      <c r="BRC33" s="16"/>
      <c r="BRD33" s="16"/>
      <c r="BRE33" s="16"/>
      <c r="BRF33" s="16"/>
      <c r="BRG33" s="16"/>
      <c r="BRH33" s="16"/>
      <c r="BRI33" s="16"/>
      <c r="BRJ33" s="16"/>
      <c r="BRK33" s="16"/>
      <c r="BRL33" s="16"/>
      <c r="BRM33" s="16"/>
      <c r="BRN33" s="16"/>
      <c r="BRO33" s="16"/>
      <c r="BRP33" s="16"/>
      <c r="BRQ33" s="16"/>
      <c r="BRR33" s="16"/>
      <c r="BRS33" s="16"/>
      <c r="BRT33" s="16"/>
      <c r="BRU33" s="16"/>
      <c r="BRV33" s="16"/>
      <c r="BRW33" s="16"/>
      <c r="BRX33" s="16"/>
      <c r="BRY33" s="16"/>
      <c r="BRZ33" s="16"/>
      <c r="BSA33" s="16"/>
      <c r="BSB33" s="16"/>
      <c r="BSC33" s="16"/>
      <c r="BSD33" s="16"/>
      <c r="BSE33" s="16"/>
      <c r="BSF33" s="16"/>
      <c r="BSG33" s="16"/>
      <c r="BSH33" s="16"/>
      <c r="BSI33" s="16"/>
      <c r="BSJ33" s="16"/>
      <c r="BSK33" s="16"/>
      <c r="BSL33" s="16"/>
      <c r="BSM33" s="16"/>
      <c r="BSN33" s="16"/>
      <c r="BSO33" s="16"/>
      <c r="BSP33" s="16"/>
      <c r="BSQ33" s="16"/>
      <c r="BSR33" s="16"/>
      <c r="BSS33" s="16"/>
      <c r="BST33" s="16"/>
      <c r="BSU33" s="16"/>
      <c r="BSV33" s="16"/>
      <c r="BSW33" s="16"/>
      <c r="BSX33" s="16"/>
      <c r="BSY33" s="16"/>
      <c r="BSZ33" s="16"/>
      <c r="BTA33" s="16"/>
      <c r="BTB33" s="16"/>
      <c r="BTC33" s="16"/>
      <c r="BTD33" s="16"/>
      <c r="BTE33" s="16"/>
      <c r="BTF33" s="16"/>
      <c r="BTG33" s="16"/>
      <c r="BTH33" s="16"/>
      <c r="BTI33" s="16"/>
      <c r="BTJ33" s="16"/>
      <c r="BTK33" s="16"/>
      <c r="BTL33" s="16"/>
      <c r="BTM33" s="16"/>
      <c r="BTN33" s="16"/>
      <c r="BTO33" s="16"/>
      <c r="BTP33" s="16"/>
      <c r="BTQ33" s="16"/>
      <c r="BTR33" s="16"/>
      <c r="BTS33" s="16"/>
      <c r="BTT33" s="16"/>
      <c r="BTU33" s="16"/>
      <c r="BTV33" s="16"/>
      <c r="BTW33" s="16"/>
      <c r="BTX33" s="16"/>
      <c r="BTY33" s="16"/>
      <c r="BTZ33" s="16"/>
      <c r="BUA33" s="16"/>
      <c r="BUB33" s="16"/>
      <c r="BUC33" s="16"/>
      <c r="BUD33" s="16"/>
      <c r="BUE33" s="16"/>
      <c r="BUF33" s="16"/>
      <c r="BUG33" s="16"/>
      <c r="BUH33" s="16"/>
      <c r="BUI33" s="16"/>
      <c r="BUJ33" s="16"/>
      <c r="BUK33" s="16"/>
      <c r="BUL33" s="16"/>
      <c r="BUM33" s="16"/>
      <c r="BUN33" s="16"/>
      <c r="BUO33" s="16"/>
      <c r="BUP33" s="16"/>
      <c r="BUQ33" s="16"/>
      <c r="BUR33" s="16"/>
      <c r="BUS33" s="16"/>
      <c r="BUT33" s="16"/>
      <c r="BUU33" s="16"/>
      <c r="BUV33" s="16"/>
      <c r="BUW33" s="16"/>
      <c r="BUX33" s="16"/>
      <c r="BUY33" s="16"/>
      <c r="BUZ33" s="16"/>
      <c r="BVA33" s="16"/>
      <c r="BVB33" s="16"/>
      <c r="BVC33" s="16"/>
      <c r="BVD33" s="16"/>
      <c r="BVE33" s="16"/>
      <c r="BVF33" s="16"/>
      <c r="BVG33" s="16"/>
      <c r="BVH33" s="16"/>
      <c r="BVI33" s="16"/>
      <c r="BVJ33" s="16"/>
      <c r="BVK33" s="16"/>
      <c r="BVL33" s="16"/>
      <c r="BVM33" s="16"/>
      <c r="BVN33" s="16"/>
      <c r="BVO33" s="16"/>
      <c r="BVP33" s="16"/>
      <c r="BVQ33" s="16"/>
      <c r="BVR33" s="16"/>
      <c r="BVS33" s="16"/>
      <c r="BVT33" s="16"/>
      <c r="BVU33" s="16"/>
      <c r="BVV33" s="16"/>
      <c r="BVW33" s="16"/>
      <c r="BVX33" s="16"/>
      <c r="BVY33" s="16"/>
      <c r="BVZ33" s="16"/>
      <c r="BWA33" s="16"/>
      <c r="BWB33" s="16"/>
      <c r="BWC33" s="16"/>
      <c r="BWD33" s="16"/>
      <c r="BWE33" s="16"/>
      <c r="BWF33" s="16"/>
      <c r="BWG33" s="16"/>
      <c r="BWH33" s="16"/>
      <c r="BWI33" s="16"/>
      <c r="BWJ33" s="16"/>
      <c r="BWK33" s="16"/>
      <c r="BWL33" s="16"/>
      <c r="BWM33" s="16"/>
      <c r="BWN33" s="16"/>
      <c r="BWO33" s="16"/>
      <c r="BWP33" s="16"/>
      <c r="BWQ33" s="16"/>
      <c r="BWR33" s="16"/>
      <c r="BWS33" s="16"/>
      <c r="BWT33" s="16"/>
      <c r="BWU33" s="16"/>
      <c r="BWV33" s="16"/>
      <c r="BWW33" s="16"/>
      <c r="BWX33" s="16"/>
      <c r="BWY33" s="16"/>
      <c r="BWZ33" s="16"/>
      <c r="BXA33" s="16"/>
      <c r="BXB33" s="16"/>
      <c r="BXC33" s="16"/>
      <c r="BXD33" s="16"/>
      <c r="BXE33" s="16"/>
      <c r="BXF33" s="16"/>
      <c r="BXG33" s="16"/>
      <c r="BXH33" s="16"/>
      <c r="BXI33" s="16"/>
      <c r="BXJ33" s="16"/>
      <c r="BXK33" s="16"/>
      <c r="BXL33" s="16"/>
      <c r="BXM33" s="16"/>
      <c r="BXN33" s="16"/>
      <c r="BXO33" s="16"/>
      <c r="BXP33" s="16"/>
      <c r="BXQ33" s="16"/>
      <c r="BXR33" s="16"/>
      <c r="BXS33" s="16"/>
      <c r="BXT33" s="16"/>
      <c r="BXU33" s="16"/>
      <c r="BXV33" s="16"/>
      <c r="BXW33" s="16"/>
      <c r="BXX33" s="16"/>
      <c r="BXY33" s="16"/>
      <c r="BXZ33" s="16"/>
      <c r="BYA33" s="16"/>
      <c r="BYB33" s="16"/>
      <c r="BYC33" s="16"/>
      <c r="BYD33" s="16"/>
      <c r="BYE33" s="16"/>
      <c r="BYF33" s="16"/>
      <c r="BYG33" s="16"/>
      <c r="BYH33" s="16"/>
      <c r="BYI33" s="16"/>
      <c r="BYJ33" s="16"/>
      <c r="BYK33" s="16"/>
      <c r="BYL33" s="16"/>
      <c r="BYM33" s="16"/>
      <c r="BYN33" s="16"/>
      <c r="BYO33" s="16"/>
      <c r="BYP33" s="16"/>
      <c r="BYQ33" s="16"/>
      <c r="BYR33" s="16"/>
      <c r="BYS33" s="16"/>
      <c r="BYT33" s="16"/>
      <c r="BYU33" s="16"/>
      <c r="BYV33" s="16"/>
      <c r="BYW33" s="16"/>
      <c r="BYX33" s="16"/>
      <c r="BYY33" s="16"/>
      <c r="BYZ33" s="16"/>
      <c r="BZA33" s="16"/>
      <c r="BZB33" s="16"/>
      <c r="BZC33" s="16"/>
      <c r="BZD33" s="16"/>
      <c r="BZE33" s="16"/>
      <c r="BZF33" s="16"/>
      <c r="BZG33" s="16"/>
      <c r="BZH33" s="16"/>
      <c r="BZI33" s="16"/>
      <c r="BZJ33" s="16"/>
      <c r="BZK33" s="16"/>
      <c r="BZL33" s="16"/>
      <c r="BZM33" s="16"/>
      <c r="BZN33" s="16"/>
      <c r="BZO33" s="16"/>
      <c r="BZP33" s="16"/>
      <c r="BZQ33" s="16"/>
      <c r="BZR33" s="16"/>
      <c r="BZS33" s="16"/>
      <c r="BZT33" s="16"/>
      <c r="BZU33" s="16"/>
      <c r="BZV33" s="16"/>
      <c r="BZW33" s="16"/>
      <c r="BZX33" s="16"/>
      <c r="BZY33" s="16"/>
      <c r="BZZ33" s="16"/>
      <c r="CAA33" s="16"/>
      <c r="CAB33" s="16"/>
      <c r="CAC33" s="16"/>
      <c r="CAD33" s="16"/>
      <c r="CAE33" s="16"/>
      <c r="CAF33" s="16"/>
      <c r="CAG33" s="16"/>
      <c r="CAH33" s="16"/>
      <c r="CAI33" s="16"/>
      <c r="CAJ33" s="16"/>
      <c r="CAK33" s="16"/>
      <c r="CAL33" s="16"/>
      <c r="CAM33" s="16"/>
      <c r="CAN33" s="16"/>
      <c r="CAO33" s="16"/>
      <c r="CAP33" s="16"/>
      <c r="CAQ33" s="16"/>
      <c r="CAR33" s="16"/>
      <c r="CAS33" s="16"/>
      <c r="CAT33" s="16"/>
      <c r="CAU33" s="16"/>
      <c r="CAV33" s="16"/>
      <c r="CAW33" s="16"/>
      <c r="CAX33" s="16"/>
      <c r="CAY33" s="16"/>
      <c r="CAZ33" s="16"/>
      <c r="CBA33" s="16"/>
      <c r="CBB33" s="16"/>
      <c r="CBC33" s="16"/>
      <c r="CBD33" s="16"/>
      <c r="CBE33" s="16"/>
      <c r="CBF33" s="16"/>
      <c r="CBG33" s="16"/>
      <c r="CBH33" s="16"/>
      <c r="CBI33" s="16"/>
      <c r="CBJ33" s="16"/>
      <c r="CBK33" s="16"/>
      <c r="CBL33" s="16"/>
      <c r="CBM33" s="16"/>
      <c r="CBN33" s="16"/>
      <c r="CBO33" s="16"/>
      <c r="CBP33" s="16"/>
      <c r="CBQ33" s="16"/>
      <c r="CBR33" s="16"/>
      <c r="CBS33" s="16"/>
      <c r="CBT33" s="16"/>
      <c r="CBU33" s="16"/>
      <c r="CBV33" s="16"/>
      <c r="CBW33" s="16"/>
      <c r="CBX33" s="16"/>
      <c r="CBY33" s="16"/>
      <c r="CBZ33" s="16"/>
      <c r="CCA33" s="16"/>
      <c r="CCB33" s="16"/>
      <c r="CCC33" s="16"/>
      <c r="CCD33" s="16"/>
      <c r="CCE33" s="16"/>
      <c r="CCF33" s="16"/>
      <c r="CCG33" s="16"/>
      <c r="CCH33" s="16"/>
      <c r="CCI33" s="16"/>
      <c r="CCJ33" s="16"/>
      <c r="CCK33" s="16"/>
      <c r="CCL33" s="16"/>
      <c r="CCM33" s="16"/>
      <c r="CCN33" s="16"/>
      <c r="CCO33" s="16"/>
      <c r="CCP33" s="16"/>
      <c r="CCQ33" s="16"/>
      <c r="CCR33" s="16"/>
      <c r="CCS33" s="16"/>
      <c r="CCT33" s="16"/>
      <c r="CCU33" s="16"/>
      <c r="CCV33" s="16"/>
      <c r="CCW33" s="16"/>
      <c r="CCX33" s="16"/>
      <c r="CCY33" s="16"/>
      <c r="CCZ33" s="16"/>
      <c r="CDA33" s="16"/>
      <c r="CDB33" s="16"/>
      <c r="CDC33" s="16"/>
      <c r="CDD33" s="16"/>
      <c r="CDE33" s="16"/>
      <c r="CDF33" s="16"/>
      <c r="CDG33" s="16"/>
      <c r="CDH33" s="16"/>
      <c r="CDI33" s="16"/>
      <c r="CDJ33" s="16"/>
      <c r="CDK33" s="16"/>
      <c r="CDL33" s="16"/>
      <c r="CDM33" s="16"/>
      <c r="CDN33" s="16"/>
      <c r="CDO33" s="16"/>
      <c r="CDP33" s="16"/>
      <c r="CDQ33" s="16"/>
      <c r="CDR33" s="16"/>
      <c r="CDS33" s="16"/>
      <c r="CDT33" s="16"/>
      <c r="CDU33" s="16"/>
      <c r="CDV33" s="16"/>
      <c r="CDW33" s="16"/>
      <c r="CDX33" s="16"/>
      <c r="CDY33" s="16"/>
      <c r="CDZ33" s="16"/>
      <c r="CEA33" s="16"/>
      <c r="CEB33" s="16"/>
      <c r="CEC33" s="16"/>
      <c r="CED33" s="16"/>
      <c r="CEE33" s="16"/>
      <c r="CEF33" s="16"/>
      <c r="CEG33" s="16"/>
      <c r="CEH33" s="16"/>
      <c r="CEI33" s="16"/>
      <c r="CEJ33" s="16"/>
      <c r="CEK33" s="16"/>
      <c r="CEL33" s="16"/>
      <c r="CEM33" s="16"/>
      <c r="CEN33" s="16"/>
      <c r="CEO33" s="16"/>
      <c r="CEP33" s="16"/>
      <c r="CEQ33" s="16"/>
      <c r="CER33" s="16"/>
      <c r="CES33" s="16"/>
      <c r="CET33" s="16"/>
      <c r="CEU33" s="16"/>
      <c r="CEV33" s="16"/>
      <c r="CEW33" s="16"/>
      <c r="CEX33" s="16"/>
      <c r="CEY33" s="16"/>
      <c r="CEZ33" s="16"/>
      <c r="CFA33" s="16"/>
      <c r="CFB33" s="16"/>
      <c r="CFC33" s="16"/>
      <c r="CFD33" s="16"/>
      <c r="CFE33" s="16"/>
      <c r="CFF33" s="16"/>
      <c r="CFG33" s="16"/>
      <c r="CFH33" s="16"/>
      <c r="CFI33" s="16"/>
      <c r="CFJ33" s="16"/>
      <c r="CFK33" s="16"/>
      <c r="CFL33" s="16"/>
      <c r="CFM33" s="16"/>
      <c r="CFN33" s="16"/>
      <c r="CFO33" s="16"/>
      <c r="CFP33" s="16"/>
      <c r="CFQ33" s="16"/>
      <c r="CFR33" s="16"/>
      <c r="CFS33" s="16"/>
      <c r="CFT33" s="16"/>
      <c r="CFU33" s="16"/>
      <c r="CFV33" s="16"/>
      <c r="CFW33" s="16"/>
      <c r="CFX33" s="16"/>
      <c r="CFY33" s="16"/>
      <c r="CFZ33" s="16"/>
      <c r="CGA33" s="16"/>
      <c r="CGB33" s="16"/>
      <c r="CGC33" s="16"/>
      <c r="CGD33" s="16"/>
      <c r="CGE33" s="16"/>
      <c r="CGF33" s="16"/>
      <c r="CGG33" s="16"/>
      <c r="CGH33" s="16"/>
      <c r="CGI33" s="16"/>
      <c r="CGJ33" s="16"/>
      <c r="CGK33" s="16"/>
      <c r="CGL33" s="16"/>
      <c r="CGM33" s="16"/>
      <c r="CGN33" s="16"/>
      <c r="CGO33" s="16"/>
      <c r="CGP33" s="16"/>
      <c r="CGQ33" s="16"/>
      <c r="CGR33" s="16"/>
      <c r="CGS33" s="16"/>
      <c r="CGT33" s="16"/>
      <c r="CGU33" s="16"/>
      <c r="CGV33" s="16"/>
      <c r="CGW33" s="16"/>
      <c r="CGX33" s="16"/>
      <c r="CGY33" s="16"/>
      <c r="CGZ33" s="16"/>
      <c r="CHA33" s="16"/>
      <c r="CHB33" s="16"/>
      <c r="CHC33" s="16"/>
      <c r="CHD33" s="16"/>
      <c r="CHE33" s="16"/>
      <c r="CHF33" s="16"/>
      <c r="CHG33" s="16"/>
      <c r="CHH33" s="16"/>
      <c r="CHI33" s="16"/>
      <c r="CHJ33" s="16"/>
      <c r="CHK33" s="16"/>
      <c r="CHL33" s="16"/>
      <c r="CHM33" s="16"/>
      <c r="CHN33" s="16"/>
      <c r="CHO33" s="16"/>
      <c r="CHP33" s="16"/>
      <c r="CHQ33" s="16"/>
      <c r="CHR33" s="16"/>
      <c r="CHS33" s="16"/>
      <c r="CHT33" s="16"/>
      <c r="CHU33" s="16"/>
      <c r="CHV33" s="16"/>
      <c r="CHW33" s="16"/>
      <c r="CHX33" s="16"/>
      <c r="CHY33" s="16"/>
      <c r="CHZ33" s="16"/>
      <c r="CIA33" s="16"/>
      <c r="CIB33" s="16"/>
      <c r="CIC33" s="16"/>
      <c r="CID33" s="16"/>
      <c r="CIE33" s="16"/>
      <c r="CIF33" s="16"/>
      <c r="CIG33" s="16"/>
      <c r="CIH33" s="16"/>
      <c r="CII33" s="16"/>
      <c r="CIJ33" s="16"/>
      <c r="CIK33" s="16"/>
      <c r="CIL33" s="16"/>
      <c r="CIM33" s="16"/>
      <c r="CIN33" s="16"/>
      <c r="CIO33" s="16"/>
      <c r="CIP33" s="16"/>
      <c r="CIQ33" s="16"/>
      <c r="CIR33" s="16"/>
      <c r="CIS33" s="16"/>
      <c r="CIT33" s="16"/>
      <c r="CIU33" s="16"/>
      <c r="CIV33" s="16"/>
      <c r="CIW33" s="16"/>
      <c r="CIX33" s="16"/>
      <c r="CIY33" s="16"/>
      <c r="CIZ33" s="16"/>
      <c r="CJA33" s="16"/>
      <c r="CJB33" s="16"/>
      <c r="CJC33" s="16"/>
      <c r="CJD33" s="16"/>
      <c r="CJE33" s="16"/>
      <c r="CJF33" s="16"/>
      <c r="CJG33" s="16"/>
      <c r="CJH33" s="16"/>
      <c r="CJI33" s="16"/>
      <c r="CJJ33" s="16"/>
      <c r="CJK33" s="16"/>
      <c r="CJL33" s="16"/>
      <c r="CJM33" s="16"/>
      <c r="CJN33" s="16"/>
      <c r="CJO33" s="16"/>
      <c r="CJP33" s="16"/>
      <c r="CJQ33" s="16"/>
      <c r="CJR33" s="16"/>
      <c r="CJS33" s="16"/>
      <c r="CJT33" s="16"/>
      <c r="CJU33" s="16"/>
      <c r="CJV33" s="16"/>
      <c r="CJW33" s="16"/>
      <c r="CJX33" s="16"/>
      <c r="CJY33" s="16"/>
      <c r="CJZ33" s="16"/>
      <c r="CKA33" s="16"/>
      <c r="CKB33" s="16"/>
      <c r="CKC33" s="16"/>
      <c r="CKD33" s="16"/>
      <c r="CKE33" s="16"/>
      <c r="CKF33" s="16"/>
      <c r="CKG33" s="16"/>
      <c r="CKH33" s="16"/>
      <c r="CKI33" s="16"/>
      <c r="CKJ33" s="16"/>
      <c r="CKK33" s="16"/>
      <c r="CKL33" s="16"/>
      <c r="CKM33" s="16"/>
      <c r="CKN33" s="16"/>
      <c r="CKO33" s="16"/>
      <c r="CKP33" s="16"/>
      <c r="CKQ33" s="16"/>
      <c r="CKR33" s="16"/>
      <c r="CKS33" s="16"/>
      <c r="CKT33" s="16"/>
      <c r="CKU33" s="16"/>
      <c r="CKV33" s="16"/>
      <c r="CKW33" s="16"/>
      <c r="CKX33" s="16"/>
      <c r="CKY33" s="16"/>
      <c r="CKZ33" s="16"/>
      <c r="CLA33" s="16"/>
      <c r="CLB33" s="16"/>
      <c r="CLC33" s="16"/>
      <c r="CLD33" s="16"/>
      <c r="CLE33" s="16"/>
      <c r="CLF33" s="16"/>
      <c r="CLG33" s="16"/>
      <c r="CLH33" s="16"/>
      <c r="CLI33" s="16"/>
      <c r="CLJ33" s="16"/>
      <c r="CLK33" s="16"/>
      <c r="CLL33" s="16"/>
      <c r="CLM33" s="16"/>
      <c r="CLN33" s="16"/>
      <c r="CLO33" s="16"/>
      <c r="CLP33" s="16"/>
      <c r="CLQ33" s="16"/>
      <c r="CLR33" s="16"/>
      <c r="CLS33" s="16"/>
      <c r="CLT33" s="16"/>
      <c r="CLU33" s="16"/>
      <c r="CLV33" s="16"/>
      <c r="CLW33" s="16"/>
      <c r="CLX33" s="16"/>
      <c r="CLY33" s="16"/>
      <c r="CLZ33" s="16"/>
      <c r="CMA33" s="16"/>
      <c r="CMB33" s="16"/>
      <c r="CMC33" s="16"/>
      <c r="CMD33" s="16"/>
      <c r="CME33" s="16"/>
      <c r="CMF33" s="16"/>
      <c r="CMG33" s="16"/>
      <c r="CMH33" s="16"/>
      <c r="CMI33" s="16"/>
      <c r="CMJ33" s="16"/>
      <c r="CMK33" s="16"/>
      <c r="CML33" s="16"/>
      <c r="CMM33" s="16"/>
      <c r="CMN33" s="16"/>
      <c r="CMO33" s="16"/>
      <c r="CMP33" s="16"/>
      <c r="CMQ33" s="16"/>
      <c r="CMR33" s="16"/>
      <c r="CMS33" s="16"/>
      <c r="CMT33" s="16"/>
      <c r="CMU33" s="16"/>
      <c r="CMV33" s="16"/>
      <c r="CMW33" s="16"/>
      <c r="CMX33" s="16"/>
      <c r="CMY33" s="16"/>
      <c r="CMZ33" s="16"/>
      <c r="CNA33" s="16"/>
      <c r="CNB33" s="16"/>
      <c r="CNC33" s="16"/>
      <c r="CND33" s="16"/>
      <c r="CNE33" s="16"/>
      <c r="CNF33" s="16"/>
      <c r="CNG33" s="16"/>
      <c r="CNH33" s="16"/>
      <c r="CNI33" s="16"/>
      <c r="CNJ33" s="16"/>
      <c r="CNK33" s="16"/>
      <c r="CNL33" s="16"/>
      <c r="CNM33" s="16"/>
      <c r="CNN33" s="16"/>
      <c r="CNO33" s="16"/>
      <c r="CNP33" s="16"/>
      <c r="CNQ33" s="16"/>
      <c r="CNR33" s="16"/>
      <c r="CNS33" s="16"/>
      <c r="CNT33" s="16"/>
      <c r="CNU33" s="16"/>
      <c r="CNV33" s="16"/>
      <c r="CNW33" s="16"/>
      <c r="CNX33" s="16"/>
      <c r="CNY33" s="16"/>
      <c r="CNZ33" s="16"/>
      <c r="COA33" s="16"/>
      <c r="COB33" s="16"/>
      <c r="COC33" s="16"/>
      <c r="COD33" s="16"/>
      <c r="COE33" s="16"/>
      <c r="COF33" s="16"/>
      <c r="COG33" s="16"/>
      <c r="COH33" s="16"/>
      <c r="COI33" s="16"/>
      <c r="COJ33" s="16"/>
      <c r="COK33" s="16"/>
      <c r="COL33" s="16"/>
      <c r="COM33" s="16"/>
      <c r="CON33" s="16"/>
      <c r="COO33" s="16"/>
      <c r="COP33" s="16"/>
      <c r="COQ33" s="16"/>
      <c r="COR33" s="16"/>
      <c r="COS33" s="16"/>
      <c r="COT33" s="16"/>
      <c r="COU33" s="16"/>
      <c r="COV33" s="16"/>
      <c r="COW33" s="16"/>
      <c r="COX33" s="16"/>
      <c r="COY33" s="16"/>
      <c r="COZ33" s="16"/>
      <c r="CPA33" s="16"/>
      <c r="CPB33" s="16"/>
      <c r="CPC33" s="16"/>
      <c r="CPD33" s="16"/>
      <c r="CPE33" s="16"/>
      <c r="CPF33" s="16"/>
      <c r="CPG33" s="16"/>
      <c r="CPH33" s="16"/>
      <c r="CPI33" s="16"/>
      <c r="CPJ33" s="16"/>
      <c r="CPK33" s="16"/>
      <c r="CPL33" s="16"/>
      <c r="CPM33" s="16"/>
      <c r="CPN33" s="16"/>
      <c r="CPO33" s="16"/>
      <c r="CPP33" s="16"/>
      <c r="CPQ33" s="16"/>
      <c r="CPR33" s="16"/>
      <c r="CPS33" s="16"/>
      <c r="CPT33" s="16"/>
      <c r="CPU33" s="16"/>
      <c r="CPV33" s="16"/>
      <c r="CPW33" s="16"/>
      <c r="CPX33" s="16"/>
      <c r="CPY33" s="16"/>
      <c r="CPZ33" s="16"/>
      <c r="CQA33" s="16"/>
      <c r="CQB33" s="16"/>
      <c r="CQC33" s="16"/>
      <c r="CQD33" s="16"/>
      <c r="CQE33" s="16"/>
      <c r="CQF33" s="16"/>
      <c r="CQG33" s="16"/>
      <c r="CQH33" s="16"/>
      <c r="CQI33" s="16"/>
      <c r="CQJ33" s="16"/>
      <c r="CQK33" s="16"/>
      <c r="CQL33" s="16"/>
      <c r="CQM33" s="16"/>
      <c r="CQN33" s="16"/>
      <c r="CQO33" s="16"/>
      <c r="CQP33" s="16"/>
      <c r="CQQ33" s="16"/>
      <c r="CQR33" s="16"/>
      <c r="CQS33" s="16"/>
      <c r="CQT33" s="16"/>
      <c r="CQU33" s="16"/>
      <c r="CQV33" s="16"/>
      <c r="CQW33" s="16"/>
      <c r="CQX33" s="16"/>
      <c r="CQY33" s="16"/>
      <c r="CQZ33" s="16"/>
      <c r="CRA33" s="16"/>
      <c r="CRB33" s="16"/>
      <c r="CRC33" s="16"/>
      <c r="CRD33" s="16"/>
      <c r="CRE33" s="16"/>
      <c r="CRF33" s="16"/>
      <c r="CRG33" s="16"/>
      <c r="CRH33" s="16"/>
      <c r="CRI33" s="16"/>
      <c r="CRJ33" s="16"/>
      <c r="CRK33" s="16"/>
      <c r="CRL33" s="16"/>
      <c r="CRM33" s="16"/>
      <c r="CRN33" s="16"/>
      <c r="CRO33" s="16"/>
      <c r="CRP33" s="16"/>
      <c r="CRQ33" s="16"/>
      <c r="CRR33" s="16"/>
      <c r="CRS33" s="16"/>
      <c r="CRT33" s="16"/>
      <c r="CRU33" s="16"/>
      <c r="CRV33" s="16"/>
      <c r="CRW33" s="16"/>
      <c r="CRX33" s="16"/>
      <c r="CRY33" s="16"/>
      <c r="CRZ33" s="16"/>
      <c r="CSA33" s="16"/>
      <c r="CSB33" s="16"/>
      <c r="CSC33" s="16"/>
      <c r="CSD33" s="16"/>
      <c r="CSE33" s="16"/>
      <c r="CSF33" s="16"/>
      <c r="CSG33" s="16"/>
      <c r="CSH33" s="16"/>
      <c r="CSI33" s="16"/>
      <c r="CSJ33" s="16"/>
      <c r="CSK33" s="16"/>
      <c r="CSL33" s="16"/>
      <c r="CSM33" s="16"/>
      <c r="CSN33" s="16"/>
      <c r="CSO33" s="16"/>
      <c r="CSP33" s="16"/>
      <c r="CSQ33" s="16"/>
      <c r="CSR33" s="16"/>
      <c r="CSS33" s="16"/>
      <c r="CST33" s="16"/>
      <c r="CSU33" s="16"/>
      <c r="CSV33" s="16"/>
      <c r="CSW33" s="16"/>
      <c r="CSX33" s="16"/>
      <c r="CSY33" s="16"/>
      <c r="CSZ33" s="16"/>
      <c r="CTA33" s="16"/>
      <c r="CTB33" s="16"/>
      <c r="CTC33" s="16"/>
      <c r="CTD33" s="16"/>
      <c r="CTE33" s="16"/>
      <c r="CTF33" s="16"/>
      <c r="CTG33" s="16"/>
      <c r="CTH33" s="16"/>
      <c r="CTI33" s="16"/>
      <c r="CTJ33" s="16"/>
      <c r="CTK33" s="16"/>
      <c r="CTL33" s="16"/>
      <c r="CTM33" s="16"/>
      <c r="CTN33" s="16"/>
      <c r="CTO33" s="16"/>
      <c r="CTP33" s="16"/>
      <c r="CTQ33" s="16"/>
      <c r="CTR33" s="16"/>
      <c r="CTS33" s="16"/>
      <c r="CTT33" s="16"/>
      <c r="CTU33" s="16"/>
      <c r="CTV33" s="16"/>
      <c r="CTW33" s="16"/>
      <c r="CTX33" s="16"/>
      <c r="CTY33" s="16"/>
      <c r="CTZ33" s="16"/>
      <c r="CUA33" s="16"/>
      <c r="CUB33" s="16"/>
      <c r="CUC33" s="16"/>
      <c r="CUD33" s="16"/>
      <c r="CUE33" s="16"/>
      <c r="CUF33" s="16"/>
      <c r="CUG33" s="16"/>
      <c r="CUH33" s="16"/>
      <c r="CUI33" s="16"/>
      <c r="CUJ33" s="16"/>
      <c r="CUK33" s="16"/>
      <c r="CUL33" s="16"/>
      <c r="CUM33" s="16"/>
      <c r="CUN33" s="16"/>
      <c r="CUO33" s="16"/>
      <c r="CUP33" s="16"/>
      <c r="CUQ33" s="16"/>
      <c r="CUR33" s="16"/>
      <c r="CUS33" s="16"/>
      <c r="CUT33" s="16"/>
      <c r="CUU33" s="16"/>
      <c r="CUV33" s="16"/>
      <c r="CUW33" s="16"/>
      <c r="CUX33" s="16"/>
      <c r="CUY33" s="16"/>
      <c r="CUZ33" s="16"/>
      <c r="CVA33" s="16"/>
      <c r="CVB33" s="16"/>
      <c r="CVC33" s="16"/>
      <c r="CVD33" s="16"/>
      <c r="CVE33" s="16"/>
      <c r="CVF33" s="16"/>
      <c r="CVG33" s="16"/>
      <c r="CVH33" s="16"/>
      <c r="CVI33" s="16"/>
      <c r="CVJ33" s="16"/>
      <c r="CVK33" s="16"/>
      <c r="CVL33" s="16"/>
      <c r="CVM33" s="16"/>
      <c r="CVN33" s="16"/>
      <c r="CVO33" s="16"/>
      <c r="CVP33" s="16"/>
      <c r="CVQ33" s="16"/>
      <c r="CVR33" s="16"/>
      <c r="CVS33" s="16"/>
      <c r="CVT33" s="16"/>
      <c r="CVU33" s="16"/>
      <c r="CVV33" s="16"/>
      <c r="CVW33" s="16"/>
      <c r="CVX33" s="16"/>
      <c r="CVY33" s="16"/>
      <c r="CVZ33" s="16"/>
      <c r="CWA33" s="16"/>
      <c r="CWB33" s="16"/>
      <c r="CWC33" s="16"/>
      <c r="CWD33" s="16"/>
      <c r="CWE33" s="16"/>
      <c r="CWF33" s="16"/>
      <c r="CWG33" s="16"/>
      <c r="CWH33" s="16"/>
      <c r="CWI33" s="16"/>
      <c r="CWJ33" s="16"/>
      <c r="CWK33" s="16"/>
      <c r="CWL33" s="16"/>
      <c r="CWM33" s="16"/>
      <c r="CWN33" s="16"/>
      <c r="CWO33" s="16"/>
      <c r="CWP33" s="16"/>
      <c r="CWQ33" s="16"/>
      <c r="CWR33" s="16"/>
      <c r="CWS33" s="16"/>
      <c r="CWT33" s="16"/>
      <c r="CWU33" s="16"/>
      <c r="CWV33" s="16"/>
      <c r="CWW33" s="16"/>
      <c r="CWX33" s="16"/>
      <c r="CWY33" s="16"/>
      <c r="CWZ33" s="16"/>
      <c r="CXA33" s="16"/>
      <c r="CXB33" s="16"/>
      <c r="CXC33" s="16"/>
      <c r="CXD33" s="16"/>
      <c r="CXE33" s="16"/>
      <c r="CXF33" s="16"/>
      <c r="CXG33" s="16"/>
      <c r="CXH33" s="16"/>
      <c r="CXI33" s="16"/>
      <c r="CXJ33" s="16"/>
      <c r="CXK33" s="16"/>
      <c r="CXL33" s="16"/>
      <c r="CXM33" s="16"/>
      <c r="CXN33" s="16"/>
      <c r="CXO33" s="16"/>
      <c r="CXP33" s="16"/>
      <c r="CXQ33" s="16"/>
      <c r="CXR33" s="16"/>
      <c r="CXS33" s="16"/>
      <c r="CXT33" s="16"/>
      <c r="CXU33" s="16"/>
      <c r="CXV33" s="16"/>
      <c r="CXW33" s="16"/>
      <c r="CXX33" s="16"/>
      <c r="CXY33" s="16"/>
      <c r="CXZ33" s="16"/>
      <c r="CYA33" s="16"/>
      <c r="CYB33" s="16"/>
      <c r="CYC33" s="16"/>
      <c r="CYD33" s="16"/>
      <c r="CYE33" s="16"/>
      <c r="CYF33" s="16"/>
      <c r="CYG33" s="16"/>
      <c r="CYH33" s="16"/>
      <c r="CYI33" s="16"/>
      <c r="CYJ33" s="16"/>
      <c r="CYK33" s="16"/>
      <c r="CYL33" s="16"/>
      <c r="CYM33" s="16"/>
      <c r="CYN33" s="16"/>
      <c r="CYO33" s="16"/>
      <c r="CYP33" s="16"/>
      <c r="CYQ33" s="16"/>
      <c r="CYR33" s="16"/>
      <c r="CYS33" s="16"/>
      <c r="CYT33" s="16"/>
      <c r="CYU33" s="16"/>
      <c r="CYV33" s="16"/>
      <c r="CYW33" s="16"/>
      <c r="CYX33" s="16"/>
      <c r="CYY33" s="16"/>
      <c r="CYZ33" s="16"/>
      <c r="CZA33" s="16"/>
      <c r="CZB33" s="16"/>
      <c r="CZC33" s="16"/>
      <c r="CZD33" s="16"/>
      <c r="CZE33" s="16"/>
      <c r="CZF33" s="16"/>
      <c r="CZG33" s="16"/>
      <c r="CZH33" s="16"/>
      <c r="CZI33" s="16"/>
      <c r="CZJ33" s="16"/>
      <c r="CZK33" s="16"/>
      <c r="CZL33" s="16"/>
      <c r="CZM33" s="16"/>
      <c r="CZN33" s="16"/>
      <c r="CZO33" s="16"/>
      <c r="CZP33" s="16"/>
      <c r="CZQ33" s="16"/>
      <c r="CZR33" s="16"/>
      <c r="CZS33" s="16"/>
      <c r="CZT33" s="16"/>
      <c r="CZU33" s="16"/>
      <c r="CZV33" s="16"/>
      <c r="CZW33" s="16"/>
      <c r="CZX33" s="16"/>
      <c r="CZY33" s="16"/>
      <c r="CZZ33" s="16"/>
      <c r="DAA33" s="16"/>
      <c r="DAB33" s="16"/>
      <c r="DAC33" s="16"/>
      <c r="DAD33" s="16"/>
      <c r="DAE33" s="16"/>
      <c r="DAF33" s="16"/>
      <c r="DAG33" s="16"/>
      <c r="DAH33" s="16"/>
      <c r="DAI33" s="16"/>
      <c r="DAJ33" s="16"/>
      <c r="DAK33" s="16"/>
      <c r="DAL33" s="16"/>
      <c r="DAM33" s="16"/>
      <c r="DAN33" s="16"/>
      <c r="DAO33" s="16"/>
      <c r="DAP33" s="16"/>
      <c r="DAQ33" s="16"/>
      <c r="DAR33" s="16"/>
      <c r="DAS33" s="16"/>
      <c r="DAT33" s="16"/>
      <c r="DAU33" s="16"/>
      <c r="DAV33" s="16"/>
      <c r="DAW33" s="16"/>
      <c r="DAX33" s="16"/>
      <c r="DAY33" s="16"/>
      <c r="DAZ33" s="16"/>
      <c r="DBA33" s="16"/>
      <c r="DBB33" s="16"/>
      <c r="DBC33" s="16"/>
      <c r="DBD33" s="16"/>
      <c r="DBE33" s="16"/>
      <c r="DBF33" s="16"/>
      <c r="DBG33" s="16"/>
      <c r="DBH33" s="16"/>
      <c r="DBI33" s="16"/>
      <c r="DBJ33" s="16"/>
      <c r="DBK33" s="16"/>
      <c r="DBL33" s="16"/>
      <c r="DBM33" s="16"/>
      <c r="DBN33" s="16"/>
      <c r="DBO33" s="16"/>
      <c r="DBP33" s="16"/>
      <c r="DBQ33" s="16"/>
      <c r="DBR33" s="16"/>
      <c r="DBS33" s="16"/>
      <c r="DBT33" s="16"/>
      <c r="DBU33" s="16"/>
      <c r="DBV33" s="16"/>
      <c r="DBW33" s="16"/>
      <c r="DBX33" s="16"/>
      <c r="DBY33" s="16"/>
      <c r="DBZ33" s="16"/>
      <c r="DCA33" s="16"/>
      <c r="DCB33" s="16"/>
      <c r="DCC33" s="16"/>
      <c r="DCD33" s="16"/>
      <c r="DCE33" s="16"/>
      <c r="DCF33" s="16"/>
      <c r="DCG33" s="16"/>
      <c r="DCH33" s="16"/>
      <c r="DCI33" s="16"/>
      <c r="DCJ33" s="16"/>
      <c r="DCK33" s="16"/>
      <c r="DCL33" s="16"/>
      <c r="DCM33" s="16"/>
      <c r="DCN33" s="16"/>
      <c r="DCO33" s="16"/>
      <c r="DCP33" s="16"/>
      <c r="DCQ33" s="16"/>
      <c r="DCR33" s="16"/>
      <c r="DCS33" s="16"/>
      <c r="DCT33" s="16"/>
      <c r="DCU33" s="16"/>
      <c r="DCV33" s="16"/>
      <c r="DCW33" s="16"/>
      <c r="DCX33" s="16"/>
      <c r="DCY33" s="16"/>
      <c r="DCZ33" s="16"/>
      <c r="DDA33" s="16"/>
      <c r="DDB33" s="16"/>
      <c r="DDC33" s="16"/>
      <c r="DDD33" s="16"/>
      <c r="DDE33" s="16"/>
      <c r="DDF33" s="16"/>
      <c r="DDG33" s="16"/>
      <c r="DDH33" s="16"/>
      <c r="DDI33" s="16"/>
      <c r="DDJ33" s="16"/>
      <c r="DDK33" s="16"/>
      <c r="DDL33" s="16"/>
      <c r="DDM33" s="16"/>
      <c r="DDN33" s="16"/>
      <c r="DDO33" s="16"/>
      <c r="DDP33" s="16"/>
      <c r="DDQ33" s="16"/>
      <c r="DDR33" s="16"/>
      <c r="DDS33" s="16"/>
      <c r="DDT33" s="16"/>
      <c r="DDU33" s="16"/>
      <c r="DDV33" s="16"/>
      <c r="DDW33" s="16"/>
      <c r="DDX33" s="16"/>
      <c r="DDY33" s="16"/>
      <c r="DDZ33" s="16"/>
      <c r="DEA33" s="16"/>
      <c r="DEB33" s="16"/>
      <c r="DEC33" s="16"/>
      <c r="DED33" s="16"/>
      <c r="DEE33" s="16"/>
      <c r="DEF33" s="16"/>
      <c r="DEG33" s="16"/>
      <c r="DEH33" s="16"/>
      <c r="DEI33" s="16"/>
      <c r="DEJ33" s="16"/>
      <c r="DEK33" s="16"/>
      <c r="DEL33" s="16"/>
      <c r="DEM33" s="16"/>
      <c r="DEN33" s="16"/>
      <c r="DEO33" s="16"/>
      <c r="DEP33" s="16"/>
      <c r="DEQ33" s="16"/>
      <c r="DER33" s="16"/>
      <c r="DES33" s="16"/>
      <c r="DET33" s="16"/>
      <c r="DEU33" s="16"/>
      <c r="DEV33" s="16"/>
      <c r="DEW33" s="16"/>
      <c r="DEX33" s="16"/>
      <c r="DEY33" s="16"/>
      <c r="DEZ33" s="16"/>
      <c r="DFA33" s="16"/>
      <c r="DFB33" s="16"/>
      <c r="DFC33" s="16"/>
      <c r="DFD33" s="16"/>
      <c r="DFE33" s="16"/>
      <c r="DFF33" s="16"/>
      <c r="DFG33" s="16"/>
      <c r="DFH33" s="16"/>
      <c r="DFI33" s="16"/>
      <c r="DFJ33" s="16"/>
      <c r="DFK33" s="16"/>
      <c r="DFL33" s="16"/>
      <c r="DFM33" s="16"/>
      <c r="DFN33" s="16"/>
      <c r="DFO33" s="16"/>
      <c r="DFP33" s="16"/>
      <c r="DFQ33" s="16"/>
      <c r="DFR33" s="16"/>
      <c r="DFS33" s="16"/>
      <c r="DFT33" s="16"/>
      <c r="DFU33" s="16"/>
      <c r="DFV33" s="16"/>
      <c r="DFW33" s="16"/>
      <c r="DFX33" s="16"/>
      <c r="DFY33" s="16"/>
      <c r="DFZ33" s="16"/>
      <c r="DGA33" s="16"/>
      <c r="DGB33" s="16"/>
      <c r="DGC33" s="16"/>
      <c r="DGD33" s="16"/>
      <c r="DGE33" s="16"/>
      <c r="DGF33" s="16"/>
      <c r="DGG33" s="16"/>
      <c r="DGH33" s="16"/>
      <c r="DGI33" s="16"/>
      <c r="DGJ33" s="16"/>
      <c r="DGK33" s="16"/>
      <c r="DGL33" s="16"/>
      <c r="DGM33" s="16"/>
      <c r="DGN33" s="16"/>
      <c r="DGO33" s="16"/>
      <c r="DGP33" s="16"/>
      <c r="DGQ33" s="16"/>
      <c r="DGR33" s="16"/>
      <c r="DGS33" s="16"/>
      <c r="DGT33" s="16"/>
      <c r="DGU33" s="16"/>
      <c r="DGV33" s="16"/>
      <c r="DGW33" s="16"/>
      <c r="DGX33" s="16"/>
      <c r="DGY33" s="16"/>
      <c r="DGZ33" s="16"/>
      <c r="DHA33" s="16"/>
      <c r="DHB33" s="16"/>
      <c r="DHC33" s="16"/>
      <c r="DHD33" s="16"/>
      <c r="DHE33" s="16"/>
      <c r="DHF33" s="16"/>
      <c r="DHG33" s="16"/>
      <c r="DHH33" s="16"/>
      <c r="DHI33" s="16"/>
      <c r="DHJ33" s="16"/>
      <c r="DHK33" s="16"/>
      <c r="DHL33" s="16"/>
      <c r="DHM33" s="16"/>
      <c r="DHN33" s="16"/>
      <c r="DHO33" s="16"/>
      <c r="DHP33" s="16"/>
      <c r="DHQ33" s="16"/>
      <c r="DHR33" s="16"/>
      <c r="DHS33" s="16"/>
      <c r="DHT33" s="16"/>
      <c r="DHU33" s="16"/>
      <c r="DHV33" s="16"/>
      <c r="DHW33" s="16"/>
      <c r="DHX33" s="16"/>
      <c r="DHY33" s="16"/>
      <c r="DHZ33" s="16"/>
      <c r="DIA33" s="16"/>
      <c r="DIB33" s="16"/>
      <c r="DIC33" s="16"/>
      <c r="DID33" s="16"/>
      <c r="DIE33" s="16"/>
      <c r="DIF33" s="16"/>
      <c r="DIG33" s="16"/>
      <c r="DIH33" s="16"/>
      <c r="DII33" s="16"/>
      <c r="DIJ33" s="16"/>
      <c r="DIK33" s="16"/>
      <c r="DIL33" s="16"/>
      <c r="DIM33" s="16"/>
      <c r="DIN33" s="16"/>
      <c r="DIO33" s="16"/>
      <c r="DIP33" s="16"/>
      <c r="DIQ33" s="16"/>
      <c r="DIR33" s="16"/>
      <c r="DIS33" s="16"/>
      <c r="DIT33" s="16"/>
      <c r="DIU33" s="16"/>
      <c r="DIV33" s="16"/>
      <c r="DIW33" s="16"/>
      <c r="DIX33" s="16"/>
      <c r="DIY33" s="16"/>
      <c r="DIZ33" s="16"/>
      <c r="DJA33" s="16"/>
      <c r="DJB33" s="16"/>
      <c r="DJC33" s="16"/>
      <c r="DJD33" s="16"/>
      <c r="DJE33" s="16"/>
      <c r="DJF33" s="16"/>
      <c r="DJG33" s="16"/>
      <c r="DJH33" s="16"/>
      <c r="DJI33" s="16"/>
      <c r="DJJ33" s="16"/>
      <c r="DJK33" s="16"/>
      <c r="DJL33" s="16"/>
      <c r="DJM33" s="16"/>
      <c r="DJN33" s="16"/>
      <c r="DJO33" s="16"/>
      <c r="DJP33" s="16"/>
      <c r="DJQ33" s="16"/>
      <c r="DJR33" s="16"/>
      <c r="DJS33" s="16"/>
      <c r="DJT33" s="16"/>
      <c r="DJU33" s="16"/>
      <c r="DJV33" s="16"/>
      <c r="DJW33" s="16"/>
      <c r="DJX33" s="16"/>
      <c r="DJY33" s="16"/>
      <c r="DJZ33" s="16"/>
      <c r="DKA33" s="16"/>
      <c r="DKB33" s="16"/>
      <c r="DKC33" s="16"/>
      <c r="DKD33" s="16"/>
      <c r="DKE33" s="16"/>
      <c r="DKF33" s="16"/>
      <c r="DKG33" s="16"/>
      <c r="DKH33" s="16"/>
      <c r="DKI33" s="16"/>
      <c r="DKJ33" s="16"/>
      <c r="DKK33" s="16"/>
      <c r="DKL33" s="16"/>
      <c r="DKM33" s="16"/>
      <c r="DKN33" s="16"/>
      <c r="DKO33" s="16"/>
      <c r="DKP33" s="16"/>
      <c r="DKQ33" s="16"/>
      <c r="DKR33" s="16"/>
      <c r="DKS33" s="16"/>
      <c r="DKT33" s="16"/>
      <c r="DKU33" s="16"/>
      <c r="DKV33" s="16"/>
      <c r="DKW33" s="16"/>
      <c r="DKX33" s="16"/>
      <c r="DKY33" s="16"/>
      <c r="DKZ33" s="16"/>
      <c r="DLA33" s="16"/>
      <c r="DLB33" s="16"/>
      <c r="DLC33" s="16"/>
      <c r="DLD33" s="16"/>
      <c r="DLE33" s="16"/>
      <c r="DLF33" s="16"/>
      <c r="DLG33" s="16"/>
      <c r="DLH33" s="16"/>
      <c r="DLI33" s="16"/>
      <c r="DLJ33" s="16"/>
      <c r="DLK33" s="16"/>
      <c r="DLL33" s="16"/>
      <c r="DLM33" s="16"/>
      <c r="DLN33" s="16"/>
      <c r="DLO33" s="16"/>
      <c r="DLP33" s="16"/>
      <c r="DLQ33" s="16"/>
      <c r="DLR33" s="16"/>
      <c r="DLS33" s="16"/>
      <c r="DLT33" s="16"/>
      <c r="DLU33" s="16"/>
      <c r="DLV33" s="16"/>
      <c r="DLW33" s="16"/>
      <c r="DLX33" s="16"/>
      <c r="DLY33" s="16"/>
      <c r="DLZ33" s="16"/>
      <c r="DMA33" s="16"/>
      <c r="DMB33" s="16"/>
      <c r="DMC33" s="16"/>
      <c r="DMD33" s="16"/>
      <c r="DME33" s="16"/>
      <c r="DMF33" s="16"/>
      <c r="DMG33" s="16"/>
      <c r="DMH33" s="16"/>
      <c r="DMI33" s="16"/>
      <c r="DMJ33" s="16"/>
      <c r="DMK33" s="16"/>
      <c r="DML33" s="16"/>
      <c r="DMM33" s="16"/>
      <c r="DMN33" s="16"/>
      <c r="DMO33" s="16"/>
      <c r="DMP33" s="16"/>
      <c r="DMQ33" s="16"/>
      <c r="DMR33" s="16"/>
      <c r="DMS33" s="16"/>
      <c r="DMT33" s="16"/>
      <c r="DMU33" s="16"/>
      <c r="DMV33" s="16"/>
      <c r="DMW33" s="16"/>
      <c r="DMX33" s="16"/>
      <c r="DMY33" s="16"/>
      <c r="DMZ33" s="16"/>
      <c r="DNA33" s="16"/>
      <c r="DNB33" s="16"/>
      <c r="DNC33" s="16"/>
      <c r="DND33" s="16"/>
      <c r="DNE33" s="16"/>
      <c r="DNF33" s="16"/>
      <c r="DNG33" s="16"/>
      <c r="DNH33" s="16"/>
      <c r="DNI33" s="16"/>
      <c r="DNJ33" s="16"/>
      <c r="DNK33" s="16"/>
      <c r="DNL33" s="16"/>
      <c r="DNM33" s="16"/>
      <c r="DNN33" s="16"/>
      <c r="DNO33" s="16"/>
      <c r="DNP33" s="16"/>
      <c r="DNQ33" s="16"/>
      <c r="DNR33" s="16"/>
      <c r="DNS33" s="16"/>
      <c r="DNT33" s="16"/>
      <c r="DNU33" s="16"/>
      <c r="DNV33" s="16"/>
      <c r="DNW33" s="16"/>
      <c r="DNX33" s="16"/>
      <c r="DNY33" s="16"/>
      <c r="DNZ33" s="16"/>
      <c r="DOA33" s="16"/>
      <c r="DOB33" s="16"/>
      <c r="DOC33" s="16"/>
      <c r="DOD33" s="16"/>
      <c r="DOE33" s="16"/>
      <c r="DOF33" s="16"/>
      <c r="DOG33" s="16"/>
      <c r="DOH33" s="16"/>
      <c r="DOI33" s="16"/>
      <c r="DOJ33" s="16"/>
      <c r="DOK33" s="16"/>
      <c r="DOL33" s="16"/>
      <c r="DOM33" s="16"/>
      <c r="DON33" s="16"/>
      <c r="DOO33" s="16"/>
      <c r="DOP33" s="16"/>
      <c r="DOQ33" s="16"/>
      <c r="DOR33" s="16"/>
      <c r="DOS33" s="16"/>
      <c r="DOT33" s="16"/>
      <c r="DOU33" s="16"/>
      <c r="DOV33" s="16"/>
      <c r="DOW33" s="16"/>
      <c r="DOX33" s="16"/>
      <c r="DOY33" s="16"/>
      <c r="DOZ33" s="16"/>
      <c r="DPA33" s="16"/>
      <c r="DPB33" s="16"/>
      <c r="DPC33" s="16"/>
      <c r="DPD33" s="16"/>
      <c r="DPE33" s="16"/>
      <c r="DPF33" s="16"/>
      <c r="DPG33" s="16"/>
      <c r="DPH33" s="16"/>
      <c r="DPI33" s="16"/>
      <c r="DPJ33" s="16"/>
      <c r="DPK33" s="16"/>
      <c r="DPL33" s="16"/>
      <c r="DPM33" s="16"/>
      <c r="DPN33" s="16"/>
      <c r="DPO33" s="16"/>
      <c r="DPP33" s="16"/>
      <c r="DPQ33" s="16"/>
      <c r="DPR33" s="16"/>
      <c r="DPS33" s="16"/>
      <c r="DPT33" s="16"/>
      <c r="DPU33" s="16"/>
      <c r="DPV33" s="16"/>
      <c r="DPW33" s="16"/>
      <c r="DPX33" s="16"/>
      <c r="DPY33" s="16"/>
      <c r="DPZ33" s="16"/>
      <c r="DQA33" s="16"/>
      <c r="DQB33" s="16"/>
      <c r="DQC33" s="16"/>
      <c r="DQD33" s="16"/>
      <c r="DQE33" s="16"/>
      <c r="DQF33" s="16"/>
      <c r="DQG33" s="16"/>
      <c r="DQH33" s="16"/>
      <c r="DQI33" s="16"/>
      <c r="DQJ33" s="16"/>
      <c r="DQK33" s="16"/>
      <c r="DQL33" s="16"/>
      <c r="DQM33" s="16"/>
      <c r="DQN33" s="16"/>
      <c r="DQO33" s="16"/>
      <c r="DQP33" s="16"/>
      <c r="DQQ33" s="16"/>
      <c r="DQR33" s="16"/>
      <c r="DQS33" s="16"/>
      <c r="DQT33" s="16"/>
      <c r="DQU33" s="16"/>
      <c r="DQV33" s="16"/>
      <c r="DQW33" s="16"/>
      <c r="DQX33" s="16"/>
      <c r="DQY33" s="16"/>
      <c r="DQZ33" s="16"/>
      <c r="DRA33" s="16"/>
      <c r="DRB33" s="16"/>
      <c r="DRC33" s="16"/>
      <c r="DRD33" s="16"/>
      <c r="DRE33" s="16"/>
      <c r="DRF33" s="16"/>
      <c r="DRG33" s="16"/>
      <c r="DRH33" s="16"/>
      <c r="DRI33" s="16"/>
      <c r="DRJ33" s="16"/>
      <c r="DRK33" s="16"/>
      <c r="DRL33" s="16"/>
      <c r="DRM33" s="16"/>
      <c r="DRN33" s="16"/>
      <c r="DRO33" s="16"/>
      <c r="DRP33" s="16"/>
      <c r="DRQ33" s="16"/>
      <c r="DRR33" s="16"/>
      <c r="DRS33" s="16"/>
      <c r="DRT33" s="16"/>
      <c r="DRU33" s="16"/>
      <c r="DRV33" s="16"/>
      <c r="DRW33" s="16"/>
      <c r="DRX33" s="16"/>
      <c r="DRY33" s="16"/>
      <c r="DRZ33" s="16"/>
      <c r="DSA33" s="16"/>
      <c r="DSB33" s="16"/>
      <c r="DSC33" s="16"/>
      <c r="DSD33" s="16"/>
      <c r="DSE33" s="16"/>
      <c r="DSF33" s="16"/>
      <c r="DSG33" s="16"/>
      <c r="DSH33" s="16"/>
      <c r="DSI33" s="16"/>
      <c r="DSJ33" s="16"/>
      <c r="DSK33" s="16"/>
      <c r="DSL33" s="16"/>
      <c r="DSM33" s="16"/>
      <c r="DSN33" s="16"/>
      <c r="DSO33" s="16"/>
      <c r="DSP33" s="16"/>
      <c r="DSQ33" s="16"/>
      <c r="DSR33" s="16"/>
      <c r="DSS33" s="16"/>
      <c r="DST33" s="16"/>
      <c r="DSU33" s="16"/>
      <c r="DSV33" s="16"/>
      <c r="DSW33" s="16"/>
      <c r="DSX33" s="16"/>
      <c r="DSY33" s="16"/>
      <c r="DSZ33" s="16"/>
      <c r="DTA33" s="16"/>
      <c r="DTB33" s="16"/>
      <c r="DTC33" s="16"/>
      <c r="DTD33" s="16"/>
      <c r="DTE33" s="16"/>
      <c r="DTF33" s="16"/>
      <c r="DTG33" s="16"/>
      <c r="DTH33" s="16"/>
      <c r="DTI33" s="16"/>
      <c r="DTJ33" s="16"/>
      <c r="DTK33" s="16"/>
      <c r="DTL33" s="16"/>
      <c r="DTM33" s="16"/>
      <c r="DTN33" s="16"/>
      <c r="DTO33" s="16"/>
      <c r="DTP33" s="16"/>
      <c r="DTQ33" s="16"/>
      <c r="DTR33" s="16"/>
      <c r="DTS33" s="16"/>
      <c r="DTT33" s="16"/>
      <c r="DTU33" s="16"/>
      <c r="DTV33" s="16"/>
      <c r="DTW33" s="16"/>
      <c r="DTX33" s="16"/>
      <c r="DTY33" s="16"/>
      <c r="DTZ33" s="16"/>
      <c r="DUA33" s="16"/>
      <c r="DUB33" s="16"/>
      <c r="DUC33" s="16"/>
      <c r="DUD33" s="16"/>
      <c r="DUE33" s="16"/>
      <c r="DUF33" s="16"/>
      <c r="DUG33" s="16"/>
      <c r="DUH33" s="16"/>
      <c r="DUI33" s="16"/>
      <c r="DUJ33" s="16"/>
      <c r="DUK33" s="16"/>
      <c r="DUL33" s="16"/>
      <c r="DUM33" s="16"/>
      <c r="DUN33" s="16"/>
      <c r="DUO33" s="16"/>
      <c r="DUP33" s="16"/>
      <c r="DUQ33" s="16"/>
      <c r="DUR33" s="16"/>
      <c r="DUS33" s="16"/>
      <c r="DUT33" s="16"/>
      <c r="DUU33" s="16"/>
      <c r="DUV33" s="16"/>
      <c r="DUW33" s="16"/>
      <c r="DUX33" s="16"/>
      <c r="DUY33" s="16"/>
      <c r="DUZ33" s="16"/>
      <c r="DVA33" s="16"/>
      <c r="DVB33" s="16"/>
      <c r="DVC33" s="16"/>
      <c r="DVD33" s="16"/>
      <c r="DVE33" s="16"/>
      <c r="DVF33" s="16"/>
      <c r="DVG33" s="16"/>
      <c r="DVH33" s="16"/>
      <c r="DVI33" s="16"/>
      <c r="DVJ33" s="16"/>
      <c r="DVK33" s="16"/>
      <c r="DVL33" s="16"/>
      <c r="DVM33" s="16"/>
      <c r="DVN33" s="16"/>
      <c r="DVO33" s="16"/>
      <c r="DVP33" s="16"/>
      <c r="DVQ33" s="16"/>
      <c r="DVR33" s="16"/>
      <c r="DVS33" s="16"/>
      <c r="DVT33" s="16"/>
      <c r="DVU33" s="16"/>
      <c r="DVV33" s="16"/>
      <c r="DVW33" s="16"/>
      <c r="DVX33" s="16"/>
      <c r="DVY33" s="16"/>
      <c r="DVZ33" s="16"/>
      <c r="DWA33" s="16"/>
      <c r="DWB33" s="16"/>
      <c r="DWC33" s="16"/>
      <c r="DWD33" s="16"/>
      <c r="DWE33" s="16"/>
      <c r="DWF33" s="16"/>
      <c r="DWG33" s="16"/>
      <c r="DWH33" s="16"/>
      <c r="DWI33" s="16"/>
      <c r="DWJ33" s="16"/>
      <c r="DWK33" s="16"/>
      <c r="DWL33" s="16"/>
      <c r="DWM33" s="16"/>
      <c r="DWN33" s="16"/>
      <c r="DWO33" s="16"/>
      <c r="DWP33" s="16"/>
      <c r="DWQ33" s="16"/>
      <c r="DWR33" s="16"/>
      <c r="DWS33" s="16"/>
      <c r="DWT33" s="16"/>
      <c r="DWU33" s="16"/>
      <c r="DWV33" s="16"/>
      <c r="DWW33" s="16"/>
      <c r="DWX33" s="16"/>
      <c r="DWY33" s="16"/>
      <c r="DWZ33" s="16"/>
      <c r="DXA33" s="16"/>
      <c r="DXB33" s="16"/>
      <c r="DXC33" s="16"/>
      <c r="DXD33" s="16"/>
      <c r="DXE33" s="16"/>
      <c r="DXF33" s="16"/>
      <c r="DXG33" s="16"/>
      <c r="DXH33" s="16"/>
      <c r="DXI33" s="16"/>
      <c r="DXJ33" s="16"/>
      <c r="DXK33" s="16"/>
      <c r="DXL33" s="16"/>
      <c r="DXM33" s="16"/>
      <c r="DXN33" s="16"/>
      <c r="DXO33" s="16"/>
      <c r="DXP33" s="16"/>
      <c r="DXQ33" s="16"/>
      <c r="DXR33" s="16"/>
      <c r="DXS33" s="16"/>
      <c r="DXT33" s="16"/>
      <c r="DXU33" s="16"/>
      <c r="DXV33" s="16"/>
      <c r="DXW33" s="16"/>
      <c r="DXX33" s="16"/>
      <c r="DXY33" s="16"/>
      <c r="DXZ33" s="16"/>
      <c r="DYA33" s="16"/>
      <c r="DYB33" s="16"/>
      <c r="DYC33" s="16"/>
      <c r="DYD33" s="16"/>
      <c r="DYE33" s="16"/>
      <c r="DYF33" s="16"/>
      <c r="DYG33" s="16"/>
      <c r="DYH33" s="16"/>
      <c r="DYI33" s="16"/>
      <c r="DYJ33" s="16"/>
      <c r="DYK33" s="16"/>
      <c r="DYL33" s="16"/>
      <c r="DYM33" s="16"/>
      <c r="DYN33" s="16"/>
      <c r="DYO33" s="16"/>
      <c r="DYP33" s="16"/>
      <c r="DYQ33" s="16"/>
      <c r="DYR33" s="16"/>
      <c r="DYS33" s="16"/>
      <c r="DYT33" s="16"/>
      <c r="DYU33" s="16"/>
      <c r="DYV33" s="16"/>
      <c r="DYW33" s="16"/>
      <c r="DYX33" s="16"/>
      <c r="DYY33" s="16"/>
      <c r="DYZ33" s="16"/>
      <c r="DZA33" s="16"/>
      <c r="DZB33" s="16"/>
      <c r="DZC33" s="16"/>
      <c r="DZD33" s="16"/>
      <c r="DZE33" s="16"/>
      <c r="DZF33" s="16"/>
      <c r="DZG33" s="16"/>
      <c r="DZH33" s="16"/>
      <c r="DZI33" s="16"/>
      <c r="DZJ33" s="16"/>
      <c r="DZK33" s="16"/>
      <c r="DZL33" s="16"/>
      <c r="DZM33" s="16"/>
      <c r="DZN33" s="16"/>
      <c r="DZO33" s="16"/>
      <c r="DZP33" s="16"/>
      <c r="DZQ33" s="16"/>
      <c r="DZR33" s="16"/>
      <c r="DZS33" s="16"/>
      <c r="DZT33" s="16"/>
      <c r="DZU33" s="16"/>
      <c r="DZV33" s="16"/>
      <c r="DZW33" s="16"/>
      <c r="DZX33" s="16"/>
      <c r="DZY33" s="16"/>
      <c r="DZZ33" s="16"/>
      <c r="EAA33" s="16"/>
      <c r="EAB33" s="16"/>
      <c r="EAC33" s="16"/>
      <c r="EAD33" s="16"/>
      <c r="EAE33" s="16"/>
      <c r="EAF33" s="16"/>
      <c r="EAG33" s="16"/>
      <c r="EAH33" s="16"/>
      <c r="EAI33" s="16"/>
      <c r="EAJ33" s="16"/>
      <c r="EAK33" s="16"/>
      <c r="EAL33" s="16"/>
      <c r="EAM33" s="16"/>
      <c r="EAN33" s="16"/>
      <c r="EAO33" s="16"/>
      <c r="EAP33" s="16"/>
      <c r="EAQ33" s="16"/>
      <c r="EAR33" s="16"/>
      <c r="EAS33" s="16"/>
      <c r="EAT33" s="16"/>
      <c r="EAU33" s="16"/>
      <c r="EAV33" s="16"/>
      <c r="EAW33" s="16"/>
      <c r="EAX33" s="16"/>
      <c r="EAY33" s="16"/>
      <c r="EAZ33" s="16"/>
      <c r="EBA33" s="16"/>
      <c r="EBB33" s="16"/>
      <c r="EBC33" s="16"/>
      <c r="EBD33" s="16"/>
      <c r="EBE33" s="16"/>
      <c r="EBF33" s="16"/>
      <c r="EBG33" s="16"/>
      <c r="EBH33" s="16"/>
      <c r="EBI33" s="16"/>
      <c r="EBJ33" s="16"/>
      <c r="EBK33" s="16"/>
      <c r="EBL33" s="16"/>
      <c r="EBM33" s="16"/>
      <c r="EBN33" s="16"/>
      <c r="EBO33" s="16"/>
      <c r="EBP33" s="16"/>
      <c r="EBQ33" s="16"/>
      <c r="EBR33" s="16"/>
      <c r="EBS33" s="16"/>
      <c r="EBT33" s="16"/>
      <c r="EBU33" s="16"/>
      <c r="EBV33" s="16"/>
      <c r="EBW33" s="16"/>
      <c r="EBX33" s="16"/>
      <c r="EBY33" s="16"/>
      <c r="EBZ33" s="16"/>
      <c r="ECA33" s="16"/>
      <c r="ECB33" s="16"/>
      <c r="ECC33" s="16"/>
      <c r="ECD33" s="16"/>
      <c r="ECE33" s="16"/>
      <c r="ECF33" s="16"/>
      <c r="ECG33" s="16"/>
      <c r="ECH33" s="16"/>
      <c r="ECI33" s="16"/>
      <c r="ECJ33" s="16"/>
      <c r="ECK33" s="16"/>
      <c r="ECL33" s="16"/>
      <c r="ECM33" s="16"/>
      <c r="ECN33" s="16"/>
      <c r="ECO33" s="16"/>
      <c r="ECP33" s="16"/>
      <c r="ECQ33" s="16"/>
      <c r="ECR33" s="16"/>
      <c r="ECS33" s="16"/>
      <c r="ECT33" s="16"/>
      <c r="ECU33" s="16"/>
      <c r="ECV33" s="16"/>
      <c r="ECW33" s="16"/>
      <c r="ECX33" s="16"/>
      <c r="ECY33" s="16"/>
      <c r="ECZ33" s="16"/>
      <c r="EDA33" s="16"/>
      <c r="EDB33" s="16"/>
      <c r="EDC33" s="16"/>
      <c r="EDD33" s="16"/>
      <c r="EDE33" s="16"/>
      <c r="EDF33" s="16"/>
      <c r="EDG33" s="16"/>
      <c r="EDH33" s="16"/>
      <c r="EDI33" s="16"/>
      <c r="EDJ33" s="16"/>
      <c r="EDK33" s="16"/>
      <c r="EDL33" s="16"/>
      <c r="EDM33" s="16"/>
      <c r="EDN33" s="16"/>
      <c r="EDO33" s="16"/>
      <c r="EDP33" s="16"/>
      <c r="EDQ33" s="16"/>
      <c r="EDR33" s="16"/>
      <c r="EDS33" s="16"/>
      <c r="EDT33" s="16"/>
      <c r="EDU33" s="16"/>
      <c r="EDV33" s="16"/>
      <c r="EDW33" s="16"/>
      <c r="EDX33" s="16"/>
      <c r="EDY33" s="16"/>
      <c r="EDZ33" s="16"/>
      <c r="EEA33" s="16"/>
      <c r="EEB33" s="16"/>
      <c r="EEC33" s="16"/>
      <c r="EED33" s="16"/>
      <c r="EEE33" s="16"/>
      <c r="EEF33" s="16"/>
      <c r="EEG33" s="16"/>
      <c r="EEH33" s="16"/>
      <c r="EEI33" s="16"/>
      <c r="EEJ33" s="16"/>
      <c r="EEK33" s="16"/>
      <c r="EEL33" s="16"/>
      <c r="EEM33" s="16"/>
      <c r="EEN33" s="16"/>
      <c r="EEO33" s="16"/>
      <c r="EEP33" s="16"/>
      <c r="EEQ33" s="16"/>
      <c r="EER33" s="16"/>
      <c r="EES33" s="16"/>
      <c r="EET33" s="16"/>
      <c r="EEU33" s="16"/>
      <c r="EEV33" s="16"/>
      <c r="EEW33" s="16"/>
      <c r="EEX33" s="16"/>
      <c r="EEY33" s="16"/>
      <c r="EEZ33" s="16"/>
      <c r="EFA33" s="16"/>
      <c r="EFB33" s="16"/>
      <c r="EFC33" s="16"/>
      <c r="EFD33" s="16"/>
      <c r="EFE33" s="16"/>
      <c r="EFF33" s="16"/>
      <c r="EFG33" s="16"/>
      <c r="EFH33" s="16"/>
      <c r="EFI33" s="16"/>
      <c r="EFJ33" s="16"/>
      <c r="EFK33" s="16"/>
      <c r="EFL33" s="16"/>
      <c r="EFM33" s="16"/>
      <c r="EFN33" s="16"/>
      <c r="EFO33" s="16"/>
      <c r="EFP33" s="16"/>
      <c r="EFQ33" s="16"/>
      <c r="EFR33" s="16"/>
      <c r="EFS33" s="16"/>
      <c r="EFT33" s="16"/>
      <c r="EFU33" s="16"/>
      <c r="EFV33" s="16"/>
      <c r="EFW33" s="16"/>
      <c r="EFX33" s="16"/>
      <c r="EFY33" s="16"/>
      <c r="EFZ33" s="16"/>
      <c r="EGA33" s="16"/>
      <c r="EGB33" s="16"/>
      <c r="EGC33" s="16"/>
      <c r="EGD33" s="16"/>
      <c r="EGE33" s="16"/>
      <c r="EGF33" s="16"/>
      <c r="EGG33" s="16"/>
      <c r="EGH33" s="16"/>
      <c r="EGI33" s="16"/>
      <c r="EGJ33" s="16"/>
      <c r="EGK33" s="16"/>
      <c r="EGL33" s="16"/>
      <c r="EGM33" s="16"/>
      <c r="EGN33" s="16"/>
      <c r="EGO33" s="16"/>
      <c r="EGP33" s="16"/>
      <c r="EGQ33" s="16"/>
      <c r="EGR33" s="16"/>
      <c r="EGS33" s="16"/>
      <c r="EGT33" s="16"/>
      <c r="EGU33" s="16"/>
      <c r="EGV33" s="16"/>
      <c r="EGW33" s="16"/>
      <c r="EGX33" s="16"/>
      <c r="EGY33" s="16"/>
      <c r="EGZ33" s="16"/>
      <c r="EHA33" s="16"/>
      <c r="EHB33" s="16"/>
      <c r="EHC33" s="16"/>
      <c r="EHD33" s="16"/>
      <c r="EHE33" s="16"/>
      <c r="EHF33" s="16"/>
      <c r="EHG33" s="16"/>
      <c r="EHH33" s="16"/>
      <c r="EHI33" s="16"/>
      <c r="EHJ33" s="16"/>
      <c r="EHK33" s="16"/>
      <c r="EHL33" s="16"/>
      <c r="EHM33" s="16"/>
      <c r="EHN33" s="16"/>
      <c r="EHO33" s="16"/>
      <c r="EHP33" s="16"/>
      <c r="EHQ33" s="16"/>
      <c r="EHR33" s="16"/>
      <c r="EHS33" s="16"/>
      <c r="EHT33" s="16"/>
      <c r="EHU33" s="16"/>
      <c r="EHV33" s="16"/>
      <c r="EHW33" s="16"/>
      <c r="EHX33" s="16"/>
      <c r="EHY33" s="16"/>
      <c r="EHZ33" s="16"/>
      <c r="EIA33" s="16"/>
      <c r="EIB33" s="16"/>
      <c r="EIC33" s="16"/>
      <c r="EID33" s="16"/>
      <c r="EIE33" s="16"/>
      <c r="EIF33" s="16"/>
      <c r="EIG33" s="16"/>
      <c r="EIH33" s="16"/>
      <c r="EII33" s="16"/>
      <c r="EIJ33" s="16"/>
      <c r="EIK33" s="16"/>
      <c r="EIL33" s="16"/>
      <c r="EIM33" s="16"/>
      <c r="EIN33" s="16"/>
      <c r="EIO33" s="16"/>
      <c r="EIP33" s="16"/>
      <c r="EIQ33" s="16"/>
      <c r="EIR33" s="16"/>
      <c r="EIS33" s="16"/>
      <c r="EIT33" s="16"/>
      <c r="EIU33" s="16"/>
      <c r="EIV33" s="16"/>
      <c r="EIW33" s="16"/>
      <c r="EIX33" s="16"/>
      <c r="EIY33" s="16"/>
      <c r="EIZ33" s="16"/>
      <c r="EJA33" s="16"/>
      <c r="EJB33" s="16"/>
      <c r="EJC33" s="16"/>
      <c r="EJD33" s="16"/>
      <c r="EJE33" s="16"/>
      <c r="EJF33" s="16"/>
      <c r="EJG33" s="16"/>
      <c r="EJH33" s="16"/>
      <c r="EJI33" s="16"/>
      <c r="EJJ33" s="16"/>
      <c r="EJK33" s="16"/>
      <c r="EJL33" s="16"/>
      <c r="EJM33" s="16"/>
      <c r="EJN33" s="16"/>
      <c r="EJO33" s="16"/>
      <c r="EJP33" s="16"/>
      <c r="EJQ33" s="16"/>
      <c r="EJR33" s="16"/>
      <c r="EJS33" s="16"/>
      <c r="EJT33" s="16"/>
      <c r="EJU33" s="16"/>
      <c r="EJV33" s="16"/>
      <c r="EJW33" s="16"/>
      <c r="EJX33" s="16"/>
      <c r="EJY33" s="16"/>
      <c r="EJZ33" s="16"/>
      <c r="EKA33" s="16"/>
      <c r="EKB33" s="16"/>
      <c r="EKC33" s="16"/>
      <c r="EKD33" s="16"/>
      <c r="EKE33" s="16"/>
      <c r="EKF33" s="16"/>
      <c r="EKG33" s="16"/>
      <c r="EKH33" s="16"/>
      <c r="EKI33" s="16"/>
      <c r="EKJ33" s="16"/>
      <c r="EKK33" s="16"/>
      <c r="EKL33" s="16"/>
      <c r="EKM33" s="16"/>
      <c r="EKN33" s="16"/>
      <c r="EKO33" s="16"/>
      <c r="EKP33" s="16"/>
      <c r="EKQ33" s="16"/>
      <c r="EKR33" s="16"/>
      <c r="EKS33" s="16"/>
      <c r="EKT33" s="16"/>
      <c r="EKU33" s="16"/>
      <c r="EKV33" s="16"/>
      <c r="EKW33" s="16"/>
      <c r="EKX33" s="16"/>
      <c r="EKY33" s="16"/>
      <c r="EKZ33" s="16"/>
      <c r="ELA33" s="16"/>
      <c r="ELB33" s="16"/>
      <c r="ELC33" s="16"/>
      <c r="ELD33" s="16"/>
      <c r="ELE33" s="16"/>
      <c r="ELF33" s="16"/>
      <c r="ELG33" s="16"/>
      <c r="ELH33" s="16"/>
      <c r="ELI33" s="16"/>
      <c r="ELJ33" s="16"/>
      <c r="ELK33" s="16"/>
      <c r="ELL33" s="16"/>
      <c r="ELM33" s="16"/>
      <c r="ELN33" s="16"/>
      <c r="ELO33" s="16"/>
      <c r="ELP33" s="16"/>
      <c r="ELQ33" s="16"/>
      <c r="ELR33" s="16"/>
      <c r="ELS33" s="16"/>
      <c r="ELT33" s="16"/>
      <c r="ELU33" s="16"/>
      <c r="ELV33" s="16"/>
      <c r="ELW33" s="16"/>
      <c r="ELX33" s="16"/>
      <c r="ELY33" s="16"/>
      <c r="ELZ33" s="16"/>
      <c r="EMA33" s="16"/>
      <c r="EMB33" s="16"/>
      <c r="EMC33" s="16"/>
      <c r="EMD33" s="16"/>
      <c r="EME33" s="16"/>
      <c r="EMF33" s="16"/>
      <c r="EMG33" s="16"/>
      <c r="EMH33" s="16"/>
      <c r="EMI33" s="16"/>
      <c r="EMJ33" s="16"/>
      <c r="EMK33" s="16"/>
      <c r="EML33" s="16"/>
      <c r="EMM33" s="16"/>
      <c r="EMN33" s="16"/>
      <c r="EMO33" s="16"/>
      <c r="EMP33" s="16"/>
      <c r="EMQ33" s="16"/>
      <c r="EMR33" s="16"/>
      <c r="EMS33" s="16"/>
      <c r="EMT33" s="16"/>
      <c r="EMU33" s="16"/>
      <c r="EMV33" s="16"/>
      <c r="EMW33" s="16"/>
      <c r="EMX33" s="16"/>
      <c r="EMY33" s="16"/>
      <c r="EMZ33" s="16"/>
      <c r="ENA33" s="16"/>
      <c r="ENB33" s="16"/>
      <c r="ENC33" s="16"/>
      <c r="END33" s="16"/>
      <c r="ENE33" s="16"/>
      <c r="ENF33" s="16"/>
      <c r="ENG33" s="16"/>
      <c r="ENH33" s="16"/>
      <c r="ENI33" s="16"/>
      <c r="ENJ33" s="16"/>
      <c r="ENK33" s="16"/>
      <c r="ENL33" s="16"/>
      <c r="ENM33" s="16"/>
      <c r="ENN33" s="16"/>
      <c r="ENO33" s="16"/>
      <c r="ENP33" s="16"/>
      <c r="ENQ33" s="16"/>
      <c r="ENR33" s="16"/>
      <c r="ENS33" s="16"/>
      <c r="ENT33" s="16"/>
      <c r="ENU33" s="16"/>
      <c r="ENV33" s="16"/>
      <c r="ENW33" s="16"/>
      <c r="ENX33" s="16"/>
      <c r="ENY33" s="16"/>
      <c r="ENZ33" s="16"/>
      <c r="EOA33" s="16"/>
      <c r="EOB33" s="16"/>
      <c r="EOC33" s="16"/>
      <c r="EOD33" s="16"/>
      <c r="EOE33" s="16"/>
      <c r="EOF33" s="16"/>
      <c r="EOG33" s="16"/>
      <c r="EOH33" s="16"/>
      <c r="EOI33" s="16"/>
      <c r="EOJ33" s="16"/>
      <c r="EOK33" s="16"/>
      <c r="EOL33" s="16"/>
      <c r="EOM33" s="16"/>
      <c r="EON33" s="16"/>
      <c r="EOO33" s="16"/>
      <c r="EOP33" s="16"/>
      <c r="EOQ33" s="16"/>
      <c r="EOR33" s="16"/>
      <c r="EOS33" s="16"/>
      <c r="EOT33" s="16"/>
      <c r="EOU33" s="16"/>
      <c r="EOV33" s="16"/>
      <c r="EOW33" s="16"/>
      <c r="EOX33" s="16"/>
      <c r="EOY33" s="16"/>
      <c r="EOZ33" s="16"/>
      <c r="EPA33" s="16"/>
      <c r="EPB33" s="16"/>
      <c r="EPC33" s="16"/>
      <c r="EPD33" s="16"/>
      <c r="EPE33" s="16"/>
      <c r="EPF33" s="16"/>
      <c r="EPG33" s="16"/>
      <c r="EPH33" s="16"/>
      <c r="EPI33" s="16"/>
      <c r="EPJ33" s="16"/>
      <c r="EPK33" s="16"/>
      <c r="EPL33" s="16"/>
      <c r="EPM33" s="16"/>
      <c r="EPN33" s="16"/>
      <c r="EPO33" s="16"/>
      <c r="EPP33" s="16"/>
      <c r="EPQ33" s="16"/>
      <c r="EPR33" s="16"/>
      <c r="EPS33" s="16"/>
      <c r="EPT33" s="16"/>
      <c r="EPU33" s="16"/>
      <c r="EPV33" s="16"/>
      <c r="EPW33" s="16"/>
      <c r="EPX33" s="16"/>
      <c r="EPY33" s="16"/>
      <c r="EPZ33" s="16"/>
      <c r="EQA33" s="16"/>
      <c r="EQB33" s="16"/>
      <c r="EQC33" s="16"/>
      <c r="EQD33" s="16"/>
      <c r="EQE33" s="16"/>
      <c r="EQF33" s="16"/>
      <c r="EQG33" s="16"/>
      <c r="EQH33" s="16"/>
      <c r="EQI33" s="16"/>
      <c r="EQJ33" s="16"/>
      <c r="EQK33" s="16"/>
      <c r="EQL33" s="16"/>
      <c r="EQM33" s="16"/>
      <c r="EQN33" s="16"/>
      <c r="EQO33" s="16"/>
      <c r="EQP33" s="16"/>
      <c r="EQQ33" s="16"/>
      <c r="EQR33" s="16"/>
      <c r="EQS33" s="16"/>
      <c r="EQT33" s="16"/>
      <c r="EQU33" s="16"/>
      <c r="EQV33" s="16"/>
      <c r="EQW33" s="16"/>
      <c r="EQX33" s="16"/>
      <c r="EQY33" s="16"/>
      <c r="EQZ33" s="16"/>
      <c r="ERA33" s="16"/>
      <c r="ERB33" s="16"/>
      <c r="ERC33" s="16"/>
      <c r="ERD33" s="16"/>
      <c r="ERE33" s="16"/>
      <c r="ERF33" s="16"/>
      <c r="ERG33" s="16"/>
      <c r="ERH33" s="16"/>
      <c r="ERI33" s="16"/>
      <c r="ERJ33" s="16"/>
      <c r="ERK33" s="16"/>
      <c r="ERL33" s="16"/>
      <c r="ERM33" s="16"/>
      <c r="ERN33" s="16"/>
      <c r="ERO33" s="16"/>
      <c r="ERP33" s="16"/>
      <c r="ERQ33" s="16"/>
      <c r="ERR33" s="16"/>
      <c r="ERS33" s="16"/>
      <c r="ERT33" s="16"/>
      <c r="ERU33" s="16"/>
      <c r="ERV33" s="16"/>
      <c r="ERW33" s="16"/>
      <c r="ERX33" s="16"/>
      <c r="ERY33" s="16"/>
      <c r="ERZ33" s="16"/>
      <c r="ESA33" s="16"/>
      <c r="ESB33" s="16"/>
      <c r="ESC33" s="16"/>
      <c r="ESD33" s="16"/>
      <c r="ESE33" s="16"/>
      <c r="ESF33" s="16"/>
      <c r="ESG33" s="16"/>
      <c r="ESH33" s="16"/>
      <c r="ESI33" s="16"/>
      <c r="ESJ33" s="16"/>
      <c r="ESK33" s="16"/>
      <c r="ESL33" s="16"/>
      <c r="ESM33" s="16"/>
      <c r="ESN33" s="16"/>
      <c r="ESO33" s="16"/>
      <c r="ESP33" s="16"/>
      <c r="ESQ33" s="16"/>
      <c r="ESR33" s="16"/>
      <c r="ESS33" s="16"/>
      <c r="EST33" s="16"/>
      <c r="ESU33" s="16"/>
      <c r="ESV33" s="16"/>
      <c r="ESW33" s="16"/>
      <c r="ESX33" s="16"/>
      <c r="ESY33" s="16"/>
      <c r="ESZ33" s="16"/>
      <c r="ETA33" s="16"/>
      <c r="ETB33" s="16"/>
      <c r="ETC33" s="16"/>
      <c r="ETD33" s="16"/>
      <c r="ETE33" s="16"/>
      <c r="ETF33" s="16"/>
      <c r="ETG33" s="16"/>
      <c r="ETH33" s="16"/>
      <c r="ETI33" s="16"/>
      <c r="ETJ33" s="16"/>
      <c r="ETK33" s="16"/>
      <c r="ETL33" s="16"/>
      <c r="ETM33" s="16"/>
      <c r="ETN33" s="16"/>
      <c r="ETO33" s="16"/>
      <c r="ETP33" s="16"/>
      <c r="ETQ33" s="16"/>
      <c r="ETR33" s="16"/>
      <c r="ETS33" s="16"/>
      <c r="ETT33" s="16"/>
      <c r="ETU33" s="16"/>
      <c r="ETV33" s="16"/>
      <c r="ETW33" s="16"/>
      <c r="ETX33" s="16"/>
      <c r="ETY33" s="16"/>
      <c r="ETZ33" s="16"/>
      <c r="EUA33" s="16"/>
      <c r="EUB33" s="16"/>
      <c r="EUC33" s="16"/>
      <c r="EUD33" s="16"/>
      <c r="EUE33" s="16"/>
      <c r="EUF33" s="16"/>
      <c r="EUG33" s="16"/>
      <c r="EUH33" s="16"/>
      <c r="EUI33" s="16"/>
      <c r="EUJ33" s="16"/>
      <c r="EUK33" s="16"/>
      <c r="EUL33" s="16"/>
      <c r="EUM33" s="16"/>
      <c r="EUN33" s="16"/>
      <c r="EUO33" s="16"/>
      <c r="EUP33" s="16"/>
      <c r="EUQ33" s="16"/>
      <c r="EUR33" s="16"/>
      <c r="EUS33" s="16"/>
      <c r="EUT33" s="16"/>
      <c r="EUU33" s="16"/>
      <c r="EUV33" s="16"/>
      <c r="EUW33" s="16"/>
      <c r="EUX33" s="16"/>
      <c r="EUY33" s="16"/>
      <c r="EUZ33" s="16"/>
      <c r="EVA33" s="16"/>
      <c r="EVB33" s="16"/>
      <c r="EVC33" s="16"/>
      <c r="EVD33" s="16"/>
      <c r="EVE33" s="16"/>
      <c r="EVF33" s="16"/>
      <c r="EVG33" s="16"/>
      <c r="EVH33" s="16"/>
      <c r="EVI33" s="16"/>
      <c r="EVJ33" s="16"/>
      <c r="EVK33" s="16"/>
      <c r="EVL33" s="16"/>
      <c r="EVM33" s="16"/>
      <c r="EVN33" s="16"/>
      <c r="EVO33" s="16"/>
      <c r="EVP33" s="16"/>
      <c r="EVQ33" s="16"/>
      <c r="EVR33" s="16"/>
      <c r="EVS33" s="16"/>
      <c r="EVT33" s="16"/>
      <c r="EVU33" s="16"/>
      <c r="EVV33" s="16"/>
      <c r="EVW33" s="16"/>
      <c r="EVX33" s="16"/>
      <c r="EVY33" s="16"/>
      <c r="EVZ33" s="16"/>
      <c r="EWA33" s="16"/>
      <c r="EWB33" s="16"/>
      <c r="EWC33" s="16"/>
      <c r="EWD33" s="16"/>
      <c r="EWE33" s="16"/>
      <c r="EWF33" s="16"/>
      <c r="EWG33" s="16"/>
      <c r="EWH33" s="16"/>
      <c r="EWI33" s="16"/>
      <c r="EWJ33" s="16"/>
      <c r="EWK33" s="16"/>
      <c r="EWL33" s="16"/>
      <c r="EWM33" s="16"/>
      <c r="EWN33" s="16"/>
      <c r="EWO33" s="16"/>
      <c r="EWP33" s="16"/>
      <c r="EWQ33" s="16"/>
      <c r="EWR33" s="16"/>
      <c r="EWS33" s="16"/>
      <c r="EWT33" s="16"/>
      <c r="EWU33" s="16"/>
      <c r="EWV33" s="16"/>
      <c r="EWW33" s="16"/>
      <c r="EWX33" s="16"/>
      <c r="EWY33" s="16"/>
      <c r="EWZ33" s="16"/>
      <c r="EXA33" s="16"/>
      <c r="EXB33" s="16"/>
      <c r="EXC33" s="16"/>
      <c r="EXD33" s="16"/>
      <c r="EXE33" s="16"/>
      <c r="EXF33" s="16"/>
      <c r="EXG33" s="16"/>
      <c r="EXH33" s="16"/>
      <c r="EXI33" s="16"/>
      <c r="EXJ33" s="16"/>
      <c r="EXK33" s="16"/>
      <c r="EXL33" s="16"/>
      <c r="EXM33" s="16"/>
      <c r="EXN33" s="16"/>
      <c r="EXO33" s="16"/>
      <c r="EXP33" s="16"/>
      <c r="EXQ33" s="16"/>
      <c r="EXR33" s="16"/>
      <c r="EXS33" s="16"/>
      <c r="EXT33" s="16"/>
      <c r="EXU33" s="16"/>
      <c r="EXV33" s="16"/>
      <c r="EXW33" s="16"/>
      <c r="EXX33" s="16"/>
      <c r="EXY33" s="16"/>
      <c r="EXZ33" s="16"/>
      <c r="EYA33" s="16"/>
      <c r="EYB33" s="16"/>
      <c r="EYC33" s="16"/>
      <c r="EYD33" s="16"/>
      <c r="EYE33" s="16"/>
      <c r="EYF33" s="16"/>
      <c r="EYG33" s="16"/>
      <c r="EYH33" s="16"/>
      <c r="EYI33" s="16"/>
      <c r="EYJ33" s="16"/>
      <c r="EYK33" s="16"/>
      <c r="EYL33" s="16"/>
      <c r="EYM33" s="16"/>
      <c r="EYN33" s="16"/>
      <c r="EYO33" s="16"/>
      <c r="EYP33" s="16"/>
      <c r="EYQ33" s="16"/>
      <c r="EYR33" s="16"/>
      <c r="EYS33" s="16"/>
      <c r="EYT33" s="16"/>
      <c r="EYU33" s="16"/>
      <c r="EYV33" s="16"/>
      <c r="EYW33" s="16"/>
      <c r="EYX33" s="16"/>
      <c r="EYY33" s="16"/>
      <c r="EYZ33" s="16"/>
      <c r="EZA33" s="16"/>
      <c r="EZB33" s="16"/>
      <c r="EZC33" s="16"/>
      <c r="EZD33" s="16"/>
      <c r="EZE33" s="16"/>
      <c r="EZF33" s="16"/>
      <c r="EZG33" s="16"/>
      <c r="EZH33" s="16"/>
      <c r="EZI33" s="16"/>
      <c r="EZJ33" s="16"/>
      <c r="EZK33" s="16"/>
      <c r="EZL33" s="16"/>
      <c r="EZM33" s="16"/>
      <c r="EZN33" s="16"/>
      <c r="EZO33" s="16"/>
      <c r="EZP33" s="16"/>
      <c r="EZQ33" s="16"/>
      <c r="EZR33" s="16"/>
      <c r="EZS33" s="16"/>
      <c r="EZT33" s="16"/>
      <c r="EZU33" s="16"/>
      <c r="EZV33" s="16"/>
      <c r="EZW33" s="16"/>
      <c r="EZX33" s="16"/>
      <c r="EZY33" s="16"/>
      <c r="EZZ33" s="16"/>
      <c r="FAA33" s="16"/>
      <c r="FAB33" s="16"/>
      <c r="FAC33" s="16"/>
      <c r="FAD33" s="16"/>
      <c r="FAE33" s="16"/>
      <c r="FAF33" s="16"/>
      <c r="FAG33" s="16"/>
      <c r="FAH33" s="16"/>
      <c r="FAI33" s="16"/>
      <c r="FAJ33" s="16"/>
      <c r="FAK33" s="16"/>
      <c r="FAL33" s="16"/>
      <c r="FAM33" s="16"/>
      <c r="FAN33" s="16"/>
      <c r="FAO33" s="16"/>
      <c r="FAP33" s="16"/>
      <c r="FAQ33" s="16"/>
      <c r="FAR33" s="16"/>
      <c r="FAS33" s="16"/>
      <c r="FAT33" s="16"/>
      <c r="FAU33" s="16"/>
      <c r="FAV33" s="16"/>
      <c r="FAW33" s="16"/>
      <c r="FAX33" s="16"/>
      <c r="FAY33" s="16"/>
      <c r="FAZ33" s="16"/>
      <c r="FBA33" s="16"/>
      <c r="FBB33" s="16"/>
      <c r="FBC33" s="16"/>
      <c r="FBD33" s="16"/>
      <c r="FBE33" s="16"/>
      <c r="FBF33" s="16"/>
      <c r="FBG33" s="16"/>
      <c r="FBH33" s="16"/>
      <c r="FBI33" s="16"/>
      <c r="FBJ33" s="16"/>
      <c r="FBK33" s="16"/>
      <c r="FBL33" s="16"/>
      <c r="FBM33" s="16"/>
      <c r="FBN33" s="16"/>
      <c r="FBO33" s="16"/>
      <c r="FBP33" s="16"/>
      <c r="FBQ33" s="16"/>
      <c r="FBR33" s="16"/>
      <c r="FBS33" s="16"/>
      <c r="FBT33" s="16"/>
      <c r="FBU33" s="16"/>
      <c r="FBV33" s="16"/>
      <c r="FBW33" s="16"/>
      <c r="FBX33" s="16"/>
      <c r="FBY33" s="16"/>
      <c r="FBZ33" s="16"/>
      <c r="FCA33" s="16"/>
      <c r="FCB33" s="16"/>
      <c r="FCC33" s="16"/>
      <c r="FCD33" s="16"/>
      <c r="FCE33" s="16"/>
      <c r="FCF33" s="16"/>
      <c r="FCG33" s="16"/>
      <c r="FCH33" s="16"/>
      <c r="FCI33" s="16"/>
      <c r="FCJ33" s="16"/>
      <c r="FCK33" s="16"/>
      <c r="FCL33" s="16"/>
      <c r="FCM33" s="16"/>
      <c r="FCN33" s="16"/>
      <c r="FCO33" s="16"/>
      <c r="FCP33" s="16"/>
      <c r="FCQ33" s="16"/>
      <c r="FCR33" s="16"/>
      <c r="FCS33" s="16"/>
      <c r="FCT33" s="16"/>
      <c r="FCU33" s="16"/>
      <c r="FCV33" s="16"/>
      <c r="FCW33" s="16"/>
      <c r="FCX33" s="16"/>
      <c r="FCY33" s="16"/>
      <c r="FCZ33" s="16"/>
      <c r="FDA33" s="16"/>
      <c r="FDB33" s="16"/>
      <c r="FDC33" s="16"/>
      <c r="FDD33" s="16"/>
      <c r="FDE33" s="16"/>
      <c r="FDF33" s="16"/>
      <c r="FDG33" s="16"/>
      <c r="FDH33" s="16"/>
      <c r="FDI33" s="16"/>
      <c r="FDJ33" s="16"/>
      <c r="FDK33" s="16"/>
      <c r="FDL33" s="16"/>
      <c r="FDM33" s="16"/>
      <c r="FDN33" s="16"/>
      <c r="FDO33" s="16"/>
      <c r="FDP33" s="16"/>
      <c r="FDQ33" s="16"/>
      <c r="FDR33" s="16"/>
      <c r="FDS33" s="16"/>
      <c r="FDT33" s="16"/>
      <c r="FDU33" s="16"/>
      <c r="FDV33" s="16"/>
      <c r="FDW33" s="16"/>
      <c r="FDX33" s="16"/>
      <c r="FDY33" s="16"/>
      <c r="FDZ33" s="16"/>
      <c r="FEA33" s="16"/>
      <c r="FEB33" s="16"/>
      <c r="FEC33" s="16"/>
      <c r="FED33" s="16"/>
      <c r="FEE33" s="16"/>
      <c r="FEF33" s="16"/>
      <c r="FEG33" s="16"/>
      <c r="FEH33" s="16"/>
      <c r="FEI33" s="16"/>
      <c r="FEJ33" s="16"/>
      <c r="FEK33" s="16"/>
      <c r="FEL33" s="16"/>
      <c r="FEM33" s="16"/>
      <c r="FEN33" s="16"/>
      <c r="FEO33" s="16"/>
      <c r="FEP33" s="16"/>
      <c r="FEQ33" s="16"/>
      <c r="FER33" s="16"/>
      <c r="FES33" s="16"/>
      <c r="FET33" s="16"/>
      <c r="FEU33" s="16"/>
      <c r="FEV33" s="16"/>
      <c r="FEW33" s="16"/>
      <c r="FEX33" s="16"/>
      <c r="FEY33" s="16"/>
      <c r="FEZ33" s="16"/>
      <c r="FFA33" s="16"/>
      <c r="FFB33" s="16"/>
      <c r="FFC33" s="16"/>
      <c r="FFD33" s="16"/>
      <c r="FFE33" s="16"/>
      <c r="FFF33" s="16"/>
      <c r="FFG33" s="16"/>
      <c r="FFH33" s="16"/>
      <c r="FFI33" s="16"/>
      <c r="FFJ33" s="16"/>
      <c r="FFK33" s="16"/>
      <c r="FFL33" s="16"/>
      <c r="FFM33" s="16"/>
      <c r="FFN33" s="16"/>
      <c r="FFO33" s="16"/>
      <c r="FFP33" s="16"/>
      <c r="FFQ33" s="16"/>
      <c r="FFR33" s="16"/>
      <c r="FFS33" s="16"/>
      <c r="FFT33" s="16"/>
      <c r="FFU33" s="16"/>
      <c r="FFV33" s="16"/>
      <c r="FFW33" s="16"/>
      <c r="FFX33" s="16"/>
      <c r="FFY33" s="16"/>
      <c r="FFZ33" s="16"/>
      <c r="FGA33" s="16"/>
      <c r="FGB33" s="16"/>
      <c r="FGC33" s="16"/>
      <c r="FGD33" s="16"/>
      <c r="FGE33" s="16"/>
      <c r="FGF33" s="16"/>
      <c r="FGG33" s="16"/>
      <c r="FGH33" s="16"/>
      <c r="FGI33" s="16"/>
      <c r="FGJ33" s="16"/>
      <c r="FGK33" s="16"/>
      <c r="FGL33" s="16"/>
      <c r="FGM33" s="16"/>
      <c r="FGN33" s="16"/>
      <c r="FGO33" s="16"/>
      <c r="FGP33" s="16"/>
      <c r="FGQ33" s="16"/>
      <c r="FGR33" s="16"/>
      <c r="FGS33" s="16"/>
      <c r="FGT33" s="16"/>
      <c r="FGU33" s="16"/>
      <c r="FGV33" s="16"/>
      <c r="FGW33" s="16"/>
      <c r="FGX33" s="16"/>
      <c r="FGY33" s="16"/>
      <c r="FGZ33" s="16"/>
      <c r="FHA33" s="16"/>
      <c r="FHB33" s="16"/>
      <c r="FHC33" s="16"/>
      <c r="FHD33" s="16"/>
      <c r="FHE33" s="16"/>
      <c r="FHF33" s="16"/>
      <c r="FHG33" s="16"/>
      <c r="FHH33" s="16"/>
      <c r="FHI33" s="16"/>
      <c r="FHJ33" s="16"/>
      <c r="FHK33" s="16"/>
      <c r="FHL33" s="16"/>
      <c r="FHM33" s="16"/>
      <c r="FHN33" s="16"/>
      <c r="FHO33" s="16"/>
      <c r="FHP33" s="16"/>
      <c r="FHQ33" s="16"/>
      <c r="FHR33" s="16"/>
      <c r="FHS33" s="16"/>
      <c r="FHT33" s="16"/>
      <c r="FHU33" s="16"/>
      <c r="FHV33" s="16"/>
      <c r="FHW33" s="16"/>
      <c r="FHX33" s="16"/>
      <c r="FHY33" s="16"/>
      <c r="FHZ33" s="16"/>
      <c r="FIA33" s="16"/>
      <c r="FIB33" s="16"/>
      <c r="FIC33" s="16"/>
      <c r="FID33" s="16"/>
      <c r="FIE33" s="16"/>
      <c r="FIF33" s="16"/>
      <c r="FIG33" s="16"/>
      <c r="FIH33" s="16"/>
      <c r="FII33" s="16"/>
      <c r="FIJ33" s="16"/>
      <c r="FIK33" s="16"/>
      <c r="FIL33" s="16"/>
      <c r="FIM33" s="16"/>
      <c r="FIN33" s="16"/>
      <c r="FIO33" s="16"/>
      <c r="FIP33" s="16"/>
      <c r="FIQ33" s="16"/>
      <c r="FIR33" s="16"/>
      <c r="FIS33" s="16"/>
      <c r="FIT33" s="16"/>
      <c r="FIU33" s="16"/>
      <c r="FIV33" s="16"/>
      <c r="FIW33" s="16"/>
      <c r="FIX33" s="16"/>
      <c r="FIY33" s="16"/>
      <c r="FIZ33" s="16"/>
      <c r="FJA33" s="16"/>
      <c r="FJB33" s="16"/>
      <c r="FJC33" s="16"/>
      <c r="FJD33" s="16"/>
      <c r="FJE33" s="16"/>
      <c r="FJF33" s="16"/>
      <c r="FJG33" s="16"/>
      <c r="FJH33" s="16"/>
      <c r="FJI33" s="16"/>
      <c r="FJJ33" s="16"/>
      <c r="FJK33" s="16"/>
      <c r="FJL33" s="16"/>
      <c r="FJM33" s="16"/>
      <c r="FJN33" s="16"/>
      <c r="FJO33" s="16"/>
      <c r="FJP33" s="16"/>
      <c r="FJQ33" s="16"/>
      <c r="FJR33" s="16"/>
      <c r="FJS33" s="16"/>
      <c r="FJT33" s="16"/>
      <c r="FJU33" s="16"/>
      <c r="FJV33" s="16"/>
      <c r="FJW33" s="16"/>
      <c r="FJX33" s="16"/>
      <c r="FJY33" s="16"/>
      <c r="FJZ33" s="16"/>
      <c r="FKA33" s="16"/>
      <c r="FKB33" s="16"/>
      <c r="FKC33" s="16"/>
      <c r="FKD33" s="16"/>
      <c r="FKE33" s="16"/>
      <c r="FKF33" s="16"/>
      <c r="FKG33" s="16"/>
      <c r="FKH33" s="16"/>
      <c r="FKI33" s="16"/>
      <c r="FKJ33" s="16"/>
      <c r="FKK33" s="16"/>
      <c r="FKL33" s="16"/>
      <c r="FKM33" s="16"/>
      <c r="FKN33" s="16"/>
      <c r="FKO33" s="16"/>
      <c r="FKP33" s="16"/>
      <c r="FKQ33" s="16"/>
      <c r="FKR33" s="16"/>
      <c r="FKS33" s="16"/>
      <c r="FKT33" s="16"/>
      <c r="FKU33" s="16"/>
      <c r="FKV33" s="16"/>
      <c r="FKW33" s="16"/>
      <c r="FKX33" s="16"/>
      <c r="FKY33" s="16"/>
      <c r="FKZ33" s="16"/>
      <c r="FLA33" s="16"/>
      <c r="FLB33" s="16"/>
      <c r="FLC33" s="16"/>
      <c r="FLD33" s="16"/>
      <c r="FLE33" s="16"/>
      <c r="FLF33" s="16"/>
      <c r="FLG33" s="16"/>
      <c r="FLH33" s="16"/>
      <c r="FLI33" s="16"/>
      <c r="FLJ33" s="16"/>
      <c r="FLK33" s="16"/>
      <c r="FLL33" s="16"/>
      <c r="FLM33" s="16"/>
      <c r="FLN33" s="16"/>
      <c r="FLO33" s="16"/>
      <c r="FLP33" s="16"/>
      <c r="FLQ33" s="16"/>
      <c r="FLR33" s="16"/>
      <c r="FLS33" s="16"/>
      <c r="FLT33" s="16"/>
      <c r="FLU33" s="16"/>
      <c r="FLV33" s="16"/>
      <c r="FLW33" s="16"/>
      <c r="FLX33" s="16"/>
      <c r="FLY33" s="16"/>
      <c r="FLZ33" s="16"/>
      <c r="FMA33" s="16"/>
      <c r="FMB33" s="16"/>
      <c r="FMC33" s="16"/>
      <c r="FMD33" s="16"/>
      <c r="FME33" s="16"/>
      <c r="FMF33" s="16"/>
      <c r="FMG33" s="16"/>
      <c r="FMH33" s="16"/>
      <c r="FMI33" s="16"/>
      <c r="FMJ33" s="16"/>
      <c r="FMK33" s="16"/>
      <c r="FML33" s="16"/>
      <c r="FMM33" s="16"/>
      <c r="FMN33" s="16"/>
      <c r="FMO33" s="16"/>
      <c r="FMP33" s="16"/>
      <c r="FMQ33" s="16"/>
      <c r="FMR33" s="16"/>
      <c r="FMS33" s="16"/>
      <c r="FMT33" s="16"/>
      <c r="FMU33" s="16"/>
      <c r="FMV33" s="16"/>
      <c r="FMW33" s="16"/>
      <c r="FMX33" s="16"/>
      <c r="FMY33" s="16"/>
      <c r="FMZ33" s="16"/>
      <c r="FNA33" s="16"/>
      <c r="FNB33" s="16"/>
      <c r="FNC33" s="16"/>
      <c r="FND33" s="16"/>
      <c r="FNE33" s="16"/>
      <c r="FNF33" s="16"/>
      <c r="FNG33" s="16"/>
      <c r="FNH33" s="16"/>
      <c r="FNI33" s="16"/>
      <c r="FNJ33" s="16"/>
      <c r="FNK33" s="16"/>
      <c r="FNL33" s="16"/>
      <c r="FNM33" s="16"/>
      <c r="FNN33" s="16"/>
      <c r="FNO33" s="16"/>
      <c r="FNP33" s="16"/>
      <c r="FNQ33" s="16"/>
      <c r="FNR33" s="16"/>
      <c r="FNS33" s="16"/>
      <c r="FNT33" s="16"/>
      <c r="FNU33" s="16"/>
      <c r="FNV33" s="16"/>
      <c r="FNW33" s="16"/>
      <c r="FNX33" s="16"/>
      <c r="FNY33" s="16"/>
      <c r="FNZ33" s="16"/>
      <c r="FOA33" s="16"/>
      <c r="FOB33" s="16"/>
      <c r="FOC33" s="16"/>
      <c r="FOD33" s="16"/>
      <c r="FOE33" s="16"/>
      <c r="FOF33" s="16"/>
      <c r="FOG33" s="16"/>
      <c r="FOH33" s="16"/>
      <c r="FOI33" s="16"/>
      <c r="FOJ33" s="16"/>
      <c r="FOK33" s="16"/>
      <c r="FOL33" s="16"/>
      <c r="FOM33" s="16"/>
      <c r="FON33" s="16"/>
      <c r="FOO33" s="16"/>
      <c r="FOP33" s="16"/>
      <c r="FOQ33" s="16"/>
      <c r="FOR33" s="16"/>
      <c r="FOS33" s="16"/>
      <c r="FOT33" s="16"/>
      <c r="FOU33" s="16"/>
      <c r="FOV33" s="16"/>
      <c r="FOW33" s="16"/>
      <c r="FOX33" s="16"/>
      <c r="FOY33" s="16"/>
      <c r="FOZ33" s="16"/>
      <c r="FPA33" s="16"/>
      <c r="FPB33" s="16"/>
      <c r="FPC33" s="16"/>
      <c r="FPD33" s="16"/>
      <c r="FPE33" s="16"/>
      <c r="FPF33" s="16"/>
      <c r="FPG33" s="16"/>
      <c r="FPH33" s="16"/>
      <c r="FPI33" s="16"/>
      <c r="FPJ33" s="16"/>
      <c r="FPK33" s="16"/>
      <c r="FPL33" s="16"/>
      <c r="FPM33" s="16"/>
      <c r="FPN33" s="16"/>
      <c r="FPO33" s="16"/>
      <c r="FPP33" s="16"/>
      <c r="FPQ33" s="16"/>
      <c r="FPR33" s="16"/>
      <c r="FPS33" s="16"/>
      <c r="FPT33" s="16"/>
      <c r="FPU33" s="16"/>
      <c r="FPV33" s="16"/>
      <c r="FPW33" s="16"/>
      <c r="FPX33" s="16"/>
      <c r="FPY33" s="16"/>
      <c r="FPZ33" s="16"/>
      <c r="FQA33" s="16"/>
      <c r="FQB33" s="16"/>
      <c r="FQC33" s="16"/>
      <c r="FQD33" s="16"/>
      <c r="FQE33" s="16"/>
      <c r="FQF33" s="16"/>
      <c r="FQG33" s="16"/>
      <c r="FQH33" s="16"/>
      <c r="FQI33" s="16"/>
      <c r="FQJ33" s="16"/>
      <c r="FQK33" s="16"/>
      <c r="FQL33" s="16"/>
      <c r="FQM33" s="16"/>
      <c r="FQN33" s="16"/>
      <c r="FQO33" s="16"/>
      <c r="FQP33" s="16"/>
      <c r="FQQ33" s="16"/>
      <c r="FQR33" s="16"/>
      <c r="FQS33" s="16"/>
      <c r="FQT33" s="16"/>
      <c r="FQU33" s="16"/>
      <c r="FQV33" s="16"/>
      <c r="FQW33" s="16"/>
      <c r="FQX33" s="16"/>
      <c r="FQY33" s="16"/>
      <c r="FQZ33" s="16"/>
      <c r="FRA33" s="16"/>
      <c r="FRB33" s="16"/>
      <c r="FRC33" s="16"/>
      <c r="FRD33" s="16"/>
      <c r="FRE33" s="16"/>
      <c r="FRF33" s="16"/>
      <c r="FRG33" s="16"/>
      <c r="FRH33" s="16"/>
      <c r="FRI33" s="16"/>
      <c r="FRJ33" s="16"/>
      <c r="FRK33" s="16"/>
      <c r="FRL33" s="16"/>
      <c r="FRM33" s="16"/>
      <c r="FRN33" s="16"/>
      <c r="FRO33" s="16"/>
      <c r="FRP33" s="16"/>
      <c r="FRQ33" s="16"/>
      <c r="FRR33" s="16"/>
      <c r="FRS33" s="16"/>
      <c r="FRT33" s="16"/>
      <c r="FRU33" s="16"/>
      <c r="FRV33" s="16"/>
      <c r="FRW33" s="16"/>
      <c r="FRX33" s="16"/>
      <c r="FRY33" s="16"/>
      <c r="FRZ33" s="16"/>
      <c r="FSA33" s="16"/>
      <c r="FSB33" s="16"/>
      <c r="FSC33" s="16"/>
      <c r="FSD33" s="16"/>
      <c r="FSE33" s="16"/>
      <c r="FSF33" s="16"/>
      <c r="FSG33" s="16"/>
      <c r="FSH33" s="16"/>
      <c r="FSI33" s="16"/>
      <c r="FSJ33" s="16"/>
      <c r="FSK33" s="16"/>
      <c r="FSL33" s="16"/>
      <c r="FSM33" s="16"/>
      <c r="FSN33" s="16"/>
      <c r="FSO33" s="16"/>
      <c r="FSP33" s="16"/>
      <c r="FSQ33" s="16"/>
      <c r="FSR33" s="16"/>
      <c r="FSS33" s="16"/>
      <c r="FST33" s="16"/>
      <c r="FSU33" s="16"/>
      <c r="FSV33" s="16"/>
      <c r="FSW33" s="16"/>
      <c r="FSX33" s="16"/>
      <c r="FSY33" s="16"/>
      <c r="FSZ33" s="16"/>
      <c r="FTA33" s="16"/>
      <c r="FTB33" s="16"/>
      <c r="FTC33" s="16"/>
      <c r="FTD33" s="16"/>
      <c r="FTE33" s="16"/>
      <c r="FTF33" s="16"/>
      <c r="FTG33" s="16"/>
      <c r="FTH33" s="16"/>
      <c r="FTI33" s="16"/>
      <c r="FTJ33" s="16"/>
      <c r="FTK33" s="16"/>
      <c r="FTL33" s="16"/>
      <c r="FTM33" s="16"/>
      <c r="FTN33" s="16"/>
      <c r="FTO33" s="16"/>
      <c r="FTP33" s="16"/>
      <c r="FTQ33" s="16"/>
      <c r="FTR33" s="16"/>
      <c r="FTS33" s="16"/>
      <c r="FTT33" s="16"/>
      <c r="FTU33" s="16"/>
      <c r="FTV33" s="16"/>
      <c r="FTW33" s="16"/>
      <c r="FTX33" s="16"/>
      <c r="FTY33" s="16"/>
      <c r="FTZ33" s="16"/>
      <c r="FUA33" s="16"/>
      <c r="FUB33" s="16"/>
      <c r="FUC33" s="16"/>
      <c r="FUD33" s="16"/>
      <c r="FUE33" s="16"/>
      <c r="FUF33" s="16"/>
      <c r="FUG33" s="16"/>
      <c r="FUH33" s="16"/>
      <c r="FUI33" s="16"/>
      <c r="FUJ33" s="16"/>
      <c r="FUK33" s="16"/>
      <c r="FUL33" s="16"/>
      <c r="FUM33" s="16"/>
      <c r="FUN33" s="16"/>
      <c r="FUO33" s="16"/>
      <c r="FUP33" s="16"/>
      <c r="FUQ33" s="16"/>
      <c r="FUR33" s="16"/>
      <c r="FUS33" s="16"/>
      <c r="FUT33" s="16"/>
      <c r="FUU33" s="16"/>
      <c r="FUV33" s="16"/>
      <c r="FUW33" s="16"/>
      <c r="FUX33" s="16"/>
      <c r="FUY33" s="16"/>
      <c r="FUZ33" s="16"/>
      <c r="FVA33" s="16"/>
      <c r="FVB33" s="16"/>
      <c r="FVC33" s="16"/>
      <c r="FVD33" s="16"/>
      <c r="FVE33" s="16"/>
      <c r="FVF33" s="16"/>
      <c r="FVG33" s="16"/>
      <c r="FVH33" s="16"/>
      <c r="FVI33" s="16"/>
      <c r="FVJ33" s="16"/>
      <c r="FVK33" s="16"/>
      <c r="FVL33" s="16"/>
      <c r="FVM33" s="16"/>
      <c r="FVN33" s="16"/>
      <c r="FVO33" s="16"/>
      <c r="FVP33" s="16"/>
      <c r="FVQ33" s="16"/>
      <c r="FVR33" s="16"/>
      <c r="FVS33" s="16"/>
      <c r="FVT33" s="16"/>
      <c r="FVU33" s="16"/>
      <c r="FVV33" s="16"/>
      <c r="FVW33" s="16"/>
      <c r="FVX33" s="16"/>
      <c r="FVY33" s="16"/>
      <c r="FVZ33" s="16"/>
      <c r="FWA33" s="16"/>
      <c r="FWB33" s="16"/>
      <c r="FWC33" s="16"/>
      <c r="FWD33" s="16"/>
      <c r="FWE33" s="16"/>
      <c r="FWF33" s="16"/>
      <c r="FWG33" s="16"/>
      <c r="FWH33" s="16"/>
      <c r="FWI33" s="16"/>
      <c r="FWJ33" s="16"/>
      <c r="FWK33" s="16"/>
      <c r="FWL33" s="16"/>
      <c r="FWM33" s="16"/>
      <c r="FWN33" s="16"/>
      <c r="FWO33" s="16"/>
      <c r="FWP33" s="16"/>
      <c r="FWQ33" s="16"/>
      <c r="FWR33" s="16"/>
      <c r="FWS33" s="16"/>
      <c r="FWT33" s="16"/>
      <c r="FWU33" s="16"/>
      <c r="FWV33" s="16"/>
      <c r="FWW33" s="16"/>
      <c r="FWX33" s="16"/>
      <c r="FWY33" s="16"/>
      <c r="FWZ33" s="16"/>
      <c r="FXA33" s="16"/>
      <c r="FXB33" s="16"/>
      <c r="FXC33" s="16"/>
      <c r="FXD33" s="16"/>
      <c r="FXE33" s="16"/>
      <c r="FXF33" s="16"/>
      <c r="FXG33" s="16"/>
      <c r="FXH33" s="16"/>
      <c r="FXI33" s="16"/>
      <c r="FXJ33" s="16"/>
      <c r="FXK33" s="16"/>
      <c r="FXL33" s="16"/>
      <c r="FXM33" s="16"/>
      <c r="FXN33" s="16"/>
      <c r="FXO33" s="16"/>
      <c r="FXP33" s="16"/>
      <c r="FXQ33" s="16"/>
      <c r="FXR33" s="16"/>
      <c r="FXS33" s="16"/>
      <c r="FXT33" s="16"/>
      <c r="FXU33" s="16"/>
      <c r="FXV33" s="16"/>
      <c r="FXW33" s="16"/>
      <c r="FXX33" s="16"/>
      <c r="FXY33" s="16"/>
      <c r="FXZ33" s="16"/>
      <c r="FYA33" s="16"/>
      <c r="FYB33" s="16"/>
      <c r="FYC33" s="16"/>
      <c r="FYD33" s="16"/>
      <c r="FYE33" s="16"/>
      <c r="FYF33" s="16"/>
      <c r="FYG33" s="16"/>
      <c r="FYH33" s="16"/>
      <c r="FYI33" s="16"/>
      <c r="FYJ33" s="16"/>
      <c r="FYK33" s="16"/>
      <c r="FYL33" s="16"/>
      <c r="FYM33" s="16"/>
      <c r="FYN33" s="16"/>
      <c r="FYO33" s="16"/>
      <c r="FYP33" s="16"/>
      <c r="FYQ33" s="16"/>
      <c r="FYR33" s="16"/>
      <c r="FYS33" s="16"/>
      <c r="FYT33" s="16"/>
      <c r="FYU33" s="16"/>
      <c r="FYV33" s="16"/>
      <c r="FYW33" s="16"/>
      <c r="FYX33" s="16"/>
      <c r="FYY33" s="16"/>
      <c r="FYZ33" s="16"/>
      <c r="FZA33" s="16"/>
      <c r="FZB33" s="16"/>
      <c r="FZC33" s="16"/>
      <c r="FZD33" s="16"/>
      <c r="FZE33" s="16"/>
      <c r="FZF33" s="16"/>
      <c r="FZG33" s="16"/>
      <c r="FZH33" s="16"/>
      <c r="FZI33" s="16"/>
      <c r="FZJ33" s="16"/>
      <c r="FZK33" s="16"/>
      <c r="FZL33" s="16"/>
      <c r="FZM33" s="16"/>
      <c r="FZN33" s="16"/>
      <c r="FZO33" s="16"/>
      <c r="FZP33" s="16"/>
      <c r="FZQ33" s="16"/>
      <c r="FZR33" s="16"/>
      <c r="FZS33" s="16"/>
      <c r="FZT33" s="16"/>
      <c r="FZU33" s="16"/>
      <c r="FZV33" s="16"/>
      <c r="FZW33" s="16"/>
      <c r="FZX33" s="16"/>
      <c r="FZY33" s="16"/>
      <c r="FZZ33" s="16"/>
      <c r="GAA33" s="16"/>
      <c r="GAB33" s="16"/>
      <c r="GAC33" s="16"/>
      <c r="GAD33" s="16"/>
      <c r="GAE33" s="16"/>
      <c r="GAF33" s="16"/>
      <c r="GAG33" s="16"/>
      <c r="GAH33" s="16"/>
      <c r="GAI33" s="16"/>
      <c r="GAJ33" s="16"/>
      <c r="GAK33" s="16"/>
      <c r="GAL33" s="16"/>
      <c r="GAM33" s="16"/>
      <c r="GAN33" s="16"/>
      <c r="GAO33" s="16"/>
      <c r="GAP33" s="16"/>
      <c r="GAQ33" s="16"/>
      <c r="GAR33" s="16"/>
      <c r="GAS33" s="16"/>
      <c r="GAT33" s="16"/>
      <c r="GAU33" s="16"/>
      <c r="GAV33" s="16"/>
      <c r="GAW33" s="16"/>
      <c r="GAX33" s="16"/>
      <c r="GAY33" s="16"/>
      <c r="GAZ33" s="16"/>
      <c r="GBA33" s="16"/>
      <c r="GBB33" s="16"/>
      <c r="GBC33" s="16"/>
      <c r="GBD33" s="16"/>
      <c r="GBE33" s="16"/>
      <c r="GBF33" s="16"/>
      <c r="GBG33" s="16"/>
      <c r="GBH33" s="16"/>
      <c r="GBI33" s="16"/>
      <c r="GBJ33" s="16"/>
      <c r="GBK33" s="16"/>
      <c r="GBL33" s="16"/>
      <c r="GBM33" s="16"/>
      <c r="GBN33" s="16"/>
      <c r="GBO33" s="16"/>
      <c r="GBP33" s="16"/>
      <c r="GBQ33" s="16"/>
      <c r="GBR33" s="16"/>
      <c r="GBS33" s="16"/>
      <c r="GBT33" s="16"/>
      <c r="GBU33" s="16"/>
      <c r="GBV33" s="16"/>
      <c r="GBW33" s="16"/>
      <c r="GBX33" s="16"/>
      <c r="GBY33" s="16"/>
      <c r="GBZ33" s="16"/>
      <c r="GCA33" s="16"/>
      <c r="GCB33" s="16"/>
      <c r="GCC33" s="16"/>
      <c r="GCD33" s="16"/>
      <c r="GCE33" s="16"/>
      <c r="GCF33" s="16"/>
      <c r="GCG33" s="16"/>
      <c r="GCH33" s="16"/>
      <c r="GCI33" s="16"/>
      <c r="GCJ33" s="16"/>
      <c r="GCK33" s="16"/>
      <c r="GCL33" s="16"/>
      <c r="GCM33" s="16"/>
      <c r="GCN33" s="16"/>
      <c r="GCO33" s="16"/>
      <c r="GCP33" s="16"/>
      <c r="GCQ33" s="16"/>
      <c r="GCR33" s="16"/>
      <c r="GCS33" s="16"/>
      <c r="GCT33" s="16"/>
      <c r="GCU33" s="16"/>
      <c r="GCV33" s="16"/>
      <c r="GCW33" s="16"/>
      <c r="GCX33" s="16"/>
      <c r="GCY33" s="16"/>
      <c r="GCZ33" s="16"/>
      <c r="GDA33" s="16"/>
      <c r="GDB33" s="16"/>
      <c r="GDC33" s="16"/>
      <c r="GDD33" s="16"/>
      <c r="GDE33" s="16"/>
      <c r="GDF33" s="16"/>
      <c r="GDG33" s="16"/>
      <c r="GDH33" s="16"/>
      <c r="GDI33" s="16"/>
      <c r="GDJ33" s="16"/>
      <c r="GDK33" s="16"/>
      <c r="GDL33" s="16"/>
      <c r="GDM33" s="16"/>
      <c r="GDN33" s="16"/>
      <c r="GDO33" s="16"/>
      <c r="GDP33" s="16"/>
      <c r="GDQ33" s="16"/>
      <c r="GDR33" s="16"/>
      <c r="GDS33" s="16"/>
      <c r="GDT33" s="16"/>
      <c r="GDU33" s="16"/>
      <c r="GDV33" s="16"/>
      <c r="GDW33" s="16"/>
      <c r="GDX33" s="16"/>
      <c r="GDY33" s="16"/>
      <c r="GDZ33" s="16"/>
      <c r="GEA33" s="16"/>
      <c r="GEB33" s="16"/>
      <c r="GEC33" s="16"/>
      <c r="GED33" s="16"/>
      <c r="GEE33" s="16"/>
      <c r="GEF33" s="16"/>
      <c r="GEG33" s="16"/>
      <c r="GEH33" s="16"/>
      <c r="GEI33" s="16"/>
      <c r="GEJ33" s="16"/>
      <c r="GEK33" s="16"/>
      <c r="GEL33" s="16"/>
      <c r="GEM33" s="16"/>
      <c r="GEN33" s="16"/>
      <c r="GEO33" s="16"/>
      <c r="GEP33" s="16"/>
      <c r="GEQ33" s="16"/>
      <c r="GER33" s="16"/>
      <c r="GES33" s="16"/>
      <c r="GET33" s="16"/>
      <c r="GEU33" s="16"/>
      <c r="GEV33" s="16"/>
      <c r="GEW33" s="16"/>
      <c r="GEX33" s="16"/>
      <c r="GEY33" s="16"/>
      <c r="GEZ33" s="16"/>
      <c r="GFA33" s="16"/>
      <c r="GFB33" s="16"/>
      <c r="GFC33" s="16"/>
      <c r="GFD33" s="16"/>
      <c r="GFE33" s="16"/>
      <c r="GFF33" s="16"/>
      <c r="GFG33" s="16"/>
      <c r="GFH33" s="16"/>
      <c r="GFI33" s="16"/>
      <c r="GFJ33" s="16"/>
      <c r="GFK33" s="16"/>
      <c r="GFL33" s="16"/>
      <c r="GFM33" s="16"/>
      <c r="GFN33" s="16"/>
      <c r="GFO33" s="16"/>
      <c r="GFP33" s="16"/>
      <c r="GFQ33" s="16"/>
      <c r="GFR33" s="16"/>
      <c r="GFS33" s="16"/>
      <c r="GFT33" s="16"/>
      <c r="GFU33" s="16"/>
      <c r="GFV33" s="16"/>
      <c r="GFW33" s="16"/>
      <c r="GFX33" s="16"/>
      <c r="GFY33" s="16"/>
      <c r="GFZ33" s="16"/>
      <c r="GGA33" s="16"/>
      <c r="GGB33" s="16"/>
      <c r="GGC33" s="16"/>
      <c r="GGD33" s="16"/>
      <c r="GGE33" s="16"/>
      <c r="GGF33" s="16"/>
      <c r="GGG33" s="16"/>
      <c r="GGH33" s="16"/>
      <c r="GGI33" s="16"/>
      <c r="GGJ33" s="16"/>
      <c r="GGK33" s="16"/>
      <c r="GGL33" s="16"/>
      <c r="GGM33" s="16"/>
      <c r="GGN33" s="16"/>
      <c r="GGO33" s="16"/>
      <c r="GGP33" s="16"/>
      <c r="GGQ33" s="16"/>
      <c r="GGR33" s="16"/>
      <c r="GGS33" s="16"/>
      <c r="GGT33" s="16"/>
      <c r="GGU33" s="16"/>
      <c r="GGV33" s="16"/>
      <c r="GGW33" s="16"/>
      <c r="GGX33" s="16"/>
      <c r="GGY33" s="16"/>
      <c r="GGZ33" s="16"/>
      <c r="GHA33" s="16"/>
      <c r="GHB33" s="16"/>
      <c r="GHC33" s="16"/>
      <c r="GHD33" s="16"/>
      <c r="GHE33" s="16"/>
      <c r="GHF33" s="16"/>
      <c r="GHG33" s="16"/>
      <c r="GHH33" s="16"/>
      <c r="GHI33" s="16"/>
      <c r="GHJ33" s="16"/>
      <c r="GHK33" s="16"/>
      <c r="GHL33" s="16"/>
      <c r="GHM33" s="16"/>
      <c r="GHN33" s="16"/>
      <c r="GHO33" s="16"/>
      <c r="GHP33" s="16"/>
      <c r="GHQ33" s="16"/>
      <c r="GHR33" s="16"/>
      <c r="GHS33" s="16"/>
      <c r="GHT33" s="16"/>
      <c r="GHU33" s="16"/>
      <c r="GHV33" s="16"/>
      <c r="GHW33" s="16"/>
      <c r="GHX33" s="16"/>
      <c r="GHY33" s="16"/>
      <c r="GHZ33" s="16"/>
      <c r="GIA33" s="16"/>
      <c r="GIB33" s="16"/>
      <c r="GIC33" s="16"/>
      <c r="GID33" s="16"/>
      <c r="GIE33" s="16"/>
      <c r="GIF33" s="16"/>
      <c r="GIG33" s="16"/>
      <c r="GIH33" s="16"/>
      <c r="GII33" s="16"/>
      <c r="GIJ33" s="16"/>
      <c r="GIK33" s="16"/>
      <c r="GIL33" s="16"/>
      <c r="GIM33" s="16"/>
      <c r="GIN33" s="16"/>
      <c r="GIO33" s="16"/>
      <c r="GIP33" s="16"/>
      <c r="GIQ33" s="16"/>
      <c r="GIR33" s="16"/>
      <c r="GIS33" s="16"/>
      <c r="GIT33" s="16"/>
      <c r="GIU33" s="16"/>
      <c r="GIV33" s="16"/>
      <c r="GIW33" s="16"/>
      <c r="GIX33" s="16"/>
      <c r="GIY33" s="16"/>
      <c r="GIZ33" s="16"/>
      <c r="GJA33" s="16"/>
      <c r="GJB33" s="16"/>
      <c r="GJC33" s="16"/>
      <c r="GJD33" s="16"/>
      <c r="GJE33" s="16"/>
      <c r="GJF33" s="16"/>
      <c r="GJG33" s="16"/>
      <c r="GJH33" s="16"/>
      <c r="GJI33" s="16"/>
      <c r="GJJ33" s="16"/>
      <c r="GJK33" s="16"/>
      <c r="GJL33" s="16"/>
      <c r="GJM33" s="16"/>
      <c r="GJN33" s="16"/>
      <c r="GJO33" s="16"/>
      <c r="GJP33" s="16"/>
      <c r="GJQ33" s="16"/>
      <c r="GJR33" s="16"/>
      <c r="GJS33" s="16"/>
      <c r="GJT33" s="16"/>
      <c r="GJU33" s="16"/>
      <c r="GJV33" s="16"/>
      <c r="GJW33" s="16"/>
      <c r="GJX33" s="16"/>
      <c r="GJY33" s="16"/>
      <c r="GJZ33" s="16"/>
      <c r="GKA33" s="16"/>
      <c r="GKB33" s="16"/>
      <c r="GKC33" s="16"/>
      <c r="GKD33" s="16"/>
      <c r="GKE33" s="16"/>
      <c r="GKF33" s="16"/>
      <c r="GKG33" s="16"/>
      <c r="GKH33" s="16"/>
      <c r="GKI33" s="16"/>
      <c r="GKJ33" s="16"/>
      <c r="GKK33" s="16"/>
      <c r="GKL33" s="16"/>
      <c r="GKM33" s="16"/>
      <c r="GKN33" s="16"/>
      <c r="GKO33" s="16"/>
      <c r="GKP33" s="16"/>
      <c r="GKQ33" s="16"/>
      <c r="GKR33" s="16"/>
      <c r="GKS33" s="16"/>
      <c r="GKT33" s="16"/>
      <c r="GKU33" s="16"/>
      <c r="GKV33" s="16"/>
      <c r="GKW33" s="16"/>
      <c r="GKX33" s="16"/>
      <c r="GKY33" s="16"/>
      <c r="GKZ33" s="16"/>
      <c r="GLA33" s="16"/>
      <c r="GLB33" s="16"/>
      <c r="GLC33" s="16"/>
      <c r="GLD33" s="16"/>
      <c r="GLE33" s="16"/>
      <c r="GLF33" s="16"/>
      <c r="GLG33" s="16"/>
      <c r="GLH33" s="16"/>
      <c r="GLI33" s="16"/>
      <c r="GLJ33" s="16"/>
      <c r="GLK33" s="16"/>
      <c r="GLL33" s="16"/>
      <c r="GLM33" s="16"/>
      <c r="GLN33" s="16"/>
      <c r="GLO33" s="16"/>
      <c r="GLP33" s="16"/>
      <c r="GLQ33" s="16"/>
      <c r="GLR33" s="16"/>
      <c r="GLS33" s="16"/>
      <c r="GLT33" s="16"/>
      <c r="GLU33" s="16"/>
      <c r="GLV33" s="16"/>
      <c r="GLW33" s="16"/>
      <c r="GLX33" s="16"/>
      <c r="GLY33" s="16"/>
      <c r="GLZ33" s="16"/>
      <c r="GMA33" s="16"/>
      <c r="GMB33" s="16"/>
      <c r="GMC33" s="16"/>
      <c r="GMD33" s="16"/>
      <c r="GME33" s="16"/>
      <c r="GMF33" s="16"/>
      <c r="GMG33" s="16"/>
      <c r="GMH33" s="16"/>
      <c r="GMI33" s="16"/>
      <c r="GMJ33" s="16"/>
      <c r="GMK33" s="16"/>
      <c r="GML33" s="16"/>
      <c r="GMM33" s="16"/>
      <c r="GMN33" s="16"/>
      <c r="GMO33" s="16"/>
      <c r="GMP33" s="16"/>
      <c r="GMQ33" s="16"/>
      <c r="GMR33" s="16"/>
      <c r="GMS33" s="16"/>
      <c r="GMT33" s="16"/>
      <c r="GMU33" s="16"/>
      <c r="GMV33" s="16"/>
      <c r="GMW33" s="16"/>
      <c r="GMX33" s="16"/>
      <c r="GMY33" s="16"/>
      <c r="GMZ33" s="16"/>
      <c r="GNA33" s="16"/>
      <c r="GNB33" s="16"/>
      <c r="GNC33" s="16"/>
      <c r="GND33" s="16"/>
      <c r="GNE33" s="16"/>
      <c r="GNF33" s="16"/>
      <c r="GNG33" s="16"/>
      <c r="GNH33" s="16"/>
      <c r="GNI33" s="16"/>
      <c r="GNJ33" s="16"/>
      <c r="GNK33" s="16"/>
      <c r="GNL33" s="16"/>
      <c r="GNM33" s="16"/>
      <c r="GNN33" s="16"/>
      <c r="GNO33" s="16"/>
      <c r="GNP33" s="16"/>
      <c r="GNQ33" s="16"/>
      <c r="GNR33" s="16"/>
      <c r="GNS33" s="16"/>
      <c r="GNT33" s="16"/>
      <c r="GNU33" s="16"/>
      <c r="GNV33" s="16"/>
      <c r="GNW33" s="16"/>
      <c r="GNX33" s="16"/>
      <c r="GNY33" s="16"/>
      <c r="GNZ33" s="16"/>
      <c r="GOA33" s="16"/>
      <c r="GOB33" s="16"/>
      <c r="GOC33" s="16"/>
      <c r="GOD33" s="16"/>
      <c r="GOE33" s="16"/>
      <c r="GOF33" s="16"/>
      <c r="GOG33" s="16"/>
      <c r="GOH33" s="16"/>
      <c r="GOI33" s="16"/>
      <c r="GOJ33" s="16"/>
      <c r="GOK33" s="16"/>
      <c r="GOL33" s="16"/>
      <c r="GOM33" s="16"/>
      <c r="GON33" s="16"/>
      <c r="GOO33" s="16"/>
      <c r="GOP33" s="16"/>
      <c r="GOQ33" s="16"/>
      <c r="GOR33" s="16"/>
      <c r="GOS33" s="16"/>
      <c r="GOT33" s="16"/>
      <c r="GOU33" s="16"/>
      <c r="GOV33" s="16"/>
      <c r="GOW33" s="16"/>
      <c r="GOX33" s="16"/>
      <c r="GOY33" s="16"/>
      <c r="GOZ33" s="16"/>
      <c r="GPA33" s="16"/>
      <c r="GPB33" s="16"/>
      <c r="GPC33" s="16"/>
      <c r="GPD33" s="16"/>
      <c r="GPE33" s="16"/>
      <c r="GPF33" s="16"/>
      <c r="GPG33" s="16"/>
      <c r="GPH33" s="16"/>
      <c r="GPI33" s="16"/>
      <c r="GPJ33" s="16"/>
      <c r="GPK33" s="16"/>
      <c r="GPL33" s="16"/>
      <c r="GPM33" s="16"/>
      <c r="GPN33" s="16"/>
      <c r="GPO33" s="16"/>
      <c r="GPP33" s="16"/>
      <c r="GPQ33" s="16"/>
      <c r="GPR33" s="16"/>
      <c r="GPS33" s="16"/>
      <c r="GPT33" s="16"/>
      <c r="GPU33" s="16"/>
      <c r="GPV33" s="16"/>
      <c r="GPW33" s="16"/>
      <c r="GPX33" s="16"/>
      <c r="GPY33" s="16"/>
      <c r="GPZ33" s="16"/>
      <c r="GQA33" s="16"/>
      <c r="GQB33" s="16"/>
      <c r="GQC33" s="16"/>
      <c r="GQD33" s="16"/>
      <c r="GQE33" s="16"/>
      <c r="GQF33" s="16"/>
      <c r="GQG33" s="16"/>
      <c r="GQH33" s="16"/>
      <c r="GQI33" s="16"/>
      <c r="GQJ33" s="16"/>
      <c r="GQK33" s="16"/>
      <c r="GQL33" s="16"/>
      <c r="GQM33" s="16"/>
      <c r="GQN33" s="16"/>
      <c r="GQO33" s="16"/>
      <c r="GQP33" s="16"/>
      <c r="GQQ33" s="16"/>
      <c r="GQR33" s="16"/>
      <c r="GQS33" s="16"/>
      <c r="GQT33" s="16"/>
      <c r="GQU33" s="16"/>
      <c r="GQV33" s="16"/>
      <c r="GQW33" s="16"/>
      <c r="GQX33" s="16"/>
      <c r="GQY33" s="16"/>
      <c r="GQZ33" s="16"/>
      <c r="GRA33" s="16"/>
      <c r="GRB33" s="16"/>
      <c r="GRC33" s="16"/>
      <c r="GRD33" s="16"/>
      <c r="GRE33" s="16"/>
      <c r="GRF33" s="16"/>
      <c r="GRG33" s="16"/>
      <c r="GRH33" s="16"/>
      <c r="GRI33" s="16"/>
      <c r="GRJ33" s="16"/>
      <c r="GRK33" s="16"/>
      <c r="GRL33" s="16"/>
      <c r="GRM33" s="16"/>
      <c r="GRN33" s="16"/>
      <c r="GRO33" s="16"/>
      <c r="GRP33" s="16"/>
      <c r="GRQ33" s="16"/>
      <c r="GRR33" s="16"/>
      <c r="GRS33" s="16"/>
      <c r="GRT33" s="16"/>
      <c r="GRU33" s="16"/>
      <c r="GRV33" s="16"/>
      <c r="GRW33" s="16"/>
      <c r="GRX33" s="16"/>
      <c r="GRY33" s="16"/>
      <c r="GRZ33" s="16"/>
      <c r="GSA33" s="16"/>
      <c r="GSB33" s="16"/>
      <c r="GSC33" s="16"/>
      <c r="GSD33" s="16"/>
      <c r="GSE33" s="16"/>
      <c r="GSF33" s="16"/>
      <c r="GSG33" s="16"/>
      <c r="GSH33" s="16"/>
      <c r="GSI33" s="16"/>
      <c r="GSJ33" s="16"/>
      <c r="GSK33" s="16"/>
      <c r="GSL33" s="16"/>
      <c r="GSM33" s="16"/>
      <c r="GSN33" s="16"/>
      <c r="GSO33" s="16"/>
      <c r="GSP33" s="16"/>
      <c r="GSQ33" s="16"/>
      <c r="GSR33" s="16"/>
      <c r="GSS33" s="16"/>
      <c r="GST33" s="16"/>
      <c r="GSU33" s="16"/>
      <c r="GSV33" s="16"/>
      <c r="GSW33" s="16"/>
      <c r="GSX33" s="16"/>
      <c r="GSY33" s="16"/>
      <c r="GSZ33" s="16"/>
      <c r="GTA33" s="16"/>
      <c r="GTB33" s="16"/>
      <c r="GTC33" s="16"/>
      <c r="GTD33" s="16"/>
      <c r="GTE33" s="16"/>
      <c r="GTF33" s="16"/>
      <c r="GTG33" s="16"/>
      <c r="GTH33" s="16"/>
      <c r="GTI33" s="16"/>
      <c r="GTJ33" s="16"/>
      <c r="GTK33" s="16"/>
      <c r="GTL33" s="16"/>
      <c r="GTM33" s="16"/>
      <c r="GTN33" s="16"/>
      <c r="GTO33" s="16"/>
      <c r="GTP33" s="16"/>
      <c r="GTQ33" s="16"/>
      <c r="GTR33" s="16"/>
      <c r="GTS33" s="16"/>
      <c r="GTT33" s="16"/>
      <c r="GTU33" s="16"/>
      <c r="GTV33" s="16"/>
      <c r="GTW33" s="16"/>
      <c r="GTX33" s="16"/>
      <c r="GTY33" s="16"/>
      <c r="GTZ33" s="16"/>
      <c r="GUA33" s="16"/>
      <c r="GUB33" s="16"/>
      <c r="GUC33" s="16"/>
      <c r="GUD33" s="16"/>
      <c r="GUE33" s="16"/>
      <c r="GUF33" s="16"/>
      <c r="GUG33" s="16"/>
      <c r="GUH33" s="16"/>
      <c r="GUI33" s="16"/>
      <c r="GUJ33" s="16"/>
      <c r="GUK33" s="16"/>
      <c r="GUL33" s="16"/>
      <c r="GUM33" s="16"/>
      <c r="GUN33" s="16"/>
      <c r="GUO33" s="16"/>
      <c r="GUP33" s="16"/>
      <c r="GUQ33" s="16"/>
      <c r="GUR33" s="16"/>
      <c r="GUS33" s="16"/>
      <c r="GUT33" s="16"/>
      <c r="GUU33" s="16"/>
      <c r="GUV33" s="16"/>
      <c r="GUW33" s="16"/>
      <c r="GUX33" s="16"/>
      <c r="GUY33" s="16"/>
      <c r="GUZ33" s="16"/>
      <c r="GVA33" s="16"/>
      <c r="GVB33" s="16"/>
      <c r="GVC33" s="16"/>
      <c r="GVD33" s="16"/>
      <c r="GVE33" s="16"/>
      <c r="GVF33" s="16"/>
      <c r="GVG33" s="16"/>
      <c r="GVH33" s="16"/>
      <c r="GVI33" s="16"/>
      <c r="GVJ33" s="16"/>
      <c r="GVK33" s="16"/>
      <c r="GVL33" s="16"/>
      <c r="GVM33" s="16"/>
      <c r="GVN33" s="16"/>
      <c r="GVO33" s="16"/>
      <c r="GVP33" s="16"/>
      <c r="GVQ33" s="16"/>
      <c r="GVR33" s="16"/>
      <c r="GVS33" s="16"/>
      <c r="GVT33" s="16"/>
      <c r="GVU33" s="16"/>
      <c r="GVV33" s="16"/>
      <c r="GVW33" s="16"/>
      <c r="GVX33" s="16"/>
      <c r="GVY33" s="16"/>
      <c r="GVZ33" s="16"/>
      <c r="GWA33" s="16"/>
      <c r="GWB33" s="16"/>
      <c r="GWC33" s="16"/>
      <c r="GWD33" s="16"/>
      <c r="GWE33" s="16"/>
      <c r="GWF33" s="16"/>
      <c r="GWG33" s="16"/>
      <c r="GWH33" s="16"/>
      <c r="GWI33" s="16"/>
      <c r="GWJ33" s="16"/>
      <c r="GWK33" s="16"/>
      <c r="GWL33" s="16"/>
      <c r="GWM33" s="16"/>
      <c r="GWN33" s="16"/>
      <c r="GWO33" s="16"/>
      <c r="GWP33" s="16"/>
      <c r="GWQ33" s="16"/>
      <c r="GWR33" s="16"/>
      <c r="GWS33" s="16"/>
      <c r="GWT33" s="16"/>
      <c r="GWU33" s="16"/>
      <c r="GWV33" s="16"/>
      <c r="GWW33" s="16"/>
      <c r="GWX33" s="16"/>
      <c r="GWY33" s="16"/>
      <c r="GWZ33" s="16"/>
      <c r="GXA33" s="16"/>
      <c r="GXB33" s="16"/>
      <c r="GXC33" s="16"/>
      <c r="GXD33" s="16"/>
      <c r="GXE33" s="16"/>
      <c r="GXF33" s="16"/>
      <c r="GXG33" s="16"/>
      <c r="GXH33" s="16"/>
      <c r="GXI33" s="16"/>
      <c r="GXJ33" s="16"/>
      <c r="GXK33" s="16"/>
      <c r="GXL33" s="16"/>
      <c r="GXM33" s="16"/>
      <c r="GXN33" s="16"/>
      <c r="GXO33" s="16"/>
      <c r="GXP33" s="16"/>
      <c r="GXQ33" s="16"/>
      <c r="GXR33" s="16"/>
      <c r="GXS33" s="16"/>
      <c r="GXT33" s="16"/>
      <c r="GXU33" s="16"/>
      <c r="GXV33" s="16"/>
      <c r="GXW33" s="16"/>
      <c r="GXX33" s="16"/>
      <c r="GXY33" s="16"/>
      <c r="GXZ33" s="16"/>
      <c r="GYA33" s="16"/>
      <c r="GYB33" s="16"/>
      <c r="GYC33" s="16"/>
      <c r="GYD33" s="16"/>
      <c r="GYE33" s="16"/>
      <c r="GYF33" s="16"/>
      <c r="GYG33" s="16"/>
      <c r="GYH33" s="16"/>
      <c r="GYI33" s="16"/>
      <c r="GYJ33" s="16"/>
      <c r="GYK33" s="16"/>
      <c r="GYL33" s="16"/>
      <c r="GYM33" s="16"/>
      <c r="GYN33" s="16"/>
      <c r="GYO33" s="16"/>
      <c r="GYP33" s="16"/>
      <c r="GYQ33" s="16"/>
      <c r="GYR33" s="16"/>
      <c r="GYS33" s="16"/>
      <c r="GYT33" s="16"/>
      <c r="GYU33" s="16"/>
      <c r="GYV33" s="16"/>
      <c r="GYW33" s="16"/>
      <c r="GYX33" s="16"/>
      <c r="GYY33" s="16"/>
      <c r="GYZ33" s="16"/>
      <c r="GZA33" s="16"/>
      <c r="GZB33" s="16"/>
      <c r="GZC33" s="16"/>
      <c r="GZD33" s="16"/>
      <c r="GZE33" s="16"/>
      <c r="GZF33" s="16"/>
      <c r="GZG33" s="16"/>
      <c r="GZH33" s="16"/>
      <c r="GZI33" s="16"/>
      <c r="GZJ33" s="16"/>
      <c r="GZK33" s="16"/>
      <c r="GZL33" s="16"/>
      <c r="GZM33" s="16"/>
      <c r="GZN33" s="16"/>
      <c r="GZO33" s="16"/>
      <c r="GZP33" s="16"/>
      <c r="GZQ33" s="16"/>
      <c r="GZR33" s="16"/>
      <c r="GZS33" s="16"/>
      <c r="GZT33" s="16"/>
      <c r="GZU33" s="16"/>
      <c r="GZV33" s="16"/>
      <c r="GZW33" s="16"/>
      <c r="GZX33" s="16"/>
      <c r="GZY33" s="16"/>
      <c r="GZZ33" s="16"/>
      <c r="HAA33" s="16"/>
      <c r="HAB33" s="16"/>
      <c r="HAC33" s="16"/>
      <c r="HAD33" s="16"/>
      <c r="HAE33" s="16"/>
      <c r="HAF33" s="16"/>
      <c r="HAG33" s="16"/>
      <c r="HAH33" s="16"/>
      <c r="HAI33" s="16"/>
      <c r="HAJ33" s="16"/>
      <c r="HAK33" s="16"/>
      <c r="HAL33" s="16"/>
      <c r="HAM33" s="16"/>
      <c r="HAN33" s="16"/>
      <c r="HAO33" s="16"/>
      <c r="HAP33" s="16"/>
      <c r="HAQ33" s="16"/>
      <c r="HAR33" s="16"/>
      <c r="HAS33" s="16"/>
      <c r="HAT33" s="16"/>
      <c r="HAU33" s="16"/>
      <c r="HAV33" s="16"/>
      <c r="HAW33" s="16"/>
      <c r="HAX33" s="16"/>
      <c r="HAY33" s="16"/>
      <c r="HAZ33" s="16"/>
      <c r="HBA33" s="16"/>
      <c r="HBB33" s="16"/>
      <c r="HBC33" s="16"/>
      <c r="HBD33" s="16"/>
      <c r="HBE33" s="16"/>
      <c r="HBF33" s="16"/>
      <c r="HBG33" s="16"/>
      <c r="HBH33" s="16"/>
      <c r="HBI33" s="16"/>
      <c r="HBJ33" s="16"/>
      <c r="HBK33" s="16"/>
      <c r="HBL33" s="16"/>
      <c r="HBM33" s="16"/>
      <c r="HBN33" s="16"/>
      <c r="HBO33" s="16"/>
      <c r="HBP33" s="16"/>
      <c r="HBQ33" s="16"/>
      <c r="HBR33" s="16"/>
      <c r="HBS33" s="16"/>
      <c r="HBT33" s="16"/>
      <c r="HBU33" s="16"/>
      <c r="HBV33" s="16"/>
      <c r="HBW33" s="16"/>
      <c r="HBX33" s="16"/>
      <c r="HBY33" s="16"/>
      <c r="HBZ33" s="16"/>
      <c r="HCA33" s="16"/>
      <c r="HCB33" s="16"/>
      <c r="HCC33" s="16"/>
      <c r="HCD33" s="16"/>
      <c r="HCE33" s="16"/>
      <c r="HCF33" s="16"/>
      <c r="HCG33" s="16"/>
      <c r="HCH33" s="16"/>
      <c r="HCI33" s="16"/>
      <c r="HCJ33" s="16"/>
      <c r="HCK33" s="16"/>
      <c r="HCL33" s="16"/>
      <c r="HCM33" s="16"/>
      <c r="HCN33" s="16"/>
      <c r="HCO33" s="16"/>
      <c r="HCP33" s="16"/>
      <c r="HCQ33" s="16"/>
      <c r="HCR33" s="16"/>
      <c r="HCS33" s="16"/>
      <c r="HCT33" s="16"/>
      <c r="HCU33" s="16"/>
      <c r="HCV33" s="16"/>
      <c r="HCW33" s="16"/>
      <c r="HCX33" s="16"/>
      <c r="HCY33" s="16"/>
      <c r="HCZ33" s="16"/>
      <c r="HDA33" s="16"/>
      <c r="HDB33" s="16"/>
      <c r="HDC33" s="16"/>
      <c r="HDD33" s="16"/>
      <c r="HDE33" s="16"/>
      <c r="HDF33" s="16"/>
      <c r="HDG33" s="16"/>
      <c r="HDH33" s="16"/>
      <c r="HDI33" s="16"/>
      <c r="HDJ33" s="16"/>
      <c r="HDK33" s="16"/>
      <c r="HDL33" s="16"/>
      <c r="HDM33" s="16"/>
      <c r="HDN33" s="16"/>
      <c r="HDO33" s="16"/>
      <c r="HDP33" s="16"/>
      <c r="HDQ33" s="16"/>
      <c r="HDR33" s="16"/>
      <c r="HDS33" s="16"/>
      <c r="HDT33" s="16"/>
      <c r="HDU33" s="16"/>
      <c r="HDV33" s="16"/>
      <c r="HDW33" s="16"/>
      <c r="HDX33" s="16"/>
      <c r="HDY33" s="16"/>
      <c r="HDZ33" s="16"/>
      <c r="HEA33" s="16"/>
      <c r="HEB33" s="16"/>
      <c r="HEC33" s="16"/>
      <c r="HED33" s="16"/>
      <c r="HEE33" s="16"/>
      <c r="HEF33" s="16"/>
      <c r="HEG33" s="16"/>
      <c r="HEH33" s="16"/>
      <c r="HEI33" s="16"/>
      <c r="HEJ33" s="16"/>
      <c r="HEK33" s="16"/>
      <c r="HEL33" s="16"/>
      <c r="HEM33" s="16"/>
      <c r="HEN33" s="16"/>
      <c r="HEO33" s="16"/>
      <c r="HEP33" s="16"/>
      <c r="HEQ33" s="16"/>
      <c r="HER33" s="16"/>
      <c r="HES33" s="16"/>
      <c r="HET33" s="16"/>
      <c r="HEU33" s="16"/>
      <c r="HEV33" s="16"/>
      <c r="HEW33" s="16"/>
      <c r="HEX33" s="16"/>
      <c r="HEY33" s="16"/>
      <c r="HEZ33" s="16"/>
      <c r="HFA33" s="16"/>
      <c r="HFB33" s="16"/>
      <c r="HFC33" s="16"/>
      <c r="HFD33" s="16"/>
      <c r="HFE33" s="16"/>
      <c r="HFF33" s="16"/>
      <c r="HFG33" s="16"/>
      <c r="HFH33" s="16"/>
      <c r="HFI33" s="16"/>
      <c r="HFJ33" s="16"/>
      <c r="HFK33" s="16"/>
      <c r="HFL33" s="16"/>
      <c r="HFM33" s="16"/>
      <c r="HFN33" s="16"/>
      <c r="HFO33" s="16"/>
      <c r="HFP33" s="16"/>
      <c r="HFQ33" s="16"/>
      <c r="HFR33" s="16"/>
      <c r="HFS33" s="16"/>
      <c r="HFT33" s="16"/>
      <c r="HFU33" s="16"/>
      <c r="HFV33" s="16"/>
      <c r="HFW33" s="16"/>
      <c r="HFX33" s="16"/>
      <c r="HFY33" s="16"/>
      <c r="HFZ33" s="16"/>
      <c r="HGA33" s="16"/>
      <c r="HGB33" s="16"/>
      <c r="HGC33" s="16"/>
      <c r="HGD33" s="16"/>
      <c r="HGE33" s="16"/>
      <c r="HGF33" s="16"/>
      <c r="HGG33" s="16"/>
      <c r="HGH33" s="16"/>
      <c r="HGI33" s="16"/>
      <c r="HGJ33" s="16"/>
      <c r="HGK33" s="16"/>
      <c r="HGL33" s="16"/>
      <c r="HGM33" s="16"/>
      <c r="HGN33" s="16"/>
      <c r="HGO33" s="16"/>
      <c r="HGP33" s="16"/>
      <c r="HGQ33" s="16"/>
      <c r="HGR33" s="16"/>
      <c r="HGS33" s="16"/>
      <c r="HGT33" s="16"/>
      <c r="HGU33" s="16"/>
      <c r="HGV33" s="16"/>
      <c r="HGW33" s="16"/>
      <c r="HGX33" s="16"/>
      <c r="HGY33" s="16"/>
      <c r="HGZ33" s="16"/>
      <c r="HHA33" s="16"/>
      <c r="HHB33" s="16"/>
      <c r="HHC33" s="16"/>
      <c r="HHD33" s="16"/>
      <c r="HHE33" s="16"/>
      <c r="HHF33" s="16"/>
      <c r="HHG33" s="16"/>
      <c r="HHH33" s="16"/>
      <c r="HHI33" s="16"/>
      <c r="HHJ33" s="16"/>
      <c r="HHK33" s="16"/>
      <c r="HHL33" s="16"/>
      <c r="HHM33" s="16"/>
      <c r="HHN33" s="16"/>
      <c r="HHO33" s="16"/>
      <c r="HHP33" s="16"/>
      <c r="HHQ33" s="16"/>
      <c r="HHR33" s="16"/>
      <c r="HHS33" s="16"/>
      <c r="HHT33" s="16"/>
      <c r="HHU33" s="16"/>
      <c r="HHV33" s="16"/>
      <c r="HHW33" s="16"/>
      <c r="HHX33" s="16"/>
      <c r="HHY33" s="16"/>
      <c r="HHZ33" s="16"/>
      <c r="HIA33" s="16"/>
      <c r="HIB33" s="16"/>
      <c r="HIC33" s="16"/>
      <c r="HID33" s="16"/>
      <c r="HIE33" s="16"/>
      <c r="HIF33" s="16"/>
      <c r="HIG33" s="16"/>
      <c r="HIH33" s="16"/>
      <c r="HII33" s="16"/>
      <c r="HIJ33" s="16"/>
      <c r="HIK33" s="16"/>
      <c r="HIL33" s="16"/>
      <c r="HIM33" s="16"/>
      <c r="HIN33" s="16"/>
      <c r="HIO33" s="16"/>
      <c r="HIP33" s="16"/>
      <c r="HIQ33" s="16"/>
      <c r="HIR33" s="16"/>
      <c r="HIS33" s="16"/>
      <c r="HIT33" s="16"/>
      <c r="HIU33" s="16"/>
      <c r="HIV33" s="16"/>
      <c r="HIW33" s="16"/>
      <c r="HIX33" s="16"/>
      <c r="HIY33" s="16"/>
      <c r="HIZ33" s="16"/>
      <c r="HJA33" s="16"/>
      <c r="HJB33" s="16"/>
      <c r="HJC33" s="16"/>
      <c r="HJD33" s="16"/>
      <c r="HJE33" s="16"/>
      <c r="HJF33" s="16"/>
      <c r="HJG33" s="16"/>
      <c r="HJH33" s="16"/>
      <c r="HJI33" s="16"/>
      <c r="HJJ33" s="16"/>
      <c r="HJK33" s="16"/>
      <c r="HJL33" s="16"/>
      <c r="HJM33" s="16"/>
      <c r="HJN33" s="16"/>
      <c r="HJO33" s="16"/>
      <c r="HJP33" s="16"/>
      <c r="HJQ33" s="16"/>
      <c r="HJR33" s="16"/>
      <c r="HJS33" s="16"/>
      <c r="HJT33" s="16"/>
      <c r="HJU33" s="16"/>
      <c r="HJV33" s="16"/>
      <c r="HJW33" s="16"/>
      <c r="HJX33" s="16"/>
      <c r="HJY33" s="16"/>
      <c r="HJZ33" s="16"/>
      <c r="HKA33" s="16"/>
      <c r="HKB33" s="16"/>
      <c r="HKC33" s="16"/>
      <c r="HKD33" s="16"/>
      <c r="HKE33" s="16"/>
      <c r="HKF33" s="16"/>
      <c r="HKG33" s="16"/>
      <c r="HKH33" s="16"/>
      <c r="HKI33" s="16"/>
      <c r="HKJ33" s="16"/>
      <c r="HKK33" s="16"/>
      <c r="HKL33" s="16"/>
      <c r="HKM33" s="16"/>
      <c r="HKN33" s="16"/>
      <c r="HKO33" s="16"/>
      <c r="HKP33" s="16"/>
      <c r="HKQ33" s="16"/>
      <c r="HKR33" s="16"/>
      <c r="HKS33" s="16"/>
      <c r="HKT33" s="16"/>
      <c r="HKU33" s="16"/>
      <c r="HKV33" s="16"/>
      <c r="HKW33" s="16"/>
      <c r="HKX33" s="16"/>
      <c r="HKY33" s="16"/>
      <c r="HKZ33" s="16"/>
      <c r="HLA33" s="16"/>
      <c r="HLB33" s="16"/>
      <c r="HLC33" s="16"/>
      <c r="HLD33" s="16"/>
      <c r="HLE33" s="16"/>
      <c r="HLF33" s="16"/>
      <c r="HLG33" s="16"/>
      <c r="HLH33" s="16"/>
      <c r="HLI33" s="16"/>
      <c r="HLJ33" s="16"/>
      <c r="HLK33" s="16"/>
      <c r="HLL33" s="16"/>
      <c r="HLM33" s="16"/>
      <c r="HLN33" s="16"/>
      <c r="HLO33" s="16"/>
      <c r="HLP33" s="16"/>
      <c r="HLQ33" s="16"/>
      <c r="HLR33" s="16"/>
      <c r="HLS33" s="16"/>
      <c r="HLT33" s="16"/>
      <c r="HLU33" s="16"/>
      <c r="HLV33" s="16"/>
      <c r="HLW33" s="16"/>
      <c r="HLX33" s="16"/>
      <c r="HLY33" s="16"/>
      <c r="HLZ33" s="16"/>
      <c r="HMA33" s="16"/>
      <c r="HMB33" s="16"/>
      <c r="HMC33" s="16"/>
      <c r="HMD33" s="16"/>
      <c r="HME33" s="16"/>
      <c r="HMF33" s="16"/>
      <c r="HMG33" s="16"/>
      <c r="HMH33" s="16"/>
      <c r="HMI33" s="16"/>
      <c r="HMJ33" s="16"/>
      <c r="HMK33" s="16"/>
      <c r="HML33" s="16"/>
      <c r="HMM33" s="16"/>
      <c r="HMN33" s="16"/>
      <c r="HMO33" s="16"/>
      <c r="HMP33" s="16"/>
      <c r="HMQ33" s="16"/>
      <c r="HMR33" s="16"/>
      <c r="HMS33" s="16"/>
      <c r="HMT33" s="16"/>
      <c r="HMU33" s="16"/>
      <c r="HMV33" s="16"/>
      <c r="HMW33" s="16"/>
      <c r="HMX33" s="16"/>
      <c r="HMY33" s="16"/>
      <c r="HMZ33" s="16"/>
      <c r="HNA33" s="16"/>
      <c r="HNB33" s="16"/>
      <c r="HNC33" s="16"/>
      <c r="HND33" s="16"/>
      <c r="HNE33" s="16"/>
      <c r="HNF33" s="16"/>
      <c r="HNG33" s="16"/>
      <c r="HNH33" s="16"/>
      <c r="HNI33" s="16"/>
      <c r="HNJ33" s="16"/>
      <c r="HNK33" s="16"/>
      <c r="HNL33" s="16"/>
      <c r="HNM33" s="16"/>
      <c r="HNN33" s="16"/>
      <c r="HNO33" s="16"/>
      <c r="HNP33" s="16"/>
      <c r="HNQ33" s="16"/>
      <c r="HNR33" s="16"/>
      <c r="HNS33" s="16"/>
      <c r="HNT33" s="16"/>
      <c r="HNU33" s="16"/>
      <c r="HNV33" s="16"/>
      <c r="HNW33" s="16"/>
      <c r="HNX33" s="16"/>
      <c r="HNY33" s="16"/>
      <c r="HNZ33" s="16"/>
      <c r="HOA33" s="16"/>
      <c r="HOB33" s="16"/>
      <c r="HOC33" s="16"/>
      <c r="HOD33" s="16"/>
      <c r="HOE33" s="16"/>
      <c r="HOF33" s="16"/>
      <c r="HOG33" s="16"/>
      <c r="HOH33" s="16"/>
      <c r="HOI33" s="16"/>
      <c r="HOJ33" s="16"/>
      <c r="HOK33" s="16"/>
      <c r="HOL33" s="16"/>
      <c r="HOM33" s="16"/>
      <c r="HON33" s="16"/>
      <c r="HOO33" s="16"/>
      <c r="HOP33" s="16"/>
      <c r="HOQ33" s="16"/>
      <c r="HOR33" s="16"/>
      <c r="HOS33" s="16"/>
      <c r="HOT33" s="16"/>
      <c r="HOU33" s="16"/>
      <c r="HOV33" s="16"/>
      <c r="HOW33" s="16"/>
      <c r="HOX33" s="16"/>
      <c r="HOY33" s="16"/>
      <c r="HOZ33" s="16"/>
      <c r="HPA33" s="16"/>
      <c r="HPB33" s="16"/>
      <c r="HPC33" s="16"/>
      <c r="HPD33" s="16"/>
      <c r="HPE33" s="16"/>
      <c r="HPF33" s="16"/>
      <c r="HPG33" s="16"/>
      <c r="HPH33" s="16"/>
      <c r="HPI33" s="16"/>
      <c r="HPJ33" s="16"/>
      <c r="HPK33" s="16"/>
      <c r="HPL33" s="16"/>
      <c r="HPM33" s="16"/>
      <c r="HPN33" s="16"/>
      <c r="HPO33" s="16"/>
      <c r="HPP33" s="16"/>
      <c r="HPQ33" s="16"/>
      <c r="HPR33" s="16"/>
      <c r="HPS33" s="16"/>
      <c r="HPT33" s="16"/>
      <c r="HPU33" s="16"/>
      <c r="HPV33" s="16"/>
      <c r="HPW33" s="16"/>
      <c r="HPX33" s="16"/>
      <c r="HPY33" s="16"/>
      <c r="HPZ33" s="16"/>
      <c r="HQA33" s="16"/>
      <c r="HQB33" s="16"/>
      <c r="HQC33" s="16"/>
      <c r="HQD33" s="16"/>
      <c r="HQE33" s="16"/>
      <c r="HQF33" s="16"/>
      <c r="HQG33" s="16"/>
      <c r="HQH33" s="16"/>
      <c r="HQI33" s="16"/>
      <c r="HQJ33" s="16"/>
      <c r="HQK33" s="16"/>
      <c r="HQL33" s="16"/>
      <c r="HQM33" s="16"/>
      <c r="HQN33" s="16"/>
      <c r="HQO33" s="16"/>
      <c r="HQP33" s="16"/>
      <c r="HQQ33" s="16"/>
      <c r="HQR33" s="16"/>
      <c r="HQS33" s="16"/>
      <c r="HQT33" s="16"/>
      <c r="HQU33" s="16"/>
      <c r="HQV33" s="16"/>
      <c r="HQW33" s="16"/>
      <c r="HQX33" s="16"/>
      <c r="HQY33" s="16"/>
      <c r="HQZ33" s="16"/>
      <c r="HRA33" s="16"/>
      <c r="HRB33" s="16"/>
      <c r="HRC33" s="16"/>
      <c r="HRD33" s="16"/>
      <c r="HRE33" s="16"/>
      <c r="HRF33" s="16"/>
      <c r="HRG33" s="16"/>
      <c r="HRH33" s="16"/>
      <c r="HRI33" s="16"/>
      <c r="HRJ33" s="16"/>
      <c r="HRK33" s="16"/>
      <c r="HRL33" s="16"/>
      <c r="HRM33" s="16"/>
      <c r="HRN33" s="16"/>
      <c r="HRO33" s="16"/>
      <c r="HRP33" s="16"/>
      <c r="HRQ33" s="16"/>
      <c r="HRR33" s="16"/>
      <c r="HRS33" s="16"/>
      <c r="HRT33" s="16"/>
      <c r="HRU33" s="16"/>
      <c r="HRV33" s="16"/>
      <c r="HRW33" s="16"/>
      <c r="HRX33" s="16"/>
      <c r="HRY33" s="16"/>
      <c r="HRZ33" s="16"/>
      <c r="HSA33" s="16"/>
      <c r="HSB33" s="16"/>
      <c r="HSC33" s="16"/>
      <c r="HSD33" s="16"/>
      <c r="HSE33" s="16"/>
      <c r="HSF33" s="16"/>
      <c r="HSG33" s="16"/>
      <c r="HSH33" s="16"/>
      <c r="HSI33" s="16"/>
      <c r="HSJ33" s="16"/>
      <c r="HSK33" s="16"/>
      <c r="HSL33" s="16"/>
      <c r="HSM33" s="16"/>
      <c r="HSN33" s="16"/>
      <c r="HSO33" s="16"/>
      <c r="HSP33" s="16"/>
      <c r="HSQ33" s="16"/>
      <c r="HSR33" s="16"/>
      <c r="HSS33" s="16"/>
      <c r="HST33" s="16"/>
      <c r="HSU33" s="16"/>
      <c r="HSV33" s="16"/>
      <c r="HSW33" s="16"/>
      <c r="HSX33" s="16"/>
      <c r="HSY33" s="16"/>
      <c r="HSZ33" s="16"/>
      <c r="HTA33" s="16"/>
      <c r="HTB33" s="16"/>
      <c r="HTC33" s="16"/>
      <c r="HTD33" s="16"/>
      <c r="HTE33" s="16"/>
      <c r="HTF33" s="16"/>
      <c r="HTG33" s="16"/>
      <c r="HTH33" s="16"/>
      <c r="HTI33" s="16"/>
      <c r="HTJ33" s="16"/>
      <c r="HTK33" s="16"/>
      <c r="HTL33" s="16"/>
      <c r="HTM33" s="16"/>
      <c r="HTN33" s="16"/>
      <c r="HTO33" s="16"/>
      <c r="HTP33" s="16"/>
      <c r="HTQ33" s="16"/>
      <c r="HTR33" s="16"/>
      <c r="HTS33" s="16"/>
      <c r="HTT33" s="16"/>
      <c r="HTU33" s="16"/>
      <c r="HTV33" s="16"/>
      <c r="HTW33" s="16"/>
      <c r="HTX33" s="16"/>
      <c r="HTY33" s="16"/>
      <c r="HTZ33" s="16"/>
      <c r="HUA33" s="16"/>
      <c r="HUB33" s="16"/>
      <c r="HUC33" s="16"/>
      <c r="HUD33" s="16"/>
      <c r="HUE33" s="16"/>
      <c r="HUF33" s="16"/>
      <c r="HUG33" s="16"/>
      <c r="HUH33" s="16"/>
      <c r="HUI33" s="16"/>
      <c r="HUJ33" s="16"/>
      <c r="HUK33" s="16"/>
      <c r="HUL33" s="16"/>
      <c r="HUM33" s="16"/>
      <c r="HUN33" s="16"/>
      <c r="HUO33" s="16"/>
      <c r="HUP33" s="16"/>
      <c r="HUQ33" s="16"/>
      <c r="HUR33" s="16"/>
      <c r="HUS33" s="16"/>
      <c r="HUT33" s="16"/>
      <c r="HUU33" s="16"/>
      <c r="HUV33" s="16"/>
      <c r="HUW33" s="16"/>
      <c r="HUX33" s="16"/>
      <c r="HUY33" s="16"/>
      <c r="HUZ33" s="16"/>
      <c r="HVA33" s="16"/>
      <c r="HVB33" s="16"/>
      <c r="HVC33" s="16"/>
      <c r="HVD33" s="16"/>
      <c r="HVE33" s="16"/>
      <c r="HVF33" s="16"/>
      <c r="HVG33" s="16"/>
      <c r="HVH33" s="16"/>
      <c r="HVI33" s="16"/>
      <c r="HVJ33" s="16"/>
      <c r="HVK33" s="16"/>
      <c r="HVL33" s="16"/>
      <c r="HVM33" s="16"/>
      <c r="HVN33" s="16"/>
      <c r="HVO33" s="16"/>
      <c r="HVP33" s="16"/>
      <c r="HVQ33" s="16"/>
      <c r="HVR33" s="16"/>
      <c r="HVS33" s="16"/>
      <c r="HVT33" s="16"/>
      <c r="HVU33" s="16"/>
      <c r="HVV33" s="16"/>
      <c r="HVW33" s="16"/>
      <c r="HVX33" s="16"/>
      <c r="HVY33" s="16"/>
      <c r="HVZ33" s="16"/>
      <c r="HWA33" s="16"/>
      <c r="HWB33" s="16"/>
      <c r="HWC33" s="16"/>
      <c r="HWD33" s="16"/>
      <c r="HWE33" s="16"/>
      <c r="HWF33" s="16"/>
      <c r="HWG33" s="16"/>
      <c r="HWH33" s="16"/>
      <c r="HWI33" s="16"/>
      <c r="HWJ33" s="16"/>
      <c r="HWK33" s="16"/>
      <c r="HWL33" s="16"/>
      <c r="HWM33" s="16"/>
      <c r="HWN33" s="16"/>
      <c r="HWO33" s="16"/>
      <c r="HWP33" s="16"/>
      <c r="HWQ33" s="16"/>
      <c r="HWR33" s="16"/>
      <c r="HWS33" s="16"/>
      <c r="HWT33" s="16"/>
      <c r="HWU33" s="16"/>
      <c r="HWV33" s="16"/>
      <c r="HWW33" s="16"/>
      <c r="HWX33" s="16"/>
      <c r="HWY33" s="16"/>
      <c r="HWZ33" s="16"/>
      <c r="HXA33" s="16"/>
      <c r="HXB33" s="16"/>
      <c r="HXC33" s="16"/>
      <c r="HXD33" s="16"/>
      <c r="HXE33" s="16"/>
      <c r="HXF33" s="16"/>
      <c r="HXG33" s="16"/>
      <c r="HXH33" s="16"/>
      <c r="HXI33" s="16"/>
      <c r="HXJ33" s="16"/>
      <c r="HXK33" s="16"/>
      <c r="HXL33" s="16"/>
      <c r="HXM33" s="16"/>
      <c r="HXN33" s="16"/>
      <c r="HXO33" s="16"/>
      <c r="HXP33" s="16"/>
      <c r="HXQ33" s="16"/>
      <c r="HXR33" s="16"/>
      <c r="HXS33" s="16"/>
      <c r="HXT33" s="16"/>
      <c r="HXU33" s="16"/>
      <c r="HXV33" s="16"/>
      <c r="HXW33" s="16"/>
      <c r="HXX33" s="16"/>
      <c r="HXY33" s="16"/>
      <c r="HXZ33" s="16"/>
      <c r="HYA33" s="16"/>
      <c r="HYB33" s="16"/>
      <c r="HYC33" s="16"/>
      <c r="HYD33" s="16"/>
      <c r="HYE33" s="16"/>
      <c r="HYF33" s="16"/>
      <c r="HYG33" s="16"/>
      <c r="HYH33" s="16"/>
      <c r="HYI33" s="16"/>
      <c r="HYJ33" s="16"/>
      <c r="HYK33" s="16"/>
      <c r="HYL33" s="16"/>
      <c r="HYM33" s="16"/>
      <c r="HYN33" s="16"/>
      <c r="HYO33" s="16"/>
      <c r="HYP33" s="16"/>
      <c r="HYQ33" s="16"/>
      <c r="HYR33" s="16"/>
      <c r="HYS33" s="16"/>
      <c r="HYT33" s="16"/>
      <c r="HYU33" s="16"/>
      <c r="HYV33" s="16"/>
      <c r="HYW33" s="16"/>
      <c r="HYX33" s="16"/>
      <c r="HYY33" s="16"/>
      <c r="HYZ33" s="16"/>
      <c r="HZA33" s="16"/>
      <c r="HZB33" s="16"/>
      <c r="HZC33" s="16"/>
      <c r="HZD33" s="16"/>
      <c r="HZE33" s="16"/>
      <c r="HZF33" s="16"/>
      <c r="HZG33" s="16"/>
      <c r="HZH33" s="16"/>
      <c r="HZI33" s="16"/>
      <c r="HZJ33" s="16"/>
      <c r="HZK33" s="16"/>
      <c r="HZL33" s="16"/>
      <c r="HZM33" s="16"/>
      <c r="HZN33" s="16"/>
      <c r="HZO33" s="16"/>
      <c r="HZP33" s="16"/>
      <c r="HZQ33" s="16"/>
      <c r="HZR33" s="16"/>
      <c r="HZS33" s="16"/>
      <c r="HZT33" s="16"/>
      <c r="HZU33" s="16"/>
      <c r="HZV33" s="16"/>
      <c r="HZW33" s="16"/>
      <c r="HZX33" s="16"/>
      <c r="HZY33" s="16"/>
      <c r="HZZ33" s="16"/>
      <c r="IAA33" s="16"/>
      <c r="IAB33" s="16"/>
      <c r="IAC33" s="16"/>
      <c r="IAD33" s="16"/>
      <c r="IAE33" s="16"/>
      <c r="IAF33" s="16"/>
      <c r="IAG33" s="16"/>
      <c r="IAH33" s="16"/>
      <c r="IAI33" s="16"/>
      <c r="IAJ33" s="16"/>
      <c r="IAK33" s="16"/>
      <c r="IAL33" s="16"/>
      <c r="IAM33" s="16"/>
      <c r="IAN33" s="16"/>
      <c r="IAO33" s="16"/>
      <c r="IAP33" s="16"/>
      <c r="IAQ33" s="16"/>
      <c r="IAR33" s="16"/>
      <c r="IAS33" s="16"/>
      <c r="IAT33" s="16"/>
      <c r="IAU33" s="16"/>
      <c r="IAV33" s="16"/>
      <c r="IAW33" s="16"/>
      <c r="IAX33" s="16"/>
      <c r="IAY33" s="16"/>
      <c r="IAZ33" s="16"/>
      <c r="IBA33" s="16"/>
      <c r="IBB33" s="16"/>
      <c r="IBC33" s="16"/>
      <c r="IBD33" s="16"/>
      <c r="IBE33" s="16"/>
      <c r="IBF33" s="16"/>
      <c r="IBG33" s="16"/>
      <c r="IBH33" s="16"/>
      <c r="IBI33" s="16"/>
      <c r="IBJ33" s="16"/>
      <c r="IBK33" s="16"/>
      <c r="IBL33" s="16"/>
      <c r="IBM33" s="16"/>
      <c r="IBN33" s="16"/>
      <c r="IBO33" s="16"/>
      <c r="IBP33" s="16"/>
      <c r="IBQ33" s="16"/>
      <c r="IBR33" s="16"/>
      <c r="IBS33" s="16"/>
      <c r="IBT33" s="16"/>
      <c r="IBU33" s="16"/>
      <c r="IBV33" s="16"/>
      <c r="IBW33" s="16"/>
      <c r="IBX33" s="16"/>
      <c r="IBY33" s="16"/>
      <c r="IBZ33" s="16"/>
      <c r="ICA33" s="16"/>
      <c r="ICB33" s="16"/>
      <c r="ICC33" s="16"/>
      <c r="ICD33" s="16"/>
      <c r="ICE33" s="16"/>
      <c r="ICF33" s="16"/>
      <c r="ICG33" s="16"/>
      <c r="ICH33" s="16"/>
      <c r="ICI33" s="16"/>
      <c r="ICJ33" s="16"/>
      <c r="ICK33" s="16"/>
      <c r="ICL33" s="16"/>
      <c r="ICM33" s="16"/>
      <c r="ICN33" s="16"/>
      <c r="ICO33" s="16"/>
      <c r="ICP33" s="16"/>
      <c r="ICQ33" s="16"/>
      <c r="ICR33" s="16"/>
      <c r="ICS33" s="16"/>
      <c r="ICT33" s="16"/>
      <c r="ICU33" s="16"/>
      <c r="ICV33" s="16"/>
      <c r="ICW33" s="16"/>
      <c r="ICX33" s="16"/>
      <c r="ICY33" s="16"/>
      <c r="ICZ33" s="16"/>
      <c r="IDA33" s="16"/>
      <c r="IDB33" s="16"/>
      <c r="IDC33" s="16"/>
      <c r="IDD33" s="16"/>
      <c r="IDE33" s="16"/>
      <c r="IDF33" s="16"/>
      <c r="IDG33" s="16"/>
      <c r="IDH33" s="16"/>
      <c r="IDI33" s="16"/>
      <c r="IDJ33" s="16"/>
      <c r="IDK33" s="16"/>
      <c r="IDL33" s="16"/>
      <c r="IDM33" s="16"/>
      <c r="IDN33" s="16"/>
      <c r="IDO33" s="16"/>
      <c r="IDP33" s="16"/>
      <c r="IDQ33" s="16"/>
      <c r="IDR33" s="16"/>
      <c r="IDS33" s="16"/>
      <c r="IDT33" s="16"/>
      <c r="IDU33" s="16"/>
      <c r="IDV33" s="16"/>
      <c r="IDW33" s="16"/>
      <c r="IDX33" s="16"/>
      <c r="IDY33" s="16"/>
      <c r="IDZ33" s="16"/>
      <c r="IEA33" s="16"/>
      <c r="IEB33" s="16"/>
      <c r="IEC33" s="16"/>
      <c r="IED33" s="16"/>
      <c r="IEE33" s="16"/>
      <c r="IEF33" s="16"/>
      <c r="IEG33" s="16"/>
      <c r="IEH33" s="16"/>
      <c r="IEI33" s="16"/>
      <c r="IEJ33" s="16"/>
      <c r="IEK33" s="16"/>
      <c r="IEL33" s="16"/>
      <c r="IEM33" s="16"/>
      <c r="IEN33" s="16"/>
      <c r="IEO33" s="16"/>
      <c r="IEP33" s="16"/>
      <c r="IEQ33" s="16"/>
      <c r="IER33" s="16"/>
      <c r="IES33" s="16"/>
      <c r="IET33" s="16"/>
      <c r="IEU33" s="16"/>
      <c r="IEV33" s="16"/>
      <c r="IEW33" s="16"/>
      <c r="IEX33" s="16"/>
      <c r="IEY33" s="16"/>
      <c r="IEZ33" s="16"/>
      <c r="IFA33" s="16"/>
      <c r="IFB33" s="16"/>
      <c r="IFC33" s="16"/>
      <c r="IFD33" s="16"/>
      <c r="IFE33" s="16"/>
      <c r="IFF33" s="16"/>
      <c r="IFG33" s="16"/>
      <c r="IFH33" s="16"/>
      <c r="IFI33" s="16"/>
      <c r="IFJ33" s="16"/>
      <c r="IFK33" s="16"/>
      <c r="IFL33" s="16"/>
      <c r="IFM33" s="16"/>
      <c r="IFN33" s="16"/>
      <c r="IFO33" s="16"/>
      <c r="IFP33" s="16"/>
      <c r="IFQ33" s="16"/>
      <c r="IFR33" s="16"/>
      <c r="IFS33" s="16"/>
      <c r="IFT33" s="16"/>
      <c r="IFU33" s="16"/>
      <c r="IFV33" s="16"/>
      <c r="IFW33" s="16"/>
      <c r="IFX33" s="16"/>
      <c r="IFY33" s="16"/>
      <c r="IFZ33" s="16"/>
      <c r="IGA33" s="16"/>
      <c r="IGB33" s="16"/>
      <c r="IGC33" s="16"/>
      <c r="IGD33" s="16"/>
      <c r="IGE33" s="16"/>
      <c r="IGF33" s="16"/>
      <c r="IGG33" s="16"/>
      <c r="IGH33" s="16"/>
      <c r="IGI33" s="16"/>
      <c r="IGJ33" s="16"/>
      <c r="IGK33" s="16"/>
      <c r="IGL33" s="16"/>
      <c r="IGM33" s="16"/>
      <c r="IGN33" s="16"/>
      <c r="IGO33" s="16"/>
      <c r="IGP33" s="16"/>
      <c r="IGQ33" s="16"/>
      <c r="IGR33" s="16"/>
      <c r="IGS33" s="16"/>
      <c r="IGT33" s="16"/>
      <c r="IGU33" s="16"/>
      <c r="IGV33" s="16"/>
      <c r="IGW33" s="16"/>
      <c r="IGX33" s="16"/>
      <c r="IGY33" s="16"/>
      <c r="IGZ33" s="16"/>
      <c r="IHA33" s="16"/>
      <c r="IHB33" s="16"/>
      <c r="IHC33" s="16"/>
      <c r="IHD33" s="16"/>
      <c r="IHE33" s="16"/>
      <c r="IHF33" s="16"/>
      <c r="IHG33" s="16"/>
      <c r="IHH33" s="16"/>
      <c r="IHI33" s="16"/>
      <c r="IHJ33" s="16"/>
      <c r="IHK33" s="16"/>
      <c r="IHL33" s="16"/>
      <c r="IHM33" s="16"/>
      <c r="IHN33" s="16"/>
      <c r="IHO33" s="16"/>
      <c r="IHP33" s="16"/>
      <c r="IHQ33" s="16"/>
      <c r="IHR33" s="16"/>
      <c r="IHS33" s="16"/>
      <c r="IHT33" s="16"/>
      <c r="IHU33" s="16"/>
      <c r="IHV33" s="16"/>
      <c r="IHW33" s="16"/>
      <c r="IHX33" s="16"/>
      <c r="IHY33" s="16"/>
      <c r="IHZ33" s="16"/>
      <c r="IIA33" s="16"/>
      <c r="IIB33" s="16"/>
      <c r="IIC33" s="16"/>
      <c r="IID33" s="16"/>
      <c r="IIE33" s="16"/>
      <c r="IIF33" s="16"/>
      <c r="IIG33" s="16"/>
      <c r="IIH33" s="16"/>
      <c r="III33" s="16"/>
      <c r="IIJ33" s="16"/>
      <c r="IIK33" s="16"/>
      <c r="IIL33" s="16"/>
      <c r="IIM33" s="16"/>
      <c r="IIN33" s="16"/>
      <c r="IIO33" s="16"/>
      <c r="IIP33" s="16"/>
      <c r="IIQ33" s="16"/>
      <c r="IIR33" s="16"/>
      <c r="IIS33" s="16"/>
      <c r="IIT33" s="16"/>
      <c r="IIU33" s="16"/>
      <c r="IIV33" s="16"/>
      <c r="IIW33" s="16"/>
      <c r="IIX33" s="16"/>
      <c r="IIY33" s="16"/>
      <c r="IIZ33" s="16"/>
      <c r="IJA33" s="16"/>
      <c r="IJB33" s="16"/>
      <c r="IJC33" s="16"/>
      <c r="IJD33" s="16"/>
      <c r="IJE33" s="16"/>
      <c r="IJF33" s="16"/>
      <c r="IJG33" s="16"/>
      <c r="IJH33" s="16"/>
      <c r="IJI33" s="16"/>
      <c r="IJJ33" s="16"/>
      <c r="IJK33" s="16"/>
      <c r="IJL33" s="16"/>
      <c r="IJM33" s="16"/>
      <c r="IJN33" s="16"/>
      <c r="IJO33" s="16"/>
      <c r="IJP33" s="16"/>
      <c r="IJQ33" s="16"/>
      <c r="IJR33" s="16"/>
      <c r="IJS33" s="16"/>
      <c r="IJT33" s="16"/>
      <c r="IJU33" s="16"/>
      <c r="IJV33" s="16"/>
      <c r="IJW33" s="16"/>
      <c r="IJX33" s="16"/>
      <c r="IJY33" s="16"/>
      <c r="IJZ33" s="16"/>
      <c r="IKA33" s="16"/>
      <c r="IKB33" s="16"/>
      <c r="IKC33" s="16"/>
      <c r="IKD33" s="16"/>
      <c r="IKE33" s="16"/>
      <c r="IKF33" s="16"/>
      <c r="IKG33" s="16"/>
      <c r="IKH33" s="16"/>
      <c r="IKI33" s="16"/>
      <c r="IKJ33" s="16"/>
      <c r="IKK33" s="16"/>
      <c r="IKL33" s="16"/>
      <c r="IKM33" s="16"/>
      <c r="IKN33" s="16"/>
      <c r="IKO33" s="16"/>
      <c r="IKP33" s="16"/>
      <c r="IKQ33" s="16"/>
      <c r="IKR33" s="16"/>
      <c r="IKS33" s="16"/>
      <c r="IKT33" s="16"/>
      <c r="IKU33" s="16"/>
      <c r="IKV33" s="16"/>
      <c r="IKW33" s="16"/>
      <c r="IKX33" s="16"/>
      <c r="IKY33" s="16"/>
      <c r="IKZ33" s="16"/>
      <c r="ILA33" s="16"/>
      <c r="ILB33" s="16"/>
      <c r="ILC33" s="16"/>
      <c r="ILD33" s="16"/>
      <c r="ILE33" s="16"/>
      <c r="ILF33" s="16"/>
      <c r="ILG33" s="16"/>
      <c r="ILH33" s="16"/>
      <c r="ILI33" s="16"/>
      <c r="ILJ33" s="16"/>
      <c r="ILK33" s="16"/>
      <c r="ILL33" s="16"/>
      <c r="ILM33" s="16"/>
      <c r="ILN33" s="16"/>
      <c r="ILO33" s="16"/>
      <c r="ILP33" s="16"/>
      <c r="ILQ33" s="16"/>
      <c r="ILR33" s="16"/>
      <c r="ILS33" s="16"/>
      <c r="ILT33" s="16"/>
      <c r="ILU33" s="16"/>
      <c r="ILV33" s="16"/>
      <c r="ILW33" s="16"/>
      <c r="ILX33" s="16"/>
      <c r="ILY33" s="16"/>
      <c r="ILZ33" s="16"/>
      <c r="IMA33" s="16"/>
      <c r="IMB33" s="16"/>
      <c r="IMC33" s="16"/>
      <c r="IMD33" s="16"/>
      <c r="IME33" s="16"/>
      <c r="IMF33" s="16"/>
      <c r="IMG33" s="16"/>
      <c r="IMH33" s="16"/>
      <c r="IMI33" s="16"/>
      <c r="IMJ33" s="16"/>
      <c r="IMK33" s="16"/>
      <c r="IML33" s="16"/>
      <c r="IMM33" s="16"/>
      <c r="IMN33" s="16"/>
      <c r="IMO33" s="16"/>
      <c r="IMP33" s="16"/>
      <c r="IMQ33" s="16"/>
      <c r="IMR33" s="16"/>
      <c r="IMS33" s="16"/>
      <c r="IMT33" s="16"/>
      <c r="IMU33" s="16"/>
      <c r="IMV33" s="16"/>
      <c r="IMW33" s="16"/>
      <c r="IMX33" s="16"/>
      <c r="IMY33" s="16"/>
      <c r="IMZ33" s="16"/>
      <c r="INA33" s="16"/>
      <c r="INB33" s="16"/>
      <c r="INC33" s="16"/>
      <c r="IND33" s="16"/>
      <c r="INE33" s="16"/>
      <c r="INF33" s="16"/>
      <c r="ING33" s="16"/>
      <c r="INH33" s="16"/>
      <c r="INI33" s="16"/>
      <c r="INJ33" s="16"/>
      <c r="INK33" s="16"/>
      <c r="INL33" s="16"/>
      <c r="INM33" s="16"/>
      <c r="INN33" s="16"/>
      <c r="INO33" s="16"/>
      <c r="INP33" s="16"/>
      <c r="INQ33" s="16"/>
      <c r="INR33" s="16"/>
      <c r="INS33" s="16"/>
      <c r="INT33" s="16"/>
      <c r="INU33" s="16"/>
      <c r="INV33" s="16"/>
      <c r="INW33" s="16"/>
      <c r="INX33" s="16"/>
      <c r="INY33" s="16"/>
      <c r="INZ33" s="16"/>
      <c r="IOA33" s="16"/>
      <c r="IOB33" s="16"/>
      <c r="IOC33" s="16"/>
      <c r="IOD33" s="16"/>
      <c r="IOE33" s="16"/>
      <c r="IOF33" s="16"/>
      <c r="IOG33" s="16"/>
      <c r="IOH33" s="16"/>
      <c r="IOI33" s="16"/>
      <c r="IOJ33" s="16"/>
      <c r="IOK33" s="16"/>
      <c r="IOL33" s="16"/>
      <c r="IOM33" s="16"/>
      <c r="ION33" s="16"/>
      <c r="IOO33" s="16"/>
      <c r="IOP33" s="16"/>
      <c r="IOQ33" s="16"/>
      <c r="IOR33" s="16"/>
      <c r="IOS33" s="16"/>
      <c r="IOT33" s="16"/>
      <c r="IOU33" s="16"/>
      <c r="IOV33" s="16"/>
      <c r="IOW33" s="16"/>
      <c r="IOX33" s="16"/>
      <c r="IOY33" s="16"/>
      <c r="IOZ33" s="16"/>
      <c r="IPA33" s="16"/>
      <c r="IPB33" s="16"/>
      <c r="IPC33" s="16"/>
      <c r="IPD33" s="16"/>
      <c r="IPE33" s="16"/>
      <c r="IPF33" s="16"/>
      <c r="IPG33" s="16"/>
      <c r="IPH33" s="16"/>
      <c r="IPI33" s="16"/>
      <c r="IPJ33" s="16"/>
      <c r="IPK33" s="16"/>
      <c r="IPL33" s="16"/>
      <c r="IPM33" s="16"/>
      <c r="IPN33" s="16"/>
      <c r="IPO33" s="16"/>
      <c r="IPP33" s="16"/>
      <c r="IPQ33" s="16"/>
      <c r="IPR33" s="16"/>
      <c r="IPS33" s="16"/>
      <c r="IPT33" s="16"/>
      <c r="IPU33" s="16"/>
      <c r="IPV33" s="16"/>
      <c r="IPW33" s="16"/>
      <c r="IPX33" s="16"/>
      <c r="IPY33" s="16"/>
      <c r="IPZ33" s="16"/>
      <c r="IQA33" s="16"/>
      <c r="IQB33" s="16"/>
      <c r="IQC33" s="16"/>
      <c r="IQD33" s="16"/>
      <c r="IQE33" s="16"/>
      <c r="IQF33" s="16"/>
      <c r="IQG33" s="16"/>
      <c r="IQH33" s="16"/>
      <c r="IQI33" s="16"/>
      <c r="IQJ33" s="16"/>
      <c r="IQK33" s="16"/>
      <c r="IQL33" s="16"/>
      <c r="IQM33" s="16"/>
      <c r="IQN33" s="16"/>
      <c r="IQO33" s="16"/>
      <c r="IQP33" s="16"/>
      <c r="IQQ33" s="16"/>
      <c r="IQR33" s="16"/>
      <c r="IQS33" s="16"/>
      <c r="IQT33" s="16"/>
      <c r="IQU33" s="16"/>
      <c r="IQV33" s="16"/>
      <c r="IQW33" s="16"/>
      <c r="IQX33" s="16"/>
      <c r="IQY33" s="16"/>
      <c r="IQZ33" s="16"/>
      <c r="IRA33" s="16"/>
      <c r="IRB33" s="16"/>
      <c r="IRC33" s="16"/>
      <c r="IRD33" s="16"/>
      <c r="IRE33" s="16"/>
      <c r="IRF33" s="16"/>
      <c r="IRG33" s="16"/>
      <c r="IRH33" s="16"/>
      <c r="IRI33" s="16"/>
      <c r="IRJ33" s="16"/>
      <c r="IRK33" s="16"/>
      <c r="IRL33" s="16"/>
      <c r="IRM33" s="16"/>
      <c r="IRN33" s="16"/>
      <c r="IRO33" s="16"/>
      <c r="IRP33" s="16"/>
      <c r="IRQ33" s="16"/>
      <c r="IRR33" s="16"/>
      <c r="IRS33" s="16"/>
      <c r="IRT33" s="16"/>
      <c r="IRU33" s="16"/>
      <c r="IRV33" s="16"/>
      <c r="IRW33" s="16"/>
      <c r="IRX33" s="16"/>
      <c r="IRY33" s="16"/>
      <c r="IRZ33" s="16"/>
      <c r="ISA33" s="16"/>
      <c r="ISB33" s="16"/>
      <c r="ISC33" s="16"/>
      <c r="ISD33" s="16"/>
      <c r="ISE33" s="16"/>
      <c r="ISF33" s="16"/>
      <c r="ISG33" s="16"/>
      <c r="ISH33" s="16"/>
      <c r="ISI33" s="16"/>
      <c r="ISJ33" s="16"/>
      <c r="ISK33" s="16"/>
      <c r="ISL33" s="16"/>
      <c r="ISM33" s="16"/>
      <c r="ISN33" s="16"/>
      <c r="ISO33" s="16"/>
      <c r="ISP33" s="16"/>
      <c r="ISQ33" s="16"/>
      <c r="ISR33" s="16"/>
      <c r="ISS33" s="16"/>
      <c r="IST33" s="16"/>
      <c r="ISU33" s="16"/>
      <c r="ISV33" s="16"/>
      <c r="ISW33" s="16"/>
      <c r="ISX33" s="16"/>
      <c r="ISY33" s="16"/>
      <c r="ISZ33" s="16"/>
      <c r="ITA33" s="16"/>
      <c r="ITB33" s="16"/>
      <c r="ITC33" s="16"/>
      <c r="ITD33" s="16"/>
      <c r="ITE33" s="16"/>
      <c r="ITF33" s="16"/>
      <c r="ITG33" s="16"/>
      <c r="ITH33" s="16"/>
      <c r="ITI33" s="16"/>
      <c r="ITJ33" s="16"/>
      <c r="ITK33" s="16"/>
      <c r="ITL33" s="16"/>
      <c r="ITM33" s="16"/>
      <c r="ITN33" s="16"/>
      <c r="ITO33" s="16"/>
      <c r="ITP33" s="16"/>
      <c r="ITQ33" s="16"/>
      <c r="ITR33" s="16"/>
      <c r="ITS33" s="16"/>
      <c r="ITT33" s="16"/>
      <c r="ITU33" s="16"/>
      <c r="ITV33" s="16"/>
      <c r="ITW33" s="16"/>
      <c r="ITX33" s="16"/>
      <c r="ITY33" s="16"/>
      <c r="ITZ33" s="16"/>
      <c r="IUA33" s="16"/>
      <c r="IUB33" s="16"/>
      <c r="IUC33" s="16"/>
      <c r="IUD33" s="16"/>
      <c r="IUE33" s="16"/>
      <c r="IUF33" s="16"/>
      <c r="IUG33" s="16"/>
      <c r="IUH33" s="16"/>
      <c r="IUI33" s="16"/>
      <c r="IUJ33" s="16"/>
      <c r="IUK33" s="16"/>
      <c r="IUL33" s="16"/>
      <c r="IUM33" s="16"/>
      <c r="IUN33" s="16"/>
      <c r="IUO33" s="16"/>
      <c r="IUP33" s="16"/>
      <c r="IUQ33" s="16"/>
      <c r="IUR33" s="16"/>
      <c r="IUS33" s="16"/>
      <c r="IUT33" s="16"/>
      <c r="IUU33" s="16"/>
      <c r="IUV33" s="16"/>
      <c r="IUW33" s="16"/>
      <c r="IUX33" s="16"/>
      <c r="IUY33" s="16"/>
      <c r="IUZ33" s="16"/>
      <c r="IVA33" s="16"/>
      <c r="IVB33" s="16"/>
      <c r="IVC33" s="16"/>
      <c r="IVD33" s="16"/>
      <c r="IVE33" s="16"/>
      <c r="IVF33" s="16"/>
      <c r="IVG33" s="16"/>
      <c r="IVH33" s="16"/>
      <c r="IVI33" s="16"/>
      <c r="IVJ33" s="16"/>
      <c r="IVK33" s="16"/>
      <c r="IVL33" s="16"/>
      <c r="IVM33" s="16"/>
      <c r="IVN33" s="16"/>
      <c r="IVO33" s="16"/>
      <c r="IVP33" s="16"/>
      <c r="IVQ33" s="16"/>
      <c r="IVR33" s="16"/>
      <c r="IVS33" s="16"/>
      <c r="IVT33" s="16"/>
      <c r="IVU33" s="16"/>
      <c r="IVV33" s="16"/>
      <c r="IVW33" s="16"/>
      <c r="IVX33" s="16"/>
      <c r="IVY33" s="16"/>
      <c r="IVZ33" s="16"/>
      <c r="IWA33" s="16"/>
      <c r="IWB33" s="16"/>
      <c r="IWC33" s="16"/>
      <c r="IWD33" s="16"/>
      <c r="IWE33" s="16"/>
      <c r="IWF33" s="16"/>
      <c r="IWG33" s="16"/>
      <c r="IWH33" s="16"/>
      <c r="IWI33" s="16"/>
      <c r="IWJ33" s="16"/>
      <c r="IWK33" s="16"/>
      <c r="IWL33" s="16"/>
      <c r="IWM33" s="16"/>
      <c r="IWN33" s="16"/>
      <c r="IWO33" s="16"/>
      <c r="IWP33" s="16"/>
      <c r="IWQ33" s="16"/>
      <c r="IWR33" s="16"/>
      <c r="IWS33" s="16"/>
      <c r="IWT33" s="16"/>
      <c r="IWU33" s="16"/>
      <c r="IWV33" s="16"/>
      <c r="IWW33" s="16"/>
      <c r="IWX33" s="16"/>
      <c r="IWY33" s="16"/>
      <c r="IWZ33" s="16"/>
      <c r="IXA33" s="16"/>
      <c r="IXB33" s="16"/>
      <c r="IXC33" s="16"/>
      <c r="IXD33" s="16"/>
      <c r="IXE33" s="16"/>
      <c r="IXF33" s="16"/>
      <c r="IXG33" s="16"/>
      <c r="IXH33" s="16"/>
      <c r="IXI33" s="16"/>
      <c r="IXJ33" s="16"/>
      <c r="IXK33" s="16"/>
      <c r="IXL33" s="16"/>
      <c r="IXM33" s="16"/>
      <c r="IXN33" s="16"/>
      <c r="IXO33" s="16"/>
      <c r="IXP33" s="16"/>
      <c r="IXQ33" s="16"/>
      <c r="IXR33" s="16"/>
      <c r="IXS33" s="16"/>
      <c r="IXT33" s="16"/>
      <c r="IXU33" s="16"/>
      <c r="IXV33" s="16"/>
      <c r="IXW33" s="16"/>
      <c r="IXX33" s="16"/>
      <c r="IXY33" s="16"/>
      <c r="IXZ33" s="16"/>
      <c r="IYA33" s="16"/>
      <c r="IYB33" s="16"/>
      <c r="IYC33" s="16"/>
      <c r="IYD33" s="16"/>
      <c r="IYE33" s="16"/>
      <c r="IYF33" s="16"/>
      <c r="IYG33" s="16"/>
      <c r="IYH33" s="16"/>
      <c r="IYI33" s="16"/>
      <c r="IYJ33" s="16"/>
      <c r="IYK33" s="16"/>
      <c r="IYL33" s="16"/>
      <c r="IYM33" s="16"/>
      <c r="IYN33" s="16"/>
      <c r="IYO33" s="16"/>
      <c r="IYP33" s="16"/>
      <c r="IYQ33" s="16"/>
      <c r="IYR33" s="16"/>
      <c r="IYS33" s="16"/>
      <c r="IYT33" s="16"/>
      <c r="IYU33" s="16"/>
      <c r="IYV33" s="16"/>
      <c r="IYW33" s="16"/>
      <c r="IYX33" s="16"/>
      <c r="IYY33" s="16"/>
      <c r="IYZ33" s="16"/>
      <c r="IZA33" s="16"/>
      <c r="IZB33" s="16"/>
      <c r="IZC33" s="16"/>
      <c r="IZD33" s="16"/>
      <c r="IZE33" s="16"/>
      <c r="IZF33" s="16"/>
      <c r="IZG33" s="16"/>
      <c r="IZH33" s="16"/>
      <c r="IZI33" s="16"/>
      <c r="IZJ33" s="16"/>
      <c r="IZK33" s="16"/>
      <c r="IZL33" s="16"/>
      <c r="IZM33" s="16"/>
      <c r="IZN33" s="16"/>
      <c r="IZO33" s="16"/>
      <c r="IZP33" s="16"/>
      <c r="IZQ33" s="16"/>
      <c r="IZR33" s="16"/>
      <c r="IZS33" s="16"/>
      <c r="IZT33" s="16"/>
      <c r="IZU33" s="16"/>
      <c r="IZV33" s="16"/>
      <c r="IZW33" s="16"/>
      <c r="IZX33" s="16"/>
      <c r="IZY33" s="16"/>
      <c r="IZZ33" s="16"/>
      <c r="JAA33" s="16"/>
      <c r="JAB33" s="16"/>
      <c r="JAC33" s="16"/>
      <c r="JAD33" s="16"/>
      <c r="JAE33" s="16"/>
      <c r="JAF33" s="16"/>
      <c r="JAG33" s="16"/>
      <c r="JAH33" s="16"/>
      <c r="JAI33" s="16"/>
      <c r="JAJ33" s="16"/>
      <c r="JAK33" s="16"/>
      <c r="JAL33" s="16"/>
      <c r="JAM33" s="16"/>
      <c r="JAN33" s="16"/>
      <c r="JAO33" s="16"/>
      <c r="JAP33" s="16"/>
      <c r="JAQ33" s="16"/>
      <c r="JAR33" s="16"/>
      <c r="JAS33" s="16"/>
      <c r="JAT33" s="16"/>
      <c r="JAU33" s="16"/>
      <c r="JAV33" s="16"/>
      <c r="JAW33" s="16"/>
      <c r="JAX33" s="16"/>
      <c r="JAY33" s="16"/>
      <c r="JAZ33" s="16"/>
      <c r="JBA33" s="16"/>
      <c r="JBB33" s="16"/>
      <c r="JBC33" s="16"/>
      <c r="JBD33" s="16"/>
      <c r="JBE33" s="16"/>
      <c r="JBF33" s="16"/>
      <c r="JBG33" s="16"/>
      <c r="JBH33" s="16"/>
      <c r="JBI33" s="16"/>
      <c r="JBJ33" s="16"/>
      <c r="JBK33" s="16"/>
      <c r="JBL33" s="16"/>
      <c r="JBM33" s="16"/>
      <c r="JBN33" s="16"/>
      <c r="JBO33" s="16"/>
      <c r="JBP33" s="16"/>
      <c r="JBQ33" s="16"/>
      <c r="JBR33" s="16"/>
      <c r="JBS33" s="16"/>
      <c r="JBT33" s="16"/>
      <c r="JBU33" s="16"/>
      <c r="JBV33" s="16"/>
      <c r="JBW33" s="16"/>
      <c r="JBX33" s="16"/>
      <c r="JBY33" s="16"/>
      <c r="JBZ33" s="16"/>
      <c r="JCA33" s="16"/>
      <c r="JCB33" s="16"/>
      <c r="JCC33" s="16"/>
      <c r="JCD33" s="16"/>
      <c r="JCE33" s="16"/>
      <c r="JCF33" s="16"/>
      <c r="JCG33" s="16"/>
      <c r="JCH33" s="16"/>
      <c r="JCI33" s="16"/>
      <c r="JCJ33" s="16"/>
      <c r="JCK33" s="16"/>
      <c r="JCL33" s="16"/>
      <c r="JCM33" s="16"/>
      <c r="JCN33" s="16"/>
      <c r="JCO33" s="16"/>
      <c r="JCP33" s="16"/>
      <c r="JCQ33" s="16"/>
      <c r="JCR33" s="16"/>
      <c r="JCS33" s="16"/>
      <c r="JCT33" s="16"/>
      <c r="JCU33" s="16"/>
      <c r="JCV33" s="16"/>
      <c r="JCW33" s="16"/>
      <c r="JCX33" s="16"/>
      <c r="JCY33" s="16"/>
      <c r="JCZ33" s="16"/>
      <c r="JDA33" s="16"/>
      <c r="JDB33" s="16"/>
      <c r="JDC33" s="16"/>
      <c r="JDD33" s="16"/>
      <c r="JDE33" s="16"/>
      <c r="JDF33" s="16"/>
      <c r="JDG33" s="16"/>
      <c r="JDH33" s="16"/>
      <c r="JDI33" s="16"/>
      <c r="JDJ33" s="16"/>
      <c r="JDK33" s="16"/>
      <c r="JDL33" s="16"/>
      <c r="JDM33" s="16"/>
      <c r="JDN33" s="16"/>
      <c r="JDO33" s="16"/>
      <c r="JDP33" s="16"/>
      <c r="JDQ33" s="16"/>
      <c r="JDR33" s="16"/>
      <c r="JDS33" s="16"/>
      <c r="JDT33" s="16"/>
      <c r="JDU33" s="16"/>
      <c r="JDV33" s="16"/>
      <c r="JDW33" s="16"/>
      <c r="JDX33" s="16"/>
      <c r="JDY33" s="16"/>
      <c r="JDZ33" s="16"/>
      <c r="JEA33" s="16"/>
      <c r="JEB33" s="16"/>
      <c r="JEC33" s="16"/>
      <c r="JED33" s="16"/>
      <c r="JEE33" s="16"/>
      <c r="JEF33" s="16"/>
      <c r="JEG33" s="16"/>
      <c r="JEH33" s="16"/>
      <c r="JEI33" s="16"/>
      <c r="JEJ33" s="16"/>
      <c r="JEK33" s="16"/>
      <c r="JEL33" s="16"/>
      <c r="JEM33" s="16"/>
      <c r="JEN33" s="16"/>
      <c r="JEO33" s="16"/>
      <c r="JEP33" s="16"/>
      <c r="JEQ33" s="16"/>
      <c r="JER33" s="16"/>
      <c r="JES33" s="16"/>
      <c r="JET33" s="16"/>
      <c r="JEU33" s="16"/>
      <c r="JEV33" s="16"/>
      <c r="JEW33" s="16"/>
      <c r="JEX33" s="16"/>
      <c r="JEY33" s="16"/>
      <c r="JEZ33" s="16"/>
      <c r="JFA33" s="16"/>
      <c r="JFB33" s="16"/>
      <c r="JFC33" s="16"/>
      <c r="JFD33" s="16"/>
      <c r="JFE33" s="16"/>
      <c r="JFF33" s="16"/>
      <c r="JFG33" s="16"/>
      <c r="JFH33" s="16"/>
      <c r="JFI33" s="16"/>
      <c r="JFJ33" s="16"/>
      <c r="JFK33" s="16"/>
      <c r="JFL33" s="16"/>
      <c r="JFM33" s="16"/>
      <c r="JFN33" s="16"/>
      <c r="JFO33" s="16"/>
      <c r="JFP33" s="16"/>
      <c r="JFQ33" s="16"/>
      <c r="JFR33" s="16"/>
      <c r="JFS33" s="16"/>
      <c r="JFT33" s="16"/>
      <c r="JFU33" s="16"/>
      <c r="JFV33" s="16"/>
      <c r="JFW33" s="16"/>
      <c r="JFX33" s="16"/>
      <c r="JFY33" s="16"/>
      <c r="JFZ33" s="16"/>
      <c r="JGA33" s="16"/>
      <c r="JGB33" s="16"/>
      <c r="JGC33" s="16"/>
      <c r="JGD33" s="16"/>
      <c r="JGE33" s="16"/>
      <c r="JGF33" s="16"/>
      <c r="JGG33" s="16"/>
      <c r="JGH33" s="16"/>
      <c r="JGI33" s="16"/>
      <c r="JGJ33" s="16"/>
      <c r="JGK33" s="16"/>
      <c r="JGL33" s="16"/>
      <c r="JGM33" s="16"/>
      <c r="JGN33" s="16"/>
      <c r="JGO33" s="16"/>
      <c r="JGP33" s="16"/>
      <c r="JGQ33" s="16"/>
      <c r="JGR33" s="16"/>
      <c r="JGS33" s="16"/>
      <c r="JGT33" s="16"/>
      <c r="JGU33" s="16"/>
      <c r="JGV33" s="16"/>
      <c r="JGW33" s="16"/>
      <c r="JGX33" s="16"/>
      <c r="JGY33" s="16"/>
      <c r="JGZ33" s="16"/>
      <c r="JHA33" s="16"/>
      <c r="JHB33" s="16"/>
      <c r="JHC33" s="16"/>
      <c r="JHD33" s="16"/>
      <c r="JHE33" s="16"/>
      <c r="JHF33" s="16"/>
      <c r="JHG33" s="16"/>
      <c r="JHH33" s="16"/>
      <c r="JHI33" s="16"/>
      <c r="JHJ33" s="16"/>
      <c r="JHK33" s="16"/>
      <c r="JHL33" s="16"/>
      <c r="JHM33" s="16"/>
      <c r="JHN33" s="16"/>
      <c r="JHO33" s="16"/>
      <c r="JHP33" s="16"/>
      <c r="JHQ33" s="16"/>
      <c r="JHR33" s="16"/>
      <c r="JHS33" s="16"/>
      <c r="JHT33" s="16"/>
      <c r="JHU33" s="16"/>
      <c r="JHV33" s="16"/>
      <c r="JHW33" s="16"/>
      <c r="JHX33" s="16"/>
      <c r="JHY33" s="16"/>
      <c r="JHZ33" s="16"/>
      <c r="JIA33" s="16"/>
      <c r="JIB33" s="16"/>
      <c r="JIC33" s="16"/>
      <c r="JID33" s="16"/>
      <c r="JIE33" s="16"/>
      <c r="JIF33" s="16"/>
      <c r="JIG33" s="16"/>
      <c r="JIH33" s="16"/>
      <c r="JII33" s="16"/>
      <c r="JIJ33" s="16"/>
      <c r="JIK33" s="16"/>
      <c r="JIL33" s="16"/>
      <c r="JIM33" s="16"/>
      <c r="JIN33" s="16"/>
      <c r="JIO33" s="16"/>
      <c r="JIP33" s="16"/>
      <c r="JIQ33" s="16"/>
      <c r="JIR33" s="16"/>
      <c r="JIS33" s="16"/>
      <c r="JIT33" s="16"/>
      <c r="JIU33" s="16"/>
      <c r="JIV33" s="16"/>
      <c r="JIW33" s="16"/>
      <c r="JIX33" s="16"/>
      <c r="JIY33" s="16"/>
      <c r="JIZ33" s="16"/>
      <c r="JJA33" s="16"/>
      <c r="JJB33" s="16"/>
      <c r="JJC33" s="16"/>
      <c r="JJD33" s="16"/>
      <c r="JJE33" s="16"/>
      <c r="JJF33" s="16"/>
      <c r="JJG33" s="16"/>
      <c r="JJH33" s="16"/>
      <c r="JJI33" s="16"/>
      <c r="JJJ33" s="16"/>
      <c r="JJK33" s="16"/>
      <c r="JJL33" s="16"/>
      <c r="JJM33" s="16"/>
      <c r="JJN33" s="16"/>
      <c r="JJO33" s="16"/>
      <c r="JJP33" s="16"/>
      <c r="JJQ33" s="16"/>
      <c r="JJR33" s="16"/>
      <c r="JJS33" s="16"/>
      <c r="JJT33" s="16"/>
      <c r="JJU33" s="16"/>
      <c r="JJV33" s="16"/>
      <c r="JJW33" s="16"/>
      <c r="JJX33" s="16"/>
      <c r="JJY33" s="16"/>
      <c r="JJZ33" s="16"/>
      <c r="JKA33" s="16"/>
      <c r="JKB33" s="16"/>
      <c r="JKC33" s="16"/>
      <c r="JKD33" s="16"/>
      <c r="JKE33" s="16"/>
      <c r="JKF33" s="16"/>
      <c r="JKG33" s="16"/>
      <c r="JKH33" s="16"/>
      <c r="JKI33" s="16"/>
      <c r="JKJ33" s="16"/>
      <c r="JKK33" s="16"/>
      <c r="JKL33" s="16"/>
      <c r="JKM33" s="16"/>
      <c r="JKN33" s="16"/>
      <c r="JKO33" s="16"/>
      <c r="JKP33" s="16"/>
      <c r="JKQ33" s="16"/>
      <c r="JKR33" s="16"/>
      <c r="JKS33" s="16"/>
      <c r="JKT33" s="16"/>
      <c r="JKU33" s="16"/>
      <c r="JKV33" s="16"/>
      <c r="JKW33" s="16"/>
      <c r="JKX33" s="16"/>
      <c r="JKY33" s="16"/>
      <c r="JKZ33" s="16"/>
      <c r="JLA33" s="16"/>
      <c r="JLB33" s="16"/>
      <c r="JLC33" s="16"/>
      <c r="JLD33" s="16"/>
      <c r="JLE33" s="16"/>
      <c r="JLF33" s="16"/>
      <c r="JLG33" s="16"/>
      <c r="JLH33" s="16"/>
      <c r="JLI33" s="16"/>
      <c r="JLJ33" s="16"/>
      <c r="JLK33" s="16"/>
      <c r="JLL33" s="16"/>
      <c r="JLM33" s="16"/>
      <c r="JLN33" s="16"/>
      <c r="JLO33" s="16"/>
      <c r="JLP33" s="16"/>
      <c r="JLQ33" s="16"/>
      <c r="JLR33" s="16"/>
      <c r="JLS33" s="16"/>
      <c r="JLT33" s="16"/>
      <c r="JLU33" s="16"/>
      <c r="JLV33" s="16"/>
      <c r="JLW33" s="16"/>
      <c r="JLX33" s="16"/>
      <c r="JLY33" s="16"/>
      <c r="JLZ33" s="16"/>
      <c r="JMA33" s="16"/>
      <c r="JMB33" s="16"/>
      <c r="JMC33" s="16"/>
      <c r="JMD33" s="16"/>
      <c r="JME33" s="16"/>
      <c r="JMF33" s="16"/>
      <c r="JMG33" s="16"/>
      <c r="JMH33" s="16"/>
      <c r="JMI33" s="16"/>
      <c r="JMJ33" s="16"/>
      <c r="JMK33" s="16"/>
      <c r="JML33" s="16"/>
      <c r="JMM33" s="16"/>
      <c r="JMN33" s="16"/>
      <c r="JMO33" s="16"/>
      <c r="JMP33" s="16"/>
      <c r="JMQ33" s="16"/>
      <c r="JMR33" s="16"/>
      <c r="JMS33" s="16"/>
      <c r="JMT33" s="16"/>
      <c r="JMU33" s="16"/>
      <c r="JMV33" s="16"/>
      <c r="JMW33" s="16"/>
      <c r="JMX33" s="16"/>
      <c r="JMY33" s="16"/>
      <c r="JMZ33" s="16"/>
      <c r="JNA33" s="16"/>
      <c r="JNB33" s="16"/>
      <c r="JNC33" s="16"/>
      <c r="JND33" s="16"/>
      <c r="JNE33" s="16"/>
      <c r="JNF33" s="16"/>
      <c r="JNG33" s="16"/>
      <c r="JNH33" s="16"/>
      <c r="JNI33" s="16"/>
      <c r="JNJ33" s="16"/>
      <c r="JNK33" s="16"/>
      <c r="JNL33" s="16"/>
      <c r="JNM33" s="16"/>
      <c r="JNN33" s="16"/>
      <c r="JNO33" s="16"/>
      <c r="JNP33" s="16"/>
      <c r="JNQ33" s="16"/>
      <c r="JNR33" s="16"/>
      <c r="JNS33" s="16"/>
      <c r="JNT33" s="16"/>
      <c r="JNU33" s="16"/>
      <c r="JNV33" s="16"/>
      <c r="JNW33" s="16"/>
      <c r="JNX33" s="16"/>
      <c r="JNY33" s="16"/>
      <c r="JNZ33" s="16"/>
      <c r="JOA33" s="16"/>
      <c r="JOB33" s="16"/>
      <c r="JOC33" s="16"/>
      <c r="JOD33" s="16"/>
      <c r="JOE33" s="16"/>
      <c r="JOF33" s="16"/>
      <c r="JOG33" s="16"/>
      <c r="JOH33" s="16"/>
      <c r="JOI33" s="16"/>
      <c r="JOJ33" s="16"/>
      <c r="JOK33" s="16"/>
      <c r="JOL33" s="16"/>
      <c r="JOM33" s="16"/>
      <c r="JON33" s="16"/>
      <c r="JOO33" s="16"/>
      <c r="JOP33" s="16"/>
      <c r="JOQ33" s="16"/>
      <c r="JOR33" s="16"/>
      <c r="JOS33" s="16"/>
      <c r="JOT33" s="16"/>
      <c r="JOU33" s="16"/>
      <c r="JOV33" s="16"/>
      <c r="JOW33" s="16"/>
      <c r="JOX33" s="16"/>
      <c r="JOY33" s="16"/>
      <c r="JOZ33" s="16"/>
      <c r="JPA33" s="16"/>
      <c r="JPB33" s="16"/>
      <c r="JPC33" s="16"/>
      <c r="JPD33" s="16"/>
      <c r="JPE33" s="16"/>
      <c r="JPF33" s="16"/>
      <c r="JPG33" s="16"/>
      <c r="JPH33" s="16"/>
      <c r="JPI33" s="16"/>
      <c r="JPJ33" s="16"/>
      <c r="JPK33" s="16"/>
      <c r="JPL33" s="16"/>
      <c r="JPM33" s="16"/>
      <c r="JPN33" s="16"/>
      <c r="JPO33" s="16"/>
      <c r="JPP33" s="16"/>
      <c r="JPQ33" s="16"/>
      <c r="JPR33" s="16"/>
      <c r="JPS33" s="16"/>
      <c r="JPT33" s="16"/>
      <c r="JPU33" s="16"/>
      <c r="JPV33" s="16"/>
      <c r="JPW33" s="16"/>
      <c r="JPX33" s="16"/>
      <c r="JPY33" s="16"/>
      <c r="JPZ33" s="16"/>
      <c r="JQA33" s="16"/>
      <c r="JQB33" s="16"/>
      <c r="JQC33" s="16"/>
      <c r="JQD33" s="16"/>
      <c r="JQE33" s="16"/>
      <c r="JQF33" s="16"/>
      <c r="JQG33" s="16"/>
      <c r="JQH33" s="16"/>
      <c r="JQI33" s="16"/>
      <c r="JQJ33" s="16"/>
      <c r="JQK33" s="16"/>
      <c r="JQL33" s="16"/>
      <c r="JQM33" s="16"/>
      <c r="JQN33" s="16"/>
      <c r="JQO33" s="16"/>
      <c r="JQP33" s="16"/>
      <c r="JQQ33" s="16"/>
      <c r="JQR33" s="16"/>
      <c r="JQS33" s="16"/>
      <c r="JQT33" s="16"/>
      <c r="JQU33" s="16"/>
      <c r="JQV33" s="16"/>
      <c r="JQW33" s="16"/>
      <c r="JQX33" s="16"/>
      <c r="JQY33" s="16"/>
      <c r="JQZ33" s="16"/>
      <c r="JRA33" s="16"/>
      <c r="JRB33" s="16"/>
      <c r="JRC33" s="16"/>
      <c r="JRD33" s="16"/>
      <c r="JRE33" s="16"/>
      <c r="JRF33" s="16"/>
      <c r="JRG33" s="16"/>
      <c r="JRH33" s="16"/>
      <c r="JRI33" s="16"/>
      <c r="JRJ33" s="16"/>
      <c r="JRK33" s="16"/>
      <c r="JRL33" s="16"/>
      <c r="JRM33" s="16"/>
      <c r="JRN33" s="16"/>
      <c r="JRO33" s="16"/>
      <c r="JRP33" s="16"/>
      <c r="JRQ33" s="16"/>
      <c r="JRR33" s="16"/>
      <c r="JRS33" s="16"/>
      <c r="JRT33" s="16"/>
      <c r="JRU33" s="16"/>
      <c r="JRV33" s="16"/>
      <c r="JRW33" s="16"/>
      <c r="JRX33" s="16"/>
      <c r="JRY33" s="16"/>
      <c r="JRZ33" s="16"/>
      <c r="JSA33" s="16"/>
      <c r="JSB33" s="16"/>
      <c r="JSC33" s="16"/>
      <c r="JSD33" s="16"/>
      <c r="JSE33" s="16"/>
      <c r="JSF33" s="16"/>
      <c r="JSG33" s="16"/>
      <c r="JSH33" s="16"/>
      <c r="JSI33" s="16"/>
      <c r="JSJ33" s="16"/>
      <c r="JSK33" s="16"/>
      <c r="JSL33" s="16"/>
      <c r="JSM33" s="16"/>
      <c r="JSN33" s="16"/>
      <c r="JSO33" s="16"/>
      <c r="JSP33" s="16"/>
      <c r="JSQ33" s="16"/>
      <c r="JSR33" s="16"/>
      <c r="JSS33" s="16"/>
      <c r="JST33" s="16"/>
      <c r="JSU33" s="16"/>
      <c r="JSV33" s="16"/>
      <c r="JSW33" s="16"/>
      <c r="JSX33" s="16"/>
      <c r="JSY33" s="16"/>
      <c r="JSZ33" s="16"/>
      <c r="JTA33" s="16"/>
      <c r="JTB33" s="16"/>
      <c r="JTC33" s="16"/>
      <c r="JTD33" s="16"/>
      <c r="JTE33" s="16"/>
      <c r="JTF33" s="16"/>
      <c r="JTG33" s="16"/>
      <c r="JTH33" s="16"/>
      <c r="JTI33" s="16"/>
      <c r="JTJ33" s="16"/>
      <c r="JTK33" s="16"/>
      <c r="JTL33" s="16"/>
      <c r="JTM33" s="16"/>
      <c r="JTN33" s="16"/>
      <c r="JTO33" s="16"/>
      <c r="JTP33" s="16"/>
      <c r="JTQ33" s="16"/>
      <c r="JTR33" s="16"/>
      <c r="JTS33" s="16"/>
      <c r="JTT33" s="16"/>
      <c r="JTU33" s="16"/>
      <c r="JTV33" s="16"/>
      <c r="JTW33" s="16"/>
      <c r="JTX33" s="16"/>
      <c r="JTY33" s="16"/>
      <c r="JTZ33" s="16"/>
      <c r="JUA33" s="16"/>
      <c r="JUB33" s="16"/>
      <c r="JUC33" s="16"/>
      <c r="JUD33" s="16"/>
      <c r="JUE33" s="16"/>
      <c r="JUF33" s="16"/>
      <c r="JUG33" s="16"/>
      <c r="JUH33" s="16"/>
      <c r="JUI33" s="16"/>
      <c r="JUJ33" s="16"/>
      <c r="JUK33" s="16"/>
      <c r="JUL33" s="16"/>
      <c r="JUM33" s="16"/>
      <c r="JUN33" s="16"/>
      <c r="JUO33" s="16"/>
      <c r="JUP33" s="16"/>
      <c r="JUQ33" s="16"/>
      <c r="JUR33" s="16"/>
      <c r="JUS33" s="16"/>
      <c r="JUT33" s="16"/>
      <c r="JUU33" s="16"/>
      <c r="JUV33" s="16"/>
      <c r="JUW33" s="16"/>
      <c r="JUX33" s="16"/>
      <c r="JUY33" s="16"/>
      <c r="JUZ33" s="16"/>
      <c r="JVA33" s="16"/>
      <c r="JVB33" s="16"/>
      <c r="JVC33" s="16"/>
      <c r="JVD33" s="16"/>
      <c r="JVE33" s="16"/>
      <c r="JVF33" s="16"/>
      <c r="JVG33" s="16"/>
      <c r="JVH33" s="16"/>
      <c r="JVI33" s="16"/>
      <c r="JVJ33" s="16"/>
      <c r="JVK33" s="16"/>
      <c r="JVL33" s="16"/>
      <c r="JVM33" s="16"/>
      <c r="JVN33" s="16"/>
      <c r="JVO33" s="16"/>
      <c r="JVP33" s="16"/>
      <c r="JVQ33" s="16"/>
      <c r="JVR33" s="16"/>
      <c r="JVS33" s="16"/>
      <c r="JVT33" s="16"/>
      <c r="JVU33" s="16"/>
      <c r="JVV33" s="16"/>
      <c r="JVW33" s="16"/>
      <c r="JVX33" s="16"/>
      <c r="JVY33" s="16"/>
      <c r="JVZ33" s="16"/>
      <c r="JWA33" s="16"/>
      <c r="JWB33" s="16"/>
      <c r="JWC33" s="16"/>
      <c r="JWD33" s="16"/>
      <c r="JWE33" s="16"/>
      <c r="JWF33" s="16"/>
      <c r="JWG33" s="16"/>
      <c r="JWH33" s="16"/>
      <c r="JWI33" s="16"/>
      <c r="JWJ33" s="16"/>
      <c r="JWK33" s="16"/>
      <c r="JWL33" s="16"/>
      <c r="JWM33" s="16"/>
      <c r="JWN33" s="16"/>
      <c r="JWO33" s="16"/>
      <c r="JWP33" s="16"/>
      <c r="JWQ33" s="16"/>
      <c r="JWR33" s="16"/>
      <c r="JWS33" s="16"/>
      <c r="JWT33" s="16"/>
      <c r="JWU33" s="16"/>
      <c r="JWV33" s="16"/>
      <c r="JWW33" s="16"/>
      <c r="JWX33" s="16"/>
      <c r="JWY33" s="16"/>
      <c r="JWZ33" s="16"/>
      <c r="JXA33" s="16"/>
      <c r="JXB33" s="16"/>
      <c r="JXC33" s="16"/>
      <c r="JXD33" s="16"/>
      <c r="JXE33" s="16"/>
      <c r="JXF33" s="16"/>
      <c r="JXG33" s="16"/>
      <c r="JXH33" s="16"/>
      <c r="JXI33" s="16"/>
      <c r="JXJ33" s="16"/>
      <c r="JXK33" s="16"/>
      <c r="JXL33" s="16"/>
      <c r="JXM33" s="16"/>
      <c r="JXN33" s="16"/>
      <c r="JXO33" s="16"/>
      <c r="JXP33" s="16"/>
      <c r="JXQ33" s="16"/>
      <c r="JXR33" s="16"/>
      <c r="JXS33" s="16"/>
      <c r="JXT33" s="16"/>
      <c r="JXU33" s="16"/>
      <c r="JXV33" s="16"/>
      <c r="JXW33" s="16"/>
      <c r="JXX33" s="16"/>
      <c r="JXY33" s="16"/>
      <c r="JXZ33" s="16"/>
      <c r="JYA33" s="16"/>
      <c r="JYB33" s="16"/>
      <c r="JYC33" s="16"/>
      <c r="JYD33" s="16"/>
      <c r="JYE33" s="16"/>
      <c r="JYF33" s="16"/>
      <c r="JYG33" s="16"/>
      <c r="JYH33" s="16"/>
      <c r="JYI33" s="16"/>
      <c r="JYJ33" s="16"/>
      <c r="JYK33" s="16"/>
      <c r="JYL33" s="16"/>
      <c r="JYM33" s="16"/>
      <c r="JYN33" s="16"/>
      <c r="JYO33" s="16"/>
      <c r="JYP33" s="16"/>
      <c r="JYQ33" s="16"/>
      <c r="JYR33" s="16"/>
      <c r="JYS33" s="16"/>
      <c r="JYT33" s="16"/>
      <c r="JYU33" s="16"/>
      <c r="JYV33" s="16"/>
      <c r="JYW33" s="16"/>
      <c r="JYX33" s="16"/>
      <c r="JYY33" s="16"/>
      <c r="JYZ33" s="16"/>
      <c r="JZA33" s="16"/>
      <c r="JZB33" s="16"/>
      <c r="JZC33" s="16"/>
      <c r="JZD33" s="16"/>
      <c r="JZE33" s="16"/>
      <c r="JZF33" s="16"/>
      <c r="JZG33" s="16"/>
      <c r="JZH33" s="16"/>
      <c r="JZI33" s="16"/>
      <c r="JZJ33" s="16"/>
      <c r="JZK33" s="16"/>
      <c r="JZL33" s="16"/>
      <c r="JZM33" s="16"/>
      <c r="JZN33" s="16"/>
      <c r="JZO33" s="16"/>
      <c r="JZP33" s="16"/>
      <c r="JZQ33" s="16"/>
      <c r="JZR33" s="16"/>
      <c r="JZS33" s="16"/>
      <c r="JZT33" s="16"/>
      <c r="JZU33" s="16"/>
      <c r="JZV33" s="16"/>
      <c r="JZW33" s="16"/>
      <c r="JZX33" s="16"/>
      <c r="JZY33" s="16"/>
      <c r="JZZ33" s="16"/>
      <c r="KAA33" s="16"/>
      <c r="KAB33" s="16"/>
      <c r="KAC33" s="16"/>
      <c r="KAD33" s="16"/>
      <c r="KAE33" s="16"/>
      <c r="KAF33" s="16"/>
      <c r="KAG33" s="16"/>
      <c r="KAH33" s="16"/>
      <c r="KAI33" s="16"/>
      <c r="KAJ33" s="16"/>
      <c r="KAK33" s="16"/>
      <c r="KAL33" s="16"/>
      <c r="KAM33" s="16"/>
      <c r="KAN33" s="16"/>
      <c r="KAO33" s="16"/>
      <c r="KAP33" s="16"/>
      <c r="KAQ33" s="16"/>
      <c r="KAR33" s="16"/>
      <c r="KAS33" s="16"/>
      <c r="KAT33" s="16"/>
      <c r="KAU33" s="16"/>
      <c r="KAV33" s="16"/>
      <c r="KAW33" s="16"/>
      <c r="KAX33" s="16"/>
      <c r="KAY33" s="16"/>
      <c r="KAZ33" s="16"/>
      <c r="KBA33" s="16"/>
      <c r="KBB33" s="16"/>
      <c r="KBC33" s="16"/>
      <c r="KBD33" s="16"/>
      <c r="KBE33" s="16"/>
      <c r="KBF33" s="16"/>
      <c r="KBG33" s="16"/>
      <c r="KBH33" s="16"/>
      <c r="KBI33" s="16"/>
      <c r="KBJ33" s="16"/>
      <c r="KBK33" s="16"/>
      <c r="KBL33" s="16"/>
      <c r="KBM33" s="16"/>
      <c r="KBN33" s="16"/>
      <c r="KBO33" s="16"/>
      <c r="KBP33" s="16"/>
      <c r="KBQ33" s="16"/>
      <c r="KBR33" s="16"/>
      <c r="KBS33" s="16"/>
      <c r="KBT33" s="16"/>
      <c r="KBU33" s="16"/>
      <c r="KBV33" s="16"/>
      <c r="KBW33" s="16"/>
      <c r="KBX33" s="16"/>
      <c r="KBY33" s="16"/>
      <c r="KBZ33" s="16"/>
      <c r="KCA33" s="16"/>
      <c r="KCB33" s="16"/>
      <c r="KCC33" s="16"/>
      <c r="KCD33" s="16"/>
      <c r="KCE33" s="16"/>
      <c r="KCF33" s="16"/>
      <c r="KCG33" s="16"/>
      <c r="KCH33" s="16"/>
      <c r="KCI33" s="16"/>
      <c r="KCJ33" s="16"/>
      <c r="KCK33" s="16"/>
      <c r="KCL33" s="16"/>
      <c r="KCM33" s="16"/>
      <c r="KCN33" s="16"/>
      <c r="KCO33" s="16"/>
      <c r="KCP33" s="16"/>
      <c r="KCQ33" s="16"/>
      <c r="KCR33" s="16"/>
      <c r="KCS33" s="16"/>
      <c r="KCT33" s="16"/>
      <c r="KCU33" s="16"/>
      <c r="KCV33" s="16"/>
      <c r="KCW33" s="16"/>
      <c r="KCX33" s="16"/>
      <c r="KCY33" s="16"/>
      <c r="KCZ33" s="16"/>
      <c r="KDA33" s="16"/>
      <c r="KDB33" s="16"/>
      <c r="KDC33" s="16"/>
      <c r="KDD33" s="16"/>
      <c r="KDE33" s="16"/>
      <c r="KDF33" s="16"/>
      <c r="KDG33" s="16"/>
      <c r="KDH33" s="16"/>
      <c r="KDI33" s="16"/>
      <c r="KDJ33" s="16"/>
      <c r="KDK33" s="16"/>
      <c r="KDL33" s="16"/>
      <c r="KDM33" s="16"/>
      <c r="KDN33" s="16"/>
      <c r="KDO33" s="16"/>
      <c r="KDP33" s="16"/>
      <c r="KDQ33" s="16"/>
      <c r="KDR33" s="16"/>
      <c r="KDS33" s="16"/>
      <c r="KDT33" s="16"/>
      <c r="KDU33" s="16"/>
      <c r="KDV33" s="16"/>
      <c r="KDW33" s="16"/>
      <c r="KDX33" s="16"/>
      <c r="KDY33" s="16"/>
      <c r="KDZ33" s="16"/>
      <c r="KEA33" s="16"/>
      <c r="KEB33" s="16"/>
      <c r="KEC33" s="16"/>
      <c r="KED33" s="16"/>
      <c r="KEE33" s="16"/>
      <c r="KEF33" s="16"/>
      <c r="KEG33" s="16"/>
      <c r="KEH33" s="16"/>
      <c r="KEI33" s="16"/>
      <c r="KEJ33" s="16"/>
      <c r="KEK33" s="16"/>
      <c r="KEL33" s="16"/>
      <c r="KEM33" s="16"/>
      <c r="KEN33" s="16"/>
      <c r="KEO33" s="16"/>
      <c r="KEP33" s="16"/>
      <c r="KEQ33" s="16"/>
      <c r="KER33" s="16"/>
      <c r="KES33" s="16"/>
      <c r="KET33" s="16"/>
      <c r="KEU33" s="16"/>
      <c r="KEV33" s="16"/>
      <c r="KEW33" s="16"/>
      <c r="KEX33" s="16"/>
      <c r="KEY33" s="16"/>
      <c r="KEZ33" s="16"/>
      <c r="KFA33" s="16"/>
      <c r="KFB33" s="16"/>
      <c r="KFC33" s="16"/>
      <c r="KFD33" s="16"/>
      <c r="KFE33" s="16"/>
      <c r="KFF33" s="16"/>
      <c r="KFG33" s="16"/>
      <c r="KFH33" s="16"/>
      <c r="KFI33" s="16"/>
      <c r="KFJ33" s="16"/>
      <c r="KFK33" s="16"/>
      <c r="KFL33" s="16"/>
      <c r="KFM33" s="16"/>
      <c r="KFN33" s="16"/>
      <c r="KFO33" s="16"/>
      <c r="KFP33" s="16"/>
      <c r="KFQ33" s="16"/>
      <c r="KFR33" s="16"/>
      <c r="KFS33" s="16"/>
      <c r="KFT33" s="16"/>
      <c r="KFU33" s="16"/>
      <c r="KFV33" s="16"/>
      <c r="KFW33" s="16"/>
      <c r="KFX33" s="16"/>
      <c r="KFY33" s="16"/>
      <c r="KFZ33" s="16"/>
      <c r="KGA33" s="16"/>
      <c r="KGB33" s="16"/>
      <c r="KGC33" s="16"/>
      <c r="KGD33" s="16"/>
      <c r="KGE33" s="16"/>
      <c r="KGF33" s="16"/>
      <c r="KGG33" s="16"/>
      <c r="KGH33" s="16"/>
      <c r="KGI33" s="16"/>
      <c r="KGJ33" s="16"/>
      <c r="KGK33" s="16"/>
      <c r="KGL33" s="16"/>
      <c r="KGM33" s="16"/>
      <c r="KGN33" s="16"/>
      <c r="KGO33" s="16"/>
      <c r="KGP33" s="16"/>
      <c r="KGQ33" s="16"/>
      <c r="KGR33" s="16"/>
      <c r="KGS33" s="16"/>
      <c r="KGT33" s="16"/>
      <c r="KGU33" s="16"/>
      <c r="KGV33" s="16"/>
      <c r="KGW33" s="16"/>
      <c r="KGX33" s="16"/>
      <c r="KGY33" s="16"/>
      <c r="KGZ33" s="16"/>
      <c r="KHA33" s="16"/>
      <c r="KHB33" s="16"/>
      <c r="KHC33" s="16"/>
      <c r="KHD33" s="16"/>
      <c r="KHE33" s="16"/>
      <c r="KHF33" s="16"/>
      <c r="KHG33" s="16"/>
      <c r="KHH33" s="16"/>
      <c r="KHI33" s="16"/>
      <c r="KHJ33" s="16"/>
      <c r="KHK33" s="16"/>
      <c r="KHL33" s="16"/>
      <c r="KHM33" s="16"/>
      <c r="KHN33" s="16"/>
      <c r="KHO33" s="16"/>
      <c r="KHP33" s="16"/>
      <c r="KHQ33" s="16"/>
      <c r="KHR33" s="16"/>
      <c r="KHS33" s="16"/>
      <c r="KHT33" s="16"/>
      <c r="KHU33" s="16"/>
      <c r="KHV33" s="16"/>
      <c r="KHW33" s="16"/>
      <c r="KHX33" s="16"/>
      <c r="KHY33" s="16"/>
      <c r="KHZ33" s="16"/>
      <c r="KIA33" s="16"/>
      <c r="KIB33" s="16"/>
      <c r="KIC33" s="16"/>
      <c r="KID33" s="16"/>
      <c r="KIE33" s="16"/>
      <c r="KIF33" s="16"/>
      <c r="KIG33" s="16"/>
      <c r="KIH33" s="16"/>
      <c r="KII33" s="16"/>
      <c r="KIJ33" s="16"/>
      <c r="KIK33" s="16"/>
      <c r="KIL33" s="16"/>
      <c r="KIM33" s="16"/>
      <c r="KIN33" s="16"/>
      <c r="KIO33" s="16"/>
      <c r="KIP33" s="16"/>
      <c r="KIQ33" s="16"/>
      <c r="KIR33" s="16"/>
      <c r="KIS33" s="16"/>
      <c r="KIT33" s="16"/>
      <c r="KIU33" s="16"/>
      <c r="KIV33" s="16"/>
      <c r="KIW33" s="16"/>
      <c r="KIX33" s="16"/>
      <c r="KIY33" s="16"/>
      <c r="KIZ33" s="16"/>
      <c r="KJA33" s="16"/>
      <c r="KJB33" s="16"/>
      <c r="KJC33" s="16"/>
      <c r="KJD33" s="16"/>
      <c r="KJE33" s="16"/>
      <c r="KJF33" s="16"/>
      <c r="KJG33" s="16"/>
      <c r="KJH33" s="16"/>
      <c r="KJI33" s="16"/>
      <c r="KJJ33" s="16"/>
      <c r="KJK33" s="16"/>
      <c r="KJL33" s="16"/>
      <c r="KJM33" s="16"/>
      <c r="KJN33" s="16"/>
      <c r="KJO33" s="16"/>
      <c r="KJP33" s="16"/>
      <c r="KJQ33" s="16"/>
      <c r="KJR33" s="16"/>
      <c r="KJS33" s="16"/>
      <c r="KJT33" s="16"/>
      <c r="KJU33" s="16"/>
      <c r="KJV33" s="16"/>
      <c r="KJW33" s="16"/>
      <c r="KJX33" s="16"/>
      <c r="KJY33" s="16"/>
      <c r="KJZ33" s="16"/>
      <c r="KKA33" s="16"/>
      <c r="KKB33" s="16"/>
      <c r="KKC33" s="16"/>
      <c r="KKD33" s="16"/>
      <c r="KKE33" s="16"/>
      <c r="KKF33" s="16"/>
      <c r="KKG33" s="16"/>
      <c r="KKH33" s="16"/>
      <c r="KKI33" s="16"/>
      <c r="KKJ33" s="16"/>
      <c r="KKK33" s="16"/>
      <c r="KKL33" s="16"/>
      <c r="KKM33" s="16"/>
      <c r="KKN33" s="16"/>
      <c r="KKO33" s="16"/>
      <c r="KKP33" s="16"/>
      <c r="KKQ33" s="16"/>
      <c r="KKR33" s="16"/>
      <c r="KKS33" s="16"/>
      <c r="KKT33" s="16"/>
      <c r="KKU33" s="16"/>
      <c r="KKV33" s="16"/>
      <c r="KKW33" s="16"/>
      <c r="KKX33" s="16"/>
      <c r="KKY33" s="16"/>
      <c r="KKZ33" s="16"/>
      <c r="KLA33" s="16"/>
      <c r="KLB33" s="16"/>
      <c r="KLC33" s="16"/>
      <c r="KLD33" s="16"/>
      <c r="KLE33" s="16"/>
      <c r="KLF33" s="16"/>
      <c r="KLG33" s="16"/>
      <c r="KLH33" s="16"/>
      <c r="KLI33" s="16"/>
      <c r="KLJ33" s="16"/>
      <c r="KLK33" s="16"/>
      <c r="KLL33" s="16"/>
      <c r="KLM33" s="16"/>
      <c r="KLN33" s="16"/>
      <c r="KLO33" s="16"/>
      <c r="KLP33" s="16"/>
      <c r="KLQ33" s="16"/>
      <c r="KLR33" s="16"/>
      <c r="KLS33" s="16"/>
      <c r="KLT33" s="16"/>
      <c r="KLU33" s="16"/>
      <c r="KLV33" s="16"/>
      <c r="KLW33" s="16"/>
      <c r="KLX33" s="16"/>
      <c r="KLY33" s="16"/>
      <c r="KLZ33" s="16"/>
      <c r="KMA33" s="16"/>
      <c r="KMB33" s="16"/>
      <c r="KMC33" s="16"/>
      <c r="KMD33" s="16"/>
      <c r="KME33" s="16"/>
      <c r="KMF33" s="16"/>
      <c r="KMG33" s="16"/>
      <c r="KMH33" s="16"/>
      <c r="KMI33" s="16"/>
      <c r="KMJ33" s="16"/>
      <c r="KMK33" s="16"/>
      <c r="KML33" s="16"/>
      <c r="KMM33" s="16"/>
      <c r="KMN33" s="16"/>
      <c r="KMO33" s="16"/>
      <c r="KMP33" s="16"/>
      <c r="KMQ33" s="16"/>
      <c r="KMR33" s="16"/>
      <c r="KMS33" s="16"/>
      <c r="KMT33" s="16"/>
      <c r="KMU33" s="16"/>
      <c r="KMV33" s="16"/>
      <c r="KMW33" s="16"/>
      <c r="KMX33" s="16"/>
      <c r="KMY33" s="16"/>
      <c r="KMZ33" s="16"/>
      <c r="KNA33" s="16"/>
      <c r="KNB33" s="16"/>
      <c r="KNC33" s="16"/>
      <c r="KND33" s="16"/>
      <c r="KNE33" s="16"/>
      <c r="KNF33" s="16"/>
      <c r="KNG33" s="16"/>
      <c r="KNH33" s="16"/>
      <c r="KNI33" s="16"/>
      <c r="KNJ33" s="16"/>
      <c r="KNK33" s="16"/>
      <c r="KNL33" s="16"/>
      <c r="KNM33" s="16"/>
      <c r="KNN33" s="16"/>
      <c r="KNO33" s="16"/>
      <c r="KNP33" s="16"/>
      <c r="KNQ33" s="16"/>
      <c r="KNR33" s="16"/>
      <c r="KNS33" s="16"/>
      <c r="KNT33" s="16"/>
      <c r="KNU33" s="16"/>
      <c r="KNV33" s="16"/>
      <c r="KNW33" s="16"/>
      <c r="KNX33" s="16"/>
      <c r="KNY33" s="16"/>
      <c r="KNZ33" s="16"/>
      <c r="KOA33" s="16"/>
      <c r="KOB33" s="16"/>
      <c r="KOC33" s="16"/>
      <c r="KOD33" s="16"/>
      <c r="KOE33" s="16"/>
      <c r="KOF33" s="16"/>
      <c r="KOG33" s="16"/>
      <c r="KOH33" s="16"/>
      <c r="KOI33" s="16"/>
      <c r="KOJ33" s="16"/>
      <c r="KOK33" s="16"/>
      <c r="KOL33" s="16"/>
      <c r="KOM33" s="16"/>
      <c r="KON33" s="16"/>
      <c r="KOO33" s="16"/>
      <c r="KOP33" s="16"/>
      <c r="KOQ33" s="16"/>
      <c r="KOR33" s="16"/>
      <c r="KOS33" s="16"/>
      <c r="KOT33" s="16"/>
      <c r="KOU33" s="16"/>
      <c r="KOV33" s="16"/>
      <c r="KOW33" s="16"/>
      <c r="KOX33" s="16"/>
      <c r="KOY33" s="16"/>
      <c r="KOZ33" s="16"/>
      <c r="KPA33" s="16"/>
      <c r="KPB33" s="16"/>
      <c r="KPC33" s="16"/>
      <c r="KPD33" s="16"/>
      <c r="KPE33" s="16"/>
      <c r="KPF33" s="16"/>
      <c r="KPG33" s="16"/>
      <c r="KPH33" s="16"/>
      <c r="KPI33" s="16"/>
      <c r="KPJ33" s="16"/>
      <c r="KPK33" s="16"/>
      <c r="KPL33" s="16"/>
      <c r="KPM33" s="16"/>
      <c r="KPN33" s="16"/>
      <c r="KPO33" s="16"/>
      <c r="KPP33" s="16"/>
      <c r="KPQ33" s="16"/>
      <c r="KPR33" s="16"/>
      <c r="KPS33" s="16"/>
      <c r="KPT33" s="16"/>
      <c r="KPU33" s="16"/>
      <c r="KPV33" s="16"/>
      <c r="KPW33" s="16"/>
      <c r="KPX33" s="16"/>
      <c r="KPY33" s="16"/>
      <c r="KPZ33" s="16"/>
      <c r="KQA33" s="16"/>
      <c r="KQB33" s="16"/>
      <c r="KQC33" s="16"/>
      <c r="KQD33" s="16"/>
      <c r="KQE33" s="16"/>
      <c r="KQF33" s="16"/>
      <c r="KQG33" s="16"/>
      <c r="KQH33" s="16"/>
      <c r="KQI33" s="16"/>
      <c r="KQJ33" s="16"/>
      <c r="KQK33" s="16"/>
      <c r="KQL33" s="16"/>
      <c r="KQM33" s="16"/>
      <c r="KQN33" s="16"/>
      <c r="KQO33" s="16"/>
      <c r="KQP33" s="16"/>
      <c r="KQQ33" s="16"/>
      <c r="KQR33" s="16"/>
      <c r="KQS33" s="16"/>
      <c r="KQT33" s="16"/>
      <c r="KQU33" s="16"/>
      <c r="KQV33" s="16"/>
      <c r="KQW33" s="16"/>
      <c r="KQX33" s="16"/>
      <c r="KQY33" s="16"/>
      <c r="KQZ33" s="16"/>
      <c r="KRA33" s="16"/>
      <c r="KRB33" s="16"/>
      <c r="KRC33" s="16"/>
      <c r="KRD33" s="16"/>
      <c r="KRE33" s="16"/>
      <c r="KRF33" s="16"/>
      <c r="KRG33" s="16"/>
      <c r="KRH33" s="16"/>
      <c r="KRI33" s="16"/>
      <c r="KRJ33" s="16"/>
      <c r="KRK33" s="16"/>
      <c r="KRL33" s="16"/>
      <c r="KRM33" s="16"/>
      <c r="KRN33" s="16"/>
      <c r="KRO33" s="16"/>
      <c r="KRP33" s="16"/>
      <c r="KRQ33" s="16"/>
      <c r="KRR33" s="16"/>
      <c r="KRS33" s="16"/>
      <c r="KRT33" s="16"/>
      <c r="KRU33" s="16"/>
      <c r="KRV33" s="16"/>
      <c r="KRW33" s="16"/>
      <c r="KRX33" s="16"/>
      <c r="KRY33" s="16"/>
      <c r="KRZ33" s="16"/>
      <c r="KSA33" s="16"/>
      <c r="KSB33" s="16"/>
      <c r="KSC33" s="16"/>
      <c r="KSD33" s="16"/>
      <c r="KSE33" s="16"/>
      <c r="KSF33" s="16"/>
      <c r="KSG33" s="16"/>
      <c r="KSH33" s="16"/>
      <c r="KSI33" s="16"/>
      <c r="KSJ33" s="16"/>
      <c r="KSK33" s="16"/>
      <c r="KSL33" s="16"/>
      <c r="KSM33" s="16"/>
      <c r="KSN33" s="16"/>
      <c r="KSO33" s="16"/>
      <c r="KSP33" s="16"/>
      <c r="KSQ33" s="16"/>
      <c r="KSR33" s="16"/>
      <c r="KSS33" s="16"/>
      <c r="KST33" s="16"/>
      <c r="KSU33" s="16"/>
      <c r="KSV33" s="16"/>
      <c r="KSW33" s="16"/>
      <c r="KSX33" s="16"/>
      <c r="KSY33" s="16"/>
      <c r="KSZ33" s="16"/>
      <c r="KTA33" s="16"/>
      <c r="KTB33" s="16"/>
      <c r="KTC33" s="16"/>
      <c r="KTD33" s="16"/>
      <c r="KTE33" s="16"/>
      <c r="KTF33" s="16"/>
      <c r="KTG33" s="16"/>
      <c r="KTH33" s="16"/>
      <c r="KTI33" s="16"/>
      <c r="KTJ33" s="16"/>
      <c r="KTK33" s="16"/>
      <c r="KTL33" s="16"/>
      <c r="KTM33" s="16"/>
      <c r="KTN33" s="16"/>
      <c r="KTO33" s="16"/>
      <c r="KTP33" s="16"/>
      <c r="KTQ33" s="16"/>
      <c r="KTR33" s="16"/>
      <c r="KTS33" s="16"/>
      <c r="KTT33" s="16"/>
      <c r="KTU33" s="16"/>
      <c r="KTV33" s="16"/>
      <c r="KTW33" s="16"/>
      <c r="KTX33" s="16"/>
      <c r="KTY33" s="16"/>
      <c r="KTZ33" s="16"/>
      <c r="KUA33" s="16"/>
      <c r="KUB33" s="16"/>
      <c r="KUC33" s="16"/>
      <c r="KUD33" s="16"/>
      <c r="KUE33" s="16"/>
      <c r="KUF33" s="16"/>
      <c r="KUG33" s="16"/>
      <c r="KUH33" s="16"/>
      <c r="KUI33" s="16"/>
      <c r="KUJ33" s="16"/>
      <c r="KUK33" s="16"/>
      <c r="KUL33" s="16"/>
      <c r="KUM33" s="16"/>
      <c r="KUN33" s="16"/>
      <c r="KUO33" s="16"/>
      <c r="KUP33" s="16"/>
      <c r="KUQ33" s="16"/>
      <c r="KUR33" s="16"/>
      <c r="KUS33" s="16"/>
      <c r="KUT33" s="16"/>
      <c r="KUU33" s="16"/>
      <c r="KUV33" s="16"/>
      <c r="KUW33" s="16"/>
      <c r="KUX33" s="16"/>
      <c r="KUY33" s="16"/>
      <c r="KUZ33" s="16"/>
      <c r="KVA33" s="16"/>
      <c r="KVB33" s="16"/>
      <c r="KVC33" s="16"/>
      <c r="KVD33" s="16"/>
      <c r="KVE33" s="16"/>
      <c r="KVF33" s="16"/>
      <c r="KVG33" s="16"/>
      <c r="KVH33" s="16"/>
      <c r="KVI33" s="16"/>
      <c r="KVJ33" s="16"/>
      <c r="KVK33" s="16"/>
      <c r="KVL33" s="16"/>
      <c r="KVM33" s="16"/>
      <c r="KVN33" s="16"/>
      <c r="KVO33" s="16"/>
      <c r="KVP33" s="16"/>
      <c r="KVQ33" s="16"/>
      <c r="KVR33" s="16"/>
      <c r="KVS33" s="16"/>
      <c r="KVT33" s="16"/>
      <c r="KVU33" s="16"/>
      <c r="KVV33" s="16"/>
      <c r="KVW33" s="16"/>
      <c r="KVX33" s="16"/>
      <c r="KVY33" s="16"/>
      <c r="KVZ33" s="16"/>
      <c r="KWA33" s="16"/>
      <c r="KWB33" s="16"/>
      <c r="KWC33" s="16"/>
      <c r="KWD33" s="16"/>
      <c r="KWE33" s="16"/>
      <c r="KWF33" s="16"/>
      <c r="KWG33" s="16"/>
      <c r="KWH33" s="16"/>
      <c r="KWI33" s="16"/>
      <c r="KWJ33" s="16"/>
      <c r="KWK33" s="16"/>
      <c r="KWL33" s="16"/>
      <c r="KWM33" s="16"/>
      <c r="KWN33" s="16"/>
      <c r="KWO33" s="16"/>
      <c r="KWP33" s="16"/>
      <c r="KWQ33" s="16"/>
      <c r="KWR33" s="16"/>
      <c r="KWS33" s="16"/>
      <c r="KWT33" s="16"/>
      <c r="KWU33" s="16"/>
      <c r="KWV33" s="16"/>
      <c r="KWW33" s="16"/>
      <c r="KWX33" s="16"/>
      <c r="KWY33" s="16"/>
      <c r="KWZ33" s="16"/>
      <c r="KXA33" s="16"/>
      <c r="KXB33" s="16"/>
      <c r="KXC33" s="16"/>
      <c r="KXD33" s="16"/>
      <c r="KXE33" s="16"/>
      <c r="KXF33" s="16"/>
      <c r="KXG33" s="16"/>
      <c r="KXH33" s="16"/>
      <c r="KXI33" s="16"/>
      <c r="KXJ33" s="16"/>
      <c r="KXK33" s="16"/>
      <c r="KXL33" s="16"/>
      <c r="KXM33" s="16"/>
      <c r="KXN33" s="16"/>
      <c r="KXO33" s="16"/>
      <c r="KXP33" s="16"/>
      <c r="KXQ33" s="16"/>
      <c r="KXR33" s="16"/>
      <c r="KXS33" s="16"/>
      <c r="KXT33" s="16"/>
      <c r="KXU33" s="16"/>
      <c r="KXV33" s="16"/>
      <c r="KXW33" s="16"/>
      <c r="KXX33" s="16"/>
      <c r="KXY33" s="16"/>
      <c r="KXZ33" s="16"/>
      <c r="KYA33" s="16"/>
      <c r="KYB33" s="16"/>
      <c r="KYC33" s="16"/>
      <c r="KYD33" s="16"/>
      <c r="KYE33" s="16"/>
      <c r="KYF33" s="16"/>
      <c r="KYG33" s="16"/>
      <c r="KYH33" s="16"/>
      <c r="KYI33" s="16"/>
      <c r="KYJ33" s="16"/>
      <c r="KYK33" s="16"/>
      <c r="KYL33" s="16"/>
      <c r="KYM33" s="16"/>
      <c r="KYN33" s="16"/>
      <c r="KYO33" s="16"/>
      <c r="KYP33" s="16"/>
      <c r="KYQ33" s="16"/>
      <c r="KYR33" s="16"/>
      <c r="KYS33" s="16"/>
      <c r="KYT33" s="16"/>
      <c r="KYU33" s="16"/>
      <c r="KYV33" s="16"/>
      <c r="KYW33" s="16"/>
      <c r="KYX33" s="16"/>
      <c r="KYY33" s="16"/>
      <c r="KYZ33" s="16"/>
      <c r="KZA33" s="16"/>
      <c r="KZB33" s="16"/>
      <c r="KZC33" s="16"/>
      <c r="KZD33" s="16"/>
      <c r="KZE33" s="16"/>
      <c r="KZF33" s="16"/>
      <c r="KZG33" s="16"/>
      <c r="KZH33" s="16"/>
      <c r="KZI33" s="16"/>
      <c r="KZJ33" s="16"/>
      <c r="KZK33" s="16"/>
      <c r="KZL33" s="16"/>
      <c r="KZM33" s="16"/>
      <c r="KZN33" s="16"/>
      <c r="KZO33" s="16"/>
      <c r="KZP33" s="16"/>
      <c r="KZQ33" s="16"/>
      <c r="KZR33" s="16"/>
      <c r="KZS33" s="16"/>
      <c r="KZT33" s="16"/>
      <c r="KZU33" s="16"/>
      <c r="KZV33" s="16"/>
      <c r="KZW33" s="16"/>
      <c r="KZX33" s="16"/>
      <c r="KZY33" s="16"/>
      <c r="KZZ33" s="16"/>
      <c r="LAA33" s="16"/>
      <c r="LAB33" s="16"/>
      <c r="LAC33" s="16"/>
      <c r="LAD33" s="16"/>
      <c r="LAE33" s="16"/>
      <c r="LAF33" s="16"/>
      <c r="LAG33" s="16"/>
      <c r="LAH33" s="16"/>
      <c r="LAI33" s="16"/>
      <c r="LAJ33" s="16"/>
      <c r="LAK33" s="16"/>
      <c r="LAL33" s="16"/>
      <c r="LAM33" s="16"/>
      <c r="LAN33" s="16"/>
      <c r="LAO33" s="16"/>
      <c r="LAP33" s="16"/>
      <c r="LAQ33" s="16"/>
      <c r="LAR33" s="16"/>
      <c r="LAS33" s="16"/>
      <c r="LAT33" s="16"/>
      <c r="LAU33" s="16"/>
      <c r="LAV33" s="16"/>
      <c r="LAW33" s="16"/>
      <c r="LAX33" s="16"/>
      <c r="LAY33" s="16"/>
      <c r="LAZ33" s="16"/>
      <c r="LBA33" s="16"/>
      <c r="LBB33" s="16"/>
      <c r="LBC33" s="16"/>
      <c r="LBD33" s="16"/>
      <c r="LBE33" s="16"/>
      <c r="LBF33" s="16"/>
      <c r="LBG33" s="16"/>
      <c r="LBH33" s="16"/>
      <c r="LBI33" s="16"/>
      <c r="LBJ33" s="16"/>
      <c r="LBK33" s="16"/>
      <c r="LBL33" s="16"/>
      <c r="LBM33" s="16"/>
      <c r="LBN33" s="16"/>
      <c r="LBO33" s="16"/>
      <c r="LBP33" s="16"/>
      <c r="LBQ33" s="16"/>
      <c r="LBR33" s="16"/>
      <c r="LBS33" s="16"/>
      <c r="LBT33" s="16"/>
      <c r="LBU33" s="16"/>
      <c r="LBV33" s="16"/>
      <c r="LBW33" s="16"/>
      <c r="LBX33" s="16"/>
      <c r="LBY33" s="16"/>
      <c r="LBZ33" s="16"/>
      <c r="LCA33" s="16"/>
      <c r="LCB33" s="16"/>
      <c r="LCC33" s="16"/>
      <c r="LCD33" s="16"/>
      <c r="LCE33" s="16"/>
      <c r="LCF33" s="16"/>
      <c r="LCG33" s="16"/>
      <c r="LCH33" s="16"/>
      <c r="LCI33" s="16"/>
      <c r="LCJ33" s="16"/>
      <c r="LCK33" s="16"/>
      <c r="LCL33" s="16"/>
      <c r="LCM33" s="16"/>
      <c r="LCN33" s="16"/>
      <c r="LCO33" s="16"/>
      <c r="LCP33" s="16"/>
      <c r="LCQ33" s="16"/>
      <c r="LCR33" s="16"/>
      <c r="LCS33" s="16"/>
      <c r="LCT33" s="16"/>
      <c r="LCU33" s="16"/>
      <c r="LCV33" s="16"/>
      <c r="LCW33" s="16"/>
      <c r="LCX33" s="16"/>
      <c r="LCY33" s="16"/>
      <c r="LCZ33" s="16"/>
      <c r="LDA33" s="16"/>
      <c r="LDB33" s="16"/>
      <c r="LDC33" s="16"/>
      <c r="LDD33" s="16"/>
      <c r="LDE33" s="16"/>
      <c r="LDF33" s="16"/>
      <c r="LDG33" s="16"/>
      <c r="LDH33" s="16"/>
      <c r="LDI33" s="16"/>
      <c r="LDJ33" s="16"/>
      <c r="LDK33" s="16"/>
      <c r="LDL33" s="16"/>
      <c r="LDM33" s="16"/>
      <c r="LDN33" s="16"/>
      <c r="LDO33" s="16"/>
      <c r="LDP33" s="16"/>
      <c r="LDQ33" s="16"/>
      <c r="LDR33" s="16"/>
      <c r="LDS33" s="16"/>
      <c r="LDT33" s="16"/>
      <c r="LDU33" s="16"/>
      <c r="LDV33" s="16"/>
      <c r="LDW33" s="16"/>
      <c r="LDX33" s="16"/>
      <c r="LDY33" s="16"/>
      <c r="LDZ33" s="16"/>
      <c r="LEA33" s="16"/>
      <c r="LEB33" s="16"/>
      <c r="LEC33" s="16"/>
      <c r="LED33" s="16"/>
      <c r="LEE33" s="16"/>
      <c r="LEF33" s="16"/>
      <c r="LEG33" s="16"/>
      <c r="LEH33" s="16"/>
      <c r="LEI33" s="16"/>
      <c r="LEJ33" s="16"/>
      <c r="LEK33" s="16"/>
      <c r="LEL33" s="16"/>
      <c r="LEM33" s="16"/>
      <c r="LEN33" s="16"/>
      <c r="LEO33" s="16"/>
      <c r="LEP33" s="16"/>
      <c r="LEQ33" s="16"/>
      <c r="LER33" s="16"/>
      <c r="LES33" s="16"/>
      <c r="LET33" s="16"/>
      <c r="LEU33" s="16"/>
      <c r="LEV33" s="16"/>
      <c r="LEW33" s="16"/>
      <c r="LEX33" s="16"/>
      <c r="LEY33" s="16"/>
      <c r="LEZ33" s="16"/>
      <c r="LFA33" s="16"/>
      <c r="LFB33" s="16"/>
      <c r="LFC33" s="16"/>
      <c r="LFD33" s="16"/>
      <c r="LFE33" s="16"/>
      <c r="LFF33" s="16"/>
      <c r="LFG33" s="16"/>
      <c r="LFH33" s="16"/>
      <c r="LFI33" s="16"/>
      <c r="LFJ33" s="16"/>
      <c r="LFK33" s="16"/>
      <c r="LFL33" s="16"/>
      <c r="LFM33" s="16"/>
      <c r="LFN33" s="16"/>
      <c r="LFO33" s="16"/>
      <c r="LFP33" s="16"/>
      <c r="LFQ33" s="16"/>
      <c r="LFR33" s="16"/>
      <c r="LFS33" s="16"/>
      <c r="LFT33" s="16"/>
      <c r="LFU33" s="16"/>
      <c r="LFV33" s="16"/>
      <c r="LFW33" s="16"/>
      <c r="LFX33" s="16"/>
      <c r="LFY33" s="16"/>
      <c r="LFZ33" s="16"/>
      <c r="LGA33" s="16"/>
      <c r="LGB33" s="16"/>
      <c r="LGC33" s="16"/>
      <c r="LGD33" s="16"/>
      <c r="LGE33" s="16"/>
      <c r="LGF33" s="16"/>
      <c r="LGG33" s="16"/>
      <c r="LGH33" s="16"/>
      <c r="LGI33" s="16"/>
      <c r="LGJ33" s="16"/>
      <c r="LGK33" s="16"/>
      <c r="LGL33" s="16"/>
      <c r="LGM33" s="16"/>
      <c r="LGN33" s="16"/>
      <c r="LGO33" s="16"/>
      <c r="LGP33" s="16"/>
      <c r="LGQ33" s="16"/>
      <c r="LGR33" s="16"/>
      <c r="LGS33" s="16"/>
      <c r="LGT33" s="16"/>
      <c r="LGU33" s="16"/>
      <c r="LGV33" s="16"/>
      <c r="LGW33" s="16"/>
      <c r="LGX33" s="16"/>
      <c r="LGY33" s="16"/>
      <c r="LGZ33" s="16"/>
      <c r="LHA33" s="16"/>
      <c r="LHB33" s="16"/>
      <c r="LHC33" s="16"/>
      <c r="LHD33" s="16"/>
      <c r="LHE33" s="16"/>
      <c r="LHF33" s="16"/>
      <c r="LHG33" s="16"/>
      <c r="LHH33" s="16"/>
      <c r="LHI33" s="16"/>
      <c r="LHJ33" s="16"/>
      <c r="LHK33" s="16"/>
      <c r="LHL33" s="16"/>
      <c r="LHM33" s="16"/>
      <c r="LHN33" s="16"/>
      <c r="LHO33" s="16"/>
      <c r="LHP33" s="16"/>
      <c r="LHQ33" s="16"/>
      <c r="LHR33" s="16"/>
      <c r="LHS33" s="16"/>
      <c r="LHT33" s="16"/>
      <c r="LHU33" s="16"/>
      <c r="LHV33" s="16"/>
      <c r="LHW33" s="16"/>
      <c r="LHX33" s="16"/>
      <c r="LHY33" s="16"/>
      <c r="LHZ33" s="16"/>
      <c r="LIA33" s="16"/>
      <c r="LIB33" s="16"/>
      <c r="LIC33" s="16"/>
      <c r="LID33" s="16"/>
      <c r="LIE33" s="16"/>
      <c r="LIF33" s="16"/>
      <c r="LIG33" s="16"/>
      <c r="LIH33" s="16"/>
      <c r="LII33" s="16"/>
      <c r="LIJ33" s="16"/>
      <c r="LIK33" s="16"/>
      <c r="LIL33" s="16"/>
      <c r="LIM33" s="16"/>
      <c r="LIN33" s="16"/>
      <c r="LIO33" s="16"/>
      <c r="LIP33" s="16"/>
      <c r="LIQ33" s="16"/>
      <c r="LIR33" s="16"/>
      <c r="LIS33" s="16"/>
      <c r="LIT33" s="16"/>
      <c r="LIU33" s="16"/>
      <c r="LIV33" s="16"/>
      <c r="LIW33" s="16"/>
      <c r="LIX33" s="16"/>
      <c r="LIY33" s="16"/>
      <c r="LIZ33" s="16"/>
      <c r="LJA33" s="16"/>
      <c r="LJB33" s="16"/>
      <c r="LJC33" s="16"/>
      <c r="LJD33" s="16"/>
      <c r="LJE33" s="16"/>
      <c r="LJF33" s="16"/>
      <c r="LJG33" s="16"/>
      <c r="LJH33" s="16"/>
      <c r="LJI33" s="16"/>
      <c r="LJJ33" s="16"/>
      <c r="LJK33" s="16"/>
      <c r="LJL33" s="16"/>
      <c r="LJM33" s="16"/>
      <c r="LJN33" s="16"/>
      <c r="LJO33" s="16"/>
      <c r="LJP33" s="16"/>
      <c r="LJQ33" s="16"/>
      <c r="LJR33" s="16"/>
      <c r="LJS33" s="16"/>
      <c r="LJT33" s="16"/>
      <c r="LJU33" s="16"/>
      <c r="LJV33" s="16"/>
      <c r="LJW33" s="16"/>
      <c r="LJX33" s="16"/>
      <c r="LJY33" s="16"/>
      <c r="LJZ33" s="16"/>
      <c r="LKA33" s="16"/>
      <c r="LKB33" s="16"/>
      <c r="LKC33" s="16"/>
      <c r="LKD33" s="16"/>
      <c r="LKE33" s="16"/>
      <c r="LKF33" s="16"/>
      <c r="LKG33" s="16"/>
      <c r="LKH33" s="16"/>
      <c r="LKI33" s="16"/>
      <c r="LKJ33" s="16"/>
      <c r="LKK33" s="16"/>
      <c r="LKL33" s="16"/>
      <c r="LKM33" s="16"/>
      <c r="LKN33" s="16"/>
      <c r="LKO33" s="16"/>
      <c r="LKP33" s="16"/>
      <c r="LKQ33" s="16"/>
      <c r="LKR33" s="16"/>
      <c r="LKS33" s="16"/>
      <c r="LKT33" s="16"/>
      <c r="LKU33" s="16"/>
      <c r="LKV33" s="16"/>
      <c r="LKW33" s="16"/>
      <c r="LKX33" s="16"/>
      <c r="LKY33" s="16"/>
      <c r="LKZ33" s="16"/>
      <c r="LLA33" s="16"/>
      <c r="LLB33" s="16"/>
      <c r="LLC33" s="16"/>
      <c r="LLD33" s="16"/>
      <c r="LLE33" s="16"/>
      <c r="LLF33" s="16"/>
      <c r="LLG33" s="16"/>
      <c r="LLH33" s="16"/>
      <c r="LLI33" s="16"/>
      <c r="LLJ33" s="16"/>
      <c r="LLK33" s="16"/>
      <c r="LLL33" s="16"/>
      <c r="LLM33" s="16"/>
      <c r="LLN33" s="16"/>
      <c r="LLO33" s="16"/>
      <c r="LLP33" s="16"/>
      <c r="LLQ33" s="16"/>
      <c r="LLR33" s="16"/>
      <c r="LLS33" s="16"/>
      <c r="LLT33" s="16"/>
      <c r="LLU33" s="16"/>
      <c r="LLV33" s="16"/>
      <c r="LLW33" s="16"/>
      <c r="LLX33" s="16"/>
      <c r="LLY33" s="16"/>
      <c r="LLZ33" s="16"/>
      <c r="LMA33" s="16"/>
      <c r="LMB33" s="16"/>
      <c r="LMC33" s="16"/>
      <c r="LMD33" s="16"/>
      <c r="LME33" s="16"/>
      <c r="LMF33" s="16"/>
      <c r="LMG33" s="16"/>
      <c r="LMH33" s="16"/>
      <c r="LMI33" s="16"/>
      <c r="LMJ33" s="16"/>
      <c r="LMK33" s="16"/>
      <c r="LML33" s="16"/>
      <c r="LMM33" s="16"/>
      <c r="LMN33" s="16"/>
      <c r="LMO33" s="16"/>
      <c r="LMP33" s="16"/>
      <c r="LMQ33" s="16"/>
      <c r="LMR33" s="16"/>
      <c r="LMS33" s="16"/>
      <c r="LMT33" s="16"/>
      <c r="LMU33" s="16"/>
      <c r="LMV33" s="16"/>
      <c r="LMW33" s="16"/>
      <c r="LMX33" s="16"/>
      <c r="LMY33" s="16"/>
      <c r="LMZ33" s="16"/>
      <c r="LNA33" s="16"/>
      <c r="LNB33" s="16"/>
      <c r="LNC33" s="16"/>
      <c r="LND33" s="16"/>
      <c r="LNE33" s="16"/>
      <c r="LNF33" s="16"/>
      <c r="LNG33" s="16"/>
      <c r="LNH33" s="16"/>
      <c r="LNI33" s="16"/>
      <c r="LNJ33" s="16"/>
      <c r="LNK33" s="16"/>
      <c r="LNL33" s="16"/>
      <c r="LNM33" s="16"/>
      <c r="LNN33" s="16"/>
      <c r="LNO33" s="16"/>
      <c r="LNP33" s="16"/>
      <c r="LNQ33" s="16"/>
      <c r="LNR33" s="16"/>
      <c r="LNS33" s="16"/>
      <c r="LNT33" s="16"/>
      <c r="LNU33" s="16"/>
      <c r="LNV33" s="16"/>
      <c r="LNW33" s="16"/>
      <c r="LNX33" s="16"/>
      <c r="LNY33" s="16"/>
      <c r="LNZ33" s="16"/>
      <c r="LOA33" s="16"/>
      <c r="LOB33" s="16"/>
      <c r="LOC33" s="16"/>
      <c r="LOD33" s="16"/>
      <c r="LOE33" s="16"/>
      <c r="LOF33" s="16"/>
      <c r="LOG33" s="16"/>
      <c r="LOH33" s="16"/>
      <c r="LOI33" s="16"/>
      <c r="LOJ33" s="16"/>
      <c r="LOK33" s="16"/>
      <c r="LOL33" s="16"/>
      <c r="LOM33" s="16"/>
      <c r="LON33" s="16"/>
      <c r="LOO33" s="16"/>
      <c r="LOP33" s="16"/>
      <c r="LOQ33" s="16"/>
      <c r="LOR33" s="16"/>
      <c r="LOS33" s="16"/>
      <c r="LOT33" s="16"/>
      <c r="LOU33" s="16"/>
      <c r="LOV33" s="16"/>
      <c r="LOW33" s="16"/>
      <c r="LOX33" s="16"/>
      <c r="LOY33" s="16"/>
      <c r="LOZ33" s="16"/>
      <c r="LPA33" s="16"/>
      <c r="LPB33" s="16"/>
      <c r="LPC33" s="16"/>
      <c r="LPD33" s="16"/>
      <c r="LPE33" s="16"/>
      <c r="LPF33" s="16"/>
      <c r="LPG33" s="16"/>
      <c r="LPH33" s="16"/>
      <c r="LPI33" s="16"/>
      <c r="LPJ33" s="16"/>
      <c r="LPK33" s="16"/>
      <c r="LPL33" s="16"/>
      <c r="LPM33" s="16"/>
      <c r="LPN33" s="16"/>
      <c r="LPO33" s="16"/>
      <c r="LPP33" s="16"/>
      <c r="LPQ33" s="16"/>
      <c r="LPR33" s="16"/>
      <c r="LPS33" s="16"/>
      <c r="LPT33" s="16"/>
      <c r="LPU33" s="16"/>
      <c r="LPV33" s="16"/>
      <c r="LPW33" s="16"/>
      <c r="LPX33" s="16"/>
      <c r="LPY33" s="16"/>
      <c r="LPZ33" s="16"/>
      <c r="LQA33" s="16"/>
      <c r="LQB33" s="16"/>
      <c r="LQC33" s="16"/>
      <c r="LQD33" s="16"/>
      <c r="LQE33" s="16"/>
      <c r="LQF33" s="16"/>
      <c r="LQG33" s="16"/>
      <c r="LQH33" s="16"/>
      <c r="LQI33" s="16"/>
      <c r="LQJ33" s="16"/>
      <c r="LQK33" s="16"/>
      <c r="LQL33" s="16"/>
      <c r="LQM33" s="16"/>
      <c r="LQN33" s="16"/>
      <c r="LQO33" s="16"/>
      <c r="LQP33" s="16"/>
      <c r="LQQ33" s="16"/>
      <c r="LQR33" s="16"/>
      <c r="LQS33" s="16"/>
      <c r="LQT33" s="16"/>
      <c r="LQU33" s="16"/>
      <c r="LQV33" s="16"/>
      <c r="LQW33" s="16"/>
      <c r="LQX33" s="16"/>
      <c r="LQY33" s="16"/>
      <c r="LQZ33" s="16"/>
      <c r="LRA33" s="16"/>
      <c r="LRB33" s="16"/>
      <c r="LRC33" s="16"/>
      <c r="LRD33" s="16"/>
      <c r="LRE33" s="16"/>
      <c r="LRF33" s="16"/>
      <c r="LRG33" s="16"/>
      <c r="LRH33" s="16"/>
      <c r="LRI33" s="16"/>
      <c r="LRJ33" s="16"/>
      <c r="LRK33" s="16"/>
      <c r="LRL33" s="16"/>
      <c r="LRM33" s="16"/>
      <c r="LRN33" s="16"/>
      <c r="LRO33" s="16"/>
      <c r="LRP33" s="16"/>
      <c r="LRQ33" s="16"/>
      <c r="LRR33" s="16"/>
      <c r="LRS33" s="16"/>
      <c r="LRT33" s="16"/>
      <c r="LRU33" s="16"/>
      <c r="LRV33" s="16"/>
      <c r="LRW33" s="16"/>
      <c r="LRX33" s="16"/>
      <c r="LRY33" s="16"/>
      <c r="LRZ33" s="16"/>
      <c r="LSA33" s="16"/>
      <c r="LSB33" s="16"/>
      <c r="LSC33" s="16"/>
      <c r="LSD33" s="16"/>
      <c r="LSE33" s="16"/>
      <c r="LSF33" s="16"/>
      <c r="LSG33" s="16"/>
      <c r="LSH33" s="16"/>
      <c r="LSI33" s="16"/>
      <c r="LSJ33" s="16"/>
      <c r="LSK33" s="16"/>
      <c r="LSL33" s="16"/>
      <c r="LSM33" s="16"/>
      <c r="LSN33" s="16"/>
      <c r="LSO33" s="16"/>
      <c r="LSP33" s="16"/>
      <c r="LSQ33" s="16"/>
      <c r="LSR33" s="16"/>
      <c r="LSS33" s="16"/>
      <c r="LST33" s="16"/>
      <c r="LSU33" s="16"/>
      <c r="LSV33" s="16"/>
      <c r="LSW33" s="16"/>
      <c r="LSX33" s="16"/>
      <c r="LSY33" s="16"/>
      <c r="LSZ33" s="16"/>
      <c r="LTA33" s="16"/>
      <c r="LTB33" s="16"/>
      <c r="LTC33" s="16"/>
      <c r="LTD33" s="16"/>
      <c r="LTE33" s="16"/>
      <c r="LTF33" s="16"/>
      <c r="LTG33" s="16"/>
      <c r="LTH33" s="16"/>
      <c r="LTI33" s="16"/>
      <c r="LTJ33" s="16"/>
      <c r="LTK33" s="16"/>
      <c r="LTL33" s="16"/>
      <c r="LTM33" s="16"/>
      <c r="LTN33" s="16"/>
      <c r="LTO33" s="16"/>
      <c r="LTP33" s="16"/>
      <c r="LTQ33" s="16"/>
      <c r="LTR33" s="16"/>
      <c r="LTS33" s="16"/>
      <c r="LTT33" s="16"/>
      <c r="LTU33" s="16"/>
      <c r="LTV33" s="16"/>
      <c r="LTW33" s="16"/>
      <c r="LTX33" s="16"/>
      <c r="LTY33" s="16"/>
      <c r="LTZ33" s="16"/>
      <c r="LUA33" s="16"/>
      <c r="LUB33" s="16"/>
      <c r="LUC33" s="16"/>
      <c r="LUD33" s="16"/>
      <c r="LUE33" s="16"/>
      <c r="LUF33" s="16"/>
      <c r="LUG33" s="16"/>
      <c r="LUH33" s="16"/>
      <c r="LUI33" s="16"/>
      <c r="LUJ33" s="16"/>
      <c r="LUK33" s="16"/>
      <c r="LUL33" s="16"/>
      <c r="LUM33" s="16"/>
      <c r="LUN33" s="16"/>
      <c r="LUO33" s="16"/>
      <c r="LUP33" s="16"/>
      <c r="LUQ33" s="16"/>
      <c r="LUR33" s="16"/>
      <c r="LUS33" s="16"/>
      <c r="LUT33" s="16"/>
      <c r="LUU33" s="16"/>
      <c r="LUV33" s="16"/>
      <c r="LUW33" s="16"/>
      <c r="LUX33" s="16"/>
      <c r="LUY33" s="16"/>
      <c r="LUZ33" s="16"/>
      <c r="LVA33" s="16"/>
      <c r="LVB33" s="16"/>
      <c r="LVC33" s="16"/>
      <c r="LVD33" s="16"/>
      <c r="LVE33" s="16"/>
      <c r="LVF33" s="16"/>
      <c r="LVG33" s="16"/>
      <c r="LVH33" s="16"/>
      <c r="LVI33" s="16"/>
      <c r="LVJ33" s="16"/>
      <c r="LVK33" s="16"/>
      <c r="LVL33" s="16"/>
      <c r="LVM33" s="16"/>
      <c r="LVN33" s="16"/>
      <c r="LVO33" s="16"/>
      <c r="LVP33" s="16"/>
      <c r="LVQ33" s="16"/>
      <c r="LVR33" s="16"/>
      <c r="LVS33" s="16"/>
      <c r="LVT33" s="16"/>
      <c r="LVU33" s="16"/>
      <c r="LVV33" s="16"/>
      <c r="LVW33" s="16"/>
      <c r="LVX33" s="16"/>
      <c r="LVY33" s="16"/>
      <c r="LVZ33" s="16"/>
      <c r="LWA33" s="16"/>
      <c r="LWB33" s="16"/>
      <c r="LWC33" s="16"/>
      <c r="LWD33" s="16"/>
      <c r="LWE33" s="16"/>
      <c r="LWF33" s="16"/>
      <c r="LWG33" s="16"/>
      <c r="LWH33" s="16"/>
      <c r="LWI33" s="16"/>
      <c r="LWJ33" s="16"/>
      <c r="LWK33" s="16"/>
      <c r="LWL33" s="16"/>
      <c r="LWM33" s="16"/>
      <c r="LWN33" s="16"/>
      <c r="LWO33" s="16"/>
      <c r="LWP33" s="16"/>
      <c r="LWQ33" s="16"/>
      <c r="LWR33" s="16"/>
      <c r="LWS33" s="16"/>
      <c r="LWT33" s="16"/>
      <c r="LWU33" s="16"/>
      <c r="LWV33" s="16"/>
      <c r="LWW33" s="16"/>
      <c r="LWX33" s="16"/>
      <c r="LWY33" s="16"/>
      <c r="LWZ33" s="16"/>
      <c r="LXA33" s="16"/>
      <c r="LXB33" s="16"/>
      <c r="LXC33" s="16"/>
      <c r="LXD33" s="16"/>
      <c r="LXE33" s="16"/>
      <c r="LXF33" s="16"/>
      <c r="LXG33" s="16"/>
      <c r="LXH33" s="16"/>
      <c r="LXI33" s="16"/>
      <c r="LXJ33" s="16"/>
      <c r="LXK33" s="16"/>
      <c r="LXL33" s="16"/>
      <c r="LXM33" s="16"/>
      <c r="LXN33" s="16"/>
      <c r="LXO33" s="16"/>
      <c r="LXP33" s="16"/>
      <c r="LXQ33" s="16"/>
      <c r="LXR33" s="16"/>
      <c r="LXS33" s="16"/>
      <c r="LXT33" s="16"/>
      <c r="LXU33" s="16"/>
      <c r="LXV33" s="16"/>
      <c r="LXW33" s="16"/>
      <c r="LXX33" s="16"/>
      <c r="LXY33" s="16"/>
      <c r="LXZ33" s="16"/>
      <c r="LYA33" s="16"/>
      <c r="LYB33" s="16"/>
      <c r="LYC33" s="16"/>
      <c r="LYD33" s="16"/>
      <c r="LYE33" s="16"/>
      <c r="LYF33" s="16"/>
      <c r="LYG33" s="16"/>
      <c r="LYH33" s="16"/>
      <c r="LYI33" s="16"/>
      <c r="LYJ33" s="16"/>
      <c r="LYK33" s="16"/>
      <c r="LYL33" s="16"/>
      <c r="LYM33" s="16"/>
      <c r="LYN33" s="16"/>
      <c r="LYO33" s="16"/>
      <c r="LYP33" s="16"/>
      <c r="LYQ33" s="16"/>
      <c r="LYR33" s="16"/>
      <c r="LYS33" s="16"/>
      <c r="LYT33" s="16"/>
      <c r="LYU33" s="16"/>
      <c r="LYV33" s="16"/>
      <c r="LYW33" s="16"/>
      <c r="LYX33" s="16"/>
      <c r="LYY33" s="16"/>
      <c r="LYZ33" s="16"/>
      <c r="LZA33" s="16"/>
      <c r="LZB33" s="16"/>
      <c r="LZC33" s="16"/>
      <c r="LZD33" s="16"/>
      <c r="LZE33" s="16"/>
      <c r="LZF33" s="16"/>
      <c r="LZG33" s="16"/>
      <c r="LZH33" s="16"/>
      <c r="LZI33" s="16"/>
      <c r="LZJ33" s="16"/>
      <c r="LZK33" s="16"/>
      <c r="LZL33" s="16"/>
      <c r="LZM33" s="16"/>
      <c r="LZN33" s="16"/>
      <c r="LZO33" s="16"/>
      <c r="LZP33" s="16"/>
      <c r="LZQ33" s="16"/>
      <c r="LZR33" s="16"/>
      <c r="LZS33" s="16"/>
      <c r="LZT33" s="16"/>
      <c r="LZU33" s="16"/>
      <c r="LZV33" s="16"/>
      <c r="LZW33" s="16"/>
      <c r="LZX33" s="16"/>
      <c r="LZY33" s="16"/>
      <c r="LZZ33" s="16"/>
      <c r="MAA33" s="16"/>
      <c r="MAB33" s="16"/>
      <c r="MAC33" s="16"/>
      <c r="MAD33" s="16"/>
      <c r="MAE33" s="16"/>
      <c r="MAF33" s="16"/>
      <c r="MAG33" s="16"/>
      <c r="MAH33" s="16"/>
      <c r="MAI33" s="16"/>
      <c r="MAJ33" s="16"/>
      <c r="MAK33" s="16"/>
      <c r="MAL33" s="16"/>
      <c r="MAM33" s="16"/>
      <c r="MAN33" s="16"/>
      <c r="MAO33" s="16"/>
      <c r="MAP33" s="16"/>
      <c r="MAQ33" s="16"/>
      <c r="MAR33" s="16"/>
      <c r="MAS33" s="16"/>
      <c r="MAT33" s="16"/>
      <c r="MAU33" s="16"/>
      <c r="MAV33" s="16"/>
      <c r="MAW33" s="16"/>
      <c r="MAX33" s="16"/>
      <c r="MAY33" s="16"/>
      <c r="MAZ33" s="16"/>
      <c r="MBA33" s="16"/>
      <c r="MBB33" s="16"/>
      <c r="MBC33" s="16"/>
      <c r="MBD33" s="16"/>
      <c r="MBE33" s="16"/>
      <c r="MBF33" s="16"/>
      <c r="MBG33" s="16"/>
      <c r="MBH33" s="16"/>
      <c r="MBI33" s="16"/>
      <c r="MBJ33" s="16"/>
      <c r="MBK33" s="16"/>
      <c r="MBL33" s="16"/>
      <c r="MBM33" s="16"/>
      <c r="MBN33" s="16"/>
      <c r="MBO33" s="16"/>
      <c r="MBP33" s="16"/>
      <c r="MBQ33" s="16"/>
      <c r="MBR33" s="16"/>
      <c r="MBS33" s="16"/>
      <c r="MBT33" s="16"/>
      <c r="MBU33" s="16"/>
      <c r="MBV33" s="16"/>
      <c r="MBW33" s="16"/>
      <c r="MBX33" s="16"/>
      <c r="MBY33" s="16"/>
      <c r="MBZ33" s="16"/>
      <c r="MCA33" s="16"/>
      <c r="MCB33" s="16"/>
      <c r="MCC33" s="16"/>
      <c r="MCD33" s="16"/>
      <c r="MCE33" s="16"/>
      <c r="MCF33" s="16"/>
      <c r="MCG33" s="16"/>
      <c r="MCH33" s="16"/>
      <c r="MCI33" s="16"/>
      <c r="MCJ33" s="16"/>
      <c r="MCK33" s="16"/>
      <c r="MCL33" s="16"/>
      <c r="MCM33" s="16"/>
      <c r="MCN33" s="16"/>
      <c r="MCO33" s="16"/>
      <c r="MCP33" s="16"/>
      <c r="MCQ33" s="16"/>
      <c r="MCR33" s="16"/>
      <c r="MCS33" s="16"/>
      <c r="MCT33" s="16"/>
      <c r="MCU33" s="16"/>
      <c r="MCV33" s="16"/>
      <c r="MCW33" s="16"/>
      <c r="MCX33" s="16"/>
      <c r="MCY33" s="16"/>
      <c r="MCZ33" s="16"/>
      <c r="MDA33" s="16"/>
      <c r="MDB33" s="16"/>
      <c r="MDC33" s="16"/>
      <c r="MDD33" s="16"/>
      <c r="MDE33" s="16"/>
      <c r="MDF33" s="16"/>
      <c r="MDG33" s="16"/>
      <c r="MDH33" s="16"/>
      <c r="MDI33" s="16"/>
      <c r="MDJ33" s="16"/>
      <c r="MDK33" s="16"/>
      <c r="MDL33" s="16"/>
      <c r="MDM33" s="16"/>
      <c r="MDN33" s="16"/>
      <c r="MDO33" s="16"/>
      <c r="MDP33" s="16"/>
      <c r="MDQ33" s="16"/>
      <c r="MDR33" s="16"/>
      <c r="MDS33" s="16"/>
      <c r="MDT33" s="16"/>
      <c r="MDU33" s="16"/>
      <c r="MDV33" s="16"/>
      <c r="MDW33" s="16"/>
      <c r="MDX33" s="16"/>
      <c r="MDY33" s="16"/>
      <c r="MDZ33" s="16"/>
      <c r="MEA33" s="16"/>
      <c r="MEB33" s="16"/>
      <c r="MEC33" s="16"/>
      <c r="MED33" s="16"/>
      <c r="MEE33" s="16"/>
      <c r="MEF33" s="16"/>
      <c r="MEG33" s="16"/>
      <c r="MEH33" s="16"/>
      <c r="MEI33" s="16"/>
      <c r="MEJ33" s="16"/>
      <c r="MEK33" s="16"/>
      <c r="MEL33" s="16"/>
      <c r="MEM33" s="16"/>
      <c r="MEN33" s="16"/>
      <c r="MEO33" s="16"/>
      <c r="MEP33" s="16"/>
      <c r="MEQ33" s="16"/>
      <c r="MER33" s="16"/>
      <c r="MES33" s="16"/>
      <c r="MET33" s="16"/>
      <c r="MEU33" s="16"/>
      <c r="MEV33" s="16"/>
      <c r="MEW33" s="16"/>
      <c r="MEX33" s="16"/>
      <c r="MEY33" s="16"/>
      <c r="MEZ33" s="16"/>
      <c r="MFA33" s="16"/>
      <c r="MFB33" s="16"/>
      <c r="MFC33" s="16"/>
      <c r="MFD33" s="16"/>
      <c r="MFE33" s="16"/>
      <c r="MFF33" s="16"/>
      <c r="MFG33" s="16"/>
      <c r="MFH33" s="16"/>
      <c r="MFI33" s="16"/>
      <c r="MFJ33" s="16"/>
      <c r="MFK33" s="16"/>
      <c r="MFL33" s="16"/>
      <c r="MFM33" s="16"/>
      <c r="MFN33" s="16"/>
      <c r="MFO33" s="16"/>
      <c r="MFP33" s="16"/>
      <c r="MFQ33" s="16"/>
      <c r="MFR33" s="16"/>
      <c r="MFS33" s="16"/>
      <c r="MFT33" s="16"/>
      <c r="MFU33" s="16"/>
      <c r="MFV33" s="16"/>
      <c r="MFW33" s="16"/>
      <c r="MFX33" s="16"/>
      <c r="MFY33" s="16"/>
      <c r="MFZ33" s="16"/>
      <c r="MGA33" s="16"/>
      <c r="MGB33" s="16"/>
      <c r="MGC33" s="16"/>
      <c r="MGD33" s="16"/>
      <c r="MGE33" s="16"/>
      <c r="MGF33" s="16"/>
      <c r="MGG33" s="16"/>
      <c r="MGH33" s="16"/>
      <c r="MGI33" s="16"/>
      <c r="MGJ33" s="16"/>
      <c r="MGK33" s="16"/>
      <c r="MGL33" s="16"/>
      <c r="MGM33" s="16"/>
      <c r="MGN33" s="16"/>
      <c r="MGO33" s="16"/>
      <c r="MGP33" s="16"/>
      <c r="MGQ33" s="16"/>
      <c r="MGR33" s="16"/>
      <c r="MGS33" s="16"/>
      <c r="MGT33" s="16"/>
      <c r="MGU33" s="16"/>
      <c r="MGV33" s="16"/>
      <c r="MGW33" s="16"/>
      <c r="MGX33" s="16"/>
      <c r="MGY33" s="16"/>
      <c r="MGZ33" s="16"/>
      <c r="MHA33" s="16"/>
      <c r="MHB33" s="16"/>
      <c r="MHC33" s="16"/>
      <c r="MHD33" s="16"/>
      <c r="MHE33" s="16"/>
      <c r="MHF33" s="16"/>
      <c r="MHG33" s="16"/>
      <c r="MHH33" s="16"/>
      <c r="MHI33" s="16"/>
      <c r="MHJ33" s="16"/>
      <c r="MHK33" s="16"/>
      <c r="MHL33" s="16"/>
      <c r="MHM33" s="16"/>
      <c r="MHN33" s="16"/>
      <c r="MHO33" s="16"/>
      <c r="MHP33" s="16"/>
      <c r="MHQ33" s="16"/>
      <c r="MHR33" s="16"/>
      <c r="MHS33" s="16"/>
      <c r="MHT33" s="16"/>
      <c r="MHU33" s="16"/>
      <c r="MHV33" s="16"/>
      <c r="MHW33" s="16"/>
      <c r="MHX33" s="16"/>
      <c r="MHY33" s="16"/>
      <c r="MHZ33" s="16"/>
      <c r="MIA33" s="16"/>
      <c r="MIB33" s="16"/>
      <c r="MIC33" s="16"/>
      <c r="MID33" s="16"/>
      <c r="MIE33" s="16"/>
      <c r="MIF33" s="16"/>
      <c r="MIG33" s="16"/>
      <c r="MIH33" s="16"/>
      <c r="MII33" s="16"/>
      <c r="MIJ33" s="16"/>
      <c r="MIK33" s="16"/>
      <c r="MIL33" s="16"/>
      <c r="MIM33" s="16"/>
      <c r="MIN33" s="16"/>
      <c r="MIO33" s="16"/>
      <c r="MIP33" s="16"/>
      <c r="MIQ33" s="16"/>
      <c r="MIR33" s="16"/>
      <c r="MIS33" s="16"/>
      <c r="MIT33" s="16"/>
      <c r="MIU33" s="16"/>
      <c r="MIV33" s="16"/>
      <c r="MIW33" s="16"/>
      <c r="MIX33" s="16"/>
      <c r="MIY33" s="16"/>
      <c r="MIZ33" s="16"/>
      <c r="MJA33" s="16"/>
      <c r="MJB33" s="16"/>
      <c r="MJC33" s="16"/>
      <c r="MJD33" s="16"/>
      <c r="MJE33" s="16"/>
      <c r="MJF33" s="16"/>
      <c r="MJG33" s="16"/>
      <c r="MJH33" s="16"/>
      <c r="MJI33" s="16"/>
      <c r="MJJ33" s="16"/>
      <c r="MJK33" s="16"/>
      <c r="MJL33" s="16"/>
      <c r="MJM33" s="16"/>
      <c r="MJN33" s="16"/>
      <c r="MJO33" s="16"/>
      <c r="MJP33" s="16"/>
      <c r="MJQ33" s="16"/>
      <c r="MJR33" s="16"/>
      <c r="MJS33" s="16"/>
      <c r="MJT33" s="16"/>
      <c r="MJU33" s="16"/>
      <c r="MJV33" s="16"/>
      <c r="MJW33" s="16"/>
      <c r="MJX33" s="16"/>
      <c r="MJY33" s="16"/>
      <c r="MJZ33" s="16"/>
      <c r="MKA33" s="16"/>
      <c r="MKB33" s="16"/>
      <c r="MKC33" s="16"/>
      <c r="MKD33" s="16"/>
      <c r="MKE33" s="16"/>
      <c r="MKF33" s="16"/>
      <c r="MKG33" s="16"/>
      <c r="MKH33" s="16"/>
      <c r="MKI33" s="16"/>
      <c r="MKJ33" s="16"/>
      <c r="MKK33" s="16"/>
      <c r="MKL33" s="16"/>
      <c r="MKM33" s="16"/>
      <c r="MKN33" s="16"/>
      <c r="MKO33" s="16"/>
      <c r="MKP33" s="16"/>
      <c r="MKQ33" s="16"/>
      <c r="MKR33" s="16"/>
      <c r="MKS33" s="16"/>
      <c r="MKT33" s="16"/>
      <c r="MKU33" s="16"/>
      <c r="MKV33" s="16"/>
      <c r="MKW33" s="16"/>
      <c r="MKX33" s="16"/>
      <c r="MKY33" s="16"/>
      <c r="MKZ33" s="16"/>
      <c r="MLA33" s="16"/>
      <c r="MLB33" s="16"/>
      <c r="MLC33" s="16"/>
      <c r="MLD33" s="16"/>
      <c r="MLE33" s="16"/>
      <c r="MLF33" s="16"/>
      <c r="MLG33" s="16"/>
      <c r="MLH33" s="16"/>
      <c r="MLI33" s="16"/>
      <c r="MLJ33" s="16"/>
      <c r="MLK33" s="16"/>
      <c r="MLL33" s="16"/>
      <c r="MLM33" s="16"/>
      <c r="MLN33" s="16"/>
      <c r="MLO33" s="16"/>
      <c r="MLP33" s="16"/>
      <c r="MLQ33" s="16"/>
      <c r="MLR33" s="16"/>
      <c r="MLS33" s="16"/>
      <c r="MLT33" s="16"/>
      <c r="MLU33" s="16"/>
      <c r="MLV33" s="16"/>
      <c r="MLW33" s="16"/>
      <c r="MLX33" s="16"/>
      <c r="MLY33" s="16"/>
      <c r="MLZ33" s="16"/>
      <c r="MMA33" s="16"/>
      <c r="MMB33" s="16"/>
      <c r="MMC33" s="16"/>
      <c r="MMD33" s="16"/>
      <c r="MME33" s="16"/>
      <c r="MMF33" s="16"/>
      <c r="MMG33" s="16"/>
      <c r="MMH33" s="16"/>
      <c r="MMI33" s="16"/>
      <c r="MMJ33" s="16"/>
      <c r="MMK33" s="16"/>
      <c r="MML33" s="16"/>
      <c r="MMM33" s="16"/>
      <c r="MMN33" s="16"/>
      <c r="MMO33" s="16"/>
      <c r="MMP33" s="16"/>
      <c r="MMQ33" s="16"/>
      <c r="MMR33" s="16"/>
      <c r="MMS33" s="16"/>
      <c r="MMT33" s="16"/>
      <c r="MMU33" s="16"/>
      <c r="MMV33" s="16"/>
      <c r="MMW33" s="16"/>
      <c r="MMX33" s="16"/>
      <c r="MMY33" s="16"/>
      <c r="MMZ33" s="16"/>
      <c r="MNA33" s="16"/>
      <c r="MNB33" s="16"/>
      <c r="MNC33" s="16"/>
      <c r="MND33" s="16"/>
      <c r="MNE33" s="16"/>
      <c r="MNF33" s="16"/>
      <c r="MNG33" s="16"/>
      <c r="MNH33" s="16"/>
      <c r="MNI33" s="16"/>
      <c r="MNJ33" s="16"/>
      <c r="MNK33" s="16"/>
      <c r="MNL33" s="16"/>
      <c r="MNM33" s="16"/>
      <c r="MNN33" s="16"/>
      <c r="MNO33" s="16"/>
      <c r="MNP33" s="16"/>
      <c r="MNQ33" s="16"/>
      <c r="MNR33" s="16"/>
      <c r="MNS33" s="16"/>
      <c r="MNT33" s="16"/>
      <c r="MNU33" s="16"/>
      <c r="MNV33" s="16"/>
      <c r="MNW33" s="16"/>
      <c r="MNX33" s="16"/>
      <c r="MNY33" s="16"/>
      <c r="MNZ33" s="16"/>
      <c r="MOA33" s="16"/>
      <c r="MOB33" s="16"/>
      <c r="MOC33" s="16"/>
      <c r="MOD33" s="16"/>
      <c r="MOE33" s="16"/>
      <c r="MOF33" s="16"/>
      <c r="MOG33" s="16"/>
      <c r="MOH33" s="16"/>
      <c r="MOI33" s="16"/>
      <c r="MOJ33" s="16"/>
      <c r="MOK33" s="16"/>
      <c r="MOL33" s="16"/>
      <c r="MOM33" s="16"/>
      <c r="MON33" s="16"/>
      <c r="MOO33" s="16"/>
      <c r="MOP33" s="16"/>
      <c r="MOQ33" s="16"/>
      <c r="MOR33" s="16"/>
      <c r="MOS33" s="16"/>
      <c r="MOT33" s="16"/>
      <c r="MOU33" s="16"/>
      <c r="MOV33" s="16"/>
      <c r="MOW33" s="16"/>
      <c r="MOX33" s="16"/>
      <c r="MOY33" s="16"/>
      <c r="MOZ33" s="16"/>
      <c r="MPA33" s="16"/>
      <c r="MPB33" s="16"/>
      <c r="MPC33" s="16"/>
      <c r="MPD33" s="16"/>
      <c r="MPE33" s="16"/>
      <c r="MPF33" s="16"/>
      <c r="MPG33" s="16"/>
      <c r="MPH33" s="16"/>
      <c r="MPI33" s="16"/>
      <c r="MPJ33" s="16"/>
      <c r="MPK33" s="16"/>
      <c r="MPL33" s="16"/>
      <c r="MPM33" s="16"/>
      <c r="MPN33" s="16"/>
      <c r="MPO33" s="16"/>
      <c r="MPP33" s="16"/>
      <c r="MPQ33" s="16"/>
      <c r="MPR33" s="16"/>
      <c r="MPS33" s="16"/>
      <c r="MPT33" s="16"/>
      <c r="MPU33" s="16"/>
      <c r="MPV33" s="16"/>
      <c r="MPW33" s="16"/>
      <c r="MPX33" s="16"/>
      <c r="MPY33" s="16"/>
      <c r="MPZ33" s="16"/>
      <c r="MQA33" s="16"/>
      <c r="MQB33" s="16"/>
      <c r="MQC33" s="16"/>
      <c r="MQD33" s="16"/>
      <c r="MQE33" s="16"/>
      <c r="MQF33" s="16"/>
      <c r="MQG33" s="16"/>
      <c r="MQH33" s="16"/>
      <c r="MQI33" s="16"/>
      <c r="MQJ33" s="16"/>
      <c r="MQK33" s="16"/>
      <c r="MQL33" s="16"/>
      <c r="MQM33" s="16"/>
      <c r="MQN33" s="16"/>
      <c r="MQO33" s="16"/>
      <c r="MQP33" s="16"/>
      <c r="MQQ33" s="16"/>
      <c r="MQR33" s="16"/>
      <c r="MQS33" s="16"/>
      <c r="MQT33" s="16"/>
      <c r="MQU33" s="16"/>
      <c r="MQV33" s="16"/>
      <c r="MQW33" s="16"/>
      <c r="MQX33" s="16"/>
      <c r="MQY33" s="16"/>
      <c r="MQZ33" s="16"/>
      <c r="MRA33" s="16"/>
      <c r="MRB33" s="16"/>
      <c r="MRC33" s="16"/>
      <c r="MRD33" s="16"/>
      <c r="MRE33" s="16"/>
      <c r="MRF33" s="16"/>
      <c r="MRG33" s="16"/>
      <c r="MRH33" s="16"/>
      <c r="MRI33" s="16"/>
      <c r="MRJ33" s="16"/>
      <c r="MRK33" s="16"/>
      <c r="MRL33" s="16"/>
      <c r="MRM33" s="16"/>
      <c r="MRN33" s="16"/>
      <c r="MRO33" s="16"/>
      <c r="MRP33" s="16"/>
      <c r="MRQ33" s="16"/>
      <c r="MRR33" s="16"/>
      <c r="MRS33" s="16"/>
      <c r="MRT33" s="16"/>
      <c r="MRU33" s="16"/>
      <c r="MRV33" s="16"/>
      <c r="MRW33" s="16"/>
      <c r="MRX33" s="16"/>
      <c r="MRY33" s="16"/>
      <c r="MRZ33" s="16"/>
      <c r="MSA33" s="16"/>
      <c r="MSB33" s="16"/>
      <c r="MSC33" s="16"/>
      <c r="MSD33" s="16"/>
      <c r="MSE33" s="16"/>
      <c r="MSF33" s="16"/>
      <c r="MSG33" s="16"/>
      <c r="MSH33" s="16"/>
      <c r="MSI33" s="16"/>
      <c r="MSJ33" s="16"/>
      <c r="MSK33" s="16"/>
      <c r="MSL33" s="16"/>
      <c r="MSM33" s="16"/>
      <c r="MSN33" s="16"/>
      <c r="MSO33" s="16"/>
      <c r="MSP33" s="16"/>
      <c r="MSQ33" s="16"/>
      <c r="MSR33" s="16"/>
      <c r="MSS33" s="16"/>
      <c r="MST33" s="16"/>
      <c r="MSU33" s="16"/>
      <c r="MSV33" s="16"/>
      <c r="MSW33" s="16"/>
      <c r="MSX33" s="16"/>
      <c r="MSY33" s="16"/>
      <c r="MSZ33" s="16"/>
      <c r="MTA33" s="16"/>
      <c r="MTB33" s="16"/>
      <c r="MTC33" s="16"/>
      <c r="MTD33" s="16"/>
      <c r="MTE33" s="16"/>
      <c r="MTF33" s="16"/>
      <c r="MTG33" s="16"/>
      <c r="MTH33" s="16"/>
      <c r="MTI33" s="16"/>
      <c r="MTJ33" s="16"/>
      <c r="MTK33" s="16"/>
      <c r="MTL33" s="16"/>
      <c r="MTM33" s="16"/>
      <c r="MTN33" s="16"/>
      <c r="MTO33" s="16"/>
      <c r="MTP33" s="16"/>
      <c r="MTQ33" s="16"/>
      <c r="MTR33" s="16"/>
      <c r="MTS33" s="16"/>
      <c r="MTT33" s="16"/>
      <c r="MTU33" s="16"/>
      <c r="MTV33" s="16"/>
      <c r="MTW33" s="16"/>
      <c r="MTX33" s="16"/>
      <c r="MTY33" s="16"/>
      <c r="MTZ33" s="16"/>
      <c r="MUA33" s="16"/>
      <c r="MUB33" s="16"/>
      <c r="MUC33" s="16"/>
      <c r="MUD33" s="16"/>
      <c r="MUE33" s="16"/>
      <c r="MUF33" s="16"/>
      <c r="MUG33" s="16"/>
      <c r="MUH33" s="16"/>
      <c r="MUI33" s="16"/>
      <c r="MUJ33" s="16"/>
      <c r="MUK33" s="16"/>
      <c r="MUL33" s="16"/>
      <c r="MUM33" s="16"/>
      <c r="MUN33" s="16"/>
      <c r="MUO33" s="16"/>
      <c r="MUP33" s="16"/>
      <c r="MUQ33" s="16"/>
      <c r="MUR33" s="16"/>
      <c r="MUS33" s="16"/>
      <c r="MUT33" s="16"/>
      <c r="MUU33" s="16"/>
      <c r="MUV33" s="16"/>
      <c r="MUW33" s="16"/>
      <c r="MUX33" s="16"/>
      <c r="MUY33" s="16"/>
      <c r="MUZ33" s="16"/>
      <c r="MVA33" s="16"/>
      <c r="MVB33" s="16"/>
      <c r="MVC33" s="16"/>
      <c r="MVD33" s="16"/>
      <c r="MVE33" s="16"/>
      <c r="MVF33" s="16"/>
      <c r="MVG33" s="16"/>
      <c r="MVH33" s="16"/>
      <c r="MVI33" s="16"/>
      <c r="MVJ33" s="16"/>
      <c r="MVK33" s="16"/>
      <c r="MVL33" s="16"/>
      <c r="MVM33" s="16"/>
      <c r="MVN33" s="16"/>
      <c r="MVO33" s="16"/>
      <c r="MVP33" s="16"/>
      <c r="MVQ33" s="16"/>
      <c r="MVR33" s="16"/>
      <c r="MVS33" s="16"/>
      <c r="MVT33" s="16"/>
      <c r="MVU33" s="16"/>
      <c r="MVV33" s="16"/>
      <c r="MVW33" s="16"/>
      <c r="MVX33" s="16"/>
      <c r="MVY33" s="16"/>
      <c r="MVZ33" s="16"/>
      <c r="MWA33" s="16"/>
      <c r="MWB33" s="16"/>
      <c r="MWC33" s="16"/>
      <c r="MWD33" s="16"/>
      <c r="MWE33" s="16"/>
      <c r="MWF33" s="16"/>
      <c r="MWG33" s="16"/>
      <c r="MWH33" s="16"/>
      <c r="MWI33" s="16"/>
      <c r="MWJ33" s="16"/>
      <c r="MWK33" s="16"/>
      <c r="MWL33" s="16"/>
      <c r="MWM33" s="16"/>
      <c r="MWN33" s="16"/>
      <c r="MWO33" s="16"/>
      <c r="MWP33" s="16"/>
      <c r="MWQ33" s="16"/>
      <c r="MWR33" s="16"/>
      <c r="MWS33" s="16"/>
      <c r="MWT33" s="16"/>
      <c r="MWU33" s="16"/>
      <c r="MWV33" s="16"/>
      <c r="MWW33" s="16"/>
      <c r="MWX33" s="16"/>
      <c r="MWY33" s="16"/>
      <c r="MWZ33" s="16"/>
      <c r="MXA33" s="16"/>
      <c r="MXB33" s="16"/>
      <c r="MXC33" s="16"/>
      <c r="MXD33" s="16"/>
      <c r="MXE33" s="16"/>
      <c r="MXF33" s="16"/>
      <c r="MXG33" s="16"/>
      <c r="MXH33" s="16"/>
      <c r="MXI33" s="16"/>
      <c r="MXJ33" s="16"/>
      <c r="MXK33" s="16"/>
      <c r="MXL33" s="16"/>
      <c r="MXM33" s="16"/>
      <c r="MXN33" s="16"/>
      <c r="MXO33" s="16"/>
      <c r="MXP33" s="16"/>
      <c r="MXQ33" s="16"/>
      <c r="MXR33" s="16"/>
      <c r="MXS33" s="16"/>
      <c r="MXT33" s="16"/>
      <c r="MXU33" s="16"/>
      <c r="MXV33" s="16"/>
      <c r="MXW33" s="16"/>
      <c r="MXX33" s="16"/>
      <c r="MXY33" s="16"/>
      <c r="MXZ33" s="16"/>
      <c r="MYA33" s="16"/>
      <c r="MYB33" s="16"/>
      <c r="MYC33" s="16"/>
      <c r="MYD33" s="16"/>
      <c r="MYE33" s="16"/>
      <c r="MYF33" s="16"/>
      <c r="MYG33" s="16"/>
      <c r="MYH33" s="16"/>
      <c r="MYI33" s="16"/>
      <c r="MYJ33" s="16"/>
      <c r="MYK33" s="16"/>
      <c r="MYL33" s="16"/>
      <c r="MYM33" s="16"/>
      <c r="MYN33" s="16"/>
      <c r="MYO33" s="16"/>
      <c r="MYP33" s="16"/>
      <c r="MYQ33" s="16"/>
      <c r="MYR33" s="16"/>
      <c r="MYS33" s="16"/>
      <c r="MYT33" s="16"/>
      <c r="MYU33" s="16"/>
      <c r="MYV33" s="16"/>
      <c r="MYW33" s="16"/>
      <c r="MYX33" s="16"/>
      <c r="MYY33" s="16"/>
      <c r="MYZ33" s="16"/>
      <c r="MZA33" s="16"/>
      <c r="MZB33" s="16"/>
      <c r="MZC33" s="16"/>
      <c r="MZD33" s="16"/>
      <c r="MZE33" s="16"/>
      <c r="MZF33" s="16"/>
      <c r="MZG33" s="16"/>
      <c r="MZH33" s="16"/>
      <c r="MZI33" s="16"/>
      <c r="MZJ33" s="16"/>
      <c r="MZK33" s="16"/>
      <c r="MZL33" s="16"/>
      <c r="MZM33" s="16"/>
      <c r="MZN33" s="16"/>
      <c r="MZO33" s="16"/>
      <c r="MZP33" s="16"/>
      <c r="MZQ33" s="16"/>
      <c r="MZR33" s="16"/>
      <c r="MZS33" s="16"/>
      <c r="MZT33" s="16"/>
      <c r="MZU33" s="16"/>
      <c r="MZV33" s="16"/>
      <c r="MZW33" s="16"/>
      <c r="MZX33" s="16"/>
      <c r="MZY33" s="16"/>
      <c r="MZZ33" s="16"/>
      <c r="NAA33" s="16"/>
      <c r="NAB33" s="16"/>
      <c r="NAC33" s="16"/>
      <c r="NAD33" s="16"/>
      <c r="NAE33" s="16"/>
      <c r="NAF33" s="16"/>
      <c r="NAG33" s="16"/>
      <c r="NAH33" s="16"/>
      <c r="NAI33" s="16"/>
      <c r="NAJ33" s="16"/>
      <c r="NAK33" s="16"/>
      <c r="NAL33" s="16"/>
      <c r="NAM33" s="16"/>
      <c r="NAN33" s="16"/>
      <c r="NAO33" s="16"/>
      <c r="NAP33" s="16"/>
      <c r="NAQ33" s="16"/>
      <c r="NAR33" s="16"/>
      <c r="NAS33" s="16"/>
      <c r="NAT33" s="16"/>
      <c r="NAU33" s="16"/>
      <c r="NAV33" s="16"/>
      <c r="NAW33" s="16"/>
      <c r="NAX33" s="16"/>
      <c r="NAY33" s="16"/>
      <c r="NAZ33" s="16"/>
      <c r="NBA33" s="16"/>
      <c r="NBB33" s="16"/>
      <c r="NBC33" s="16"/>
      <c r="NBD33" s="16"/>
      <c r="NBE33" s="16"/>
      <c r="NBF33" s="16"/>
      <c r="NBG33" s="16"/>
      <c r="NBH33" s="16"/>
      <c r="NBI33" s="16"/>
      <c r="NBJ33" s="16"/>
      <c r="NBK33" s="16"/>
      <c r="NBL33" s="16"/>
      <c r="NBM33" s="16"/>
      <c r="NBN33" s="16"/>
      <c r="NBO33" s="16"/>
      <c r="NBP33" s="16"/>
      <c r="NBQ33" s="16"/>
      <c r="NBR33" s="16"/>
      <c r="NBS33" s="16"/>
      <c r="NBT33" s="16"/>
      <c r="NBU33" s="16"/>
      <c r="NBV33" s="16"/>
      <c r="NBW33" s="16"/>
      <c r="NBX33" s="16"/>
      <c r="NBY33" s="16"/>
      <c r="NBZ33" s="16"/>
      <c r="NCA33" s="16"/>
      <c r="NCB33" s="16"/>
      <c r="NCC33" s="16"/>
      <c r="NCD33" s="16"/>
      <c r="NCE33" s="16"/>
      <c r="NCF33" s="16"/>
      <c r="NCG33" s="16"/>
      <c r="NCH33" s="16"/>
      <c r="NCI33" s="16"/>
      <c r="NCJ33" s="16"/>
      <c r="NCK33" s="16"/>
      <c r="NCL33" s="16"/>
      <c r="NCM33" s="16"/>
      <c r="NCN33" s="16"/>
      <c r="NCO33" s="16"/>
      <c r="NCP33" s="16"/>
      <c r="NCQ33" s="16"/>
      <c r="NCR33" s="16"/>
      <c r="NCS33" s="16"/>
      <c r="NCT33" s="16"/>
      <c r="NCU33" s="16"/>
      <c r="NCV33" s="16"/>
      <c r="NCW33" s="16"/>
      <c r="NCX33" s="16"/>
      <c r="NCY33" s="16"/>
      <c r="NCZ33" s="16"/>
      <c r="NDA33" s="16"/>
      <c r="NDB33" s="16"/>
      <c r="NDC33" s="16"/>
      <c r="NDD33" s="16"/>
      <c r="NDE33" s="16"/>
      <c r="NDF33" s="16"/>
      <c r="NDG33" s="16"/>
      <c r="NDH33" s="16"/>
      <c r="NDI33" s="16"/>
      <c r="NDJ33" s="16"/>
      <c r="NDK33" s="16"/>
      <c r="NDL33" s="16"/>
      <c r="NDM33" s="16"/>
      <c r="NDN33" s="16"/>
      <c r="NDO33" s="16"/>
      <c r="NDP33" s="16"/>
      <c r="NDQ33" s="16"/>
      <c r="NDR33" s="16"/>
      <c r="NDS33" s="16"/>
      <c r="NDT33" s="16"/>
      <c r="NDU33" s="16"/>
      <c r="NDV33" s="16"/>
      <c r="NDW33" s="16"/>
      <c r="NDX33" s="16"/>
      <c r="NDY33" s="16"/>
      <c r="NDZ33" s="16"/>
      <c r="NEA33" s="16"/>
      <c r="NEB33" s="16"/>
      <c r="NEC33" s="16"/>
      <c r="NED33" s="16"/>
      <c r="NEE33" s="16"/>
      <c r="NEF33" s="16"/>
      <c r="NEG33" s="16"/>
      <c r="NEH33" s="16"/>
      <c r="NEI33" s="16"/>
      <c r="NEJ33" s="16"/>
      <c r="NEK33" s="16"/>
      <c r="NEL33" s="16"/>
      <c r="NEM33" s="16"/>
      <c r="NEN33" s="16"/>
      <c r="NEO33" s="16"/>
      <c r="NEP33" s="16"/>
      <c r="NEQ33" s="16"/>
      <c r="NER33" s="16"/>
      <c r="NES33" s="16"/>
      <c r="NET33" s="16"/>
      <c r="NEU33" s="16"/>
      <c r="NEV33" s="16"/>
      <c r="NEW33" s="16"/>
      <c r="NEX33" s="16"/>
      <c r="NEY33" s="16"/>
      <c r="NEZ33" s="16"/>
      <c r="NFA33" s="16"/>
      <c r="NFB33" s="16"/>
      <c r="NFC33" s="16"/>
      <c r="NFD33" s="16"/>
      <c r="NFE33" s="16"/>
      <c r="NFF33" s="16"/>
      <c r="NFG33" s="16"/>
      <c r="NFH33" s="16"/>
      <c r="NFI33" s="16"/>
      <c r="NFJ33" s="16"/>
      <c r="NFK33" s="16"/>
      <c r="NFL33" s="16"/>
      <c r="NFM33" s="16"/>
      <c r="NFN33" s="16"/>
      <c r="NFO33" s="16"/>
      <c r="NFP33" s="16"/>
      <c r="NFQ33" s="16"/>
      <c r="NFR33" s="16"/>
      <c r="NFS33" s="16"/>
      <c r="NFT33" s="16"/>
      <c r="NFU33" s="16"/>
      <c r="NFV33" s="16"/>
      <c r="NFW33" s="16"/>
      <c r="NFX33" s="16"/>
      <c r="NFY33" s="16"/>
      <c r="NFZ33" s="16"/>
      <c r="NGA33" s="16"/>
      <c r="NGB33" s="16"/>
      <c r="NGC33" s="16"/>
      <c r="NGD33" s="16"/>
      <c r="NGE33" s="16"/>
      <c r="NGF33" s="16"/>
      <c r="NGG33" s="16"/>
      <c r="NGH33" s="16"/>
      <c r="NGI33" s="16"/>
      <c r="NGJ33" s="16"/>
      <c r="NGK33" s="16"/>
      <c r="NGL33" s="16"/>
      <c r="NGM33" s="16"/>
      <c r="NGN33" s="16"/>
      <c r="NGO33" s="16"/>
      <c r="NGP33" s="16"/>
      <c r="NGQ33" s="16"/>
      <c r="NGR33" s="16"/>
      <c r="NGS33" s="16"/>
      <c r="NGT33" s="16"/>
      <c r="NGU33" s="16"/>
      <c r="NGV33" s="16"/>
      <c r="NGW33" s="16"/>
      <c r="NGX33" s="16"/>
      <c r="NGY33" s="16"/>
      <c r="NGZ33" s="16"/>
      <c r="NHA33" s="16"/>
      <c r="NHB33" s="16"/>
      <c r="NHC33" s="16"/>
      <c r="NHD33" s="16"/>
      <c r="NHE33" s="16"/>
      <c r="NHF33" s="16"/>
      <c r="NHG33" s="16"/>
      <c r="NHH33" s="16"/>
      <c r="NHI33" s="16"/>
      <c r="NHJ33" s="16"/>
      <c r="NHK33" s="16"/>
      <c r="NHL33" s="16"/>
      <c r="NHM33" s="16"/>
      <c r="NHN33" s="16"/>
      <c r="NHO33" s="16"/>
      <c r="NHP33" s="16"/>
      <c r="NHQ33" s="16"/>
      <c r="NHR33" s="16"/>
      <c r="NHS33" s="16"/>
      <c r="NHT33" s="16"/>
      <c r="NHU33" s="16"/>
      <c r="NHV33" s="16"/>
      <c r="NHW33" s="16"/>
      <c r="NHX33" s="16"/>
      <c r="NHY33" s="16"/>
      <c r="NHZ33" s="16"/>
      <c r="NIA33" s="16"/>
      <c r="NIB33" s="16"/>
      <c r="NIC33" s="16"/>
      <c r="NID33" s="16"/>
      <c r="NIE33" s="16"/>
      <c r="NIF33" s="16"/>
      <c r="NIG33" s="16"/>
      <c r="NIH33" s="16"/>
      <c r="NII33" s="16"/>
      <c r="NIJ33" s="16"/>
      <c r="NIK33" s="16"/>
      <c r="NIL33" s="16"/>
      <c r="NIM33" s="16"/>
      <c r="NIN33" s="16"/>
      <c r="NIO33" s="16"/>
      <c r="NIP33" s="16"/>
      <c r="NIQ33" s="16"/>
      <c r="NIR33" s="16"/>
      <c r="NIS33" s="16"/>
      <c r="NIT33" s="16"/>
      <c r="NIU33" s="16"/>
      <c r="NIV33" s="16"/>
      <c r="NIW33" s="16"/>
      <c r="NIX33" s="16"/>
      <c r="NIY33" s="16"/>
      <c r="NIZ33" s="16"/>
      <c r="NJA33" s="16"/>
      <c r="NJB33" s="16"/>
      <c r="NJC33" s="16"/>
      <c r="NJD33" s="16"/>
      <c r="NJE33" s="16"/>
      <c r="NJF33" s="16"/>
      <c r="NJG33" s="16"/>
      <c r="NJH33" s="16"/>
      <c r="NJI33" s="16"/>
      <c r="NJJ33" s="16"/>
      <c r="NJK33" s="16"/>
      <c r="NJL33" s="16"/>
      <c r="NJM33" s="16"/>
      <c r="NJN33" s="16"/>
      <c r="NJO33" s="16"/>
      <c r="NJP33" s="16"/>
      <c r="NJQ33" s="16"/>
      <c r="NJR33" s="16"/>
      <c r="NJS33" s="16"/>
      <c r="NJT33" s="16"/>
      <c r="NJU33" s="16"/>
      <c r="NJV33" s="16"/>
      <c r="NJW33" s="16"/>
      <c r="NJX33" s="16"/>
      <c r="NJY33" s="16"/>
      <c r="NJZ33" s="16"/>
      <c r="NKA33" s="16"/>
      <c r="NKB33" s="16"/>
      <c r="NKC33" s="16"/>
      <c r="NKD33" s="16"/>
      <c r="NKE33" s="16"/>
      <c r="NKF33" s="16"/>
      <c r="NKG33" s="16"/>
      <c r="NKH33" s="16"/>
      <c r="NKI33" s="16"/>
      <c r="NKJ33" s="16"/>
      <c r="NKK33" s="16"/>
      <c r="NKL33" s="16"/>
      <c r="NKM33" s="16"/>
      <c r="NKN33" s="16"/>
      <c r="NKO33" s="16"/>
      <c r="NKP33" s="16"/>
      <c r="NKQ33" s="16"/>
      <c r="NKR33" s="16"/>
      <c r="NKS33" s="16"/>
      <c r="NKT33" s="16"/>
      <c r="NKU33" s="16"/>
      <c r="NKV33" s="16"/>
      <c r="NKW33" s="16"/>
      <c r="NKX33" s="16"/>
      <c r="NKY33" s="16"/>
      <c r="NKZ33" s="16"/>
      <c r="NLA33" s="16"/>
      <c r="NLB33" s="16"/>
      <c r="NLC33" s="16"/>
      <c r="NLD33" s="16"/>
      <c r="NLE33" s="16"/>
      <c r="NLF33" s="16"/>
      <c r="NLG33" s="16"/>
      <c r="NLH33" s="16"/>
      <c r="NLI33" s="16"/>
      <c r="NLJ33" s="16"/>
      <c r="NLK33" s="16"/>
      <c r="NLL33" s="16"/>
      <c r="NLM33" s="16"/>
      <c r="NLN33" s="16"/>
      <c r="NLO33" s="16"/>
      <c r="NLP33" s="16"/>
      <c r="NLQ33" s="16"/>
      <c r="NLR33" s="16"/>
      <c r="NLS33" s="16"/>
      <c r="NLT33" s="16"/>
      <c r="NLU33" s="16"/>
      <c r="NLV33" s="16"/>
      <c r="NLW33" s="16"/>
      <c r="NLX33" s="16"/>
      <c r="NLY33" s="16"/>
      <c r="NLZ33" s="16"/>
      <c r="NMA33" s="16"/>
      <c r="NMB33" s="16"/>
      <c r="NMC33" s="16"/>
      <c r="NMD33" s="16"/>
      <c r="NME33" s="16"/>
      <c r="NMF33" s="16"/>
      <c r="NMG33" s="16"/>
      <c r="NMH33" s="16"/>
      <c r="NMI33" s="16"/>
      <c r="NMJ33" s="16"/>
      <c r="NMK33" s="16"/>
      <c r="NML33" s="16"/>
      <c r="NMM33" s="16"/>
      <c r="NMN33" s="16"/>
      <c r="NMO33" s="16"/>
      <c r="NMP33" s="16"/>
      <c r="NMQ33" s="16"/>
      <c r="NMR33" s="16"/>
      <c r="NMS33" s="16"/>
      <c r="NMT33" s="16"/>
      <c r="NMU33" s="16"/>
      <c r="NMV33" s="16"/>
      <c r="NMW33" s="16"/>
      <c r="NMX33" s="16"/>
      <c r="NMY33" s="16"/>
      <c r="NMZ33" s="16"/>
      <c r="NNA33" s="16"/>
      <c r="NNB33" s="16"/>
      <c r="NNC33" s="16"/>
      <c r="NND33" s="16"/>
      <c r="NNE33" s="16"/>
      <c r="NNF33" s="16"/>
      <c r="NNG33" s="16"/>
      <c r="NNH33" s="16"/>
      <c r="NNI33" s="16"/>
      <c r="NNJ33" s="16"/>
      <c r="NNK33" s="16"/>
      <c r="NNL33" s="16"/>
      <c r="NNM33" s="16"/>
      <c r="NNN33" s="16"/>
      <c r="NNO33" s="16"/>
      <c r="NNP33" s="16"/>
      <c r="NNQ33" s="16"/>
      <c r="NNR33" s="16"/>
      <c r="NNS33" s="16"/>
      <c r="NNT33" s="16"/>
      <c r="NNU33" s="16"/>
      <c r="NNV33" s="16"/>
      <c r="NNW33" s="16"/>
      <c r="NNX33" s="16"/>
      <c r="NNY33" s="16"/>
      <c r="NNZ33" s="16"/>
      <c r="NOA33" s="16"/>
      <c r="NOB33" s="16"/>
      <c r="NOC33" s="16"/>
      <c r="NOD33" s="16"/>
      <c r="NOE33" s="16"/>
      <c r="NOF33" s="16"/>
      <c r="NOG33" s="16"/>
      <c r="NOH33" s="16"/>
      <c r="NOI33" s="16"/>
      <c r="NOJ33" s="16"/>
      <c r="NOK33" s="16"/>
      <c r="NOL33" s="16"/>
      <c r="NOM33" s="16"/>
      <c r="NON33" s="16"/>
      <c r="NOO33" s="16"/>
      <c r="NOP33" s="16"/>
      <c r="NOQ33" s="16"/>
      <c r="NOR33" s="16"/>
      <c r="NOS33" s="16"/>
      <c r="NOT33" s="16"/>
      <c r="NOU33" s="16"/>
      <c r="NOV33" s="16"/>
      <c r="NOW33" s="16"/>
      <c r="NOX33" s="16"/>
      <c r="NOY33" s="16"/>
      <c r="NOZ33" s="16"/>
      <c r="NPA33" s="16"/>
      <c r="NPB33" s="16"/>
      <c r="NPC33" s="16"/>
      <c r="NPD33" s="16"/>
      <c r="NPE33" s="16"/>
      <c r="NPF33" s="16"/>
      <c r="NPG33" s="16"/>
      <c r="NPH33" s="16"/>
      <c r="NPI33" s="16"/>
      <c r="NPJ33" s="16"/>
      <c r="NPK33" s="16"/>
      <c r="NPL33" s="16"/>
      <c r="NPM33" s="16"/>
      <c r="NPN33" s="16"/>
      <c r="NPO33" s="16"/>
      <c r="NPP33" s="16"/>
      <c r="NPQ33" s="16"/>
      <c r="NPR33" s="16"/>
      <c r="NPS33" s="16"/>
      <c r="NPT33" s="16"/>
      <c r="NPU33" s="16"/>
      <c r="NPV33" s="16"/>
      <c r="NPW33" s="16"/>
      <c r="NPX33" s="16"/>
      <c r="NPY33" s="16"/>
      <c r="NPZ33" s="16"/>
      <c r="NQA33" s="16"/>
      <c r="NQB33" s="16"/>
      <c r="NQC33" s="16"/>
      <c r="NQD33" s="16"/>
      <c r="NQE33" s="16"/>
      <c r="NQF33" s="16"/>
      <c r="NQG33" s="16"/>
      <c r="NQH33" s="16"/>
      <c r="NQI33" s="16"/>
      <c r="NQJ33" s="16"/>
      <c r="NQK33" s="16"/>
      <c r="NQL33" s="16"/>
      <c r="NQM33" s="16"/>
      <c r="NQN33" s="16"/>
      <c r="NQO33" s="16"/>
      <c r="NQP33" s="16"/>
      <c r="NQQ33" s="16"/>
      <c r="NQR33" s="16"/>
      <c r="NQS33" s="16"/>
      <c r="NQT33" s="16"/>
      <c r="NQU33" s="16"/>
      <c r="NQV33" s="16"/>
      <c r="NQW33" s="16"/>
      <c r="NQX33" s="16"/>
      <c r="NQY33" s="16"/>
      <c r="NQZ33" s="16"/>
      <c r="NRA33" s="16"/>
      <c r="NRB33" s="16"/>
      <c r="NRC33" s="16"/>
      <c r="NRD33" s="16"/>
      <c r="NRE33" s="16"/>
      <c r="NRF33" s="16"/>
      <c r="NRG33" s="16"/>
      <c r="NRH33" s="16"/>
      <c r="NRI33" s="16"/>
      <c r="NRJ33" s="16"/>
      <c r="NRK33" s="16"/>
      <c r="NRL33" s="16"/>
      <c r="NRM33" s="16"/>
      <c r="NRN33" s="16"/>
      <c r="NRO33" s="16"/>
      <c r="NRP33" s="16"/>
      <c r="NRQ33" s="16"/>
      <c r="NRR33" s="16"/>
      <c r="NRS33" s="16"/>
      <c r="NRT33" s="16"/>
      <c r="NRU33" s="16"/>
      <c r="NRV33" s="16"/>
      <c r="NRW33" s="16"/>
      <c r="NRX33" s="16"/>
      <c r="NRY33" s="16"/>
      <c r="NRZ33" s="16"/>
      <c r="NSA33" s="16"/>
      <c r="NSB33" s="16"/>
      <c r="NSC33" s="16"/>
      <c r="NSD33" s="16"/>
      <c r="NSE33" s="16"/>
      <c r="NSF33" s="16"/>
      <c r="NSG33" s="16"/>
      <c r="NSH33" s="16"/>
      <c r="NSI33" s="16"/>
      <c r="NSJ33" s="16"/>
      <c r="NSK33" s="16"/>
      <c r="NSL33" s="16"/>
      <c r="NSM33" s="16"/>
      <c r="NSN33" s="16"/>
      <c r="NSO33" s="16"/>
      <c r="NSP33" s="16"/>
      <c r="NSQ33" s="16"/>
      <c r="NSR33" s="16"/>
      <c r="NSS33" s="16"/>
      <c r="NST33" s="16"/>
      <c r="NSU33" s="16"/>
      <c r="NSV33" s="16"/>
      <c r="NSW33" s="16"/>
      <c r="NSX33" s="16"/>
      <c r="NSY33" s="16"/>
      <c r="NSZ33" s="16"/>
      <c r="NTA33" s="16"/>
      <c r="NTB33" s="16"/>
      <c r="NTC33" s="16"/>
      <c r="NTD33" s="16"/>
      <c r="NTE33" s="16"/>
      <c r="NTF33" s="16"/>
      <c r="NTG33" s="16"/>
      <c r="NTH33" s="16"/>
      <c r="NTI33" s="16"/>
      <c r="NTJ33" s="16"/>
      <c r="NTK33" s="16"/>
      <c r="NTL33" s="16"/>
      <c r="NTM33" s="16"/>
      <c r="NTN33" s="16"/>
      <c r="NTO33" s="16"/>
      <c r="NTP33" s="16"/>
      <c r="NTQ33" s="16"/>
      <c r="NTR33" s="16"/>
      <c r="NTS33" s="16"/>
      <c r="NTT33" s="16"/>
      <c r="NTU33" s="16"/>
      <c r="NTV33" s="16"/>
      <c r="NTW33" s="16"/>
      <c r="NTX33" s="16"/>
      <c r="NTY33" s="16"/>
      <c r="NTZ33" s="16"/>
      <c r="NUA33" s="16"/>
      <c r="NUB33" s="16"/>
      <c r="NUC33" s="16"/>
      <c r="NUD33" s="16"/>
      <c r="NUE33" s="16"/>
      <c r="NUF33" s="16"/>
      <c r="NUG33" s="16"/>
      <c r="NUH33" s="16"/>
      <c r="NUI33" s="16"/>
      <c r="NUJ33" s="16"/>
      <c r="NUK33" s="16"/>
      <c r="NUL33" s="16"/>
      <c r="NUM33" s="16"/>
      <c r="NUN33" s="16"/>
      <c r="NUO33" s="16"/>
      <c r="NUP33" s="16"/>
      <c r="NUQ33" s="16"/>
      <c r="NUR33" s="16"/>
      <c r="NUS33" s="16"/>
      <c r="NUT33" s="16"/>
      <c r="NUU33" s="16"/>
      <c r="NUV33" s="16"/>
      <c r="NUW33" s="16"/>
      <c r="NUX33" s="16"/>
      <c r="NUY33" s="16"/>
      <c r="NUZ33" s="16"/>
      <c r="NVA33" s="16"/>
      <c r="NVB33" s="16"/>
      <c r="NVC33" s="16"/>
      <c r="NVD33" s="16"/>
      <c r="NVE33" s="16"/>
      <c r="NVF33" s="16"/>
      <c r="NVG33" s="16"/>
      <c r="NVH33" s="16"/>
      <c r="NVI33" s="16"/>
      <c r="NVJ33" s="16"/>
      <c r="NVK33" s="16"/>
      <c r="NVL33" s="16"/>
      <c r="NVM33" s="16"/>
      <c r="NVN33" s="16"/>
      <c r="NVO33" s="16"/>
      <c r="NVP33" s="16"/>
      <c r="NVQ33" s="16"/>
      <c r="NVR33" s="16"/>
      <c r="NVS33" s="16"/>
      <c r="NVT33" s="16"/>
      <c r="NVU33" s="16"/>
      <c r="NVV33" s="16"/>
      <c r="NVW33" s="16"/>
      <c r="NVX33" s="16"/>
      <c r="NVY33" s="16"/>
      <c r="NVZ33" s="16"/>
      <c r="NWA33" s="16"/>
      <c r="NWB33" s="16"/>
      <c r="NWC33" s="16"/>
      <c r="NWD33" s="16"/>
      <c r="NWE33" s="16"/>
      <c r="NWF33" s="16"/>
      <c r="NWG33" s="16"/>
      <c r="NWH33" s="16"/>
      <c r="NWI33" s="16"/>
      <c r="NWJ33" s="16"/>
      <c r="NWK33" s="16"/>
      <c r="NWL33" s="16"/>
      <c r="NWM33" s="16"/>
      <c r="NWN33" s="16"/>
      <c r="NWO33" s="16"/>
      <c r="NWP33" s="16"/>
      <c r="NWQ33" s="16"/>
      <c r="NWR33" s="16"/>
      <c r="NWS33" s="16"/>
      <c r="NWT33" s="16"/>
      <c r="NWU33" s="16"/>
      <c r="NWV33" s="16"/>
      <c r="NWW33" s="16"/>
      <c r="NWX33" s="16"/>
      <c r="NWY33" s="16"/>
      <c r="NWZ33" s="16"/>
      <c r="NXA33" s="16"/>
      <c r="NXB33" s="16"/>
      <c r="NXC33" s="16"/>
      <c r="NXD33" s="16"/>
      <c r="NXE33" s="16"/>
      <c r="NXF33" s="16"/>
      <c r="NXG33" s="16"/>
      <c r="NXH33" s="16"/>
      <c r="NXI33" s="16"/>
      <c r="NXJ33" s="16"/>
      <c r="NXK33" s="16"/>
      <c r="NXL33" s="16"/>
      <c r="NXM33" s="16"/>
      <c r="NXN33" s="16"/>
      <c r="NXO33" s="16"/>
      <c r="NXP33" s="16"/>
      <c r="NXQ33" s="16"/>
      <c r="NXR33" s="16"/>
      <c r="NXS33" s="16"/>
      <c r="NXT33" s="16"/>
      <c r="NXU33" s="16"/>
      <c r="NXV33" s="16"/>
      <c r="NXW33" s="16"/>
      <c r="NXX33" s="16"/>
      <c r="NXY33" s="16"/>
      <c r="NXZ33" s="16"/>
      <c r="NYA33" s="16"/>
      <c r="NYB33" s="16"/>
      <c r="NYC33" s="16"/>
      <c r="NYD33" s="16"/>
      <c r="NYE33" s="16"/>
      <c r="NYF33" s="16"/>
      <c r="NYG33" s="16"/>
      <c r="NYH33" s="16"/>
      <c r="NYI33" s="16"/>
      <c r="NYJ33" s="16"/>
      <c r="NYK33" s="16"/>
      <c r="NYL33" s="16"/>
      <c r="NYM33" s="16"/>
      <c r="NYN33" s="16"/>
      <c r="NYO33" s="16"/>
      <c r="NYP33" s="16"/>
      <c r="NYQ33" s="16"/>
      <c r="NYR33" s="16"/>
      <c r="NYS33" s="16"/>
      <c r="NYT33" s="16"/>
      <c r="NYU33" s="16"/>
      <c r="NYV33" s="16"/>
      <c r="NYW33" s="16"/>
      <c r="NYX33" s="16"/>
      <c r="NYY33" s="16"/>
      <c r="NYZ33" s="16"/>
      <c r="NZA33" s="16"/>
      <c r="NZB33" s="16"/>
      <c r="NZC33" s="16"/>
      <c r="NZD33" s="16"/>
      <c r="NZE33" s="16"/>
      <c r="NZF33" s="16"/>
      <c r="NZG33" s="16"/>
      <c r="NZH33" s="16"/>
      <c r="NZI33" s="16"/>
      <c r="NZJ33" s="16"/>
      <c r="NZK33" s="16"/>
      <c r="NZL33" s="16"/>
      <c r="NZM33" s="16"/>
      <c r="NZN33" s="16"/>
      <c r="NZO33" s="16"/>
      <c r="NZP33" s="16"/>
      <c r="NZQ33" s="16"/>
      <c r="NZR33" s="16"/>
      <c r="NZS33" s="16"/>
      <c r="NZT33" s="16"/>
      <c r="NZU33" s="16"/>
      <c r="NZV33" s="16"/>
      <c r="NZW33" s="16"/>
      <c r="NZX33" s="16"/>
      <c r="NZY33" s="16"/>
      <c r="NZZ33" s="16"/>
      <c r="OAA33" s="16"/>
      <c r="OAB33" s="16"/>
      <c r="OAC33" s="16"/>
      <c r="OAD33" s="16"/>
      <c r="OAE33" s="16"/>
      <c r="OAF33" s="16"/>
      <c r="OAG33" s="16"/>
      <c r="OAH33" s="16"/>
      <c r="OAI33" s="16"/>
      <c r="OAJ33" s="16"/>
      <c r="OAK33" s="16"/>
      <c r="OAL33" s="16"/>
      <c r="OAM33" s="16"/>
      <c r="OAN33" s="16"/>
      <c r="OAO33" s="16"/>
      <c r="OAP33" s="16"/>
      <c r="OAQ33" s="16"/>
      <c r="OAR33" s="16"/>
      <c r="OAS33" s="16"/>
      <c r="OAT33" s="16"/>
      <c r="OAU33" s="16"/>
      <c r="OAV33" s="16"/>
      <c r="OAW33" s="16"/>
      <c r="OAX33" s="16"/>
      <c r="OAY33" s="16"/>
      <c r="OAZ33" s="16"/>
      <c r="OBA33" s="16"/>
      <c r="OBB33" s="16"/>
      <c r="OBC33" s="16"/>
      <c r="OBD33" s="16"/>
      <c r="OBE33" s="16"/>
      <c r="OBF33" s="16"/>
      <c r="OBG33" s="16"/>
      <c r="OBH33" s="16"/>
      <c r="OBI33" s="16"/>
      <c r="OBJ33" s="16"/>
      <c r="OBK33" s="16"/>
      <c r="OBL33" s="16"/>
      <c r="OBM33" s="16"/>
      <c r="OBN33" s="16"/>
      <c r="OBO33" s="16"/>
      <c r="OBP33" s="16"/>
      <c r="OBQ33" s="16"/>
      <c r="OBR33" s="16"/>
      <c r="OBS33" s="16"/>
      <c r="OBT33" s="16"/>
      <c r="OBU33" s="16"/>
      <c r="OBV33" s="16"/>
      <c r="OBW33" s="16"/>
      <c r="OBX33" s="16"/>
      <c r="OBY33" s="16"/>
      <c r="OBZ33" s="16"/>
      <c r="OCA33" s="16"/>
      <c r="OCB33" s="16"/>
      <c r="OCC33" s="16"/>
      <c r="OCD33" s="16"/>
      <c r="OCE33" s="16"/>
      <c r="OCF33" s="16"/>
      <c r="OCG33" s="16"/>
      <c r="OCH33" s="16"/>
      <c r="OCI33" s="16"/>
      <c r="OCJ33" s="16"/>
      <c r="OCK33" s="16"/>
      <c r="OCL33" s="16"/>
      <c r="OCM33" s="16"/>
      <c r="OCN33" s="16"/>
      <c r="OCO33" s="16"/>
      <c r="OCP33" s="16"/>
      <c r="OCQ33" s="16"/>
      <c r="OCR33" s="16"/>
      <c r="OCS33" s="16"/>
      <c r="OCT33" s="16"/>
      <c r="OCU33" s="16"/>
      <c r="OCV33" s="16"/>
      <c r="OCW33" s="16"/>
      <c r="OCX33" s="16"/>
      <c r="OCY33" s="16"/>
      <c r="OCZ33" s="16"/>
      <c r="ODA33" s="16"/>
      <c r="ODB33" s="16"/>
      <c r="ODC33" s="16"/>
      <c r="ODD33" s="16"/>
      <c r="ODE33" s="16"/>
      <c r="ODF33" s="16"/>
      <c r="ODG33" s="16"/>
      <c r="ODH33" s="16"/>
      <c r="ODI33" s="16"/>
      <c r="ODJ33" s="16"/>
      <c r="ODK33" s="16"/>
      <c r="ODL33" s="16"/>
      <c r="ODM33" s="16"/>
      <c r="ODN33" s="16"/>
      <c r="ODO33" s="16"/>
      <c r="ODP33" s="16"/>
      <c r="ODQ33" s="16"/>
      <c r="ODR33" s="16"/>
      <c r="ODS33" s="16"/>
      <c r="ODT33" s="16"/>
      <c r="ODU33" s="16"/>
      <c r="ODV33" s="16"/>
      <c r="ODW33" s="16"/>
      <c r="ODX33" s="16"/>
      <c r="ODY33" s="16"/>
      <c r="ODZ33" s="16"/>
      <c r="OEA33" s="16"/>
      <c r="OEB33" s="16"/>
      <c r="OEC33" s="16"/>
      <c r="OED33" s="16"/>
      <c r="OEE33" s="16"/>
      <c r="OEF33" s="16"/>
      <c r="OEG33" s="16"/>
      <c r="OEH33" s="16"/>
      <c r="OEI33" s="16"/>
      <c r="OEJ33" s="16"/>
      <c r="OEK33" s="16"/>
      <c r="OEL33" s="16"/>
      <c r="OEM33" s="16"/>
      <c r="OEN33" s="16"/>
      <c r="OEO33" s="16"/>
      <c r="OEP33" s="16"/>
      <c r="OEQ33" s="16"/>
      <c r="OER33" s="16"/>
      <c r="OES33" s="16"/>
      <c r="OET33" s="16"/>
      <c r="OEU33" s="16"/>
      <c r="OEV33" s="16"/>
      <c r="OEW33" s="16"/>
      <c r="OEX33" s="16"/>
      <c r="OEY33" s="16"/>
      <c r="OEZ33" s="16"/>
      <c r="OFA33" s="16"/>
      <c r="OFB33" s="16"/>
      <c r="OFC33" s="16"/>
      <c r="OFD33" s="16"/>
      <c r="OFE33" s="16"/>
      <c r="OFF33" s="16"/>
      <c r="OFG33" s="16"/>
      <c r="OFH33" s="16"/>
      <c r="OFI33" s="16"/>
      <c r="OFJ33" s="16"/>
      <c r="OFK33" s="16"/>
      <c r="OFL33" s="16"/>
      <c r="OFM33" s="16"/>
      <c r="OFN33" s="16"/>
      <c r="OFO33" s="16"/>
      <c r="OFP33" s="16"/>
      <c r="OFQ33" s="16"/>
      <c r="OFR33" s="16"/>
      <c r="OFS33" s="16"/>
      <c r="OFT33" s="16"/>
      <c r="OFU33" s="16"/>
      <c r="OFV33" s="16"/>
      <c r="OFW33" s="16"/>
      <c r="OFX33" s="16"/>
      <c r="OFY33" s="16"/>
      <c r="OFZ33" s="16"/>
      <c r="OGA33" s="16"/>
      <c r="OGB33" s="16"/>
      <c r="OGC33" s="16"/>
      <c r="OGD33" s="16"/>
      <c r="OGE33" s="16"/>
      <c r="OGF33" s="16"/>
      <c r="OGG33" s="16"/>
      <c r="OGH33" s="16"/>
      <c r="OGI33" s="16"/>
      <c r="OGJ33" s="16"/>
      <c r="OGK33" s="16"/>
      <c r="OGL33" s="16"/>
      <c r="OGM33" s="16"/>
      <c r="OGN33" s="16"/>
      <c r="OGO33" s="16"/>
      <c r="OGP33" s="16"/>
      <c r="OGQ33" s="16"/>
      <c r="OGR33" s="16"/>
      <c r="OGS33" s="16"/>
      <c r="OGT33" s="16"/>
      <c r="OGU33" s="16"/>
      <c r="OGV33" s="16"/>
      <c r="OGW33" s="16"/>
      <c r="OGX33" s="16"/>
      <c r="OGY33" s="16"/>
      <c r="OGZ33" s="16"/>
      <c r="OHA33" s="16"/>
      <c r="OHB33" s="16"/>
      <c r="OHC33" s="16"/>
      <c r="OHD33" s="16"/>
      <c r="OHE33" s="16"/>
      <c r="OHF33" s="16"/>
      <c r="OHG33" s="16"/>
      <c r="OHH33" s="16"/>
      <c r="OHI33" s="16"/>
      <c r="OHJ33" s="16"/>
      <c r="OHK33" s="16"/>
      <c r="OHL33" s="16"/>
      <c r="OHM33" s="16"/>
      <c r="OHN33" s="16"/>
      <c r="OHO33" s="16"/>
      <c r="OHP33" s="16"/>
      <c r="OHQ33" s="16"/>
      <c r="OHR33" s="16"/>
      <c r="OHS33" s="16"/>
      <c r="OHT33" s="16"/>
      <c r="OHU33" s="16"/>
      <c r="OHV33" s="16"/>
      <c r="OHW33" s="16"/>
      <c r="OHX33" s="16"/>
      <c r="OHY33" s="16"/>
      <c r="OHZ33" s="16"/>
      <c r="OIA33" s="16"/>
      <c r="OIB33" s="16"/>
      <c r="OIC33" s="16"/>
      <c r="OID33" s="16"/>
      <c r="OIE33" s="16"/>
      <c r="OIF33" s="16"/>
      <c r="OIG33" s="16"/>
      <c r="OIH33" s="16"/>
      <c r="OII33" s="16"/>
      <c r="OIJ33" s="16"/>
      <c r="OIK33" s="16"/>
      <c r="OIL33" s="16"/>
      <c r="OIM33" s="16"/>
      <c r="OIN33" s="16"/>
      <c r="OIO33" s="16"/>
      <c r="OIP33" s="16"/>
      <c r="OIQ33" s="16"/>
      <c r="OIR33" s="16"/>
      <c r="OIS33" s="16"/>
      <c r="OIT33" s="16"/>
      <c r="OIU33" s="16"/>
      <c r="OIV33" s="16"/>
      <c r="OIW33" s="16"/>
      <c r="OIX33" s="16"/>
      <c r="OIY33" s="16"/>
      <c r="OIZ33" s="16"/>
      <c r="OJA33" s="16"/>
      <c r="OJB33" s="16"/>
      <c r="OJC33" s="16"/>
      <c r="OJD33" s="16"/>
      <c r="OJE33" s="16"/>
      <c r="OJF33" s="16"/>
      <c r="OJG33" s="16"/>
      <c r="OJH33" s="16"/>
      <c r="OJI33" s="16"/>
      <c r="OJJ33" s="16"/>
      <c r="OJK33" s="16"/>
      <c r="OJL33" s="16"/>
      <c r="OJM33" s="16"/>
      <c r="OJN33" s="16"/>
      <c r="OJO33" s="16"/>
      <c r="OJP33" s="16"/>
      <c r="OJQ33" s="16"/>
      <c r="OJR33" s="16"/>
      <c r="OJS33" s="16"/>
      <c r="OJT33" s="16"/>
      <c r="OJU33" s="16"/>
      <c r="OJV33" s="16"/>
      <c r="OJW33" s="16"/>
      <c r="OJX33" s="16"/>
      <c r="OJY33" s="16"/>
      <c r="OJZ33" s="16"/>
      <c r="OKA33" s="16"/>
      <c r="OKB33" s="16"/>
      <c r="OKC33" s="16"/>
      <c r="OKD33" s="16"/>
      <c r="OKE33" s="16"/>
      <c r="OKF33" s="16"/>
      <c r="OKG33" s="16"/>
      <c r="OKH33" s="16"/>
      <c r="OKI33" s="16"/>
      <c r="OKJ33" s="16"/>
      <c r="OKK33" s="16"/>
      <c r="OKL33" s="16"/>
      <c r="OKM33" s="16"/>
      <c r="OKN33" s="16"/>
      <c r="OKO33" s="16"/>
      <c r="OKP33" s="16"/>
      <c r="OKQ33" s="16"/>
      <c r="OKR33" s="16"/>
      <c r="OKS33" s="16"/>
      <c r="OKT33" s="16"/>
      <c r="OKU33" s="16"/>
      <c r="OKV33" s="16"/>
      <c r="OKW33" s="16"/>
      <c r="OKX33" s="16"/>
      <c r="OKY33" s="16"/>
      <c r="OKZ33" s="16"/>
      <c r="OLA33" s="16"/>
      <c r="OLB33" s="16"/>
      <c r="OLC33" s="16"/>
      <c r="OLD33" s="16"/>
      <c r="OLE33" s="16"/>
      <c r="OLF33" s="16"/>
      <c r="OLG33" s="16"/>
      <c r="OLH33" s="16"/>
      <c r="OLI33" s="16"/>
      <c r="OLJ33" s="16"/>
      <c r="OLK33" s="16"/>
      <c r="OLL33" s="16"/>
      <c r="OLM33" s="16"/>
      <c r="OLN33" s="16"/>
      <c r="OLO33" s="16"/>
      <c r="OLP33" s="16"/>
      <c r="OLQ33" s="16"/>
      <c r="OLR33" s="16"/>
      <c r="OLS33" s="16"/>
      <c r="OLT33" s="16"/>
      <c r="OLU33" s="16"/>
      <c r="OLV33" s="16"/>
      <c r="OLW33" s="16"/>
      <c r="OLX33" s="16"/>
      <c r="OLY33" s="16"/>
      <c r="OLZ33" s="16"/>
      <c r="OMA33" s="16"/>
      <c r="OMB33" s="16"/>
      <c r="OMC33" s="16"/>
      <c r="OMD33" s="16"/>
      <c r="OME33" s="16"/>
      <c r="OMF33" s="16"/>
      <c r="OMG33" s="16"/>
      <c r="OMH33" s="16"/>
      <c r="OMI33" s="16"/>
      <c r="OMJ33" s="16"/>
      <c r="OMK33" s="16"/>
      <c r="OML33" s="16"/>
      <c r="OMM33" s="16"/>
      <c r="OMN33" s="16"/>
      <c r="OMO33" s="16"/>
      <c r="OMP33" s="16"/>
      <c r="OMQ33" s="16"/>
      <c r="OMR33" s="16"/>
      <c r="OMS33" s="16"/>
      <c r="OMT33" s="16"/>
      <c r="OMU33" s="16"/>
      <c r="OMV33" s="16"/>
      <c r="OMW33" s="16"/>
      <c r="OMX33" s="16"/>
      <c r="OMY33" s="16"/>
      <c r="OMZ33" s="16"/>
      <c r="ONA33" s="16"/>
      <c r="ONB33" s="16"/>
      <c r="ONC33" s="16"/>
      <c r="OND33" s="16"/>
      <c r="ONE33" s="16"/>
      <c r="ONF33" s="16"/>
      <c r="ONG33" s="16"/>
      <c r="ONH33" s="16"/>
      <c r="ONI33" s="16"/>
      <c r="ONJ33" s="16"/>
      <c r="ONK33" s="16"/>
      <c r="ONL33" s="16"/>
      <c r="ONM33" s="16"/>
      <c r="ONN33" s="16"/>
      <c r="ONO33" s="16"/>
      <c r="ONP33" s="16"/>
      <c r="ONQ33" s="16"/>
      <c r="ONR33" s="16"/>
      <c r="ONS33" s="16"/>
      <c r="ONT33" s="16"/>
      <c r="ONU33" s="16"/>
      <c r="ONV33" s="16"/>
      <c r="ONW33" s="16"/>
      <c r="ONX33" s="16"/>
      <c r="ONY33" s="16"/>
      <c r="ONZ33" s="16"/>
      <c r="OOA33" s="16"/>
      <c r="OOB33" s="16"/>
      <c r="OOC33" s="16"/>
      <c r="OOD33" s="16"/>
      <c r="OOE33" s="16"/>
      <c r="OOF33" s="16"/>
      <c r="OOG33" s="16"/>
      <c r="OOH33" s="16"/>
      <c r="OOI33" s="16"/>
      <c r="OOJ33" s="16"/>
      <c r="OOK33" s="16"/>
      <c r="OOL33" s="16"/>
      <c r="OOM33" s="16"/>
      <c r="OON33" s="16"/>
      <c r="OOO33" s="16"/>
      <c r="OOP33" s="16"/>
      <c r="OOQ33" s="16"/>
      <c r="OOR33" s="16"/>
      <c r="OOS33" s="16"/>
      <c r="OOT33" s="16"/>
      <c r="OOU33" s="16"/>
      <c r="OOV33" s="16"/>
      <c r="OOW33" s="16"/>
      <c r="OOX33" s="16"/>
      <c r="OOY33" s="16"/>
      <c r="OOZ33" s="16"/>
      <c r="OPA33" s="16"/>
      <c r="OPB33" s="16"/>
      <c r="OPC33" s="16"/>
      <c r="OPD33" s="16"/>
      <c r="OPE33" s="16"/>
      <c r="OPF33" s="16"/>
      <c r="OPG33" s="16"/>
      <c r="OPH33" s="16"/>
      <c r="OPI33" s="16"/>
      <c r="OPJ33" s="16"/>
      <c r="OPK33" s="16"/>
      <c r="OPL33" s="16"/>
      <c r="OPM33" s="16"/>
      <c r="OPN33" s="16"/>
      <c r="OPO33" s="16"/>
      <c r="OPP33" s="16"/>
      <c r="OPQ33" s="16"/>
      <c r="OPR33" s="16"/>
      <c r="OPS33" s="16"/>
      <c r="OPT33" s="16"/>
      <c r="OPU33" s="16"/>
      <c r="OPV33" s="16"/>
      <c r="OPW33" s="16"/>
      <c r="OPX33" s="16"/>
      <c r="OPY33" s="16"/>
      <c r="OPZ33" s="16"/>
      <c r="OQA33" s="16"/>
      <c r="OQB33" s="16"/>
      <c r="OQC33" s="16"/>
      <c r="OQD33" s="16"/>
      <c r="OQE33" s="16"/>
      <c r="OQF33" s="16"/>
      <c r="OQG33" s="16"/>
      <c r="OQH33" s="16"/>
      <c r="OQI33" s="16"/>
      <c r="OQJ33" s="16"/>
      <c r="OQK33" s="16"/>
      <c r="OQL33" s="16"/>
      <c r="OQM33" s="16"/>
      <c r="OQN33" s="16"/>
      <c r="OQO33" s="16"/>
      <c r="OQP33" s="16"/>
      <c r="OQQ33" s="16"/>
      <c r="OQR33" s="16"/>
      <c r="OQS33" s="16"/>
      <c r="OQT33" s="16"/>
      <c r="OQU33" s="16"/>
      <c r="OQV33" s="16"/>
      <c r="OQW33" s="16"/>
      <c r="OQX33" s="16"/>
      <c r="OQY33" s="16"/>
      <c r="OQZ33" s="16"/>
      <c r="ORA33" s="16"/>
      <c r="ORB33" s="16"/>
      <c r="ORC33" s="16"/>
      <c r="ORD33" s="16"/>
      <c r="ORE33" s="16"/>
      <c r="ORF33" s="16"/>
      <c r="ORG33" s="16"/>
      <c r="ORH33" s="16"/>
      <c r="ORI33" s="16"/>
      <c r="ORJ33" s="16"/>
      <c r="ORK33" s="16"/>
      <c r="ORL33" s="16"/>
      <c r="ORM33" s="16"/>
      <c r="ORN33" s="16"/>
      <c r="ORO33" s="16"/>
      <c r="ORP33" s="16"/>
      <c r="ORQ33" s="16"/>
      <c r="ORR33" s="16"/>
      <c r="ORS33" s="16"/>
      <c r="ORT33" s="16"/>
      <c r="ORU33" s="16"/>
      <c r="ORV33" s="16"/>
      <c r="ORW33" s="16"/>
      <c r="ORX33" s="16"/>
      <c r="ORY33" s="16"/>
      <c r="ORZ33" s="16"/>
      <c r="OSA33" s="16"/>
      <c r="OSB33" s="16"/>
      <c r="OSC33" s="16"/>
      <c r="OSD33" s="16"/>
      <c r="OSE33" s="16"/>
      <c r="OSF33" s="16"/>
      <c r="OSG33" s="16"/>
      <c r="OSH33" s="16"/>
      <c r="OSI33" s="16"/>
      <c r="OSJ33" s="16"/>
      <c r="OSK33" s="16"/>
      <c r="OSL33" s="16"/>
      <c r="OSM33" s="16"/>
      <c r="OSN33" s="16"/>
      <c r="OSO33" s="16"/>
      <c r="OSP33" s="16"/>
      <c r="OSQ33" s="16"/>
      <c r="OSR33" s="16"/>
      <c r="OSS33" s="16"/>
      <c r="OST33" s="16"/>
      <c r="OSU33" s="16"/>
      <c r="OSV33" s="16"/>
      <c r="OSW33" s="16"/>
      <c r="OSX33" s="16"/>
      <c r="OSY33" s="16"/>
      <c r="OSZ33" s="16"/>
      <c r="OTA33" s="16"/>
      <c r="OTB33" s="16"/>
      <c r="OTC33" s="16"/>
      <c r="OTD33" s="16"/>
      <c r="OTE33" s="16"/>
      <c r="OTF33" s="16"/>
      <c r="OTG33" s="16"/>
      <c r="OTH33" s="16"/>
      <c r="OTI33" s="16"/>
      <c r="OTJ33" s="16"/>
      <c r="OTK33" s="16"/>
      <c r="OTL33" s="16"/>
      <c r="OTM33" s="16"/>
      <c r="OTN33" s="16"/>
      <c r="OTO33" s="16"/>
      <c r="OTP33" s="16"/>
      <c r="OTQ33" s="16"/>
      <c r="OTR33" s="16"/>
      <c r="OTS33" s="16"/>
      <c r="OTT33" s="16"/>
      <c r="OTU33" s="16"/>
      <c r="OTV33" s="16"/>
      <c r="OTW33" s="16"/>
      <c r="OTX33" s="16"/>
      <c r="OTY33" s="16"/>
      <c r="OTZ33" s="16"/>
      <c r="OUA33" s="16"/>
      <c r="OUB33" s="16"/>
      <c r="OUC33" s="16"/>
      <c r="OUD33" s="16"/>
      <c r="OUE33" s="16"/>
      <c r="OUF33" s="16"/>
      <c r="OUG33" s="16"/>
      <c r="OUH33" s="16"/>
      <c r="OUI33" s="16"/>
      <c r="OUJ33" s="16"/>
      <c r="OUK33" s="16"/>
      <c r="OUL33" s="16"/>
      <c r="OUM33" s="16"/>
      <c r="OUN33" s="16"/>
      <c r="OUO33" s="16"/>
      <c r="OUP33" s="16"/>
      <c r="OUQ33" s="16"/>
      <c r="OUR33" s="16"/>
      <c r="OUS33" s="16"/>
      <c r="OUT33" s="16"/>
      <c r="OUU33" s="16"/>
      <c r="OUV33" s="16"/>
      <c r="OUW33" s="16"/>
      <c r="OUX33" s="16"/>
      <c r="OUY33" s="16"/>
      <c r="OUZ33" s="16"/>
      <c r="OVA33" s="16"/>
      <c r="OVB33" s="16"/>
      <c r="OVC33" s="16"/>
      <c r="OVD33" s="16"/>
      <c r="OVE33" s="16"/>
      <c r="OVF33" s="16"/>
      <c r="OVG33" s="16"/>
      <c r="OVH33" s="16"/>
      <c r="OVI33" s="16"/>
      <c r="OVJ33" s="16"/>
      <c r="OVK33" s="16"/>
      <c r="OVL33" s="16"/>
      <c r="OVM33" s="16"/>
      <c r="OVN33" s="16"/>
      <c r="OVO33" s="16"/>
      <c r="OVP33" s="16"/>
      <c r="OVQ33" s="16"/>
      <c r="OVR33" s="16"/>
      <c r="OVS33" s="16"/>
      <c r="OVT33" s="16"/>
      <c r="OVU33" s="16"/>
      <c r="OVV33" s="16"/>
      <c r="OVW33" s="16"/>
      <c r="OVX33" s="16"/>
      <c r="OVY33" s="16"/>
      <c r="OVZ33" s="16"/>
      <c r="OWA33" s="16"/>
      <c r="OWB33" s="16"/>
      <c r="OWC33" s="16"/>
      <c r="OWD33" s="16"/>
      <c r="OWE33" s="16"/>
      <c r="OWF33" s="16"/>
      <c r="OWG33" s="16"/>
      <c r="OWH33" s="16"/>
      <c r="OWI33" s="16"/>
      <c r="OWJ33" s="16"/>
      <c r="OWK33" s="16"/>
      <c r="OWL33" s="16"/>
      <c r="OWM33" s="16"/>
      <c r="OWN33" s="16"/>
      <c r="OWO33" s="16"/>
      <c r="OWP33" s="16"/>
      <c r="OWQ33" s="16"/>
      <c r="OWR33" s="16"/>
      <c r="OWS33" s="16"/>
      <c r="OWT33" s="16"/>
      <c r="OWU33" s="16"/>
      <c r="OWV33" s="16"/>
      <c r="OWW33" s="16"/>
      <c r="OWX33" s="16"/>
      <c r="OWY33" s="16"/>
      <c r="OWZ33" s="16"/>
      <c r="OXA33" s="16"/>
      <c r="OXB33" s="16"/>
      <c r="OXC33" s="16"/>
      <c r="OXD33" s="16"/>
      <c r="OXE33" s="16"/>
      <c r="OXF33" s="16"/>
      <c r="OXG33" s="16"/>
      <c r="OXH33" s="16"/>
      <c r="OXI33" s="16"/>
      <c r="OXJ33" s="16"/>
      <c r="OXK33" s="16"/>
      <c r="OXL33" s="16"/>
      <c r="OXM33" s="16"/>
      <c r="OXN33" s="16"/>
      <c r="OXO33" s="16"/>
      <c r="OXP33" s="16"/>
      <c r="OXQ33" s="16"/>
      <c r="OXR33" s="16"/>
      <c r="OXS33" s="16"/>
      <c r="OXT33" s="16"/>
      <c r="OXU33" s="16"/>
      <c r="OXV33" s="16"/>
      <c r="OXW33" s="16"/>
      <c r="OXX33" s="16"/>
      <c r="OXY33" s="16"/>
      <c r="OXZ33" s="16"/>
      <c r="OYA33" s="16"/>
      <c r="OYB33" s="16"/>
      <c r="OYC33" s="16"/>
      <c r="OYD33" s="16"/>
      <c r="OYE33" s="16"/>
      <c r="OYF33" s="16"/>
      <c r="OYG33" s="16"/>
      <c r="OYH33" s="16"/>
      <c r="OYI33" s="16"/>
      <c r="OYJ33" s="16"/>
      <c r="OYK33" s="16"/>
      <c r="OYL33" s="16"/>
      <c r="OYM33" s="16"/>
      <c r="OYN33" s="16"/>
      <c r="OYO33" s="16"/>
      <c r="OYP33" s="16"/>
      <c r="OYQ33" s="16"/>
      <c r="OYR33" s="16"/>
      <c r="OYS33" s="16"/>
      <c r="OYT33" s="16"/>
      <c r="OYU33" s="16"/>
      <c r="OYV33" s="16"/>
      <c r="OYW33" s="16"/>
      <c r="OYX33" s="16"/>
      <c r="OYY33" s="16"/>
      <c r="OYZ33" s="16"/>
      <c r="OZA33" s="16"/>
      <c r="OZB33" s="16"/>
      <c r="OZC33" s="16"/>
      <c r="OZD33" s="16"/>
      <c r="OZE33" s="16"/>
      <c r="OZF33" s="16"/>
      <c r="OZG33" s="16"/>
      <c r="OZH33" s="16"/>
      <c r="OZI33" s="16"/>
      <c r="OZJ33" s="16"/>
      <c r="OZK33" s="16"/>
      <c r="OZL33" s="16"/>
      <c r="OZM33" s="16"/>
      <c r="OZN33" s="16"/>
      <c r="OZO33" s="16"/>
      <c r="OZP33" s="16"/>
      <c r="OZQ33" s="16"/>
      <c r="OZR33" s="16"/>
      <c r="OZS33" s="16"/>
      <c r="OZT33" s="16"/>
      <c r="OZU33" s="16"/>
      <c r="OZV33" s="16"/>
      <c r="OZW33" s="16"/>
      <c r="OZX33" s="16"/>
      <c r="OZY33" s="16"/>
      <c r="OZZ33" s="16"/>
      <c r="PAA33" s="16"/>
      <c r="PAB33" s="16"/>
      <c r="PAC33" s="16"/>
      <c r="PAD33" s="16"/>
      <c r="PAE33" s="16"/>
      <c r="PAF33" s="16"/>
      <c r="PAG33" s="16"/>
      <c r="PAH33" s="16"/>
      <c r="PAI33" s="16"/>
      <c r="PAJ33" s="16"/>
      <c r="PAK33" s="16"/>
      <c r="PAL33" s="16"/>
      <c r="PAM33" s="16"/>
      <c r="PAN33" s="16"/>
      <c r="PAO33" s="16"/>
      <c r="PAP33" s="16"/>
      <c r="PAQ33" s="16"/>
      <c r="PAR33" s="16"/>
      <c r="PAS33" s="16"/>
      <c r="PAT33" s="16"/>
      <c r="PAU33" s="16"/>
      <c r="PAV33" s="16"/>
      <c r="PAW33" s="16"/>
      <c r="PAX33" s="16"/>
      <c r="PAY33" s="16"/>
      <c r="PAZ33" s="16"/>
      <c r="PBA33" s="16"/>
      <c r="PBB33" s="16"/>
      <c r="PBC33" s="16"/>
      <c r="PBD33" s="16"/>
      <c r="PBE33" s="16"/>
      <c r="PBF33" s="16"/>
      <c r="PBG33" s="16"/>
      <c r="PBH33" s="16"/>
      <c r="PBI33" s="16"/>
      <c r="PBJ33" s="16"/>
      <c r="PBK33" s="16"/>
      <c r="PBL33" s="16"/>
      <c r="PBM33" s="16"/>
      <c r="PBN33" s="16"/>
      <c r="PBO33" s="16"/>
      <c r="PBP33" s="16"/>
      <c r="PBQ33" s="16"/>
      <c r="PBR33" s="16"/>
      <c r="PBS33" s="16"/>
      <c r="PBT33" s="16"/>
      <c r="PBU33" s="16"/>
      <c r="PBV33" s="16"/>
      <c r="PBW33" s="16"/>
      <c r="PBX33" s="16"/>
      <c r="PBY33" s="16"/>
      <c r="PBZ33" s="16"/>
      <c r="PCA33" s="16"/>
      <c r="PCB33" s="16"/>
      <c r="PCC33" s="16"/>
      <c r="PCD33" s="16"/>
      <c r="PCE33" s="16"/>
      <c r="PCF33" s="16"/>
      <c r="PCG33" s="16"/>
      <c r="PCH33" s="16"/>
      <c r="PCI33" s="16"/>
      <c r="PCJ33" s="16"/>
      <c r="PCK33" s="16"/>
      <c r="PCL33" s="16"/>
      <c r="PCM33" s="16"/>
      <c r="PCN33" s="16"/>
      <c r="PCO33" s="16"/>
      <c r="PCP33" s="16"/>
      <c r="PCQ33" s="16"/>
      <c r="PCR33" s="16"/>
      <c r="PCS33" s="16"/>
      <c r="PCT33" s="16"/>
      <c r="PCU33" s="16"/>
      <c r="PCV33" s="16"/>
      <c r="PCW33" s="16"/>
      <c r="PCX33" s="16"/>
      <c r="PCY33" s="16"/>
      <c r="PCZ33" s="16"/>
      <c r="PDA33" s="16"/>
      <c r="PDB33" s="16"/>
      <c r="PDC33" s="16"/>
      <c r="PDD33" s="16"/>
      <c r="PDE33" s="16"/>
      <c r="PDF33" s="16"/>
      <c r="PDG33" s="16"/>
      <c r="PDH33" s="16"/>
      <c r="PDI33" s="16"/>
      <c r="PDJ33" s="16"/>
      <c r="PDK33" s="16"/>
      <c r="PDL33" s="16"/>
      <c r="PDM33" s="16"/>
      <c r="PDN33" s="16"/>
      <c r="PDO33" s="16"/>
      <c r="PDP33" s="16"/>
      <c r="PDQ33" s="16"/>
      <c r="PDR33" s="16"/>
      <c r="PDS33" s="16"/>
      <c r="PDT33" s="16"/>
      <c r="PDU33" s="16"/>
      <c r="PDV33" s="16"/>
      <c r="PDW33" s="16"/>
      <c r="PDX33" s="16"/>
      <c r="PDY33" s="16"/>
      <c r="PDZ33" s="16"/>
      <c r="PEA33" s="16"/>
      <c r="PEB33" s="16"/>
      <c r="PEC33" s="16"/>
      <c r="PED33" s="16"/>
      <c r="PEE33" s="16"/>
      <c r="PEF33" s="16"/>
      <c r="PEG33" s="16"/>
      <c r="PEH33" s="16"/>
      <c r="PEI33" s="16"/>
      <c r="PEJ33" s="16"/>
      <c r="PEK33" s="16"/>
      <c r="PEL33" s="16"/>
      <c r="PEM33" s="16"/>
      <c r="PEN33" s="16"/>
      <c r="PEO33" s="16"/>
      <c r="PEP33" s="16"/>
      <c r="PEQ33" s="16"/>
      <c r="PER33" s="16"/>
      <c r="PES33" s="16"/>
      <c r="PET33" s="16"/>
      <c r="PEU33" s="16"/>
      <c r="PEV33" s="16"/>
      <c r="PEW33" s="16"/>
      <c r="PEX33" s="16"/>
      <c r="PEY33" s="16"/>
      <c r="PEZ33" s="16"/>
      <c r="PFA33" s="16"/>
      <c r="PFB33" s="16"/>
      <c r="PFC33" s="16"/>
      <c r="PFD33" s="16"/>
      <c r="PFE33" s="16"/>
      <c r="PFF33" s="16"/>
      <c r="PFG33" s="16"/>
      <c r="PFH33" s="16"/>
      <c r="PFI33" s="16"/>
      <c r="PFJ33" s="16"/>
      <c r="PFK33" s="16"/>
      <c r="PFL33" s="16"/>
      <c r="PFM33" s="16"/>
      <c r="PFN33" s="16"/>
      <c r="PFO33" s="16"/>
      <c r="PFP33" s="16"/>
      <c r="PFQ33" s="16"/>
      <c r="PFR33" s="16"/>
      <c r="PFS33" s="16"/>
      <c r="PFT33" s="16"/>
      <c r="PFU33" s="16"/>
      <c r="PFV33" s="16"/>
      <c r="PFW33" s="16"/>
      <c r="PFX33" s="16"/>
      <c r="PFY33" s="16"/>
      <c r="PFZ33" s="16"/>
      <c r="PGA33" s="16"/>
      <c r="PGB33" s="16"/>
      <c r="PGC33" s="16"/>
      <c r="PGD33" s="16"/>
      <c r="PGE33" s="16"/>
      <c r="PGF33" s="16"/>
      <c r="PGG33" s="16"/>
      <c r="PGH33" s="16"/>
      <c r="PGI33" s="16"/>
      <c r="PGJ33" s="16"/>
      <c r="PGK33" s="16"/>
      <c r="PGL33" s="16"/>
      <c r="PGM33" s="16"/>
      <c r="PGN33" s="16"/>
      <c r="PGO33" s="16"/>
      <c r="PGP33" s="16"/>
      <c r="PGQ33" s="16"/>
      <c r="PGR33" s="16"/>
      <c r="PGS33" s="16"/>
      <c r="PGT33" s="16"/>
      <c r="PGU33" s="16"/>
      <c r="PGV33" s="16"/>
      <c r="PGW33" s="16"/>
      <c r="PGX33" s="16"/>
      <c r="PGY33" s="16"/>
      <c r="PGZ33" s="16"/>
      <c r="PHA33" s="16"/>
      <c r="PHB33" s="16"/>
      <c r="PHC33" s="16"/>
      <c r="PHD33" s="16"/>
      <c r="PHE33" s="16"/>
      <c r="PHF33" s="16"/>
      <c r="PHG33" s="16"/>
      <c r="PHH33" s="16"/>
      <c r="PHI33" s="16"/>
      <c r="PHJ33" s="16"/>
      <c r="PHK33" s="16"/>
      <c r="PHL33" s="16"/>
      <c r="PHM33" s="16"/>
      <c r="PHN33" s="16"/>
      <c r="PHO33" s="16"/>
      <c r="PHP33" s="16"/>
      <c r="PHQ33" s="16"/>
      <c r="PHR33" s="16"/>
      <c r="PHS33" s="16"/>
      <c r="PHT33" s="16"/>
      <c r="PHU33" s="16"/>
      <c r="PHV33" s="16"/>
      <c r="PHW33" s="16"/>
      <c r="PHX33" s="16"/>
      <c r="PHY33" s="16"/>
      <c r="PHZ33" s="16"/>
      <c r="PIA33" s="16"/>
      <c r="PIB33" s="16"/>
      <c r="PIC33" s="16"/>
      <c r="PID33" s="16"/>
      <c r="PIE33" s="16"/>
      <c r="PIF33" s="16"/>
      <c r="PIG33" s="16"/>
      <c r="PIH33" s="16"/>
      <c r="PII33" s="16"/>
      <c r="PIJ33" s="16"/>
      <c r="PIK33" s="16"/>
      <c r="PIL33" s="16"/>
      <c r="PIM33" s="16"/>
      <c r="PIN33" s="16"/>
      <c r="PIO33" s="16"/>
      <c r="PIP33" s="16"/>
      <c r="PIQ33" s="16"/>
      <c r="PIR33" s="16"/>
      <c r="PIS33" s="16"/>
      <c r="PIT33" s="16"/>
      <c r="PIU33" s="16"/>
      <c r="PIV33" s="16"/>
      <c r="PIW33" s="16"/>
      <c r="PIX33" s="16"/>
      <c r="PIY33" s="16"/>
      <c r="PIZ33" s="16"/>
      <c r="PJA33" s="16"/>
      <c r="PJB33" s="16"/>
      <c r="PJC33" s="16"/>
      <c r="PJD33" s="16"/>
      <c r="PJE33" s="16"/>
      <c r="PJF33" s="16"/>
      <c r="PJG33" s="16"/>
      <c r="PJH33" s="16"/>
      <c r="PJI33" s="16"/>
      <c r="PJJ33" s="16"/>
      <c r="PJK33" s="16"/>
      <c r="PJL33" s="16"/>
      <c r="PJM33" s="16"/>
      <c r="PJN33" s="16"/>
      <c r="PJO33" s="16"/>
      <c r="PJP33" s="16"/>
      <c r="PJQ33" s="16"/>
      <c r="PJR33" s="16"/>
      <c r="PJS33" s="16"/>
      <c r="PJT33" s="16"/>
      <c r="PJU33" s="16"/>
      <c r="PJV33" s="16"/>
      <c r="PJW33" s="16"/>
      <c r="PJX33" s="16"/>
      <c r="PJY33" s="16"/>
      <c r="PJZ33" s="16"/>
      <c r="PKA33" s="16"/>
      <c r="PKB33" s="16"/>
      <c r="PKC33" s="16"/>
      <c r="PKD33" s="16"/>
      <c r="PKE33" s="16"/>
      <c r="PKF33" s="16"/>
      <c r="PKG33" s="16"/>
      <c r="PKH33" s="16"/>
      <c r="PKI33" s="16"/>
      <c r="PKJ33" s="16"/>
      <c r="PKK33" s="16"/>
      <c r="PKL33" s="16"/>
      <c r="PKM33" s="16"/>
      <c r="PKN33" s="16"/>
      <c r="PKO33" s="16"/>
      <c r="PKP33" s="16"/>
      <c r="PKQ33" s="16"/>
      <c r="PKR33" s="16"/>
      <c r="PKS33" s="16"/>
      <c r="PKT33" s="16"/>
      <c r="PKU33" s="16"/>
      <c r="PKV33" s="16"/>
      <c r="PKW33" s="16"/>
      <c r="PKX33" s="16"/>
      <c r="PKY33" s="16"/>
      <c r="PKZ33" s="16"/>
      <c r="PLA33" s="16"/>
      <c r="PLB33" s="16"/>
      <c r="PLC33" s="16"/>
      <c r="PLD33" s="16"/>
      <c r="PLE33" s="16"/>
      <c r="PLF33" s="16"/>
      <c r="PLG33" s="16"/>
      <c r="PLH33" s="16"/>
      <c r="PLI33" s="16"/>
      <c r="PLJ33" s="16"/>
      <c r="PLK33" s="16"/>
      <c r="PLL33" s="16"/>
      <c r="PLM33" s="16"/>
      <c r="PLN33" s="16"/>
      <c r="PLO33" s="16"/>
      <c r="PLP33" s="16"/>
      <c r="PLQ33" s="16"/>
      <c r="PLR33" s="16"/>
      <c r="PLS33" s="16"/>
      <c r="PLT33" s="16"/>
      <c r="PLU33" s="16"/>
      <c r="PLV33" s="16"/>
      <c r="PLW33" s="16"/>
      <c r="PLX33" s="16"/>
      <c r="PLY33" s="16"/>
      <c r="PLZ33" s="16"/>
      <c r="PMA33" s="16"/>
      <c r="PMB33" s="16"/>
      <c r="PMC33" s="16"/>
      <c r="PMD33" s="16"/>
      <c r="PME33" s="16"/>
      <c r="PMF33" s="16"/>
      <c r="PMG33" s="16"/>
      <c r="PMH33" s="16"/>
      <c r="PMI33" s="16"/>
      <c r="PMJ33" s="16"/>
      <c r="PMK33" s="16"/>
      <c r="PML33" s="16"/>
      <c r="PMM33" s="16"/>
      <c r="PMN33" s="16"/>
      <c r="PMO33" s="16"/>
      <c r="PMP33" s="16"/>
      <c r="PMQ33" s="16"/>
      <c r="PMR33" s="16"/>
      <c r="PMS33" s="16"/>
      <c r="PMT33" s="16"/>
      <c r="PMU33" s="16"/>
      <c r="PMV33" s="16"/>
      <c r="PMW33" s="16"/>
      <c r="PMX33" s="16"/>
      <c r="PMY33" s="16"/>
      <c r="PMZ33" s="16"/>
      <c r="PNA33" s="16"/>
      <c r="PNB33" s="16"/>
      <c r="PNC33" s="16"/>
      <c r="PND33" s="16"/>
      <c r="PNE33" s="16"/>
      <c r="PNF33" s="16"/>
      <c r="PNG33" s="16"/>
      <c r="PNH33" s="16"/>
      <c r="PNI33" s="16"/>
      <c r="PNJ33" s="16"/>
      <c r="PNK33" s="16"/>
      <c r="PNL33" s="16"/>
      <c r="PNM33" s="16"/>
      <c r="PNN33" s="16"/>
      <c r="PNO33" s="16"/>
      <c r="PNP33" s="16"/>
      <c r="PNQ33" s="16"/>
      <c r="PNR33" s="16"/>
      <c r="PNS33" s="16"/>
      <c r="PNT33" s="16"/>
      <c r="PNU33" s="16"/>
      <c r="PNV33" s="16"/>
      <c r="PNW33" s="16"/>
      <c r="PNX33" s="16"/>
      <c r="PNY33" s="16"/>
      <c r="PNZ33" s="16"/>
      <c r="POA33" s="16"/>
      <c r="POB33" s="16"/>
      <c r="POC33" s="16"/>
      <c r="POD33" s="16"/>
      <c r="POE33" s="16"/>
      <c r="POF33" s="16"/>
      <c r="POG33" s="16"/>
      <c r="POH33" s="16"/>
      <c r="POI33" s="16"/>
      <c r="POJ33" s="16"/>
      <c r="POK33" s="16"/>
      <c r="POL33" s="16"/>
      <c r="POM33" s="16"/>
      <c r="PON33" s="16"/>
      <c r="POO33" s="16"/>
      <c r="POP33" s="16"/>
      <c r="POQ33" s="16"/>
      <c r="POR33" s="16"/>
      <c r="POS33" s="16"/>
      <c r="POT33" s="16"/>
      <c r="POU33" s="16"/>
      <c r="POV33" s="16"/>
      <c r="POW33" s="16"/>
      <c r="POX33" s="16"/>
      <c r="POY33" s="16"/>
      <c r="POZ33" s="16"/>
      <c r="PPA33" s="16"/>
      <c r="PPB33" s="16"/>
      <c r="PPC33" s="16"/>
      <c r="PPD33" s="16"/>
      <c r="PPE33" s="16"/>
      <c r="PPF33" s="16"/>
      <c r="PPG33" s="16"/>
      <c r="PPH33" s="16"/>
      <c r="PPI33" s="16"/>
      <c r="PPJ33" s="16"/>
      <c r="PPK33" s="16"/>
      <c r="PPL33" s="16"/>
      <c r="PPM33" s="16"/>
      <c r="PPN33" s="16"/>
      <c r="PPO33" s="16"/>
      <c r="PPP33" s="16"/>
      <c r="PPQ33" s="16"/>
      <c r="PPR33" s="16"/>
      <c r="PPS33" s="16"/>
      <c r="PPT33" s="16"/>
      <c r="PPU33" s="16"/>
      <c r="PPV33" s="16"/>
      <c r="PPW33" s="16"/>
      <c r="PPX33" s="16"/>
      <c r="PPY33" s="16"/>
      <c r="PPZ33" s="16"/>
      <c r="PQA33" s="16"/>
      <c r="PQB33" s="16"/>
      <c r="PQC33" s="16"/>
      <c r="PQD33" s="16"/>
      <c r="PQE33" s="16"/>
      <c r="PQF33" s="16"/>
      <c r="PQG33" s="16"/>
      <c r="PQH33" s="16"/>
      <c r="PQI33" s="16"/>
      <c r="PQJ33" s="16"/>
      <c r="PQK33" s="16"/>
      <c r="PQL33" s="16"/>
      <c r="PQM33" s="16"/>
      <c r="PQN33" s="16"/>
      <c r="PQO33" s="16"/>
      <c r="PQP33" s="16"/>
      <c r="PQQ33" s="16"/>
      <c r="PQR33" s="16"/>
      <c r="PQS33" s="16"/>
      <c r="PQT33" s="16"/>
      <c r="PQU33" s="16"/>
      <c r="PQV33" s="16"/>
      <c r="PQW33" s="16"/>
      <c r="PQX33" s="16"/>
      <c r="PQY33" s="16"/>
      <c r="PQZ33" s="16"/>
      <c r="PRA33" s="16"/>
      <c r="PRB33" s="16"/>
      <c r="PRC33" s="16"/>
      <c r="PRD33" s="16"/>
      <c r="PRE33" s="16"/>
      <c r="PRF33" s="16"/>
      <c r="PRG33" s="16"/>
      <c r="PRH33" s="16"/>
      <c r="PRI33" s="16"/>
      <c r="PRJ33" s="16"/>
      <c r="PRK33" s="16"/>
      <c r="PRL33" s="16"/>
      <c r="PRM33" s="16"/>
      <c r="PRN33" s="16"/>
      <c r="PRO33" s="16"/>
      <c r="PRP33" s="16"/>
      <c r="PRQ33" s="16"/>
      <c r="PRR33" s="16"/>
      <c r="PRS33" s="16"/>
      <c r="PRT33" s="16"/>
      <c r="PRU33" s="16"/>
      <c r="PRV33" s="16"/>
      <c r="PRW33" s="16"/>
      <c r="PRX33" s="16"/>
      <c r="PRY33" s="16"/>
      <c r="PRZ33" s="16"/>
      <c r="PSA33" s="16"/>
      <c r="PSB33" s="16"/>
      <c r="PSC33" s="16"/>
      <c r="PSD33" s="16"/>
      <c r="PSE33" s="16"/>
      <c r="PSF33" s="16"/>
      <c r="PSG33" s="16"/>
      <c r="PSH33" s="16"/>
      <c r="PSI33" s="16"/>
      <c r="PSJ33" s="16"/>
      <c r="PSK33" s="16"/>
      <c r="PSL33" s="16"/>
      <c r="PSM33" s="16"/>
      <c r="PSN33" s="16"/>
      <c r="PSO33" s="16"/>
      <c r="PSP33" s="16"/>
      <c r="PSQ33" s="16"/>
      <c r="PSR33" s="16"/>
      <c r="PSS33" s="16"/>
      <c r="PST33" s="16"/>
      <c r="PSU33" s="16"/>
      <c r="PSV33" s="16"/>
      <c r="PSW33" s="16"/>
      <c r="PSX33" s="16"/>
      <c r="PSY33" s="16"/>
      <c r="PSZ33" s="16"/>
      <c r="PTA33" s="16"/>
      <c r="PTB33" s="16"/>
      <c r="PTC33" s="16"/>
      <c r="PTD33" s="16"/>
      <c r="PTE33" s="16"/>
      <c r="PTF33" s="16"/>
      <c r="PTG33" s="16"/>
      <c r="PTH33" s="16"/>
      <c r="PTI33" s="16"/>
      <c r="PTJ33" s="16"/>
      <c r="PTK33" s="16"/>
      <c r="PTL33" s="16"/>
      <c r="PTM33" s="16"/>
      <c r="PTN33" s="16"/>
      <c r="PTO33" s="16"/>
      <c r="PTP33" s="16"/>
      <c r="PTQ33" s="16"/>
      <c r="PTR33" s="16"/>
      <c r="PTS33" s="16"/>
      <c r="PTT33" s="16"/>
      <c r="PTU33" s="16"/>
      <c r="PTV33" s="16"/>
      <c r="PTW33" s="16"/>
      <c r="PTX33" s="16"/>
      <c r="PTY33" s="16"/>
      <c r="PTZ33" s="16"/>
      <c r="PUA33" s="16"/>
      <c r="PUB33" s="16"/>
      <c r="PUC33" s="16"/>
      <c r="PUD33" s="16"/>
      <c r="PUE33" s="16"/>
      <c r="PUF33" s="16"/>
      <c r="PUG33" s="16"/>
      <c r="PUH33" s="16"/>
      <c r="PUI33" s="16"/>
      <c r="PUJ33" s="16"/>
      <c r="PUK33" s="16"/>
      <c r="PUL33" s="16"/>
      <c r="PUM33" s="16"/>
      <c r="PUN33" s="16"/>
      <c r="PUO33" s="16"/>
      <c r="PUP33" s="16"/>
      <c r="PUQ33" s="16"/>
      <c r="PUR33" s="16"/>
      <c r="PUS33" s="16"/>
      <c r="PUT33" s="16"/>
      <c r="PUU33" s="16"/>
      <c r="PUV33" s="16"/>
      <c r="PUW33" s="16"/>
      <c r="PUX33" s="16"/>
      <c r="PUY33" s="16"/>
      <c r="PUZ33" s="16"/>
      <c r="PVA33" s="16"/>
      <c r="PVB33" s="16"/>
      <c r="PVC33" s="16"/>
      <c r="PVD33" s="16"/>
      <c r="PVE33" s="16"/>
      <c r="PVF33" s="16"/>
      <c r="PVG33" s="16"/>
      <c r="PVH33" s="16"/>
      <c r="PVI33" s="16"/>
      <c r="PVJ33" s="16"/>
      <c r="PVK33" s="16"/>
      <c r="PVL33" s="16"/>
      <c r="PVM33" s="16"/>
      <c r="PVN33" s="16"/>
      <c r="PVO33" s="16"/>
      <c r="PVP33" s="16"/>
      <c r="PVQ33" s="16"/>
      <c r="PVR33" s="16"/>
      <c r="PVS33" s="16"/>
      <c r="PVT33" s="16"/>
      <c r="PVU33" s="16"/>
      <c r="PVV33" s="16"/>
      <c r="PVW33" s="16"/>
      <c r="PVX33" s="16"/>
      <c r="PVY33" s="16"/>
      <c r="PVZ33" s="16"/>
      <c r="PWA33" s="16"/>
      <c r="PWB33" s="16"/>
      <c r="PWC33" s="16"/>
      <c r="PWD33" s="16"/>
      <c r="PWE33" s="16"/>
      <c r="PWF33" s="16"/>
      <c r="PWG33" s="16"/>
      <c r="PWH33" s="16"/>
      <c r="PWI33" s="16"/>
      <c r="PWJ33" s="16"/>
      <c r="PWK33" s="16"/>
      <c r="PWL33" s="16"/>
      <c r="PWM33" s="16"/>
      <c r="PWN33" s="16"/>
      <c r="PWO33" s="16"/>
      <c r="PWP33" s="16"/>
      <c r="PWQ33" s="16"/>
      <c r="PWR33" s="16"/>
      <c r="PWS33" s="16"/>
      <c r="PWT33" s="16"/>
      <c r="PWU33" s="16"/>
      <c r="PWV33" s="16"/>
      <c r="PWW33" s="16"/>
      <c r="PWX33" s="16"/>
      <c r="PWY33" s="16"/>
      <c r="PWZ33" s="16"/>
      <c r="PXA33" s="16"/>
      <c r="PXB33" s="16"/>
      <c r="PXC33" s="16"/>
      <c r="PXD33" s="16"/>
      <c r="PXE33" s="16"/>
      <c r="PXF33" s="16"/>
      <c r="PXG33" s="16"/>
      <c r="PXH33" s="16"/>
      <c r="PXI33" s="16"/>
      <c r="PXJ33" s="16"/>
      <c r="PXK33" s="16"/>
      <c r="PXL33" s="16"/>
      <c r="PXM33" s="16"/>
      <c r="PXN33" s="16"/>
      <c r="PXO33" s="16"/>
      <c r="PXP33" s="16"/>
      <c r="PXQ33" s="16"/>
      <c r="PXR33" s="16"/>
      <c r="PXS33" s="16"/>
      <c r="PXT33" s="16"/>
      <c r="PXU33" s="16"/>
      <c r="PXV33" s="16"/>
      <c r="PXW33" s="16"/>
      <c r="PXX33" s="16"/>
      <c r="PXY33" s="16"/>
      <c r="PXZ33" s="16"/>
      <c r="PYA33" s="16"/>
      <c r="PYB33" s="16"/>
      <c r="PYC33" s="16"/>
      <c r="PYD33" s="16"/>
      <c r="PYE33" s="16"/>
      <c r="PYF33" s="16"/>
      <c r="PYG33" s="16"/>
      <c r="PYH33" s="16"/>
      <c r="PYI33" s="16"/>
      <c r="PYJ33" s="16"/>
      <c r="PYK33" s="16"/>
      <c r="PYL33" s="16"/>
      <c r="PYM33" s="16"/>
      <c r="PYN33" s="16"/>
      <c r="PYO33" s="16"/>
      <c r="PYP33" s="16"/>
      <c r="PYQ33" s="16"/>
      <c r="PYR33" s="16"/>
      <c r="PYS33" s="16"/>
      <c r="PYT33" s="16"/>
      <c r="PYU33" s="16"/>
      <c r="PYV33" s="16"/>
      <c r="PYW33" s="16"/>
      <c r="PYX33" s="16"/>
      <c r="PYY33" s="16"/>
      <c r="PYZ33" s="16"/>
      <c r="PZA33" s="16"/>
      <c r="PZB33" s="16"/>
      <c r="PZC33" s="16"/>
      <c r="PZD33" s="16"/>
      <c r="PZE33" s="16"/>
      <c r="PZF33" s="16"/>
      <c r="PZG33" s="16"/>
      <c r="PZH33" s="16"/>
      <c r="PZI33" s="16"/>
      <c r="PZJ33" s="16"/>
      <c r="PZK33" s="16"/>
      <c r="PZL33" s="16"/>
      <c r="PZM33" s="16"/>
      <c r="PZN33" s="16"/>
      <c r="PZO33" s="16"/>
      <c r="PZP33" s="16"/>
      <c r="PZQ33" s="16"/>
      <c r="PZR33" s="16"/>
      <c r="PZS33" s="16"/>
      <c r="PZT33" s="16"/>
      <c r="PZU33" s="16"/>
      <c r="PZV33" s="16"/>
      <c r="PZW33" s="16"/>
      <c r="PZX33" s="16"/>
      <c r="PZY33" s="16"/>
      <c r="PZZ33" s="16"/>
      <c r="QAA33" s="16"/>
      <c r="QAB33" s="16"/>
      <c r="QAC33" s="16"/>
      <c r="QAD33" s="16"/>
      <c r="QAE33" s="16"/>
      <c r="QAF33" s="16"/>
      <c r="QAG33" s="16"/>
      <c r="QAH33" s="16"/>
      <c r="QAI33" s="16"/>
      <c r="QAJ33" s="16"/>
      <c r="QAK33" s="16"/>
      <c r="QAL33" s="16"/>
      <c r="QAM33" s="16"/>
      <c r="QAN33" s="16"/>
      <c r="QAO33" s="16"/>
      <c r="QAP33" s="16"/>
      <c r="QAQ33" s="16"/>
      <c r="QAR33" s="16"/>
      <c r="QAS33" s="16"/>
      <c r="QAT33" s="16"/>
      <c r="QAU33" s="16"/>
      <c r="QAV33" s="16"/>
      <c r="QAW33" s="16"/>
      <c r="QAX33" s="16"/>
      <c r="QAY33" s="16"/>
      <c r="QAZ33" s="16"/>
      <c r="QBA33" s="16"/>
      <c r="QBB33" s="16"/>
      <c r="QBC33" s="16"/>
      <c r="QBD33" s="16"/>
      <c r="QBE33" s="16"/>
      <c r="QBF33" s="16"/>
      <c r="QBG33" s="16"/>
      <c r="QBH33" s="16"/>
      <c r="QBI33" s="16"/>
      <c r="QBJ33" s="16"/>
      <c r="QBK33" s="16"/>
      <c r="QBL33" s="16"/>
      <c r="QBM33" s="16"/>
      <c r="QBN33" s="16"/>
      <c r="QBO33" s="16"/>
      <c r="QBP33" s="16"/>
      <c r="QBQ33" s="16"/>
      <c r="QBR33" s="16"/>
      <c r="QBS33" s="16"/>
      <c r="QBT33" s="16"/>
      <c r="QBU33" s="16"/>
      <c r="QBV33" s="16"/>
      <c r="QBW33" s="16"/>
      <c r="QBX33" s="16"/>
      <c r="QBY33" s="16"/>
      <c r="QBZ33" s="16"/>
      <c r="QCA33" s="16"/>
      <c r="QCB33" s="16"/>
      <c r="QCC33" s="16"/>
      <c r="QCD33" s="16"/>
      <c r="QCE33" s="16"/>
      <c r="QCF33" s="16"/>
      <c r="QCG33" s="16"/>
      <c r="QCH33" s="16"/>
      <c r="QCI33" s="16"/>
      <c r="QCJ33" s="16"/>
      <c r="QCK33" s="16"/>
      <c r="QCL33" s="16"/>
      <c r="QCM33" s="16"/>
      <c r="QCN33" s="16"/>
      <c r="QCO33" s="16"/>
      <c r="QCP33" s="16"/>
      <c r="QCQ33" s="16"/>
      <c r="QCR33" s="16"/>
      <c r="QCS33" s="16"/>
      <c r="QCT33" s="16"/>
      <c r="QCU33" s="16"/>
      <c r="QCV33" s="16"/>
      <c r="QCW33" s="16"/>
      <c r="QCX33" s="16"/>
      <c r="QCY33" s="16"/>
      <c r="QCZ33" s="16"/>
      <c r="QDA33" s="16"/>
      <c r="QDB33" s="16"/>
      <c r="QDC33" s="16"/>
      <c r="QDD33" s="16"/>
      <c r="QDE33" s="16"/>
      <c r="QDF33" s="16"/>
      <c r="QDG33" s="16"/>
      <c r="QDH33" s="16"/>
      <c r="QDI33" s="16"/>
      <c r="QDJ33" s="16"/>
      <c r="QDK33" s="16"/>
      <c r="QDL33" s="16"/>
      <c r="QDM33" s="16"/>
      <c r="QDN33" s="16"/>
      <c r="QDO33" s="16"/>
      <c r="QDP33" s="16"/>
      <c r="QDQ33" s="16"/>
      <c r="QDR33" s="16"/>
      <c r="QDS33" s="16"/>
      <c r="QDT33" s="16"/>
      <c r="QDU33" s="16"/>
      <c r="QDV33" s="16"/>
      <c r="QDW33" s="16"/>
      <c r="QDX33" s="16"/>
      <c r="QDY33" s="16"/>
      <c r="QDZ33" s="16"/>
      <c r="QEA33" s="16"/>
      <c r="QEB33" s="16"/>
      <c r="QEC33" s="16"/>
      <c r="QED33" s="16"/>
      <c r="QEE33" s="16"/>
      <c r="QEF33" s="16"/>
      <c r="QEG33" s="16"/>
      <c r="QEH33" s="16"/>
      <c r="QEI33" s="16"/>
      <c r="QEJ33" s="16"/>
      <c r="QEK33" s="16"/>
      <c r="QEL33" s="16"/>
      <c r="QEM33" s="16"/>
      <c r="QEN33" s="16"/>
      <c r="QEO33" s="16"/>
      <c r="QEP33" s="16"/>
      <c r="QEQ33" s="16"/>
      <c r="QER33" s="16"/>
      <c r="QES33" s="16"/>
      <c r="QET33" s="16"/>
      <c r="QEU33" s="16"/>
      <c r="QEV33" s="16"/>
      <c r="QEW33" s="16"/>
      <c r="QEX33" s="16"/>
      <c r="QEY33" s="16"/>
      <c r="QEZ33" s="16"/>
      <c r="QFA33" s="16"/>
      <c r="QFB33" s="16"/>
      <c r="QFC33" s="16"/>
      <c r="QFD33" s="16"/>
      <c r="QFE33" s="16"/>
      <c r="QFF33" s="16"/>
      <c r="QFG33" s="16"/>
      <c r="QFH33" s="16"/>
      <c r="QFI33" s="16"/>
      <c r="QFJ33" s="16"/>
      <c r="QFK33" s="16"/>
      <c r="QFL33" s="16"/>
      <c r="QFM33" s="16"/>
      <c r="QFN33" s="16"/>
      <c r="QFO33" s="16"/>
      <c r="QFP33" s="16"/>
      <c r="QFQ33" s="16"/>
      <c r="QFR33" s="16"/>
      <c r="QFS33" s="16"/>
      <c r="QFT33" s="16"/>
      <c r="QFU33" s="16"/>
      <c r="QFV33" s="16"/>
      <c r="QFW33" s="16"/>
      <c r="QFX33" s="16"/>
      <c r="QFY33" s="16"/>
      <c r="QFZ33" s="16"/>
      <c r="QGA33" s="16"/>
      <c r="QGB33" s="16"/>
      <c r="QGC33" s="16"/>
      <c r="QGD33" s="16"/>
      <c r="QGE33" s="16"/>
      <c r="QGF33" s="16"/>
      <c r="QGG33" s="16"/>
      <c r="QGH33" s="16"/>
      <c r="QGI33" s="16"/>
      <c r="QGJ33" s="16"/>
      <c r="QGK33" s="16"/>
      <c r="QGL33" s="16"/>
      <c r="QGM33" s="16"/>
      <c r="QGN33" s="16"/>
      <c r="QGO33" s="16"/>
      <c r="QGP33" s="16"/>
      <c r="QGQ33" s="16"/>
      <c r="QGR33" s="16"/>
      <c r="QGS33" s="16"/>
      <c r="QGT33" s="16"/>
      <c r="QGU33" s="16"/>
      <c r="QGV33" s="16"/>
      <c r="QGW33" s="16"/>
      <c r="QGX33" s="16"/>
      <c r="QGY33" s="16"/>
      <c r="QGZ33" s="16"/>
      <c r="QHA33" s="16"/>
      <c r="QHB33" s="16"/>
      <c r="QHC33" s="16"/>
      <c r="QHD33" s="16"/>
      <c r="QHE33" s="16"/>
      <c r="QHF33" s="16"/>
      <c r="QHG33" s="16"/>
      <c r="QHH33" s="16"/>
      <c r="QHI33" s="16"/>
      <c r="QHJ33" s="16"/>
      <c r="QHK33" s="16"/>
      <c r="QHL33" s="16"/>
      <c r="QHM33" s="16"/>
      <c r="QHN33" s="16"/>
      <c r="QHO33" s="16"/>
      <c r="QHP33" s="16"/>
      <c r="QHQ33" s="16"/>
      <c r="QHR33" s="16"/>
      <c r="QHS33" s="16"/>
      <c r="QHT33" s="16"/>
      <c r="QHU33" s="16"/>
      <c r="QHV33" s="16"/>
      <c r="QHW33" s="16"/>
      <c r="QHX33" s="16"/>
      <c r="QHY33" s="16"/>
      <c r="QHZ33" s="16"/>
      <c r="QIA33" s="16"/>
      <c r="QIB33" s="16"/>
      <c r="QIC33" s="16"/>
      <c r="QID33" s="16"/>
      <c r="QIE33" s="16"/>
      <c r="QIF33" s="16"/>
      <c r="QIG33" s="16"/>
      <c r="QIH33" s="16"/>
      <c r="QII33" s="16"/>
      <c r="QIJ33" s="16"/>
      <c r="QIK33" s="16"/>
      <c r="QIL33" s="16"/>
      <c r="QIM33" s="16"/>
      <c r="QIN33" s="16"/>
      <c r="QIO33" s="16"/>
      <c r="QIP33" s="16"/>
      <c r="QIQ33" s="16"/>
      <c r="QIR33" s="16"/>
      <c r="QIS33" s="16"/>
      <c r="QIT33" s="16"/>
      <c r="QIU33" s="16"/>
      <c r="QIV33" s="16"/>
      <c r="QIW33" s="16"/>
      <c r="QIX33" s="16"/>
      <c r="QIY33" s="16"/>
      <c r="QIZ33" s="16"/>
      <c r="QJA33" s="16"/>
      <c r="QJB33" s="16"/>
      <c r="QJC33" s="16"/>
      <c r="QJD33" s="16"/>
      <c r="QJE33" s="16"/>
      <c r="QJF33" s="16"/>
      <c r="QJG33" s="16"/>
      <c r="QJH33" s="16"/>
      <c r="QJI33" s="16"/>
      <c r="QJJ33" s="16"/>
      <c r="QJK33" s="16"/>
      <c r="QJL33" s="16"/>
      <c r="QJM33" s="16"/>
      <c r="QJN33" s="16"/>
      <c r="QJO33" s="16"/>
      <c r="QJP33" s="16"/>
      <c r="QJQ33" s="16"/>
      <c r="QJR33" s="16"/>
      <c r="QJS33" s="16"/>
      <c r="QJT33" s="16"/>
      <c r="QJU33" s="16"/>
      <c r="QJV33" s="16"/>
      <c r="QJW33" s="16"/>
      <c r="QJX33" s="16"/>
      <c r="QJY33" s="16"/>
      <c r="QJZ33" s="16"/>
      <c r="QKA33" s="16"/>
      <c r="QKB33" s="16"/>
      <c r="QKC33" s="16"/>
      <c r="QKD33" s="16"/>
      <c r="QKE33" s="16"/>
      <c r="QKF33" s="16"/>
      <c r="QKG33" s="16"/>
      <c r="QKH33" s="16"/>
      <c r="QKI33" s="16"/>
      <c r="QKJ33" s="16"/>
      <c r="QKK33" s="16"/>
      <c r="QKL33" s="16"/>
      <c r="QKM33" s="16"/>
      <c r="QKN33" s="16"/>
      <c r="QKO33" s="16"/>
      <c r="QKP33" s="16"/>
      <c r="QKQ33" s="16"/>
      <c r="QKR33" s="16"/>
      <c r="QKS33" s="16"/>
      <c r="QKT33" s="16"/>
      <c r="QKU33" s="16"/>
      <c r="QKV33" s="16"/>
      <c r="QKW33" s="16"/>
      <c r="QKX33" s="16"/>
      <c r="QKY33" s="16"/>
      <c r="QKZ33" s="16"/>
      <c r="QLA33" s="16"/>
      <c r="QLB33" s="16"/>
      <c r="QLC33" s="16"/>
      <c r="QLD33" s="16"/>
      <c r="QLE33" s="16"/>
      <c r="QLF33" s="16"/>
      <c r="QLG33" s="16"/>
      <c r="QLH33" s="16"/>
      <c r="QLI33" s="16"/>
      <c r="QLJ33" s="16"/>
      <c r="QLK33" s="16"/>
      <c r="QLL33" s="16"/>
      <c r="QLM33" s="16"/>
      <c r="QLN33" s="16"/>
      <c r="QLO33" s="16"/>
      <c r="QLP33" s="16"/>
      <c r="QLQ33" s="16"/>
      <c r="QLR33" s="16"/>
      <c r="QLS33" s="16"/>
      <c r="QLT33" s="16"/>
      <c r="QLU33" s="16"/>
      <c r="QLV33" s="16"/>
      <c r="QLW33" s="16"/>
      <c r="QLX33" s="16"/>
      <c r="QLY33" s="16"/>
      <c r="QLZ33" s="16"/>
      <c r="QMA33" s="16"/>
      <c r="QMB33" s="16"/>
      <c r="QMC33" s="16"/>
      <c r="QMD33" s="16"/>
      <c r="QME33" s="16"/>
      <c r="QMF33" s="16"/>
      <c r="QMG33" s="16"/>
      <c r="QMH33" s="16"/>
      <c r="QMI33" s="16"/>
      <c r="QMJ33" s="16"/>
      <c r="QMK33" s="16"/>
      <c r="QML33" s="16"/>
      <c r="QMM33" s="16"/>
      <c r="QMN33" s="16"/>
      <c r="QMO33" s="16"/>
      <c r="QMP33" s="16"/>
      <c r="QMQ33" s="16"/>
      <c r="QMR33" s="16"/>
      <c r="QMS33" s="16"/>
      <c r="QMT33" s="16"/>
      <c r="QMU33" s="16"/>
      <c r="QMV33" s="16"/>
      <c r="QMW33" s="16"/>
      <c r="QMX33" s="16"/>
      <c r="QMY33" s="16"/>
      <c r="QMZ33" s="16"/>
      <c r="QNA33" s="16"/>
      <c r="QNB33" s="16"/>
      <c r="QNC33" s="16"/>
      <c r="QND33" s="16"/>
      <c r="QNE33" s="16"/>
      <c r="QNF33" s="16"/>
      <c r="QNG33" s="16"/>
      <c r="QNH33" s="16"/>
      <c r="QNI33" s="16"/>
      <c r="QNJ33" s="16"/>
      <c r="QNK33" s="16"/>
      <c r="QNL33" s="16"/>
      <c r="QNM33" s="16"/>
      <c r="QNN33" s="16"/>
      <c r="QNO33" s="16"/>
      <c r="QNP33" s="16"/>
      <c r="QNQ33" s="16"/>
      <c r="QNR33" s="16"/>
      <c r="QNS33" s="16"/>
      <c r="QNT33" s="16"/>
      <c r="QNU33" s="16"/>
      <c r="QNV33" s="16"/>
      <c r="QNW33" s="16"/>
      <c r="QNX33" s="16"/>
      <c r="QNY33" s="16"/>
      <c r="QNZ33" s="16"/>
      <c r="QOA33" s="16"/>
      <c r="QOB33" s="16"/>
      <c r="QOC33" s="16"/>
      <c r="QOD33" s="16"/>
      <c r="QOE33" s="16"/>
      <c r="QOF33" s="16"/>
      <c r="QOG33" s="16"/>
      <c r="QOH33" s="16"/>
      <c r="QOI33" s="16"/>
      <c r="QOJ33" s="16"/>
      <c r="QOK33" s="16"/>
      <c r="QOL33" s="16"/>
      <c r="QOM33" s="16"/>
      <c r="QON33" s="16"/>
      <c r="QOO33" s="16"/>
      <c r="QOP33" s="16"/>
      <c r="QOQ33" s="16"/>
      <c r="QOR33" s="16"/>
      <c r="QOS33" s="16"/>
      <c r="QOT33" s="16"/>
      <c r="QOU33" s="16"/>
      <c r="QOV33" s="16"/>
      <c r="QOW33" s="16"/>
      <c r="QOX33" s="16"/>
      <c r="QOY33" s="16"/>
      <c r="QOZ33" s="16"/>
      <c r="QPA33" s="16"/>
      <c r="QPB33" s="16"/>
      <c r="QPC33" s="16"/>
      <c r="QPD33" s="16"/>
      <c r="QPE33" s="16"/>
      <c r="QPF33" s="16"/>
      <c r="QPG33" s="16"/>
      <c r="QPH33" s="16"/>
      <c r="QPI33" s="16"/>
      <c r="QPJ33" s="16"/>
      <c r="QPK33" s="16"/>
      <c r="QPL33" s="16"/>
      <c r="QPM33" s="16"/>
      <c r="QPN33" s="16"/>
      <c r="QPO33" s="16"/>
      <c r="QPP33" s="16"/>
      <c r="QPQ33" s="16"/>
      <c r="QPR33" s="16"/>
      <c r="QPS33" s="16"/>
      <c r="QPT33" s="16"/>
      <c r="QPU33" s="16"/>
      <c r="QPV33" s="16"/>
      <c r="QPW33" s="16"/>
      <c r="QPX33" s="16"/>
      <c r="QPY33" s="16"/>
      <c r="QPZ33" s="16"/>
      <c r="QQA33" s="16"/>
      <c r="QQB33" s="16"/>
      <c r="QQC33" s="16"/>
      <c r="QQD33" s="16"/>
      <c r="QQE33" s="16"/>
      <c r="QQF33" s="16"/>
      <c r="QQG33" s="16"/>
      <c r="QQH33" s="16"/>
      <c r="QQI33" s="16"/>
      <c r="QQJ33" s="16"/>
      <c r="QQK33" s="16"/>
      <c r="QQL33" s="16"/>
      <c r="QQM33" s="16"/>
      <c r="QQN33" s="16"/>
      <c r="QQO33" s="16"/>
      <c r="QQP33" s="16"/>
      <c r="QQQ33" s="16"/>
      <c r="QQR33" s="16"/>
      <c r="QQS33" s="16"/>
      <c r="QQT33" s="16"/>
      <c r="QQU33" s="16"/>
      <c r="QQV33" s="16"/>
      <c r="QQW33" s="16"/>
      <c r="QQX33" s="16"/>
      <c r="QQY33" s="16"/>
      <c r="QQZ33" s="16"/>
      <c r="QRA33" s="16"/>
      <c r="QRB33" s="16"/>
      <c r="QRC33" s="16"/>
      <c r="QRD33" s="16"/>
      <c r="QRE33" s="16"/>
      <c r="QRF33" s="16"/>
      <c r="QRG33" s="16"/>
      <c r="QRH33" s="16"/>
      <c r="QRI33" s="16"/>
      <c r="QRJ33" s="16"/>
      <c r="QRK33" s="16"/>
      <c r="QRL33" s="16"/>
      <c r="QRM33" s="16"/>
      <c r="QRN33" s="16"/>
      <c r="QRO33" s="16"/>
      <c r="QRP33" s="16"/>
      <c r="QRQ33" s="16"/>
      <c r="QRR33" s="16"/>
      <c r="QRS33" s="16"/>
      <c r="QRT33" s="16"/>
      <c r="QRU33" s="16"/>
      <c r="QRV33" s="16"/>
      <c r="QRW33" s="16"/>
      <c r="QRX33" s="16"/>
      <c r="QRY33" s="16"/>
      <c r="QRZ33" s="16"/>
      <c r="QSA33" s="16"/>
      <c r="QSB33" s="16"/>
      <c r="QSC33" s="16"/>
      <c r="QSD33" s="16"/>
      <c r="QSE33" s="16"/>
      <c r="QSF33" s="16"/>
      <c r="QSG33" s="16"/>
      <c r="QSH33" s="16"/>
      <c r="QSI33" s="16"/>
      <c r="QSJ33" s="16"/>
      <c r="QSK33" s="16"/>
      <c r="QSL33" s="16"/>
      <c r="QSM33" s="16"/>
      <c r="QSN33" s="16"/>
      <c r="QSO33" s="16"/>
      <c r="QSP33" s="16"/>
      <c r="QSQ33" s="16"/>
      <c r="QSR33" s="16"/>
      <c r="QSS33" s="16"/>
      <c r="QST33" s="16"/>
      <c r="QSU33" s="16"/>
      <c r="QSV33" s="16"/>
      <c r="QSW33" s="16"/>
      <c r="QSX33" s="16"/>
      <c r="QSY33" s="16"/>
      <c r="QSZ33" s="16"/>
      <c r="QTA33" s="16"/>
      <c r="QTB33" s="16"/>
      <c r="QTC33" s="16"/>
      <c r="QTD33" s="16"/>
      <c r="QTE33" s="16"/>
      <c r="QTF33" s="16"/>
      <c r="QTG33" s="16"/>
      <c r="QTH33" s="16"/>
      <c r="QTI33" s="16"/>
      <c r="QTJ33" s="16"/>
      <c r="QTK33" s="16"/>
      <c r="QTL33" s="16"/>
      <c r="QTM33" s="16"/>
      <c r="QTN33" s="16"/>
      <c r="QTO33" s="16"/>
      <c r="QTP33" s="16"/>
      <c r="QTQ33" s="16"/>
      <c r="QTR33" s="16"/>
      <c r="QTS33" s="16"/>
      <c r="QTT33" s="16"/>
      <c r="QTU33" s="16"/>
      <c r="QTV33" s="16"/>
      <c r="QTW33" s="16"/>
      <c r="QTX33" s="16"/>
      <c r="QTY33" s="16"/>
      <c r="QTZ33" s="16"/>
      <c r="QUA33" s="16"/>
      <c r="QUB33" s="16"/>
      <c r="QUC33" s="16"/>
      <c r="QUD33" s="16"/>
      <c r="QUE33" s="16"/>
      <c r="QUF33" s="16"/>
      <c r="QUG33" s="16"/>
      <c r="QUH33" s="16"/>
      <c r="QUI33" s="16"/>
      <c r="QUJ33" s="16"/>
      <c r="QUK33" s="16"/>
      <c r="QUL33" s="16"/>
      <c r="QUM33" s="16"/>
      <c r="QUN33" s="16"/>
      <c r="QUO33" s="16"/>
      <c r="QUP33" s="16"/>
      <c r="QUQ33" s="16"/>
      <c r="QUR33" s="16"/>
      <c r="QUS33" s="16"/>
      <c r="QUT33" s="16"/>
      <c r="QUU33" s="16"/>
      <c r="QUV33" s="16"/>
      <c r="QUW33" s="16"/>
      <c r="QUX33" s="16"/>
      <c r="QUY33" s="16"/>
      <c r="QUZ33" s="16"/>
      <c r="QVA33" s="16"/>
      <c r="QVB33" s="16"/>
      <c r="QVC33" s="16"/>
      <c r="QVD33" s="16"/>
      <c r="QVE33" s="16"/>
      <c r="QVF33" s="16"/>
      <c r="QVG33" s="16"/>
      <c r="QVH33" s="16"/>
      <c r="QVI33" s="16"/>
      <c r="QVJ33" s="16"/>
      <c r="QVK33" s="16"/>
      <c r="QVL33" s="16"/>
      <c r="QVM33" s="16"/>
      <c r="QVN33" s="16"/>
      <c r="QVO33" s="16"/>
      <c r="QVP33" s="16"/>
      <c r="QVQ33" s="16"/>
      <c r="QVR33" s="16"/>
      <c r="QVS33" s="16"/>
      <c r="QVT33" s="16"/>
      <c r="QVU33" s="16"/>
      <c r="QVV33" s="16"/>
      <c r="QVW33" s="16"/>
      <c r="QVX33" s="16"/>
      <c r="QVY33" s="16"/>
      <c r="QVZ33" s="16"/>
      <c r="QWA33" s="16"/>
      <c r="QWB33" s="16"/>
      <c r="QWC33" s="16"/>
      <c r="QWD33" s="16"/>
      <c r="QWE33" s="16"/>
      <c r="QWF33" s="16"/>
      <c r="QWG33" s="16"/>
      <c r="QWH33" s="16"/>
      <c r="QWI33" s="16"/>
      <c r="QWJ33" s="16"/>
      <c r="QWK33" s="16"/>
      <c r="QWL33" s="16"/>
      <c r="QWM33" s="16"/>
      <c r="QWN33" s="16"/>
      <c r="QWO33" s="16"/>
      <c r="QWP33" s="16"/>
      <c r="QWQ33" s="16"/>
      <c r="QWR33" s="16"/>
      <c r="QWS33" s="16"/>
      <c r="QWT33" s="16"/>
      <c r="QWU33" s="16"/>
      <c r="QWV33" s="16"/>
      <c r="QWW33" s="16"/>
      <c r="QWX33" s="16"/>
      <c r="QWY33" s="16"/>
      <c r="QWZ33" s="16"/>
      <c r="QXA33" s="16"/>
      <c r="QXB33" s="16"/>
      <c r="QXC33" s="16"/>
      <c r="QXD33" s="16"/>
      <c r="QXE33" s="16"/>
      <c r="QXF33" s="16"/>
      <c r="QXG33" s="16"/>
      <c r="QXH33" s="16"/>
      <c r="QXI33" s="16"/>
      <c r="QXJ33" s="16"/>
      <c r="QXK33" s="16"/>
      <c r="QXL33" s="16"/>
      <c r="QXM33" s="16"/>
      <c r="QXN33" s="16"/>
      <c r="QXO33" s="16"/>
      <c r="QXP33" s="16"/>
      <c r="QXQ33" s="16"/>
      <c r="QXR33" s="16"/>
      <c r="QXS33" s="16"/>
      <c r="QXT33" s="16"/>
      <c r="QXU33" s="16"/>
      <c r="QXV33" s="16"/>
      <c r="QXW33" s="16"/>
      <c r="QXX33" s="16"/>
      <c r="QXY33" s="16"/>
      <c r="QXZ33" s="16"/>
      <c r="QYA33" s="16"/>
      <c r="QYB33" s="16"/>
      <c r="QYC33" s="16"/>
      <c r="QYD33" s="16"/>
      <c r="QYE33" s="16"/>
      <c r="QYF33" s="16"/>
      <c r="QYG33" s="16"/>
      <c r="QYH33" s="16"/>
      <c r="QYI33" s="16"/>
      <c r="QYJ33" s="16"/>
      <c r="QYK33" s="16"/>
      <c r="QYL33" s="16"/>
      <c r="QYM33" s="16"/>
      <c r="QYN33" s="16"/>
      <c r="QYO33" s="16"/>
      <c r="QYP33" s="16"/>
      <c r="QYQ33" s="16"/>
      <c r="QYR33" s="16"/>
      <c r="QYS33" s="16"/>
      <c r="QYT33" s="16"/>
      <c r="QYU33" s="16"/>
      <c r="QYV33" s="16"/>
      <c r="QYW33" s="16"/>
      <c r="QYX33" s="16"/>
      <c r="QYY33" s="16"/>
      <c r="QYZ33" s="16"/>
      <c r="QZA33" s="16"/>
      <c r="QZB33" s="16"/>
      <c r="QZC33" s="16"/>
      <c r="QZD33" s="16"/>
      <c r="QZE33" s="16"/>
      <c r="QZF33" s="16"/>
      <c r="QZG33" s="16"/>
      <c r="QZH33" s="16"/>
      <c r="QZI33" s="16"/>
      <c r="QZJ33" s="16"/>
      <c r="QZK33" s="16"/>
      <c r="QZL33" s="16"/>
      <c r="QZM33" s="16"/>
      <c r="QZN33" s="16"/>
      <c r="QZO33" s="16"/>
      <c r="QZP33" s="16"/>
      <c r="QZQ33" s="16"/>
      <c r="QZR33" s="16"/>
      <c r="QZS33" s="16"/>
      <c r="QZT33" s="16"/>
      <c r="QZU33" s="16"/>
      <c r="QZV33" s="16"/>
      <c r="QZW33" s="16"/>
      <c r="QZX33" s="16"/>
      <c r="QZY33" s="16"/>
      <c r="QZZ33" s="16"/>
      <c r="RAA33" s="16"/>
      <c r="RAB33" s="16"/>
      <c r="RAC33" s="16"/>
      <c r="RAD33" s="16"/>
      <c r="RAE33" s="16"/>
      <c r="RAF33" s="16"/>
      <c r="RAG33" s="16"/>
      <c r="RAH33" s="16"/>
      <c r="RAI33" s="16"/>
      <c r="RAJ33" s="16"/>
      <c r="RAK33" s="16"/>
      <c r="RAL33" s="16"/>
      <c r="RAM33" s="16"/>
      <c r="RAN33" s="16"/>
      <c r="RAO33" s="16"/>
      <c r="RAP33" s="16"/>
      <c r="RAQ33" s="16"/>
      <c r="RAR33" s="16"/>
      <c r="RAS33" s="16"/>
      <c r="RAT33" s="16"/>
      <c r="RAU33" s="16"/>
      <c r="RAV33" s="16"/>
      <c r="RAW33" s="16"/>
      <c r="RAX33" s="16"/>
      <c r="RAY33" s="16"/>
      <c r="RAZ33" s="16"/>
      <c r="RBA33" s="16"/>
      <c r="RBB33" s="16"/>
      <c r="RBC33" s="16"/>
      <c r="RBD33" s="16"/>
      <c r="RBE33" s="16"/>
      <c r="RBF33" s="16"/>
      <c r="RBG33" s="16"/>
      <c r="RBH33" s="16"/>
      <c r="RBI33" s="16"/>
      <c r="RBJ33" s="16"/>
      <c r="RBK33" s="16"/>
      <c r="RBL33" s="16"/>
      <c r="RBM33" s="16"/>
      <c r="RBN33" s="16"/>
      <c r="RBO33" s="16"/>
      <c r="RBP33" s="16"/>
      <c r="RBQ33" s="16"/>
      <c r="RBR33" s="16"/>
      <c r="RBS33" s="16"/>
      <c r="RBT33" s="16"/>
      <c r="RBU33" s="16"/>
      <c r="RBV33" s="16"/>
      <c r="RBW33" s="16"/>
      <c r="RBX33" s="16"/>
      <c r="RBY33" s="16"/>
      <c r="RBZ33" s="16"/>
      <c r="RCA33" s="16"/>
      <c r="RCB33" s="16"/>
      <c r="RCC33" s="16"/>
      <c r="RCD33" s="16"/>
      <c r="RCE33" s="16"/>
      <c r="RCF33" s="16"/>
      <c r="RCG33" s="16"/>
      <c r="RCH33" s="16"/>
      <c r="RCI33" s="16"/>
      <c r="RCJ33" s="16"/>
      <c r="RCK33" s="16"/>
      <c r="RCL33" s="16"/>
      <c r="RCM33" s="16"/>
      <c r="RCN33" s="16"/>
      <c r="RCO33" s="16"/>
      <c r="RCP33" s="16"/>
      <c r="RCQ33" s="16"/>
      <c r="RCR33" s="16"/>
      <c r="RCS33" s="16"/>
      <c r="RCT33" s="16"/>
      <c r="RCU33" s="16"/>
      <c r="RCV33" s="16"/>
      <c r="RCW33" s="16"/>
      <c r="RCX33" s="16"/>
      <c r="RCY33" s="16"/>
      <c r="RCZ33" s="16"/>
      <c r="RDA33" s="16"/>
      <c r="RDB33" s="16"/>
      <c r="RDC33" s="16"/>
      <c r="RDD33" s="16"/>
      <c r="RDE33" s="16"/>
      <c r="RDF33" s="16"/>
      <c r="RDG33" s="16"/>
      <c r="RDH33" s="16"/>
      <c r="RDI33" s="16"/>
      <c r="RDJ33" s="16"/>
      <c r="RDK33" s="16"/>
      <c r="RDL33" s="16"/>
      <c r="RDM33" s="16"/>
      <c r="RDN33" s="16"/>
      <c r="RDO33" s="16"/>
      <c r="RDP33" s="16"/>
      <c r="RDQ33" s="16"/>
      <c r="RDR33" s="16"/>
      <c r="RDS33" s="16"/>
      <c r="RDT33" s="16"/>
      <c r="RDU33" s="16"/>
      <c r="RDV33" s="16"/>
      <c r="RDW33" s="16"/>
      <c r="RDX33" s="16"/>
      <c r="RDY33" s="16"/>
      <c r="RDZ33" s="16"/>
      <c r="REA33" s="16"/>
      <c r="REB33" s="16"/>
      <c r="REC33" s="16"/>
      <c r="RED33" s="16"/>
      <c r="REE33" s="16"/>
      <c r="REF33" s="16"/>
      <c r="REG33" s="16"/>
      <c r="REH33" s="16"/>
      <c r="REI33" s="16"/>
      <c r="REJ33" s="16"/>
      <c r="REK33" s="16"/>
      <c r="REL33" s="16"/>
      <c r="REM33" s="16"/>
      <c r="REN33" s="16"/>
      <c r="REO33" s="16"/>
      <c r="REP33" s="16"/>
      <c r="REQ33" s="16"/>
      <c r="RER33" s="16"/>
      <c r="RES33" s="16"/>
      <c r="RET33" s="16"/>
      <c r="REU33" s="16"/>
      <c r="REV33" s="16"/>
      <c r="REW33" s="16"/>
      <c r="REX33" s="16"/>
      <c r="REY33" s="16"/>
      <c r="REZ33" s="16"/>
      <c r="RFA33" s="16"/>
      <c r="RFB33" s="16"/>
      <c r="RFC33" s="16"/>
      <c r="RFD33" s="16"/>
      <c r="RFE33" s="16"/>
      <c r="RFF33" s="16"/>
      <c r="RFG33" s="16"/>
      <c r="RFH33" s="16"/>
      <c r="RFI33" s="16"/>
      <c r="RFJ33" s="16"/>
      <c r="RFK33" s="16"/>
      <c r="RFL33" s="16"/>
      <c r="RFM33" s="16"/>
      <c r="RFN33" s="16"/>
      <c r="RFO33" s="16"/>
      <c r="RFP33" s="16"/>
      <c r="RFQ33" s="16"/>
      <c r="RFR33" s="16"/>
      <c r="RFS33" s="16"/>
      <c r="RFT33" s="16"/>
      <c r="RFU33" s="16"/>
      <c r="RFV33" s="16"/>
      <c r="RFW33" s="16"/>
      <c r="RFX33" s="16"/>
      <c r="RFY33" s="16"/>
      <c r="RFZ33" s="16"/>
      <c r="RGA33" s="16"/>
      <c r="RGB33" s="16"/>
      <c r="RGC33" s="16"/>
      <c r="RGD33" s="16"/>
      <c r="RGE33" s="16"/>
      <c r="RGF33" s="16"/>
      <c r="RGG33" s="16"/>
      <c r="RGH33" s="16"/>
      <c r="RGI33" s="16"/>
      <c r="RGJ33" s="16"/>
      <c r="RGK33" s="16"/>
      <c r="RGL33" s="16"/>
      <c r="RGM33" s="16"/>
      <c r="RGN33" s="16"/>
      <c r="RGO33" s="16"/>
      <c r="RGP33" s="16"/>
      <c r="RGQ33" s="16"/>
      <c r="RGR33" s="16"/>
      <c r="RGS33" s="16"/>
      <c r="RGT33" s="16"/>
      <c r="RGU33" s="16"/>
      <c r="RGV33" s="16"/>
      <c r="RGW33" s="16"/>
      <c r="RGX33" s="16"/>
      <c r="RGY33" s="16"/>
      <c r="RGZ33" s="16"/>
      <c r="RHA33" s="16"/>
      <c r="RHB33" s="16"/>
      <c r="RHC33" s="16"/>
      <c r="RHD33" s="16"/>
      <c r="RHE33" s="16"/>
      <c r="RHF33" s="16"/>
      <c r="RHG33" s="16"/>
      <c r="RHH33" s="16"/>
      <c r="RHI33" s="16"/>
      <c r="RHJ33" s="16"/>
      <c r="RHK33" s="16"/>
      <c r="RHL33" s="16"/>
      <c r="RHM33" s="16"/>
      <c r="RHN33" s="16"/>
      <c r="RHO33" s="16"/>
      <c r="RHP33" s="16"/>
      <c r="RHQ33" s="16"/>
      <c r="RHR33" s="16"/>
      <c r="RHS33" s="16"/>
      <c r="RHT33" s="16"/>
      <c r="RHU33" s="16"/>
      <c r="RHV33" s="16"/>
      <c r="RHW33" s="16"/>
      <c r="RHX33" s="16"/>
      <c r="RHY33" s="16"/>
      <c r="RHZ33" s="16"/>
      <c r="RIA33" s="16"/>
      <c r="RIB33" s="16"/>
      <c r="RIC33" s="16"/>
      <c r="RID33" s="16"/>
      <c r="RIE33" s="16"/>
      <c r="RIF33" s="16"/>
      <c r="RIG33" s="16"/>
      <c r="RIH33" s="16"/>
      <c r="RII33" s="16"/>
      <c r="RIJ33" s="16"/>
      <c r="RIK33" s="16"/>
      <c r="RIL33" s="16"/>
      <c r="RIM33" s="16"/>
      <c r="RIN33" s="16"/>
      <c r="RIO33" s="16"/>
      <c r="RIP33" s="16"/>
      <c r="RIQ33" s="16"/>
      <c r="RIR33" s="16"/>
      <c r="RIS33" s="16"/>
      <c r="RIT33" s="16"/>
      <c r="RIU33" s="16"/>
      <c r="RIV33" s="16"/>
      <c r="RIW33" s="16"/>
      <c r="RIX33" s="16"/>
      <c r="RIY33" s="16"/>
      <c r="RIZ33" s="16"/>
      <c r="RJA33" s="16"/>
      <c r="RJB33" s="16"/>
      <c r="RJC33" s="16"/>
      <c r="RJD33" s="16"/>
      <c r="RJE33" s="16"/>
      <c r="RJF33" s="16"/>
      <c r="RJG33" s="16"/>
      <c r="RJH33" s="16"/>
      <c r="RJI33" s="16"/>
      <c r="RJJ33" s="16"/>
      <c r="RJK33" s="16"/>
      <c r="RJL33" s="16"/>
      <c r="RJM33" s="16"/>
      <c r="RJN33" s="16"/>
      <c r="RJO33" s="16"/>
      <c r="RJP33" s="16"/>
      <c r="RJQ33" s="16"/>
      <c r="RJR33" s="16"/>
      <c r="RJS33" s="16"/>
      <c r="RJT33" s="16"/>
      <c r="RJU33" s="16"/>
      <c r="RJV33" s="16"/>
      <c r="RJW33" s="16"/>
      <c r="RJX33" s="16"/>
      <c r="RJY33" s="16"/>
      <c r="RJZ33" s="16"/>
      <c r="RKA33" s="16"/>
      <c r="RKB33" s="16"/>
      <c r="RKC33" s="16"/>
      <c r="RKD33" s="16"/>
      <c r="RKE33" s="16"/>
      <c r="RKF33" s="16"/>
      <c r="RKG33" s="16"/>
      <c r="RKH33" s="16"/>
      <c r="RKI33" s="16"/>
      <c r="RKJ33" s="16"/>
      <c r="RKK33" s="16"/>
      <c r="RKL33" s="16"/>
      <c r="RKM33" s="16"/>
      <c r="RKN33" s="16"/>
      <c r="RKO33" s="16"/>
      <c r="RKP33" s="16"/>
      <c r="RKQ33" s="16"/>
      <c r="RKR33" s="16"/>
      <c r="RKS33" s="16"/>
      <c r="RKT33" s="16"/>
      <c r="RKU33" s="16"/>
      <c r="RKV33" s="16"/>
      <c r="RKW33" s="16"/>
      <c r="RKX33" s="16"/>
      <c r="RKY33" s="16"/>
      <c r="RKZ33" s="16"/>
      <c r="RLA33" s="16"/>
      <c r="RLB33" s="16"/>
      <c r="RLC33" s="16"/>
      <c r="RLD33" s="16"/>
      <c r="RLE33" s="16"/>
      <c r="RLF33" s="16"/>
      <c r="RLG33" s="16"/>
      <c r="RLH33" s="16"/>
      <c r="RLI33" s="16"/>
      <c r="RLJ33" s="16"/>
      <c r="RLK33" s="16"/>
      <c r="RLL33" s="16"/>
      <c r="RLM33" s="16"/>
      <c r="RLN33" s="16"/>
      <c r="RLO33" s="16"/>
      <c r="RLP33" s="16"/>
      <c r="RLQ33" s="16"/>
      <c r="RLR33" s="16"/>
      <c r="RLS33" s="16"/>
      <c r="RLT33" s="16"/>
      <c r="RLU33" s="16"/>
      <c r="RLV33" s="16"/>
      <c r="RLW33" s="16"/>
      <c r="RLX33" s="16"/>
      <c r="RLY33" s="16"/>
      <c r="RLZ33" s="16"/>
      <c r="RMA33" s="16"/>
      <c r="RMB33" s="16"/>
      <c r="RMC33" s="16"/>
      <c r="RMD33" s="16"/>
      <c r="RME33" s="16"/>
      <c r="RMF33" s="16"/>
      <c r="RMG33" s="16"/>
      <c r="RMH33" s="16"/>
      <c r="RMI33" s="16"/>
      <c r="RMJ33" s="16"/>
      <c r="RMK33" s="16"/>
      <c r="RML33" s="16"/>
      <c r="RMM33" s="16"/>
      <c r="RMN33" s="16"/>
      <c r="RMO33" s="16"/>
      <c r="RMP33" s="16"/>
      <c r="RMQ33" s="16"/>
      <c r="RMR33" s="16"/>
      <c r="RMS33" s="16"/>
      <c r="RMT33" s="16"/>
      <c r="RMU33" s="16"/>
      <c r="RMV33" s="16"/>
      <c r="RMW33" s="16"/>
      <c r="RMX33" s="16"/>
      <c r="RMY33" s="16"/>
      <c r="RMZ33" s="16"/>
      <c r="RNA33" s="16"/>
      <c r="RNB33" s="16"/>
      <c r="RNC33" s="16"/>
      <c r="RND33" s="16"/>
      <c r="RNE33" s="16"/>
      <c r="RNF33" s="16"/>
      <c r="RNG33" s="16"/>
      <c r="RNH33" s="16"/>
      <c r="RNI33" s="16"/>
      <c r="RNJ33" s="16"/>
      <c r="RNK33" s="16"/>
      <c r="RNL33" s="16"/>
      <c r="RNM33" s="16"/>
      <c r="RNN33" s="16"/>
      <c r="RNO33" s="16"/>
      <c r="RNP33" s="16"/>
      <c r="RNQ33" s="16"/>
      <c r="RNR33" s="16"/>
      <c r="RNS33" s="16"/>
      <c r="RNT33" s="16"/>
      <c r="RNU33" s="16"/>
      <c r="RNV33" s="16"/>
      <c r="RNW33" s="16"/>
      <c r="RNX33" s="16"/>
      <c r="RNY33" s="16"/>
      <c r="RNZ33" s="16"/>
      <c r="ROA33" s="16"/>
      <c r="ROB33" s="16"/>
      <c r="ROC33" s="16"/>
      <c r="ROD33" s="16"/>
      <c r="ROE33" s="16"/>
      <c r="ROF33" s="16"/>
      <c r="ROG33" s="16"/>
      <c r="ROH33" s="16"/>
      <c r="ROI33" s="16"/>
      <c r="ROJ33" s="16"/>
      <c r="ROK33" s="16"/>
      <c r="ROL33" s="16"/>
      <c r="ROM33" s="16"/>
      <c r="RON33" s="16"/>
      <c r="ROO33" s="16"/>
      <c r="ROP33" s="16"/>
      <c r="ROQ33" s="16"/>
      <c r="ROR33" s="16"/>
      <c r="ROS33" s="16"/>
      <c r="ROT33" s="16"/>
      <c r="ROU33" s="16"/>
      <c r="ROV33" s="16"/>
      <c r="ROW33" s="16"/>
      <c r="ROX33" s="16"/>
      <c r="ROY33" s="16"/>
      <c r="ROZ33" s="16"/>
      <c r="RPA33" s="16"/>
      <c r="RPB33" s="16"/>
      <c r="RPC33" s="16"/>
      <c r="RPD33" s="16"/>
      <c r="RPE33" s="16"/>
      <c r="RPF33" s="16"/>
      <c r="RPG33" s="16"/>
      <c r="RPH33" s="16"/>
      <c r="RPI33" s="16"/>
      <c r="RPJ33" s="16"/>
      <c r="RPK33" s="16"/>
      <c r="RPL33" s="16"/>
      <c r="RPM33" s="16"/>
      <c r="RPN33" s="16"/>
      <c r="RPO33" s="16"/>
      <c r="RPP33" s="16"/>
      <c r="RPQ33" s="16"/>
      <c r="RPR33" s="16"/>
      <c r="RPS33" s="16"/>
      <c r="RPT33" s="16"/>
      <c r="RPU33" s="16"/>
      <c r="RPV33" s="16"/>
      <c r="RPW33" s="16"/>
      <c r="RPX33" s="16"/>
      <c r="RPY33" s="16"/>
      <c r="RPZ33" s="16"/>
      <c r="RQA33" s="16"/>
      <c r="RQB33" s="16"/>
      <c r="RQC33" s="16"/>
      <c r="RQD33" s="16"/>
      <c r="RQE33" s="16"/>
      <c r="RQF33" s="16"/>
      <c r="RQG33" s="16"/>
      <c r="RQH33" s="16"/>
      <c r="RQI33" s="16"/>
      <c r="RQJ33" s="16"/>
      <c r="RQK33" s="16"/>
      <c r="RQL33" s="16"/>
      <c r="RQM33" s="16"/>
      <c r="RQN33" s="16"/>
      <c r="RQO33" s="16"/>
      <c r="RQP33" s="16"/>
      <c r="RQQ33" s="16"/>
      <c r="RQR33" s="16"/>
      <c r="RQS33" s="16"/>
      <c r="RQT33" s="16"/>
      <c r="RQU33" s="16"/>
      <c r="RQV33" s="16"/>
      <c r="RQW33" s="16"/>
      <c r="RQX33" s="16"/>
      <c r="RQY33" s="16"/>
      <c r="RQZ33" s="16"/>
      <c r="RRA33" s="16"/>
      <c r="RRB33" s="16"/>
      <c r="RRC33" s="16"/>
      <c r="RRD33" s="16"/>
      <c r="RRE33" s="16"/>
      <c r="RRF33" s="16"/>
      <c r="RRG33" s="16"/>
      <c r="RRH33" s="16"/>
      <c r="RRI33" s="16"/>
      <c r="RRJ33" s="16"/>
      <c r="RRK33" s="16"/>
      <c r="RRL33" s="16"/>
      <c r="RRM33" s="16"/>
      <c r="RRN33" s="16"/>
      <c r="RRO33" s="16"/>
      <c r="RRP33" s="16"/>
      <c r="RRQ33" s="16"/>
      <c r="RRR33" s="16"/>
      <c r="RRS33" s="16"/>
      <c r="RRT33" s="16"/>
      <c r="RRU33" s="16"/>
      <c r="RRV33" s="16"/>
      <c r="RRW33" s="16"/>
      <c r="RRX33" s="16"/>
      <c r="RRY33" s="16"/>
      <c r="RRZ33" s="16"/>
      <c r="RSA33" s="16"/>
      <c r="RSB33" s="16"/>
      <c r="RSC33" s="16"/>
      <c r="RSD33" s="16"/>
      <c r="RSE33" s="16"/>
      <c r="RSF33" s="16"/>
      <c r="RSG33" s="16"/>
      <c r="RSH33" s="16"/>
      <c r="RSI33" s="16"/>
      <c r="RSJ33" s="16"/>
      <c r="RSK33" s="16"/>
      <c r="RSL33" s="16"/>
      <c r="RSM33" s="16"/>
      <c r="RSN33" s="16"/>
      <c r="RSO33" s="16"/>
      <c r="RSP33" s="16"/>
      <c r="RSQ33" s="16"/>
      <c r="RSR33" s="16"/>
      <c r="RSS33" s="16"/>
      <c r="RST33" s="16"/>
      <c r="RSU33" s="16"/>
      <c r="RSV33" s="16"/>
      <c r="RSW33" s="16"/>
      <c r="RSX33" s="16"/>
      <c r="RSY33" s="16"/>
      <c r="RSZ33" s="16"/>
      <c r="RTA33" s="16"/>
      <c r="RTB33" s="16"/>
      <c r="RTC33" s="16"/>
      <c r="RTD33" s="16"/>
      <c r="RTE33" s="16"/>
      <c r="RTF33" s="16"/>
      <c r="RTG33" s="16"/>
      <c r="RTH33" s="16"/>
      <c r="RTI33" s="16"/>
      <c r="RTJ33" s="16"/>
      <c r="RTK33" s="16"/>
      <c r="RTL33" s="16"/>
      <c r="RTM33" s="16"/>
      <c r="RTN33" s="16"/>
      <c r="RTO33" s="16"/>
      <c r="RTP33" s="16"/>
      <c r="RTQ33" s="16"/>
      <c r="RTR33" s="16"/>
      <c r="RTS33" s="16"/>
      <c r="RTT33" s="16"/>
      <c r="RTU33" s="16"/>
      <c r="RTV33" s="16"/>
      <c r="RTW33" s="16"/>
      <c r="RTX33" s="16"/>
      <c r="RTY33" s="16"/>
      <c r="RTZ33" s="16"/>
      <c r="RUA33" s="16"/>
      <c r="RUB33" s="16"/>
      <c r="RUC33" s="16"/>
      <c r="RUD33" s="16"/>
      <c r="RUE33" s="16"/>
      <c r="RUF33" s="16"/>
      <c r="RUG33" s="16"/>
      <c r="RUH33" s="16"/>
      <c r="RUI33" s="16"/>
      <c r="RUJ33" s="16"/>
      <c r="RUK33" s="16"/>
      <c r="RUL33" s="16"/>
      <c r="RUM33" s="16"/>
      <c r="RUN33" s="16"/>
      <c r="RUO33" s="16"/>
      <c r="RUP33" s="16"/>
      <c r="RUQ33" s="16"/>
      <c r="RUR33" s="16"/>
      <c r="RUS33" s="16"/>
      <c r="RUT33" s="16"/>
      <c r="RUU33" s="16"/>
      <c r="RUV33" s="16"/>
      <c r="RUW33" s="16"/>
      <c r="RUX33" s="16"/>
      <c r="RUY33" s="16"/>
      <c r="RUZ33" s="16"/>
      <c r="RVA33" s="16"/>
      <c r="RVB33" s="16"/>
      <c r="RVC33" s="16"/>
      <c r="RVD33" s="16"/>
      <c r="RVE33" s="16"/>
      <c r="RVF33" s="16"/>
      <c r="RVG33" s="16"/>
      <c r="RVH33" s="16"/>
      <c r="RVI33" s="16"/>
      <c r="RVJ33" s="16"/>
      <c r="RVK33" s="16"/>
      <c r="RVL33" s="16"/>
      <c r="RVM33" s="16"/>
      <c r="RVN33" s="16"/>
      <c r="RVO33" s="16"/>
      <c r="RVP33" s="16"/>
      <c r="RVQ33" s="16"/>
      <c r="RVR33" s="16"/>
      <c r="RVS33" s="16"/>
      <c r="RVT33" s="16"/>
      <c r="RVU33" s="16"/>
      <c r="RVV33" s="16"/>
      <c r="RVW33" s="16"/>
      <c r="RVX33" s="16"/>
      <c r="RVY33" s="16"/>
      <c r="RVZ33" s="16"/>
      <c r="RWA33" s="16"/>
      <c r="RWB33" s="16"/>
      <c r="RWC33" s="16"/>
      <c r="RWD33" s="16"/>
      <c r="RWE33" s="16"/>
      <c r="RWF33" s="16"/>
      <c r="RWG33" s="16"/>
      <c r="RWH33" s="16"/>
      <c r="RWI33" s="16"/>
      <c r="RWJ33" s="16"/>
      <c r="RWK33" s="16"/>
      <c r="RWL33" s="16"/>
      <c r="RWM33" s="16"/>
      <c r="RWN33" s="16"/>
      <c r="RWO33" s="16"/>
      <c r="RWP33" s="16"/>
      <c r="RWQ33" s="16"/>
      <c r="RWR33" s="16"/>
      <c r="RWS33" s="16"/>
      <c r="RWT33" s="16"/>
      <c r="RWU33" s="16"/>
      <c r="RWV33" s="16"/>
      <c r="RWW33" s="16"/>
      <c r="RWX33" s="16"/>
      <c r="RWY33" s="16"/>
      <c r="RWZ33" s="16"/>
      <c r="RXA33" s="16"/>
      <c r="RXB33" s="16"/>
      <c r="RXC33" s="16"/>
      <c r="RXD33" s="16"/>
      <c r="RXE33" s="16"/>
      <c r="RXF33" s="16"/>
      <c r="RXG33" s="16"/>
      <c r="RXH33" s="16"/>
      <c r="RXI33" s="16"/>
      <c r="RXJ33" s="16"/>
      <c r="RXK33" s="16"/>
      <c r="RXL33" s="16"/>
      <c r="RXM33" s="16"/>
      <c r="RXN33" s="16"/>
      <c r="RXO33" s="16"/>
      <c r="RXP33" s="16"/>
      <c r="RXQ33" s="16"/>
      <c r="RXR33" s="16"/>
      <c r="RXS33" s="16"/>
      <c r="RXT33" s="16"/>
      <c r="RXU33" s="16"/>
      <c r="RXV33" s="16"/>
      <c r="RXW33" s="16"/>
      <c r="RXX33" s="16"/>
      <c r="RXY33" s="16"/>
      <c r="RXZ33" s="16"/>
      <c r="RYA33" s="16"/>
      <c r="RYB33" s="16"/>
      <c r="RYC33" s="16"/>
      <c r="RYD33" s="16"/>
      <c r="RYE33" s="16"/>
      <c r="RYF33" s="16"/>
      <c r="RYG33" s="16"/>
      <c r="RYH33" s="16"/>
      <c r="RYI33" s="16"/>
      <c r="RYJ33" s="16"/>
      <c r="RYK33" s="16"/>
      <c r="RYL33" s="16"/>
      <c r="RYM33" s="16"/>
      <c r="RYN33" s="16"/>
      <c r="RYO33" s="16"/>
      <c r="RYP33" s="16"/>
      <c r="RYQ33" s="16"/>
      <c r="RYR33" s="16"/>
      <c r="RYS33" s="16"/>
      <c r="RYT33" s="16"/>
      <c r="RYU33" s="16"/>
      <c r="RYV33" s="16"/>
      <c r="RYW33" s="16"/>
      <c r="RYX33" s="16"/>
      <c r="RYY33" s="16"/>
      <c r="RYZ33" s="16"/>
      <c r="RZA33" s="16"/>
      <c r="RZB33" s="16"/>
      <c r="RZC33" s="16"/>
      <c r="RZD33" s="16"/>
      <c r="RZE33" s="16"/>
      <c r="RZF33" s="16"/>
      <c r="RZG33" s="16"/>
      <c r="RZH33" s="16"/>
      <c r="RZI33" s="16"/>
      <c r="RZJ33" s="16"/>
      <c r="RZK33" s="16"/>
      <c r="RZL33" s="16"/>
      <c r="RZM33" s="16"/>
      <c r="RZN33" s="16"/>
      <c r="RZO33" s="16"/>
      <c r="RZP33" s="16"/>
      <c r="RZQ33" s="16"/>
      <c r="RZR33" s="16"/>
      <c r="RZS33" s="16"/>
      <c r="RZT33" s="16"/>
      <c r="RZU33" s="16"/>
      <c r="RZV33" s="16"/>
      <c r="RZW33" s="16"/>
      <c r="RZX33" s="16"/>
      <c r="RZY33" s="16"/>
      <c r="RZZ33" s="16"/>
      <c r="SAA33" s="16"/>
      <c r="SAB33" s="16"/>
      <c r="SAC33" s="16"/>
      <c r="SAD33" s="16"/>
      <c r="SAE33" s="16"/>
      <c r="SAF33" s="16"/>
      <c r="SAG33" s="16"/>
      <c r="SAH33" s="16"/>
      <c r="SAI33" s="16"/>
      <c r="SAJ33" s="16"/>
      <c r="SAK33" s="16"/>
      <c r="SAL33" s="16"/>
      <c r="SAM33" s="16"/>
      <c r="SAN33" s="16"/>
      <c r="SAO33" s="16"/>
      <c r="SAP33" s="16"/>
      <c r="SAQ33" s="16"/>
      <c r="SAR33" s="16"/>
      <c r="SAS33" s="16"/>
      <c r="SAT33" s="16"/>
      <c r="SAU33" s="16"/>
      <c r="SAV33" s="16"/>
      <c r="SAW33" s="16"/>
      <c r="SAX33" s="16"/>
      <c r="SAY33" s="16"/>
      <c r="SAZ33" s="16"/>
      <c r="SBA33" s="16"/>
      <c r="SBB33" s="16"/>
      <c r="SBC33" s="16"/>
      <c r="SBD33" s="16"/>
      <c r="SBE33" s="16"/>
      <c r="SBF33" s="16"/>
      <c r="SBG33" s="16"/>
      <c r="SBH33" s="16"/>
      <c r="SBI33" s="16"/>
      <c r="SBJ33" s="16"/>
      <c r="SBK33" s="16"/>
      <c r="SBL33" s="16"/>
      <c r="SBM33" s="16"/>
      <c r="SBN33" s="16"/>
      <c r="SBO33" s="16"/>
      <c r="SBP33" s="16"/>
      <c r="SBQ33" s="16"/>
      <c r="SBR33" s="16"/>
      <c r="SBS33" s="16"/>
      <c r="SBT33" s="16"/>
      <c r="SBU33" s="16"/>
      <c r="SBV33" s="16"/>
      <c r="SBW33" s="16"/>
      <c r="SBX33" s="16"/>
      <c r="SBY33" s="16"/>
      <c r="SBZ33" s="16"/>
      <c r="SCA33" s="16"/>
      <c r="SCB33" s="16"/>
      <c r="SCC33" s="16"/>
      <c r="SCD33" s="16"/>
      <c r="SCE33" s="16"/>
      <c r="SCF33" s="16"/>
      <c r="SCG33" s="16"/>
      <c r="SCH33" s="16"/>
      <c r="SCI33" s="16"/>
      <c r="SCJ33" s="16"/>
      <c r="SCK33" s="16"/>
      <c r="SCL33" s="16"/>
      <c r="SCM33" s="16"/>
      <c r="SCN33" s="16"/>
      <c r="SCO33" s="16"/>
      <c r="SCP33" s="16"/>
      <c r="SCQ33" s="16"/>
      <c r="SCR33" s="16"/>
      <c r="SCS33" s="16"/>
      <c r="SCT33" s="16"/>
      <c r="SCU33" s="16"/>
      <c r="SCV33" s="16"/>
      <c r="SCW33" s="16"/>
      <c r="SCX33" s="16"/>
      <c r="SCY33" s="16"/>
      <c r="SCZ33" s="16"/>
      <c r="SDA33" s="16"/>
      <c r="SDB33" s="16"/>
      <c r="SDC33" s="16"/>
      <c r="SDD33" s="16"/>
      <c r="SDE33" s="16"/>
      <c r="SDF33" s="16"/>
      <c r="SDG33" s="16"/>
      <c r="SDH33" s="16"/>
      <c r="SDI33" s="16"/>
      <c r="SDJ33" s="16"/>
      <c r="SDK33" s="16"/>
      <c r="SDL33" s="16"/>
      <c r="SDM33" s="16"/>
      <c r="SDN33" s="16"/>
      <c r="SDO33" s="16"/>
      <c r="SDP33" s="16"/>
      <c r="SDQ33" s="16"/>
      <c r="SDR33" s="16"/>
      <c r="SDS33" s="16"/>
      <c r="SDT33" s="16"/>
      <c r="SDU33" s="16"/>
      <c r="SDV33" s="16"/>
      <c r="SDW33" s="16"/>
      <c r="SDX33" s="16"/>
      <c r="SDY33" s="16"/>
      <c r="SDZ33" s="16"/>
      <c r="SEA33" s="16"/>
      <c r="SEB33" s="16"/>
      <c r="SEC33" s="16"/>
      <c r="SED33" s="16"/>
      <c r="SEE33" s="16"/>
      <c r="SEF33" s="16"/>
      <c r="SEG33" s="16"/>
      <c r="SEH33" s="16"/>
      <c r="SEI33" s="16"/>
      <c r="SEJ33" s="16"/>
      <c r="SEK33" s="16"/>
      <c r="SEL33" s="16"/>
      <c r="SEM33" s="16"/>
      <c r="SEN33" s="16"/>
      <c r="SEO33" s="16"/>
      <c r="SEP33" s="16"/>
      <c r="SEQ33" s="16"/>
      <c r="SER33" s="16"/>
      <c r="SES33" s="16"/>
      <c r="SET33" s="16"/>
      <c r="SEU33" s="16"/>
      <c r="SEV33" s="16"/>
      <c r="SEW33" s="16"/>
      <c r="SEX33" s="16"/>
      <c r="SEY33" s="16"/>
      <c r="SEZ33" s="16"/>
      <c r="SFA33" s="16"/>
      <c r="SFB33" s="16"/>
      <c r="SFC33" s="16"/>
      <c r="SFD33" s="16"/>
      <c r="SFE33" s="16"/>
      <c r="SFF33" s="16"/>
      <c r="SFG33" s="16"/>
      <c r="SFH33" s="16"/>
      <c r="SFI33" s="16"/>
      <c r="SFJ33" s="16"/>
      <c r="SFK33" s="16"/>
      <c r="SFL33" s="16"/>
      <c r="SFM33" s="16"/>
      <c r="SFN33" s="16"/>
      <c r="SFO33" s="16"/>
      <c r="SFP33" s="16"/>
      <c r="SFQ33" s="16"/>
      <c r="SFR33" s="16"/>
      <c r="SFS33" s="16"/>
      <c r="SFT33" s="16"/>
      <c r="SFU33" s="16"/>
      <c r="SFV33" s="16"/>
      <c r="SFW33" s="16"/>
      <c r="SFX33" s="16"/>
      <c r="SFY33" s="16"/>
      <c r="SFZ33" s="16"/>
      <c r="SGA33" s="16"/>
      <c r="SGB33" s="16"/>
      <c r="SGC33" s="16"/>
      <c r="SGD33" s="16"/>
      <c r="SGE33" s="16"/>
      <c r="SGF33" s="16"/>
      <c r="SGG33" s="16"/>
      <c r="SGH33" s="16"/>
      <c r="SGI33" s="16"/>
      <c r="SGJ33" s="16"/>
      <c r="SGK33" s="16"/>
      <c r="SGL33" s="16"/>
      <c r="SGM33" s="16"/>
      <c r="SGN33" s="16"/>
      <c r="SGO33" s="16"/>
      <c r="SGP33" s="16"/>
      <c r="SGQ33" s="16"/>
      <c r="SGR33" s="16"/>
      <c r="SGS33" s="16"/>
      <c r="SGT33" s="16"/>
      <c r="SGU33" s="16"/>
      <c r="SGV33" s="16"/>
      <c r="SGW33" s="16"/>
      <c r="SGX33" s="16"/>
      <c r="SGY33" s="16"/>
      <c r="SGZ33" s="16"/>
      <c r="SHA33" s="16"/>
      <c r="SHB33" s="16"/>
      <c r="SHC33" s="16"/>
      <c r="SHD33" s="16"/>
      <c r="SHE33" s="16"/>
      <c r="SHF33" s="16"/>
      <c r="SHG33" s="16"/>
      <c r="SHH33" s="16"/>
      <c r="SHI33" s="16"/>
      <c r="SHJ33" s="16"/>
      <c r="SHK33" s="16"/>
      <c r="SHL33" s="16"/>
      <c r="SHM33" s="16"/>
      <c r="SHN33" s="16"/>
      <c r="SHO33" s="16"/>
      <c r="SHP33" s="16"/>
      <c r="SHQ33" s="16"/>
      <c r="SHR33" s="16"/>
      <c r="SHS33" s="16"/>
      <c r="SHT33" s="16"/>
      <c r="SHU33" s="16"/>
      <c r="SHV33" s="16"/>
      <c r="SHW33" s="16"/>
      <c r="SHX33" s="16"/>
      <c r="SHY33" s="16"/>
      <c r="SHZ33" s="16"/>
      <c r="SIA33" s="16"/>
      <c r="SIB33" s="16"/>
      <c r="SIC33" s="16"/>
      <c r="SID33" s="16"/>
      <c r="SIE33" s="16"/>
      <c r="SIF33" s="16"/>
      <c r="SIG33" s="16"/>
      <c r="SIH33" s="16"/>
      <c r="SII33" s="16"/>
      <c r="SIJ33" s="16"/>
      <c r="SIK33" s="16"/>
      <c r="SIL33" s="16"/>
      <c r="SIM33" s="16"/>
      <c r="SIN33" s="16"/>
      <c r="SIO33" s="16"/>
      <c r="SIP33" s="16"/>
      <c r="SIQ33" s="16"/>
      <c r="SIR33" s="16"/>
      <c r="SIS33" s="16"/>
      <c r="SIT33" s="16"/>
      <c r="SIU33" s="16"/>
      <c r="SIV33" s="16"/>
      <c r="SIW33" s="16"/>
      <c r="SIX33" s="16"/>
      <c r="SIY33" s="16"/>
      <c r="SIZ33" s="16"/>
      <c r="SJA33" s="16"/>
      <c r="SJB33" s="16"/>
      <c r="SJC33" s="16"/>
      <c r="SJD33" s="16"/>
      <c r="SJE33" s="16"/>
      <c r="SJF33" s="16"/>
      <c r="SJG33" s="16"/>
      <c r="SJH33" s="16"/>
      <c r="SJI33" s="16"/>
      <c r="SJJ33" s="16"/>
      <c r="SJK33" s="16"/>
      <c r="SJL33" s="16"/>
      <c r="SJM33" s="16"/>
      <c r="SJN33" s="16"/>
      <c r="SJO33" s="16"/>
      <c r="SJP33" s="16"/>
      <c r="SJQ33" s="16"/>
      <c r="SJR33" s="16"/>
      <c r="SJS33" s="16"/>
      <c r="SJT33" s="16"/>
      <c r="SJU33" s="16"/>
      <c r="SJV33" s="16"/>
      <c r="SJW33" s="16"/>
      <c r="SJX33" s="16"/>
      <c r="SJY33" s="16"/>
      <c r="SJZ33" s="16"/>
      <c r="SKA33" s="16"/>
      <c r="SKB33" s="16"/>
      <c r="SKC33" s="16"/>
      <c r="SKD33" s="16"/>
      <c r="SKE33" s="16"/>
      <c r="SKF33" s="16"/>
      <c r="SKG33" s="16"/>
      <c r="SKH33" s="16"/>
      <c r="SKI33" s="16"/>
      <c r="SKJ33" s="16"/>
      <c r="SKK33" s="16"/>
      <c r="SKL33" s="16"/>
      <c r="SKM33" s="16"/>
      <c r="SKN33" s="16"/>
      <c r="SKO33" s="16"/>
      <c r="SKP33" s="16"/>
      <c r="SKQ33" s="16"/>
      <c r="SKR33" s="16"/>
      <c r="SKS33" s="16"/>
      <c r="SKT33" s="16"/>
      <c r="SKU33" s="16"/>
      <c r="SKV33" s="16"/>
      <c r="SKW33" s="16"/>
      <c r="SKX33" s="16"/>
      <c r="SKY33" s="16"/>
      <c r="SKZ33" s="16"/>
      <c r="SLA33" s="16"/>
      <c r="SLB33" s="16"/>
      <c r="SLC33" s="16"/>
      <c r="SLD33" s="16"/>
      <c r="SLE33" s="16"/>
      <c r="SLF33" s="16"/>
      <c r="SLG33" s="16"/>
      <c r="SLH33" s="16"/>
      <c r="SLI33" s="16"/>
      <c r="SLJ33" s="16"/>
      <c r="SLK33" s="16"/>
      <c r="SLL33" s="16"/>
      <c r="SLM33" s="16"/>
      <c r="SLN33" s="16"/>
      <c r="SLO33" s="16"/>
      <c r="SLP33" s="16"/>
      <c r="SLQ33" s="16"/>
      <c r="SLR33" s="16"/>
      <c r="SLS33" s="16"/>
      <c r="SLT33" s="16"/>
      <c r="SLU33" s="16"/>
      <c r="SLV33" s="16"/>
      <c r="SLW33" s="16"/>
      <c r="SLX33" s="16"/>
      <c r="SLY33" s="16"/>
      <c r="SLZ33" s="16"/>
      <c r="SMA33" s="16"/>
      <c r="SMB33" s="16"/>
      <c r="SMC33" s="16"/>
      <c r="SMD33" s="16"/>
      <c r="SME33" s="16"/>
      <c r="SMF33" s="16"/>
      <c r="SMG33" s="16"/>
      <c r="SMH33" s="16"/>
      <c r="SMI33" s="16"/>
      <c r="SMJ33" s="16"/>
      <c r="SMK33" s="16"/>
      <c r="SML33" s="16"/>
      <c r="SMM33" s="16"/>
      <c r="SMN33" s="16"/>
      <c r="SMO33" s="16"/>
      <c r="SMP33" s="16"/>
      <c r="SMQ33" s="16"/>
      <c r="SMR33" s="16"/>
      <c r="SMS33" s="16"/>
      <c r="SMT33" s="16"/>
      <c r="SMU33" s="16"/>
      <c r="SMV33" s="16"/>
      <c r="SMW33" s="16"/>
      <c r="SMX33" s="16"/>
      <c r="SMY33" s="16"/>
      <c r="SMZ33" s="16"/>
      <c r="SNA33" s="16"/>
      <c r="SNB33" s="16"/>
      <c r="SNC33" s="16"/>
      <c r="SND33" s="16"/>
      <c r="SNE33" s="16"/>
      <c r="SNF33" s="16"/>
      <c r="SNG33" s="16"/>
      <c r="SNH33" s="16"/>
      <c r="SNI33" s="16"/>
      <c r="SNJ33" s="16"/>
      <c r="SNK33" s="16"/>
      <c r="SNL33" s="16"/>
      <c r="SNM33" s="16"/>
      <c r="SNN33" s="16"/>
      <c r="SNO33" s="16"/>
      <c r="SNP33" s="16"/>
      <c r="SNQ33" s="16"/>
      <c r="SNR33" s="16"/>
      <c r="SNS33" s="16"/>
      <c r="SNT33" s="16"/>
      <c r="SNU33" s="16"/>
      <c r="SNV33" s="16"/>
      <c r="SNW33" s="16"/>
      <c r="SNX33" s="16"/>
      <c r="SNY33" s="16"/>
      <c r="SNZ33" s="16"/>
      <c r="SOA33" s="16"/>
      <c r="SOB33" s="16"/>
      <c r="SOC33" s="16"/>
      <c r="SOD33" s="16"/>
      <c r="SOE33" s="16"/>
      <c r="SOF33" s="16"/>
      <c r="SOG33" s="16"/>
      <c r="SOH33" s="16"/>
      <c r="SOI33" s="16"/>
      <c r="SOJ33" s="16"/>
      <c r="SOK33" s="16"/>
      <c r="SOL33" s="16"/>
      <c r="SOM33" s="16"/>
      <c r="SON33" s="16"/>
      <c r="SOO33" s="16"/>
      <c r="SOP33" s="16"/>
      <c r="SOQ33" s="16"/>
      <c r="SOR33" s="16"/>
      <c r="SOS33" s="16"/>
      <c r="SOT33" s="16"/>
      <c r="SOU33" s="16"/>
      <c r="SOV33" s="16"/>
      <c r="SOW33" s="16"/>
      <c r="SOX33" s="16"/>
      <c r="SOY33" s="16"/>
      <c r="SOZ33" s="16"/>
      <c r="SPA33" s="16"/>
      <c r="SPB33" s="16"/>
      <c r="SPC33" s="16"/>
      <c r="SPD33" s="16"/>
      <c r="SPE33" s="16"/>
      <c r="SPF33" s="16"/>
      <c r="SPG33" s="16"/>
      <c r="SPH33" s="16"/>
      <c r="SPI33" s="16"/>
      <c r="SPJ33" s="16"/>
      <c r="SPK33" s="16"/>
      <c r="SPL33" s="16"/>
      <c r="SPM33" s="16"/>
      <c r="SPN33" s="16"/>
      <c r="SPO33" s="16"/>
      <c r="SPP33" s="16"/>
      <c r="SPQ33" s="16"/>
      <c r="SPR33" s="16"/>
      <c r="SPS33" s="16"/>
      <c r="SPT33" s="16"/>
      <c r="SPU33" s="16"/>
      <c r="SPV33" s="16"/>
      <c r="SPW33" s="16"/>
      <c r="SPX33" s="16"/>
      <c r="SPY33" s="16"/>
      <c r="SPZ33" s="16"/>
      <c r="SQA33" s="16"/>
      <c r="SQB33" s="16"/>
      <c r="SQC33" s="16"/>
      <c r="SQD33" s="16"/>
      <c r="SQE33" s="16"/>
      <c r="SQF33" s="16"/>
      <c r="SQG33" s="16"/>
      <c r="SQH33" s="16"/>
      <c r="SQI33" s="16"/>
      <c r="SQJ33" s="16"/>
      <c r="SQK33" s="16"/>
      <c r="SQL33" s="16"/>
      <c r="SQM33" s="16"/>
      <c r="SQN33" s="16"/>
      <c r="SQO33" s="16"/>
      <c r="SQP33" s="16"/>
      <c r="SQQ33" s="16"/>
      <c r="SQR33" s="16"/>
      <c r="SQS33" s="16"/>
      <c r="SQT33" s="16"/>
      <c r="SQU33" s="16"/>
      <c r="SQV33" s="16"/>
      <c r="SQW33" s="16"/>
      <c r="SQX33" s="16"/>
      <c r="SQY33" s="16"/>
      <c r="SQZ33" s="16"/>
      <c r="SRA33" s="16"/>
      <c r="SRB33" s="16"/>
      <c r="SRC33" s="16"/>
      <c r="SRD33" s="16"/>
      <c r="SRE33" s="16"/>
      <c r="SRF33" s="16"/>
      <c r="SRG33" s="16"/>
      <c r="SRH33" s="16"/>
      <c r="SRI33" s="16"/>
      <c r="SRJ33" s="16"/>
      <c r="SRK33" s="16"/>
      <c r="SRL33" s="16"/>
      <c r="SRM33" s="16"/>
      <c r="SRN33" s="16"/>
      <c r="SRO33" s="16"/>
      <c r="SRP33" s="16"/>
      <c r="SRQ33" s="16"/>
      <c r="SRR33" s="16"/>
      <c r="SRS33" s="16"/>
      <c r="SRT33" s="16"/>
      <c r="SRU33" s="16"/>
      <c r="SRV33" s="16"/>
      <c r="SRW33" s="16"/>
      <c r="SRX33" s="16"/>
      <c r="SRY33" s="16"/>
      <c r="SRZ33" s="16"/>
      <c r="SSA33" s="16"/>
      <c r="SSB33" s="16"/>
      <c r="SSC33" s="16"/>
      <c r="SSD33" s="16"/>
      <c r="SSE33" s="16"/>
      <c r="SSF33" s="16"/>
      <c r="SSG33" s="16"/>
      <c r="SSH33" s="16"/>
      <c r="SSI33" s="16"/>
      <c r="SSJ33" s="16"/>
      <c r="SSK33" s="16"/>
      <c r="SSL33" s="16"/>
      <c r="SSM33" s="16"/>
      <c r="SSN33" s="16"/>
      <c r="SSO33" s="16"/>
      <c r="SSP33" s="16"/>
      <c r="SSQ33" s="16"/>
      <c r="SSR33" s="16"/>
      <c r="SSS33" s="16"/>
      <c r="SST33" s="16"/>
      <c r="SSU33" s="16"/>
      <c r="SSV33" s="16"/>
      <c r="SSW33" s="16"/>
      <c r="SSX33" s="16"/>
      <c r="SSY33" s="16"/>
      <c r="SSZ33" s="16"/>
      <c r="STA33" s="16"/>
      <c r="STB33" s="16"/>
      <c r="STC33" s="16"/>
      <c r="STD33" s="16"/>
      <c r="STE33" s="16"/>
      <c r="STF33" s="16"/>
      <c r="STG33" s="16"/>
      <c r="STH33" s="16"/>
      <c r="STI33" s="16"/>
      <c r="STJ33" s="16"/>
      <c r="STK33" s="16"/>
      <c r="STL33" s="16"/>
      <c r="STM33" s="16"/>
      <c r="STN33" s="16"/>
      <c r="STO33" s="16"/>
      <c r="STP33" s="16"/>
      <c r="STQ33" s="16"/>
      <c r="STR33" s="16"/>
      <c r="STS33" s="16"/>
      <c r="STT33" s="16"/>
      <c r="STU33" s="16"/>
      <c r="STV33" s="16"/>
      <c r="STW33" s="16"/>
      <c r="STX33" s="16"/>
      <c r="STY33" s="16"/>
      <c r="STZ33" s="16"/>
      <c r="SUA33" s="16"/>
      <c r="SUB33" s="16"/>
      <c r="SUC33" s="16"/>
      <c r="SUD33" s="16"/>
      <c r="SUE33" s="16"/>
      <c r="SUF33" s="16"/>
      <c r="SUG33" s="16"/>
      <c r="SUH33" s="16"/>
      <c r="SUI33" s="16"/>
      <c r="SUJ33" s="16"/>
      <c r="SUK33" s="16"/>
      <c r="SUL33" s="16"/>
      <c r="SUM33" s="16"/>
      <c r="SUN33" s="16"/>
      <c r="SUO33" s="16"/>
      <c r="SUP33" s="16"/>
      <c r="SUQ33" s="16"/>
      <c r="SUR33" s="16"/>
      <c r="SUS33" s="16"/>
      <c r="SUT33" s="16"/>
      <c r="SUU33" s="16"/>
      <c r="SUV33" s="16"/>
      <c r="SUW33" s="16"/>
      <c r="SUX33" s="16"/>
      <c r="SUY33" s="16"/>
      <c r="SUZ33" s="16"/>
      <c r="SVA33" s="16"/>
      <c r="SVB33" s="16"/>
      <c r="SVC33" s="16"/>
      <c r="SVD33" s="16"/>
      <c r="SVE33" s="16"/>
      <c r="SVF33" s="16"/>
      <c r="SVG33" s="16"/>
      <c r="SVH33" s="16"/>
      <c r="SVI33" s="16"/>
      <c r="SVJ33" s="16"/>
      <c r="SVK33" s="16"/>
      <c r="SVL33" s="16"/>
      <c r="SVM33" s="16"/>
      <c r="SVN33" s="16"/>
      <c r="SVO33" s="16"/>
      <c r="SVP33" s="16"/>
      <c r="SVQ33" s="16"/>
      <c r="SVR33" s="16"/>
      <c r="SVS33" s="16"/>
      <c r="SVT33" s="16"/>
      <c r="SVU33" s="16"/>
      <c r="SVV33" s="16"/>
      <c r="SVW33" s="16"/>
      <c r="SVX33" s="16"/>
      <c r="SVY33" s="16"/>
      <c r="SVZ33" s="16"/>
      <c r="SWA33" s="16"/>
      <c r="SWB33" s="16"/>
      <c r="SWC33" s="16"/>
      <c r="SWD33" s="16"/>
      <c r="SWE33" s="16"/>
      <c r="SWF33" s="16"/>
      <c r="SWG33" s="16"/>
      <c r="SWH33" s="16"/>
      <c r="SWI33" s="16"/>
      <c r="SWJ33" s="16"/>
      <c r="SWK33" s="16"/>
      <c r="SWL33" s="16"/>
      <c r="SWM33" s="16"/>
      <c r="SWN33" s="16"/>
      <c r="SWO33" s="16"/>
      <c r="SWP33" s="16"/>
      <c r="SWQ33" s="16"/>
      <c r="SWR33" s="16"/>
      <c r="SWS33" s="16"/>
      <c r="SWT33" s="16"/>
      <c r="SWU33" s="16"/>
      <c r="SWV33" s="16"/>
      <c r="SWW33" s="16"/>
      <c r="SWX33" s="16"/>
      <c r="SWY33" s="16"/>
      <c r="SWZ33" s="16"/>
      <c r="SXA33" s="16"/>
      <c r="SXB33" s="16"/>
      <c r="SXC33" s="16"/>
      <c r="SXD33" s="16"/>
      <c r="SXE33" s="16"/>
      <c r="SXF33" s="16"/>
      <c r="SXG33" s="16"/>
      <c r="SXH33" s="16"/>
      <c r="SXI33" s="16"/>
      <c r="SXJ33" s="16"/>
      <c r="SXK33" s="16"/>
      <c r="SXL33" s="16"/>
      <c r="SXM33" s="16"/>
      <c r="SXN33" s="16"/>
      <c r="SXO33" s="16"/>
      <c r="SXP33" s="16"/>
      <c r="SXQ33" s="16"/>
      <c r="SXR33" s="16"/>
      <c r="SXS33" s="16"/>
      <c r="SXT33" s="16"/>
      <c r="SXU33" s="16"/>
      <c r="SXV33" s="16"/>
      <c r="SXW33" s="16"/>
      <c r="SXX33" s="16"/>
      <c r="SXY33" s="16"/>
      <c r="SXZ33" s="16"/>
      <c r="SYA33" s="16"/>
      <c r="SYB33" s="16"/>
      <c r="SYC33" s="16"/>
      <c r="SYD33" s="16"/>
      <c r="SYE33" s="16"/>
      <c r="SYF33" s="16"/>
      <c r="SYG33" s="16"/>
      <c r="SYH33" s="16"/>
      <c r="SYI33" s="16"/>
      <c r="SYJ33" s="16"/>
      <c r="SYK33" s="16"/>
      <c r="SYL33" s="16"/>
      <c r="SYM33" s="16"/>
      <c r="SYN33" s="16"/>
      <c r="SYO33" s="16"/>
      <c r="SYP33" s="16"/>
      <c r="SYQ33" s="16"/>
      <c r="SYR33" s="16"/>
      <c r="SYS33" s="16"/>
      <c r="SYT33" s="16"/>
      <c r="SYU33" s="16"/>
      <c r="SYV33" s="16"/>
      <c r="SYW33" s="16"/>
      <c r="SYX33" s="16"/>
      <c r="SYY33" s="16"/>
      <c r="SYZ33" s="16"/>
      <c r="SZA33" s="16"/>
      <c r="SZB33" s="16"/>
      <c r="SZC33" s="16"/>
      <c r="SZD33" s="16"/>
      <c r="SZE33" s="16"/>
      <c r="SZF33" s="16"/>
      <c r="SZG33" s="16"/>
      <c r="SZH33" s="16"/>
      <c r="SZI33" s="16"/>
      <c r="SZJ33" s="16"/>
      <c r="SZK33" s="16"/>
      <c r="SZL33" s="16"/>
      <c r="SZM33" s="16"/>
      <c r="SZN33" s="16"/>
      <c r="SZO33" s="16"/>
      <c r="SZP33" s="16"/>
      <c r="SZQ33" s="16"/>
      <c r="SZR33" s="16"/>
      <c r="SZS33" s="16"/>
      <c r="SZT33" s="16"/>
      <c r="SZU33" s="16"/>
      <c r="SZV33" s="16"/>
      <c r="SZW33" s="16"/>
      <c r="SZX33" s="16"/>
      <c r="SZY33" s="16"/>
      <c r="SZZ33" s="16"/>
      <c r="TAA33" s="16"/>
      <c r="TAB33" s="16"/>
      <c r="TAC33" s="16"/>
      <c r="TAD33" s="16"/>
      <c r="TAE33" s="16"/>
      <c r="TAF33" s="16"/>
      <c r="TAG33" s="16"/>
      <c r="TAH33" s="16"/>
      <c r="TAI33" s="16"/>
      <c r="TAJ33" s="16"/>
      <c r="TAK33" s="16"/>
      <c r="TAL33" s="16"/>
      <c r="TAM33" s="16"/>
      <c r="TAN33" s="16"/>
      <c r="TAO33" s="16"/>
      <c r="TAP33" s="16"/>
      <c r="TAQ33" s="16"/>
      <c r="TAR33" s="16"/>
      <c r="TAS33" s="16"/>
      <c r="TAT33" s="16"/>
      <c r="TAU33" s="16"/>
      <c r="TAV33" s="16"/>
      <c r="TAW33" s="16"/>
      <c r="TAX33" s="16"/>
      <c r="TAY33" s="16"/>
      <c r="TAZ33" s="16"/>
      <c r="TBA33" s="16"/>
      <c r="TBB33" s="16"/>
      <c r="TBC33" s="16"/>
      <c r="TBD33" s="16"/>
      <c r="TBE33" s="16"/>
      <c r="TBF33" s="16"/>
      <c r="TBG33" s="16"/>
      <c r="TBH33" s="16"/>
      <c r="TBI33" s="16"/>
      <c r="TBJ33" s="16"/>
      <c r="TBK33" s="16"/>
      <c r="TBL33" s="16"/>
      <c r="TBM33" s="16"/>
      <c r="TBN33" s="16"/>
      <c r="TBO33" s="16"/>
      <c r="TBP33" s="16"/>
      <c r="TBQ33" s="16"/>
      <c r="TBR33" s="16"/>
      <c r="TBS33" s="16"/>
      <c r="TBT33" s="16"/>
      <c r="TBU33" s="16"/>
      <c r="TBV33" s="16"/>
      <c r="TBW33" s="16"/>
      <c r="TBX33" s="16"/>
      <c r="TBY33" s="16"/>
      <c r="TBZ33" s="16"/>
      <c r="TCA33" s="16"/>
      <c r="TCB33" s="16"/>
      <c r="TCC33" s="16"/>
      <c r="TCD33" s="16"/>
      <c r="TCE33" s="16"/>
      <c r="TCF33" s="16"/>
      <c r="TCG33" s="16"/>
      <c r="TCH33" s="16"/>
      <c r="TCI33" s="16"/>
      <c r="TCJ33" s="16"/>
      <c r="TCK33" s="16"/>
      <c r="TCL33" s="16"/>
      <c r="TCM33" s="16"/>
      <c r="TCN33" s="16"/>
      <c r="TCO33" s="16"/>
      <c r="TCP33" s="16"/>
      <c r="TCQ33" s="16"/>
      <c r="TCR33" s="16"/>
      <c r="TCS33" s="16"/>
      <c r="TCT33" s="16"/>
      <c r="TCU33" s="16"/>
      <c r="TCV33" s="16"/>
      <c r="TCW33" s="16"/>
      <c r="TCX33" s="16"/>
      <c r="TCY33" s="16"/>
      <c r="TCZ33" s="16"/>
      <c r="TDA33" s="16"/>
      <c r="TDB33" s="16"/>
      <c r="TDC33" s="16"/>
      <c r="TDD33" s="16"/>
      <c r="TDE33" s="16"/>
      <c r="TDF33" s="16"/>
      <c r="TDG33" s="16"/>
      <c r="TDH33" s="16"/>
      <c r="TDI33" s="16"/>
      <c r="TDJ33" s="16"/>
      <c r="TDK33" s="16"/>
      <c r="TDL33" s="16"/>
      <c r="TDM33" s="16"/>
      <c r="TDN33" s="16"/>
      <c r="TDO33" s="16"/>
      <c r="TDP33" s="16"/>
      <c r="TDQ33" s="16"/>
      <c r="TDR33" s="16"/>
      <c r="TDS33" s="16"/>
      <c r="TDT33" s="16"/>
      <c r="TDU33" s="16"/>
      <c r="TDV33" s="16"/>
      <c r="TDW33" s="16"/>
      <c r="TDX33" s="16"/>
      <c r="TDY33" s="16"/>
      <c r="TDZ33" s="16"/>
      <c r="TEA33" s="16"/>
      <c r="TEB33" s="16"/>
      <c r="TEC33" s="16"/>
      <c r="TED33" s="16"/>
      <c r="TEE33" s="16"/>
      <c r="TEF33" s="16"/>
      <c r="TEG33" s="16"/>
      <c r="TEH33" s="16"/>
      <c r="TEI33" s="16"/>
      <c r="TEJ33" s="16"/>
      <c r="TEK33" s="16"/>
      <c r="TEL33" s="16"/>
      <c r="TEM33" s="16"/>
      <c r="TEN33" s="16"/>
      <c r="TEO33" s="16"/>
      <c r="TEP33" s="16"/>
      <c r="TEQ33" s="16"/>
      <c r="TER33" s="16"/>
      <c r="TES33" s="16"/>
      <c r="TET33" s="16"/>
      <c r="TEU33" s="16"/>
      <c r="TEV33" s="16"/>
      <c r="TEW33" s="16"/>
      <c r="TEX33" s="16"/>
      <c r="TEY33" s="16"/>
      <c r="TEZ33" s="16"/>
      <c r="TFA33" s="16"/>
      <c r="TFB33" s="16"/>
      <c r="TFC33" s="16"/>
      <c r="TFD33" s="16"/>
      <c r="TFE33" s="16"/>
      <c r="TFF33" s="16"/>
      <c r="TFG33" s="16"/>
      <c r="TFH33" s="16"/>
      <c r="TFI33" s="16"/>
      <c r="TFJ33" s="16"/>
      <c r="TFK33" s="16"/>
      <c r="TFL33" s="16"/>
      <c r="TFM33" s="16"/>
      <c r="TFN33" s="16"/>
      <c r="TFO33" s="16"/>
      <c r="TFP33" s="16"/>
      <c r="TFQ33" s="16"/>
      <c r="TFR33" s="16"/>
      <c r="TFS33" s="16"/>
      <c r="TFT33" s="16"/>
      <c r="TFU33" s="16"/>
      <c r="TFV33" s="16"/>
      <c r="TFW33" s="16"/>
      <c r="TFX33" s="16"/>
      <c r="TFY33" s="16"/>
      <c r="TFZ33" s="16"/>
      <c r="TGA33" s="16"/>
      <c r="TGB33" s="16"/>
      <c r="TGC33" s="16"/>
      <c r="TGD33" s="16"/>
      <c r="TGE33" s="16"/>
      <c r="TGF33" s="16"/>
      <c r="TGG33" s="16"/>
      <c r="TGH33" s="16"/>
      <c r="TGI33" s="16"/>
      <c r="TGJ33" s="16"/>
      <c r="TGK33" s="16"/>
      <c r="TGL33" s="16"/>
      <c r="TGM33" s="16"/>
      <c r="TGN33" s="16"/>
      <c r="TGO33" s="16"/>
      <c r="TGP33" s="16"/>
      <c r="TGQ33" s="16"/>
      <c r="TGR33" s="16"/>
      <c r="TGS33" s="16"/>
      <c r="TGT33" s="16"/>
      <c r="TGU33" s="16"/>
      <c r="TGV33" s="16"/>
      <c r="TGW33" s="16"/>
      <c r="TGX33" s="16"/>
      <c r="TGY33" s="16"/>
      <c r="TGZ33" s="16"/>
      <c r="THA33" s="16"/>
      <c r="THB33" s="16"/>
      <c r="THC33" s="16"/>
      <c r="THD33" s="16"/>
      <c r="THE33" s="16"/>
      <c r="THF33" s="16"/>
      <c r="THG33" s="16"/>
      <c r="THH33" s="16"/>
      <c r="THI33" s="16"/>
      <c r="THJ33" s="16"/>
      <c r="THK33" s="16"/>
      <c r="THL33" s="16"/>
      <c r="THM33" s="16"/>
      <c r="THN33" s="16"/>
      <c r="THO33" s="16"/>
      <c r="THP33" s="16"/>
      <c r="THQ33" s="16"/>
      <c r="THR33" s="16"/>
      <c r="THS33" s="16"/>
      <c r="THT33" s="16"/>
      <c r="THU33" s="16"/>
      <c r="THV33" s="16"/>
      <c r="THW33" s="16"/>
      <c r="THX33" s="16"/>
      <c r="THY33" s="16"/>
      <c r="THZ33" s="16"/>
      <c r="TIA33" s="16"/>
      <c r="TIB33" s="16"/>
      <c r="TIC33" s="16"/>
      <c r="TID33" s="16"/>
      <c r="TIE33" s="16"/>
      <c r="TIF33" s="16"/>
      <c r="TIG33" s="16"/>
      <c r="TIH33" s="16"/>
      <c r="TII33" s="16"/>
      <c r="TIJ33" s="16"/>
      <c r="TIK33" s="16"/>
      <c r="TIL33" s="16"/>
      <c r="TIM33" s="16"/>
      <c r="TIN33" s="16"/>
      <c r="TIO33" s="16"/>
      <c r="TIP33" s="16"/>
      <c r="TIQ33" s="16"/>
      <c r="TIR33" s="16"/>
      <c r="TIS33" s="16"/>
      <c r="TIT33" s="16"/>
      <c r="TIU33" s="16"/>
      <c r="TIV33" s="16"/>
      <c r="TIW33" s="16"/>
      <c r="TIX33" s="16"/>
      <c r="TIY33" s="16"/>
      <c r="TIZ33" s="16"/>
      <c r="TJA33" s="16"/>
      <c r="TJB33" s="16"/>
      <c r="TJC33" s="16"/>
      <c r="TJD33" s="16"/>
      <c r="TJE33" s="16"/>
      <c r="TJF33" s="16"/>
      <c r="TJG33" s="16"/>
      <c r="TJH33" s="16"/>
      <c r="TJI33" s="16"/>
      <c r="TJJ33" s="16"/>
      <c r="TJK33" s="16"/>
      <c r="TJL33" s="16"/>
      <c r="TJM33" s="16"/>
      <c r="TJN33" s="16"/>
      <c r="TJO33" s="16"/>
      <c r="TJP33" s="16"/>
      <c r="TJQ33" s="16"/>
      <c r="TJR33" s="16"/>
      <c r="TJS33" s="16"/>
      <c r="TJT33" s="16"/>
      <c r="TJU33" s="16"/>
      <c r="TJV33" s="16"/>
      <c r="TJW33" s="16"/>
      <c r="TJX33" s="16"/>
      <c r="TJY33" s="16"/>
      <c r="TJZ33" s="16"/>
      <c r="TKA33" s="16"/>
      <c r="TKB33" s="16"/>
      <c r="TKC33" s="16"/>
      <c r="TKD33" s="16"/>
      <c r="TKE33" s="16"/>
      <c r="TKF33" s="16"/>
      <c r="TKG33" s="16"/>
      <c r="TKH33" s="16"/>
      <c r="TKI33" s="16"/>
      <c r="TKJ33" s="16"/>
      <c r="TKK33" s="16"/>
      <c r="TKL33" s="16"/>
      <c r="TKM33" s="16"/>
      <c r="TKN33" s="16"/>
      <c r="TKO33" s="16"/>
      <c r="TKP33" s="16"/>
      <c r="TKQ33" s="16"/>
      <c r="TKR33" s="16"/>
      <c r="TKS33" s="16"/>
      <c r="TKT33" s="16"/>
      <c r="TKU33" s="16"/>
      <c r="TKV33" s="16"/>
      <c r="TKW33" s="16"/>
      <c r="TKX33" s="16"/>
      <c r="TKY33" s="16"/>
      <c r="TKZ33" s="16"/>
      <c r="TLA33" s="16"/>
      <c r="TLB33" s="16"/>
      <c r="TLC33" s="16"/>
      <c r="TLD33" s="16"/>
      <c r="TLE33" s="16"/>
      <c r="TLF33" s="16"/>
      <c r="TLG33" s="16"/>
      <c r="TLH33" s="16"/>
      <c r="TLI33" s="16"/>
      <c r="TLJ33" s="16"/>
      <c r="TLK33" s="16"/>
      <c r="TLL33" s="16"/>
      <c r="TLM33" s="16"/>
      <c r="TLN33" s="16"/>
      <c r="TLO33" s="16"/>
      <c r="TLP33" s="16"/>
      <c r="TLQ33" s="16"/>
      <c r="TLR33" s="16"/>
      <c r="TLS33" s="16"/>
      <c r="TLT33" s="16"/>
      <c r="TLU33" s="16"/>
      <c r="TLV33" s="16"/>
      <c r="TLW33" s="16"/>
      <c r="TLX33" s="16"/>
      <c r="TLY33" s="16"/>
      <c r="TLZ33" s="16"/>
      <c r="TMA33" s="16"/>
      <c r="TMB33" s="16"/>
      <c r="TMC33" s="16"/>
      <c r="TMD33" s="16"/>
      <c r="TME33" s="16"/>
      <c r="TMF33" s="16"/>
      <c r="TMG33" s="16"/>
      <c r="TMH33" s="16"/>
      <c r="TMI33" s="16"/>
      <c r="TMJ33" s="16"/>
      <c r="TMK33" s="16"/>
      <c r="TML33" s="16"/>
      <c r="TMM33" s="16"/>
      <c r="TMN33" s="16"/>
      <c r="TMO33" s="16"/>
      <c r="TMP33" s="16"/>
      <c r="TMQ33" s="16"/>
      <c r="TMR33" s="16"/>
      <c r="TMS33" s="16"/>
      <c r="TMT33" s="16"/>
      <c r="TMU33" s="16"/>
      <c r="TMV33" s="16"/>
      <c r="TMW33" s="16"/>
      <c r="TMX33" s="16"/>
      <c r="TMY33" s="16"/>
      <c r="TMZ33" s="16"/>
      <c r="TNA33" s="16"/>
      <c r="TNB33" s="16"/>
      <c r="TNC33" s="16"/>
      <c r="TND33" s="16"/>
      <c r="TNE33" s="16"/>
      <c r="TNF33" s="16"/>
      <c r="TNG33" s="16"/>
      <c r="TNH33" s="16"/>
      <c r="TNI33" s="16"/>
      <c r="TNJ33" s="16"/>
      <c r="TNK33" s="16"/>
      <c r="TNL33" s="16"/>
      <c r="TNM33" s="16"/>
      <c r="TNN33" s="16"/>
      <c r="TNO33" s="16"/>
      <c r="TNP33" s="16"/>
      <c r="TNQ33" s="16"/>
      <c r="TNR33" s="16"/>
      <c r="TNS33" s="16"/>
      <c r="TNT33" s="16"/>
      <c r="TNU33" s="16"/>
      <c r="TNV33" s="16"/>
      <c r="TNW33" s="16"/>
      <c r="TNX33" s="16"/>
      <c r="TNY33" s="16"/>
      <c r="TNZ33" s="16"/>
      <c r="TOA33" s="16"/>
      <c r="TOB33" s="16"/>
      <c r="TOC33" s="16"/>
      <c r="TOD33" s="16"/>
      <c r="TOE33" s="16"/>
      <c r="TOF33" s="16"/>
      <c r="TOG33" s="16"/>
      <c r="TOH33" s="16"/>
      <c r="TOI33" s="16"/>
      <c r="TOJ33" s="16"/>
      <c r="TOK33" s="16"/>
      <c r="TOL33" s="16"/>
      <c r="TOM33" s="16"/>
      <c r="TON33" s="16"/>
      <c r="TOO33" s="16"/>
      <c r="TOP33" s="16"/>
      <c r="TOQ33" s="16"/>
      <c r="TOR33" s="16"/>
      <c r="TOS33" s="16"/>
      <c r="TOT33" s="16"/>
      <c r="TOU33" s="16"/>
      <c r="TOV33" s="16"/>
      <c r="TOW33" s="16"/>
      <c r="TOX33" s="16"/>
      <c r="TOY33" s="16"/>
      <c r="TOZ33" s="16"/>
      <c r="TPA33" s="16"/>
      <c r="TPB33" s="16"/>
      <c r="TPC33" s="16"/>
      <c r="TPD33" s="16"/>
      <c r="TPE33" s="16"/>
      <c r="TPF33" s="16"/>
      <c r="TPG33" s="16"/>
      <c r="TPH33" s="16"/>
      <c r="TPI33" s="16"/>
      <c r="TPJ33" s="16"/>
      <c r="TPK33" s="16"/>
      <c r="TPL33" s="16"/>
      <c r="TPM33" s="16"/>
      <c r="TPN33" s="16"/>
      <c r="TPO33" s="16"/>
      <c r="TPP33" s="16"/>
      <c r="TPQ33" s="16"/>
      <c r="TPR33" s="16"/>
      <c r="TPS33" s="16"/>
      <c r="TPT33" s="16"/>
      <c r="TPU33" s="16"/>
      <c r="TPV33" s="16"/>
      <c r="TPW33" s="16"/>
      <c r="TPX33" s="16"/>
      <c r="TPY33" s="16"/>
      <c r="TPZ33" s="16"/>
      <c r="TQA33" s="16"/>
      <c r="TQB33" s="16"/>
      <c r="TQC33" s="16"/>
      <c r="TQD33" s="16"/>
      <c r="TQE33" s="16"/>
      <c r="TQF33" s="16"/>
      <c r="TQG33" s="16"/>
      <c r="TQH33" s="16"/>
      <c r="TQI33" s="16"/>
      <c r="TQJ33" s="16"/>
      <c r="TQK33" s="16"/>
      <c r="TQL33" s="16"/>
      <c r="TQM33" s="16"/>
      <c r="TQN33" s="16"/>
      <c r="TQO33" s="16"/>
      <c r="TQP33" s="16"/>
      <c r="TQQ33" s="16"/>
      <c r="TQR33" s="16"/>
      <c r="TQS33" s="16"/>
      <c r="TQT33" s="16"/>
      <c r="TQU33" s="16"/>
      <c r="TQV33" s="16"/>
      <c r="TQW33" s="16"/>
      <c r="TQX33" s="16"/>
      <c r="TQY33" s="16"/>
      <c r="TQZ33" s="16"/>
      <c r="TRA33" s="16"/>
      <c r="TRB33" s="16"/>
      <c r="TRC33" s="16"/>
      <c r="TRD33" s="16"/>
      <c r="TRE33" s="16"/>
      <c r="TRF33" s="16"/>
      <c r="TRG33" s="16"/>
      <c r="TRH33" s="16"/>
      <c r="TRI33" s="16"/>
      <c r="TRJ33" s="16"/>
      <c r="TRK33" s="16"/>
      <c r="TRL33" s="16"/>
      <c r="TRM33" s="16"/>
      <c r="TRN33" s="16"/>
      <c r="TRO33" s="16"/>
      <c r="TRP33" s="16"/>
      <c r="TRQ33" s="16"/>
      <c r="TRR33" s="16"/>
      <c r="TRS33" s="16"/>
      <c r="TRT33" s="16"/>
      <c r="TRU33" s="16"/>
      <c r="TRV33" s="16"/>
      <c r="TRW33" s="16"/>
      <c r="TRX33" s="16"/>
      <c r="TRY33" s="16"/>
      <c r="TRZ33" s="16"/>
      <c r="TSA33" s="16"/>
      <c r="TSB33" s="16"/>
      <c r="TSC33" s="16"/>
      <c r="TSD33" s="16"/>
      <c r="TSE33" s="16"/>
      <c r="TSF33" s="16"/>
      <c r="TSG33" s="16"/>
      <c r="TSH33" s="16"/>
      <c r="TSI33" s="16"/>
      <c r="TSJ33" s="16"/>
      <c r="TSK33" s="16"/>
      <c r="TSL33" s="16"/>
      <c r="TSM33" s="16"/>
      <c r="TSN33" s="16"/>
      <c r="TSO33" s="16"/>
      <c r="TSP33" s="16"/>
      <c r="TSQ33" s="16"/>
      <c r="TSR33" s="16"/>
      <c r="TSS33" s="16"/>
      <c r="TST33" s="16"/>
      <c r="TSU33" s="16"/>
      <c r="TSV33" s="16"/>
      <c r="TSW33" s="16"/>
      <c r="TSX33" s="16"/>
      <c r="TSY33" s="16"/>
      <c r="TSZ33" s="16"/>
      <c r="TTA33" s="16"/>
      <c r="TTB33" s="16"/>
      <c r="TTC33" s="16"/>
      <c r="TTD33" s="16"/>
      <c r="TTE33" s="16"/>
      <c r="TTF33" s="16"/>
      <c r="TTG33" s="16"/>
      <c r="TTH33" s="16"/>
      <c r="TTI33" s="16"/>
      <c r="TTJ33" s="16"/>
      <c r="TTK33" s="16"/>
      <c r="TTL33" s="16"/>
      <c r="TTM33" s="16"/>
      <c r="TTN33" s="16"/>
      <c r="TTO33" s="16"/>
      <c r="TTP33" s="16"/>
      <c r="TTQ33" s="16"/>
      <c r="TTR33" s="16"/>
      <c r="TTS33" s="16"/>
      <c r="TTT33" s="16"/>
      <c r="TTU33" s="16"/>
      <c r="TTV33" s="16"/>
      <c r="TTW33" s="16"/>
      <c r="TTX33" s="16"/>
      <c r="TTY33" s="16"/>
      <c r="TTZ33" s="16"/>
      <c r="TUA33" s="16"/>
      <c r="TUB33" s="16"/>
      <c r="TUC33" s="16"/>
      <c r="TUD33" s="16"/>
      <c r="TUE33" s="16"/>
      <c r="TUF33" s="16"/>
      <c r="TUG33" s="16"/>
      <c r="TUH33" s="16"/>
      <c r="TUI33" s="16"/>
      <c r="TUJ33" s="16"/>
      <c r="TUK33" s="16"/>
      <c r="TUL33" s="16"/>
      <c r="TUM33" s="16"/>
      <c r="TUN33" s="16"/>
      <c r="TUO33" s="16"/>
      <c r="TUP33" s="16"/>
      <c r="TUQ33" s="16"/>
      <c r="TUR33" s="16"/>
      <c r="TUS33" s="16"/>
      <c r="TUT33" s="16"/>
      <c r="TUU33" s="16"/>
      <c r="TUV33" s="16"/>
      <c r="TUW33" s="16"/>
      <c r="TUX33" s="16"/>
      <c r="TUY33" s="16"/>
      <c r="TUZ33" s="16"/>
      <c r="TVA33" s="16"/>
      <c r="TVB33" s="16"/>
      <c r="TVC33" s="16"/>
      <c r="TVD33" s="16"/>
      <c r="TVE33" s="16"/>
      <c r="TVF33" s="16"/>
      <c r="TVG33" s="16"/>
      <c r="TVH33" s="16"/>
      <c r="TVI33" s="16"/>
      <c r="TVJ33" s="16"/>
      <c r="TVK33" s="16"/>
      <c r="TVL33" s="16"/>
      <c r="TVM33" s="16"/>
      <c r="TVN33" s="16"/>
      <c r="TVO33" s="16"/>
      <c r="TVP33" s="16"/>
      <c r="TVQ33" s="16"/>
      <c r="TVR33" s="16"/>
      <c r="TVS33" s="16"/>
      <c r="TVT33" s="16"/>
      <c r="TVU33" s="16"/>
      <c r="TVV33" s="16"/>
      <c r="TVW33" s="16"/>
      <c r="TVX33" s="16"/>
      <c r="TVY33" s="16"/>
      <c r="TVZ33" s="16"/>
      <c r="TWA33" s="16"/>
      <c r="TWB33" s="16"/>
      <c r="TWC33" s="16"/>
      <c r="TWD33" s="16"/>
      <c r="TWE33" s="16"/>
      <c r="TWF33" s="16"/>
      <c r="TWG33" s="16"/>
      <c r="TWH33" s="16"/>
      <c r="TWI33" s="16"/>
      <c r="TWJ33" s="16"/>
      <c r="TWK33" s="16"/>
      <c r="TWL33" s="16"/>
      <c r="TWM33" s="16"/>
      <c r="TWN33" s="16"/>
      <c r="TWO33" s="16"/>
      <c r="TWP33" s="16"/>
      <c r="TWQ33" s="16"/>
      <c r="TWR33" s="16"/>
      <c r="TWS33" s="16"/>
      <c r="TWT33" s="16"/>
      <c r="TWU33" s="16"/>
      <c r="TWV33" s="16"/>
      <c r="TWW33" s="16"/>
      <c r="TWX33" s="16"/>
      <c r="TWY33" s="16"/>
      <c r="TWZ33" s="16"/>
      <c r="TXA33" s="16"/>
      <c r="TXB33" s="16"/>
      <c r="TXC33" s="16"/>
      <c r="TXD33" s="16"/>
      <c r="TXE33" s="16"/>
      <c r="TXF33" s="16"/>
      <c r="TXG33" s="16"/>
      <c r="TXH33" s="16"/>
      <c r="TXI33" s="16"/>
      <c r="TXJ33" s="16"/>
      <c r="TXK33" s="16"/>
      <c r="TXL33" s="16"/>
      <c r="TXM33" s="16"/>
      <c r="TXN33" s="16"/>
      <c r="TXO33" s="16"/>
      <c r="TXP33" s="16"/>
      <c r="TXQ33" s="16"/>
      <c r="TXR33" s="16"/>
      <c r="TXS33" s="16"/>
      <c r="TXT33" s="16"/>
      <c r="TXU33" s="16"/>
      <c r="TXV33" s="16"/>
      <c r="TXW33" s="16"/>
      <c r="TXX33" s="16"/>
      <c r="TXY33" s="16"/>
      <c r="TXZ33" s="16"/>
      <c r="TYA33" s="16"/>
      <c r="TYB33" s="16"/>
      <c r="TYC33" s="16"/>
      <c r="TYD33" s="16"/>
      <c r="TYE33" s="16"/>
      <c r="TYF33" s="16"/>
      <c r="TYG33" s="16"/>
      <c r="TYH33" s="16"/>
      <c r="TYI33" s="16"/>
      <c r="TYJ33" s="16"/>
      <c r="TYK33" s="16"/>
      <c r="TYL33" s="16"/>
      <c r="TYM33" s="16"/>
      <c r="TYN33" s="16"/>
      <c r="TYO33" s="16"/>
      <c r="TYP33" s="16"/>
      <c r="TYQ33" s="16"/>
      <c r="TYR33" s="16"/>
      <c r="TYS33" s="16"/>
      <c r="TYT33" s="16"/>
      <c r="TYU33" s="16"/>
      <c r="TYV33" s="16"/>
      <c r="TYW33" s="16"/>
      <c r="TYX33" s="16"/>
      <c r="TYY33" s="16"/>
      <c r="TYZ33" s="16"/>
      <c r="TZA33" s="16"/>
      <c r="TZB33" s="16"/>
      <c r="TZC33" s="16"/>
      <c r="TZD33" s="16"/>
      <c r="TZE33" s="16"/>
      <c r="TZF33" s="16"/>
      <c r="TZG33" s="16"/>
      <c r="TZH33" s="16"/>
      <c r="TZI33" s="16"/>
      <c r="TZJ33" s="16"/>
      <c r="TZK33" s="16"/>
      <c r="TZL33" s="16"/>
      <c r="TZM33" s="16"/>
      <c r="TZN33" s="16"/>
      <c r="TZO33" s="16"/>
      <c r="TZP33" s="16"/>
      <c r="TZQ33" s="16"/>
      <c r="TZR33" s="16"/>
      <c r="TZS33" s="16"/>
      <c r="TZT33" s="16"/>
      <c r="TZU33" s="16"/>
      <c r="TZV33" s="16"/>
      <c r="TZW33" s="16"/>
      <c r="TZX33" s="16"/>
      <c r="TZY33" s="16"/>
      <c r="TZZ33" s="16"/>
      <c r="UAA33" s="16"/>
      <c r="UAB33" s="16"/>
      <c r="UAC33" s="16"/>
      <c r="UAD33" s="16"/>
      <c r="UAE33" s="16"/>
      <c r="UAF33" s="16"/>
      <c r="UAG33" s="16"/>
      <c r="UAH33" s="16"/>
      <c r="UAI33" s="16"/>
      <c r="UAJ33" s="16"/>
      <c r="UAK33" s="16"/>
      <c r="UAL33" s="16"/>
      <c r="UAM33" s="16"/>
      <c r="UAN33" s="16"/>
      <c r="UAO33" s="16"/>
      <c r="UAP33" s="16"/>
      <c r="UAQ33" s="16"/>
      <c r="UAR33" s="16"/>
      <c r="UAS33" s="16"/>
      <c r="UAT33" s="16"/>
      <c r="UAU33" s="16"/>
      <c r="UAV33" s="16"/>
      <c r="UAW33" s="16"/>
      <c r="UAX33" s="16"/>
      <c r="UAY33" s="16"/>
      <c r="UAZ33" s="16"/>
      <c r="UBA33" s="16"/>
      <c r="UBB33" s="16"/>
      <c r="UBC33" s="16"/>
      <c r="UBD33" s="16"/>
      <c r="UBE33" s="16"/>
      <c r="UBF33" s="16"/>
      <c r="UBG33" s="16"/>
      <c r="UBH33" s="16"/>
      <c r="UBI33" s="16"/>
      <c r="UBJ33" s="16"/>
      <c r="UBK33" s="16"/>
      <c r="UBL33" s="16"/>
      <c r="UBM33" s="16"/>
      <c r="UBN33" s="16"/>
      <c r="UBO33" s="16"/>
      <c r="UBP33" s="16"/>
      <c r="UBQ33" s="16"/>
      <c r="UBR33" s="16"/>
      <c r="UBS33" s="16"/>
      <c r="UBT33" s="16"/>
      <c r="UBU33" s="16"/>
      <c r="UBV33" s="16"/>
      <c r="UBW33" s="16"/>
      <c r="UBX33" s="16"/>
      <c r="UBY33" s="16"/>
      <c r="UBZ33" s="16"/>
      <c r="UCA33" s="16"/>
      <c r="UCB33" s="16"/>
      <c r="UCC33" s="16"/>
      <c r="UCD33" s="16"/>
      <c r="UCE33" s="16"/>
      <c r="UCF33" s="16"/>
      <c r="UCG33" s="16"/>
      <c r="UCH33" s="16"/>
      <c r="UCI33" s="16"/>
      <c r="UCJ33" s="16"/>
      <c r="UCK33" s="16"/>
      <c r="UCL33" s="16"/>
      <c r="UCM33" s="16"/>
      <c r="UCN33" s="16"/>
      <c r="UCO33" s="16"/>
      <c r="UCP33" s="16"/>
      <c r="UCQ33" s="16"/>
      <c r="UCR33" s="16"/>
      <c r="UCS33" s="16"/>
      <c r="UCT33" s="16"/>
      <c r="UCU33" s="16"/>
      <c r="UCV33" s="16"/>
      <c r="UCW33" s="16"/>
      <c r="UCX33" s="16"/>
      <c r="UCY33" s="16"/>
      <c r="UCZ33" s="16"/>
      <c r="UDA33" s="16"/>
      <c r="UDB33" s="16"/>
      <c r="UDC33" s="16"/>
      <c r="UDD33" s="16"/>
      <c r="UDE33" s="16"/>
      <c r="UDF33" s="16"/>
      <c r="UDG33" s="16"/>
      <c r="UDH33" s="16"/>
      <c r="UDI33" s="16"/>
      <c r="UDJ33" s="16"/>
      <c r="UDK33" s="16"/>
      <c r="UDL33" s="16"/>
      <c r="UDM33" s="16"/>
      <c r="UDN33" s="16"/>
      <c r="UDO33" s="16"/>
      <c r="UDP33" s="16"/>
      <c r="UDQ33" s="16"/>
      <c r="UDR33" s="16"/>
      <c r="UDS33" s="16"/>
      <c r="UDT33" s="16"/>
      <c r="UDU33" s="16"/>
      <c r="UDV33" s="16"/>
      <c r="UDW33" s="16"/>
      <c r="UDX33" s="16"/>
      <c r="UDY33" s="16"/>
      <c r="UDZ33" s="16"/>
      <c r="UEA33" s="16"/>
      <c r="UEB33" s="16"/>
      <c r="UEC33" s="16"/>
      <c r="UED33" s="16"/>
      <c r="UEE33" s="16"/>
      <c r="UEF33" s="16"/>
      <c r="UEG33" s="16"/>
      <c r="UEH33" s="16"/>
      <c r="UEI33" s="16"/>
      <c r="UEJ33" s="16"/>
      <c r="UEK33" s="16"/>
      <c r="UEL33" s="16"/>
      <c r="UEM33" s="16"/>
      <c r="UEN33" s="16"/>
      <c r="UEO33" s="16"/>
      <c r="UEP33" s="16"/>
      <c r="UEQ33" s="16"/>
      <c r="UER33" s="16"/>
      <c r="UES33" s="16"/>
      <c r="UET33" s="16"/>
      <c r="UEU33" s="16"/>
      <c r="UEV33" s="16"/>
      <c r="UEW33" s="16"/>
      <c r="UEX33" s="16"/>
      <c r="UEY33" s="16"/>
      <c r="UEZ33" s="16"/>
      <c r="UFA33" s="16"/>
      <c r="UFB33" s="16"/>
      <c r="UFC33" s="16"/>
      <c r="UFD33" s="16"/>
      <c r="UFE33" s="16"/>
      <c r="UFF33" s="16"/>
      <c r="UFG33" s="16"/>
      <c r="UFH33" s="16"/>
      <c r="UFI33" s="16"/>
      <c r="UFJ33" s="16"/>
      <c r="UFK33" s="16"/>
      <c r="UFL33" s="16"/>
      <c r="UFM33" s="16"/>
      <c r="UFN33" s="16"/>
      <c r="UFO33" s="16"/>
      <c r="UFP33" s="16"/>
      <c r="UFQ33" s="16"/>
      <c r="UFR33" s="16"/>
      <c r="UFS33" s="16"/>
      <c r="UFT33" s="16"/>
      <c r="UFU33" s="16"/>
      <c r="UFV33" s="16"/>
      <c r="UFW33" s="16"/>
      <c r="UFX33" s="16"/>
      <c r="UFY33" s="16"/>
      <c r="UFZ33" s="16"/>
      <c r="UGA33" s="16"/>
      <c r="UGB33" s="16"/>
      <c r="UGC33" s="16"/>
      <c r="UGD33" s="16"/>
      <c r="UGE33" s="16"/>
      <c r="UGF33" s="16"/>
      <c r="UGG33" s="16"/>
      <c r="UGH33" s="16"/>
      <c r="UGI33" s="16"/>
      <c r="UGJ33" s="16"/>
      <c r="UGK33" s="16"/>
      <c r="UGL33" s="16"/>
      <c r="UGM33" s="16"/>
      <c r="UGN33" s="16"/>
      <c r="UGO33" s="16"/>
      <c r="UGP33" s="16"/>
      <c r="UGQ33" s="16"/>
      <c r="UGR33" s="16"/>
      <c r="UGS33" s="16"/>
      <c r="UGT33" s="16"/>
      <c r="UGU33" s="16"/>
      <c r="UGV33" s="16"/>
      <c r="UGW33" s="16"/>
      <c r="UGX33" s="16"/>
      <c r="UGY33" s="16"/>
      <c r="UGZ33" s="16"/>
      <c r="UHA33" s="16"/>
      <c r="UHB33" s="16"/>
      <c r="UHC33" s="16"/>
      <c r="UHD33" s="16"/>
      <c r="UHE33" s="16"/>
      <c r="UHF33" s="16"/>
      <c r="UHG33" s="16"/>
      <c r="UHH33" s="16"/>
      <c r="UHI33" s="16"/>
      <c r="UHJ33" s="16"/>
      <c r="UHK33" s="16"/>
      <c r="UHL33" s="16"/>
      <c r="UHM33" s="16"/>
      <c r="UHN33" s="16"/>
      <c r="UHO33" s="16"/>
      <c r="UHP33" s="16"/>
      <c r="UHQ33" s="16"/>
      <c r="UHR33" s="16"/>
      <c r="UHS33" s="16"/>
      <c r="UHT33" s="16"/>
      <c r="UHU33" s="16"/>
      <c r="UHV33" s="16"/>
      <c r="UHW33" s="16"/>
      <c r="UHX33" s="16"/>
      <c r="UHY33" s="16"/>
      <c r="UHZ33" s="16"/>
      <c r="UIA33" s="16"/>
      <c r="UIB33" s="16"/>
      <c r="UIC33" s="16"/>
      <c r="UID33" s="16"/>
      <c r="UIE33" s="16"/>
      <c r="UIF33" s="16"/>
      <c r="UIG33" s="16"/>
      <c r="UIH33" s="16"/>
      <c r="UII33" s="16"/>
      <c r="UIJ33" s="16"/>
      <c r="UIK33" s="16"/>
      <c r="UIL33" s="16"/>
      <c r="UIM33" s="16"/>
      <c r="UIN33" s="16"/>
      <c r="UIO33" s="16"/>
      <c r="UIP33" s="16"/>
      <c r="UIQ33" s="16"/>
      <c r="UIR33" s="16"/>
      <c r="UIS33" s="16"/>
      <c r="UIT33" s="16"/>
      <c r="UIU33" s="16"/>
      <c r="UIV33" s="16"/>
      <c r="UIW33" s="16"/>
      <c r="UIX33" s="16"/>
      <c r="UIY33" s="16"/>
      <c r="UIZ33" s="16"/>
      <c r="UJA33" s="16"/>
      <c r="UJB33" s="16"/>
      <c r="UJC33" s="16"/>
      <c r="UJD33" s="16"/>
      <c r="UJE33" s="16"/>
      <c r="UJF33" s="16"/>
      <c r="UJG33" s="16"/>
      <c r="UJH33" s="16"/>
      <c r="UJI33" s="16"/>
      <c r="UJJ33" s="16"/>
      <c r="UJK33" s="16"/>
      <c r="UJL33" s="16"/>
      <c r="UJM33" s="16"/>
      <c r="UJN33" s="16"/>
      <c r="UJO33" s="16"/>
      <c r="UJP33" s="16"/>
      <c r="UJQ33" s="16"/>
      <c r="UJR33" s="16"/>
      <c r="UJS33" s="16"/>
      <c r="UJT33" s="16"/>
      <c r="UJU33" s="16"/>
      <c r="UJV33" s="16"/>
      <c r="UJW33" s="16"/>
      <c r="UJX33" s="16"/>
      <c r="UJY33" s="16"/>
      <c r="UJZ33" s="16"/>
      <c r="UKA33" s="16"/>
      <c r="UKB33" s="16"/>
      <c r="UKC33" s="16"/>
      <c r="UKD33" s="16"/>
      <c r="UKE33" s="16"/>
      <c r="UKF33" s="16"/>
      <c r="UKG33" s="16"/>
      <c r="UKH33" s="16"/>
      <c r="UKI33" s="16"/>
      <c r="UKJ33" s="16"/>
      <c r="UKK33" s="16"/>
      <c r="UKL33" s="16"/>
      <c r="UKM33" s="16"/>
      <c r="UKN33" s="16"/>
      <c r="UKO33" s="16"/>
      <c r="UKP33" s="16"/>
      <c r="UKQ33" s="16"/>
      <c r="UKR33" s="16"/>
      <c r="UKS33" s="16"/>
      <c r="UKT33" s="16"/>
      <c r="UKU33" s="16"/>
      <c r="UKV33" s="16"/>
      <c r="UKW33" s="16"/>
      <c r="UKX33" s="16"/>
      <c r="UKY33" s="16"/>
      <c r="UKZ33" s="16"/>
      <c r="ULA33" s="16"/>
      <c r="ULB33" s="16"/>
      <c r="ULC33" s="16"/>
      <c r="ULD33" s="16"/>
      <c r="ULE33" s="16"/>
      <c r="ULF33" s="16"/>
      <c r="ULG33" s="16"/>
      <c r="ULH33" s="16"/>
      <c r="ULI33" s="16"/>
      <c r="ULJ33" s="16"/>
      <c r="ULK33" s="16"/>
      <c r="ULL33" s="16"/>
      <c r="ULM33" s="16"/>
      <c r="ULN33" s="16"/>
      <c r="ULO33" s="16"/>
      <c r="ULP33" s="16"/>
      <c r="ULQ33" s="16"/>
      <c r="ULR33" s="16"/>
      <c r="ULS33" s="16"/>
      <c r="ULT33" s="16"/>
      <c r="ULU33" s="16"/>
      <c r="ULV33" s="16"/>
      <c r="ULW33" s="16"/>
      <c r="ULX33" s="16"/>
      <c r="ULY33" s="16"/>
      <c r="ULZ33" s="16"/>
      <c r="UMA33" s="16"/>
      <c r="UMB33" s="16"/>
      <c r="UMC33" s="16"/>
      <c r="UMD33" s="16"/>
      <c r="UME33" s="16"/>
      <c r="UMF33" s="16"/>
      <c r="UMG33" s="16"/>
      <c r="UMH33" s="16"/>
      <c r="UMI33" s="16"/>
      <c r="UMJ33" s="16"/>
      <c r="UMK33" s="16"/>
      <c r="UML33" s="16"/>
      <c r="UMM33" s="16"/>
      <c r="UMN33" s="16"/>
      <c r="UMO33" s="16"/>
      <c r="UMP33" s="16"/>
      <c r="UMQ33" s="16"/>
      <c r="UMR33" s="16"/>
      <c r="UMS33" s="16"/>
      <c r="UMT33" s="16"/>
      <c r="UMU33" s="16"/>
      <c r="UMV33" s="16"/>
      <c r="UMW33" s="16"/>
      <c r="UMX33" s="16"/>
      <c r="UMY33" s="16"/>
      <c r="UMZ33" s="16"/>
      <c r="UNA33" s="16"/>
      <c r="UNB33" s="16"/>
      <c r="UNC33" s="16"/>
      <c r="UND33" s="16"/>
      <c r="UNE33" s="16"/>
      <c r="UNF33" s="16"/>
      <c r="UNG33" s="16"/>
      <c r="UNH33" s="16"/>
      <c r="UNI33" s="16"/>
      <c r="UNJ33" s="16"/>
      <c r="UNK33" s="16"/>
      <c r="UNL33" s="16"/>
      <c r="UNM33" s="16"/>
      <c r="UNN33" s="16"/>
      <c r="UNO33" s="16"/>
      <c r="UNP33" s="16"/>
      <c r="UNQ33" s="16"/>
      <c r="UNR33" s="16"/>
      <c r="UNS33" s="16"/>
      <c r="UNT33" s="16"/>
      <c r="UNU33" s="16"/>
      <c r="UNV33" s="16"/>
      <c r="UNW33" s="16"/>
      <c r="UNX33" s="16"/>
      <c r="UNY33" s="16"/>
      <c r="UNZ33" s="16"/>
      <c r="UOA33" s="16"/>
      <c r="UOB33" s="16"/>
      <c r="UOC33" s="16"/>
      <c r="UOD33" s="16"/>
      <c r="UOE33" s="16"/>
      <c r="UOF33" s="16"/>
      <c r="UOG33" s="16"/>
      <c r="UOH33" s="16"/>
      <c r="UOI33" s="16"/>
      <c r="UOJ33" s="16"/>
      <c r="UOK33" s="16"/>
      <c r="UOL33" s="16"/>
      <c r="UOM33" s="16"/>
      <c r="UON33" s="16"/>
      <c r="UOO33" s="16"/>
      <c r="UOP33" s="16"/>
      <c r="UOQ33" s="16"/>
      <c r="UOR33" s="16"/>
      <c r="UOS33" s="16"/>
      <c r="UOT33" s="16"/>
      <c r="UOU33" s="16"/>
      <c r="UOV33" s="16"/>
      <c r="UOW33" s="16"/>
      <c r="UOX33" s="16"/>
      <c r="UOY33" s="16"/>
      <c r="UOZ33" s="16"/>
      <c r="UPA33" s="16"/>
      <c r="UPB33" s="16"/>
      <c r="UPC33" s="16"/>
      <c r="UPD33" s="16"/>
      <c r="UPE33" s="16"/>
      <c r="UPF33" s="16"/>
      <c r="UPG33" s="16"/>
      <c r="UPH33" s="16"/>
      <c r="UPI33" s="16"/>
      <c r="UPJ33" s="16"/>
      <c r="UPK33" s="16"/>
      <c r="UPL33" s="16"/>
      <c r="UPM33" s="16"/>
      <c r="UPN33" s="16"/>
      <c r="UPO33" s="16"/>
      <c r="UPP33" s="16"/>
      <c r="UPQ33" s="16"/>
      <c r="UPR33" s="16"/>
      <c r="UPS33" s="16"/>
      <c r="UPT33" s="16"/>
      <c r="UPU33" s="16"/>
      <c r="UPV33" s="16"/>
      <c r="UPW33" s="16"/>
      <c r="UPX33" s="16"/>
      <c r="UPY33" s="16"/>
      <c r="UPZ33" s="16"/>
      <c r="UQA33" s="16"/>
      <c r="UQB33" s="16"/>
      <c r="UQC33" s="16"/>
      <c r="UQD33" s="16"/>
      <c r="UQE33" s="16"/>
      <c r="UQF33" s="16"/>
      <c r="UQG33" s="16"/>
      <c r="UQH33" s="16"/>
      <c r="UQI33" s="16"/>
      <c r="UQJ33" s="16"/>
      <c r="UQK33" s="16"/>
      <c r="UQL33" s="16"/>
      <c r="UQM33" s="16"/>
      <c r="UQN33" s="16"/>
      <c r="UQO33" s="16"/>
      <c r="UQP33" s="16"/>
      <c r="UQQ33" s="16"/>
      <c r="UQR33" s="16"/>
      <c r="UQS33" s="16"/>
      <c r="UQT33" s="16"/>
      <c r="UQU33" s="16"/>
      <c r="UQV33" s="16"/>
      <c r="UQW33" s="16"/>
      <c r="UQX33" s="16"/>
      <c r="UQY33" s="16"/>
      <c r="UQZ33" s="16"/>
      <c r="URA33" s="16"/>
      <c r="URB33" s="16"/>
      <c r="URC33" s="16"/>
      <c r="URD33" s="16"/>
      <c r="URE33" s="16"/>
      <c r="URF33" s="16"/>
      <c r="URG33" s="16"/>
      <c r="URH33" s="16"/>
      <c r="URI33" s="16"/>
      <c r="URJ33" s="16"/>
      <c r="URK33" s="16"/>
      <c r="URL33" s="16"/>
      <c r="URM33" s="16"/>
      <c r="URN33" s="16"/>
      <c r="URO33" s="16"/>
      <c r="URP33" s="16"/>
      <c r="URQ33" s="16"/>
      <c r="URR33" s="16"/>
      <c r="URS33" s="16"/>
      <c r="URT33" s="16"/>
      <c r="URU33" s="16"/>
      <c r="URV33" s="16"/>
      <c r="URW33" s="16"/>
      <c r="URX33" s="16"/>
      <c r="URY33" s="16"/>
      <c r="URZ33" s="16"/>
      <c r="USA33" s="16"/>
      <c r="USB33" s="16"/>
      <c r="USC33" s="16"/>
      <c r="USD33" s="16"/>
      <c r="USE33" s="16"/>
      <c r="USF33" s="16"/>
      <c r="USG33" s="16"/>
      <c r="USH33" s="16"/>
      <c r="USI33" s="16"/>
      <c r="USJ33" s="16"/>
      <c r="USK33" s="16"/>
      <c r="USL33" s="16"/>
      <c r="USM33" s="16"/>
      <c r="USN33" s="16"/>
      <c r="USO33" s="16"/>
      <c r="USP33" s="16"/>
      <c r="USQ33" s="16"/>
      <c r="USR33" s="16"/>
      <c r="USS33" s="16"/>
      <c r="UST33" s="16"/>
      <c r="USU33" s="16"/>
      <c r="USV33" s="16"/>
      <c r="USW33" s="16"/>
      <c r="USX33" s="16"/>
      <c r="USY33" s="16"/>
      <c r="USZ33" s="16"/>
      <c r="UTA33" s="16"/>
      <c r="UTB33" s="16"/>
      <c r="UTC33" s="16"/>
      <c r="UTD33" s="16"/>
      <c r="UTE33" s="16"/>
      <c r="UTF33" s="16"/>
      <c r="UTG33" s="16"/>
      <c r="UTH33" s="16"/>
      <c r="UTI33" s="16"/>
      <c r="UTJ33" s="16"/>
      <c r="UTK33" s="16"/>
      <c r="UTL33" s="16"/>
      <c r="UTM33" s="16"/>
      <c r="UTN33" s="16"/>
      <c r="UTO33" s="16"/>
      <c r="UTP33" s="16"/>
      <c r="UTQ33" s="16"/>
      <c r="UTR33" s="16"/>
      <c r="UTS33" s="16"/>
      <c r="UTT33" s="16"/>
      <c r="UTU33" s="16"/>
      <c r="UTV33" s="16"/>
      <c r="UTW33" s="16"/>
      <c r="UTX33" s="16"/>
      <c r="UTY33" s="16"/>
      <c r="UTZ33" s="16"/>
      <c r="UUA33" s="16"/>
      <c r="UUB33" s="16"/>
      <c r="UUC33" s="16"/>
      <c r="UUD33" s="16"/>
      <c r="UUE33" s="16"/>
      <c r="UUF33" s="16"/>
      <c r="UUG33" s="16"/>
      <c r="UUH33" s="16"/>
      <c r="UUI33" s="16"/>
      <c r="UUJ33" s="16"/>
      <c r="UUK33" s="16"/>
      <c r="UUL33" s="16"/>
      <c r="UUM33" s="16"/>
      <c r="UUN33" s="16"/>
      <c r="UUO33" s="16"/>
      <c r="UUP33" s="16"/>
      <c r="UUQ33" s="16"/>
      <c r="UUR33" s="16"/>
      <c r="UUS33" s="16"/>
      <c r="UUT33" s="16"/>
      <c r="UUU33" s="16"/>
      <c r="UUV33" s="16"/>
      <c r="UUW33" s="16"/>
      <c r="UUX33" s="16"/>
      <c r="UUY33" s="16"/>
      <c r="UUZ33" s="16"/>
      <c r="UVA33" s="16"/>
      <c r="UVB33" s="16"/>
      <c r="UVC33" s="16"/>
      <c r="UVD33" s="16"/>
      <c r="UVE33" s="16"/>
      <c r="UVF33" s="16"/>
      <c r="UVG33" s="16"/>
      <c r="UVH33" s="16"/>
      <c r="UVI33" s="16"/>
      <c r="UVJ33" s="16"/>
      <c r="UVK33" s="16"/>
      <c r="UVL33" s="16"/>
      <c r="UVM33" s="16"/>
      <c r="UVN33" s="16"/>
      <c r="UVO33" s="16"/>
      <c r="UVP33" s="16"/>
      <c r="UVQ33" s="16"/>
      <c r="UVR33" s="16"/>
      <c r="UVS33" s="16"/>
      <c r="UVT33" s="16"/>
      <c r="UVU33" s="16"/>
      <c r="UVV33" s="16"/>
      <c r="UVW33" s="16"/>
      <c r="UVX33" s="16"/>
      <c r="UVY33" s="16"/>
      <c r="UVZ33" s="16"/>
      <c r="UWA33" s="16"/>
      <c r="UWB33" s="16"/>
      <c r="UWC33" s="16"/>
      <c r="UWD33" s="16"/>
      <c r="UWE33" s="16"/>
      <c r="UWF33" s="16"/>
      <c r="UWG33" s="16"/>
      <c r="UWH33" s="16"/>
      <c r="UWI33" s="16"/>
      <c r="UWJ33" s="16"/>
      <c r="UWK33" s="16"/>
      <c r="UWL33" s="16"/>
      <c r="UWM33" s="16"/>
      <c r="UWN33" s="16"/>
      <c r="UWO33" s="16"/>
      <c r="UWP33" s="16"/>
      <c r="UWQ33" s="16"/>
      <c r="UWR33" s="16"/>
      <c r="UWS33" s="16"/>
      <c r="UWT33" s="16"/>
      <c r="UWU33" s="16"/>
      <c r="UWV33" s="16"/>
      <c r="UWW33" s="16"/>
      <c r="UWX33" s="16"/>
      <c r="UWY33" s="16"/>
      <c r="UWZ33" s="16"/>
      <c r="UXA33" s="16"/>
      <c r="UXB33" s="16"/>
      <c r="UXC33" s="16"/>
      <c r="UXD33" s="16"/>
      <c r="UXE33" s="16"/>
      <c r="UXF33" s="16"/>
      <c r="UXG33" s="16"/>
      <c r="UXH33" s="16"/>
      <c r="UXI33" s="16"/>
      <c r="UXJ33" s="16"/>
      <c r="UXK33" s="16"/>
      <c r="UXL33" s="16"/>
      <c r="UXM33" s="16"/>
      <c r="UXN33" s="16"/>
      <c r="UXO33" s="16"/>
      <c r="UXP33" s="16"/>
      <c r="UXQ33" s="16"/>
      <c r="UXR33" s="16"/>
      <c r="UXS33" s="16"/>
      <c r="UXT33" s="16"/>
      <c r="UXU33" s="16"/>
      <c r="UXV33" s="16"/>
      <c r="UXW33" s="16"/>
      <c r="UXX33" s="16"/>
      <c r="UXY33" s="16"/>
      <c r="UXZ33" s="16"/>
      <c r="UYA33" s="16"/>
      <c r="UYB33" s="16"/>
      <c r="UYC33" s="16"/>
      <c r="UYD33" s="16"/>
      <c r="UYE33" s="16"/>
      <c r="UYF33" s="16"/>
      <c r="UYG33" s="16"/>
      <c r="UYH33" s="16"/>
      <c r="UYI33" s="16"/>
      <c r="UYJ33" s="16"/>
      <c r="UYK33" s="16"/>
      <c r="UYL33" s="16"/>
      <c r="UYM33" s="16"/>
      <c r="UYN33" s="16"/>
      <c r="UYO33" s="16"/>
      <c r="UYP33" s="16"/>
      <c r="UYQ33" s="16"/>
      <c r="UYR33" s="16"/>
      <c r="UYS33" s="16"/>
      <c r="UYT33" s="16"/>
      <c r="UYU33" s="16"/>
      <c r="UYV33" s="16"/>
      <c r="UYW33" s="16"/>
      <c r="UYX33" s="16"/>
      <c r="UYY33" s="16"/>
      <c r="UYZ33" s="16"/>
      <c r="UZA33" s="16"/>
      <c r="UZB33" s="16"/>
      <c r="UZC33" s="16"/>
      <c r="UZD33" s="16"/>
      <c r="UZE33" s="16"/>
      <c r="UZF33" s="16"/>
      <c r="UZG33" s="16"/>
      <c r="UZH33" s="16"/>
      <c r="UZI33" s="16"/>
      <c r="UZJ33" s="16"/>
      <c r="UZK33" s="16"/>
      <c r="UZL33" s="16"/>
      <c r="UZM33" s="16"/>
      <c r="UZN33" s="16"/>
      <c r="UZO33" s="16"/>
      <c r="UZP33" s="16"/>
      <c r="UZQ33" s="16"/>
      <c r="UZR33" s="16"/>
      <c r="UZS33" s="16"/>
      <c r="UZT33" s="16"/>
      <c r="UZU33" s="16"/>
      <c r="UZV33" s="16"/>
      <c r="UZW33" s="16"/>
      <c r="UZX33" s="16"/>
      <c r="UZY33" s="16"/>
      <c r="UZZ33" s="16"/>
      <c r="VAA33" s="16"/>
      <c r="VAB33" s="16"/>
      <c r="VAC33" s="16"/>
      <c r="VAD33" s="16"/>
      <c r="VAE33" s="16"/>
      <c r="VAF33" s="16"/>
      <c r="VAG33" s="16"/>
      <c r="VAH33" s="16"/>
      <c r="VAI33" s="16"/>
      <c r="VAJ33" s="16"/>
      <c r="VAK33" s="16"/>
      <c r="VAL33" s="16"/>
      <c r="VAM33" s="16"/>
      <c r="VAN33" s="16"/>
      <c r="VAO33" s="16"/>
      <c r="VAP33" s="16"/>
      <c r="VAQ33" s="16"/>
      <c r="VAR33" s="16"/>
      <c r="VAS33" s="16"/>
      <c r="VAT33" s="16"/>
      <c r="VAU33" s="16"/>
      <c r="VAV33" s="16"/>
      <c r="VAW33" s="16"/>
      <c r="VAX33" s="16"/>
      <c r="VAY33" s="16"/>
      <c r="VAZ33" s="16"/>
      <c r="VBA33" s="16"/>
      <c r="VBB33" s="16"/>
      <c r="VBC33" s="16"/>
      <c r="VBD33" s="16"/>
      <c r="VBE33" s="16"/>
      <c r="VBF33" s="16"/>
      <c r="VBG33" s="16"/>
      <c r="VBH33" s="16"/>
      <c r="VBI33" s="16"/>
      <c r="VBJ33" s="16"/>
      <c r="VBK33" s="16"/>
      <c r="VBL33" s="16"/>
      <c r="VBM33" s="16"/>
      <c r="VBN33" s="16"/>
      <c r="VBO33" s="16"/>
    </row>
    <row r="34" spans="1:14939" x14ac:dyDescent="0.25">
      <c r="B34" s="1664"/>
      <c r="C34" s="491" t="s">
        <v>70</v>
      </c>
      <c r="D34" s="508">
        <f>SUM(D35:D36)</f>
        <v>0</v>
      </c>
      <c r="E34" s="492" t="s">
        <v>14</v>
      </c>
      <c r="F34" s="457">
        <f t="shared" ref="F34:Q34" si="6">F35+F36</f>
        <v>0</v>
      </c>
      <c r="G34" s="457">
        <f t="shared" si="6"/>
        <v>0</v>
      </c>
      <c r="H34" s="457">
        <f t="shared" si="6"/>
        <v>201381</v>
      </c>
      <c r="I34" s="457">
        <f t="shared" si="6"/>
        <v>0</v>
      </c>
      <c r="J34" s="457">
        <f t="shared" si="6"/>
        <v>0</v>
      </c>
      <c r="K34" s="457">
        <f t="shared" si="6"/>
        <v>0</v>
      </c>
      <c r="L34" s="457">
        <f t="shared" si="6"/>
        <v>0</v>
      </c>
      <c r="M34" s="457">
        <f t="shared" si="6"/>
        <v>0</v>
      </c>
      <c r="N34" s="457">
        <f t="shared" si="6"/>
        <v>0</v>
      </c>
      <c r="O34" s="457">
        <f>'[22]Oktober 24'!AL30</f>
        <v>0</v>
      </c>
      <c r="P34" s="457">
        <f t="shared" si="6"/>
        <v>0</v>
      </c>
      <c r="Q34" s="457">
        <f t="shared" si="6"/>
        <v>0</v>
      </c>
      <c r="R34" s="737"/>
      <c r="S34" s="522">
        <f>S35+S36</f>
        <v>201381</v>
      </c>
      <c r="T34" s="692">
        <f>T35+T36</f>
        <v>30647000</v>
      </c>
      <c r="U34" s="793">
        <f>(S34/T34)*100</f>
        <v>0.65709857408555483</v>
      </c>
      <c r="V34" s="65"/>
      <c r="W34" s="1"/>
      <c r="X34" s="65"/>
      <c r="Y34" s="65"/>
      <c r="Z34" s="65"/>
      <c r="AA34" s="65"/>
      <c r="AB34" s="65"/>
      <c r="AC34" s="65"/>
      <c r="AD34" s="65"/>
      <c r="AE34" s="65"/>
      <c r="AF34" s="1675"/>
      <c r="AG34" s="1675"/>
      <c r="AH34" s="65"/>
      <c r="AI34" s="65"/>
      <c r="AJ34" s="65"/>
      <c r="AK34" s="65"/>
      <c r="AL34" s="65"/>
      <c r="AM34" s="65"/>
      <c r="AN34" s="65"/>
      <c r="AO34" s="65"/>
      <c r="AP34" s="65"/>
      <c r="AR34" s="65"/>
      <c r="AT34" s="465"/>
      <c r="AU34" s="465"/>
      <c r="AV34" s="1"/>
      <c r="AW34" s="1"/>
      <c r="AX34" s="16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V34" s="1"/>
      <c r="BW34" s="1"/>
      <c r="BX34" s="146"/>
      <c r="BY34" s="1"/>
      <c r="DA34" s="1"/>
      <c r="DE34" s="2"/>
      <c r="DF34" s="5"/>
      <c r="DG34" s="145"/>
      <c r="DH34" s="145"/>
      <c r="DI34" s="145"/>
      <c r="DJ34" s="146"/>
      <c r="FM34" s="146"/>
      <c r="JH34" s="146"/>
      <c r="JI34" s="146"/>
      <c r="JJ34" s="146"/>
      <c r="JK34" s="146"/>
      <c r="OO34" s="146"/>
      <c r="OP34" s="146"/>
      <c r="OQ34" s="149"/>
      <c r="OR34" s="146"/>
      <c r="PF34" s="149">
        <f>SUM(PF27:PF32)</f>
        <v>40.247160000000001</v>
      </c>
      <c r="PJ34" s="146"/>
      <c r="RM34" s="149"/>
      <c r="AGV34" s="145"/>
      <c r="AIK34" s="145"/>
      <c r="AIL34" s="145"/>
      <c r="AIM34" s="145"/>
    </row>
    <row r="35" spans="1:14939" x14ac:dyDescent="0.25">
      <c r="B35" s="1664"/>
      <c r="C35" s="491" t="s">
        <v>344</v>
      </c>
      <c r="D35" s="508"/>
      <c r="E35" s="492" t="s">
        <v>14</v>
      </c>
      <c r="F35" s="457">
        <f>'[22]Januari 24'!AL31</f>
        <v>0</v>
      </c>
      <c r="G35" s="457"/>
      <c r="H35" s="457">
        <f>'[22]Maret 24'!AL31</f>
        <v>151447</v>
      </c>
      <c r="I35" s="457">
        <f>'[22]April 24'!AL31</f>
        <v>0</v>
      </c>
      <c r="J35" s="457">
        <f>'[22]Mei 24'!AL31</f>
        <v>0</v>
      </c>
      <c r="K35" s="457">
        <f>'[22]Juny 24'!AL31</f>
        <v>0</v>
      </c>
      <c r="L35" s="457">
        <f>'[22]July 24'!AL31</f>
        <v>0</v>
      </c>
      <c r="M35" s="457">
        <f>'[22]Agustus 24'!AL31</f>
        <v>0</v>
      </c>
      <c r="N35" s="457">
        <f>'[22]September 24'!AL31</f>
        <v>0</v>
      </c>
      <c r="O35" s="457">
        <f>'[22]Oktober 24'!AL31</f>
        <v>0</v>
      </c>
      <c r="P35" s="457">
        <f>'[22]November 24'!AL31</f>
        <v>0</v>
      </c>
      <c r="Q35" s="457">
        <f>'[22]Desember 24'!AL31</f>
        <v>0</v>
      </c>
      <c r="R35" s="737"/>
      <c r="S35" s="524">
        <f>SUM(F35:Q35)</f>
        <v>151447</v>
      </c>
      <c r="T35" s="693">
        <v>23002000</v>
      </c>
      <c r="U35" s="793">
        <f>S35/T35*100</f>
        <v>0.65840796452482386</v>
      </c>
      <c r="V35" s="65"/>
      <c r="W35" s="5"/>
      <c r="X35" s="65"/>
      <c r="Y35" s="65"/>
      <c r="Z35" s="65"/>
      <c r="AA35" s="65"/>
      <c r="AB35" s="65"/>
      <c r="AC35" s="65"/>
      <c r="AD35" s="65"/>
      <c r="AE35" s="65"/>
      <c r="AF35" s="1675"/>
      <c r="AG35" s="1675"/>
      <c r="AH35" s="1675"/>
      <c r="AI35" s="1675"/>
      <c r="AJ35" s="1675"/>
      <c r="AK35" s="1675"/>
      <c r="AL35" s="1675"/>
      <c r="AM35" s="65"/>
      <c r="AN35" s="65"/>
      <c r="AO35" s="65"/>
      <c r="AP35" s="65"/>
      <c r="AR35" s="65"/>
      <c r="AT35" s="465"/>
      <c r="AU35" s="465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V35" s="1"/>
      <c r="BW35" s="1"/>
      <c r="BX35" s="146"/>
      <c r="BY35" s="1"/>
      <c r="DA35" s="1"/>
      <c r="DF35" s="5"/>
      <c r="DG35" s="149"/>
      <c r="DH35" s="149"/>
      <c r="DI35" s="149"/>
      <c r="DJ35" s="146"/>
      <c r="FM35" s="146"/>
      <c r="JH35" s="146"/>
      <c r="JI35" s="146"/>
      <c r="JJ35" s="146"/>
      <c r="JK35" s="146"/>
      <c r="OO35" s="146"/>
      <c r="OP35" s="146"/>
      <c r="OQ35" s="149"/>
      <c r="OR35" s="146"/>
      <c r="PF35" s="149"/>
      <c r="PJ35" s="146"/>
      <c r="RM35" s="149"/>
      <c r="AGV35" s="145"/>
      <c r="AIK35" s="145"/>
      <c r="AIL35" s="145"/>
      <c r="AIM35" s="145"/>
    </row>
    <row r="36" spans="1:14939" x14ac:dyDescent="0.25">
      <c r="B36" s="1664"/>
      <c r="C36" s="454" t="s">
        <v>73</v>
      </c>
      <c r="D36" s="508"/>
      <c r="E36" s="492" t="s">
        <v>14</v>
      </c>
      <c r="F36" s="457">
        <f>'[22]Januari 24'!AL32</f>
        <v>0</v>
      </c>
      <c r="G36" s="457"/>
      <c r="H36" s="457">
        <f>'[22]Maret 24'!AL32</f>
        <v>49934</v>
      </c>
      <c r="I36" s="457">
        <f>'[22]April 24'!AL32</f>
        <v>0</v>
      </c>
      <c r="J36" s="457">
        <f>'[22]Mei 24'!AL32</f>
        <v>0</v>
      </c>
      <c r="K36" s="457">
        <f>'[22]Juny 24'!AL32</f>
        <v>0</v>
      </c>
      <c r="L36" s="457">
        <f>'[22]July 24'!AL32</f>
        <v>0</v>
      </c>
      <c r="M36" s="457">
        <f>'[22]Agustus 24'!AL32</f>
        <v>0</v>
      </c>
      <c r="N36" s="457">
        <f>'[22]September 24'!AL32</f>
        <v>0</v>
      </c>
      <c r="O36" s="457">
        <f>'[22]Oktober 24'!AL32</f>
        <v>0</v>
      </c>
      <c r="P36" s="457">
        <f>'[22]November 24'!AL32</f>
        <v>0</v>
      </c>
      <c r="Q36" s="457">
        <f>'[22]Desember 24'!AL32</f>
        <v>0</v>
      </c>
      <c r="R36" s="737"/>
      <c r="S36" s="522">
        <f>SUM(F36:Q36)</f>
        <v>49934</v>
      </c>
      <c r="T36" s="691">
        <v>7645000</v>
      </c>
      <c r="U36" s="793">
        <f>S36/T36*100</f>
        <v>0.65315892740353165</v>
      </c>
      <c r="V36" s="65"/>
      <c r="W36" s="84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R36" s="65"/>
      <c r="AT36" s="465"/>
      <c r="AU36" s="465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V36" s="1"/>
      <c r="BW36" s="1"/>
      <c r="BX36" s="146"/>
      <c r="BY36" s="1"/>
      <c r="DA36" s="1"/>
      <c r="DF36" s="5"/>
      <c r="DG36" s="146"/>
      <c r="DH36" s="146"/>
      <c r="DI36" s="146"/>
      <c r="DJ36" s="146"/>
      <c r="FM36" s="146"/>
      <c r="JH36" s="146"/>
      <c r="JI36" s="146"/>
      <c r="JJ36" s="146"/>
      <c r="JK36" s="146"/>
      <c r="OO36" s="146"/>
      <c r="OP36" s="146"/>
      <c r="OR36" s="146"/>
      <c r="PF36" s="149"/>
      <c r="PJ36" s="146"/>
      <c r="RM36" s="149"/>
      <c r="AGV36" s="145"/>
      <c r="AIK36" s="145"/>
      <c r="AIL36" s="145"/>
      <c r="AIM36" s="145"/>
    </row>
    <row r="37" spans="1:14939" s="525" customFormat="1" x14ac:dyDescent="0.25">
      <c r="B37" s="1664"/>
      <c r="C37" s="503" t="s">
        <v>345</v>
      </c>
      <c r="D37" s="526"/>
      <c r="E37" s="527"/>
      <c r="F37" s="528"/>
      <c r="G37" s="528"/>
      <c r="H37" s="528"/>
      <c r="I37" s="528"/>
      <c r="J37" s="528"/>
      <c r="K37" s="528"/>
      <c r="L37" s="528"/>
      <c r="M37" s="528"/>
      <c r="N37" s="528"/>
      <c r="O37" s="528"/>
      <c r="P37" s="528"/>
      <c r="Q37" s="528"/>
      <c r="R37" s="738"/>
      <c r="S37" s="730" t="s">
        <v>338</v>
      </c>
      <c r="T37" s="690" t="s">
        <v>338</v>
      </c>
      <c r="U37" s="795" t="s">
        <v>338</v>
      </c>
      <c r="V37" s="65"/>
      <c r="W37" s="845"/>
      <c r="X37" s="826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R37" s="65"/>
      <c r="AT37" s="825"/>
      <c r="AU37" s="825"/>
      <c r="AV37" s="65"/>
      <c r="AW37" s="65"/>
      <c r="AX37" s="1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V37" s="65"/>
      <c r="BW37" s="65"/>
      <c r="BX37" s="147"/>
      <c r="BY37" s="65"/>
      <c r="DA37" s="65"/>
      <c r="DF37" s="529"/>
      <c r="DG37" s="147"/>
      <c r="DH37" s="147"/>
      <c r="DI37" s="147"/>
      <c r="DJ37" s="147"/>
      <c r="FM37" s="147"/>
      <c r="JH37" s="147"/>
      <c r="JI37" s="147"/>
      <c r="JJ37" s="147"/>
      <c r="JK37" s="147"/>
      <c r="OO37" s="147"/>
      <c r="OP37" s="147"/>
      <c r="OR37" s="147"/>
      <c r="PF37" s="156"/>
      <c r="PJ37" s="147"/>
      <c r="RM37" s="156"/>
      <c r="AGV37" s="147"/>
      <c r="AIK37" s="147"/>
      <c r="AIL37" s="147"/>
      <c r="AIM37" s="147"/>
    </row>
    <row r="38" spans="1:14939" x14ac:dyDescent="0.25">
      <c r="B38" s="1664"/>
      <c r="C38" s="491" t="s">
        <v>75</v>
      </c>
      <c r="D38" s="508"/>
      <c r="E38" s="492" t="s">
        <v>14</v>
      </c>
      <c r="F38" s="457">
        <f t="shared" ref="F38:Q38" si="7">F39+F40</f>
        <v>0</v>
      </c>
      <c r="G38" s="676">
        <v>0</v>
      </c>
      <c r="H38" s="457">
        <f t="shared" si="7"/>
        <v>1593219</v>
      </c>
      <c r="I38" s="457">
        <f>'[23]April - 24'!$AK$35</f>
        <v>0</v>
      </c>
      <c r="J38" s="457">
        <f>'[24]Mei - 24'!$AL$35</f>
        <v>0</v>
      </c>
      <c r="K38" s="457">
        <f>'[25]Juni - 24'!$AL$35</f>
        <v>7764784</v>
      </c>
      <c r="L38" s="457">
        <f>'[26]Juli - 2024 ( Revisi )'!$AL$32</f>
        <v>11686063</v>
      </c>
      <c r="M38" s="457">
        <f>'[27]Agustus - 2024'!$AN$38</f>
        <v>224749</v>
      </c>
      <c r="N38" s="457">
        <f>$N$39+$N$40</f>
        <v>6581530</v>
      </c>
      <c r="O38" s="457">
        <f t="shared" si="7"/>
        <v>0</v>
      </c>
      <c r="P38" s="457">
        <f t="shared" si="7"/>
        <v>0</v>
      </c>
      <c r="Q38" s="457">
        <f t="shared" si="7"/>
        <v>0</v>
      </c>
      <c r="R38" s="737"/>
      <c r="S38" s="60">
        <f>S39+S40</f>
        <v>28370585</v>
      </c>
      <c r="T38" s="692">
        <f>T39+T40</f>
        <v>249961000</v>
      </c>
      <c r="U38" s="793">
        <f>S38/T38*100</f>
        <v>11.35000460071771</v>
      </c>
      <c r="V38" s="65"/>
      <c r="W38" s="845"/>
      <c r="X38" s="826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R38" s="65"/>
      <c r="AT38" s="465"/>
      <c r="AU38" s="465"/>
      <c r="AV38" s="1"/>
      <c r="AW38" s="1"/>
      <c r="AX38" s="65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V38" s="1"/>
      <c r="BW38" s="1"/>
      <c r="BX38" s="146"/>
      <c r="BY38" s="1"/>
      <c r="DA38" s="1"/>
      <c r="DF38" s="5"/>
      <c r="DG38" s="146"/>
      <c r="DH38" s="146"/>
      <c r="DI38" s="146"/>
      <c r="DJ38" s="146"/>
      <c r="FM38" s="146"/>
      <c r="JH38" s="146"/>
      <c r="JI38" s="146"/>
      <c r="JJ38" s="146"/>
      <c r="JK38" s="146"/>
      <c r="OO38" s="146"/>
      <c r="OP38" s="146"/>
      <c r="OR38" s="146"/>
      <c r="PF38" s="149"/>
      <c r="PJ38" s="146"/>
      <c r="RM38" s="149"/>
      <c r="AGV38" s="145"/>
      <c r="AIK38" s="145"/>
      <c r="AIL38" s="145"/>
      <c r="AIM38" s="145"/>
    </row>
    <row r="39" spans="1:14939" x14ac:dyDescent="0.25">
      <c r="B39" s="1664"/>
      <c r="C39" s="491" t="s">
        <v>346</v>
      </c>
      <c r="D39" s="508"/>
      <c r="E39" s="492" t="s">
        <v>14</v>
      </c>
      <c r="F39" s="457">
        <f>'[22]Januari 24'!AL31</f>
        <v>0</v>
      </c>
      <c r="G39" s="676">
        <v>0</v>
      </c>
      <c r="H39" s="457">
        <f>'[22]Maret 24'!AL35</f>
        <v>1075806</v>
      </c>
      <c r="I39" s="457">
        <f>'[23]April - 24'!$AK$36</f>
        <v>0</v>
      </c>
      <c r="J39" s="457">
        <f>'[24]Mei - 24'!$AL$36</f>
        <v>0</v>
      </c>
      <c r="K39" s="457">
        <f>'[25]Juni - 24'!$AL$36</f>
        <v>5498655</v>
      </c>
      <c r="L39" s="457">
        <f>'[26]Juli - 2024 ( Revisi )'!$AL$33</f>
        <v>8627479</v>
      </c>
      <c r="M39" s="457">
        <f>'[27]Agustus - 2024'!$AN$39</f>
        <v>87749</v>
      </c>
      <c r="N39" s="457">
        <f>'September - 2024'!$AM$42</f>
        <v>4788598</v>
      </c>
      <c r="O39" s="457">
        <f>'[22]Oktober 24'!AL35</f>
        <v>0</v>
      </c>
      <c r="P39" s="457">
        <f>'[22]November 24'!AL35</f>
        <v>0</v>
      </c>
      <c r="Q39" s="457">
        <f>'[22]Desember 24'!AL35</f>
        <v>0</v>
      </c>
      <c r="R39" s="737"/>
      <c r="S39" s="60">
        <f>SUM(F39:Q39)</f>
        <v>20078287</v>
      </c>
      <c r="T39" s="691">
        <v>175000000</v>
      </c>
      <c r="U39" s="793">
        <f>S39/T39*100</f>
        <v>11.473306857142857</v>
      </c>
      <c r="V39" s="65"/>
      <c r="W39" s="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R39" s="65"/>
      <c r="AT39" s="465"/>
      <c r="AU39" s="465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V39" s="1"/>
      <c r="BW39" s="1"/>
      <c r="BX39" s="146"/>
      <c r="BY39" s="1"/>
      <c r="DA39" s="1"/>
      <c r="DF39" s="5"/>
      <c r="DG39" s="146"/>
      <c r="DH39" s="146"/>
      <c r="DI39" s="146"/>
      <c r="DJ39" s="146"/>
      <c r="FM39" s="146"/>
      <c r="JH39" s="146"/>
      <c r="JI39" s="146"/>
      <c r="JJ39" s="146"/>
      <c r="JK39" s="146"/>
      <c r="OO39" s="146"/>
      <c r="OP39" s="146"/>
      <c r="OR39" s="146"/>
      <c r="PF39" s="149"/>
      <c r="PJ39" s="146"/>
      <c r="RM39" s="149"/>
      <c r="AGV39" s="145"/>
      <c r="AIK39" s="145"/>
      <c r="AIL39" s="145"/>
      <c r="AIM39" s="145"/>
    </row>
    <row r="40" spans="1:14939" x14ac:dyDescent="0.25">
      <c r="B40" s="1664"/>
      <c r="C40" s="491" t="s">
        <v>73</v>
      </c>
      <c r="D40" s="508"/>
      <c r="E40" s="492" t="s">
        <v>14</v>
      </c>
      <c r="F40" s="457">
        <f>'[22]Januari 24'!AL32</f>
        <v>0</v>
      </c>
      <c r="G40" s="676">
        <v>0</v>
      </c>
      <c r="H40" s="457">
        <f>'[22]Maret 24'!AL36</f>
        <v>517413</v>
      </c>
      <c r="I40" s="457">
        <f>'[23]April - 24'!$AK$37</f>
        <v>0</v>
      </c>
      <c r="J40" s="457">
        <f>'[24]Mei - 24'!$AL$37</f>
        <v>0</v>
      </c>
      <c r="K40" s="457">
        <f>'[25]Juni - 24'!$AL$37</f>
        <v>2266129</v>
      </c>
      <c r="L40" s="457">
        <f>'[26]Juli - 2024 ( Revisi )'!$AL$34</f>
        <v>3578824</v>
      </c>
      <c r="M40" s="457">
        <f>'[27]Agustus - 2024'!$AN$40</f>
        <v>137000</v>
      </c>
      <c r="N40" s="457">
        <f>'September - 2024'!$AM$43</f>
        <v>1792932</v>
      </c>
      <c r="O40" s="457">
        <f>'[22]Oktober 24'!AL36</f>
        <v>0</v>
      </c>
      <c r="P40" s="457">
        <f>'[22]November 24'!AL36</f>
        <v>0</v>
      </c>
      <c r="Q40" s="457">
        <f>'[22]Desember 24'!AL36</f>
        <v>0</v>
      </c>
      <c r="R40" s="737"/>
      <c r="S40" s="60">
        <f>SUM(F40:Q40)</f>
        <v>8292298</v>
      </c>
      <c r="T40" s="691">
        <v>74961000</v>
      </c>
      <c r="U40" s="793">
        <f>S40/T40*100</f>
        <v>11.062149651151932</v>
      </c>
      <c r="V40" s="65"/>
      <c r="W40" s="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R40" s="65"/>
      <c r="AT40" s="465"/>
      <c r="AU40" s="465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V40" s="1"/>
      <c r="BW40" s="1"/>
      <c r="BX40" s="146"/>
      <c r="BY40" s="1"/>
      <c r="DA40" s="1"/>
      <c r="DF40" s="5"/>
      <c r="DG40" s="146"/>
      <c r="DH40" s="146"/>
      <c r="DI40" s="146"/>
      <c r="DJ40" s="146"/>
      <c r="FM40" s="146"/>
      <c r="JH40" s="146"/>
      <c r="JI40" s="146"/>
      <c r="JJ40" s="146"/>
      <c r="JK40" s="146"/>
      <c r="OO40" s="146"/>
      <c r="OP40" s="146"/>
      <c r="OR40" s="146"/>
      <c r="PF40" s="149"/>
      <c r="PJ40" s="146"/>
      <c r="RM40" s="149"/>
      <c r="AGV40" s="145"/>
      <c r="AIK40" s="145"/>
      <c r="AIL40" s="145"/>
      <c r="AIM40" s="145"/>
    </row>
    <row r="41" spans="1:14939" x14ac:dyDescent="0.25">
      <c r="B41" s="1664"/>
      <c r="C41" s="503" t="s">
        <v>72</v>
      </c>
      <c r="D41" s="514"/>
      <c r="E41" s="505"/>
      <c r="F41" s="441"/>
      <c r="G41" s="441"/>
      <c r="H41" s="441"/>
      <c r="I41" s="515"/>
      <c r="J41" s="441"/>
      <c r="K41" s="441"/>
      <c r="L41" s="441"/>
      <c r="M41" s="441"/>
      <c r="N41" s="441"/>
      <c r="O41" s="441"/>
      <c r="P41" s="441"/>
      <c r="Q41" s="441"/>
      <c r="R41" s="737"/>
      <c r="S41" s="730" t="s">
        <v>61</v>
      </c>
      <c r="T41" s="690" t="s">
        <v>61</v>
      </c>
      <c r="U41" s="795" t="s">
        <v>61</v>
      </c>
      <c r="V41" s="65"/>
      <c r="W41" s="1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R41" s="65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V41" s="1"/>
      <c r="BW41" s="1"/>
      <c r="BX41" s="1"/>
      <c r="BY41" s="1"/>
      <c r="DA41" s="1"/>
    </row>
    <row r="42" spans="1:14939" x14ac:dyDescent="0.25">
      <c r="A42" s="16"/>
      <c r="B42" s="1664"/>
      <c r="C42" s="519" t="s">
        <v>71</v>
      </c>
      <c r="D42" s="520"/>
      <c r="E42" s="521" t="s">
        <v>14</v>
      </c>
      <c r="F42" s="457">
        <f>'[22]Januari 24'!AL38</f>
        <v>1622056.4818173659</v>
      </c>
      <c r="G42" s="457">
        <f>'[29]Februari - 24'!$AL$38</f>
        <v>421426.64599608653</v>
      </c>
      <c r="H42" s="457">
        <f>'[22]Maret 24'!AL38</f>
        <v>0</v>
      </c>
      <c r="I42" s="457">
        <v>0</v>
      </c>
      <c r="J42" s="457">
        <v>0</v>
      </c>
      <c r="K42" s="457">
        <v>0</v>
      </c>
      <c r="L42" s="457">
        <v>0</v>
      </c>
      <c r="M42" s="457">
        <v>0</v>
      </c>
      <c r="N42" s="457">
        <v>0</v>
      </c>
      <c r="O42" s="457">
        <v>0</v>
      </c>
      <c r="P42" s="457"/>
      <c r="Q42" s="457"/>
      <c r="R42" s="739"/>
      <c r="S42" s="60">
        <f>SUM(F42:Q42)</f>
        <v>2043483.1278134524</v>
      </c>
      <c r="T42" s="689">
        <f>T43/T51%</f>
        <v>25913272.762786224</v>
      </c>
      <c r="U42" s="793">
        <f>S42/T42*100</f>
        <v>7.8858550462528871</v>
      </c>
      <c r="V42" s="832"/>
      <c r="W42" s="16"/>
      <c r="X42" s="832"/>
      <c r="Y42" s="832"/>
      <c r="Z42" s="832"/>
      <c r="AA42" s="832"/>
      <c r="AB42" s="832"/>
      <c r="AC42" s="832"/>
      <c r="AD42" s="832"/>
      <c r="AE42" s="832"/>
      <c r="AF42" s="832"/>
      <c r="AG42" s="832"/>
      <c r="AH42" s="832"/>
      <c r="AI42" s="832"/>
      <c r="AJ42" s="832"/>
      <c r="AK42" s="832"/>
      <c r="AL42" s="832"/>
      <c r="AM42" s="832"/>
      <c r="AN42" s="832"/>
      <c r="AO42" s="832"/>
      <c r="AP42" s="832"/>
      <c r="AQ42" s="832"/>
      <c r="AR42" s="832"/>
      <c r="AS42" s="832"/>
      <c r="AT42" s="834"/>
      <c r="AU42" s="834"/>
      <c r="AV42" s="16"/>
      <c r="AW42" s="16"/>
      <c r="AX42" s="1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V42" s="16"/>
      <c r="BW42" s="16"/>
      <c r="BX42" s="148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530"/>
      <c r="DG42" s="148"/>
      <c r="DH42" s="148"/>
      <c r="DI42" s="148"/>
      <c r="DJ42" s="148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48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48"/>
      <c r="JI42" s="148"/>
      <c r="JJ42" s="148"/>
      <c r="JK42" s="148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6"/>
      <c r="OO42" s="148"/>
      <c r="OP42" s="148"/>
      <c r="OQ42" s="16"/>
      <c r="OR42" s="148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/>
      <c r="PD42" s="16"/>
      <c r="PE42" s="16"/>
      <c r="PF42" s="523"/>
      <c r="PG42" s="16"/>
      <c r="PH42" s="16"/>
      <c r="PI42" s="16"/>
      <c r="PJ42" s="148"/>
      <c r="PK42" s="16"/>
      <c r="PL42" s="16"/>
      <c r="PM42" s="16"/>
      <c r="PN42" s="16"/>
      <c r="PO42" s="16"/>
      <c r="PP42" s="16"/>
      <c r="PQ42" s="16"/>
      <c r="PR42" s="16"/>
      <c r="PS42" s="16"/>
      <c r="PT42" s="16"/>
      <c r="PU42" s="16"/>
      <c r="PV42" s="16"/>
      <c r="PW42" s="16"/>
      <c r="PX42" s="16"/>
      <c r="PY42" s="16"/>
      <c r="PZ42" s="16"/>
      <c r="QA42" s="16"/>
      <c r="QB42" s="16"/>
      <c r="QC42" s="16"/>
      <c r="QD42" s="16"/>
      <c r="QE42" s="16"/>
      <c r="QF42" s="16"/>
      <c r="QG42" s="16"/>
      <c r="QH42" s="16"/>
      <c r="QI42" s="16"/>
      <c r="QJ42" s="16"/>
      <c r="QK42" s="16"/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6"/>
      <c r="RH42" s="16"/>
      <c r="RI42" s="16"/>
      <c r="RJ42" s="16"/>
      <c r="RK42" s="16"/>
      <c r="RL42" s="16"/>
      <c r="RM42" s="523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6"/>
      <c r="TF42" s="16"/>
      <c r="TG42" s="16"/>
      <c r="TH42" s="16"/>
      <c r="TI42" s="16"/>
      <c r="TJ42" s="16"/>
      <c r="TK42" s="16"/>
      <c r="TL42" s="16"/>
      <c r="TM42" s="16"/>
      <c r="TN42" s="16"/>
      <c r="TO42" s="16"/>
      <c r="TP42" s="16"/>
      <c r="TQ42" s="16"/>
      <c r="TR42" s="16"/>
      <c r="TS42" s="16"/>
      <c r="TT42" s="16"/>
      <c r="TU42" s="16"/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  <c r="UR42" s="16"/>
      <c r="US42" s="16"/>
      <c r="UT42" s="16"/>
      <c r="UU42" s="16"/>
      <c r="UV42" s="16"/>
      <c r="UW42" s="16"/>
      <c r="UX42" s="16"/>
      <c r="UY42" s="16"/>
      <c r="UZ42" s="16"/>
      <c r="VA42" s="16"/>
      <c r="VB42" s="16"/>
      <c r="VC42" s="16"/>
      <c r="VD42" s="16"/>
      <c r="VE42" s="16"/>
      <c r="VF42" s="16"/>
      <c r="VG42" s="16"/>
      <c r="VH42" s="16"/>
      <c r="VI42" s="16"/>
      <c r="VJ42" s="16"/>
      <c r="VK42" s="16"/>
      <c r="VL42" s="16"/>
      <c r="VM42" s="16"/>
      <c r="VN42" s="16"/>
      <c r="VO42" s="16"/>
      <c r="VP42" s="16"/>
      <c r="VQ42" s="16"/>
      <c r="VR42" s="16"/>
      <c r="VS42" s="16"/>
      <c r="VT42" s="16"/>
      <c r="VU42" s="16"/>
      <c r="VV42" s="16"/>
      <c r="VW42" s="16"/>
      <c r="VX42" s="16"/>
      <c r="VY42" s="16"/>
      <c r="VZ42" s="16"/>
      <c r="WA42" s="16"/>
      <c r="WB42" s="16"/>
      <c r="WC42" s="16"/>
      <c r="WD42" s="16"/>
      <c r="WE42" s="16"/>
      <c r="WF42" s="16"/>
      <c r="WG42" s="16"/>
      <c r="WH42" s="16"/>
      <c r="WI42" s="16"/>
      <c r="WJ42" s="16"/>
      <c r="WK42" s="16"/>
      <c r="WL42" s="16"/>
      <c r="WM42" s="16"/>
      <c r="WN42" s="16"/>
      <c r="WO42" s="16"/>
      <c r="WP42" s="16"/>
      <c r="WQ42" s="16"/>
      <c r="WR42" s="16"/>
      <c r="WS42" s="16"/>
      <c r="WT42" s="16"/>
      <c r="WU42" s="16"/>
      <c r="WV42" s="16"/>
      <c r="WW42" s="16"/>
      <c r="WX42" s="16"/>
      <c r="WY42" s="16"/>
      <c r="WZ42" s="16"/>
      <c r="XA42" s="16"/>
      <c r="XB42" s="16"/>
      <c r="XC42" s="16"/>
      <c r="XD42" s="16"/>
      <c r="XE42" s="16"/>
      <c r="XF42" s="16"/>
      <c r="XG42" s="16"/>
      <c r="XH42" s="16"/>
      <c r="XI42" s="16"/>
      <c r="XJ42" s="16"/>
      <c r="XK42" s="16"/>
      <c r="XL42" s="16"/>
      <c r="XM42" s="16"/>
      <c r="XN42" s="16"/>
      <c r="XO42" s="16"/>
      <c r="XP42" s="16"/>
      <c r="XQ42" s="16"/>
      <c r="XR42" s="16"/>
      <c r="XS42" s="16"/>
      <c r="XT42" s="16"/>
      <c r="XU42" s="16"/>
      <c r="XV42" s="16"/>
      <c r="XW42" s="16"/>
      <c r="XX42" s="16"/>
      <c r="XY42" s="16"/>
      <c r="XZ42" s="16"/>
      <c r="YA42" s="16"/>
      <c r="YB42" s="16"/>
      <c r="YC42" s="16"/>
      <c r="YD42" s="16"/>
      <c r="YE42" s="16"/>
      <c r="YF42" s="16"/>
      <c r="YG42" s="16"/>
      <c r="YH42" s="16"/>
      <c r="YI42" s="16"/>
      <c r="YJ42" s="16"/>
      <c r="YK42" s="16"/>
      <c r="YL42" s="16"/>
      <c r="YM42" s="16"/>
      <c r="YN42" s="16"/>
      <c r="YO42" s="16"/>
      <c r="YP42" s="16"/>
      <c r="YQ42" s="16"/>
      <c r="YR42" s="16"/>
      <c r="YS42" s="16"/>
      <c r="YT42" s="16"/>
      <c r="YU42" s="16"/>
      <c r="YV42" s="16"/>
      <c r="YW42" s="16"/>
      <c r="YX42" s="16"/>
      <c r="YY42" s="16"/>
      <c r="YZ42" s="16"/>
      <c r="ZA42" s="16"/>
      <c r="ZB42" s="16"/>
      <c r="ZC42" s="16"/>
      <c r="ZD42" s="16"/>
      <c r="ZE42" s="16"/>
      <c r="ZF42" s="16"/>
      <c r="ZG42" s="16"/>
      <c r="ZH42" s="16"/>
      <c r="ZI42" s="16"/>
      <c r="ZJ42" s="16"/>
      <c r="ZK42" s="16"/>
      <c r="ZL42" s="16"/>
      <c r="ZM42" s="16"/>
      <c r="ZN42" s="16"/>
      <c r="ZO42" s="16"/>
      <c r="ZP42" s="16"/>
      <c r="ZQ42" s="16"/>
      <c r="ZR42" s="16"/>
      <c r="ZS42" s="16"/>
      <c r="ZT42" s="16"/>
      <c r="ZU42" s="16"/>
      <c r="ZV42" s="16"/>
      <c r="ZW42" s="16"/>
      <c r="ZX42" s="16"/>
      <c r="ZY42" s="16"/>
      <c r="ZZ42" s="16"/>
      <c r="AAA42" s="16"/>
      <c r="AAB42" s="16"/>
      <c r="AAC42" s="16"/>
      <c r="AAD42" s="16"/>
      <c r="AAE42" s="16"/>
      <c r="AAF42" s="16"/>
      <c r="AAG42" s="16"/>
      <c r="AAH42" s="16"/>
      <c r="AAI42" s="16"/>
      <c r="AAJ42" s="16"/>
      <c r="AAK42" s="16"/>
      <c r="AAL42" s="16"/>
      <c r="AAM42" s="16"/>
      <c r="AAN42" s="16"/>
      <c r="AAO42" s="16"/>
      <c r="AAP42" s="16"/>
      <c r="AAQ42" s="16"/>
      <c r="AAR42" s="16"/>
      <c r="AAS42" s="16"/>
      <c r="AAT42" s="16"/>
      <c r="AAU42" s="16"/>
      <c r="AAV42" s="16"/>
      <c r="AAW42" s="16"/>
      <c r="AAX42" s="16"/>
      <c r="AAY42" s="16"/>
      <c r="AAZ42" s="16"/>
      <c r="ABA42" s="16"/>
      <c r="ABB42" s="16"/>
      <c r="ABC42" s="16"/>
      <c r="ABD42" s="16"/>
      <c r="ABE42" s="16"/>
      <c r="ABF42" s="16"/>
      <c r="ABG42" s="16"/>
      <c r="ABH42" s="16"/>
      <c r="ABI42" s="16"/>
      <c r="ABJ42" s="16"/>
      <c r="ABK42" s="16"/>
      <c r="ABL42" s="16"/>
      <c r="ABM42" s="16"/>
      <c r="ABN42" s="16"/>
      <c r="ABO42" s="16"/>
      <c r="ABP42" s="16"/>
      <c r="ABQ42" s="16"/>
      <c r="ABR42" s="16"/>
      <c r="ABS42" s="16"/>
      <c r="ABT42" s="16"/>
      <c r="ABU42" s="16"/>
      <c r="ABV42" s="16"/>
      <c r="ABW42" s="16"/>
      <c r="ABX42" s="16"/>
      <c r="ABY42" s="16"/>
      <c r="ABZ42" s="16"/>
      <c r="ACA42" s="16"/>
      <c r="ACB42" s="16"/>
      <c r="ACC42" s="16"/>
      <c r="ACD42" s="16"/>
      <c r="ACE42" s="16"/>
      <c r="ACF42" s="16"/>
      <c r="ACG42" s="16"/>
      <c r="ACH42" s="16"/>
      <c r="ACI42" s="16"/>
      <c r="ACJ42" s="16"/>
      <c r="ACK42" s="16"/>
      <c r="ACL42" s="16"/>
      <c r="ACM42" s="16"/>
      <c r="ACN42" s="16"/>
      <c r="ACO42" s="16"/>
      <c r="ACP42" s="16"/>
      <c r="ACQ42" s="16"/>
      <c r="ACR42" s="16"/>
      <c r="ACS42" s="16"/>
      <c r="ACT42" s="16"/>
      <c r="ACU42" s="16"/>
      <c r="ACV42" s="16"/>
      <c r="ACW42" s="16"/>
      <c r="ACX42" s="16"/>
      <c r="ACY42" s="16"/>
      <c r="ACZ42" s="16"/>
      <c r="ADA42" s="16"/>
      <c r="ADB42" s="16"/>
      <c r="ADC42" s="16"/>
      <c r="ADD42" s="16"/>
      <c r="ADE42" s="16"/>
      <c r="ADF42" s="16"/>
      <c r="ADG42" s="16"/>
      <c r="ADH42" s="16"/>
      <c r="ADI42" s="16"/>
      <c r="ADJ42" s="16"/>
      <c r="ADK42" s="16"/>
      <c r="ADL42" s="16"/>
      <c r="ADM42" s="16"/>
      <c r="ADN42" s="16"/>
      <c r="ADO42" s="16"/>
      <c r="ADP42" s="16"/>
      <c r="ADQ42" s="16"/>
      <c r="ADR42" s="16"/>
      <c r="ADS42" s="16"/>
      <c r="ADT42" s="16"/>
      <c r="ADU42" s="16"/>
      <c r="ADV42" s="16"/>
      <c r="ADW42" s="16"/>
      <c r="ADX42" s="16"/>
      <c r="ADY42" s="16"/>
      <c r="ADZ42" s="16"/>
      <c r="AEA42" s="16"/>
      <c r="AEB42" s="16"/>
      <c r="AEC42" s="16"/>
      <c r="AED42" s="16"/>
      <c r="AEE42" s="16"/>
      <c r="AEF42" s="16"/>
      <c r="AEG42" s="16"/>
      <c r="AEH42" s="16"/>
      <c r="AEI42" s="16"/>
      <c r="AEJ42" s="16"/>
      <c r="AEK42" s="16"/>
      <c r="AEL42" s="16"/>
      <c r="AEM42" s="16"/>
      <c r="AEN42" s="16"/>
      <c r="AEO42" s="16"/>
      <c r="AEP42" s="16"/>
      <c r="AEQ42" s="16"/>
      <c r="AER42" s="16"/>
      <c r="AES42" s="16"/>
      <c r="AET42" s="16"/>
      <c r="AEU42" s="16"/>
      <c r="AEV42" s="16"/>
      <c r="AEW42" s="16"/>
      <c r="AEX42" s="16"/>
      <c r="AEY42" s="16"/>
      <c r="AEZ42" s="16"/>
      <c r="AFA42" s="16"/>
      <c r="AFB42" s="16"/>
      <c r="AFC42" s="16"/>
      <c r="AFD42" s="16"/>
      <c r="AFE42" s="16"/>
      <c r="AFF42" s="16"/>
      <c r="AFG42" s="16"/>
      <c r="AFH42" s="16"/>
      <c r="AFI42" s="16"/>
      <c r="AFJ42" s="16"/>
      <c r="AFK42" s="16"/>
      <c r="AFL42" s="16"/>
      <c r="AFM42" s="16"/>
      <c r="AFN42" s="16"/>
      <c r="AFO42" s="16"/>
      <c r="AFP42" s="16"/>
      <c r="AFQ42" s="16"/>
      <c r="AFR42" s="16"/>
      <c r="AFS42" s="16"/>
      <c r="AFT42" s="16"/>
      <c r="AFU42" s="16"/>
      <c r="AFV42" s="16"/>
      <c r="AFW42" s="16"/>
      <c r="AFX42" s="16"/>
      <c r="AFY42" s="16"/>
      <c r="AFZ42" s="16"/>
      <c r="AGA42" s="16"/>
      <c r="AGB42" s="16"/>
      <c r="AGC42" s="16"/>
      <c r="AGD42" s="16"/>
      <c r="AGE42" s="16"/>
      <c r="AGF42" s="16"/>
      <c r="AGG42" s="16"/>
      <c r="AGH42" s="16"/>
      <c r="AGI42" s="16"/>
      <c r="AGJ42" s="16"/>
      <c r="AGK42" s="16"/>
      <c r="AGL42" s="16"/>
      <c r="AGM42" s="16"/>
      <c r="AGN42" s="16"/>
      <c r="AGO42" s="16"/>
      <c r="AGP42" s="16"/>
      <c r="AGQ42" s="16"/>
      <c r="AGR42" s="16"/>
      <c r="AGS42" s="16"/>
      <c r="AGT42" s="16"/>
      <c r="AGU42" s="16"/>
      <c r="AGV42" s="148"/>
      <c r="AGW42" s="16"/>
      <c r="AGX42" s="16"/>
      <c r="AGY42" s="16"/>
      <c r="AGZ42" s="16"/>
      <c r="AHA42" s="16"/>
      <c r="AHB42" s="16"/>
      <c r="AHC42" s="16"/>
      <c r="AHD42" s="16"/>
      <c r="AHE42" s="16"/>
      <c r="AHF42" s="16"/>
      <c r="AHG42" s="16"/>
      <c r="AHH42" s="16"/>
      <c r="AHI42" s="16"/>
      <c r="AHJ42" s="16"/>
      <c r="AHK42" s="16"/>
      <c r="AHL42" s="16"/>
      <c r="AHM42" s="16"/>
      <c r="AHN42" s="16"/>
      <c r="AHO42" s="16"/>
      <c r="AHP42" s="16"/>
      <c r="AHQ42" s="16"/>
      <c r="AHR42" s="16"/>
      <c r="AHS42" s="16"/>
      <c r="AHT42" s="16"/>
      <c r="AHU42" s="16"/>
      <c r="AHV42" s="16"/>
      <c r="AHW42" s="16"/>
      <c r="AHX42" s="16"/>
      <c r="AHY42" s="16"/>
      <c r="AHZ42" s="16"/>
      <c r="AIA42" s="16"/>
      <c r="AIB42" s="16"/>
      <c r="AIC42" s="16"/>
      <c r="AID42" s="16"/>
      <c r="AIE42" s="16"/>
      <c r="AIF42" s="16"/>
      <c r="AIG42" s="16"/>
      <c r="AIH42" s="16"/>
      <c r="AII42" s="16"/>
      <c r="AIJ42" s="16"/>
      <c r="AIK42" s="148"/>
      <c r="AIL42" s="148"/>
      <c r="AIM42" s="148"/>
      <c r="AIN42" s="16"/>
      <c r="AIO42" s="16"/>
      <c r="AIP42" s="16"/>
      <c r="AIQ42" s="16"/>
      <c r="AIR42" s="16"/>
      <c r="AIS42" s="16"/>
      <c r="AIT42" s="16"/>
      <c r="AIU42" s="16"/>
      <c r="AIV42" s="16"/>
      <c r="AIW42" s="16"/>
      <c r="AIX42" s="16"/>
      <c r="AIY42" s="16"/>
      <c r="AIZ42" s="16"/>
      <c r="AJA42" s="16"/>
      <c r="AJB42" s="16"/>
      <c r="AJC42" s="16"/>
      <c r="AJD42" s="16"/>
      <c r="AJE42" s="16"/>
      <c r="AJF42" s="16"/>
      <c r="AJG42" s="16"/>
      <c r="AJH42" s="16"/>
      <c r="AJI42" s="16"/>
      <c r="AJJ42" s="16"/>
      <c r="AJK42" s="16"/>
      <c r="AJL42" s="16"/>
      <c r="AJM42" s="16"/>
      <c r="AJN42" s="16"/>
      <c r="AJO42" s="16"/>
      <c r="AJP42" s="16"/>
      <c r="AJQ42" s="16"/>
      <c r="AJR42" s="16"/>
      <c r="AJS42" s="16"/>
      <c r="AJT42" s="16"/>
      <c r="AJU42" s="16"/>
      <c r="AJV42" s="16"/>
      <c r="AJW42" s="16"/>
      <c r="AJX42" s="16"/>
      <c r="AJY42" s="16"/>
      <c r="AJZ42" s="16"/>
      <c r="AKA42" s="16"/>
      <c r="AKB42" s="16"/>
      <c r="AKC42" s="16"/>
      <c r="AKD42" s="16"/>
      <c r="AKE42" s="16"/>
      <c r="AKF42" s="16"/>
      <c r="AKG42" s="16"/>
      <c r="AKH42" s="16"/>
      <c r="AKI42" s="16"/>
      <c r="AKJ42" s="16"/>
      <c r="AKK42" s="16"/>
      <c r="AKL42" s="16"/>
      <c r="AKM42" s="16"/>
      <c r="AKN42" s="16"/>
      <c r="AKO42" s="16"/>
      <c r="AKP42" s="16"/>
      <c r="AKQ42" s="16"/>
      <c r="AKR42" s="16"/>
      <c r="AKS42" s="16"/>
      <c r="AKT42" s="16"/>
      <c r="AKU42" s="16"/>
      <c r="AKV42" s="16"/>
      <c r="AKW42" s="16"/>
      <c r="AKX42" s="16"/>
      <c r="AKY42" s="16"/>
      <c r="AKZ42" s="16"/>
      <c r="ALA42" s="16"/>
      <c r="ALB42" s="16"/>
      <c r="ALC42" s="16"/>
      <c r="ALD42" s="16"/>
      <c r="ALE42" s="16"/>
      <c r="ALF42" s="16"/>
      <c r="ALG42" s="16"/>
      <c r="ALH42" s="16"/>
      <c r="ALI42" s="16"/>
      <c r="ALJ42" s="16"/>
      <c r="ALK42" s="16"/>
      <c r="ALL42" s="16"/>
      <c r="ALM42" s="16"/>
      <c r="ALN42" s="16"/>
      <c r="ALO42" s="16"/>
      <c r="ALP42" s="16"/>
      <c r="ALQ42" s="16"/>
      <c r="ALR42" s="16"/>
      <c r="ALS42" s="16"/>
      <c r="ALT42" s="16"/>
      <c r="ALU42" s="16"/>
      <c r="ALV42" s="16"/>
      <c r="ALW42" s="16"/>
      <c r="ALX42" s="16"/>
      <c r="ALY42" s="16"/>
      <c r="ALZ42" s="16"/>
      <c r="AMA42" s="16"/>
      <c r="AMB42" s="16"/>
      <c r="AMC42" s="16"/>
      <c r="AMD42" s="16"/>
      <c r="AME42" s="16"/>
      <c r="AMF42" s="16"/>
      <c r="AMG42" s="16"/>
      <c r="AMH42" s="16"/>
      <c r="AMI42" s="16"/>
      <c r="AMJ42" s="16"/>
      <c r="AMK42" s="16"/>
      <c r="AML42" s="16"/>
      <c r="AMM42" s="16"/>
      <c r="AMN42" s="16"/>
      <c r="AMO42" s="16"/>
      <c r="AMP42" s="16"/>
      <c r="AMQ42" s="16"/>
      <c r="AMR42" s="16"/>
      <c r="AMS42" s="16"/>
      <c r="AMT42" s="16"/>
      <c r="AMU42" s="16"/>
      <c r="AMV42" s="16"/>
      <c r="AMW42" s="16"/>
      <c r="AMX42" s="16"/>
      <c r="AMY42" s="16"/>
      <c r="AMZ42" s="16"/>
      <c r="ANA42" s="16"/>
      <c r="ANB42" s="16"/>
      <c r="ANC42" s="16"/>
      <c r="AND42" s="16"/>
      <c r="ANE42" s="16"/>
      <c r="ANF42" s="16"/>
      <c r="ANG42" s="16"/>
      <c r="ANH42" s="16"/>
      <c r="ANI42" s="16"/>
      <c r="ANJ42" s="16"/>
      <c r="ANK42" s="16"/>
      <c r="ANL42" s="16"/>
      <c r="ANM42" s="16"/>
      <c r="ANN42" s="16"/>
      <c r="ANO42" s="16"/>
      <c r="ANP42" s="16"/>
      <c r="ANQ42" s="16"/>
      <c r="ANR42" s="16"/>
      <c r="ANS42" s="16"/>
      <c r="ANT42" s="16"/>
      <c r="ANU42" s="16"/>
      <c r="ANV42" s="16"/>
      <c r="ANW42" s="16"/>
      <c r="ANX42" s="16"/>
      <c r="ANY42" s="16"/>
      <c r="ANZ42" s="16"/>
      <c r="AOA42" s="16"/>
      <c r="AOB42" s="16"/>
      <c r="AOC42" s="16"/>
      <c r="AOD42" s="16"/>
      <c r="AOE42" s="16"/>
      <c r="AOF42" s="16"/>
      <c r="AOG42" s="16"/>
      <c r="AOH42" s="16"/>
      <c r="AOI42" s="16"/>
      <c r="AOJ42" s="16"/>
      <c r="AOK42" s="16"/>
      <c r="AOL42" s="16"/>
      <c r="AOM42" s="16"/>
      <c r="AON42" s="16"/>
      <c r="AOO42" s="16"/>
      <c r="AOP42" s="16"/>
      <c r="AOQ42" s="16"/>
      <c r="AOR42" s="16"/>
      <c r="AOS42" s="16"/>
      <c r="AOT42" s="16"/>
      <c r="AOU42" s="16"/>
      <c r="AOV42" s="16"/>
      <c r="AOW42" s="16"/>
      <c r="AOX42" s="16"/>
      <c r="AOY42" s="16"/>
      <c r="AOZ42" s="16"/>
      <c r="APA42" s="16"/>
      <c r="APB42" s="16"/>
      <c r="APC42" s="16"/>
      <c r="APD42" s="16"/>
      <c r="APE42" s="16"/>
      <c r="APF42" s="16"/>
      <c r="APG42" s="16"/>
      <c r="APH42" s="16"/>
      <c r="API42" s="16"/>
      <c r="APJ42" s="16"/>
      <c r="APK42" s="16"/>
      <c r="APL42" s="16"/>
      <c r="APM42" s="16"/>
      <c r="APN42" s="16"/>
      <c r="APO42" s="16"/>
      <c r="APP42" s="16"/>
      <c r="APQ42" s="16"/>
      <c r="APR42" s="16"/>
      <c r="APS42" s="16"/>
      <c r="APT42" s="16"/>
      <c r="APU42" s="16"/>
      <c r="APV42" s="16"/>
      <c r="APW42" s="16"/>
      <c r="APX42" s="16"/>
      <c r="APY42" s="16"/>
      <c r="APZ42" s="16"/>
      <c r="AQA42" s="16"/>
      <c r="AQB42" s="16"/>
      <c r="AQC42" s="16"/>
      <c r="AQD42" s="16"/>
      <c r="AQE42" s="16"/>
      <c r="AQF42" s="16"/>
      <c r="AQG42" s="16"/>
      <c r="AQH42" s="16"/>
      <c r="AQI42" s="16"/>
      <c r="AQJ42" s="16"/>
      <c r="AQK42" s="16"/>
      <c r="AQL42" s="16"/>
      <c r="AQM42" s="16"/>
      <c r="AQN42" s="16"/>
      <c r="AQO42" s="16"/>
      <c r="AQP42" s="16"/>
      <c r="AQQ42" s="16"/>
      <c r="AQR42" s="16"/>
      <c r="AQS42" s="16"/>
      <c r="AQT42" s="16"/>
      <c r="AQU42" s="16"/>
      <c r="AQV42" s="16"/>
      <c r="AQW42" s="16"/>
      <c r="AQX42" s="16"/>
      <c r="AQY42" s="16"/>
      <c r="AQZ42" s="16"/>
      <c r="ARA42" s="16"/>
      <c r="ARB42" s="16"/>
      <c r="ARC42" s="16"/>
      <c r="ARD42" s="16"/>
      <c r="ARE42" s="16"/>
      <c r="ARF42" s="16"/>
      <c r="ARG42" s="16"/>
      <c r="ARH42" s="16"/>
      <c r="ARI42" s="16"/>
      <c r="ARJ42" s="16"/>
      <c r="ARK42" s="16"/>
      <c r="ARL42" s="16"/>
      <c r="ARM42" s="16"/>
      <c r="ARN42" s="16"/>
      <c r="ARO42" s="16"/>
      <c r="ARP42" s="16"/>
      <c r="ARQ42" s="16"/>
      <c r="ARR42" s="16"/>
      <c r="ARS42" s="16"/>
      <c r="ART42" s="16"/>
      <c r="ARU42" s="16"/>
      <c r="ARV42" s="16"/>
      <c r="ARW42" s="16"/>
      <c r="ARX42" s="16"/>
      <c r="ARY42" s="16"/>
      <c r="ARZ42" s="16"/>
      <c r="ASA42" s="16"/>
      <c r="ASB42" s="16"/>
      <c r="ASC42" s="16"/>
      <c r="ASD42" s="16"/>
      <c r="ASE42" s="16"/>
      <c r="ASF42" s="16"/>
      <c r="ASG42" s="16"/>
      <c r="ASH42" s="16"/>
      <c r="ASI42" s="16"/>
      <c r="ASJ42" s="16"/>
      <c r="ASK42" s="16"/>
      <c r="ASL42" s="16"/>
      <c r="ASM42" s="16"/>
      <c r="ASN42" s="16"/>
      <c r="ASO42" s="16"/>
      <c r="ASP42" s="16"/>
      <c r="ASQ42" s="16"/>
      <c r="ASR42" s="16"/>
      <c r="ASS42" s="16"/>
      <c r="AST42" s="16"/>
      <c r="ASU42" s="16"/>
      <c r="ASV42" s="16"/>
      <c r="ASW42" s="16"/>
      <c r="ASX42" s="16"/>
      <c r="ASY42" s="16"/>
      <c r="ASZ42" s="16"/>
      <c r="ATA42" s="16"/>
      <c r="ATB42" s="16"/>
      <c r="ATC42" s="16"/>
      <c r="ATD42" s="16"/>
      <c r="ATE42" s="16"/>
      <c r="ATF42" s="16"/>
      <c r="ATG42" s="16"/>
      <c r="ATH42" s="16"/>
      <c r="ATI42" s="16"/>
      <c r="ATJ42" s="16"/>
      <c r="ATK42" s="16"/>
      <c r="ATL42" s="16"/>
      <c r="ATM42" s="16"/>
      <c r="ATN42" s="16"/>
      <c r="ATO42" s="16"/>
      <c r="ATP42" s="16"/>
      <c r="ATQ42" s="16"/>
      <c r="ATR42" s="16"/>
      <c r="ATS42" s="16"/>
      <c r="ATT42" s="16"/>
      <c r="ATU42" s="16"/>
      <c r="ATV42" s="16"/>
      <c r="ATW42" s="16"/>
      <c r="ATX42" s="16"/>
      <c r="ATY42" s="16"/>
      <c r="ATZ42" s="16"/>
      <c r="AUA42" s="16"/>
      <c r="AUB42" s="16"/>
      <c r="AUC42" s="16"/>
      <c r="AUD42" s="16"/>
      <c r="AUE42" s="16"/>
      <c r="AUF42" s="16"/>
      <c r="AUG42" s="16"/>
      <c r="AUH42" s="16"/>
      <c r="AUI42" s="16"/>
      <c r="AUJ42" s="16"/>
      <c r="AUK42" s="16"/>
      <c r="AUL42" s="16"/>
      <c r="AUM42" s="16"/>
      <c r="AUN42" s="16"/>
      <c r="AUO42" s="16"/>
      <c r="AUP42" s="16"/>
      <c r="AUQ42" s="16"/>
      <c r="AUR42" s="16"/>
      <c r="AUS42" s="16"/>
      <c r="AUT42" s="16"/>
      <c r="AUU42" s="16"/>
      <c r="AUV42" s="16"/>
      <c r="AUW42" s="16"/>
      <c r="AUX42" s="16"/>
      <c r="AUY42" s="16"/>
      <c r="AUZ42" s="16"/>
      <c r="AVA42" s="16"/>
      <c r="AVB42" s="16"/>
      <c r="AVC42" s="16"/>
      <c r="AVD42" s="16"/>
      <c r="AVE42" s="16"/>
      <c r="AVF42" s="16"/>
      <c r="AVG42" s="16"/>
      <c r="AVH42" s="16"/>
      <c r="AVI42" s="16"/>
      <c r="AVJ42" s="16"/>
      <c r="AVK42" s="16"/>
      <c r="AVL42" s="16"/>
      <c r="AVM42" s="16"/>
      <c r="AVN42" s="16"/>
      <c r="AVO42" s="16"/>
      <c r="AVP42" s="16"/>
      <c r="AVQ42" s="16"/>
      <c r="AVR42" s="16"/>
      <c r="AVS42" s="16"/>
      <c r="AVT42" s="16"/>
      <c r="AVU42" s="16"/>
      <c r="AVV42" s="16"/>
      <c r="AVW42" s="16"/>
      <c r="AVX42" s="16"/>
      <c r="AVY42" s="16"/>
      <c r="AVZ42" s="16"/>
      <c r="AWA42" s="16"/>
      <c r="AWB42" s="16"/>
      <c r="AWC42" s="16"/>
      <c r="AWD42" s="16"/>
      <c r="AWE42" s="16"/>
      <c r="AWF42" s="16"/>
      <c r="AWG42" s="16"/>
      <c r="AWH42" s="16"/>
      <c r="AWI42" s="16"/>
      <c r="AWJ42" s="16"/>
      <c r="AWK42" s="16"/>
      <c r="AWL42" s="16"/>
      <c r="AWM42" s="16"/>
      <c r="AWN42" s="16"/>
      <c r="AWO42" s="16"/>
      <c r="AWP42" s="16"/>
      <c r="AWQ42" s="16"/>
      <c r="AWR42" s="16"/>
      <c r="AWS42" s="16"/>
      <c r="AWT42" s="16"/>
      <c r="AWU42" s="16"/>
      <c r="AWV42" s="16"/>
      <c r="AWW42" s="16"/>
      <c r="AWX42" s="16"/>
      <c r="AWY42" s="16"/>
      <c r="AWZ42" s="16"/>
      <c r="AXA42" s="16"/>
      <c r="AXB42" s="16"/>
      <c r="AXC42" s="16"/>
      <c r="AXD42" s="16"/>
      <c r="AXE42" s="16"/>
      <c r="AXF42" s="16"/>
      <c r="AXG42" s="16"/>
      <c r="AXH42" s="16"/>
      <c r="AXI42" s="16"/>
      <c r="AXJ42" s="16"/>
      <c r="AXK42" s="16"/>
      <c r="AXL42" s="16"/>
      <c r="AXM42" s="16"/>
      <c r="AXN42" s="16"/>
      <c r="AXO42" s="16"/>
      <c r="AXP42" s="16"/>
      <c r="AXQ42" s="16"/>
      <c r="AXR42" s="16"/>
      <c r="AXS42" s="16"/>
      <c r="AXT42" s="16"/>
      <c r="AXU42" s="16"/>
      <c r="AXV42" s="16"/>
      <c r="AXW42" s="16"/>
      <c r="AXX42" s="16"/>
      <c r="AXY42" s="16"/>
      <c r="AXZ42" s="16"/>
      <c r="AYA42" s="16"/>
      <c r="AYB42" s="16"/>
      <c r="AYC42" s="16"/>
      <c r="AYD42" s="16"/>
      <c r="AYE42" s="16"/>
      <c r="AYF42" s="16"/>
      <c r="AYG42" s="16"/>
      <c r="AYH42" s="16"/>
      <c r="AYI42" s="16"/>
      <c r="AYJ42" s="16"/>
      <c r="AYK42" s="16"/>
      <c r="AYL42" s="16"/>
      <c r="AYM42" s="16"/>
      <c r="AYN42" s="16"/>
      <c r="AYO42" s="16"/>
      <c r="AYP42" s="16"/>
      <c r="AYQ42" s="16"/>
      <c r="AYR42" s="16"/>
      <c r="AYS42" s="16"/>
      <c r="AYT42" s="16"/>
      <c r="AYU42" s="16"/>
      <c r="AYV42" s="16"/>
      <c r="AYW42" s="16"/>
      <c r="AYX42" s="16"/>
      <c r="AYY42" s="16"/>
      <c r="AYZ42" s="16"/>
      <c r="AZA42" s="16"/>
      <c r="AZB42" s="16"/>
      <c r="AZC42" s="16"/>
      <c r="AZD42" s="16"/>
      <c r="AZE42" s="16"/>
      <c r="AZF42" s="16"/>
      <c r="AZG42" s="16"/>
      <c r="AZH42" s="16"/>
      <c r="AZI42" s="16"/>
      <c r="AZJ42" s="16"/>
      <c r="AZK42" s="16"/>
      <c r="AZL42" s="16"/>
      <c r="AZM42" s="16"/>
      <c r="AZN42" s="16"/>
      <c r="AZO42" s="16"/>
      <c r="AZP42" s="16"/>
      <c r="AZQ42" s="16"/>
      <c r="AZR42" s="16"/>
      <c r="AZS42" s="16"/>
      <c r="AZT42" s="16"/>
      <c r="AZU42" s="16"/>
      <c r="AZV42" s="16"/>
      <c r="AZW42" s="16"/>
      <c r="AZX42" s="16"/>
      <c r="AZY42" s="16"/>
      <c r="AZZ42" s="16"/>
      <c r="BAA42" s="16"/>
      <c r="BAB42" s="16"/>
      <c r="BAC42" s="16"/>
      <c r="BAD42" s="16"/>
      <c r="BAE42" s="16"/>
      <c r="BAF42" s="16"/>
      <c r="BAG42" s="16"/>
      <c r="BAH42" s="16"/>
      <c r="BAI42" s="16"/>
      <c r="BAJ42" s="16"/>
      <c r="BAK42" s="16"/>
      <c r="BAL42" s="16"/>
      <c r="BAM42" s="16"/>
      <c r="BAN42" s="16"/>
      <c r="BAO42" s="16"/>
      <c r="BAP42" s="16"/>
      <c r="BAQ42" s="16"/>
      <c r="BAR42" s="16"/>
      <c r="BAS42" s="16"/>
      <c r="BAT42" s="16"/>
      <c r="BAU42" s="16"/>
      <c r="BAV42" s="16"/>
      <c r="BAW42" s="16"/>
      <c r="BAX42" s="16"/>
      <c r="BAY42" s="16"/>
      <c r="BAZ42" s="16"/>
      <c r="BBA42" s="16"/>
      <c r="BBB42" s="16"/>
      <c r="BBC42" s="16"/>
      <c r="BBD42" s="16"/>
      <c r="BBE42" s="16"/>
      <c r="BBF42" s="16"/>
      <c r="BBG42" s="16"/>
      <c r="BBH42" s="16"/>
      <c r="BBI42" s="16"/>
      <c r="BBJ42" s="16"/>
      <c r="BBK42" s="16"/>
      <c r="BBL42" s="16"/>
      <c r="BBM42" s="16"/>
      <c r="BBN42" s="16"/>
      <c r="BBO42" s="16"/>
      <c r="BBP42" s="16"/>
      <c r="BBQ42" s="16"/>
      <c r="BBR42" s="16"/>
      <c r="BBS42" s="16"/>
      <c r="BBT42" s="16"/>
      <c r="BBU42" s="16"/>
      <c r="BBV42" s="16"/>
      <c r="BBW42" s="16"/>
      <c r="BBX42" s="16"/>
      <c r="BBY42" s="16"/>
      <c r="BBZ42" s="16"/>
      <c r="BCA42" s="16"/>
      <c r="BCB42" s="16"/>
      <c r="BCC42" s="16"/>
      <c r="BCD42" s="16"/>
      <c r="BCE42" s="16"/>
      <c r="BCF42" s="16"/>
      <c r="BCG42" s="16"/>
      <c r="BCH42" s="16"/>
      <c r="BCI42" s="16"/>
      <c r="BCJ42" s="16"/>
      <c r="BCK42" s="16"/>
      <c r="BCL42" s="16"/>
      <c r="BCM42" s="16"/>
      <c r="BCN42" s="16"/>
      <c r="BCO42" s="16"/>
      <c r="BCP42" s="16"/>
      <c r="BCQ42" s="16"/>
      <c r="BCR42" s="16"/>
      <c r="BCS42" s="16"/>
      <c r="BCT42" s="16"/>
      <c r="BCU42" s="16"/>
      <c r="BCV42" s="16"/>
      <c r="BCW42" s="16"/>
      <c r="BCX42" s="16"/>
      <c r="BCY42" s="16"/>
      <c r="BCZ42" s="16"/>
      <c r="BDA42" s="16"/>
      <c r="BDB42" s="16"/>
      <c r="BDC42" s="16"/>
      <c r="BDD42" s="16"/>
      <c r="BDE42" s="16"/>
      <c r="BDF42" s="16"/>
      <c r="BDG42" s="16"/>
      <c r="BDH42" s="16"/>
      <c r="BDI42" s="16"/>
      <c r="BDJ42" s="16"/>
      <c r="BDK42" s="16"/>
      <c r="BDL42" s="16"/>
      <c r="BDM42" s="16"/>
      <c r="BDN42" s="16"/>
      <c r="BDO42" s="16"/>
      <c r="BDP42" s="16"/>
      <c r="BDQ42" s="16"/>
      <c r="BDR42" s="16"/>
      <c r="BDS42" s="16"/>
      <c r="BDT42" s="16"/>
      <c r="BDU42" s="16"/>
      <c r="BDV42" s="16"/>
      <c r="BDW42" s="16"/>
      <c r="BDX42" s="16"/>
      <c r="BDY42" s="16"/>
      <c r="BDZ42" s="16"/>
      <c r="BEA42" s="16"/>
      <c r="BEB42" s="16"/>
      <c r="BEC42" s="16"/>
      <c r="BED42" s="16"/>
      <c r="BEE42" s="16"/>
      <c r="BEF42" s="16"/>
      <c r="BEG42" s="16"/>
      <c r="BEH42" s="16"/>
      <c r="BEI42" s="16"/>
      <c r="BEJ42" s="16"/>
      <c r="BEK42" s="16"/>
      <c r="BEL42" s="16"/>
      <c r="BEM42" s="16"/>
      <c r="BEN42" s="16"/>
      <c r="BEO42" s="16"/>
      <c r="BEP42" s="16"/>
      <c r="BEQ42" s="16"/>
      <c r="BER42" s="16"/>
      <c r="BES42" s="16"/>
      <c r="BET42" s="16"/>
      <c r="BEU42" s="16"/>
      <c r="BEV42" s="16"/>
      <c r="BEW42" s="16"/>
      <c r="BEX42" s="16"/>
      <c r="BEY42" s="16"/>
      <c r="BEZ42" s="16"/>
      <c r="BFA42" s="16"/>
      <c r="BFB42" s="16"/>
      <c r="BFC42" s="16"/>
      <c r="BFD42" s="16"/>
      <c r="BFE42" s="16"/>
      <c r="BFF42" s="16"/>
      <c r="BFG42" s="16"/>
      <c r="BFH42" s="16"/>
      <c r="BFI42" s="16"/>
      <c r="BFJ42" s="16"/>
      <c r="BFK42" s="16"/>
      <c r="BFL42" s="16"/>
      <c r="BFM42" s="16"/>
      <c r="BFN42" s="16"/>
      <c r="BFO42" s="16"/>
      <c r="BFP42" s="16"/>
      <c r="BFQ42" s="16"/>
      <c r="BFR42" s="16"/>
      <c r="BFS42" s="16"/>
      <c r="BFT42" s="16"/>
      <c r="BFU42" s="16"/>
      <c r="BFV42" s="16"/>
      <c r="BFW42" s="16"/>
      <c r="BFX42" s="16"/>
      <c r="BFY42" s="16"/>
      <c r="BFZ42" s="16"/>
      <c r="BGA42" s="16"/>
      <c r="BGB42" s="16"/>
      <c r="BGC42" s="16"/>
      <c r="BGD42" s="16"/>
      <c r="BGE42" s="16"/>
      <c r="BGF42" s="16"/>
      <c r="BGG42" s="16"/>
      <c r="BGH42" s="16"/>
      <c r="BGI42" s="16"/>
      <c r="BGJ42" s="16"/>
      <c r="BGK42" s="16"/>
      <c r="BGL42" s="16"/>
      <c r="BGM42" s="16"/>
      <c r="BGN42" s="16"/>
      <c r="BGO42" s="16"/>
      <c r="BGP42" s="16"/>
      <c r="BGQ42" s="16"/>
      <c r="BGR42" s="16"/>
      <c r="BGS42" s="16"/>
      <c r="BGT42" s="16"/>
      <c r="BGU42" s="16"/>
      <c r="BGV42" s="16"/>
      <c r="BGW42" s="16"/>
      <c r="BGX42" s="16"/>
      <c r="BGY42" s="16"/>
      <c r="BGZ42" s="16"/>
      <c r="BHA42" s="16"/>
      <c r="BHB42" s="16"/>
      <c r="BHC42" s="16"/>
      <c r="BHD42" s="16"/>
      <c r="BHE42" s="16"/>
      <c r="BHF42" s="16"/>
      <c r="BHG42" s="16"/>
      <c r="BHH42" s="16"/>
      <c r="BHI42" s="16"/>
      <c r="BHJ42" s="16"/>
      <c r="BHK42" s="16"/>
      <c r="BHL42" s="16"/>
      <c r="BHM42" s="16"/>
      <c r="BHN42" s="16"/>
      <c r="BHO42" s="16"/>
      <c r="BHP42" s="16"/>
      <c r="BHQ42" s="16"/>
      <c r="BHR42" s="16"/>
      <c r="BHS42" s="16"/>
      <c r="BHT42" s="16"/>
      <c r="BHU42" s="16"/>
      <c r="BHV42" s="16"/>
      <c r="BHW42" s="16"/>
      <c r="BHX42" s="16"/>
      <c r="BHY42" s="16"/>
      <c r="BHZ42" s="16"/>
      <c r="BIA42" s="16"/>
      <c r="BIB42" s="16"/>
      <c r="BIC42" s="16"/>
      <c r="BID42" s="16"/>
      <c r="BIE42" s="16"/>
      <c r="BIF42" s="16"/>
      <c r="BIG42" s="16"/>
      <c r="BIH42" s="16"/>
      <c r="BII42" s="16"/>
      <c r="BIJ42" s="16"/>
      <c r="BIK42" s="16"/>
      <c r="BIL42" s="16"/>
      <c r="BIM42" s="16"/>
      <c r="BIN42" s="16"/>
      <c r="BIO42" s="16"/>
      <c r="BIP42" s="16"/>
      <c r="BIQ42" s="16"/>
      <c r="BIR42" s="16"/>
      <c r="BIS42" s="16"/>
      <c r="BIT42" s="16"/>
      <c r="BIU42" s="16"/>
      <c r="BIV42" s="16"/>
      <c r="BIW42" s="16"/>
      <c r="BIX42" s="16"/>
      <c r="BIY42" s="16"/>
      <c r="BIZ42" s="16"/>
      <c r="BJA42" s="16"/>
      <c r="BJB42" s="16"/>
      <c r="BJC42" s="16"/>
      <c r="BJD42" s="16"/>
      <c r="BJE42" s="16"/>
      <c r="BJF42" s="16"/>
      <c r="BJG42" s="16"/>
      <c r="BJH42" s="16"/>
      <c r="BJI42" s="16"/>
      <c r="BJJ42" s="16"/>
      <c r="BJK42" s="16"/>
      <c r="BJL42" s="16"/>
      <c r="BJM42" s="16"/>
      <c r="BJN42" s="16"/>
      <c r="BJO42" s="16"/>
      <c r="BJP42" s="16"/>
      <c r="BJQ42" s="16"/>
      <c r="BJR42" s="16"/>
      <c r="BJS42" s="16"/>
      <c r="BJT42" s="16"/>
      <c r="BJU42" s="16"/>
      <c r="BJV42" s="16"/>
      <c r="BJW42" s="16"/>
      <c r="BJX42" s="16"/>
      <c r="BJY42" s="16"/>
      <c r="BJZ42" s="16"/>
      <c r="BKA42" s="16"/>
      <c r="BKB42" s="16"/>
      <c r="BKC42" s="16"/>
      <c r="BKD42" s="16"/>
      <c r="BKE42" s="16"/>
      <c r="BKF42" s="16"/>
      <c r="BKG42" s="16"/>
      <c r="BKH42" s="16"/>
      <c r="BKI42" s="16"/>
      <c r="BKJ42" s="16"/>
      <c r="BKK42" s="16"/>
      <c r="BKL42" s="16"/>
      <c r="BKM42" s="16"/>
      <c r="BKN42" s="16"/>
      <c r="BKO42" s="16"/>
      <c r="BKP42" s="16"/>
      <c r="BKQ42" s="16"/>
      <c r="BKR42" s="16"/>
      <c r="BKS42" s="16"/>
      <c r="BKT42" s="16"/>
      <c r="BKU42" s="16"/>
      <c r="BKV42" s="16"/>
      <c r="BKW42" s="16"/>
      <c r="BKX42" s="16"/>
      <c r="BKY42" s="16"/>
      <c r="BKZ42" s="16"/>
      <c r="BLA42" s="16"/>
      <c r="BLB42" s="16"/>
      <c r="BLC42" s="16"/>
      <c r="BLD42" s="16"/>
      <c r="BLE42" s="16"/>
      <c r="BLF42" s="16"/>
      <c r="BLG42" s="16"/>
      <c r="BLH42" s="16"/>
      <c r="BLI42" s="16"/>
      <c r="BLJ42" s="16"/>
      <c r="BLK42" s="16"/>
      <c r="BLL42" s="16"/>
      <c r="BLM42" s="16"/>
      <c r="BLN42" s="16"/>
      <c r="BLO42" s="16"/>
      <c r="BLP42" s="16"/>
      <c r="BLQ42" s="16"/>
      <c r="BLR42" s="16"/>
      <c r="BLS42" s="16"/>
      <c r="BLT42" s="16"/>
      <c r="BLU42" s="16"/>
      <c r="BLV42" s="16"/>
      <c r="BLW42" s="16"/>
      <c r="BLX42" s="16"/>
      <c r="BLY42" s="16"/>
      <c r="BLZ42" s="16"/>
      <c r="BMA42" s="16"/>
      <c r="BMB42" s="16"/>
      <c r="BMC42" s="16"/>
      <c r="BMD42" s="16"/>
      <c r="BME42" s="16"/>
      <c r="BMF42" s="16"/>
      <c r="BMG42" s="16"/>
      <c r="BMH42" s="16"/>
      <c r="BMI42" s="16"/>
      <c r="BMJ42" s="16"/>
      <c r="BMK42" s="16"/>
      <c r="BML42" s="16"/>
      <c r="BMM42" s="16"/>
      <c r="BMN42" s="16"/>
      <c r="BMO42" s="16"/>
      <c r="BMP42" s="16"/>
      <c r="BMQ42" s="16"/>
      <c r="BMR42" s="16"/>
      <c r="BMS42" s="16"/>
      <c r="BMT42" s="16"/>
      <c r="BMU42" s="16"/>
      <c r="BMV42" s="16"/>
      <c r="BMW42" s="16"/>
      <c r="BMX42" s="16"/>
      <c r="BMY42" s="16"/>
      <c r="BMZ42" s="16"/>
      <c r="BNA42" s="16"/>
      <c r="BNB42" s="16"/>
      <c r="BNC42" s="16"/>
      <c r="BND42" s="16"/>
      <c r="BNE42" s="16"/>
      <c r="BNF42" s="16"/>
      <c r="BNG42" s="16"/>
      <c r="BNH42" s="16"/>
      <c r="BNI42" s="16"/>
      <c r="BNJ42" s="16"/>
      <c r="BNK42" s="16"/>
      <c r="BNL42" s="16"/>
      <c r="BNM42" s="16"/>
      <c r="BNN42" s="16"/>
      <c r="BNO42" s="16"/>
      <c r="BNP42" s="16"/>
      <c r="BNQ42" s="16"/>
      <c r="BNR42" s="16"/>
      <c r="BNS42" s="16"/>
      <c r="BNT42" s="16"/>
      <c r="BNU42" s="16"/>
      <c r="BNV42" s="16"/>
      <c r="BNW42" s="16"/>
      <c r="BNX42" s="16"/>
      <c r="BNY42" s="16"/>
      <c r="BNZ42" s="16"/>
      <c r="BOA42" s="16"/>
      <c r="BOB42" s="16"/>
      <c r="BOC42" s="16"/>
      <c r="BOD42" s="16"/>
      <c r="BOE42" s="16"/>
      <c r="BOF42" s="16"/>
      <c r="BOG42" s="16"/>
      <c r="BOH42" s="16"/>
      <c r="BOI42" s="16"/>
      <c r="BOJ42" s="16"/>
      <c r="BOK42" s="16"/>
      <c r="BOL42" s="16"/>
      <c r="BOM42" s="16"/>
      <c r="BON42" s="16"/>
      <c r="BOO42" s="16"/>
      <c r="BOP42" s="16"/>
      <c r="BOQ42" s="16"/>
      <c r="BOR42" s="16"/>
      <c r="BOS42" s="16"/>
      <c r="BOT42" s="16"/>
      <c r="BOU42" s="16"/>
      <c r="BOV42" s="16"/>
      <c r="BOW42" s="16"/>
      <c r="BOX42" s="16"/>
      <c r="BOY42" s="16"/>
      <c r="BOZ42" s="16"/>
      <c r="BPA42" s="16"/>
      <c r="BPB42" s="16"/>
      <c r="BPC42" s="16"/>
      <c r="BPD42" s="16"/>
      <c r="BPE42" s="16"/>
      <c r="BPF42" s="16"/>
      <c r="BPG42" s="16"/>
      <c r="BPH42" s="16"/>
      <c r="BPI42" s="16"/>
      <c r="BPJ42" s="16"/>
      <c r="BPK42" s="16"/>
      <c r="BPL42" s="16"/>
      <c r="BPM42" s="16"/>
      <c r="BPN42" s="16"/>
      <c r="BPO42" s="16"/>
      <c r="BPP42" s="16"/>
      <c r="BPQ42" s="16"/>
      <c r="BPR42" s="16"/>
      <c r="BPS42" s="16"/>
      <c r="BPT42" s="16"/>
      <c r="BPU42" s="16"/>
      <c r="BPV42" s="16"/>
      <c r="BPW42" s="16"/>
      <c r="BPX42" s="16"/>
      <c r="BPY42" s="16"/>
      <c r="BPZ42" s="16"/>
      <c r="BQA42" s="16"/>
      <c r="BQB42" s="16"/>
      <c r="BQC42" s="16"/>
      <c r="BQD42" s="16"/>
      <c r="BQE42" s="16"/>
      <c r="BQF42" s="16"/>
      <c r="BQG42" s="16"/>
      <c r="BQH42" s="16"/>
      <c r="BQI42" s="16"/>
      <c r="BQJ42" s="16"/>
      <c r="BQK42" s="16"/>
      <c r="BQL42" s="16"/>
      <c r="BQM42" s="16"/>
      <c r="BQN42" s="16"/>
      <c r="BQO42" s="16"/>
      <c r="BQP42" s="16"/>
      <c r="BQQ42" s="16"/>
      <c r="BQR42" s="16"/>
      <c r="BQS42" s="16"/>
      <c r="BQT42" s="16"/>
      <c r="BQU42" s="16"/>
      <c r="BQV42" s="16"/>
      <c r="BQW42" s="16"/>
      <c r="BQX42" s="16"/>
      <c r="BQY42" s="16"/>
      <c r="BQZ42" s="16"/>
      <c r="BRA42" s="16"/>
      <c r="BRB42" s="16"/>
      <c r="BRC42" s="16"/>
      <c r="BRD42" s="16"/>
      <c r="BRE42" s="16"/>
      <c r="BRF42" s="16"/>
      <c r="BRG42" s="16"/>
      <c r="BRH42" s="16"/>
      <c r="BRI42" s="16"/>
      <c r="BRJ42" s="16"/>
      <c r="BRK42" s="16"/>
      <c r="BRL42" s="16"/>
      <c r="BRM42" s="16"/>
      <c r="BRN42" s="16"/>
      <c r="BRO42" s="16"/>
      <c r="BRP42" s="16"/>
      <c r="BRQ42" s="16"/>
      <c r="BRR42" s="16"/>
      <c r="BRS42" s="16"/>
      <c r="BRT42" s="16"/>
      <c r="BRU42" s="16"/>
      <c r="BRV42" s="16"/>
      <c r="BRW42" s="16"/>
      <c r="BRX42" s="16"/>
      <c r="BRY42" s="16"/>
      <c r="BRZ42" s="16"/>
      <c r="BSA42" s="16"/>
      <c r="BSB42" s="16"/>
      <c r="BSC42" s="16"/>
      <c r="BSD42" s="16"/>
      <c r="BSE42" s="16"/>
      <c r="BSF42" s="16"/>
      <c r="BSG42" s="16"/>
      <c r="BSH42" s="16"/>
      <c r="BSI42" s="16"/>
      <c r="BSJ42" s="16"/>
      <c r="BSK42" s="16"/>
      <c r="BSL42" s="16"/>
      <c r="BSM42" s="16"/>
      <c r="BSN42" s="16"/>
      <c r="BSO42" s="16"/>
      <c r="BSP42" s="16"/>
      <c r="BSQ42" s="16"/>
      <c r="BSR42" s="16"/>
      <c r="BSS42" s="16"/>
      <c r="BST42" s="16"/>
      <c r="BSU42" s="16"/>
      <c r="BSV42" s="16"/>
      <c r="BSW42" s="16"/>
      <c r="BSX42" s="16"/>
      <c r="BSY42" s="16"/>
      <c r="BSZ42" s="16"/>
      <c r="BTA42" s="16"/>
      <c r="BTB42" s="16"/>
      <c r="BTC42" s="16"/>
      <c r="BTD42" s="16"/>
      <c r="BTE42" s="16"/>
      <c r="BTF42" s="16"/>
      <c r="BTG42" s="16"/>
      <c r="BTH42" s="16"/>
      <c r="BTI42" s="16"/>
      <c r="BTJ42" s="16"/>
      <c r="BTK42" s="16"/>
      <c r="BTL42" s="16"/>
      <c r="BTM42" s="16"/>
      <c r="BTN42" s="16"/>
      <c r="BTO42" s="16"/>
      <c r="BTP42" s="16"/>
      <c r="BTQ42" s="16"/>
      <c r="BTR42" s="16"/>
      <c r="BTS42" s="16"/>
      <c r="BTT42" s="16"/>
      <c r="BTU42" s="16"/>
      <c r="BTV42" s="16"/>
      <c r="BTW42" s="16"/>
      <c r="BTX42" s="16"/>
      <c r="BTY42" s="16"/>
      <c r="BTZ42" s="16"/>
      <c r="BUA42" s="16"/>
      <c r="BUB42" s="16"/>
      <c r="BUC42" s="16"/>
      <c r="BUD42" s="16"/>
      <c r="BUE42" s="16"/>
      <c r="BUF42" s="16"/>
      <c r="BUG42" s="16"/>
      <c r="BUH42" s="16"/>
      <c r="BUI42" s="16"/>
      <c r="BUJ42" s="16"/>
      <c r="BUK42" s="16"/>
      <c r="BUL42" s="16"/>
      <c r="BUM42" s="16"/>
      <c r="BUN42" s="16"/>
      <c r="BUO42" s="16"/>
      <c r="BUP42" s="16"/>
      <c r="BUQ42" s="16"/>
      <c r="BUR42" s="16"/>
      <c r="BUS42" s="16"/>
      <c r="BUT42" s="16"/>
      <c r="BUU42" s="16"/>
      <c r="BUV42" s="16"/>
      <c r="BUW42" s="16"/>
      <c r="BUX42" s="16"/>
      <c r="BUY42" s="16"/>
      <c r="BUZ42" s="16"/>
      <c r="BVA42" s="16"/>
      <c r="BVB42" s="16"/>
      <c r="BVC42" s="16"/>
      <c r="BVD42" s="16"/>
      <c r="BVE42" s="16"/>
      <c r="BVF42" s="16"/>
      <c r="BVG42" s="16"/>
      <c r="BVH42" s="16"/>
      <c r="BVI42" s="16"/>
      <c r="BVJ42" s="16"/>
      <c r="BVK42" s="16"/>
      <c r="BVL42" s="16"/>
      <c r="BVM42" s="16"/>
      <c r="BVN42" s="16"/>
      <c r="BVO42" s="16"/>
      <c r="BVP42" s="16"/>
      <c r="BVQ42" s="16"/>
      <c r="BVR42" s="16"/>
      <c r="BVS42" s="16"/>
      <c r="BVT42" s="16"/>
      <c r="BVU42" s="16"/>
      <c r="BVV42" s="16"/>
      <c r="BVW42" s="16"/>
      <c r="BVX42" s="16"/>
      <c r="BVY42" s="16"/>
      <c r="BVZ42" s="16"/>
      <c r="BWA42" s="16"/>
      <c r="BWB42" s="16"/>
      <c r="BWC42" s="16"/>
      <c r="BWD42" s="16"/>
      <c r="BWE42" s="16"/>
      <c r="BWF42" s="16"/>
      <c r="BWG42" s="16"/>
      <c r="BWH42" s="16"/>
      <c r="BWI42" s="16"/>
      <c r="BWJ42" s="16"/>
      <c r="BWK42" s="16"/>
      <c r="BWL42" s="16"/>
      <c r="BWM42" s="16"/>
      <c r="BWN42" s="16"/>
      <c r="BWO42" s="16"/>
      <c r="BWP42" s="16"/>
      <c r="BWQ42" s="16"/>
      <c r="BWR42" s="16"/>
      <c r="BWS42" s="16"/>
      <c r="BWT42" s="16"/>
      <c r="BWU42" s="16"/>
      <c r="BWV42" s="16"/>
      <c r="BWW42" s="16"/>
      <c r="BWX42" s="16"/>
      <c r="BWY42" s="16"/>
      <c r="BWZ42" s="16"/>
      <c r="BXA42" s="16"/>
      <c r="BXB42" s="16"/>
      <c r="BXC42" s="16"/>
      <c r="BXD42" s="16"/>
      <c r="BXE42" s="16"/>
      <c r="BXF42" s="16"/>
      <c r="BXG42" s="16"/>
      <c r="BXH42" s="16"/>
      <c r="BXI42" s="16"/>
      <c r="BXJ42" s="16"/>
      <c r="BXK42" s="16"/>
      <c r="BXL42" s="16"/>
      <c r="BXM42" s="16"/>
      <c r="BXN42" s="16"/>
      <c r="BXO42" s="16"/>
      <c r="BXP42" s="16"/>
      <c r="BXQ42" s="16"/>
      <c r="BXR42" s="16"/>
      <c r="BXS42" s="16"/>
      <c r="BXT42" s="16"/>
      <c r="BXU42" s="16"/>
      <c r="BXV42" s="16"/>
      <c r="BXW42" s="16"/>
      <c r="BXX42" s="16"/>
      <c r="BXY42" s="16"/>
      <c r="BXZ42" s="16"/>
      <c r="BYA42" s="16"/>
      <c r="BYB42" s="16"/>
      <c r="BYC42" s="16"/>
      <c r="BYD42" s="16"/>
      <c r="BYE42" s="16"/>
      <c r="BYF42" s="16"/>
      <c r="BYG42" s="16"/>
      <c r="BYH42" s="16"/>
      <c r="BYI42" s="16"/>
      <c r="BYJ42" s="16"/>
      <c r="BYK42" s="16"/>
      <c r="BYL42" s="16"/>
      <c r="BYM42" s="16"/>
      <c r="BYN42" s="16"/>
      <c r="BYO42" s="16"/>
      <c r="BYP42" s="16"/>
      <c r="BYQ42" s="16"/>
      <c r="BYR42" s="16"/>
      <c r="BYS42" s="16"/>
      <c r="BYT42" s="16"/>
      <c r="BYU42" s="16"/>
      <c r="BYV42" s="16"/>
      <c r="BYW42" s="16"/>
      <c r="BYX42" s="16"/>
      <c r="BYY42" s="16"/>
      <c r="BYZ42" s="16"/>
      <c r="BZA42" s="16"/>
      <c r="BZB42" s="16"/>
      <c r="BZC42" s="16"/>
      <c r="BZD42" s="16"/>
      <c r="BZE42" s="16"/>
      <c r="BZF42" s="16"/>
      <c r="BZG42" s="16"/>
      <c r="BZH42" s="16"/>
      <c r="BZI42" s="16"/>
      <c r="BZJ42" s="16"/>
      <c r="BZK42" s="16"/>
      <c r="BZL42" s="16"/>
      <c r="BZM42" s="16"/>
      <c r="BZN42" s="16"/>
      <c r="BZO42" s="16"/>
      <c r="BZP42" s="16"/>
      <c r="BZQ42" s="16"/>
      <c r="BZR42" s="16"/>
      <c r="BZS42" s="16"/>
      <c r="BZT42" s="16"/>
      <c r="BZU42" s="16"/>
      <c r="BZV42" s="16"/>
      <c r="BZW42" s="16"/>
      <c r="BZX42" s="16"/>
      <c r="BZY42" s="16"/>
      <c r="BZZ42" s="16"/>
      <c r="CAA42" s="16"/>
      <c r="CAB42" s="16"/>
      <c r="CAC42" s="16"/>
      <c r="CAD42" s="16"/>
      <c r="CAE42" s="16"/>
      <c r="CAF42" s="16"/>
      <c r="CAG42" s="16"/>
      <c r="CAH42" s="16"/>
      <c r="CAI42" s="16"/>
      <c r="CAJ42" s="16"/>
      <c r="CAK42" s="16"/>
      <c r="CAL42" s="16"/>
      <c r="CAM42" s="16"/>
      <c r="CAN42" s="16"/>
      <c r="CAO42" s="16"/>
      <c r="CAP42" s="16"/>
      <c r="CAQ42" s="16"/>
      <c r="CAR42" s="16"/>
      <c r="CAS42" s="16"/>
      <c r="CAT42" s="16"/>
      <c r="CAU42" s="16"/>
      <c r="CAV42" s="16"/>
      <c r="CAW42" s="16"/>
      <c r="CAX42" s="16"/>
      <c r="CAY42" s="16"/>
      <c r="CAZ42" s="16"/>
      <c r="CBA42" s="16"/>
      <c r="CBB42" s="16"/>
      <c r="CBC42" s="16"/>
      <c r="CBD42" s="16"/>
      <c r="CBE42" s="16"/>
      <c r="CBF42" s="16"/>
      <c r="CBG42" s="16"/>
      <c r="CBH42" s="16"/>
      <c r="CBI42" s="16"/>
      <c r="CBJ42" s="16"/>
      <c r="CBK42" s="16"/>
      <c r="CBL42" s="16"/>
      <c r="CBM42" s="16"/>
      <c r="CBN42" s="16"/>
      <c r="CBO42" s="16"/>
      <c r="CBP42" s="16"/>
      <c r="CBQ42" s="16"/>
      <c r="CBR42" s="16"/>
      <c r="CBS42" s="16"/>
      <c r="CBT42" s="16"/>
      <c r="CBU42" s="16"/>
      <c r="CBV42" s="16"/>
      <c r="CBW42" s="16"/>
      <c r="CBX42" s="16"/>
      <c r="CBY42" s="16"/>
      <c r="CBZ42" s="16"/>
      <c r="CCA42" s="16"/>
      <c r="CCB42" s="16"/>
      <c r="CCC42" s="16"/>
      <c r="CCD42" s="16"/>
      <c r="CCE42" s="16"/>
      <c r="CCF42" s="16"/>
      <c r="CCG42" s="16"/>
      <c r="CCH42" s="16"/>
      <c r="CCI42" s="16"/>
      <c r="CCJ42" s="16"/>
      <c r="CCK42" s="16"/>
      <c r="CCL42" s="16"/>
      <c r="CCM42" s="16"/>
      <c r="CCN42" s="16"/>
      <c r="CCO42" s="16"/>
      <c r="CCP42" s="16"/>
      <c r="CCQ42" s="16"/>
      <c r="CCR42" s="16"/>
      <c r="CCS42" s="16"/>
      <c r="CCT42" s="16"/>
      <c r="CCU42" s="16"/>
      <c r="CCV42" s="16"/>
      <c r="CCW42" s="16"/>
      <c r="CCX42" s="16"/>
      <c r="CCY42" s="16"/>
      <c r="CCZ42" s="16"/>
      <c r="CDA42" s="16"/>
      <c r="CDB42" s="16"/>
      <c r="CDC42" s="16"/>
      <c r="CDD42" s="16"/>
      <c r="CDE42" s="16"/>
      <c r="CDF42" s="16"/>
      <c r="CDG42" s="16"/>
      <c r="CDH42" s="16"/>
      <c r="CDI42" s="16"/>
      <c r="CDJ42" s="16"/>
      <c r="CDK42" s="16"/>
      <c r="CDL42" s="16"/>
      <c r="CDM42" s="16"/>
      <c r="CDN42" s="16"/>
      <c r="CDO42" s="16"/>
      <c r="CDP42" s="16"/>
      <c r="CDQ42" s="16"/>
      <c r="CDR42" s="16"/>
      <c r="CDS42" s="16"/>
      <c r="CDT42" s="16"/>
      <c r="CDU42" s="16"/>
      <c r="CDV42" s="16"/>
      <c r="CDW42" s="16"/>
      <c r="CDX42" s="16"/>
      <c r="CDY42" s="16"/>
      <c r="CDZ42" s="16"/>
      <c r="CEA42" s="16"/>
      <c r="CEB42" s="16"/>
      <c r="CEC42" s="16"/>
      <c r="CED42" s="16"/>
      <c r="CEE42" s="16"/>
      <c r="CEF42" s="16"/>
      <c r="CEG42" s="16"/>
      <c r="CEH42" s="16"/>
      <c r="CEI42" s="16"/>
      <c r="CEJ42" s="16"/>
      <c r="CEK42" s="16"/>
      <c r="CEL42" s="16"/>
      <c r="CEM42" s="16"/>
      <c r="CEN42" s="16"/>
      <c r="CEO42" s="16"/>
      <c r="CEP42" s="16"/>
      <c r="CEQ42" s="16"/>
      <c r="CER42" s="16"/>
      <c r="CES42" s="16"/>
      <c r="CET42" s="16"/>
      <c r="CEU42" s="16"/>
      <c r="CEV42" s="16"/>
      <c r="CEW42" s="16"/>
      <c r="CEX42" s="16"/>
      <c r="CEY42" s="16"/>
      <c r="CEZ42" s="16"/>
      <c r="CFA42" s="16"/>
      <c r="CFB42" s="16"/>
      <c r="CFC42" s="16"/>
      <c r="CFD42" s="16"/>
      <c r="CFE42" s="16"/>
      <c r="CFF42" s="16"/>
      <c r="CFG42" s="16"/>
      <c r="CFH42" s="16"/>
      <c r="CFI42" s="16"/>
      <c r="CFJ42" s="16"/>
      <c r="CFK42" s="16"/>
      <c r="CFL42" s="16"/>
      <c r="CFM42" s="16"/>
      <c r="CFN42" s="16"/>
      <c r="CFO42" s="16"/>
      <c r="CFP42" s="16"/>
      <c r="CFQ42" s="16"/>
      <c r="CFR42" s="16"/>
      <c r="CFS42" s="16"/>
      <c r="CFT42" s="16"/>
      <c r="CFU42" s="16"/>
      <c r="CFV42" s="16"/>
      <c r="CFW42" s="16"/>
      <c r="CFX42" s="16"/>
      <c r="CFY42" s="16"/>
      <c r="CFZ42" s="16"/>
      <c r="CGA42" s="16"/>
      <c r="CGB42" s="16"/>
      <c r="CGC42" s="16"/>
      <c r="CGD42" s="16"/>
      <c r="CGE42" s="16"/>
      <c r="CGF42" s="16"/>
      <c r="CGG42" s="16"/>
      <c r="CGH42" s="16"/>
      <c r="CGI42" s="16"/>
      <c r="CGJ42" s="16"/>
      <c r="CGK42" s="16"/>
      <c r="CGL42" s="16"/>
      <c r="CGM42" s="16"/>
      <c r="CGN42" s="16"/>
      <c r="CGO42" s="16"/>
      <c r="CGP42" s="16"/>
      <c r="CGQ42" s="16"/>
      <c r="CGR42" s="16"/>
      <c r="CGS42" s="16"/>
      <c r="CGT42" s="16"/>
      <c r="CGU42" s="16"/>
      <c r="CGV42" s="16"/>
      <c r="CGW42" s="16"/>
      <c r="CGX42" s="16"/>
      <c r="CGY42" s="16"/>
      <c r="CGZ42" s="16"/>
      <c r="CHA42" s="16"/>
      <c r="CHB42" s="16"/>
      <c r="CHC42" s="16"/>
      <c r="CHD42" s="16"/>
      <c r="CHE42" s="16"/>
      <c r="CHF42" s="16"/>
      <c r="CHG42" s="16"/>
      <c r="CHH42" s="16"/>
      <c r="CHI42" s="16"/>
      <c r="CHJ42" s="16"/>
      <c r="CHK42" s="16"/>
      <c r="CHL42" s="16"/>
      <c r="CHM42" s="16"/>
      <c r="CHN42" s="16"/>
      <c r="CHO42" s="16"/>
      <c r="CHP42" s="16"/>
      <c r="CHQ42" s="16"/>
      <c r="CHR42" s="16"/>
      <c r="CHS42" s="16"/>
      <c r="CHT42" s="16"/>
      <c r="CHU42" s="16"/>
      <c r="CHV42" s="16"/>
      <c r="CHW42" s="16"/>
      <c r="CHX42" s="16"/>
      <c r="CHY42" s="16"/>
      <c r="CHZ42" s="16"/>
      <c r="CIA42" s="16"/>
      <c r="CIB42" s="16"/>
      <c r="CIC42" s="16"/>
      <c r="CID42" s="16"/>
      <c r="CIE42" s="16"/>
      <c r="CIF42" s="16"/>
      <c r="CIG42" s="16"/>
      <c r="CIH42" s="16"/>
      <c r="CII42" s="16"/>
      <c r="CIJ42" s="16"/>
      <c r="CIK42" s="16"/>
      <c r="CIL42" s="16"/>
      <c r="CIM42" s="16"/>
      <c r="CIN42" s="16"/>
      <c r="CIO42" s="16"/>
      <c r="CIP42" s="16"/>
      <c r="CIQ42" s="16"/>
      <c r="CIR42" s="16"/>
      <c r="CIS42" s="16"/>
      <c r="CIT42" s="16"/>
      <c r="CIU42" s="16"/>
      <c r="CIV42" s="16"/>
      <c r="CIW42" s="16"/>
      <c r="CIX42" s="16"/>
      <c r="CIY42" s="16"/>
      <c r="CIZ42" s="16"/>
      <c r="CJA42" s="16"/>
      <c r="CJB42" s="16"/>
      <c r="CJC42" s="16"/>
      <c r="CJD42" s="16"/>
      <c r="CJE42" s="16"/>
      <c r="CJF42" s="16"/>
      <c r="CJG42" s="16"/>
      <c r="CJH42" s="16"/>
      <c r="CJI42" s="16"/>
      <c r="CJJ42" s="16"/>
      <c r="CJK42" s="16"/>
      <c r="CJL42" s="16"/>
      <c r="CJM42" s="16"/>
      <c r="CJN42" s="16"/>
      <c r="CJO42" s="16"/>
      <c r="CJP42" s="16"/>
      <c r="CJQ42" s="16"/>
      <c r="CJR42" s="16"/>
      <c r="CJS42" s="16"/>
      <c r="CJT42" s="16"/>
      <c r="CJU42" s="16"/>
      <c r="CJV42" s="16"/>
      <c r="CJW42" s="16"/>
      <c r="CJX42" s="16"/>
      <c r="CJY42" s="16"/>
      <c r="CJZ42" s="16"/>
      <c r="CKA42" s="16"/>
      <c r="CKB42" s="16"/>
      <c r="CKC42" s="16"/>
      <c r="CKD42" s="16"/>
      <c r="CKE42" s="16"/>
      <c r="CKF42" s="16"/>
      <c r="CKG42" s="16"/>
      <c r="CKH42" s="16"/>
      <c r="CKI42" s="16"/>
      <c r="CKJ42" s="16"/>
      <c r="CKK42" s="16"/>
      <c r="CKL42" s="16"/>
      <c r="CKM42" s="16"/>
      <c r="CKN42" s="16"/>
      <c r="CKO42" s="16"/>
      <c r="CKP42" s="16"/>
      <c r="CKQ42" s="16"/>
      <c r="CKR42" s="16"/>
      <c r="CKS42" s="16"/>
      <c r="CKT42" s="16"/>
      <c r="CKU42" s="16"/>
      <c r="CKV42" s="16"/>
      <c r="CKW42" s="16"/>
      <c r="CKX42" s="16"/>
      <c r="CKY42" s="16"/>
      <c r="CKZ42" s="16"/>
      <c r="CLA42" s="16"/>
      <c r="CLB42" s="16"/>
      <c r="CLC42" s="16"/>
      <c r="CLD42" s="16"/>
      <c r="CLE42" s="16"/>
      <c r="CLF42" s="16"/>
      <c r="CLG42" s="16"/>
      <c r="CLH42" s="16"/>
      <c r="CLI42" s="16"/>
      <c r="CLJ42" s="16"/>
      <c r="CLK42" s="16"/>
      <c r="CLL42" s="16"/>
      <c r="CLM42" s="16"/>
      <c r="CLN42" s="16"/>
      <c r="CLO42" s="16"/>
      <c r="CLP42" s="16"/>
      <c r="CLQ42" s="16"/>
      <c r="CLR42" s="16"/>
      <c r="CLS42" s="16"/>
      <c r="CLT42" s="16"/>
      <c r="CLU42" s="16"/>
      <c r="CLV42" s="16"/>
      <c r="CLW42" s="16"/>
      <c r="CLX42" s="16"/>
      <c r="CLY42" s="16"/>
      <c r="CLZ42" s="16"/>
      <c r="CMA42" s="16"/>
      <c r="CMB42" s="16"/>
      <c r="CMC42" s="16"/>
      <c r="CMD42" s="16"/>
      <c r="CME42" s="16"/>
      <c r="CMF42" s="16"/>
      <c r="CMG42" s="16"/>
      <c r="CMH42" s="16"/>
      <c r="CMI42" s="16"/>
      <c r="CMJ42" s="16"/>
      <c r="CMK42" s="16"/>
      <c r="CML42" s="16"/>
      <c r="CMM42" s="16"/>
      <c r="CMN42" s="16"/>
      <c r="CMO42" s="16"/>
      <c r="CMP42" s="16"/>
      <c r="CMQ42" s="16"/>
      <c r="CMR42" s="16"/>
      <c r="CMS42" s="16"/>
      <c r="CMT42" s="16"/>
      <c r="CMU42" s="16"/>
      <c r="CMV42" s="16"/>
      <c r="CMW42" s="16"/>
      <c r="CMX42" s="16"/>
      <c r="CMY42" s="16"/>
      <c r="CMZ42" s="16"/>
      <c r="CNA42" s="16"/>
      <c r="CNB42" s="16"/>
      <c r="CNC42" s="16"/>
      <c r="CND42" s="16"/>
      <c r="CNE42" s="16"/>
      <c r="CNF42" s="16"/>
      <c r="CNG42" s="16"/>
      <c r="CNH42" s="16"/>
      <c r="CNI42" s="16"/>
      <c r="CNJ42" s="16"/>
      <c r="CNK42" s="16"/>
      <c r="CNL42" s="16"/>
      <c r="CNM42" s="16"/>
      <c r="CNN42" s="16"/>
      <c r="CNO42" s="16"/>
      <c r="CNP42" s="16"/>
      <c r="CNQ42" s="16"/>
      <c r="CNR42" s="16"/>
      <c r="CNS42" s="16"/>
      <c r="CNT42" s="16"/>
      <c r="CNU42" s="16"/>
      <c r="CNV42" s="16"/>
      <c r="CNW42" s="16"/>
      <c r="CNX42" s="16"/>
      <c r="CNY42" s="16"/>
      <c r="CNZ42" s="16"/>
      <c r="COA42" s="16"/>
      <c r="COB42" s="16"/>
      <c r="COC42" s="16"/>
      <c r="COD42" s="16"/>
      <c r="COE42" s="16"/>
      <c r="COF42" s="16"/>
      <c r="COG42" s="16"/>
      <c r="COH42" s="16"/>
      <c r="COI42" s="16"/>
      <c r="COJ42" s="16"/>
      <c r="COK42" s="16"/>
      <c r="COL42" s="16"/>
      <c r="COM42" s="16"/>
      <c r="CON42" s="16"/>
      <c r="COO42" s="16"/>
      <c r="COP42" s="16"/>
      <c r="COQ42" s="16"/>
      <c r="COR42" s="16"/>
      <c r="COS42" s="16"/>
      <c r="COT42" s="16"/>
      <c r="COU42" s="16"/>
      <c r="COV42" s="16"/>
      <c r="COW42" s="16"/>
      <c r="COX42" s="16"/>
      <c r="COY42" s="16"/>
      <c r="COZ42" s="16"/>
      <c r="CPA42" s="16"/>
      <c r="CPB42" s="16"/>
      <c r="CPC42" s="16"/>
      <c r="CPD42" s="16"/>
      <c r="CPE42" s="16"/>
      <c r="CPF42" s="16"/>
      <c r="CPG42" s="16"/>
      <c r="CPH42" s="16"/>
      <c r="CPI42" s="16"/>
      <c r="CPJ42" s="16"/>
      <c r="CPK42" s="16"/>
      <c r="CPL42" s="16"/>
      <c r="CPM42" s="16"/>
      <c r="CPN42" s="16"/>
      <c r="CPO42" s="16"/>
      <c r="CPP42" s="16"/>
      <c r="CPQ42" s="16"/>
      <c r="CPR42" s="16"/>
      <c r="CPS42" s="16"/>
      <c r="CPT42" s="16"/>
      <c r="CPU42" s="16"/>
      <c r="CPV42" s="16"/>
      <c r="CPW42" s="16"/>
      <c r="CPX42" s="16"/>
      <c r="CPY42" s="16"/>
      <c r="CPZ42" s="16"/>
      <c r="CQA42" s="16"/>
      <c r="CQB42" s="16"/>
      <c r="CQC42" s="16"/>
      <c r="CQD42" s="16"/>
      <c r="CQE42" s="16"/>
      <c r="CQF42" s="16"/>
      <c r="CQG42" s="16"/>
      <c r="CQH42" s="16"/>
      <c r="CQI42" s="16"/>
      <c r="CQJ42" s="16"/>
      <c r="CQK42" s="16"/>
      <c r="CQL42" s="16"/>
      <c r="CQM42" s="16"/>
      <c r="CQN42" s="16"/>
      <c r="CQO42" s="16"/>
      <c r="CQP42" s="16"/>
      <c r="CQQ42" s="16"/>
      <c r="CQR42" s="16"/>
      <c r="CQS42" s="16"/>
      <c r="CQT42" s="16"/>
      <c r="CQU42" s="16"/>
      <c r="CQV42" s="16"/>
      <c r="CQW42" s="16"/>
      <c r="CQX42" s="16"/>
      <c r="CQY42" s="16"/>
      <c r="CQZ42" s="16"/>
      <c r="CRA42" s="16"/>
      <c r="CRB42" s="16"/>
      <c r="CRC42" s="16"/>
      <c r="CRD42" s="16"/>
      <c r="CRE42" s="16"/>
      <c r="CRF42" s="16"/>
      <c r="CRG42" s="16"/>
      <c r="CRH42" s="16"/>
      <c r="CRI42" s="16"/>
      <c r="CRJ42" s="16"/>
      <c r="CRK42" s="16"/>
      <c r="CRL42" s="16"/>
      <c r="CRM42" s="16"/>
      <c r="CRN42" s="16"/>
      <c r="CRO42" s="16"/>
      <c r="CRP42" s="16"/>
      <c r="CRQ42" s="16"/>
      <c r="CRR42" s="16"/>
      <c r="CRS42" s="16"/>
      <c r="CRT42" s="16"/>
      <c r="CRU42" s="16"/>
      <c r="CRV42" s="16"/>
      <c r="CRW42" s="16"/>
      <c r="CRX42" s="16"/>
      <c r="CRY42" s="16"/>
      <c r="CRZ42" s="16"/>
      <c r="CSA42" s="16"/>
      <c r="CSB42" s="16"/>
      <c r="CSC42" s="16"/>
      <c r="CSD42" s="16"/>
      <c r="CSE42" s="16"/>
      <c r="CSF42" s="16"/>
      <c r="CSG42" s="16"/>
      <c r="CSH42" s="16"/>
      <c r="CSI42" s="16"/>
      <c r="CSJ42" s="16"/>
      <c r="CSK42" s="16"/>
      <c r="CSL42" s="16"/>
      <c r="CSM42" s="16"/>
      <c r="CSN42" s="16"/>
      <c r="CSO42" s="16"/>
      <c r="CSP42" s="16"/>
      <c r="CSQ42" s="16"/>
      <c r="CSR42" s="16"/>
      <c r="CSS42" s="16"/>
      <c r="CST42" s="16"/>
      <c r="CSU42" s="16"/>
      <c r="CSV42" s="16"/>
      <c r="CSW42" s="16"/>
      <c r="CSX42" s="16"/>
      <c r="CSY42" s="16"/>
      <c r="CSZ42" s="16"/>
      <c r="CTA42" s="16"/>
      <c r="CTB42" s="16"/>
      <c r="CTC42" s="16"/>
      <c r="CTD42" s="16"/>
      <c r="CTE42" s="16"/>
      <c r="CTF42" s="16"/>
      <c r="CTG42" s="16"/>
      <c r="CTH42" s="16"/>
      <c r="CTI42" s="16"/>
      <c r="CTJ42" s="16"/>
      <c r="CTK42" s="16"/>
      <c r="CTL42" s="16"/>
      <c r="CTM42" s="16"/>
      <c r="CTN42" s="16"/>
      <c r="CTO42" s="16"/>
      <c r="CTP42" s="16"/>
      <c r="CTQ42" s="16"/>
      <c r="CTR42" s="16"/>
      <c r="CTS42" s="16"/>
      <c r="CTT42" s="16"/>
      <c r="CTU42" s="16"/>
      <c r="CTV42" s="16"/>
      <c r="CTW42" s="16"/>
      <c r="CTX42" s="16"/>
      <c r="CTY42" s="16"/>
      <c r="CTZ42" s="16"/>
      <c r="CUA42" s="16"/>
      <c r="CUB42" s="16"/>
      <c r="CUC42" s="16"/>
      <c r="CUD42" s="16"/>
      <c r="CUE42" s="16"/>
      <c r="CUF42" s="16"/>
      <c r="CUG42" s="16"/>
      <c r="CUH42" s="16"/>
      <c r="CUI42" s="16"/>
      <c r="CUJ42" s="16"/>
      <c r="CUK42" s="16"/>
      <c r="CUL42" s="16"/>
      <c r="CUM42" s="16"/>
      <c r="CUN42" s="16"/>
      <c r="CUO42" s="16"/>
      <c r="CUP42" s="16"/>
      <c r="CUQ42" s="16"/>
      <c r="CUR42" s="16"/>
      <c r="CUS42" s="16"/>
      <c r="CUT42" s="16"/>
      <c r="CUU42" s="16"/>
      <c r="CUV42" s="16"/>
      <c r="CUW42" s="16"/>
      <c r="CUX42" s="16"/>
      <c r="CUY42" s="16"/>
      <c r="CUZ42" s="16"/>
      <c r="CVA42" s="16"/>
      <c r="CVB42" s="16"/>
      <c r="CVC42" s="16"/>
      <c r="CVD42" s="16"/>
      <c r="CVE42" s="16"/>
      <c r="CVF42" s="16"/>
      <c r="CVG42" s="16"/>
      <c r="CVH42" s="16"/>
      <c r="CVI42" s="16"/>
      <c r="CVJ42" s="16"/>
      <c r="CVK42" s="16"/>
      <c r="CVL42" s="16"/>
      <c r="CVM42" s="16"/>
      <c r="CVN42" s="16"/>
      <c r="CVO42" s="16"/>
      <c r="CVP42" s="16"/>
      <c r="CVQ42" s="16"/>
      <c r="CVR42" s="16"/>
      <c r="CVS42" s="16"/>
      <c r="CVT42" s="16"/>
      <c r="CVU42" s="16"/>
      <c r="CVV42" s="16"/>
      <c r="CVW42" s="16"/>
      <c r="CVX42" s="16"/>
      <c r="CVY42" s="16"/>
      <c r="CVZ42" s="16"/>
      <c r="CWA42" s="16"/>
      <c r="CWB42" s="16"/>
      <c r="CWC42" s="16"/>
      <c r="CWD42" s="16"/>
      <c r="CWE42" s="16"/>
      <c r="CWF42" s="16"/>
      <c r="CWG42" s="16"/>
      <c r="CWH42" s="16"/>
      <c r="CWI42" s="16"/>
      <c r="CWJ42" s="16"/>
      <c r="CWK42" s="16"/>
      <c r="CWL42" s="16"/>
      <c r="CWM42" s="16"/>
      <c r="CWN42" s="16"/>
      <c r="CWO42" s="16"/>
      <c r="CWP42" s="16"/>
      <c r="CWQ42" s="16"/>
      <c r="CWR42" s="16"/>
      <c r="CWS42" s="16"/>
      <c r="CWT42" s="16"/>
      <c r="CWU42" s="16"/>
      <c r="CWV42" s="16"/>
      <c r="CWW42" s="16"/>
      <c r="CWX42" s="16"/>
      <c r="CWY42" s="16"/>
      <c r="CWZ42" s="16"/>
      <c r="CXA42" s="16"/>
      <c r="CXB42" s="16"/>
      <c r="CXC42" s="16"/>
      <c r="CXD42" s="16"/>
      <c r="CXE42" s="16"/>
      <c r="CXF42" s="16"/>
      <c r="CXG42" s="16"/>
      <c r="CXH42" s="16"/>
      <c r="CXI42" s="16"/>
      <c r="CXJ42" s="16"/>
      <c r="CXK42" s="16"/>
      <c r="CXL42" s="16"/>
      <c r="CXM42" s="16"/>
      <c r="CXN42" s="16"/>
      <c r="CXO42" s="16"/>
      <c r="CXP42" s="16"/>
      <c r="CXQ42" s="16"/>
      <c r="CXR42" s="16"/>
      <c r="CXS42" s="16"/>
      <c r="CXT42" s="16"/>
      <c r="CXU42" s="16"/>
      <c r="CXV42" s="16"/>
      <c r="CXW42" s="16"/>
      <c r="CXX42" s="16"/>
      <c r="CXY42" s="16"/>
      <c r="CXZ42" s="16"/>
      <c r="CYA42" s="16"/>
      <c r="CYB42" s="16"/>
      <c r="CYC42" s="16"/>
      <c r="CYD42" s="16"/>
      <c r="CYE42" s="16"/>
      <c r="CYF42" s="16"/>
      <c r="CYG42" s="16"/>
      <c r="CYH42" s="16"/>
      <c r="CYI42" s="16"/>
      <c r="CYJ42" s="16"/>
      <c r="CYK42" s="16"/>
      <c r="CYL42" s="16"/>
      <c r="CYM42" s="16"/>
      <c r="CYN42" s="16"/>
      <c r="CYO42" s="16"/>
      <c r="CYP42" s="16"/>
      <c r="CYQ42" s="16"/>
      <c r="CYR42" s="16"/>
      <c r="CYS42" s="16"/>
      <c r="CYT42" s="16"/>
      <c r="CYU42" s="16"/>
      <c r="CYV42" s="16"/>
      <c r="CYW42" s="16"/>
      <c r="CYX42" s="16"/>
      <c r="CYY42" s="16"/>
      <c r="CYZ42" s="16"/>
      <c r="CZA42" s="16"/>
      <c r="CZB42" s="16"/>
      <c r="CZC42" s="16"/>
      <c r="CZD42" s="16"/>
      <c r="CZE42" s="16"/>
      <c r="CZF42" s="16"/>
      <c r="CZG42" s="16"/>
      <c r="CZH42" s="16"/>
      <c r="CZI42" s="16"/>
      <c r="CZJ42" s="16"/>
      <c r="CZK42" s="16"/>
      <c r="CZL42" s="16"/>
      <c r="CZM42" s="16"/>
      <c r="CZN42" s="16"/>
      <c r="CZO42" s="16"/>
      <c r="CZP42" s="16"/>
      <c r="CZQ42" s="16"/>
      <c r="CZR42" s="16"/>
      <c r="CZS42" s="16"/>
      <c r="CZT42" s="16"/>
      <c r="CZU42" s="16"/>
      <c r="CZV42" s="16"/>
      <c r="CZW42" s="16"/>
      <c r="CZX42" s="16"/>
      <c r="CZY42" s="16"/>
      <c r="CZZ42" s="16"/>
      <c r="DAA42" s="16"/>
      <c r="DAB42" s="16"/>
      <c r="DAC42" s="16"/>
      <c r="DAD42" s="16"/>
      <c r="DAE42" s="16"/>
      <c r="DAF42" s="16"/>
      <c r="DAG42" s="16"/>
      <c r="DAH42" s="16"/>
      <c r="DAI42" s="16"/>
      <c r="DAJ42" s="16"/>
      <c r="DAK42" s="16"/>
      <c r="DAL42" s="16"/>
      <c r="DAM42" s="16"/>
      <c r="DAN42" s="16"/>
      <c r="DAO42" s="16"/>
      <c r="DAP42" s="16"/>
      <c r="DAQ42" s="16"/>
      <c r="DAR42" s="16"/>
      <c r="DAS42" s="16"/>
      <c r="DAT42" s="16"/>
      <c r="DAU42" s="16"/>
      <c r="DAV42" s="16"/>
      <c r="DAW42" s="16"/>
      <c r="DAX42" s="16"/>
      <c r="DAY42" s="16"/>
      <c r="DAZ42" s="16"/>
      <c r="DBA42" s="16"/>
      <c r="DBB42" s="16"/>
      <c r="DBC42" s="16"/>
      <c r="DBD42" s="16"/>
      <c r="DBE42" s="16"/>
      <c r="DBF42" s="16"/>
      <c r="DBG42" s="16"/>
      <c r="DBH42" s="16"/>
      <c r="DBI42" s="16"/>
      <c r="DBJ42" s="16"/>
      <c r="DBK42" s="16"/>
      <c r="DBL42" s="16"/>
      <c r="DBM42" s="16"/>
      <c r="DBN42" s="16"/>
      <c r="DBO42" s="16"/>
      <c r="DBP42" s="16"/>
      <c r="DBQ42" s="16"/>
      <c r="DBR42" s="16"/>
      <c r="DBS42" s="16"/>
      <c r="DBT42" s="16"/>
      <c r="DBU42" s="16"/>
      <c r="DBV42" s="16"/>
      <c r="DBW42" s="16"/>
      <c r="DBX42" s="16"/>
      <c r="DBY42" s="16"/>
      <c r="DBZ42" s="16"/>
      <c r="DCA42" s="16"/>
      <c r="DCB42" s="16"/>
      <c r="DCC42" s="16"/>
      <c r="DCD42" s="16"/>
      <c r="DCE42" s="16"/>
      <c r="DCF42" s="16"/>
      <c r="DCG42" s="16"/>
      <c r="DCH42" s="16"/>
      <c r="DCI42" s="16"/>
      <c r="DCJ42" s="16"/>
      <c r="DCK42" s="16"/>
      <c r="DCL42" s="16"/>
      <c r="DCM42" s="16"/>
      <c r="DCN42" s="16"/>
      <c r="DCO42" s="16"/>
      <c r="DCP42" s="16"/>
      <c r="DCQ42" s="16"/>
      <c r="DCR42" s="16"/>
      <c r="DCS42" s="16"/>
      <c r="DCT42" s="16"/>
      <c r="DCU42" s="16"/>
      <c r="DCV42" s="16"/>
      <c r="DCW42" s="16"/>
      <c r="DCX42" s="16"/>
      <c r="DCY42" s="16"/>
      <c r="DCZ42" s="16"/>
      <c r="DDA42" s="16"/>
      <c r="DDB42" s="16"/>
      <c r="DDC42" s="16"/>
      <c r="DDD42" s="16"/>
      <c r="DDE42" s="16"/>
      <c r="DDF42" s="16"/>
      <c r="DDG42" s="16"/>
      <c r="DDH42" s="16"/>
      <c r="DDI42" s="16"/>
      <c r="DDJ42" s="16"/>
      <c r="DDK42" s="16"/>
      <c r="DDL42" s="16"/>
      <c r="DDM42" s="16"/>
      <c r="DDN42" s="16"/>
      <c r="DDO42" s="16"/>
      <c r="DDP42" s="16"/>
      <c r="DDQ42" s="16"/>
      <c r="DDR42" s="16"/>
      <c r="DDS42" s="16"/>
      <c r="DDT42" s="16"/>
      <c r="DDU42" s="16"/>
      <c r="DDV42" s="16"/>
      <c r="DDW42" s="16"/>
      <c r="DDX42" s="16"/>
      <c r="DDY42" s="16"/>
      <c r="DDZ42" s="16"/>
      <c r="DEA42" s="16"/>
      <c r="DEB42" s="16"/>
      <c r="DEC42" s="16"/>
      <c r="DED42" s="16"/>
      <c r="DEE42" s="16"/>
      <c r="DEF42" s="16"/>
      <c r="DEG42" s="16"/>
      <c r="DEH42" s="16"/>
      <c r="DEI42" s="16"/>
      <c r="DEJ42" s="16"/>
      <c r="DEK42" s="16"/>
      <c r="DEL42" s="16"/>
      <c r="DEM42" s="16"/>
      <c r="DEN42" s="16"/>
      <c r="DEO42" s="16"/>
      <c r="DEP42" s="16"/>
      <c r="DEQ42" s="16"/>
      <c r="DER42" s="16"/>
      <c r="DES42" s="16"/>
      <c r="DET42" s="16"/>
      <c r="DEU42" s="16"/>
      <c r="DEV42" s="16"/>
      <c r="DEW42" s="16"/>
      <c r="DEX42" s="16"/>
      <c r="DEY42" s="16"/>
      <c r="DEZ42" s="16"/>
      <c r="DFA42" s="16"/>
      <c r="DFB42" s="16"/>
      <c r="DFC42" s="16"/>
      <c r="DFD42" s="16"/>
      <c r="DFE42" s="16"/>
      <c r="DFF42" s="16"/>
      <c r="DFG42" s="16"/>
      <c r="DFH42" s="16"/>
      <c r="DFI42" s="16"/>
      <c r="DFJ42" s="16"/>
      <c r="DFK42" s="16"/>
      <c r="DFL42" s="16"/>
      <c r="DFM42" s="16"/>
      <c r="DFN42" s="16"/>
      <c r="DFO42" s="16"/>
      <c r="DFP42" s="16"/>
      <c r="DFQ42" s="16"/>
      <c r="DFR42" s="16"/>
      <c r="DFS42" s="16"/>
      <c r="DFT42" s="16"/>
      <c r="DFU42" s="16"/>
      <c r="DFV42" s="16"/>
      <c r="DFW42" s="16"/>
      <c r="DFX42" s="16"/>
      <c r="DFY42" s="16"/>
      <c r="DFZ42" s="16"/>
      <c r="DGA42" s="16"/>
      <c r="DGB42" s="16"/>
      <c r="DGC42" s="16"/>
      <c r="DGD42" s="16"/>
      <c r="DGE42" s="16"/>
      <c r="DGF42" s="16"/>
      <c r="DGG42" s="16"/>
      <c r="DGH42" s="16"/>
      <c r="DGI42" s="16"/>
      <c r="DGJ42" s="16"/>
      <c r="DGK42" s="16"/>
      <c r="DGL42" s="16"/>
      <c r="DGM42" s="16"/>
      <c r="DGN42" s="16"/>
      <c r="DGO42" s="16"/>
      <c r="DGP42" s="16"/>
      <c r="DGQ42" s="16"/>
      <c r="DGR42" s="16"/>
      <c r="DGS42" s="16"/>
      <c r="DGT42" s="16"/>
      <c r="DGU42" s="16"/>
      <c r="DGV42" s="16"/>
      <c r="DGW42" s="16"/>
      <c r="DGX42" s="16"/>
      <c r="DGY42" s="16"/>
      <c r="DGZ42" s="16"/>
      <c r="DHA42" s="16"/>
      <c r="DHB42" s="16"/>
      <c r="DHC42" s="16"/>
      <c r="DHD42" s="16"/>
      <c r="DHE42" s="16"/>
      <c r="DHF42" s="16"/>
      <c r="DHG42" s="16"/>
      <c r="DHH42" s="16"/>
      <c r="DHI42" s="16"/>
      <c r="DHJ42" s="16"/>
      <c r="DHK42" s="16"/>
      <c r="DHL42" s="16"/>
      <c r="DHM42" s="16"/>
      <c r="DHN42" s="16"/>
      <c r="DHO42" s="16"/>
      <c r="DHP42" s="16"/>
      <c r="DHQ42" s="16"/>
      <c r="DHR42" s="16"/>
      <c r="DHS42" s="16"/>
      <c r="DHT42" s="16"/>
      <c r="DHU42" s="16"/>
      <c r="DHV42" s="16"/>
      <c r="DHW42" s="16"/>
      <c r="DHX42" s="16"/>
      <c r="DHY42" s="16"/>
      <c r="DHZ42" s="16"/>
      <c r="DIA42" s="16"/>
      <c r="DIB42" s="16"/>
      <c r="DIC42" s="16"/>
      <c r="DID42" s="16"/>
      <c r="DIE42" s="16"/>
      <c r="DIF42" s="16"/>
      <c r="DIG42" s="16"/>
      <c r="DIH42" s="16"/>
      <c r="DII42" s="16"/>
      <c r="DIJ42" s="16"/>
      <c r="DIK42" s="16"/>
      <c r="DIL42" s="16"/>
      <c r="DIM42" s="16"/>
      <c r="DIN42" s="16"/>
      <c r="DIO42" s="16"/>
      <c r="DIP42" s="16"/>
      <c r="DIQ42" s="16"/>
      <c r="DIR42" s="16"/>
      <c r="DIS42" s="16"/>
      <c r="DIT42" s="16"/>
      <c r="DIU42" s="16"/>
      <c r="DIV42" s="16"/>
      <c r="DIW42" s="16"/>
      <c r="DIX42" s="16"/>
      <c r="DIY42" s="16"/>
      <c r="DIZ42" s="16"/>
      <c r="DJA42" s="16"/>
      <c r="DJB42" s="16"/>
      <c r="DJC42" s="16"/>
      <c r="DJD42" s="16"/>
      <c r="DJE42" s="16"/>
      <c r="DJF42" s="16"/>
      <c r="DJG42" s="16"/>
      <c r="DJH42" s="16"/>
      <c r="DJI42" s="16"/>
      <c r="DJJ42" s="16"/>
      <c r="DJK42" s="16"/>
      <c r="DJL42" s="16"/>
      <c r="DJM42" s="16"/>
      <c r="DJN42" s="16"/>
      <c r="DJO42" s="16"/>
      <c r="DJP42" s="16"/>
      <c r="DJQ42" s="16"/>
      <c r="DJR42" s="16"/>
      <c r="DJS42" s="16"/>
      <c r="DJT42" s="16"/>
      <c r="DJU42" s="16"/>
      <c r="DJV42" s="16"/>
      <c r="DJW42" s="16"/>
      <c r="DJX42" s="16"/>
      <c r="DJY42" s="16"/>
      <c r="DJZ42" s="16"/>
      <c r="DKA42" s="16"/>
      <c r="DKB42" s="16"/>
      <c r="DKC42" s="16"/>
      <c r="DKD42" s="16"/>
      <c r="DKE42" s="16"/>
      <c r="DKF42" s="16"/>
      <c r="DKG42" s="16"/>
      <c r="DKH42" s="16"/>
      <c r="DKI42" s="16"/>
      <c r="DKJ42" s="16"/>
      <c r="DKK42" s="16"/>
      <c r="DKL42" s="16"/>
      <c r="DKM42" s="16"/>
      <c r="DKN42" s="16"/>
      <c r="DKO42" s="16"/>
      <c r="DKP42" s="16"/>
      <c r="DKQ42" s="16"/>
      <c r="DKR42" s="16"/>
      <c r="DKS42" s="16"/>
      <c r="DKT42" s="16"/>
      <c r="DKU42" s="16"/>
      <c r="DKV42" s="16"/>
      <c r="DKW42" s="16"/>
      <c r="DKX42" s="16"/>
      <c r="DKY42" s="16"/>
      <c r="DKZ42" s="16"/>
      <c r="DLA42" s="16"/>
      <c r="DLB42" s="16"/>
      <c r="DLC42" s="16"/>
      <c r="DLD42" s="16"/>
      <c r="DLE42" s="16"/>
      <c r="DLF42" s="16"/>
      <c r="DLG42" s="16"/>
      <c r="DLH42" s="16"/>
      <c r="DLI42" s="16"/>
      <c r="DLJ42" s="16"/>
      <c r="DLK42" s="16"/>
      <c r="DLL42" s="16"/>
      <c r="DLM42" s="16"/>
      <c r="DLN42" s="16"/>
      <c r="DLO42" s="16"/>
      <c r="DLP42" s="16"/>
      <c r="DLQ42" s="16"/>
      <c r="DLR42" s="16"/>
      <c r="DLS42" s="16"/>
      <c r="DLT42" s="16"/>
      <c r="DLU42" s="16"/>
      <c r="DLV42" s="16"/>
      <c r="DLW42" s="16"/>
      <c r="DLX42" s="16"/>
      <c r="DLY42" s="16"/>
      <c r="DLZ42" s="16"/>
      <c r="DMA42" s="16"/>
      <c r="DMB42" s="16"/>
      <c r="DMC42" s="16"/>
      <c r="DMD42" s="16"/>
      <c r="DME42" s="16"/>
      <c r="DMF42" s="16"/>
      <c r="DMG42" s="16"/>
      <c r="DMH42" s="16"/>
      <c r="DMI42" s="16"/>
      <c r="DMJ42" s="16"/>
      <c r="DMK42" s="16"/>
      <c r="DML42" s="16"/>
      <c r="DMM42" s="16"/>
      <c r="DMN42" s="16"/>
      <c r="DMO42" s="16"/>
      <c r="DMP42" s="16"/>
      <c r="DMQ42" s="16"/>
      <c r="DMR42" s="16"/>
      <c r="DMS42" s="16"/>
      <c r="DMT42" s="16"/>
      <c r="DMU42" s="16"/>
      <c r="DMV42" s="16"/>
      <c r="DMW42" s="16"/>
      <c r="DMX42" s="16"/>
      <c r="DMY42" s="16"/>
      <c r="DMZ42" s="16"/>
      <c r="DNA42" s="16"/>
      <c r="DNB42" s="16"/>
      <c r="DNC42" s="16"/>
      <c r="DND42" s="16"/>
      <c r="DNE42" s="16"/>
      <c r="DNF42" s="16"/>
      <c r="DNG42" s="16"/>
      <c r="DNH42" s="16"/>
      <c r="DNI42" s="16"/>
      <c r="DNJ42" s="16"/>
      <c r="DNK42" s="16"/>
      <c r="DNL42" s="16"/>
      <c r="DNM42" s="16"/>
      <c r="DNN42" s="16"/>
      <c r="DNO42" s="16"/>
      <c r="DNP42" s="16"/>
      <c r="DNQ42" s="16"/>
      <c r="DNR42" s="16"/>
      <c r="DNS42" s="16"/>
      <c r="DNT42" s="16"/>
      <c r="DNU42" s="16"/>
      <c r="DNV42" s="16"/>
      <c r="DNW42" s="16"/>
      <c r="DNX42" s="16"/>
      <c r="DNY42" s="16"/>
      <c r="DNZ42" s="16"/>
      <c r="DOA42" s="16"/>
      <c r="DOB42" s="16"/>
      <c r="DOC42" s="16"/>
      <c r="DOD42" s="16"/>
      <c r="DOE42" s="16"/>
      <c r="DOF42" s="16"/>
      <c r="DOG42" s="16"/>
      <c r="DOH42" s="16"/>
      <c r="DOI42" s="16"/>
      <c r="DOJ42" s="16"/>
      <c r="DOK42" s="16"/>
      <c r="DOL42" s="16"/>
      <c r="DOM42" s="16"/>
      <c r="DON42" s="16"/>
      <c r="DOO42" s="16"/>
      <c r="DOP42" s="16"/>
      <c r="DOQ42" s="16"/>
      <c r="DOR42" s="16"/>
      <c r="DOS42" s="16"/>
      <c r="DOT42" s="16"/>
      <c r="DOU42" s="16"/>
      <c r="DOV42" s="16"/>
      <c r="DOW42" s="16"/>
      <c r="DOX42" s="16"/>
      <c r="DOY42" s="16"/>
      <c r="DOZ42" s="16"/>
      <c r="DPA42" s="16"/>
      <c r="DPB42" s="16"/>
      <c r="DPC42" s="16"/>
      <c r="DPD42" s="16"/>
      <c r="DPE42" s="16"/>
      <c r="DPF42" s="16"/>
      <c r="DPG42" s="16"/>
      <c r="DPH42" s="16"/>
      <c r="DPI42" s="16"/>
      <c r="DPJ42" s="16"/>
      <c r="DPK42" s="16"/>
      <c r="DPL42" s="16"/>
      <c r="DPM42" s="16"/>
      <c r="DPN42" s="16"/>
      <c r="DPO42" s="16"/>
      <c r="DPP42" s="16"/>
      <c r="DPQ42" s="16"/>
      <c r="DPR42" s="16"/>
      <c r="DPS42" s="16"/>
      <c r="DPT42" s="16"/>
      <c r="DPU42" s="16"/>
      <c r="DPV42" s="16"/>
      <c r="DPW42" s="16"/>
      <c r="DPX42" s="16"/>
      <c r="DPY42" s="16"/>
      <c r="DPZ42" s="16"/>
      <c r="DQA42" s="16"/>
      <c r="DQB42" s="16"/>
      <c r="DQC42" s="16"/>
      <c r="DQD42" s="16"/>
      <c r="DQE42" s="16"/>
      <c r="DQF42" s="16"/>
      <c r="DQG42" s="16"/>
      <c r="DQH42" s="16"/>
      <c r="DQI42" s="16"/>
      <c r="DQJ42" s="16"/>
      <c r="DQK42" s="16"/>
      <c r="DQL42" s="16"/>
      <c r="DQM42" s="16"/>
      <c r="DQN42" s="16"/>
      <c r="DQO42" s="16"/>
      <c r="DQP42" s="16"/>
      <c r="DQQ42" s="16"/>
      <c r="DQR42" s="16"/>
      <c r="DQS42" s="16"/>
      <c r="DQT42" s="16"/>
      <c r="DQU42" s="16"/>
      <c r="DQV42" s="16"/>
      <c r="DQW42" s="16"/>
      <c r="DQX42" s="16"/>
      <c r="DQY42" s="16"/>
      <c r="DQZ42" s="16"/>
      <c r="DRA42" s="16"/>
      <c r="DRB42" s="16"/>
      <c r="DRC42" s="16"/>
      <c r="DRD42" s="16"/>
      <c r="DRE42" s="16"/>
      <c r="DRF42" s="16"/>
      <c r="DRG42" s="16"/>
      <c r="DRH42" s="16"/>
      <c r="DRI42" s="16"/>
      <c r="DRJ42" s="16"/>
      <c r="DRK42" s="16"/>
      <c r="DRL42" s="16"/>
      <c r="DRM42" s="16"/>
      <c r="DRN42" s="16"/>
      <c r="DRO42" s="16"/>
      <c r="DRP42" s="16"/>
      <c r="DRQ42" s="16"/>
      <c r="DRR42" s="16"/>
      <c r="DRS42" s="16"/>
      <c r="DRT42" s="16"/>
      <c r="DRU42" s="16"/>
      <c r="DRV42" s="16"/>
      <c r="DRW42" s="16"/>
      <c r="DRX42" s="16"/>
      <c r="DRY42" s="16"/>
      <c r="DRZ42" s="16"/>
      <c r="DSA42" s="16"/>
      <c r="DSB42" s="16"/>
      <c r="DSC42" s="16"/>
      <c r="DSD42" s="16"/>
      <c r="DSE42" s="16"/>
      <c r="DSF42" s="16"/>
      <c r="DSG42" s="16"/>
      <c r="DSH42" s="16"/>
      <c r="DSI42" s="16"/>
      <c r="DSJ42" s="16"/>
      <c r="DSK42" s="16"/>
      <c r="DSL42" s="16"/>
      <c r="DSM42" s="16"/>
      <c r="DSN42" s="16"/>
      <c r="DSO42" s="16"/>
      <c r="DSP42" s="16"/>
      <c r="DSQ42" s="16"/>
      <c r="DSR42" s="16"/>
      <c r="DSS42" s="16"/>
      <c r="DST42" s="16"/>
      <c r="DSU42" s="16"/>
      <c r="DSV42" s="16"/>
      <c r="DSW42" s="16"/>
      <c r="DSX42" s="16"/>
      <c r="DSY42" s="16"/>
      <c r="DSZ42" s="16"/>
      <c r="DTA42" s="16"/>
      <c r="DTB42" s="16"/>
      <c r="DTC42" s="16"/>
      <c r="DTD42" s="16"/>
      <c r="DTE42" s="16"/>
      <c r="DTF42" s="16"/>
      <c r="DTG42" s="16"/>
      <c r="DTH42" s="16"/>
      <c r="DTI42" s="16"/>
      <c r="DTJ42" s="16"/>
      <c r="DTK42" s="16"/>
      <c r="DTL42" s="16"/>
      <c r="DTM42" s="16"/>
      <c r="DTN42" s="16"/>
      <c r="DTO42" s="16"/>
      <c r="DTP42" s="16"/>
      <c r="DTQ42" s="16"/>
      <c r="DTR42" s="16"/>
      <c r="DTS42" s="16"/>
      <c r="DTT42" s="16"/>
      <c r="DTU42" s="16"/>
      <c r="DTV42" s="16"/>
      <c r="DTW42" s="16"/>
      <c r="DTX42" s="16"/>
      <c r="DTY42" s="16"/>
      <c r="DTZ42" s="16"/>
      <c r="DUA42" s="16"/>
      <c r="DUB42" s="16"/>
      <c r="DUC42" s="16"/>
      <c r="DUD42" s="16"/>
      <c r="DUE42" s="16"/>
      <c r="DUF42" s="16"/>
      <c r="DUG42" s="16"/>
      <c r="DUH42" s="16"/>
      <c r="DUI42" s="16"/>
      <c r="DUJ42" s="16"/>
      <c r="DUK42" s="16"/>
      <c r="DUL42" s="16"/>
      <c r="DUM42" s="16"/>
      <c r="DUN42" s="16"/>
      <c r="DUO42" s="16"/>
      <c r="DUP42" s="16"/>
      <c r="DUQ42" s="16"/>
      <c r="DUR42" s="16"/>
      <c r="DUS42" s="16"/>
      <c r="DUT42" s="16"/>
      <c r="DUU42" s="16"/>
      <c r="DUV42" s="16"/>
      <c r="DUW42" s="16"/>
      <c r="DUX42" s="16"/>
      <c r="DUY42" s="16"/>
      <c r="DUZ42" s="16"/>
      <c r="DVA42" s="16"/>
      <c r="DVB42" s="16"/>
      <c r="DVC42" s="16"/>
      <c r="DVD42" s="16"/>
      <c r="DVE42" s="16"/>
      <c r="DVF42" s="16"/>
      <c r="DVG42" s="16"/>
      <c r="DVH42" s="16"/>
      <c r="DVI42" s="16"/>
      <c r="DVJ42" s="16"/>
      <c r="DVK42" s="16"/>
      <c r="DVL42" s="16"/>
      <c r="DVM42" s="16"/>
      <c r="DVN42" s="16"/>
      <c r="DVO42" s="16"/>
      <c r="DVP42" s="16"/>
      <c r="DVQ42" s="16"/>
      <c r="DVR42" s="16"/>
      <c r="DVS42" s="16"/>
      <c r="DVT42" s="16"/>
      <c r="DVU42" s="16"/>
      <c r="DVV42" s="16"/>
      <c r="DVW42" s="16"/>
      <c r="DVX42" s="16"/>
      <c r="DVY42" s="16"/>
      <c r="DVZ42" s="16"/>
      <c r="DWA42" s="16"/>
      <c r="DWB42" s="16"/>
      <c r="DWC42" s="16"/>
      <c r="DWD42" s="16"/>
      <c r="DWE42" s="16"/>
      <c r="DWF42" s="16"/>
      <c r="DWG42" s="16"/>
      <c r="DWH42" s="16"/>
      <c r="DWI42" s="16"/>
      <c r="DWJ42" s="16"/>
      <c r="DWK42" s="16"/>
      <c r="DWL42" s="16"/>
      <c r="DWM42" s="16"/>
      <c r="DWN42" s="16"/>
      <c r="DWO42" s="16"/>
      <c r="DWP42" s="16"/>
      <c r="DWQ42" s="16"/>
      <c r="DWR42" s="16"/>
      <c r="DWS42" s="16"/>
      <c r="DWT42" s="16"/>
      <c r="DWU42" s="16"/>
      <c r="DWV42" s="16"/>
      <c r="DWW42" s="16"/>
      <c r="DWX42" s="16"/>
      <c r="DWY42" s="16"/>
      <c r="DWZ42" s="16"/>
      <c r="DXA42" s="16"/>
      <c r="DXB42" s="16"/>
      <c r="DXC42" s="16"/>
      <c r="DXD42" s="16"/>
      <c r="DXE42" s="16"/>
      <c r="DXF42" s="16"/>
      <c r="DXG42" s="16"/>
      <c r="DXH42" s="16"/>
      <c r="DXI42" s="16"/>
      <c r="DXJ42" s="16"/>
      <c r="DXK42" s="16"/>
      <c r="DXL42" s="16"/>
      <c r="DXM42" s="16"/>
      <c r="DXN42" s="16"/>
      <c r="DXO42" s="16"/>
      <c r="DXP42" s="16"/>
      <c r="DXQ42" s="16"/>
      <c r="DXR42" s="16"/>
      <c r="DXS42" s="16"/>
      <c r="DXT42" s="16"/>
      <c r="DXU42" s="16"/>
      <c r="DXV42" s="16"/>
      <c r="DXW42" s="16"/>
      <c r="DXX42" s="16"/>
      <c r="DXY42" s="16"/>
      <c r="DXZ42" s="16"/>
      <c r="DYA42" s="16"/>
      <c r="DYB42" s="16"/>
      <c r="DYC42" s="16"/>
      <c r="DYD42" s="16"/>
      <c r="DYE42" s="16"/>
      <c r="DYF42" s="16"/>
      <c r="DYG42" s="16"/>
      <c r="DYH42" s="16"/>
      <c r="DYI42" s="16"/>
      <c r="DYJ42" s="16"/>
      <c r="DYK42" s="16"/>
      <c r="DYL42" s="16"/>
      <c r="DYM42" s="16"/>
      <c r="DYN42" s="16"/>
      <c r="DYO42" s="16"/>
      <c r="DYP42" s="16"/>
      <c r="DYQ42" s="16"/>
      <c r="DYR42" s="16"/>
      <c r="DYS42" s="16"/>
      <c r="DYT42" s="16"/>
      <c r="DYU42" s="16"/>
      <c r="DYV42" s="16"/>
      <c r="DYW42" s="16"/>
      <c r="DYX42" s="16"/>
      <c r="DYY42" s="16"/>
      <c r="DYZ42" s="16"/>
      <c r="DZA42" s="16"/>
      <c r="DZB42" s="16"/>
      <c r="DZC42" s="16"/>
      <c r="DZD42" s="16"/>
      <c r="DZE42" s="16"/>
      <c r="DZF42" s="16"/>
      <c r="DZG42" s="16"/>
      <c r="DZH42" s="16"/>
      <c r="DZI42" s="16"/>
      <c r="DZJ42" s="16"/>
      <c r="DZK42" s="16"/>
      <c r="DZL42" s="16"/>
      <c r="DZM42" s="16"/>
      <c r="DZN42" s="16"/>
      <c r="DZO42" s="16"/>
      <c r="DZP42" s="16"/>
      <c r="DZQ42" s="16"/>
      <c r="DZR42" s="16"/>
      <c r="DZS42" s="16"/>
      <c r="DZT42" s="16"/>
      <c r="DZU42" s="16"/>
      <c r="DZV42" s="16"/>
      <c r="DZW42" s="16"/>
      <c r="DZX42" s="16"/>
      <c r="DZY42" s="16"/>
      <c r="DZZ42" s="16"/>
      <c r="EAA42" s="16"/>
      <c r="EAB42" s="16"/>
      <c r="EAC42" s="16"/>
      <c r="EAD42" s="16"/>
      <c r="EAE42" s="16"/>
      <c r="EAF42" s="16"/>
      <c r="EAG42" s="16"/>
      <c r="EAH42" s="16"/>
      <c r="EAI42" s="16"/>
      <c r="EAJ42" s="16"/>
      <c r="EAK42" s="16"/>
      <c r="EAL42" s="16"/>
      <c r="EAM42" s="16"/>
      <c r="EAN42" s="16"/>
      <c r="EAO42" s="16"/>
      <c r="EAP42" s="16"/>
      <c r="EAQ42" s="16"/>
      <c r="EAR42" s="16"/>
      <c r="EAS42" s="16"/>
      <c r="EAT42" s="16"/>
      <c r="EAU42" s="16"/>
      <c r="EAV42" s="16"/>
      <c r="EAW42" s="16"/>
      <c r="EAX42" s="16"/>
      <c r="EAY42" s="16"/>
      <c r="EAZ42" s="16"/>
      <c r="EBA42" s="16"/>
      <c r="EBB42" s="16"/>
      <c r="EBC42" s="16"/>
      <c r="EBD42" s="16"/>
      <c r="EBE42" s="16"/>
      <c r="EBF42" s="16"/>
      <c r="EBG42" s="16"/>
      <c r="EBH42" s="16"/>
      <c r="EBI42" s="16"/>
      <c r="EBJ42" s="16"/>
      <c r="EBK42" s="16"/>
      <c r="EBL42" s="16"/>
      <c r="EBM42" s="16"/>
      <c r="EBN42" s="16"/>
      <c r="EBO42" s="16"/>
      <c r="EBP42" s="16"/>
      <c r="EBQ42" s="16"/>
      <c r="EBR42" s="16"/>
      <c r="EBS42" s="16"/>
      <c r="EBT42" s="16"/>
      <c r="EBU42" s="16"/>
      <c r="EBV42" s="16"/>
      <c r="EBW42" s="16"/>
      <c r="EBX42" s="16"/>
      <c r="EBY42" s="16"/>
      <c r="EBZ42" s="16"/>
      <c r="ECA42" s="16"/>
      <c r="ECB42" s="16"/>
      <c r="ECC42" s="16"/>
      <c r="ECD42" s="16"/>
      <c r="ECE42" s="16"/>
      <c r="ECF42" s="16"/>
      <c r="ECG42" s="16"/>
      <c r="ECH42" s="16"/>
      <c r="ECI42" s="16"/>
      <c r="ECJ42" s="16"/>
      <c r="ECK42" s="16"/>
      <c r="ECL42" s="16"/>
      <c r="ECM42" s="16"/>
      <c r="ECN42" s="16"/>
      <c r="ECO42" s="16"/>
      <c r="ECP42" s="16"/>
      <c r="ECQ42" s="16"/>
      <c r="ECR42" s="16"/>
      <c r="ECS42" s="16"/>
      <c r="ECT42" s="16"/>
      <c r="ECU42" s="16"/>
      <c r="ECV42" s="16"/>
      <c r="ECW42" s="16"/>
      <c r="ECX42" s="16"/>
      <c r="ECY42" s="16"/>
      <c r="ECZ42" s="16"/>
      <c r="EDA42" s="16"/>
      <c r="EDB42" s="16"/>
      <c r="EDC42" s="16"/>
      <c r="EDD42" s="16"/>
      <c r="EDE42" s="16"/>
      <c r="EDF42" s="16"/>
      <c r="EDG42" s="16"/>
      <c r="EDH42" s="16"/>
      <c r="EDI42" s="16"/>
      <c r="EDJ42" s="16"/>
      <c r="EDK42" s="16"/>
      <c r="EDL42" s="16"/>
      <c r="EDM42" s="16"/>
      <c r="EDN42" s="16"/>
      <c r="EDO42" s="16"/>
      <c r="EDP42" s="16"/>
      <c r="EDQ42" s="16"/>
      <c r="EDR42" s="16"/>
      <c r="EDS42" s="16"/>
      <c r="EDT42" s="16"/>
      <c r="EDU42" s="16"/>
      <c r="EDV42" s="16"/>
      <c r="EDW42" s="16"/>
      <c r="EDX42" s="16"/>
      <c r="EDY42" s="16"/>
      <c r="EDZ42" s="16"/>
      <c r="EEA42" s="16"/>
      <c r="EEB42" s="16"/>
      <c r="EEC42" s="16"/>
      <c r="EED42" s="16"/>
      <c r="EEE42" s="16"/>
      <c r="EEF42" s="16"/>
      <c r="EEG42" s="16"/>
      <c r="EEH42" s="16"/>
      <c r="EEI42" s="16"/>
      <c r="EEJ42" s="16"/>
      <c r="EEK42" s="16"/>
      <c r="EEL42" s="16"/>
      <c r="EEM42" s="16"/>
      <c r="EEN42" s="16"/>
      <c r="EEO42" s="16"/>
      <c r="EEP42" s="16"/>
      <c r="EEQ42" s="16"/>
      <c r="EER42" s="16"/>
      <c r="EES42" s="16"/>
      <c r="EET42" s="16"/>
      <c r="EEU42" s="16"/>
      <c r="EEV42" s="16"/>
      <c r="EEW42" s="16"/>
      <c r="EEX42" s="16"/>
      <c r="EEY42" s="16"/>
      <c r="EEZ42" s="16"/>
      <c r="EFA42" s="16"/>
      <c r="EFB42" s="16"/>
      <c r="EFC42" s="16"/>
      <c r="EFD42" s="16"/>
      <c r="EFE42" s="16"/>
      <c r="EFF42" s="16"/>
      <c r="EFG42" s="16"/>
      <c r="EFH42" s="16"/>
      <c r="EFI42" s="16"/>
      <c r="EFJ42" s="16"/>
      <c r="EFK42" s="16"/>
      <c r="EFL42" s="16"/>
      <c r="EFM42" s="16"/>
      <c r="EFN42" s="16"/>
      <c r="EFO42" s="16"/>
      <c r="EFP42" s="16"/>
      <c r="EFQ42" s="16"/>
      <c r="EFR42" s="16"/>
      <c r="EFS42" s="16"/>
      <c r="EFT42" s="16"/>
      <c r="EFU42" s="16"/>
      <c r="EFV42" s="16"/>
      <c r="EFW42" s="16"/>
      <c r="EFX42" s="16"/>
      <c r="EFY42" s="16"/>
      <c r="EFZ42" s="16"/>
      <c r="EGA42" s="16"/>
      <c r="EGB42" s="16"/>
      <c r="EGC42" s="16"/>
      <c r="EGD42" s="16"/>
      <c r="EGE42" s="16"/>
      <c r="EGF42" s="16"/>
      <c r="EGG42" s="16"/>
      <c r="EGH42" s="16"/>
      <c r="EGI42" s="16"/>
      <c r="EGJ42" s="16"/>
      <c r="EGK42" s="16"/>
      <c r="EGL42" s="16"/>
      <c r="EGM42" s="16"/>
      <c r="EGN42" s="16"/>
      <c r="EGO42" s="16"/>
      <c r="EGP42" s="16"/>
      <c r="EGQ42" s="16"/>
      <c r="EGR42" s="16"/>
      <c r="EGS42" s="16"/>
      <c r="EGT42" s="16"/>
      <c r="EGU42" s="16"/>
      <c r="EGV42" s="16"/>
      <c r="EGW42" s="16"/>
      <c r="EGX42" s="16"/>
      <c r="EGY42" s="16"/>
      <c r="EGZ42" s="16"/>
      <c r="EHA42" s="16"/>
      <c r="EHB42" s="16"/>
      <c r="EHC42" s="16"/>
      <c r="EHD42" s="16"/>
      <c r="EHE42" s="16"/>
      <c r="EHF42" s="16"/>
      <c r="EHG42" s="16"/>
      <c r="EHH42" s="16"/>
      <c r="EHI42" s="16"/>
      <c r="EHJ42" s="16"/>
      <c r="EHK42" s="16"/>
      <c r="EHL42" s="16"/>
      <c r="EHM42" s="16"/>
      <c r="EHN42" s="16"/>
      <c r="EHO42" s="16"/>
      <c r="EHP42" s="16"/>
      <c r="EHQ42" s="16"/>
      <c r="EHR42" s="16"/>
      <c r="EHS42" s="16"/>
      <c r="EHT42" s="16"/>
      <c r="EHU42" s="16"/>
      <c r="EHV42" s="16"/>
      <c r="EHW42" s="16"/>
      <c r="EHX42" s="16"/>
      <c r="EHY42" s="16"/>
      <c r="EHZ42" s="16"/>
      <c r="EIA42" s="16"/>
      <c r="EIB42" s="16"/>
      <c r="EIC42" s="16"/>
      <c r="EID42" s="16"/>
      <c r="EIE42" s="16"/>
      <c r="EIF42" s="16"/>
      <c r="EIG42" s="16"/>
      <c r="EIH42" s="16"/>
      <c r="EII42" s="16"/>
      <c r="EIJ42" s="16"/>
      <c r="EIK42" s="16"/>
      <c r="EIL42" s="16"/>
      <c r="EIM42" s="16"/>
      <c r="EIN42" s="16"/>
      <c r="EIO42" s="16"/>
      <c r="EIP42" s="16"/>
      <c r="EIQ42" s="16"/>
      <c r="EIR42" s="16"/>
      <c r="EIS42" s="16"/>
      <c r="EIT42" s="16"/>
      <c r="EIU42" s="16"/>
      <c r="EIV42" s="16"/>
      <c r="EIW42" s="16"/>
      <c r="EIX42" s="16"/>
      <c r="EIY42" s="16"/>
      <c r="EIZ42" s="16"/>
      <c r="EJA42" s="16"/>
      <c r="EJB42" s="16"/>
      <c r="EJC42" s="16"/>
      <c r="EJD42" s="16"/>
      <c r="EJE42" s="16"/>
      <c r="EJF42" s="16"/>
      <c r="EJG42" s="16"/>
      <c r="EJH42" s="16"/>
      <c r="EJI42" s="16"/>
      <c r="EJJ42" s="16"/>
      <c r="EJK42" s="16"/>
      <c r="EJL42" s="16"/>
      <c r="EJM42" s="16"/>
      <c r="EJN42" s="16"/>
      <c r="EJO42" s="16"/>
      <c r="EJP42" s="16"/>
      <c r="EJQ42" s="16"/>
      <c r="EJR42" s="16"/>
      <c r="EJS42" s="16"/>
      <c r="EJT42" s="16"/>
      <c r="EJU42" s="16"/>
      <c r="EJV42" s="16"/>
      <c r="EJW42" s="16"/>
      <c r="EJX42" s="16"/>
      <c r="EJY42" s="16"/>
      <c r="EJZ42" s="16"/>
      <c r="EKA42" s="16"/>
      <c r="EKB42" s="16"/>
      <c r="EKC42" s="16"/>
      <c r="EKD42" s="16"/>
      <c r="EKE42" s="16"/>
      <c r="EKF42" s="16"/>
      <c r="EKG42" s="16"/>
      <c r="EKH42" s="16"/>
      <c r="EKI42" s="16"/>
      <c r="EKJ42" s="16"/>
      <c r="EKK42" s="16"/>
      <c r="EKL42" s="16"/>
      <c r="EKM42" s="16"/>
      <c r="EKN42" s="16"/>
      <c r="EKO42" s="16"/>
      <c r="EKP42" s="16"/>
      <c r="EKQ42" s="16"/>
      <c r="EKR42" s="16"/>
      <c r="EKS42" s="16"/>
      <c r="EKT42" s="16"/>
      <c r="EKU42" s="16"/>
      <c r="EKV42" s="16"/>
      <c r="EKW42" s="16"/>
      <c r="EKX42" s="16"/>
      <c r="EKY42" s="16"/>
      <c r="EKZ42" s="16"/>
      <c r="ELA42" s="16"/>
      <c r="ELB42" s="16"/>
      <c r="ELC42" s="16"/>
      <c r="ELD42" s="16"/>
      <c r="ELE42" s="16"/>
      <c r="ELF42" s="16"/>
      <c r="ELG42" s="16"/>
      <c r="ELH42" s="16"/>
      <c r="ELI42" s="16"/>
      <c r="ELJ42" s="16"/>
      <c r="ELK42" s="16"/>
      <c r="ELL42" s="16"/>
      <c r="ELM42" s="16"/>
      <c r="ELN42" s="16"/>
      <c r="ELO42" s="16"/>
      <c r="ELP42" s="16"/>
      <c r="ELQ42" s="16"/>
      <c r="ELR42" s="16"/>
      <c r="ELS42" s="16"/>
      <c r="ELT42" s="16"/>
      <c r="ELU42" s="16"/>
      <c r="ELV42" s="16"/>
      <c r="ELW42" s="16"/>
      <c r="ELX42" s="16"/>
      <c r="ELY42" s="16"/>
      <c r="ELZ42" s="16"/>
      <c r="EMA42" s="16"/>
      <c r="EMB42" s="16"/>
      <c r="EMC42" s="16"/>
      <c r="EMD42" s="16"/>
      <c r="EME42" s="16"/>
      <c r="EMF42" s="16"/>
      <c r="EMG42" s="16"/>
      <c r="EMH42" s="16"/>
      <c r="EMI42" s="16"/>
      <c r="EMJ42" s="16"/>
      <c r="EMK42" s="16"/>
      <c r="EML42" s="16"/>
      <c r="EMM42" s="16"/>
      <c r="EMN42" s="16"/>
      <c r="EMO42" s="16"/>
      <c r="EMP42" s="16"/>
      <c r="EMQ42" s="16"/>
      <c r="EMR42" s="16"/>
      <c r="EMS42" s="16"/>
      <c r="EMT42" s="16"/>
      <c r="EMU42" s="16"/>
      <c r="EMV42" s="16"/>
      <c r="EMW42" s="16"/>
      <c r="EMX42" s="16"/>
      <c r="EMY42" s="16"/>
      <c r="EMZ42" s="16"/>
      <c r="ENA42" s="16"/>
      <c r="ENB42" s="16"/>
      <c r="ENC42" s="16"/>
      <c r="END42" s="16"/>
      <c r="ENE42" s="16"/>
      <c r="ENF42" s="16"/>
      <c r="ENG42" s="16"/>
      <c r="ENH42" s="16"/>
      <c r="ENI42" s="16"/>
      <c r="ENJ42" s="16"/>
      <c r="ENK42" s="16"/>
      <c r="ENL42" s="16"/>
      <c r="ENM42" s="16"/>
      <c r="ENN42" s="16"/>
      <c r="ENO42" s="16"/>
      <c r="ENP42" s="16"/>
      <c r="ENQ42" s="16"/>
      <c r="ENR42" s="16"/>
      <c r="ENS42" s="16"/>
      <c r="ENT42" s="16"/>
      <c r="ENU42" s="16"/>
      <c r="ENV42" s="16"/>
      <c r="ENW42" s="16"/>
      <c r="ENX42" s="16"/>
      <c r="ENY42" s="16"/>
      <c r="ENZ42" s="16"/>
      <c r="EOA42" s="16"/>
      <c r="EOB42" s="16"/>
      <c r="EOC42" s="16"/>
      <c r="EOD42" s="16"/>
      <c r="EOE42" s="16"/>
      <c r="EOF42" s="16"/>
      <c r="EOG42" s="16"/>
      <c r="EOH42" s="16"/>
      <c r="EOI42" s="16"/>
      <c r="EOJ42" s="16"/>
      <c r="EOK42" s="16"/>
      <c r="EOL42" s="16"/>
      <c r="EOM42" s="16"/>
      <c r="EON42" s="16"/>
      <c r="EOO42" s="16"/>
      <c r="EOP42" s="16"/>
      <c r="EOQ42" s="16"/>
      <c r="EOR42" s="16"/>
      <c r="EOS42" s="16"/>
      <c r="EOT42" s="16"/>
      <c r="EOU42" s="16"/>
      <c r="EOV42" s="16"/>
      <c r="EOW42" s="16"/>
      <c r="EOX42" s="16"/>
      <c r="EOY42" s="16"/>
      <c r="EOZ42" s="16"/>
      <c r="EPA42" s="16"/>
      <c r="EPB42" s="16"/>
      <c r="EPC42" s="16"/>
      <c r="EPD42" s="16"/>
      <c r="EPE42" s="16"/>
      <c r="EPF42" s="16"/>
      <c r="EPG42" s="16"/>
      <c r="EPH42" s="16"/>
      <c r="EPI42" s="16"/>
      <c r="EPJ42" s="16"/>
      <c r="EPK42" s="16"/>
      <c r="EPL42" s="16"/>
      <c r="EPM42" s="16"/>
      <c r="EPN42" s="16"/>
      <c r="EPO42" s="16"/>
      <c r="EPP42" s="16"/>
      <c r="EPQ42" s="16"/>
      <c r="EPR42" s="16"/>
      <c r="EPS42" s="16"/>
      <c r="EPT42" s="16"/>
      <c r="EPU42" s="16"/>
      <c r="EPV42" s="16"/>
      <c r="EPW42" s="16"/>
      <c r="EPX42" s="16"/>
      <c r="EPY42" s="16"/>
      <c r="EPZ42" s="16"/>
      <c r="EQA42" s="16"/>
      <c r="EQB42" s="16"/>
      <c r="EQC42" s="16"/>
      <c r="EQD42" s="16"/>
      <c r="EQE42" s="16"/>
      <c r="EQF42" s="16"/>
      <c r="EQG42" s="16"/>
      <c r="EQH42" s="16"/>
      <c r="EQI42" s="16"/>
      <c r="EQJ42" s="16"/>
      <c r="EQK42" s="16"/>
      <c r="EQL42" s="16"/>
      <c r="EQM42" s="16"/>
      <c r="EQN42" s="16"/>
      <c r="EQO42" s="16"/>
      <c r="EQP42" s="16"/>
      <c r="EQQ42" s="16"/>
      <c r="EQR42" s="16"/>
      <c r="EQS42" s="16"/>
      <c r="EQT42" s="16"/>
      <c r="EQU42" s="16"/>
      <c r="EQV42" s="16"/>
      <c r="EQW42" s="16"/>
      <c r="EQX42" s="16"/>
      <c r="EQY42" s="16"/>
      <c r="EQZ42" s="16"/>
      <c r="ERA42" s="16"/>
      <c r="ERB42" s="16"/>
      <c r="ERC42" s="16"/>
      <c r="ERD42" s="16"/>
      <c r="ERE42" s="16"/>
      <c r="ERF42" s="16"/>
      <c r="ERG42" s="16"/>
      <c r="ERH42" s="16"/>
      <c r="ERI42" s="16"/>
      <c r="ERJ42" s="16"/>
      <c r="ERK42" s="16"/>
      <c r="ERL42" s="16"/>
      <c r="ERM42" s="16"/>
      <c r="ERN42" s="16"/>
      <c r="ERO42" s="16"/>
      <c r="ERP42" s="16"/>
      <c r="ERQ42" s="16"/>
      <c r="ERR42" s="16"/>
      <c r="ERS42" s="16"/>
      <c r="ERT42" s="16"/>
      <c r="ERU42" s="16"/>
      <c r="ERV42" s="16"/>
      <c r="ERW42" s="16"/>
      <c r="ERX42" s="16"/>
      <c r="ERY42" s="16"/>
      <c r="ERZ42" s="16"/>
      <c r="ESA42" s="16"/>
      <c r="ESB42" s="16"/>
      <c r="ESC42" s="16"/>
      <c r="ESD42" s="16"/>
      <c r="ESE42" s="16"/>
      <c r="ESF42" s="16"/>
      <c r="ESG42" s="16"/>
      <c r="ESH42" s="16"/>
      <c r="ESI42" s="16"/>
      <c r="ESJ42" s="16"/>
      <c r="ESK42" s="16"/>
      <c r="ESL42" s="16"/>
      <c r="ESM42" s="16"/>
      <c r="ESN42" s="16"/>
      <c r="ESO42" s="16"/>
      <c r="ESP42" s="16"/>
      <c r="ESQ42" s="16"/>
      <c r="ESR42" s="16"/>
      <c r="ESS42" s="16"/>
      <c r="EST42" s="16"/>
      <c r="ESU42" s="16"/>
      <c r="ESV42" s="16"/>
      <c r="ESW42" s="16"/>
      <c r="ESX42" s="16"/>
      <c r="ESY42" s="16"/>
      <c r="ESZ42" s="16"/>
      <c r="ETA42" s="16"/>
      <c r="ETB42" s="16"/>
      <c r="ETC42" s="16"/>
      <c r="ETD42" s="16"/>
      <c r="ETE42" s="16"/>
      <c r="ETF42" s="16"/>
      <c r="ETG42" s="16"/>
      <c r="ETH42" s="16"/>
      <c r="ETI42" s="16"/>
      <c r="ETJ42" s="16"/>
      <c r="ETK42" s="16"/>
      <c r="ETL42" s="16"/>
      <c r="ETM42" s="16"/>
      <c r="ETN42" s="16"/>
      <c r="ETO42" s="16"/>
      <c r="ETP42" s="16"/>
      <c r="ETQ42" s="16"/>
      <c r="ETR42" s="16"/>
      <c r="ETS42" s="16"/>
      <c r="ETT42" s="16"/>
      <c r="ETU42" s="16"/>
      <c r="ETV42" s="16"/>
      <c r="ETW42" s="16"/>
      <c r="ETX42" s="16"/>
      <c r="ETY42" s="16"/>
      <c r="ETZ42" s="16"/>
      <c r="EUA42" s="16"/>
      <c r="EUB42" s="16"/>
      <c r="EUC42" s="16"/>
      <c r="EUD42" s="16"/>
      <c r="EUE42" s="16"/>
      <c r="EUF42" s="16"/>
      <c r="EUG42" s="16"/>
      <c r="EUH42" s="16"/>
      <c r="EUI42" s="16"/>
      <c r="EUJ42" s="16"/>
      <c r="EUK42" s="16"/>
      <c r="EUL42" s="16"/>
      <c r="EUM42" s="16"/>
      <c r="EUN42" s="16"/>
      <c r="EUO42" s="16"/>
      <c r="EUP42" s="16"/>
      <c r="EUQ42" s="16"/>
      <c r="EUR42" s="16"/>
      <c r="EUS42" s="16"/>
      <c r="EUT42" s="16"/>
      <c r="EUU42" s="16"/>
      <c r="EUV42" s="16"/>
      <c r="EUW42" s="16"/>
      <c r="EUX42" s="16"/>
      <c r="EUY42" s="16"/>
      <c r="EUZ42" s="16"/>
      <c r="EVA42" s="16"/>
      <c r="EVB42" s="16"/>
      <c r="EVC42" s="16"/>
      <c r="EVD42" s="16"/>
      <c r="EVE42" s="16"/>
      <c r="EVF42" s="16"/>
      <c r="EVG42" s="16"/>
      <c r="EVH42" s="16"/>
      <c r="EVI42" s="16"/>
      <c r="EVJ42" s="16"/>
      <c r="EVK42" s="16"/>
      <c r="EVL42" s="16"/>
      <c r="EVM42" s="16"/>
      <c r="EVN42" s="16"/>
      <c r="EVO42" s="16"/>
      <c r="EVP42" s="16"/>
      <c r="EVQ42" s="16"/>
      <c r="EVR42" s="16"/>
      <c r="EVS42" s="16"/>
      <c r="EVT42" s="16"/>
      <c r="EVU42" s="16"/>
      <c r="EVV42" s="16"/>
      <c r="EVW42" s="16"/>
      <c r="EVX42" s="16"/>
      <c r="EVY42" s="16"/>
      <c r="EVZ42" s="16"/>
      <c r="EWA42" s="16"/>
      <c r="EWB42" s="16"/>
      <c r="EWC42" s="16"/>
      <c r="EWD42" s="16"/>
      <c r="EWE42" s="16"/>
      <c r="EWF42" s="16"/>
      <c r="EWG42" s="16"/>
      <c r="EWH42" s="16"/>
      <c r="EWI42" s="16"/>
      <c r="EWJ42" s="16"/>
      <c r="EWK42" s="16"/>
      <c r="EWL42" s="16"/>
      <c r="EWM42" s="16"/>
      <c r="EWN42" s="16"/>
      <c r="EWO42" s="16"/>
      <c r="EWP42" s="16"/>
      <c r="EWQ42" s="16"/>
      <c r="EWR42" s="16"/>
      <c r="EWS42" s="16"/>
      <c r="EWT42" s="16"/>
      <c r="EWU42" s="16"/>
      <c r="EWV42" s="16"/>
      <c r="EWW42" s="16"/>
      <c r="EWX42" s="16"/>
      <c r="EWY42" s="16"/>
      <c r="EWZ42" s="16"/>
      <c r="EXA42" s="16"/>
      <c r="EXB42" s="16"/>
      <c r="EXC42" s="16"/>
      <c r="EXD42" s="16"/>
      <c r="EXE42" s="16"/>
      <c r="EXF42" s="16"/>
      <c r="EXG42" s="16"/>
      <c r="EXH42" s="16"/>
      <c r="EXI42" s="16"/>
      <c r="EXJ42" s="16"/>
      <c r="EXK42" s="16"/>
      <c r="EXL42" s="16"/>
      <c r="EXM42" s="16"/>
      <c r="EXN42" s="16"/>
      <c r="EXO42" s="16"/>
      <c r="EXP42" s="16"/>
      <c r="EXQ42" s="16"/>
      <c r="EXR42" s="16"/>
      <c r="EXS42" s="16"/>
      <c r="EXT42" s="16"/>
      <c r="EXU42" s="16"/>
      <c r="EXV42" s="16"/>
      <c r="EXW42" s="16"/>
      <c r="EXX42" s="16"/>
      <c r="EXY42" s="16"/>
      <c r="EXZ42" s="16"/>
      <c r="EYA42" s="16"/>
      <c r="EYB42" s="16"/>
      <c r="EYC42" s="16"/>
      <c r="EYD42" s="16"/>
      <c r="EYE42" s="16"/>
      <c r="EYF42" s="16"/>
      <c r="EYG42" s="16"/>
      <c r="EYH42" s="16"/>
      <c r="EYI42" s="16"/>
      <c r="EYJ42" s="16"/>
      <c r="EYK42" s="16"/>
      <c r="EYL42" s="16"/>
      <c r="EYM42" s="16"/>
      <c r="EYN42" s="16"/>
      <c r="EYO42" s="16"/>
      <c r="EYP42" s="16"/>
      <c r="EYQ42" s="16"/>
      <c r="EYR42" s="16"/>
      <c r="EYS42" s="16"/>
      <c r="EYT42" s="16"/>
      <c r="EYU42" s="16"/>
      <c r="EYV42" s="16"/>
      <c r="EYW42" s="16"/>
      <c r="EYX42" s="16"/>
      <c r="EYY42" s="16"/>
      <c r="EYZ42" s="16"/>
      <c r="EZA42" s="16"/>
      <c r="EZB42" s="16"/>
      <c r="EZC42" s="16"/>
      <c r="EZD42" s="16"/>
      <c r="EZE42" s="16"/>
      <c r="EZF42" s="16"/>
      <c r="EZG42" s="16"/>
      <c r="EZH42" s="16"/>
      <c r="EZI42" s="16"/>
      <c r="EZJ42" s="16"/>
      <c r="EZK42" s="16"/>
      <c r="EZL42" s="16"/>
      <c r="EZM42" s="16"/>
      <c r="EZN42" s="16"/>
      <c r="EZO42" s="16"/>
      <c r="EZP42" s="16"/>
      <c r="EZQ42" s="16"/>
      <c r="EZR42" s="16"/>
      <c r="EZS42" s="16"/>
      <c r="EZT42" s="16"/>
      <c r="EZU42" s="16"/>
      <c r="EZV42" s="16"/>
      <c r="EZW42" s="16"/>
      <c r="EZX42" s="16"/>
      <c r="EZY42" s="16"/>
      <c r="EZZ42" s="16"/>
      <c r="FAA42" s="16"/>
      <c r="FAB42" s="16"/>
      <c r="FAC42" s="16"/>
      <c r="FAD42" s="16"/>
      <c r="FAE42" s="16"/>
      <c r="FAF42" s="16"/>
      <c r="FAG42" s="16"/>
      <c r="FAH42" s="16"/>
      <c r="FAI42" s="16"/>
      <c r="FAJ42" s="16"/>
      <c r="FAK42" s="16"/>
      <c r="FAL42" s="16"/>
      <c r="FAM42" s="16"/>
      <c r="FAN42" s="16"/>
      <c r="FAO42" s="16"/>
      <c r="FAP42" s="16"/>
      <c r="FAQ42" s="16"/>
      <c r="FAR42" s="16"/>
      <c r="FAS42" s="16"/>
      <c r="FAT42" s="16"/>
      <c r="FAU42" s="16"/>
      <c r="FAV42" s="16"/>
      <c r="FAW42" s="16"/>
      <c r="FAX42" s="16"/>
      <c r="FAY42" s="16"/>
      <c r="FAZ42" s="16"/>
      <c r="FBA42" s="16"/>
      <c r="FBB42" s="16"/>
      <c r="FBC42" s="16"/>
      <c r="FBD42" s="16"/>
      <c r="FBE42" s="16"/>
      <c r="FBF42" s="16"/>
      <c r="FBG42" s="16"/>
      <c r="FBH42" s="16"/>
      <c r="FBI42" s="16"/>
      <c r="FBJ42" s="16"/>
      <c r="FBK42" s="16"/>
      <c r="FBL42" s="16"/>
      <c r="FBM42" s="16"/>
      <c r="FBN42" s="16"/>
      <c r="FBO42" s="16"/>
      <c r="FBP42" s="16"/>
      <c r="FBQ42" s="16"/>
      <c r="FBR42" s="16"/>
      <c r="FBS42" s="16"/>
      <c r="FBT42" s="16"/>
      <c r="FBU42" s="16"/>
      <c r="FBV42" s="16"/>
      <c r="FBW42" s="16"/>
      <c r="FBX42" s="16"/>
      <c r="FBY42" s="16"/>
      <c r="FBZ42" s="16"/>
      <c r="FCA42" s="16"/>
      <c r="FCB42" s="16"/>
      <c r="FCC42" s="16"/>
      <c r="FCD42" s="16"/>
      <c r="FCE42" s="16"/>
      <c r="FCF42" s="16"/>
      <c r="FCG42" s="16"/>
      <c r="FCH42" s="16"/>
      <c r="FCI42" s="16"/>
      <c r="FCJ42" s="16"/>
      <c r="FCK42" s="16"/>
      <c r="FCL42" s="16"/>
      <c r="FCM42" s="16"/>
      <c r="FCN42" s="16"/>
      <c r="FCO42" s="16"/>
      <c r="FCP42" s="16"/>
      <c r="FCQ42" s="16"/>
      <c r="FCR42" s="16"/>
      <c r="FCS42" s="16"/>
      <c r="FCT42" s="16"/>
      <c r="FCU42" s="16"/>
      <c r="FCV42" s="16"/>
      <c r="FCW42" s="16"/>
      <c r="FCX42" s="16"/>
      <c r="FCY42" s="16"/>
      <c r="FCZ42" s="16"/>
      <c r="FDA42" s="16"/>
      <c r="FDB42" s="16"/>
      <c r="FDC42" s="16"/>
      <c r="FDD42" s="16"/>
      <c r="FDE42" s="16"/>
      <c r="FDF42" s="16"/>
      <c r="FDG42" s="16"/>
      <c r="FDH42" s="16"/>
      <c r="FDI42" s="16"/>
      <c r="FDJ42" s="16"/>
      <c r="FDK42" s="16"/>
      <c r="FDL42" s="16"/>
      <c r="FDM42" s="16"/>
      <c r="FDN42" s="16"/>
      <c r="FDO42" s="16"/>
      <c r="FDP42" s="16"/>
      <c r="FDQ42" s="16"/>
      <c r="FDR42" s="16"/>
      <c r="FDS42" s="16"/>
      <c r="FDT42" s="16"/>
      <c r="FDU42" s="16"/>
      <c r="FDV42" s="16"/>
      <c r="FDW42" s="16"/>
      <c r="FDX42" s="16"/>
      <c r="FDY42" s="16"/>
      <c r="FDZ42" s="16"/>
      <c r="FEA42" s="16"/>
      <c r="FEB42" s="16"/>
      <c r="FEC42" s="16"/>
      <c r="FED42" s="16"/>
      <c r="FEE42" s="16"/>
      <c r="FEF42" s="16"/>
      <c r="FEG42" s="16"/>
      <c r="FEH42" s="16"/>
      <c r="FEI42" s="16"/>
      <c r="FEJ42" s="16"/>
      <c r="FEK42" s="16"/>
      <c r="FEL42" s="16"/>
      <c r="FEM42" s="16"/>
      <c r="FEN42" s="16"/>
      <c r="FEO42" s="16"/>
      <c r="FEP42" s="16"/>
      <c r="FEQ42" s="16"/>
      <c r="FER42" s="16"/>
      <c r="FES42" s="16"/>
      <c r="FET42" s="16"/>
      <c r="FEU42" s="16"/>
      <c r="FEV42" s="16"/>
      <c r="FEW42" s="16"/>
      <c r="FEX42" s="16"/>
      <c r="FEY42" s="16"/>
      <c r="FEZ42" s="16"/>
      <c r="FFA42" s="16"/>
      <c r="FFB42" s="16"/>
      <c r="FFC42" s="16"/>
      <c r="FFD42" s="16"/>
      <c r="FFE42" s="16"/>
      <c r="FFF42" s="16"/>
      <c r="FFG42" s="16"/>
      <c r="FFH42" s="16"/>
      <c r="FFI42" s="16"/>
      <c r="FFJ42" s="16"/>
      <c r="FFK42" s="16"/>
      <c r="FFL42" s="16"/>
      <c r="FFM42" s="16"/>
      <c r="FFN42" s="16"/>
      <c r="FFO42" s="16"/>
      <c r="FFP42" s="16"/>
      <c r="FFQ42" s="16"/>
      <c r="FFR42" s="16"/>
      <c r="FFS42" s="16"/>
      <c r="FFT42" s="16"/>
      <c r="FFU42" s="16"/>
      <c r="FFV42" s="16"/>
      <c r="FFW42" s="16"/>
      <c r="FFX42" s="16"/>
      <c r="FFY42" s="16"/>
      <c r="FFZ42" s="16"/>
      <c r="FGA42" s="16"/>
      <c r="FGB42" s="16"/>
      <c r="FGC42" s="16"/>
      <c r="FGD42" s="16"/>
      <c r="FGE42" s="16"/>
      <c r="FGF42" s="16"/>
      <c r="FGG42" s="16"/>
      <c r="FGH42" s="16"/>
      <c r="FGI42" s="16"/>
      <c r="FGJ42" s="16"/>
      <c r="FGK42" s="16"/>
      <c r="FGL42" s="16"/>
      <c r="FGM42" s="16"/>
      <c r="FGN42" s="16"/>
      <c r="FGO42" s="16"/>
      <c r="FGP42" s="16"/>
      <c r="FGQ42" s="16"/>
      <c r="FGR42" s="16"/>
      <c r="FGS42" s="16"/>
      <c r="FGT42" s="16"/>
      <c r="FGU42" s="16"/>
      <c r="FGV42" s="16"/>
      <c r="FGW42" s="16"/>
      <c r="FGX42" s="16"/>
      <c r="FGY42" s="16"/>
      <c r="FGZ42" s="16"/>
      <c r="FHA42" s="16"/>
      <c r="FHB42" s="16"/>
      <c r="FHC42" s="16"/>
      <c r="FHD42" s="16"/>
      <c r="FHE42" s="16"/>
      <c r="FHF42" s="16"/>
      <c r="FHG42" s="16"/>
      <c r="FHH42" s="16"/>
      <c r="FHI42" s="16"/>
      <c r="FHJ42" s="16"/>
      <c r="FHK42" s="16"/>
      <c r="FHL42" s="16"/>
      <c r="FHM42" s="16"/>
      <c r="FHN42" s="16"/>
      <c r="FHO42" s="16"/>
      <c r="FHP42" s="16"/>
      <c r="FHQ42" s="16"/>
      <c r="FHR42" s="16"/>
      <c r="FHS42" s="16"/>
      <c r="FHT42" s="16"/>
      <c r="FHU42" s="16"/>
      <c r="FHV42" s="16"/>
      <c r="FHW42" s="16"/>
      <c r="FHX42" s="16"/>
      <c r="FHY42" s="16"/>
      <c r="FHZ42" s="16"/>
      <c r="FIA42" s="16"/>
      <c r="FIB42" s="16"/>
      <c r="FIC42" s="16"/>
      <c r="FID42" s="16"/>
      <c r="FIE42" s="16"/>
      <c r="FIF42" s="16"/>
      <c r="FIG42" s="16"/>
      <c r="FIH42" s="16"/>
      <c r="FII42" s="16"/>
      <c r="FIJ42" s="16"/>
      <c r="FIK42" s="16"/>
      <c r="FIL42" s="16"/>
      <c r="FIM42" s="16"/>
      <c r="FIN42" s="16"/>
      <c r="FIO42" s="16"/>
      <c r="FIP42" s="16"/>
      <c r="FIQ42" s="16"/>
      <c r="FIR42" s="16"/>
      <c r="FIS42" s="16"/>
      <c r="FIT42" s="16"/>
      <c r="FIU42" s="16"/>
      <c r="FIV42" s="16"/>
      <c r="FIW42" s="16"/>
      <c r="FIX42" s="16"/>
      <c r="FIY42" s="16"/>
      <c r="FIZ42" s="16"/>
      <c r="FJA42" s="16"/>
      <c r="FJB42" s="16"/>
      <c r="FJC42" s="16"/>
      <c r="FJD42" s="16"/>
      <c r="FJE42" s="16"/>
      <c r="FJF42" s="16"/>
      <c r="FJG42" s="16"/>
      <c r="FJH42" s="16"/>
      <c r="FJI42" s="16"/>
      <c r="FJJ42" s="16"/>
      <c r="FJK42" s="16"/>
      <c r="FJL42" s="16"/>
      <c r="FJM42" s="16"/>
      <c r="FJN42" s="16"/>
      <c r="FJO42" s="16"/>
      <c r="FJP42" s="16"/>
      <c r="FJQ42" s="16"/>
      <c r="FJR42" s="16"/>
      <c r="FJS42" s="16"/>
      <c r="FJT42" s="16"/>
      <c r="FJU42" s="16"/>
      <c r="FJV42" s="16"/>
      <c r="FJW42" s="16"/>
      <c r="FJX42" s="16"/>
      <c r="FJY42" s="16"/>
      <c r="FJZ42" s="16"/>
      <c r="FKA42" s="16"/>
      <c r="FKB42" s="16"/>
      <c r="FKC42" s="16"/>
      <c r="FKD42" s="16"/>
      <c r="FKE42" s="16"/>
      <c r="FKF42" s="16"/>
      <c r="FKG42" s="16"/>
      <c r="FKH42" s="16"/>
      <c r="FKI42" s="16"/>
      <c r="FKJ42" s="16"/>
      <c r="FKK42" s="16"/>
      <c r="FKL42" s="16"/>
      <c r="FKM42" s="16"/>
      <c r="FKN42" s="16"/>
      <c r="FKO42" s="16"/>
      <c r="FKP42" s="16"/>
      <c r="FKQ42" s="16"/>
      <c r="FKR42" s="16"/>
      <c r="FKS42" s="16"/>
      <c r="FKT42" s="16"/>
      <c r="FKU42" s="16"/>
      <c r="FKV42" s="16"/>
      <c r="FKW42" s="16"/>
      <c r="FKX42" s="16"/>
      <c r="FKY42" s="16"/>
      <c r="FKZ42" s="16"/>
      <c r="FLA42" s="16"/>
      <c r="FLB42" s="16"/>
      <c r="FLC42" s="16"/>
      <c r="FLD42" s="16"/>
      <c r="FLE42" s="16"/>
      <c r="FLF42" s="16"/>
      <c r="FLG42" s="16"/>
      <c r="FLH42" s="16"/>
      <c r="FLI42" s="16"/>
      <c r="FLJ42" s="16"/>
      <c r="FLK42" s="16"/>
      <c r="FLL42" s="16"/>
      <c r="FLM42" s="16"/>
      <c r="FLN42" s="16"/>
      <c r="FLO42" s="16"/>
      <c r="FLP42" s="16"/>
      <c r="FLQ42" s="16"/>
      <c r="FLR42" s="16"/>
      <c r="FLS42" s="16"/>
      <c r="FLT42" s="16"/>
      <c r="FLU42" s="16"/>
      <c r="FLV42" s="16"/>
      <c r="FLW42" s="16"/>
      <c r="FLX42" s="16"/>
      <c r="FLY42" s="16"/>
      <c r="FLZ42" s="16"/>
      <c r="FMA42" s="16"/>
      <c r="FMB42" s="16"/>
      <c r="FMC42" s="16"/>
      <c r="FMD42" s="16"/>
      <c r="FME42" s="16"/>
      <c r="FMF42" s="16"/>
      <c r="FMG42" s="16"/>
      <c r="FMH42" s="16"/>
      <c r="FMI42" s="16"/>
      <c r="FMJ42" s="16"/>
      <c r="FMK42" s="16"/>
      <c r="FML42" s="16"/>
      <c r="FMM42" s="16"/>
      <c r="FMN42" s="16"/>
      <c r="FMO42" s="16"/>
      <c r="FMP42" s="16"/>
      <c r="FMQ42" s="16"/>
      <c r="FMR42" s="16"/>
      <c r="FMS42" s="16"/>
      <c r="FMT42" s="16"/>
      <c r="FMU42" s="16"/>
      <c r="FMV42" s="16"/>
      <c r="FMW42" s="16"/>
      <c r="FMX42" s="16"/>
      <c r="FMY42" s="16"/>
      <c r="FMZ42" s="16"/>
      <c r="FNA42" s="16"/>
      <c r="FNB42" s="16"/>
      <c r="FNC42" s="16"/>
      <c r="FND42" s="16"/>
      <c r="FNE42" s="16"/>
      <c r="FNF42" s="16"/>
      <c r="FNG42" s="16"/>
      <c r="FNH42" s="16"/>
      <c r="FNI42" s="16"/>
      <c r="FNJ42" s="16"/>
      <c r="FNK42" s="16"/>
      <c r="FNL42" s="16"/>
      <c r="FNM42" s="16"/>
      <c r="FNN42" s="16"/>
      <c r="FNO42" s="16"/>
      <c r="FNP42" s="16"/>
      <c r="FNQ42" s="16"/>
      <c r="FNR42" s="16"/>
      <c r="FNS42" s="16"/>
      <c r="FNT42" s="16"/>
      <c r="FNU42" s="16"/>
      <c r="FNV42" s="16"/>
      <c r="FNW42" s="16"/>
      <c r="FNX42" s="16"/>
      <c r="FNY42" s="16"/>
      <c r="FNZ42" s="16"/>
      <c r="FOA42" s="16"/>
      <c r="FOB42" s="16"/>
      <c r="FOC42" s="16"/>
      <c r="FOD42" s="16"/>
      <c r="FOE42" s="16"/>
      <c r="FOF42" s="16"/>
      <c r="FOG42" s="16"/>
      <c r="FOH42" s="16"/>
      <c r="FOI42" s="16"/>
      <c r="FOJ42" s="16"/>
      <c r="FOK42" s="16"/>
      <c r="FOL42" s="16"/>
      <c r="FOM42" s="16"/>
      <c r="FON42" s="16"/>
      <c r="FOO42" s="16"/>
      <c r="FOP42" s="16"/>
      <c r="FOQ42" s="16"/>
      <c r="FOR42" s="16"/>
      <c r="FOS42" s="16"/>
      <c r="FOT42" s="16"/>
      <c r="FOU42" s="16"/>
      <c r="FOV42" s="16"/>
      <c r="FOW42" s="16"/>
      <c r="FOX42" s="16"/>
      <c r="FOY42" s="16"/>
      <c r="FOZ42" s="16"/>
      <c r="FPA42" s="16"/>
      <c r="FPB42" s="16"/>
      <c r="FPC42" s="16"/>
      <c r="FPD42" s="16"/>
      <c r="FPE42" s="16"/>
      <c r="FPF42" s="16"/>
      <c r="FPG42" s="16"/>
      <c r="FPH42" s="16"/>
      <c r="FPI42" s="16"/>
      <c r="FPJ42" s="16"/>
      <c r="FPK42" s="16"/>
      <c r="FPL42" s="16"/>
      <c r="FPM42" s="16"/>
      <c r="FPN42" s="16"/>
      <c r="FPO42" s="16"/>
      <c r="FPP42" s="16"/>
      <c r="FPQ42" s="16"/>
      <c r="FPR42" s="16"/>
      <c r="FPS42" s="16"/>
      <c r="FPT42" s="16"/>
      <c r="FPU42" s="16"/>
      <c r="FPV42" s="16"/>
      <c r="FPW42" s="16"/>
      <c r="FPX42" s="16"/>
      <c r="FPY42" s="16"/>
      <c r="FPZ42" s="16"/>
      <c r="FQA42" s="16"/>
      <c r="FQB42" s="16"/>
      <c r="FQC42" s="16"/>
      <c r="FQD42" s="16"/>
      <c r="FQE42" s="16"/>
      <c r="FQF42" s="16"/>
      <c r="FQG42" s="16"/>
      <c r="FQH42" s="16"/>
      <c r="FQI42" s="16"/>
      <c r="FQJ42" s="16"/>
      <c r="FQK42" s="16"/>
      <c r="FQL42" s="16"/>
      <c r="FQM42" s="16"/>
      <c r="FQN42" s="16"/>
      <c r="FQO42" s="16"/>
      <c r="FQP42" s="16"/>
      <c r="FQQ42" s="16"/>
      <c r="FQR42" s="16"/>
      <c r="FQS42" s="16"/>
      <c r="FQT42" s="16"/>
      <c r="FQU42" s="16"/>
      <c r="FQV42" s="16"/>
      <c r="FQW42" s="16"/>
      <c r="FQX42" s="16"/>
      <c r="FQY42" s="16"/>
      <c r="FQZ42" s="16"/>
      <c r="FRA42" s="16"/>
      <c r="FRB42" s="16"/>
      <c r="FRC42" s="16"/>
      <c r="FRD42" s="16"/>
      <c r="FRE42" s="16"/>
      <c r="FRF42" s="16"/>
      <c r="FRG42" s="16"/>
      <c r="FRH42" s="16"/>
      <c r="FRI42" s="16"/>
      <c r="FRJ42" s="16"/>
      <c r="FRK42" s="16"/>
      <c r="FRL42" s="16"/>
      <c r="FRM42" s="16"/>
      <c r="FRN42" s="16"/>
      <c r="FRO42" s="16"/>
      <c r="FRP42" s="16"/>
      <c r="FRQ42" s="16"/>
      <c r="FRR42" s="16"/>
      <c r="FRS42" s="16"/>
      <c r="FRT42" s="16"/>
      <c r="FRU42" s="16"/>
      <c r="FRV42" s="16"/>
      <c r="FRW42" s="16"/>
      <c r="FRX42" s="16"/>
      <c r="FRY42" s="16"/>
      <c r="FRZ42" s="16"/>
      <c r="FSA42" s="16"/>
      <c r="FSB42" s="16"/>
      <c r="FSC42" s="16"/>
      <c r="FSD42" s="16"/>
      <c r="FSE42" s="16"/>
      <c r="FSF42" s="16"/>
      <c r="FSG42" s="16"/>
      <c r="FSH42" s="16"/>
      <c r="FSI42" s="16"/>
      <c r="FSJ42" s="16"/>
      <c r="FSK42" s="16"/>
      <c r="FSL42" s="16"/>
      <c r="FSM42" s="16"/>
      <c r="FSN42" s="16"/>
      <c r="FSO42" s="16"/>
      <c r="FSP42" s="16"/>
      <c r="FSQ42" s="16"/>
      <c r="FSR42" s="16"/>
      <c r="FSS42" s="16"/>
      <c r="FST42" s="16"/>
      <c r="FSU42" s="16"/>
      <c r="FSV42" s="16"/>
      <c r="FSW42" s="16"/>
      <c r="FSX42" s="16"/>
      <c r="FSY42" s="16"/>
      <c r="FSZ42" s="16"/>
      <c r="FTA42" s="16"/>
      <c r="FTB42" s="16"/>
      <c r="FTC42" s="16"/>
      <c r="FTD42" s="16"/>
      <c r="FTE42" s="16"/>
      <c r="FTF42" s="16"/>
      <c r="FTG42" s="16"/>
      <c r="FTH42" s="16"/>
      <c r="FTI42" s="16"/>
      <c r="FTJ42" s="16"/>
      <c r="FTK42" s="16"/>
      <c r="FTL42" s="16"/>
      <c r="FTM42" s="16"/>
      <c r="FTN42" s="16"/>
      <c r="FTO42" s="16"/>
      <c r="FTP42" s="16"/>
      <c r="FTQ42" s="16"/>
      <c r="FTR42" s="16"/>
      <c r="FTS42" s="16"/>
      <c r="FTT42" s="16"/>
      <c r="FTU42" s="16"/>
      <c r="FTV42" s="16"/>
      <c r="FTW42" s="16"/>
      <c r="FTX42" s="16"/>
      <c r="FTY42" s="16"/>
      <c r="FTZ42" s="16"/>
      <c r="FUA42" s="16"/>
      <c r="FUB42" s="16"/>
      <c r="FUC42" s="16"/>
      <c r="FUD42" s="16"/>
      <c r="FUE42" s="16"/>
      <c r="FUF42" s="16"/>
      <c r="FUG42" s="16"/>
      <c r="FUH42" s="16"/>
      <c r="FUI42" s="16"/>
      <c r="FUJ42" s="16"/>
      <c r="FUK42" s="16"/>
      <c r="FUL42" s="16"/>
      <c r="FUM42" s="16"/>
      <c r="FUN42" s="16"/>
      <c r="FUO42" s="16"/>
      <c r="FUP42" s="16"/>
      <c r="FUQ42" s="16"/>
      <c r="FUR42" s="16"/>
      <c r="FUS42" s="16"/>
      <c r="FUT42" s="16"/>
      <c r="FUU42" s="16"/>
      <c r="FUV42" s="16"/>
      <c r="FUW42" s="16"/>
      <c r="FUX42" s="16"/>
      <c r="FUY42" s="16"/>
      <c r="FUZ42" s="16"/>
      <c r="FVA42" s="16"/>
      <c r="FVB42" s="16"/>
      <c r="FVC42" s="16"/>
      <c r="FVD42" s="16"/>
      <c r="FVE42" s="16"/>
      <c r="FVF42" s="16"/>
      <c r="FVG42" s="16"/>
      <c r="FVH42" s="16"/>
      <c r="FVI42" s="16"/>
      <c r="FVJ42" s="16"/>
      <c r="FVK42" s="16"/>
      <c r="FVL42" s="16"/>
      <c r="FVM42" s="16"/>
      <c r="FVN42" s="16"/>
      <c r="FVO42" s="16"/>
      <c r="FVP42" s="16"/>
      <c r="FVQ42" s="16"/>
      <c r="FVR42" s="16"/>
      <c r="FVS42" s="16"/>
      <c r="FVT42" s="16"/>
      <c r="FVU42" s="16"/>
      <c r="FVV42" s="16"/>
      <c r="FVW42" s="16"/>
      <c r="FVX42" s="16"/>
      <c r="FVY42" s="16"/>
      <c r="FVZ42" s="16"/>
      <c r="FWA42" s="16"/>
      <c r="FWB42" s="16"/>
      <c r="FWC42" s="16"/>
      <c r="FWD42" s="16"/>
      <c r="FWE42" s="16"/>
      <c r="FWF42" s="16"/>
      <c r="FWG42" s="16"/>
      <c r="FWH42" s="16"/>
      <c r="FWI42" s="16"/>
      <c r="FWJ42" s="16"/>
      <c r="FWK42" s="16"/>
      <c r="FWL42" s="16"/>
      <c r="FWM42" s="16"/>
      <c r="FWN42" s="16"/>
      <c r="FWO42" s="16"/>
      <c r="FWP42" s="16"/>
      <c r="FWQ42" s="16"/>
      <c r="FWR42" s="16"/>
      <c r="FWS42" s="16"/>
      <c r="FWT42" s="16"/>
      <c r="FWU42" s="16"/>
      <c r="FWV42" s="16"/>
      <c r="FWW42" s="16"/>
      <c r="FWX42" s="16"/>
      <c r="FWY42" s="16"/>
      <c r="FWZ42" s="16"/>
      <c r="FXA42" s="16"/>
      <c r="FXB42" s="16"/>
      <c r="FXC42" s="16"/>
      <c r="FXD42" s="16"/>
      <c r="FXE42" s="16"/>
      <c r="FXF42" s="16"/>
      <c r="FXG42" s="16"/>
      <c r="FXH42" s="16"/>
      <c r="FXI42" s="16"/>
      <c r="FXJ42" s="16"/>
      <c r="FXK42" s="16"/>
      <c r="FXL42" s="16"/>
      <c r="FXM42" s="16"/>
      <c r="FXN42" s="16"/>
      <c r="FXO42" s="16"/>
      <c r="FXP42" s="16"/>
      <c r="FXQ42" s="16"/>
      <c r="FXR42" s="16"/>
      <c r="FXS42" s="16"/>
      <c r="FXT42" s="16"/>
      <c r="FXU42" s="16"/>
      <c r="FXV42" s="16"/>
      <c r="FXW42" s="16"/>
      <c r="FXX42" s="16"/>
      <c r="FXY42" s="16"/>
      <c r="FXZ42" s="16"/>
      <c r="FYA42" s="16"/>
      <c r="FYB42" s="16"/>
      <c r="FYC42" s="16"/>
      <c r="FYD42" s="16"/>
      <c r="FYE42" s="16"/>
      <c r="FYF42" s="16"/>
      <c r="FYG42" s="16"/>
      <c r="FYH42" s="16"/>
      <c r="FYI42" s="16"/>
      <c r="FYJ42" s="16"/>
      <c r="FYK42" s="16"/>
      <c r="FYL42" s="16"/>
      <c r="FYM42" s="16"/>
      <c r="FYN42" s="16"/>
      <c r="FYO42" s="16"/>
      <c r="FYP42" s="16"/>
      <c r="FYQ42" s="16"/>
      <c r="FYR42" s="16"/>
      <c r="FYS42" s="16"/>
      <c r="FYT42" s="16"/>
      <c r="FYU42" s="16"/>
      <c r="FYV42" s="16"/>
      <c r="FYW42" s="16"/>
      <c r="FYX42" s="16"/>
      <c r="FYY42" s="16"/>
      <c r="FYZ42" s="16"/>
      <c r="FZA42" s="16"/>
      <c r="FZB42" s="16"/>
      <c r="FZC42" s="16"/>
      <c r="FZD42" s="16"/>
      <c r="FZE42" s="16"/>
      <c r="FZF42" s="16"/>
      <c r="FZG42" s="16"/>
      <c r="FZH42" s="16"/>
      <c r="FZI42" s="16"/>
      <c r="FZJ42" s="16"/>
      <c r="FZK42" s="16"/>
      <c r="FZL42" s="16"/>
      <c r="FZM42" s="16"/>
      <c r="FZN42" s="16"/>
      <c r="FZO42" s="16"/>
      <c r="FZP42" s="16"/>
      <c r="FZQ42" s="16"/>
      <c r="FZR42" s="16"/>
      <c r="FZS42" s="16"/>
      <c r="FZT42" s="16"/>
      <c r="FZU42" s="16"/>
      <c r="FZV42" s="16"/>
      <c r="FZW42" s="16"/>
      <c r="FZX42" s="16"/>
      <c r="FZY42" s="16"/>
      <c r="FZZ42" s="16"/>
      <c r="GAA42" s="16"/>
      <c r="GAB42" s="16"/>
      <c r="GAC42" s="16"/>
      <c r="GAD42" s="16"/>
      <c r="GAE42" s="16"/>
      <c r="GAF42" s="16"/>
      <c r="GAG42" s="16"/>
      <c r="GAH42" s="16"/>
      <c r="GAI42" s="16"/>
      <c r="GAJ42" s="16"/>
      <c r="GAK42" s="16"/>
      <c r="GAL42" s="16"/>
      <c r="GAM42" s="16"/>
      <c r="GAN42" s="16"/>
      <c r="GAO42" s="16"/>
      <c r="GAP42" s="16"/>
      <c r="GAQ42" s="16"/>
      <c r="GAR42" s="16"/>
      <c r="GAS42" s="16"/>
      <c r="GAT42" s="16"/>
      <c r="GAU42" s="16"/>
      <c r="GAV42" s="16"/>
      <c r="GAW42" s="16"/>
      <c r="GAX42" s="16"/>
      <c r="GAY42" s="16"/>
      <c r="GAZ42" s="16"/>
      <c r="GBA42" s="16"/>
      <c r="GBB42" s="16"/>
      <c r="GBC42" s="16"/>
      <c r="GBD42" s="16"/>
      <c r="GBE42" s="16"/>
      <c r="GBF42" s="16"/>
      <c r="GBG42" s="16"/>
      <c r="GBH42" s="16"/>
      <c r="GBI42" s="16"/>
      <c r="GBJ42" s="16"/>
      <c r="GBK42" s="16"/>
      <c r="GBL42" s="16"/>
      <c r="GBM42" s="16"/>
      <c r="GBN42" s="16"/>
      <c r="GBO42" s="16"/>
      <c r="GBP42" s="16"/>
      <c r="GBQ42" s="16"/>
      <c r="GBR42" s="16"/>
      <c r="GBS42" s="16"/>
      <c r="GBT42" s="16"/>
      <c r="GBU42" s="16"/>
      <c r="GBV42" s="16"/>
      <c r="GBW42" s="16"/>
      <c r="GBX42" s="16"/>
      <c r="GBY42" s="16"/>
      <c r="GBZ42" s="16"/>
      <c r="GCA42" s="16"/>
      <c r="GCB42" s="16"/>
      <c r="GCC42" s="16"/>
      <c r="GCD42" s="16"/>
      <c r="GCE42" s="16"/>
      <c r="GCF42" s="16"/>
      <c r="GCG42" s="16"/>
      <c r="GCH42" s="16"/>
      <c r="GCI42" s="16"/>
      <c r="GCJ42" s="16"/>
      <c r="GCK42" s="16"/>
      <c r="GCL42" s="16"/>
      <c r="GCM42" s="16"/>
      <c r="GCN42" s="16"/>
      <c r="GCO42" s="16"/>
      <c r="GCP42" s="16"/>
      <c r="GCQ42" s="16"/>
      <c r="GCR42" s="16"/>
      <c r="GCS42" s="16"/>
      <c r="GCT42" s="16"/>
      <c r="GCU42" s="16"/>
      <c r="GCV42" s="16"/>
      <c r="GCW42" s="16"/>
      <c r="GCX42" s="16"/>
      <c r="GCY42" s="16"/>
      <c r="GCZ42" s="16"/>
      <c r="GDA42" s="16"/>
      <c r="GDB42" s="16"/>
      <c r="GDC42" s="16"/>
      <c r="GDD42" s="16"/>
      <c r="GDE42" s="16"/>
      <c r="GDF42" s="16"/>
      <c r="GDG42" s="16"/>
      <c r="GDH42" s="16"/>
      <c r="GDI42" s="16"/>
      <c r="GDJ42" s="16"/>
      <c r="GDK42" s="16"/>
      <c r="GDL42" s="16"/>
      <c r="GDM42" s="16"/>
      <c r="GDN42" s="16"/>
      <c r="GDO42" s="16"/>
      <c r="GDP42" s="16"/>
      <c r="GDQ42" s="16"/>
      <c r="GDR42" s="16"/>
      <c r="GDS42" s="16"/>
      <c r="GDT42" s="16"/>
      <c r="GDU42" s="16"/>
      <c r="GDV42" s="16"/>
      <c r="GDW42" s="16"/>
      <c r="GDX42" s="16"/>
      <c r="GDY42" s="16"/>
      <c r="GDZ42" s="16"/>
      <c r="GEA42" s="16"/>
      <c r="GEB42" s="16"/>
      <c r="GEC42" s="16"/>
      <c r="GED42" s="16"/>
      <c r="GEE42" s="16"/>
      <c r="GEF42" s="16"/>
      <c r="GEG42" s="16"/>
      <c r="GEH42" s="16"/>
      <c r="GEI42" s="16"/>
      <c r="GEJ42" s="16"/>
      <c r="GEK42" s="16"/>
      <c r="GEL42" s="16"/>
      <c r="GEM42" s="16"/>
      <c r="GEN42" s="16"/>
      <c r="GEO42" s="16"/>
      <c r="GEP42" s="16"/>
      <c r="GEQ42" s="16"/>
      <c r="GER42" s="16"/>
      <c r="GES42" s="16"/>
      <c r="GET42" s="16"/>
      <c r="GEU42" s="16"/>
      <c r="GEV42" s="16"/>
      <c r="GEW42" s="16"/>
      <c r="GEX42" s="16"/>
      <c r="GEY42" s="16"/>
      <c r="GEZ42" s="16"/>
      <c r="GFA42" s="16"/>
      <c r="GFB42" s="16"/>
      <c r="GFC42" s="16"/>
      <c r="GFD42" s="16"/>
      <c r="GFE42" s="16"/>
      <c r="GFF42" s="16"/>
      <c r="GFG42" s="16"/>
      <c r="GFH42" s="16"/>
      <c r="GFI42" s="16"/>
      <c r="GFJ42" s="16"/>
      <c r="GFK42" s="16"/>
      <c r="GFL42" s="16"/>
      <c r="GFM42" s="16"/>
      <c r="GFN42" s="16"/>
      <c r="GFO42" s="16"/>
      <c r="GFP42" s="16"/>
      <c r="GFQ42" s="16"/>
      <c r="GFR42" s="16"/>
      <c r="GFS42" s="16"/>
      <c r="GFT42" s="16"/>
      <c r="GFU42" s="16"/>
      <c r="GFV42" s="16"/>
      <c r="GFW42" s="16"/>
      <c r="GFX42" s="16"/>
      <c r="GFY42" s="16"/>
      <c r="GFZ42" s="16"/>
      <c r="GGA42" s="16"/>
      <c r="GGB42" s="16"/>
      <c r="GGC42" s="16"/>
      <c r="GGD42" s="16"/>
      <c r="GGE42" s="16"/>
      <c r="GGF42" s="16"/>
      <c r="GGG42" s="16"/>
      <c r="GGH42" s="16"/>
      <c r="GGI42" s="16"/>
      <c r="GGJ42" s="16"/>
      <c r="GGK42" s="16"/>
      <c r="GGL42" s="16"/>
      <c r="GGM42" s="16"/>
      <c r="GGN42" s="16"/>
      <c r="GGO42" s="16"/>
      <c r="GGP42" s="16"/>
      <c r="GGQ42" s="16"/>
      <c r="GGR42" s="16"/>
      <c r="GGS42" s="16"/>
      <c r="GGT42" s="16"/>
      <c r="GGU42" s="16"/>
      <c r="GGV42" s="16"/>
      <c r="GGW42" s="16"/>
      <c r="GGX42" s="16"/>
      <c r="GGY42" s="16"/>
      <c r="GGZ42" s="16"/>
      <c r="GHA42" s="16"/>
      <c r="GHB42" s="16"/>
      <c r="GHC42" s="16"/>
      <c r="GHD42" s="16"/>
      <c r="GHE42" s="16"/>
      <c r="GHF42" s="16"/>
      <c r="GHG42" s="16"/>
      <c r="GHH42" s="16"/>
      <c r="GHI42" s="16"/>
      <c r="GHJ42" s="16"/>
      <c r="GHK42" s="16"/>
      <c r="GHL42" s="16"/>
      <c r="GHM42" s="16"/>
      <c r="GHN42" s="16"/>
      <c r="GHO42" s="16"/>
      <c r="GHP42" s="16"/>
      <c r="GHQ42" s="16"/>
      <c r="GHR42" s="16"/>
      <c r="GHS42" s="16"/>
      <c r="GHT42" s="16"/>
      <c r="GHU42" s="16"/>
      <c r="GHV42" s="16"/>
      <c r="GHW42" s="16"/>
      <c r="GHX42" s="16"/>
      <c r="GHY42" s="16"/>
      <c r="GHZ42" s="16"/>
      <c r="GIA42" s="16"/>
      <c r="GIB42" s="16"/>
      <c r="GIC42" s="16"/>
      <c r="GID42" s="16"/>
      <c r="GIE42" s="16"/>
      <c r="GIF42" s="16"/>
      <c r="GIG42" s="16"/>
      <c r="GIH42" s="16"/>
      <c r="GII42" s="16"/>
      <c r="GIJ42" s="16"/>
      <c r="GIK42" s="16"/>
      <c r="GIL42" s="16"/>
      <c r="GIM42" s="16"/>
      <c r="GIN42" s="16"/>
      <c r="GIO42" s="16"/>
      <c r="GIP42" s="16"/>
      <c r="GIQ42" s="16"/>
      <c r="GIR42" s="16"/>
      <c r="GIS42" s="16"/>
      <c r="GIT42" s="16"/>
      <c r="GIU42" s="16"/>
      <c r="GIV42" s="16"/>
      <c r="GIW42" s="16"/>
      <c r="GIX42" s="16"/>
      <c r="GIY42" s="16"/>
      <c r="GIZ42" s="16"/>
      <c r="GJA42" s="16"/>
      <c r="GJB42" s="16"/>
      <c r="GJC42" s="16"/>
      <c r="GJD42" s="16"/>
      <c r="GJE42" s="16"/>
      <c r="GJF42" s="16"/>
      <c r="GJG42" s="16"/>
      <c r="GJH42" s="16"/>
      <c r="GJI42" s="16"/>
      <c r="GJJ42" s="16"/>
      <c r="GJK42" s="16"/>
      <c r="GJL42" s="16"/>
      <c r="GJM42" s="16"/>
      <c r="GJN42" s="16"/>
      <c r="GJO42" s="16"/>
      <c r="GJP42" s="16"/>
      <c r="GJQ42" s="16"/>
      <c r="GJR42" s="16"/>
      <c r="GJS42" s="16"/>
      <c r="GJT42" s="16"/>
      <c r="GJU42" s="16"/>
      <c r="GJV42" s="16"/>
      <c r="GJW42" s="16"/>
      <c r="GJX42" s="16"/>
      <c r="GJY42" s="16"/>
      <c r="GJZ42" s="16"/>
      <c r="GKA42" s="16"/>
      <c r="GKB42" s="16"/>
      <c r="GKC42" s="16"/>
      <c r="GKD42" s="16"/>
      <c r="GKE42" s="16"/>
      <c r="GKF42" s="16"/>
      <c r="GKG42" s="16"/>
      <c r="GKH42" s="16"/>
      <c r="GKI42" s="16"/>
      <c r="GKJ42" s="16"/>
      <c r="GKK42" s="16"/>
      <c r="GKL42" s="16"/>
      <c r="GKM42" s="16"/>
      <c r="GKN42" s="16"/>
      <c r="GKO42" s="16"/>
      <c r="GKP42" s="16"/>
      <c r="GKQ42" s="16"/>
      <c r="GKR42" s="16"/>
      <c r="GKS42" s="16"/>
      <c r="GKT42" s="16"/>
      <c r="GKU42" s="16"/>
      <c r="GKV42" s="16"/>
      <c r="GKW42" s="16"/>
      <c r="GKX42" s="16"/>
      <c r="GKY42" s="16"/>
      <c r="GKZ42" s="16"/>
      <c r="GLA42" s="16"/>
      <c r="GLB42" s="16"/>
      <c r="GLC42" s="16"/>
      <c r="GLD42" s="16"/>
      <c r="GLE42" s="16"/>
      <c r="GLF42" s="16"/>
      <c r="GLG42" s="16"/>
      <c r="GLH42" s="16"/>
      <c r="GLI42" s="16"/>
      <c r="GLJ42" s="16"/>
      <c r="GLK42" s="16"/>
      <c r="GLL42" s="16"/>
      <c r="GLM42" s="16"/>
      <c r="GLN42" s="16"/>
      <c r="GLO42" s="16"/>
      <c r="GLP42" s="16"/>
      <c r="GLQ42" s="16"/>
      <c r="GLR42" s="16"/>
      <c r="GLS42" s="16"/>
      <c r="GLT42" s="16"/>
      <c r="GLU42" s="16"/>
      <c r="GLV42" s="16"/>
      <c r="GLW42" s="16"/>
      <c r="GLX42" s="16"/>
      <c r="GLY42" s="16"/>
      <c r="GLZ42" s="16"/>
      <c r="GMA42" s="16"/>
      <c r="GMB42" s="16"/>
      <c r="GMC42" s="16"/>
      <c r="GMD42" s="16"/>
      <c r="GME42" s="16"/>
      <c r="GMF42" s="16"/>
      <c r="GMG42" s="16"/>
      <c r="GMH42" s="16"/>
      <c r="GMI42" s="16"/>
      <c r="GMJ42" s="16"/>
      <c r="GMK42" s="16"/>
      <c r="GML42" s="16"/>
      <c r="GMM42" s="16"/>
      <c r="GMN42" s="16"/>
      <c r="GMO42" s="16"/>
      <c r="GMP42" s="16"/>
      <c r="GMQ42" s="16"/>
      <c r="GMR42" s="16"/>
      <c r="GMS42" s="16"/>
      <c r="GMT42" s="16"/>
      <c r="GMU42" s="16"/>
      <c r="GMV42" s="16"/>
      <c r="GMW42" s="16"/>
      <c r="GMX42" s="16"/>
      <c r="GMY42" s="16"/>
      <c r="GMZ42" s="16"/>
      <c r="GNA42" s="16"/>
      <c r="GNB42" s="16"/>
      <c r="GNC42" s="16"/>
      <c r="GND42" s="16"/>
      <c r="GNE42" s="16"/>
      <c r="GNF42" s="16"/>
      <c r="GNG42" s="16"/>
      <c r="GNH42" s="16"/>
      <c r="GNI42" s="16"/>
      <c r="GNJ42" s="16"/>
      <c r="GNK42" s="16"/>
      <c r="GNL42" s="16"/>
      <c r="GNM42" s="16"/>
      <c r="GNN42" s="16"/>
      <c r="GNO42" s="16"/>
      <c r="GNP42" s="16"/>
      <c r="GNQ42" s="16"/>
      <c r="GNR42" s="16"/>
      <c r="GNS42" s="16"/>
      <c r="GNT42" s="16"/>
      <c r="GNU42" s="16"/>
      <c r="GNV42" s="16"/>
      <c r="GNW42" s="16"/>
      <c r="GNX42" s="16"/>
      <c r="GNY42" s="16"/>
      <c r="GNZ42" s="16"/>
      <c r="GOA42" s="16"/>
      <c r="GOB42" s="16"/>
      <c r="GOC42" s="16"/>
      <c r="GOD42" s="16"/>
      <c r="GOE42" s="16"/>
      <c r="GOF42" s="16"/>
      <c r="GOG42" s="16"/>
      <c r="GOH42" s="16"/>
      <c r="GOI42" s="16"/>
      <c r="GOJ42" s="16"/>
      <c r="GOK42" s="16"/>
      <c r="GOL42" s="16"/>
      <c r="GOM42" s="16"/>
      <c r="GON42" s="16"/>
      <c r="GOO42" s="16"/>
      <c r="GOP42" s="16"/>
      <c r="GOQ42" s="16"/>
      <c r="GOR42" s="16"/>
      <c r="GOS42" s="16"/>
      <c r="GOT42" s="16"/>
      <c r="GOU42" s="16"/>
      <c r="GOV42" s="16"/>
      <c r="GOW42" s="16"/>
      <c r="GOX42" s="16"/>
      <c r="GOY42" s="16"/>
      <c r="GOZ42" s="16"/>
      <c r="GPA42" s="16"/>
      <c r="GPB42" s="16"/>
      <c r="GPC42" s="16"/>
      <c r="GPD42" s="16"/>
      <c r="GPE42" s="16"/>
      <c r="GPF42" s="16"/>
      <c r="GPG42" s="16"/>
      <c r="GPH42" s="16"/>
      <c r="GPI42" s="16"/>
      <c r="GPJ42" s="16"/>
      <c r="GPK42" s="16"/>
      <c r="GPL42" s="16"/>
      <c r="GPM42" s="16"/>
      <c r="GPN42" s="16"/>
      <c r="GPO42" s="16"/>
      <c r="GPP42" s="16"/>
      <c r="GPQ42" s="16"/>
      <c r="GPR42" s="16"/>
      <c r="GPS42" s="16"/>
      <c r="GPT42" s="16"/>
      <c r="GPU42" s="16"/>
      <c r="GPV42" s="16"/>
      <c r="GPW42" s="16"/>
      <c r="GPX42" s="16"/>
      <c r="GPY42" s="16"/>
      <c r="GPZ42" s="16"/>
      <c r="GQA42" s="16"/>
      <c r="GQB42" s="16"/>
      <c r="GQC42" s="16"/>
      <c r="GQD42" s="16"/>
      <c r="GQE42" s="16"/>
      <c r="GQF42" s="16"/>
      <c r="GQG42" s="16"/>
      <c r="GQH42" s="16"/>
      <c r="GQI42" s="16"/>
      <c r="GQJ42" s="16"/>
      <c r="GQK42" s="16"/>
      <c r="GQL42" s="16"/>
      <c r="GQM42" s="16"/>
      <c r="GQN42" s="16"/>
      <c r="GQO42" s="16"/>
      <c r="GQP42" s="16"/>
      <c r="GQQ42" s="16"/>
      <c r="GQR42" s="16"/>
      <c r="GQS42" s="16"/>
      <c r="GQT42" s="16"/>
      <c r="GQU42" s="16"/>
      <c r="GQV42" s="16"/>
      <c r="GQW42" s="16"/>
      <c r="GQX42" s="16"/>
      <c r="GQY42" s="16"/>
      <c r="GQZ42" s="16"/>
      <c r="GRA42" s="16"/>
      <c r="GRB42" s="16"/>
      <c r="GRC42" s="16"/>
      <c r="GRD42" s="16"/>
      <c r="GRE42" s="16"/>
      <c r="GRF42" s="16"/>
      <c r="GRG42" s="16"/>
      <c r="GRH42" s="16"/>
      <c r="GRI42" s="16"/>
      <c r="GRJ42" s="16"/>
      <c r="GRK42" s="16"/>
      <c r="GRL42" s="16"/>
      <c r="GRM42" s="16"/>
      <c r="GRN42" s="16"/>
      <c r="GRO42" s="16"/>
      <c r="GRP42" s="16"/>
      <c r="GRQ42" s="16"/>
      <c r="GRR42" s="16"/>
      <c r="GRS42" s="16"/>
      <c r="GRT42" s="16"/>
      <c r="GRU42" s="16"/>
      <c r="GRV42" s="16"/>
      <c r="GRW42" s="16"/>
      <c r="GRX42" s="16"/>
      <c r="GRY42" s="16"/>
      <c r="GRZ42" s="16"/>
      <c r="GSA42" s="16"/>
      <c r="GSB42" s="16"/>
      <c r="GSC42" s="16"/>
      <c r="GSD42" s="16"/>
      <c r="GSE42" s="16"/>
      <c r="GSF42" s="16"/>
      <c r="GSG42" s="16"/>
      <c r="GSH42" s="16"/>
      <c r="GSI42" s="16"/>
      <c r="GSJ42" s="16"/>
      <c r="GSK42" s="16"/>
      <c r="GSL42" s="16"/>
      <c r="GSM42" s="16"/>
      <c r="GSN42" s="16"/>
      <c r="GSO42" s="16"/>
      <c r="GSP42" s="16"/>
      <c r="GSQ42" s="16"/>
      <c r="GSR42" s="16"/>
      <c r="GSS42" s="16"/>
      <c r="GST42" s="16"/>
      <c r="GSU42" s="16"/>
      <c r="GSV42" s="16"/>
      <c r="GSW42" s="16"/>
      <c r="GSX42" s="16"/>
      <c r="GSY42" s="16"/>
      <c r="GSZ42" s="16"/>
      <c r="GTA42" s="16"/>
      <c r="GTB42" s="16"/>
      <c r="GTC42" s="16"/>
      <c r="GTD42" s="16"/>
      <c r="GTE42" s="16"/>
      <c r="GTF42" s="16"/>
      <c r="GTG42" s="16"/>
      <c r="GTH42" s="16"/>
      <c r="GTI42" s="16"/>
      <c r="GTJ42" s="16"/>
      <c r="GTK42" s="16"/>
      <c r="GTL42" s="16"/>
      <c r="GTM42" s="16"/>
      <c r="GTN42" s="16"/>
      <c r="GTO42" s="16"/>
      <c r="GTP42" s="16"/>
      <c r="GTQ42" s="16"/>
      <c r="GTR42" s="16"/>
      <c r="GTS42" s="16"/>
      <c r="GTT42" s="16"/>
      <c r="GTU42" s="16"/>
      <c r="GTV42" s="16"/>
      <c r="GTW42" s="16"/>
      <c r="GTX42" s="16"/>
      <c r="GTY42" s="16"/>
      <c r="GTZ42" s="16"/>
      <c r="GUA42" s="16"/>
      <c r="GUB42" s="16"/>
      <c r="GUC42" s="16"/>
      <c r="GUD42" s="16"/>
      <c r="GUE42" s="16"/>
      <c r="GUF42" s="16"/>
      <c r="GUG42" s="16"/>
      <c r="GUH42" s="16"/>
      <c r="GUI42" s="16"/>
      <c r="GUJ42" s="16"/>
      <c r="GUK42" s="16"/>
      <c r="GUL42" s="16"/>
      <c r="GUM42" s="16"/>
      <c r="GUN42" s="16"/>
      <c r="GUO42" s="16"/>
      <c r="GUP42" s="16"/>
      <c r="GUQ42" s="16"/>
      <c r="GUR42" s="16"/>
      <c r="GUS42" s="16"/>
      <c r="GUT42" s="16"/>
      <c r="GUU42" s="16"/>
      <c r="GUV42" s="16"/>
      <c r="GUW42" s="16"/>
      <c r="GUX42" s="16"/>
      <c r="GUY42" s="16"/>
      <c r="GUZ42" s="16"/>
      <c r="GVA42" s="16"/>
      <c r="GVB42" s="16"/>
      <c r="GVC42" s="16"/>
      <c r="GVD42" s="16"/>
      <c r="GVE42" s="16"/>
      <c r="GVF42" s="16"/>
      <c r="GVG42" s="16"/>
      <c r="GVH42" s="16"/>
      <c r="GVI42" s="16"/>
      <c r="GVJ42" s="16"/>
      <c r="GVK42" s="16"/>
      <c r="GVL42" s="16"/>
      <c r="GVM42" s="16"/>
      <c r="GVN42" s="16"/>
      <c r="GVO42" s="16"/>
      <c r="GVP42" s="16"/>
      <c r="GVQ42" s="16"/>
      <c r="GVR42" s="16"/>
      <c r="GVS42" s="16"/>
      <c r="GVT42" s="16"/>
      <c r="GVU42" s="16"/>
      <c r="GVV42" s="16"/>
      <c r="GVW42" s="16"/>
      <c r="GVX42" s="16"/>
      <c r="GVY42" s="16"/>
      <c r="GVZ42" s="16"/>
      <c r="GWA42" s="16"/>
      <c r="GWB42" s="16"/>
      <c r="GWC42" s="16"/>
      <c r="GWD42" s="16"/>
      <c r="GWE42" s="16"/>
      <c r="GWF42" s="16"/>
      <c r="GWG42" s="16"/>
      <c r="GWH42" s="16"/>
      <c r="GWI42" s="16"/>
      <c r="GWJ42" s="16"/>
      <c r="GWK42" s="16"/>
      <c r="GWL42" s="16"/>
      <c r="GWM42" s="16"/>
      <c r="GWN42" s="16"/>
      <c r="GWO42" s="16"/>
      <c r="GWP42" s="16"/>
      <c r="GWQ42" s="16"/>
      <c r="GWR42" s="16"/>
      <c r="GWS42" s="16"/>
      <c r="GWT42" s="16"/>
      <c r="GWU42" s="16"/>
      <c r="GWV42" s="16"/>
      <c r="GWW42" s="16"/>
      <c r="GWX42" s="16"/>
      <c r="GWY42" s="16"/>
      <c r="GWZ42" s="16"/>
      <c r="GXA42" s="16"/>
      <c r="GXB42" s="16"/>
      <c r="GXC42" s="16"/>
      <c r="GXD42" s="16"/>
      <c r="GXE42" s="16"/>
      <c r="GXF42" s="16"/>
      <c r="GXG42" s="16"/>
      <c r="GXH42" s="16"/>
      <c r="GXI42" s="16"/>
      <c r="GXJ42" s="16"/>
      <c r="GXK42" s="16"/>
      <c r="GXL42" s="16"/>
      <c r="GXM42" s="16"/>
      <c r="GXN42" s="16"/>
      <c r="GXO42" s="16"/>
      <c r="GXP42" s="16"/>
      <c r="GXQ42" s="16"/>
      <c r="GXR42" s="16"/>
      <c r="GXS42" s="16"/>
      <c r="GXT42" s="16"/>
      <c r="GXU42" s="16"/>
      <c r="GXV42" s="16"/>
      <c r="GXW42" s="16"/>
      <c r="GXX42" s="16"/>
      <c r="GXY42" s="16"/>
      <c r="GXZ42" s="16"/>
      <c r="GYA42" s="16"/>
      <c r="GYB42" s="16"/>
      <c r="GYC42" s="16"/>
      <c r="GYD42" s="16"/>
      <c r="GYE42" s="16"/>
      <c r="GYF42" s="16"/>
      <c r="GYG42" s="16"/>
      <c r="GYH42" s="16"/>
      <c r="GYI42" s="16"/>
      <c r="GYJ42" s="16"/>
      <c r="GYK42" s="16"/>
      <c r="GYL42" s="16"/>
      <c r="GYM42" s="16"/>
      <c r="GYN42" s="16"/>
      <c r="GYO42" s="16"/>
      <c r="GYP42" s="16"/>
      <c r="GYQ42" s="16"/>
      <c r="GYR42" s="16"/>
      <c r="GYS42" s="16"/>
      <c r="GYT42" s="16"/>
      <c r="GYU42" s="16"/>
      <c r="GYV42" s="16"/>
      <c r="GYW42" s="16"/>
      <c r="GYX42" s="16"/>
      <c r="GYY42" s="16"/>
      <c r="GYZ42" s="16"/>
      <c r="GZA42" s="16"/>
      <c r="GZB42" s="16"/>
      <c r="GZC42" s="16"/>
      <c r="GZD42" s="16"/>
      <c r="GZE42" s="16"/>
      <c r="GZF42" s="16"/>
      <c r="GZG42" s="16"/>
      <c r="GZH42" s="16"/>
      <c r="GZI42" s="16"/>
      <c r="GZJ42" s="16"/>
      <c r="GZK42" s="16"/>
      <c r="GZL42" s="16"/>
      <c r="GZM42" s="16"/>
      <c r="GZN42" s="16"/>
      <c r="GZO42" s="16"/>
      <c r="GZP42" s="16"/>
      <c r="GZQ42" s="16"/>
      <c r="GZR42" s="16"/>
      <c r="GZS42" s="16"/>
      <c r="GZT42" s="16"/>
      <c r="GZU42" s="16"/>
      <c r="GZV42" s="16"/>
      <c r="GZW42" s="16"/>
      <c r="GZX42" s="16"/>
      <c r="GZY42" s="16"/>
      <c r="GZZ42" s="16"/>
      <c r="HAA42" s="16"/>
      <c r="HAB42" s="16"/>
      <c r="HAC42" s="16"/>
      <c r="HAD42" s="16"/>
      <c r="HAE42" s="16"/>
      <c r="HAF42" s="16"/>
      <c r="HAG42" s="16"/>
      <c r="HAH42" s="16"/>
      <c r="HAI42" s="16"/>
      <c r="HAJ42" s="16"/>
      <c r="HAK42" s="16"/>
      <c r="HAL42" s="16"/>
      <c r="HAM42" s="16"/>
      <c r="HAN42" s="16"/>
      <c r="HAO42" s="16"/>
      <c r="HAP42" s="16"/>
      <c r="HAQ42" s="16"/>
      <c r="HAR42" s="16"/>
      <c r="HAS42" s="16"/>
      <c r="HAT42" s="16"/>
      <c r="HAU42" s="16"/>
      <c r="HAV42" s="16"/>
      <c r="HAW42" s="16"/>
      <c r="HAX42" s="16"/>
      <c r="HAY42" s="16"/>
      <c r="HAZ42" s="16"/>
      <c r="HBA42" s="16"/>
      <c r="HBB42" s="16"/>
      <c r="HBC42" s="16"/>
      <c r="HBD42" s="16"/>
      <c r="HBE42" s="16"/>
      <c r="HBF42" s="16"/>
      <c r="HBG42" s="16"/>
      <c r="HBH42" s="16"/>
      <c r="HBI42" s="16"/>
      <c r="HBJ42" s="16"/>
      <c r="HBK42" s="16"/>
      <c r="HBL42" s="16"/>
      <c r="HBM42" s="16"/>
      <c r="HBN42" s="16"/>
      <c r="HBO42" s="16"/>
      <c r="HBP42" s="16"/>
      <c r="HBQ42" s="16"/>
      <c r="HBR42" s="16"/>
      <c r="HBS42" s="16"/>
      <c r="HBT42" s="16"/>
      <c r="HBU42" s="16"/>
      <c r="HBV42" s="16"/>
      <c r="HBW42" s="16"/>
      <c r="HBX42" s="16"/>
      <c r="HBY42" s="16"/>
      <c r="HBZ42" s="16"/>
      <c r="HCA42" s="16"/>
      <c r="HCB42" s="16"/>
      <c r="HCC42" s="16"/>
      <c r="HCD42" s="16"/>
      <c r="HCE42" s="16"/>
      <c r="HCF42" s="16"/>
      <c r="HCG42" s="16"/>
      <c r="HCH42" s="16"/>
      <c r="HCI42" s="16"/>
      <c r="HCJ42" s="16"/>
      <c r="HCK42" s="16"/>
      <c r="HCL42" s="16"/>
      <c r="HCM42" s="16"/>
      <c r="HCN42" s="16"/>
      <c r="HCO42" s="16"/>
      <c r="HCP42" s="16"/>
      <c r="HCQ42" s="16"/>
      <c r="HCR42" s="16"/>
      <c r="HCS42" s="16"/>
      <c r="HCT42" s="16"/>
      <c r="HCU42" s="16"/>
      <c r="HCV42" s="16"/>
      <c r="HCW42" s="16"/>
      <c r="HCX42" s="16"/>
      <c r="HCY42" s="16"/>
      <c r="HCZ42" s="16"/>
      <c r="HDA42" s="16"/>
      <c r="HDB42" s="16"/>
      <c r="HDC42" s="16"/>
      <c r="HDD42" s="16"/>
      <c r="HDE42" s="16"/>
      <c r="HDF42" s="16"/>
      <c r="HDG42" s="16"/>
      <c r="HDH42" s="16"/>
      <c r="HDI42" s="16"/>
      <c r="HDJ42" s="16"/>
      <c r="HDK42" s="16"/>
      <c r="HDL42" s="16"/>
      <c r="HDM42" s="16"/>
      <c r="HDN42" s="16"/>
      <c r="HDO42" s="16"/>
      <c r="HDP42" s="16"/>
      <c r="HDQ42" s="16"/>
      <c r="HDR42" s="16"/>
      <c r="HDS42" s="16"/>
      <c r="HDT42" s="16"/>
      <c r="HDU42" s="16"/>
      <c r="HDV42" s="16"/>
      <c r="HDW42" s="16"/>
      <c r="HDX42" s="16"/>
      <c r="HDY42" s="16"/>
      <c r="HDZ42" s="16"/>
      <c r="HEA42" s="16"/>
      <c r="HEB42" s="16"/>
      <c r="HEC42" s="16"/>
      <c r="HED42" s="16"/>
      <c r="HEE42" s="16"/>
      <c r="HEF42" s="16"/>
      <c r="HEG42" s="16"/>
      <c r="HEH42" s="16"/>
      <c r="HEI42" s="16"/>
      <c r="HEJ42" s="16"/>
      <c r="HEK42" s="16"/>
      <c r="HEL42" s="16"/>
      <c r="HEM42" s="16"/>
      <c r="HEN42" s="16"/>
      <c r="HEO42" s="16"/>
      <c r="HEP42" s="16"/>
      <c r="HEQ42" s="16"/>
      <c r="HER42" s="16"/>
      <c r="HES42" s="16"/>
      <c r="HET42" s="16"/>
      <c r="HEU42" s="16"/>
      <c r="HEV42" s="16"/>
      <c r="HEW42" s="16"/>
      <c r="HEX42" s="16"/>
      <c r="HEY42" s="16"/>
      <c r="HEZ42" s="16"/>
      <c r="HFA42" s="16"/>
      <c r="HFB42" s="16"/>
      <c r="HFC42" s="16"/>
      <c r="HFD42" s="16"/>
      <c r="HFE42" s="16"/>
      <c r="HFF42" s="16"/>
      <c r="HFG42" s="16"/>
      <c r="HFH42" s="16"/>
      <c r="HFI42" s="16"/>
      <c r="HFJ42" s="16"/>
      <c r="HFK42" s="16"/>
      <c r="HFL42" s="16"/>
      <c r="HFM42" s="16"/>
      <c r="HFN42" s="16"/>
      <c r="HFO42" s="16"/>
      <c r="HFP42" s="16"/>
      <c r="HFQ42" s="16"/>
      <c r="HFR42" s="16"/>
      <c r="HFS42" s="16"/>
      <c r="HFT42" s="16"/>
      <c r="HFU42" s="16"/>
      <c r="HFV42" s="16"/>
      <c r="HFW42" s="16"/>
      <c r="HFX42" s="16"/>
      <c r="HFY42" s="16"/>
      <c r="HFZ42" s="16"/>
      <c r="HGA42" s="16"/>
      <c r="HGB42" s="16"/>
      <c r="HGC42" s="16"/>
      <c r="HGD42" s="16"/>
      <c r="HGE42" s="16"/>
      <c r="HGF42" s="16"/>
      <c r="HGG42" s="16"/>
      <c r="HGH42" s="16"/>
      <c r="HGI42" s="16"/>
      <c r="HGJ42" s="16"/>
      <c r="HGK42" s="16"/>
      <c r="HGL42" s="16"/>
      <c r="HGM42" s="16"/>
      <c r="HGN42" s="16"/>
      <c r="HGO42" s="16"/>
      <c r="HGP42" s="16"/>
      <c r="HGQ42" s="16"/>
      <c r="HGR42" s="16"/>
      <c r="HGS42" s="16"/>
      <c r="HGT42" s="16"/>
      <c r="HGU42" s="16"/>
      <c r="HGV42" s="16"/>
      <c r="HGW42" s="16"/>
      <c r="HGX42" s="16"/>
      <c r="HGY42" s="16"/>
      <c r="HGZ42" s="16"/>
      <c r="HHA42" s="16"/>
      <c r="HHB42" s="16"/>
      <c r="HHC42" s="16"/>
      <c r="HHD42" s="16"/>
      <c r="HHE42" s="16"/>
      <c r="HHF42" s="16"/>
      <c r="HHG42" s="16"/>
      <c r="HHH42" s="16"/>
      <c r="HHI42" s="16"/>
      <c r="HHJ42" s="16"/>
      <c r="HHK42" s="16"/>
      <c r="HHL42" s="16"/>
      <c r="HHM42" s="16"/>
      <c r="HHN42" s="16"/>
      <c r="HHO42" s="16"/>
      <c r="HHP42" s="16"/>
      <c r="HHQ42" s="16"/>
      <c r="HHR42" s="16"/>
      <c r="HHS42" s="16"/>
      <c r="HHT42" s="16"/>
      <c r="HHU42" s="16"/>
      <c r="HHV42" s="16"/>
      <c r="HHW42" s="16"/>
      <c r="HHX42" s="16"/>
      <c r="HHY42" s="16"/>
      <c r="HHZ42" s="16"/>
      <c r="HIA42" s="16"/>
      <c r="HIB42" s="16"/>
      <c r="HIC42" s="16"/>
      <c r="HID42" s="16"/>
      <c r="HIE42" s="16"/>
      <c r="HIF42" s="16"/>
      <c r="HIG42" s="16"/>
      <c r="HIH42" s="16"/>
      <c r="HII42" s="16"/>
      <c r="HIJ42" s="16"/>
      <c r="HIK42" s="16"/>
      <c r="HIL42" s="16"/>
      <c r="HIM42" s="16"/>
      <c r="HIN42" s="16"/>
      <c r="HIO42" s="16"/>
      <c r="HIP42" s="16"/>
      <c r="HIQ42" s="16"/>
      <c r="HIR42" s="16"/>
      <c r="HIS42" s="16"/>
      <c r="HIT42" s="16"/>
      <c r="HIU42" s="16"/>
      <c r="HIV42" s="16"/>
      <c r="HIW42" s="16"/>
      <c r="HIX42" s="16"/>
      <c r="HIY42" s="16"/>
      <c r="HIZ42" s="16"/>
      <c r="HJA42" s="16"/>
      <c r="HJB42" s="16"/>
      <c r="HJC42" s="16"/>
      <c r="HJD42" s="16"/>
      <c r="HJE42" s="16"/>
      <c r="HJF42" s="16"/>
      <c r="HJG42" s="16"/>
      <c r="HJH42" s="16"/>
      <c r="HJI42" s="16"/>
      <c r="HJJ42" s="16"/>
      <c r="HJK42" s="16"/>
      <c r="HJL42" s="16"/>
      <c r="HJM42" s="16"/>
      <c r="HJN42" s="16"/>
      <c r="HJO42" s="16"/>
      <c r="HJP42" s="16"/>
      <c r="HJQ42" s="16"/>
      <c r="HJR42" s="16"/>
      <c r="HJS42" s="16"/>
      <c r="HJT42" s="16"/>
      <c r="HJU42" s="16"/>
      <c r="HJV42" s="16"/>
      <c r="HJW42" s="16"/>
      <c r="HJX42" s="16"/>
      <c r="HJY42" s="16"/>
      <c r="HJZ42" s="16"/>
      <c r="HKA42" s="16"/>
      <c r="HKB42" s="16"/>
      <c r="HKC42" s="16"/>
      <c r="HKD42" s="16"/>
      <c r="HKE42" s="16"/>
      <c r="HKF42" s="16"/>
      <c r="HKG42" s="16"/>
      <c r="HKH42" s="16"/>
      <c r="HKI42" s="16"/>
      <c r="HKJ42" s="16"/>
      <c r="HKK42" s="16"/>
      <c r="HKL42" s="16"/>
      <c r="HKM42" s="16"/>
      <c r="HKN42" s="16"/>
      <c r="HKO42" s="16"/>
      <c r="HKP42" s="16"/>
      <c r="HKQ42" s="16"/>
      <c r="HKR42" s="16"/>
      <c r="HKS42" s="16"/>
      <c r="HKT42" s="16"/>
      <c r="HKU42" s="16"/>
      <c r="HKV42" s="16"/>
      <c r="HKW42" s="16"/>
      <c r="HKX42" s="16"/>
      <c r="HKY42" s="16"/>
      <c r="HKZ42" s="16"/>
      <c r="HLA42" s="16"/>
      <c r="HLB42" s="16"/>
      <c r="HLC42" s="16"/>
      <c r="HLD42" s="16"/>
      <c r="HLE42" s="16"/>
      <c r="HLF42" s="16"/>
      <c r="HLG42" s="16"/>
      <c r="HLH42" s="16"/>
      <c r="HLI42" s="16"/>
      <c r="HLJ42" s="16"/>
      <c r="HLK42" s="16"/>
      <c r="HLL42" s="16"/>
      <c r="HLM42" s="16"/>
      <c r="HLN42" s="16"/>
      <c r="HLO42" s="16"/>
      <c r="HLP42" s="16"/>
      <c r="HLQ42" s="16"/>
      <c r="HLR42" s="16"/>
      <c r="HLS42" s="16"/>
      <c r="HLT42" s="16"/>
      <c r="HLU42" s="16"/>
      <c r="HLV42" s="16"/>
      <c r="HLW42" s="16"/>
      <c r="HLX42" s="16"/>
      <c r="HLY42" s="16"/>
      <c r="HLZ42" s="16"/>
      <c r="HMA42" s="16"/>
      <c r="HMB42" s="16"/>
      <c r="HMC42" s="16"/>
      <c r="HMD42" s="16"/>
      <c r="HME42" s="16"/>
      <c r="HMF42" s="16"/>
      <c r="HMG42" s="16"/>
      <c r="HMH42" s="16"/>
      <c r="HMI42" s="16"/>
      <c r="HMJ42" s="16"/>
      <c r="HMK42" s="16"/>
      <c r="HML42" s="16"/>
      <c r="HMM42" s="16"/>
      <c r="HMN42" s="16"/>
      <c r="HMO42" s="16"/>
      <c r="HMP42" s="16"/>
      <c r="HMQ42" s="16"/>
      <c r="HMR42" s="16"/>
      <c r="HMS42" s="16"/>
      <c r="HMT42" s="16"/>
      <c r="HMU42" s="16"/>
      <c r="HMV42" s="16"/>
      <c r="HMW42" s="16"/>
      <c r="HMX42" s="16"/>
      <c r="HMY42" s="16"/>
      <c r="HMZ42" s="16"/>
      <c r="HNA42" s="16"/>
      <c r="HNB42" s="16"/>
      <c r="HNC42" s="16"/>
      <c r="HND42" s="16"/>
      <c r="HNE42" s="16"/>
      <c r="HNF42" s="16"/>
      <c r="HNG42" s="16"/>
      <c r="HNH42" s="16"/>
      <c r="HNI42" s="16"/>
      <c r="HNJ42" s="16"/>
      <c r="HNK42" s="16"/>
      <c r="HNL42" s="16"/>
      <c r="HNM42" s="16"/>
      <c r="HNN42" s="16"/>
      <c r="HNO42" s="16"/>
      <c r="HNP42" s="16"/>
      <c r="HNQ42" s="16"/>
      <c r="HNR42" s="16"/>
      <c r="HNS42" s="16"/>
      <c r="HNT42" s="16"/>
      <c r="HNU42" s="16"/>
      <c r="HNV42" s="16"/>
      <c r="HNW42" s="16"/>
      <c r="HNX42" s="16"/>
      <c r="HNY42" s="16"/>
      <c r="HNZ42" s="16"/>
      <c r="HOA42" s="16"/>
      <c r="HOB42" s="16"/>
      <c r="HOC42" s="16"/>
      <c r="HOD42" s="16"/>
      <c r="HOE42" s="16"/>
      <c r="HOF42" s="16"/>
      <c r="HOG42" s="16"/>
      <c r="HOH42" s="16"/>
      <c r="HOI42" s="16"/>
      <c r="HOJ42" s="16"/>
      <c r="HOK42" s="16"/>
      <c r="HOL42" s="16"/>
      <c r="HOM42" s="16"/>
      <c r="HON42" s="16"/>
      <c r="HOO42" s="16"/>
      <c r="HOP42" s="16"/>
      <c r="HOQ42" s="16"/>
      <c r="HOR42" s="16"/>
      <c r="HOS42" s="16"/>
      <c r="HOT42" s="16"/>
      <c r="HOU42" s="16"/>
      <c r="HOV42" s="16"/>
      <c r="HOW42" s="16"/>
      <c r="HOX42" s="16"/>
      <c r="HOY42" s="16"/>
      <c r="HOZ42" s="16"/>
      <c r="HPA42" s="16"/>
      <c r="HPB42" s="16"/>
      <c r="HPC42" s="16"/>
      <c r="HPD42" s="16"/>
      <c r="HPE42" s="16"/>
      <c r="HPF42" s="16"/>
      <c r="HPG42" s="16"/>
      <c r="HPH42" s="16"/>
      <c r="HPI42" s="16"/>
      <c r="HPJ42" s="16"/>
      <c r="HPK42" s="16"/>
      <c r="HPL42" s="16"/>
      <c r="HPM42" s="16"/>
      <c r="HPN42" s="16"/>
      <c r="HPO42" s="16"/>
      <c r="HPP42" s="16"/>
      <c r="HPQ42" s="16"/>
      <c r="HPR42" s="16"/>
      <c r="HPS42" s="16"/>
      <c r="HPT42" s="16"/>
      <c r="HPU42" s="16"/>
      <c r="HPV42" s="16"/>
      <c r="HPW42" s="16"/>
      <c r="HPX42" s="16"/>
      <c r="HPY42" s="16"/>
      <c r="HPZ42" s="16"/>
      <c r="HQA42" s="16"/>
      <c r="HQB42" s="16"/>
      <c r="HQC42" s="16"/>
      <c r="HQD42" s="16"/>
      <c r="HQE42" s="16"/>
      <c r="HQF42" s="16"/>
      <c r="HQG42" s="16"/>
      <c r="HQH42" s="16"/>
      <c r="HQI42" s="16"/>
      <c r="HQJ42" s="16"/>
      <c r="HQK42" s="16"/>
      <c r="HQL42" s="16"/>
      <c r="HQM42" s="16"/>
      <c r="HQN42" s="16"/>
      <c r="HQO42" s="16"/>
      <c r="HQP42" s="16"/>
      <c r="HQQ42" s="16"/>
      <c r="HQR42" s="16"/>
      <c r="HQS42" s="16"/>
      <c r="HQT42" s="16"/>
      <c r="HQU42" s="16"/>
      <c r="HQV42" s="16"/>
      <c r="HQW42" s="16"/>
      <c r="HQX42" s="16"/>
      <c r="HQY42" s="16"/>
      <c r="HQZ42" s="16"/>
      <c r="HRA42" s="16"/>
      <c r="HRB42" s="16"/>
      <c r="HRC42" s="16"/>
      <c r="HRD42" s="16"/>
      <c r="HRE42" s="16"/>
      <c r="HRF42" s="16"/>
      <c r="HRG42" s="16"/>
      <c r="HRH42" s="16"/>
      <c r="HRI42" s="16"/>
      <c r="HRJ42" s="16"/>
      <c r="HRK42" s="16"/>
      <c r="HRL42" s="16"/>
      <c r="HRM42" s="16"/>
      <c r="HRN42" s="16"/>
      <c r="HRO42" s="16"/>
      <c r="HRP42" s="16"/>
      <c r="HRQ42" s="16"/>
      <c r="HRR42" s="16"/>
      <c r="HRS42" s="16"/>
      <c r="HRT42" s="16"/>
      <c r="HRU42" s="16"/>
      <c r="HRV42" s="16"/>
      <c r="HRW42" s="16"/>
      <c r="HRX42" s="16"/>
      <c r="HRY42" s="16"/>
      <c r="HRZ42" s="16"/>
      <c r="HSA42" s="16"/>
      <c r="HSB42" s="16"/>
      <c r="HSC42" s="16"/>
      <c r="HSD42" s="16"/>
      <c r="HSE42" s="16"/>
      <c r="HSF42" s="16"/>
      <c r="HSG42" s="16"/>
      <c r="HSH42" s="16"/>
      <c r="HSI42" s="16"/>
      <c r="HSJ42" s="16"/>
      <c r="HSK42" s="16"/>
      <c r="HSL42" s="16"/>
      <c r="HSM42" s="16"/>
      <c r="HSN42" s="16"/>
      <c r="HSO42" s="16"/>
      <c r="HSP42" s="16"/>
      <c r="HSQ42" s="16"/>
      <c r="HSR42" s="16"/>
      <c r="HSS42" s="16"/>
      <c r="HST42" s="16"/>
      <c r="HSU42" s="16"/>
      <c r="HSV42" s="16"/>
      <c r="HSW42" s="16"/>
      <c r="HSX42" s="16"/>
      <c r="HSY42" s="16"/>
      <c r="HSZ42" s="16"/>
      <c r="HTA42" s="16"/>
      <c r="HTB42" s="16"/>
      <c r="HTC42" s="16"/>
      <c r="HTD42" s="16"/>
      <c r="HTE42" s="16"/>
      <c r="HTF42" s="16"/>
      <c r="HTG42" s="16"/>
      <c r="HTH42" s="16"/>
      <c r="HTI42" s="16"/>
      <c r="HTJ42" s="16"/>
      <c r="HTK42" s="16"/>
      <c r="HTL42" s="16"/>
      <c r="HTM42" s="16"/>
      <c r="HTN42" s="16"/>
      <c r="HTO42" s="16"/>
      <c r="HTP42" s="16"/>
      <c r="HTQ42" s="16"/>
      <c r="HTR42" s="16"/>
      <c r="HTS42" s="16"/>
      <c r="HTT42" s="16"/>
      <c r="HTU42" s="16"/>
      <c r="HTV42" s="16"/>
      <c r="HTW42" s="16"/>
      <c r="HTX42" s="16"/>
      <c r="HTY42" s="16"/>
      <c r="HTZ42" s="16"/>
      <c r="HUA42" s="16"/>
      <c r="HUB42" s="16"/>
      <c r="HUC42" s="16"/>
      <c r="HUD42" s="16"/>
      <c r="HUE42" s="16"/>
      <c r="HUF42" s="16"/>
      <c r="HUG42" s="16"/>
      <c r="HUH42" s="16"/>
      <c r="HUI42" s="16"/>
      <c r="HUJ42" s="16"/>
      <c r="HUK42" s="16"/>
      <c r="HUL42" s="16"/>
      <c r="HUM42" s="16"/>
      <c r="HUN42" s="16"/>
      <c r="HUO42" s="16"/>
      <c r="HUP42" s="16"/>
      <c r="HUQ42" s="16"/>
      <c r="HUR42" s="16"/>
      <c r="HUS42" s="16"/>
      <c r="HUT42" s="16"/>
      <c r="HUU42" s="16"/>
      <c r="HUV42" s="16"/>
      <c r="HUW42" s="16"/>
      <c r="HUX42" s="16"/>
      <c r="HUY42" s="16"/>
      <c r="HUZ42" s="16"/>
      <c r="HVA42" s="16"/>
      <c r="HVB42" s="16"/>
      <c r="HVC42" s="16"/>
      <c r="HVD42" s="16"/>
      <c r="HVE42" s="16"/>
      <c r="HVF42" s="16"/>
      <c r="HVG42" s="16"/>
      <c r="HVH42" s="16"/>
      <c r="HVI42" s="16"/>
      <c r="HVJ42" s="16"/>
      <c r="HVK42" s="16"/>
      <c r="HVL42" s="16"/>
      <c r="HVM42" s="16"/>
      <c r="HVN42" s="16"/>
      <c r="HVO42" s="16"/>
      <c r="HVP42" s="16"/>
      <c r="HVQ42" s="16"/>
      <c r="HVR42" s="16"/>
      <c r="HVS42" s="16"/>
      <c r="HVT42" s="16"/>
      <c r="HVU42" s="16"/>
      <c r="HVV42" s="16"/>
      <c r="HVW42" s="16"/>
      <c r="HVX42" s="16"/>
      <c r="HVY42" s="16"/>
      <c r="HVZ42" s="16"/>
      <c r="HWA42" s="16"/>
      <c r="HWB42" s="16"/>
      <c r="HWC42" s="16"/>
      <c r="HWD42" s="16"/>
      <c r="HWE42" s="16"/>
      <c r="HWF42" s="16"/>
      <c r="HWG42" s="16"/>
      <c r="HWH42" s="16"/>
      <c r="HWI42" s="16"/>
      <c r="HWJ42" s="16"/>
      <c r="HWK42" s="16"/>
      <c r="HWL42" s="16"/>
      <c r="HWM42" s="16"/>
      <c r="HWN42" s="16"/>
      <c r="HWO42" s="16"/>
      <c r="HWP42" s="16"/>
      <c r="HWQ42" s="16"/>
      <c r="HWR42" s="16"/>
      <c r="HWS42" s="16"/>
      <c r="HWT42" s="16"/>
      <c r="HWU42" s="16"/>
      <c r="HWV42" s="16"/>
      <c r="HWW42" s="16"/>
      <c r="HWX42" s="16"/>
      <c r="HWY42" s="16"/>
      <c r="HWZ42" s="16"/>
      <c r="HXA42" s="16"/>
      <c r="HXB42" s="16"/>
      <c r="HXC42" s="16"/>
      <c r="HXD42" s="16"/>
      <c r="HXE42" s="16"/>
      <c r="HXF42" s="16"/>
      <c r="HXG42" s="16"/>
      <c r="HXH42" s="16"/>
      <c r="HXI42" s="16"/>
      <c r="HXJ42" s="16"/>
      <c r="HXK42" s="16"/>
      <c r="HXL42" s="16"/>
      <c r="HXM42" s="16"/>
      <c r="HXN42" s="16"/>
      <c r="HXO42" s="16"/>
      <c r="HXP42" s="16"/>
      <c r="HXQ42" s="16"/>
      <c r="HXR42" s="16"/>
      <c r="HXS42" s="16"/>
      <c r="HXT42" s="16"/>
      <c r="HXU42" s="16"/>
      <c r="HXV42" s="16"/>
      <c r="HXW42" s="16"/>
      <c r="HXX42" s="16"/>
      <c r="HXY42" s="16"/>
      <c r="HXZ42" s="16"/>
      <c r="HYA42" s="16"/>
      <c r="HYB42" s="16"/>
      <c r="HYC42" s="16"/>
      <c r="HYD42" s="16"/>
      <c r="HYE42" s="16"/>
      <c r="HYF42" s="16"/>
      <c r="HYG42" s="16"/>
      <c r="HYH42" s="16"/>
      <c r="HYI42" s="16"/>
      <c r="HYJ42" s="16"/>
      <c r="HYK42" s="16"/>
      <c r="HYL42" s="16"/>
      <c r="HYM42" s="16"/>
      <c r="HYN42" s="16"/>
      <c r="HYO42" s="16"/>
      <c r="HYP42" s="16"/>
      <c r="HYQ42" s="16"/>
      <c r="HYR42" s="16"/>
      <c r="HYS42" s="16"/>
      <c r="HYT42" s="16"/>
      <c r="HYU42" s="16"/>
      <c r="HYV42" s="16"/>
      <c r="HYW42" s="16"/>
      <c r="HYX42" s="16"/>
      <c r="HYY42" s="16"/>
      <c r="HYZ42" s="16"/>
      <c r="HZA42" s="16"/>
      <c r="HZB42" s="16"/>
      <c r="HZC42" s="16"/>
      <c r="HZD42" s="16"/>
      <c r="HZE42" s="16"/>
      <c r="HZF42" s="16"/>
      <c r="HZG42" s="16"/>
      <c r="HZH42" s="16"/>
      <c r="HZI42" s="16"/>
      <c r="HZJ42" s="16"/>
      <c r="HZK42" s="16"/>
      <c r="HZL42" s="16"/>
      <c r="HZM42" s="16"/>
      <c r="HZN42" s="16"/>
      <c r="HZO42" s="16"/>
      <c r="HZP42" s="16"/>
      <c r="HZQ42" s="16"/>
      <c r="HZR42" s="16"/>
      <c r="HZS42" s="16"/>
      <c r="HZT42" s="16"/>
      <c r="HZU42" s="16"/>
      <c r="HZV42" s="16"/>
      <c r="HZW42" s="16"/>
      <c r="HZX42" s="16"/>
      <c r="HZY42" s="16"/>
      <c r="HZZ42" s="16"/>
      <c r="IAA42" s="16"/>
      <c r="IAB42" s="16"/>
      <c r="IAC42" s="16"/>
      <c r="IAD42" s="16"/>
      <c r="IAE42" s="16"/>
      <c r="IAF42" s="16"/>
      <c r="IAG42" s="16"/>
      <c r="IAH42" s="16"/>
      <c r="IAI42" s="16"/>
      <c r="IAJ42" s="16"/>
      <c r="IAK42" s="16"/>
      <c r="IAL42" s="16"/>
      <c r="IAM42" s="16"/>
      <c r="IAN42" s="16"/>
      <c r="IAO42" s="16"/>
      <c r="IAP42" s="16"/>
      <c r="IAQ42" s="16"/>
      <c r="IAR42" s="16"/>
      <c r="IAS42" s="16"/>
      <c r="IAT42" s="16"/>
      <c r="IAU42" s="16"/>
      <c r="IAV42" s="16"/>
      <c r="IAW42" s="16"/>
      <c r="IAX42" s="16"/>
      <c r="IAY42" s="16"/>
      <c r="IAZ42" s="16"/>
      <c r="IBA42" s="16"/>
      <c r="IBB42" s="16"/>
      <c r="IBC42" s="16"/>
      <c r="IBD42" s="16"/>
      <c r="IBE42" s="16"/>
      <c r="IBF42" s="16"/>
      <c r="IBG42" s="16"/>
      <c r="IBH42" s="16"/>
      <c r="IBI42" s="16"/>
      <c r="IBJ42" s="16"/>
      <c r="IBK42" s="16"/>
      <c r="IBL42" s="16"/>
      <c r="IBM42" s="16"/>
      <c r="IBN42" s="16"/>
      <c r="IBO42" s="16"/>
      <c r="IBP42" s="16"/>
      <c r="IBQ42" s="16"/>
      <c r="IBR42" s="16"/>
      <c r="IBS42" s="16"/>
      <c r="IBT42" s="16"/>
      <c r="IBU42" s="16"/>
      <c r="IBV42" s="16"/>
      <c r="IBW42" s="16"/>
      <c r="IBX42" s="16"/>
      <c r="IBY42" s="16"/>
      <c r="IBZ42" s="16"/>
      <c r="ICA42" s="16"/>
      <c r="ICB42" s="16"/>
      <c r="ICC42" s="16"/>
      <c r="ICD42" s="16"/>
      <c r="ICE42" s="16"/>
      <c r="ICF42" s="16"/>
      <c r="ICG42" s="16"/>
      <c r="ICH42" s="16"/>
      <c r="ICI42" s="16"/>
      <c r="ICJ42" s="16"/>
      <c r="ICK42" s="16"/>
      <c r="ICL42" s="16"/>
      <c r="ICM42" s="16"/>
      <c r="ICN42" s="16"/>
      <c r="ICO42" s="16"/>
      <c r="ICP42" s="16"/>
      <c r="ICQ42" s="16"/>
      <c r="ICR42" s="16"/>
      <c r="ICS42" s="16"/>
      <c r="ICT42" s="16"/>
      <c r="ICU42" s="16"/>
      <c r="ICV42" s="16"/>
      <c r="ICW42" s="16"/>
      <c r="ICX42" s="16"/>
      <c r="ICY42" s="16"/>
      <c r="ICZ42" s="16"/>
      <c r="IDA42" s="16"/>
      <c r="IDB42" s="16"/>
      <c r="IDC42" s="16"/>
      <c r="IDD42" s="16"/>
      <c r="IDE42" s="16"/>
      <c r="IDF42" s="16"/>
      <c r="IDG42" s="16"/>
      <c r="IDH42" s="16"/>
      <c r="IDI42" s="16"/>
      <c r="IDJ42" s="16"/>
      <c r="IDK42" s="16"/>
      <c r="IDL42" s="16"/>
      <c r="IDM42" s="16"/>
      <c r="IDN42" s="16"/>
      <c r="IDO42" s="16"/>
      <c r="IDP42" s="16"/>
      <c r="IDQ42" s="16"/>
      <c r="IDR42" s="16"/>
      <c r="IDS42" s="16"/>
      <c r="IDT42" s="16"/>
      <c r="IDU42" s="16"/>
      <c r="IDV42" s="16"/>
      <c r="IDW42" s="16"/>
      <c r="IDX42" s="16"/>
      <c r="IDY42" s="16"/>
      <c r="IDZ42" s="16"/>
      <c r="IEA42" s="16"/>
      <c r="IEB42" s="16"/>
      <c r="IEC42" s="16"/>
      <c r="IED42" s="16"/>
      <c r="IEE42" s="16"/>
      <c r="IEF42" s="16"/>
      <c r="IEG42" s="16"/>
      <c r="IEH42" s="16"/>
      <c r="IEI42" s="16"/>
      <c r="IEJ42" s="16"/>
      <c r="IEK42" s="16"/>
      <c r="IEL42" s="16"/>
      <c r="IEM42" s="16"/>
      <c r="IEN42" s="16"/>
      <c r="IEO42" s="16"/>
      <c r="IEP42" s="16"/>
      <c r="IEQ42" s="16"/>
      <c r="IER42" s="16"/>
      <c r="IES42" s="16"/>
      <c r="IET42" s="16"/>
      <c r="IEU42" s="16"/>
      <c r="IEV42" s="16"/>
      <c r="IEW42" s="16"/>
      <c r="IEX42" s="16"/>
      <c r="IEY42" s="16"/>
      <c r="IEZ42" s="16"/>
      <c r="IFA42" s="16"/>
      <c r="IFB42" s="16"/>
      <c r="IFC42" s="16"/>
      <c r="IFD42" s="16"/>
      <c r="IFE42" s="16"/>
      <c r="IFF42" s="16"/>
      <c r="IFG42" s="16"/>
      <c r="IFH42" s="16"/>
      <c r="IFI42" s="16"/>
      <c r="IFJ42" s="16"/>
      <c r="IFK42" s="16"/>
      <c r="IFL42" s="16"/>
      <c r="IFM42" s="16"/>
      <c r="IFN42" s="16"/>
      <c r="IFO42" s="16"/>
      <c r="IFP42" s="16"/>
      <c r="IFQ42" s="16"/>
      <c r="IFR42" s="16"/>
      <c r="IFS42" s="16"/>
      <c r="IFT42" s="16"/>
      <c r="IFU42" s="16"/>
      <c r="IFV42" s="16"/>
      <c r="IFW42" s="16"/>
      <c r="IFX42" s="16"/>
      <c r="IFY42" s="16"/>
      <c r="IFZ42" s="16"/>
      <c r="IGA42" s="16"/>
      <c r="IGB42" s="16"/>
      <c r="IGC42" s="16"/>
      <c r="IGD42" s="16"/>
      <c r="IGE42" s="16"/>
      <c r="IGF42" s="16"/>
      <c r="IGG42" s="16"/>
      <c r="IGH42" s="16"/>
      <c r="IGI42" s="16"/>
      <c r="IGJ42" s="16"/>
      <c r="IGK42" s="16"/>
      <c r="IGL42" s="16"/>
      <c r="IGM42" s="16"/>
      <c r="IGN42" s="16"/>
      <c r="IGO42" s="16"/>
      <c r="IGP42" s="16"/>
      <c r="IGQ42" s="16"/>
      <c r="IGR42" s="16"/>
      <c r="IGS42" s="16"/>
      <c r="IGT42" s="16"/>
      <c r="IGU42" s="16"/>
      <c r="IGV42" s="16"/>
      <c r="IGW42" s="16"/>
      <c r="IGX42" s="16"/>
      <c r="IGY42" s="16"/>
      <c r="IGZ42" s="16"/>
      <c r="IHA42" s="16"/>
      <c r="IHB42" s="16"/>
      <c r="IHC42" s="16"/>
      <c r="IHD42" s="16"/>
      <c r="IHE42" s="16"/>
      <c r="IHF42" s="16"/>
      <c r="IHG42" s="16"/>
      <c r="IHH42" s="16"/>
      <c r="IHI42" s="16"/>
      <c r="IHJ42" s="16"/>
      <c r="IHK42" s="16"/>
      <c r="IHL42" s="16"/>
      <c r="IHM42" s="16"/>
      <c r="IHN42" s="16"/>
      <c r="IHO42" s="16"/>
      <c r="IHP42" s="16"/>
      <c r="IHQ42" s="16"/>
      <c r="IHR42" s="16"/>
      <c r="IHS42" s="16"/>
      <c r="IHT42" s="16"/>
      <c r="IHU42" s="16"/>
      <c r="IHV42" s="16"/>
      <c r="IHW42" s="16"/>
      <c r="IHX42" s="16"/>
      <c r="IHY42" s="16"/>
      <c r="IHZ42" s="16"/>
      <c r="IIA42" s="16"/>
      <c r="IIB42" s="16"/>
      <c r="IIC42" s="16"/>
      <c r="IID42" s="16"/>
      <c r="IIE42" s="16"/>
      <c r="IIF42" s="16"/>
      <c r="IIG42" s="16"/>
      <c r="IIH42" s="16"/>
      <c r="III42" s="16"/>
      <c r="IIJ42" s="16"/>
      <c r="IIK42" s="16"/>
      <c r="IIL42" s="16"/>
      <c r="IIM42" s="16"/>
      <c r="IIN42" s="16"/>
      <c r="IIO42" s="16"/>
      <c r="IIP42" s="16"/>
      <c r="IIQ42" s="16"/>
      <c r="IIR42" s="16"/>
      <c r="IIS42" s="16"/>
      <c r="IIT42" s="16"/>
      <c r="IIU42" s="16"/>
      <c r="IIV42" s="16"/>
      <c r="IIW42" s="16"/>
      <c r="IIX42" s="16"/>
      <c r="IIY42" s="16"/>
      <c r="IIZ42" s="16"/>
      <c r="IJA42" s="16"/>
      <c r="IJB42" s="16"/>
      <c r="IJC42" s="16"/>
      <c r="IJD42" s="16"/>
      <c r="IJE42" s="16"/>
      <c r="IJF42" s="16"/>
      <c r="IJG42" s="16"/>
      <c r="IJH42" s="16"/>
      <c r="IJI42" s="16"/>
      <c r="IJJ42" s="16"/>
      <c r="IJK42" s="16"/>
      <c r="IJL42" s="16"/>
      <c r="IJM42" s="16"/>
      <c r="IJN42" s="16"/>
      <c r="IJO42" s="16"/>
      <c r="IJP42" s="16"/>
      <c r="IJQ42" s="16"/>
      <c r="IJR42" s="16"/>
      <c r="IJS42" s="16"/>
      <c r="IJT42" s="16"/>
      <c r="IJU42" s="16"/>
      <c r="IJV42" s="16"/>
      <c r="IJW42" s="16"/>
      <c r="IJX42" s="16"/>
      <c r="IJY42" s="16"/>
      <c r="IJZ42" s="16"/>
      <c r="IKA42" s="16"/>
      <c r="IKB42" s="16"/>
      <c r="IKC42" s="16"/>
      <c r="IKD42" s="16"/>
      <c r="IKE42" s="16"/>
      <c r="IKF42" s="16"/>
      <c r="IKG42" s="16"/>
      <c r="IKH42" s="16"/>
      <c r="IKI42" s="16"/>
      <c r="IKJ42" s="16"/>
      <c r="IKK42" s="16"/>
      <c r="IKL42" s="16"/>
      <c r="IKM42" s="16"/>
      <c r="IKN42" s="16"/>
      <c r="IKO42" s="16"/>
      <c r="IKP42" s="16"/>
      <c r="IKQ42" s="16"/>
      <c r="IKR42" s="16"/>
      <c r="IKS42" s="16"/>
      <c r="IKT42" s="16"/>
      <c r="IKU42" s="16"/>
      <c r="IKV42" s="16"/>
      <c r="IKW42" s="16"/>
      <c r="IKX42" s="16"/>
      <c r="IKY42" s="16"/>
      <c r="IKZ42" s="16"/>
      <c r="ILA42" s="16"/>
      <c r="ILB42" s="16"/>
      <c r="ILC42" s="16"/>
      <c r="ILD42" s="16"/>
      <c r="ILE42" s="16"/>
      <c r="ILF42" s="16"/>
      <c r="ILG42" s="16"/>
      <c r="ILH42" s="16"/>
      <c r="ILI42" s="16"/>
      <c r="ILJ42" s="16"/>
      <c r="ILK42" s="16"/>
      <c r="ILL42" s="16"/>
      <c r="ILM42" s="16"/>
      <c r="ILN42" s="16"/>
      <c r="ILO42" s="16"/>
      <c r="ILP42" s="16"/>
      <c r="ILQ42" s="16"/>
      <c r="ILR42" s="16"/>
      <c r="ILS42" s="16"/>
      <c r="ILT42" s="16"/>
      <c r="ILU42" s="16"/>
      <c r="ILV42" s="16"/>
      <c r="ILW42" s="16"/>
      <c r="ILX42" s="16"/>
      <c r="ILY42" s="16"/>
      <c r="ILZ42" s="16"/>
      <c r="IMA42" s="16"/>
      <c r="IMB42" s="16"/>
      <c r="IMC42" s="16"/>
      <c r="IMD42" s="16"/>
      <c r="IME42" s="16"/>
      <c r="IMF42" s="16"/>
      <c r="IMG42" s="16"/>
      <c r="IMH42" s="16"/>
      <c r="IMI42" s="16"/>
      <c r="IMJ42" s="16"/>
      <c r="IMK42" s="16"/>
      <c r="IML42" s="16"/>
      <c r="IMM42" s="16"/>
      <c r="IMN42" s="16"/>
      <c r="IMO42" s="16"/>
      <c r="IMP42" s="16"/>
      <c r="IMQ42" s="16"/>
      <c r="IMR42" s="16"/>
      <c r="IMS42" s="16"/>
      <c r="IMT42" s="16"/>
      <c r="IMU42" s="16"/>
      <c r="IMV42" s="16"/>
      <c r="IMW42" s="16"/>
      <c r="IMX42" s="16"/>
      <c r="IMY42" s="16"/>
      <c r="IMZ42" s="16"/>
      <c r="INA42" s="16"/>
      <c r="INB42" s="16"/>
      <c r="INC42" s="16"/>
      <c r="IND42" s="16"/>
      <c r="INE42" s="16"/>
      <c r="INF42" s="16"/>
      <c r="ING42" s="16"/>
      <c r="INH42" s="16"/>
      <c r="INI42" s="16"/>
      <c r="INJ42" s="16"/>
      <c r="INK42" s="16"/>
      <c r="INL42" s="16"/>
      <c r="INM42" s="16"/>
      <c r="INN42" s="16"/>
      <c r="INO42" s="16"/>
      <c r="INP42" s="16"/>
      <c r="INQ42" s="16"/>
      <c r="INR42" s="16"/>
      <c r="INS42" s="16"/>
      <c r="INT42" s="16"/>
      <c r="INU42" s="16"/>
      <c r="INV42" s="16"/>
      <c r="INW42" s="16"/>
      <c r="INX42" s="16"/>
      <c r="INY42" s="16"/>
      <c r="INZ42" s="16"/>
      <c r="IOA42" s="16"/>
      <c r="IOB42" s="16"/>
      <c r="IOC42" s="16"/>
      <c r="IOD42" s="16"/>
      <c r="IOE42" s="16"/>
      <c r="IOF42" s="16"/>
      <c r="IOG42" s="16"/>
      <c r="IOH42" s="16"/>
      <c r="IOI42" s="16"/>
      <c r="IOJ42" s="16"/>
      <c r="IOK42" s="16"/>
      <c r="IOL42" s="16"/>
      <c r="IOM42" s="16"/>
      <c r="ION42" s="16"/>
      <c r="IOO42" s="16"/>
      <c r="IOP42" s="16"/>
      <c r="IOQ42" s="16"/>
      <c r="IOR42" s="16"/>
      <c r="IOS42" s="16"/>
      <c r="IOT42" s="16"/>
      <c r="IOU42" s="16"/>
      <c r="IOV42" s="16"/>
      <c r="IOW42" s="16"/>
      <c r="IOX42" s="16"/>
      <c r="IOY42" s="16"/>
      <c r="IOZ42" s="16"/>
      <c r="IPA42" s="16"/>
      <c r="IPB42" s="16"/>
      <c r="IPC42" s="16"/>
      <c r="IPD42" s="16"/>
      <c r="IPE42" s="16"/>
      <c r="IPF42" s="16"/>
      <c r="IPG42" s="16"/>
      <c r="IPH42" s="16"/>
      <c r="IPI42" s="16"/>
      <c r="IPJ42" s="16"/>
      <c r="IPK42" s="16"/>
      <c r="IPL42" s="16"/>
      <c r="IPM42" s="16"/>
      <c r="IPN42" s="16"/>
      <c r="IPO42" s="16"/>
      <c r="IPP42" s="16"/>
      <c r="IPQ42" s="16"/>
      <c r="IPR42" s="16"/>
      <c r="IPS42" s="16"/>
      <c r="IPT42" s="16"/>
      <c r="IPU42" s="16"/>
      <c r="IPV42" s="16"/>
      <c r="IPW42" s="16"/>
      <c r="IPX42" s="16"/>
      <c r="IPY42" s="16"/>
      <c r="IPZ42" s="16"/>
      <c r="IQA42" s="16"/>
      <c r="IQB42" s="16"/>
      <c r="IQC42" s="16"/>
      <c r="IQD42" s="16"/>
      <c r="IQE42" s="16"/>
      <c r="IQF42" s="16"/>
      <c r="IQG42" s="16"/>
      <c r="IQH42" s="16"/>
      <c r="IQI42" s="16"/>
      <c r="IQJ42" s="16"/>
      <c r="IQK42" s="16"/>
      <c r="IQL42" s="16"/>
      <c r="IQM42" s="16"/>
      <c r="IQN42" s="16"/>
      <c r="IQO42" s="16"/>
      <c r="IQP42" s="16"/>
      <c r="IQQ42" s="16"/>
      <c r="IQR42" s="16"/>
      <c r="IQS42" s="16"/>
      <c r="IQT42" s="16"/>
      <c r="IQU42" s="16"/>
      <c r="IQV42" s="16"/>
      <c r="IQW42" s="16"/>
      <c r="IQX42" s="16"/>
      <c r="IQY42" s="16"/>
      <c r="IQZ42" s="16"/>
      <c r="IRA42" s="16"/>
      <c r="IRB42" s="16"/>
      <c r="IRC42" s="16"/>
      <c r="IRD42" s="16"/>
      <c r="IRE42" s="16"/>
      <c r="IRF42" s="16"/>
      <c r="IRG42" s="16"/>
      <c r="IRH42" s="16"/>
      <c r="IRI42" s="16"/>
      <c r="IRJ42" s="16"/>
      <c r="IRK42" s="16"/>
      <c r="IRL42" s="16"/>
      <c r="IRM42" s="16"/>
      <c r="IRN42" s="16"/>
      <c r="IRO42" s="16"/>
      <c r="IRP42" s="16"/>
      <c r="IRQ42" s="16"/>
      <c r="IRR42" s="16"/>
      <c r="IRS42" s="16"/>
      <c r="IRT42" s="16"/>
      <c r="IRU42" s="16"/>
      <c r="IRV42" s="16"/>
      <c r="IRW42" s="16"/>
      <c r="IRX42" s="16"/>
      <c r="IRY42" s="16"/>
      <c r="IRZ42" s="16"/>
      <c r="ISA42" s="16"/>
      <c r="ISB42" s="16"/>
      <c r="ISC42" s="16"/>
      <c r="ISD42" s="16"/>
      <c r="ISE42" s="16"/>
      <c r="ISF42" s="16"/>
      <c r="ISG42" s="16"/>
      <c r="ISH42" s="16"/>
      <c r="ISI42" s="16"/>
      <c r="ISJ42" s="16"/>
      <c r="ISK42" s="16"/>
      <c r="ISL42" s="16"/>
      <c r="ISM42" s="16"/>
      <c r="ISN42" s="16"/>
      <c r="ISO42" s="16"/>
      <c r="ISP42" s="16"/>
      <c r="ISQ42" s="16"/>
      <c r="ISR42" s="16"/>
      <c r="ISS42" s="16"/>
      <c r="IST42" s="16"/>
      <c r="ISU42" s="16"/>
      <c r="ISV42" s="16"/>
      <c r="ISW42" s="16"/>
      <c r="ISX42" s="16"/>
      <c r="ISY42" s="16"/>
      <c r="ISZ42" s="16"/>
      <c r="ITA42" s="16"/>
      <c r="ITB42" s="16"/>
      <c r="ITC42" s="16"/>
      <c r="ITD42" s="16"/>
      <c r="ITE42" s="16"/>
      <c r="ITF42" s="16"/>
      <c r="ITG42" s="16"/>
      <c r="ITH42" s="16"/>
      <c r="ITI42" s="16"/>
      <c r="ITJ42" s="16"/>
      <c r="ITK42" s="16"/>
      <c r="ITL42" s="16"/>
      <c r="ITM42" s="16"/>
      <c r="ITN42" s="16"/>
      <c r="ITO42" s="16"/>
      <c r="ITP42" s="16"/>
      <c r="ITQ42" s="16"/>
      <c r="ITR42" s="16"/>
      <c r="ITS42" s="16"/>
      <c r="ITT42" s="16"/>
      <c r="ITU42" s="16"/>
      <c r="ITV42" s="16"/>
      <c r="ITW42" s="16"/>
      <c r="ITX42" s="16"/>
      <c r="ITY42" s="16"/>
      <c r="ITZ42" s="16"/>
      <c r="IUA42" s="16"/>
      <c r="IUB42" s="16"/>
      <c r="IUC42" s="16"/>
      <c r="IUD42" s="16"/>
      <c r="IUE42" s="16"/>
      <c r="IUF42" s="16"/>
      <c r="IUG42" s="16"/>
      <c r="IUH42" s="16"/>
      <c r="IUI42" s="16"/>
      <c r="IUJ42" s="16"/>
      <c r="IUK42" s="16"/>
      <c r="IUL42" s="16"/>
      <c r="IUM42" s="16"/>
      <c r="IUN42" s="16"/>
      <c r="IUO42" s="16"/>
      <c r="IUP42" s="16"/>
      <c r="IUQ42" s="16"/>
      <c r="IUR42" s="16"/>
      <c r="IUS42" s="16"/>
      <c r="IUT42" s="16"/>
      <c r="IUU42" s="16"/>
      <c r="IUV42" s="16"/>
      <c r="IUW42" s="16"/>
      <c r="IUX42" s="16"/>
      <c r="IUY42" s="16"/>
      <c r="IUZ42" s="16"/>
      <c r="IVA42" s="16"/>
      <c r="IVB42" s="16"/>
      <c r="IVC42" s="16"/>
      <c r="IVD42" s="16"/>
      <c r="IVE42" s="16"/>
      <c r="IVF42" s="16"/>
      <c r="IVG42" s="16"/>
      <c r="IVH42" s="16"/>
      <c r="IVI42" s="16"/>
      <c r="IVJ42" s="16"/>
      <c r="IVK42" s="16"/>
      <c r="IVL42" s="16"/>
      <c r="IVM42" s="16"/>
      <c r="IVN42" s="16"/>
      <c r="IVO42" s="16"/>
      <c r="IVP42" s="16"/>
      <c r="IVQ42" s="16"/>
      <c r="IVR42" s="16"/>
      <c r="IVS42" s="16"/>
      <c r="IVT42" s="16"/>
      <c r="IVU42" s="16"/>
      <c r="IVV42" s="16"/>
      <c r="IVW42" s="16"/>
      <c r="IVX42" s="16"/>
      <c r="IVY42" s="16"/>
      <c r="IVZ42" s="16"/>
      <c r="IWA42" s="16"/>
      <c r="IWB42" s="16"/>
      <c r="IWC42" s="16"/>
      <c r="IWD42" s="16"/>
      <c r="IWE42" s="16"/>
      <c r="IWF42" s="16"/>
      <c r="IWG42" s="16"/>
      <c r="IWH42" s="16"/>
      <c r="IWI42" s="16"/>
      <c r="IWJ42" s="16"/>
      <c r="IWK42" s="16"/>
      <c r="IWL42" s="16"/>
      <c r="IWM42" s="16"/>
      <c r="IWN42" s="16"/>
      <c r="IWO42" s="16"/>
      <c r="IWP42" s="16"/>
      <c r="IWQ42" s="16"/>
      <c r="IWR42" s="16"/>
      <c r="IWS42" s="16"/>
      <c r="IWT42" s="16"/>
      <c r="IWU42" s="16"/>
      <c r="IWV42" s="16"/>
      <c r="IWW42" s="16"/>
      <c r="IWX42" s="16"/>
      <c r="IWY42" s="16"/>
      <c r="IWZ42" s="16"/>
      <c r="IXA42" s="16"/>
      <c r="IXB42" s="16"/>
      <c r="IXC42" s="16"/>
      <c r="IXD42" s="16"/>
      <c r="IXE42" s="16"/>
      <c r="IXF42" s="16"/>
      <c r="IXG42" s="16"/>
      <c r="IXH42" s="16"/>
      <c r="IXI42" s="16"/>
      <c r="IXJ42" s="16"/>
      <c r="IXK42" s="16"/>
      <c r="IXL42" s="16"/>
      <c r="IXM42" s="16"/>
      <c r="IXN42" s="16"/>
      <c r="IXO42" s="16"/>
      <c r="IXP42" s="16"/>
      <c r="IXQ42" s="16"/>
      <c r="IXR42" s="16"/>
      <c r="IXS42" s="16"/>
      <c r="IXT42" s="16"/>
      <c r="IXU42" s="16"/>
      <c r="IXV42" s="16"/>
      <c r="IXW42" s="16"/>
      <c r="IXX42" s="16"/>
      <c r="IXY42" s="16"/>
      <c r="IXZ42" s="16"/>
      <c r="IYA42" s="16"/>
      <c r="IYB42" s="16"/>
      <c r="IYC42" s="16"/>
      <c r="IYD42" s="16"/>
      <c r="IYE42" s="16"/>
      <c r="IYF42" s="16"/>
      <c r="IYG42" s="16"/>
      <c r="IYH42" s="16"/>
      <c r="IYI42" s="16"/>
      <c r="IYJ42" s="16"/>
      <c r="IYK42" s="16"/>
      <c r="IYL42" s="16"/>
      <c r="IYM42" s="16"/>
      <c r="IYN42" s="16"/>
      <c r="IYO42" s="16"/>
      <c r="IYP42" s="16"/>
      <c r="IYQ42" s="16"/>
      <c r="IYR42" s="16"/>
      <c r="IYS42" s="16"/>
      <c r="IYT42" s="16"/>
      <c r="IYU42" s="16"/>
      <c r="IYV42" s="16"/>
      <c r="IYW42" s="16"/>
      <c r="IYX42" s="16"/>
      <c r="IYY42" s="16"/>
      <c r="IYZ42" s="16"/>
      <c r="IZA42" s="16"/>
      <c r="IZB42" s="16"/>
      <c r="IZC42" s="16"/>
      <c r="IZD42" s="16"/>
      <c r="IZE42" s="16"/>
      <c r="IZF42" s="16"/>
      <c r="IZG42" s="16"/>
      <c r="IZH42" s="16"/>
      <c r="IZI42" s="16"/>
      <c r="IZJ42" s="16"/>
      <c r="IZK42" s="16"/>
      <c r="IZL42" s="16"/>
      <c r="IZM42" s="16"/>
      <c r="IZN42" s="16"/>
      <c r="IZO42" s="16"/>
      <c r="IZP42" s="16"/>
      <c r="IZQ42" s="16"/>
      <c r="IZR42" s="16"/>
      <c r="IZS42" s="16"/>
      <c r="IZT42" s="16"/>
      <c r="IZU42" s="16"/>
      <c r="IZV42" s="16"/>
      <c r="IZW42" s="16"/>
      <c r="IZX42" s="16"/>
      <c r="IZY42" s="16"/>
      <c r="IZZ42" s="16"/>
      <c r="JAA42" s="16"/>
      <c r="JAB42" s="16"/>
      <c r="JAC42" s="16"/>
      <c r="JAD42" s="16"/>
      <c r="JAE42" s="16"/>
      <c r="JAF42" s="16"/>
      <c r="JAG42" s="16"/>
      <c r="JAH42" s="16"/>
      <c r="JAI42" s="16"/>
      <c r="JAJ42" s="16"/>
      <c r="JAK42" s="16"/>
      <c r="JAL42" s="16"/>
      <c r="JAM42" s="16"/>
      <c r="JAN42" s="16"/>
      <c r="JAO42" s="16"/>
      <c r="JAP42" s="16"/>
      <c r="JAQ42" s="16"/>
      <c r="JAR42" s="16"/>
      <c r="JAS42" s="16"/>
      <c r="JAT42" s="16"/>
      <c r="JAU42" s="16"/>
      <c r="JAV42" s="16"/>
      <c r="JAW42" s="16"/>
      <c r="JAX42" s="16"/>
      <c r="JAY42" s="16"/>
      <c r="JAZ42" s="16"/>
      <c r="JBA42" s="16"/>
      <c r="JBB42" s="16"/>
      <c r="JBC42" s="16"/>
      <c r="JBD42" s="16"/>
      <c r="JBE42" s="16"/>
      <c r="JBF42" s="16"/>
      <c r="JBG42" s="16"/>
      <c r="JBH42" s="16"/>
      <c r="JBI42" s="16"/>
      <c r="JBJ42" s="16"/>
      <c r="JBK42" s="16"/>
      <c r="JBL42" s="16"/>
      <c r="JBM42" s="16"/>
      <c r="JBN42" s="16"/>
      <c r="JBO42" s="16"/>
      <c r="JBP42" s="16"/>
      <c r="JBQ42" s="16"/>
      <c r="JBR42" s="16"/>
      <c r="JBS42" s="16"/>
      <c r="JBT42" s="16"/>
      <c r="JBU42" s="16"/>
      <c r="JBV42" s="16"/>
      <c r="JBW42" s="16"/>
      <c r="JBX42" s="16"/>
      <c r="JBY42" s="16"/>
      <c r="JBZ42" s="16"/>
      <c r="JCA42" s="16"/>
      <c r="JCB42" s="16"/>
      <c r="JCC42" s="16"/>
      <c r="JCD42" s="16"/>
      <c r="JCE42" s="16"/>
      <c r="JCF42" s="16"/>
      <c r="JCG42" s="16"/>
      <c r="JCH42" s="16"/>
      <c r="JCI42" s="16"/>
      <c r="JCJ42" s="16"/>
      <c r="JCK42" s="16"/>
      <c r="JCL42" s="16"/>
      <c r="JCM42" s="16"/>
      <c r="JCN42" s="16"/>
      <c r="JCO42" s="16"/>
      <c r="JCP42" s="16"/>
      <c r="JCQ42" s="16"/>
      <c r="JCR42" s="16"/>
      <c r="JCS42" s="16"/>
      <c r="JCT42" s="16"/>
      <c r="JCU42" s="16"/>
      <c r="JCV42" s="16"/>
      <c r="JCW42" s="16"/>
      <c r="JCX42" s="16"/>
      <c r="JCY42" s="16"/>
      <c r="JCZ42" s="16"/>
      <c r="JDA42" s="16"/>
      <c r="JDB42" s="16"/>
      <c r="JDC42" s="16"/>
      <c r="JDD42" s="16"/>
      <c r="JDE42" s="16"/>
      <c r="JDF42" s="16"/>
      <c r="JDG42" s="16"/>
      <c r="JDH42" s="16"/>
      <c r="JDI42" s="16"/>
      <c r="JDJ42" s="16"/>
      <c r="JDK42" s="16"/>
      <c r="JDL42" s="16"/>
      <c r="JDM42" s="16"/>
      <c r="JDN42" s="16"/>
      <c r="JDO42" s="16"/>
      <c r="JDP42" s="16"/>
      <c r="JDQ42" s="16"/>
      <c r="JDR42" s="16"/>
      <c r="JDS42" s="16"/>
      <c r="JDT42" s="16"/>
      <c r="JDU42" s="16"/>
      <c r="JDV42" s="16"/>
      <c r="JDW42" s="16"/>
      <c r="JDX42" s="16"/>
      <c r="JDY42" s="16"/>
      <c r="JDZ42" s="16"/>
      <c r="JEA42" s="16"/>
      <c r="JEB42" s="16"/>
      <c r="JEC42" s="16"/>
      <c r="JED42" s="16"/>
      <c r="JEE42" s="16"/>
      <c r="JEF42" s="16"/>
      <c r="JEG42" s="16"/>
      <c r="JEH42" s="16"/>
      <c r="JEI42" s="16"/>
      <c r="JEJ42" s="16"/>
      <c r="JEK42" s="16"/>
      <c r="JEL42" s="16"/>
      <c r="JEM42" s="16"/>
      <c r="JEN42" s="16"/>
      <c r="JEO42" s="16"/>
      <c r="JEP42" s="16"/>
      <c r="JEQ42" s="16"/>
      <c r="JER42" s="16"/>
      <c r="JES42" s="16"/>
      <c r="JET42" s="16"/>
      <c r="JEU42" s="16"/>
      <c r="JEV42" s="16"/>
      <c r="JEW42" s="16"/>
      <c r="JEX42" s="16"/>
      <c r="JEY42" s="16"/>
      <c r="JEZ42" s="16"/>
      <c r="JFA42" s="16"/>
      <c r="JFB42" s="16"/>
      <c r="JFC42" s="16"/>
      <c r="JFD42" s="16"/>
      <c r="JFE42" s="16"/>
      <c r="JFF42" s="16"/>
      <c r="JFG42" s="16"/>
      <c r="JFH42" s="16"/>
      <c r="JFI42" s="16"/>
      <c r="JFJ42" s="16"/>
      <c r="JFK42" s="16"/>
      <c r="JFL42" s="16"/>
      <c r="JFM42" s="16"/>
      <c r="JFN42" s="16"/>
      <c r="JFO42" s="16"/>
      <c r="JFP42" s="16"/>
      <c r="JFQ42" s="16"/>
      <c r="JFR42" s="16"/>
      <c r="JFS42" s="16"/>
      <c r="JFT42" s="16"/>
      <c r="JFU42" s="16"/>
      <c r="JFV42" s="16"/>
      <c r="JFW42" s="16"/>
      <c r="JFX42" s="16"/>
      <c r="JFY42" s="16"/>
      <c r="JFZ42" s="16"/>
      <c r="JGA42" s="16"/>
      <c r="JGB42" s="16"/>
      <c r="JGC42" s="16"/>
      <c r="JGD42" s="16"/>
      <c r="JGE42" s="16"/>
      <c r="JGF42" s="16"/>
      <c r="JGG42" s="16"/>
      <c r="JGH42" s="16"/>
      <c r="JGI42" s="16"/>
      <c r="JGJ42" s="16"/>
      <c r="JGK42" s="16"/>
      <c r="JGL42" s="16"/>
      <c r="JGM42" s="16"/>
      <c r="JGN42" s="16"/>
      <c r="JGO42" s="16"/>
      <c r="JGP42" s="16"/>
      <c r="JGQ42" s="16"/>
      <c r="JGR42" s="16"/>
      <c r="JGS42" s="16"/>
      <c r="JGT42" s="16"/>
      <c r="JGU42" s="16"/>
      <c r="JGV42" s="16"/>
      <c r="JGW42" s="16"/>
      <c r="JGX42" s="16"/>
      <c r="JGY42" s="16"/>
      <c r="JGZ42" s="16"/>
      <c r="JHA42" s="16"/>
      <c r="JHB42" s="16"/>
      <c r="JHC42" s="16"/>
      <c r="JHD42" s="16"/>
      <c r="JHE42" s="16"/>
      <c r="JHF42" s="16"/>
      <c r="JHG42" s="16"/>
      <c r="JHH42" s="16"/>
      <c r="JHI42" s="16"/>
      <c r="JHJ42" s="16"/>
      <c r="JHK42" s="16"/>
      <c r="JHL42" s="16"/>
      <c r="JHM42" s="16"/>
      <c r="JHN42" s="16"/>
      <c r="JHO42" s="16"/>
      <c r="JHP42" s="16"/>
      <c r="JHQ42" s="16"/>
      <c r="JHR42" s="16"/>
      <c r="JHS42" s="16"/>
      <c r="JHT42" s="16"/>
      <c r="JHU42" s="16"/>
      <c r="JHV42" s="16"/>
      <c r="JHW42" s="16"/>
      <c r="JHX42" s="16"/>
      <c r="JHY42" s="16"/>
      <c r="JHZ42" s="16"/>
      <c r="JIA42" s="16"/>
      <c r="JIB42" s="16"/>
      <c r="JIC42" s="16"/>
      <c r="JID42" s="16"/>
      <c r="JIE42" s="16"/>
      <c r="JIF42" s="16"/>
      <c r="JIG42" s="16"/>
      <c r="JIH42" s="16"/>
      <c r="JII42" s="16"/>
      <c r="JIJ42" s="16"/>
      <c r="JIK42" s="16"/>
      <c r="JIL42" s="16"/>
      <c r="JIM42" s="16"/>
      <c r="JIN42" s="16"/>
      <c r="JIO42" s="16"/>
      <c r="JIP42" s="16"/>
      <c r="JIQ42" s="16"/>
      <c r="JIR42" s="16"/>
      <c r="JIS42" s="16"/>
      <c r="JIT42" s="16"/>
      <c r="JIU42" s="16"/>
      <c r="JIV42" s="16"/>
      <c r="JIW42" s="16"/>
      <c r="JIX42" s="16"/>
      <c r="JIY42" s="16"/>
      <c r="JIZ42" s="16"/>
      <c r="JJA42" s="16"/>
      <c r="JJB42" s="16"/>
      <c r="JJC42" s="16"/>
      <c r="JJD42" s="16"/>
      <c r="JJE42" s="16"/>
      <c r="JJF42" s="16"/>
      <c r="JJG42" s="16"/>
      <c r="JJH42" s="16"/>
      <c r="JJI42" s="16"/>
      <c r="JJJ42" s="16"/>
      <c r="JJK42" s="16"/>
      <c r="JJL42" s="16"/>
      <c r="JJM42" s="16"/>
      <c r="JJN42" s="16"/>
      <c r="JJO42" s="16"/>
      <c r="JJP42" s="16"/>
      <c r="JJQ42" s="16"/>
      <c r="JJR42" s="16"/>
      <c r="JJS42" s="16"/>
      <c r="JJT42" s="16"/>
      <c r="JJU42" s="16"/>
      <c r="JJV42" s="16"/>
      <c r="JJW42" s="16"/>
      <c r="JJX42" s="16"/>
      <c r="JJY42" s="16"/>
      <c r="JJZ42" s="16"/>
      <c r="JKA42" s="16"/>
      <c r="JKB42" s="16"/>
      <c r="JKC42" s="16"/>
      <c r="JKD42" s="16"/>
      <c r="JKE42" s="16"/>
      <c r="JKF42" s="16"/>
      <c r="JKG42" s="16"/>
      <c r="JKH42" s="16"/>
      <c r="JKI42" s="16"/>
      <c r="JKJ42" s="16"/>
      <c r="JKK42" s="16"/>
      <c r="JKL42" s="16"/>
      <c r="JKM42" s="16"/>
      <c r="JKN42" s="16"/>
      <c r="JKO42" s="16"/>
      <c r="JKP42" s="16"/>
      <c r="JKQ42" s="16"/>
      <c r="JKR42" s="16"/>
      <c r="JKS42" s="16"/>
      <c r="JKT42" s="16"/>
      <c r="JKU42" s="16"/>
      <c r="JKV42" s="16"/>
      <c r="JKW42" s="16"/>
      <c r="JKX42" s="16"/>
      <c r="JKY42" s="16"/>
      <c r="JKZ42" s="16"/>
      <c r="JLA42" s="16"/>
      <c r="JLB42" s="16"/>
      <c r="JLC42" s="16"/>
      <c r="JLD42" s="16"/>
      <c r="JLE42" s="16"/>
      <c r="JLF42" s="16"/>
      <c r="JLG42" s="16"/>
      <c r="JLH42" s="16"/>
      <c r="JLI42" s="16"/>
      <c r="JLJ42" s="16"/>
      <c r="JLK42" s="16"/>
      <c r="JLL42" s="16"/>
      <c r="JLM42" s="16"/>
      <c r="JLN42" s="16"/>
      <c r="JLO42" s="16"/>
      <c r="JLP42" s="16"/>
      <c r="JLQ42" s="16"/>
      <c r="JLR42" s="16"/>
      <c r="JLS42" s="16"/>
      <c r="JLT42" s="16"/>
      <c r="JLU42" s="16"/>
      <c r="JLV42" s="16"/>
      <c r="JLW42" s="16"/>
      <c r="JLX42" s="16"/>
      <c r="JLY42" s="16"/>
      <c r="JLZ42" s="16"/>
      <c r="JMA42" s="16"/>
      <c r="JMB42" s="16"/>
      <c r="JMC42" s="16"/>
      <c r="JMD42" s="16"/>
      <c r="JME42" s="16"/>
      <c r="JMF42" s="16"/>
      <c r="JMG42" s="16"/>
      <c r="JMH42" s="16"/>
      <c r="JMI42" s="16"/>
      <c r="JMJ42" s="16"/>
      <c r="JMK42" s="16"/>
      <c r="JML42" s="16"/>
      <c r="JMM42" s="16"/>
      <c r="JMN42" s="16"/>
      <c r="JMO42" s="16"/>
      <c r="JMP42" s="16"/>
      <c r="JMQ42" s="16"/>
      <c r="JMR42" s="16"/>
      <c r="JMS42" s="16"/>
      <c r="JMT42" s="16"/>
      <c r="JMU42" s="16"/>
      <c r="JMV42" s="16"/>
      <c r="JMW42" s="16"/>
      <c r="JMX42" s="16"/>
      <c r="JMY42" s="16"/>
      <c r="JMZ42" s="16"/>
      <c r="JNA42" s="16"/>
      <c r="JNB42" s="16"/>
      <c r="JNC42" s="16"/>
      <c r="JND42" s="16"/>
      <c r="JNE42" s="16"/>
      <c r="JNF42" s="16"/>
      <c r="JNG42" s="16"/>
      <c r="JNH42" s="16"/>
      <c r="JNI42" s="16"/>
      <c r="JNJ42" s="16"/>
      <c r="JNK42" s="16"/>
      <c r="JNL42" s="16"/>
      <c r="JNM42" s="16"/>
      <c r="JNN42" s="16"/>
      <c r="JNO42" s="16"/>
      <c r="JNP42" s="16"/>
      <c r="JNQ42" s="16"/>
      <c r="JNR42" s="16"/>
      <c r="JNS42" s="16"/>
      <c r="JNT42" s="16"/>
      <c r="JNU42" s="16"/>
      <c r="JNV42" s="16"/>
      <c r="JNW42" s="16"/>
      <c r="JNX42" s="16"/>
      <c r="JNY42" s="16"/>
      <c r="JNZ42" s="16"/>
      <c r="JOA42" s="16"/>
      <c r="JOB42" s="16"/>
      <c r="JOC42" s="16"/>
      <c r="JOD42" s="16"/>
      <c r="JOE42" s="16"/>
      <c r="JOF42" s="16"/>
      <c r="JOG42" s="16"/>
      <c r="JOH42" s="16"/>
      <c r="JOI42" s="16"/>
      <c r="JOJ42" s="16"/>
      <c r="JOK42" s="16"/>
      <c r="JOL42" s="16"/>
      <c r="JOM42" s="16"/>
      <c r="JON42" s="16"/>
      <c r="JOO42" s="16"/>
      <c r="JOP42" s="16"/>
      <c r="JOQ42" s="16"/>
      <c r="JOR42" s="16"/>
      <c r="JOS42" s="16"/>
      <c r="JOT42" s="16"/>
      <c r="JOU42" s="16"/>
      <c r="JOV42" s="16"/>
      <c r="JOW42" s="16"/>
      <c r="JOX42" s="16"/>
      <c r="JOY42" s="16"/>
      <c r="JOZ42" s="16"/>
      <c r="JPA42" s="16"/>
      <c r="JPB42" s="16"/>
      <c r="JPC42" s="16"/>
      <c r="JPD42" s="16"/>
      <c r="JPE42" s="16"/>
      <c r="JPF42" s="16"/>
      <c r="JPG42" s="16"/>
      <c r="JPH42" s="16"/>
      <c r="JPI42" s="16"/>
      <c r="JPJ42" s="16"/>
      <c r="JPK42" s="16"/>
      <c r="JPL42" s="16"/>
      <c r="JPM42" s="16"/>
      <c r="JPN42" s="16"/>
      <c r="JPO42" s="16"/>
      <c r="JPP42" s="16"/>
      <c r="JPQ42" s="16"/>
      <c r="JPR42" s="16"/>
      <c r="JPS42" s="16"/>
      <c r="JPT42" s="16"/>
      <c r="JPU42" s="16"/>
      <c r="JPV42" s="16"/>
      <c r="JPW42" s="16"/>
      <c r="JPX42" s="16"/>
      <c r="JPY42" s="16"/>
      <c r="JPZ42" s="16"/>
      <c r="JQA42" s="16"/>
      <c r="JQB42" s="16"/>
      <c r="JQC42" s="16"/>
      <c r="JQD42" s="16"/>
      <c r="JQE42" s="16"/>
      <c r="JQF42" s="16"/>
      <c r="JQG42" s="16"/>
      <c r="JQH42" s="16"/>
      <c r="JQI42" s="16"/>
      <c r="JQJ42" s="16"/>
      <c r="JQK42" s="16"/>
      <c r="JQL42" s="16"/>
      <c r="JQM42" s="16"/>
      <c r="JQN42" s="16"/>
      <c r="JQO42" s="16"/>
      <c r="JQP42" s="16"/>
      <c r="JQQ42" s="16"/>
      <c r="JQR42" s="16"/>
      <c r="JQS42" s="16"/>
      <c r="JQT42" s="16"/>
      <c r="JQU42" s="16"/>
      <c r="JQV42" s="16"/>
      <c r="JQW42" s="16"/>
      <c r="JQX42" s="16"/>
      <c r="JQY42" s="16"/>
      <c r="JQZ42" s="16"/>
      <c r="JRA42" s="16"/>
      <c r="JRB42" s="16"/>
      <c r="JRC42" s="16"/>
      <c r="JRD42" s="16"/>
      <c r="JRE42" s="16"/>
      <c r="JRF42" s="16"/>
      <c r="JRG42" s="16"/>
      <c r="JRH42" s="16"/>
      <c r="JRI42" s="16"/>
      <c r="JRJ42" s="16"/>
      <c r="JRK42" s="16"/>
      <c r="JRL42" s="16"/>
      <c r="JRM42" s="16"/>
      <c r="JRN42" s="16"/>
      <c r="JRO42" s="16"/>
      <c r="JRP42" s="16"/>
      <c r="JRQ42" s="16"/>
      <c r="JRR42" s="16"/>
      <c r="JRS42" s="16"/>
      <c r="JRT42" s="16"/>
      <c r="JRU42" s="16"/>
      <c r="JRV42" s="16"/>
      <c r="JRW42" s="16"/>
      <c r="JRX42" s="16"/>
      <c r="JRY42" s="16"/>
      <c r="JRZ42" s="16"/>
      <c r="JSA42" s="16"/>
      <c r="JSB42" s="16"/>
      <c r="JSC42" s="16"/>
      <c r="JSD42" s="16"/>
      <c r="JSE42" s="16"/>
      <c r="JSF42" s="16"/>
      <c r="JSG42" s="16"/>
      <c r="JSH42" s="16"/>
      <c r="JSI42" s="16"/>
      <c r="JSJ42" s="16"/>
      <c r="JSK42" s="16"/>
      <c r="JSL42" s="16"/>
      <c r="JSM42" s="16"/>
      <c r="JSN42" s="16"/>
      <c r="JSO42" s="16"/>
      <c r="JSP42" s="16"/>
      <c r="JSQ42" s="16"/>
      <c r="JSR42" s="16"/>
      <c r="JSS42" s="16"/>
      <c r="JST42" s="16"/>
      <c r="JSU42" s="16"/>
      <c r="JSV42" s="16"/>
      <c r="JSW42" s="16"/>
      <c r="JSX42" s="16"/>
      <c r="JSY42" s="16"/>
      <c r="JSZ42" s="16"/>
      <c r="JTA42" s="16"/>
      <c r="JTB42" s="16"/>
      <c r="JTC42" s="16"/>
      <c r="JTD42" s="16"/>
      <c r="JTE42" s="16"/>
      <c r="JTF42" s="16"/>
      <c r="JTG42" s="16"/>
      <c r="JTH42" s="16"/>
      <c r="JTI42" s="16"/>
      <c r="JTJ42" s="16"/>
      <c r="JTK42" s="16"/>
      <c r="JTL42" s="16"/>
      <c r="JTM42" s="16"/>
      <c r="JTN42" s="16"/>
      <c r="JTO42" s="16"/>
      <c r="JTP42" s="16"/>
      <c r="JTQ42" s="16"/>
      <c r="JTR42" s="16"/>
      <c r="JTS42" s="16"/>
      <c r="JTT42" s="16"/>
      <c r="JTU42" s="16"/>
      <c r="JTV42" s="16"/>
      <c r="JTW42" s="16"/>
      <c r="JTX42" s="16"/>
      <c r="JTY42" s="16"/>
      <c r="JTZ42" s="16"/>
      <c r="JUA42" s="16"/>
      <c r="JUB42" s="16"/>
      <c r="JUC42" s="16"/>
      <c r="JUD42" s="16"/>
      <c r="JUE42" s="16"/>
      <c r="JUF42" s="16"/>
      <c r="JUG42" s="16"/>
      <c r="JUH42" s="16"/>
      <c r="JUI42" s="16"/>
      <c r="JUJ42" s="16"/>
      <c r="JUK42" s="16"/>
      <c r="JUL42" s="16"/>
      <c r="JUM42" s="16"/>
      <c r="JUN42" s="16"/>
      <c r="JUO42" s="16"/>
      <c r="JUP42" s="16"/>
      <c r="JUQ42" s="16"/>
      <c r="JUR42" s="16"/>
      <c r="JUS42" s="16"/>
      <c r="JUT42" s="16"/>
      <c r="JUU42" s="16"/>
      <c r="JUV42" s="16"/>
      <c r="JUW42" s="16"/>
      <c r="JUX42" s="16"/>
      <c r="JUY42" s="16"/>
      <c r="JUZ42" s="16"/>
      <c r="JVA42" s="16"/>
      <c r="JVB42" s="16"/>
      <c r="JVC42" s="16"/>
      <c r="JVD42" s="16"/>
      <c r="JVE42" s="16"/>
      <c r="JVF42" s="16"/>
      <c r="JVG42" s="16"/>
      <c r="JVH42" s="16"/>
      <c r="JVI42" s="16"/>
      <c r="JVJ42" s="16"/>
      <c r="JVK42" s="16"/>
      <c r="JVL42" s="16"/>
      <c r="JVM42" s="16"/>
      <c r="JVN42" s="16"/>
      <c r="JVO42" s="16"/>
      <c r="JVP42" s="16"/>
      <c r="JVQ42" s="16"/>
      <c r="JVR42" s="16"/>
      <c r="JVS42" s="16"/>
      <c r="JVT42" s="16"/>
      <c r="JVU42" s="16"/>
      <c r="JVV42" s="16"/>
      <c r="JVW42" s="16"/>
      <c r="JVX42" s="16"/>
      <c r="JVY42" s="16"/>
      <c r="JVZ42" s="16"/>
      <c r="JWA42" s="16"/>
      <c r="JWB42" s="16"/>
      <c r="JWC42" s="16"/>
      <c r="JWD42" s="16"/>
      <c r="JWE42" s="16"/>
      <c r="JWF42" s="16"/>
      <c r="JWG42" s="16"/>
      <c r="JWH42" s="16"/>
      <c r="JWI42" s="16"/>
      <c r="JWJ42" s="16"/>
      <c r="JWK42" s="16"/>
      <c r="JWL42" s="16"/>
      <c r="JWM42" s="16"/>
      <c r="JWN42" s="16"/>
      <c r="JWO42" s="16"/>
      <c r="JWP42" s="16"/>
      <c r="JWQ42" s="16"/>
      <c r="JWR42" s="16"/>
      <c r="JWS42" s="16"/>
      <c r="JWT42" s="16"/>
      <c r="JWU42" s="16"/>
      <c r="JWV42" s="16"/>
      <c r="JWW42" s="16"/>
      <c r="JWX42" s="16"/>
      <c r="JWY42" s="16"/>
      <c r="JWZ42" s="16"/>
      <c r="JXA42" s="16"/>
      <c r="JXB42" s="16"/>
      <c r="JXC42" s="16"/>
      <c r="JXD42" s="16"/>
      <c r="JXE42" s="16"/>
      <c r="JXF42" s="16"/>
      <c r="JXG42" s="16"/>
      <c r="JXH42" s="16"/>
      <c r="JXI42" s="16"/>
      <c r="JXJ42" s="16"/>
      <c r="JXK42" s="16"/>
      <c r="JXL42" s="16"/>
      <c r="JXM42" s="16"/>
      <c r="JXN42" s="16"/>
      <c r="JXO42" s="16"/>
      <c r="JXP42" s="16"/>
      <c r="JXQ42" s="16"/>
      <c r="JXR42" s="16"/>
      <c r="JXS42" s="16"/>
      <c r="JXT42" s="16"/>
      <c r="JXU42" s="16"/>
      <c r="JXV42" s="16"/>
      <c r="JXW42" s="16"/>
      <c r="JXX42" s="16"/>
      <c r="JXY42" s="16"/>
      <c r="JXZ42" s="16"/>
      <c r="JYA42" s="16"/>
      <c r="JYB42" s="16"/>
      <c r="JYC42" s="16"/>
      <c r="JYD42" s="16"/>
      <c r="JYE42" s="16"/>
      <c r="JYF42" s="16"/>
      <c r="JYG42" s="16"/>
      <c r="JYH42" s="16"/>
      <c r="JYI42" s="16"/>
      <c r="JYJ42" s="16"/>
      <c r="JYK42" s="16"/>
      <c r="JYL42" s="16"/>
      <c r="JYM42" s="16"/>
      <c r="JYN42" s="16"/>
      <c r="JYO42" s="16"/>
      <c r="JYP42" s="16"/>
      <c r="JYQ42" s="16"/>
      <c r="JYR42" s="16"/>
      <c r="JYS42" s="16"/>
      <c r="JYT42" s="16"/>
      <c r="JYU42" s="16"/>
      <c r="JYV42" s="16"/>
      <c r="JYW42" s="16"/>
      <c r="JYX42" s="16"/>
      <c r="JYY42" s="16"/>
      <c r="JYZ42" s="16"/>
      <c r="JZA42" s="16"/>
      <c r="JZB42" s="16"/>
      <c r="JZC42" s="16"/>
      <c r="JZD42" s="16"/>
      <c r="JZE42" s="16"/>
      <c r="JZF42" s="16"/>
      <c r="JZG42" s="16"/>
      <c r="JZH42" s="16"/>
      <c r="JZI42" s="16"/>
      <c r="JZJ42" s="16"/>
      <c r="JZK42" s="16"/>
      <c r="JZL42" s="16"/>
      <c r="JZM42" s="16"/>
      <c r="JZN42" s="16"/>
      <c r="JZO42" s="16"/>
      <c r="JZP42" s="16"/>
      <c r="JZQ42" s="16"/>
      <c r="JZR42" s="16"/>
      <c r="JZS42" s="16"/>
      <c r="JZT42" s="16"/>
      <c r="JZU42" s="16"/>
      <c r="JZV42" s="16"/>
      <c r="JZW42" s="16"/>
      <c r="JZX42" s="16"/>
      <c r="JZY42" s="16"/>
      <c r="JZZ42" s="16"/>
      <c r="KAA42" s="16"/>
      <c r="KAB42" s="16"/>
      <c r="KAC42" s="16"/>
      <c r="KAD42" s="16"/>
      <c r="KAE42" s="16"/>
      <c r="KAF42" s="16"/>
      <c r="KAG42" s="16"/>
      <c r="KAH42" s="16"/>
      <c r="KAI42" s="16"/>
      <c r="KAJ42" s="16"/>
      <c r="KAK42" s="16"/>
      <c r="KAL42" s="16"/>
      <c r="KAM42" s="16"/>
      <c r="KAN42" s="16"/>
      <c r="KAO42" s="16"/>
      <c r="KAP42" s="16"/>
      <c r="KAQ42" s="16"/>
      <c r="KAR42" s="16"/>
      <c r="KAS42" s="16"/>
      <c r="KAT42" s="16"/>
      <c r="KAU42" s="16"/>
      <c r="KAV42" s="16"/>
      <c r="KAW42" s="16"/>
      <c r="KAX42" s="16"/>
      <c r="KAY42" s="16"/>
      <c r="KAZ42" s="16"/>
      <c r="KBA42" s="16"/>
      <c r="KBB42" s="16"/>
      <c r="KBC42" s="16"/>
      <c r="KBD42" s="16"/>
      <c r="KBE42" s="16"/>
      <c r="KBF42" s="16"/>
      <c r="KBG42" s="16"/>
      <c r="KBH42" s="16"/>
      <c r="KBI42" s="16"/>
      <c r="KBJ42" s="16"/>
      <c r="KBK42" s="16"/>
      <c r="KBL42" s="16"/>
      <c r="KBM42" s="16"/>
      <c r="KBN42" s="16"/>
      <c r="KBO42" s="16"/>
      <c r="KBP42" s="16"/>
      <c r="KBQ42" s="16"/>
      <c r="KBR42" s="16"/>
      <c r="KBS42" s="16"/>
      <c r="KBT42" s="16"/>
      <c r="KBU42" s="16"/>
      <c r="KBV42" s="16"/>
      <c r="KBW42" s="16"/>
      <c r="KBX42" s="16"/>
      <c r="KBY42" s="16"/>
      <c r="KBZ42" s="16"/>
      <c r="KCA42" s="16"/>
      <c r="KCB42" s="16"/>
      <c r="KCC42" s="16"/>
      <c r="KCD42" s="16"/>
      <c r="KCE42" s="16"/>
      <c r="KCF42" s="16"/>
      <c r="KCG42" s="16"/>
      <c r="KCH42" s="16"/>
      <c r="KCI42" s="16"/>
      <c r="KCJ42" s="16"/>
      <c r="KCK42" s="16"/>
      <c r="KCL42" s="16"/>
      <c r="KCM42" s="16"/>
      <c r="KCN42" s="16"/>
      <c r="KCO42" s="16"/>
      <c r="KCP42" s="16"/>
      <c r="KCQ42" s="16"/>
      <c r="KCR42" s="16"/>
      <c r="KCS42" s="16"/>
      <c r="KCT42" s="16"/>
      <c r="KCU42" s="16"/>
      <c r="KCV42" s="16"/>
      <c r="KCW42" s="16"/>
      <c r="KCX42" s="16"/>
      <c r="KCY42" s="16"/>
      <c r="KCZ42" s="16"/>
      <c r="KDA42" s="16"/>
      <c r="KDB42" s="16"/>
      <c r="KDC42" s="16"/>
      <c r="KDD42" s="16"/>
      <c r="KDE42" s="16"/>
      <c r="KDF42" s="16"/>
      <c r="KDG42" s="16"/>
      <c r="KDH42" s="16"/>
      <c r="KDI42" s="16"/>
      <c r="KDJ42" s="16"/>
      <c r="KDK42" s="16"/>
      <c r="KDL42" s="16"/>
      <c r="KDM42" s="16"/>
      <c r="KDN42" s="16"/>
      <c r="KDO42" s="16"/>
      <c r="KDP42" s="16"/>
      <c r="KDQ42" s="16"/>
      <c r="KDR42" s="16"/>
      <c r="KDS42" s="16"/>
      <c r="KDT42" s="16"/>
      <c r="KDU42" s="16"/>
      <c r="KDV42" s="16"/>
      <c r="KDW42" s="16"/>
      <c r="KDX42" s="16"/>
      <c r="KDY42" s="16"/>
      <c r="KDZ42" s="16"/>
      <c r="KEA42" s="16"/>
      <c r="KEB42" s="16"/>
      <c r="KEC42" s="16"/>
      <c r="KED42" s="16"/>
      <c r="KEE42" s="16"/>
      <c r="KEF42" s="16"/>
      <c r="KEG42" s="16"/>
      <c r="KEH42" s="16"/>
      <c r="KEI42" s="16"/>
      <c r="KEJ42" s="16"/>
      <c r="KEK42" s="16"/>
      <c r="KEL42" s="16"/>
      <c r="KEM42" s="16"/>
      <c r="KEN42" s="16"/>
      <c r="KEO42" s="16"/>
      <c r="KEP42" s="16"/>
      <c r="KEQ42" s="16"/>
      <c r="KER42" s="16"/>
      <c r="KES42" s="16"/>
      <c r="KET42" s="16"/>
      <c r="KEU42" s="16"/>
      <c r="KEV42" s="16"/>
      <c r="KEW42" s="16"/>
      <c r="KEX42" s="16"/>
      <c r="KEY42" s="16"/>
      <c r="KEZ42" s="16"/>
      <c r="KFA42" s="16"/>
      <c r="KFB42" s="16"/>
      <c r="KFC42" s="16"/>
      <c r="KFD42" s="16"/>
      <c r="KFE42" s="16"/>
      <c r="KFF42" s="16"/>
      <c r="KFG42" s="16"/>
      <c r="KFH42" s="16"/>
      <c r="KFI42" s="16"/>
      <c r="KFJ42" s="16"/>
      <c r="KFK42" s="16"/>
      <c r="KFL42" s="16"/>
      <c r="KFM42" s="16"/>
      <c r="KFN42" s="16"/>
      <c r="KFO42" s="16"/>
      <c r="KFP42" s="16"/>
      <c r="KFQ42" s="16"/>
      <c r="KFR42" s="16"/>
      <c r="KFS42" s="16"/>
      <c r="KFT42" s="16"/>
      <c r="KFU42" s="16"/>
      <c r="KFV42" s="16"/>
      <c r="KFW42" s="16"/>
      <c r="KFX42" s="16"/>
      <c r="KFY42" s="16"/>
      <c r="KFZ42" s="16"/>
      <c r="KGA42" s="16"/>
      <c r="KGB42" s="16"/>
      <c r="KGC42" s="16"/>
      <c r="KGD42" s="16"/>
      <c r="KGE42" s="16"/>
      <c r="KGF42" s="16"/>
      <c r="KGG42" s="16"/>
      <c r="KGH42" s="16"/>
      <c r="KGI42" s="16"/>
      <c r="KGJ42" s="16"/>
      <c r="KGK42" s="16"/>
      <c r="KGL42" s="16"/>
      <c r="KGM42" s="16"/>
      <c r="KGN42" s="16"/>
      <c r="KGO42" s="16"/>
      <c r="KGP42" s="16"/>
      <c r="KGQ42" s="16"/>
      <c r="KGR42" s="16"/>
      <c r="KGS42" s="16"/>
      <c r="KGT42" s="16"/>
      <c r="KGU42" s="16"/>
      <c r="KGV42" s="16"/>
      <c r="KGW42" s="16"/>
      <c r="KGX42" s="16"/>
      <c r="KGY42" s="16"/>
      <c r="KGZ42" s="16"/>
      <c r="KHA42" s="16"/>
      <c r="KHB42" s="16"/>
      <c r="KHC42" s="16"/>
      <c r="KHD42" s="16"/>
      <c r="KHE42" s="16"/>
      <c r="KHF42" s="16"/>
      <c r="KHG42" s="16"/>
      <c r="KHH42" s="16"/>
      <c r="KHI42" s="16"/>
      <c r="KHJ42" s="16"/>
      <c r="KHK42" s="16"/>
      <c r="KHL42" s="16"/>
      <c r="KHM42" s="16"/>
      <c r="KHN42" s="16"/>
      <c r="KHO42" s="16"/>
      <c r="KHP42" s="16"/>
      <c r="KHQ42" s="16"/>
      <c r="KHR42" s="16"/>
      <c r="KHS42" s="16"/>
      <c r="KHT42" s="16"/>
      <c r="KHU42" s="16"/>
      <c r="KHV42" s="16"/>
      <c r="KHW42" s="16"/>
      <c r="KHX42" s="16"/>
      <c r="KHY42" s="16"/>
      <c r="KHZ42" s="16"/>
      <c r="KIA42" s="16"/>
      <c r="KIB42" s="16"/>
      <c r="KIC42" s="16"/>
      <c r="KID42" s="16"/>
      <c r="KIE42" s="16"/>
      <c r="KIF42" s="16"/>
      <c r="KIG42" s="16"/>
      <c r="KIH42" s="16"/>
      <c r="KII42" s="16"/>
      <c r="KIJ42" s="16"/>
      <c r="KIK42" s="16"/>
      <c r="KIL42" s="16"/>
      <c r="KIM42" s="16"/>
      <c r="KIN42" s="16"/>
      <c r="KIO42" s="16"/>
      <c r="KIP42" s="16"/>
      <c r="KIQ42" s="16"/>
      <c r="KIR42" s="16"/>
      <c r="KIS42" s="16"/>
      <c r="KIT42" s="16"/>
      <c r="KIU42" s="16"/>
      <c r="KIV42" s="16"/>
      <c r="KIW42" s="16"/>
      <c r="KIX42" s="16"/>
      <c r="KIY42" s="16"/>
      <c r="KIZ42" s="16"/>
      <c r="KJA42" s="16"/>
      <c r="KJB42" s="16"/>
      <c r="KJC42" s="16"/>
      <c r="KJD42" s="16"/>
      <c r="KJE42" s="16"/>
      <c r="KJF42" s="16"/>
      <c r="KJG42" s="16"/>
      <c r="KJH42" s="16"/>
      <c r="KJI42" s="16"/>
      <c r="KJJ42" s="16"/>
      <c r="KJK42" s="16"/>
      <c r="KJL42" s="16"/>
      <c r="KJM42" s="16"/>
      <c r="KJN42" s="16"/>
      <c r="KJO42" s="16"/>
      <c r="KJP42" s="16"/>
      <c r="KJQ42" s="16"/>
      <c r="KJR42" s="16"/>
      <c r="KJS42" s="16"/>
      <c r="KJT42" s="16"/>
      <c r="KJU42" s="16"/>
      <c r="KJV42" s="16"/>
      <c r="KJW42" s="16"/>
      <c r="KJX42" s="16"/>
      <c r="KJY42" s="16"/>
      <c r="KJZ42" s="16"/>
      <c r="KKA42" s="16"/>
      <c r="KKB42" s="16"/>
      <c r="KKC42" s="16"/>
      <c r="KKD42" s="16"/>
      <c r="KKE42" s="16"/>
      <c r="KKF42" s="16"/>
      <c r="KKG42" s="16"/>
      <c r="KKH42" s="16"/>
      <c r="KKI42" s="16"/>
      <c r="KKJ42" s="16"/>
      <c r="KKK42" s="16"/>
      <c r="KKL42" s="16"/>
      <c r="KKM42" s="16"/>
      <c r="KKN42" s="16"/>
      <c r="KKO42" s="16"/>
      <c r="KKP42" s="16"/>
      <c r="KKQ42" s="16"/>
      <c r="KKR42" s="16"/>
      <c r="KKS42" s="16"/>
      <c r="KKT42" s="16"/>
      <c r="KKU42" s="16"/>
      <c r="KKV42" s="16"/>
      <c r="KKW42" s="16"/>
      <c r="KKX42" s="16"/>
      <c r="KKY42" s="16"/>
      <c r="KKZ42" s="16"/>
      <c r="KLA42" s="16"/>
      <c r="KLB42" s="16"/>
      <c r="KLC42" s="16"/>
      <c r="KLD42" s="16"/>
      <c r="KLE42" s="16"/>
      <c r="KLF42" s="16"/>
      <c r="KLG42" s="16"/>
      <c r="KLH42" s="16"/>
      <c r="KLI42" s="16"/>
      <c r="KLJ42" s="16"/>
      <c r="KLK42" s="16"/>
      <c r="KLL42" s="16"/>
      <c r="KLM42" s="16"/>
      <c r="KLN42" s="16"/>
      <c r="KLO42" s="16"/>
      <c r="KLP42" s="16"/>
      <c r="KLQ42" s="16"/>
      <c r="KLR42" s="16"/>
      <c r="KLS42" s="16"/>
      <c r="KLT42" s="16"/>
      <c r="KLU42" s="16"/>
      <c r="KLV42" s="16"/>
      <c r="KLW42" s="16"/>
      <c r="KLX42" s="16"/>
      <c r="KLY42" s="16"/>
      <c r="KLZ42" s="16"/>
      <c r="KMA42" s="16"/>
      <c r="KMB42" s="16"/>
      <c r="KMC42" s="16"/>
      <c r="KMD42" s="16"/>
      <c r="KME42" s="16"/>
      <c r="KMF42" s="16"/>
      <c r="KMG42" s="16"/>
      <c r="KMH42" s="16"/>
      <c r="KMI42" s="16"/>
      <c r="KMJ42" s="16"/>
      <c r="KMK42" s="16"/>
      <c r="KML42" s="16"/>
      <c r="KMM42" s="16"/>
      <c r="KMN42" s="16"/>
      <c r="KMO42" s="16"/>
      <c r="KMP42" s="16"/>
      <c r="KMQ42" s="16"/>
      <c r="KMR42" s="16"/>
      <c r="KMS42" s="16"/>
      <c r="KMT42" s="16"/>
      <c r="KMU42" s="16"/>
      <c r="KMV42" s="16"/>
      <c r="KMW42" s="16"/>
      <c r="KMX42" s="16"/>
      <c r="KMY42" s="16"/>
      <c r="KMZ42" s="16"/>
      <c r="KNA42" s="16"/>
      <c r="KNB42" s="16"/>
      <c r="KNC42" s="16"/>
      <c r="KND42" s="16"/>
      <c r="KNE42" s="16"/>
      <c r="KNF42" s="16"/>
      <c r="KNG42" s="16"/>
      <c r="KNH42" s="16"/>
      <c r="KNI42" s="16"/>
      <c r="KNJ42" s="16"/>
      <c r="KNK42" s="16"/>
      <c r="KNL42" s="16"/>
      <c r="KNM42" s="16"/>
      <c r="KNN42" s="16"/>
      <c r="KNO42" s="16"/>
      <c r="KNP42" s="16"/>
      <c r="KNQ42" s="16"/>
      <c r="KNR42" s="16"/>
      <c r="KNS42" s="16"/>
      <c r="KNT42" s="16"/>
      <c r="KNU42" s="16"/>
      <c r="KNV42" s="16"/>
      <c r="KNW42" s="16"/>
      <c r="KNX42" s="16"/>
      <c r="KNY42" s="16"/>
      <c r="KNZ42" s="16"/>
      <c r="KOA42" s="16"/>
      <c r="KOB42" s="16"/>
      <c r="KOC42" s="16"/>
      <c r="KOD42" s="16"/>
      <c r="KOE42" s="16"/>
      <c r="KOF42" s="16"/>
      <c r="KOG42" s="16"/>
      <c r="KOH42" s="16"/>
      <c r="KOI42" s="16"/>
      <c r="KOJ42" s="16"/>
      <c r="KOK42" s="16"/>
      <c r="KOL42" s="16"/>
      <c r="KOM42" s="16"/>
      <c r="KON42" s="16"/>
      <c r="KOO42" s="16"/>
      <c r="KOP42" s="16"/>
      <c r="KOQ42" s="16"/>
      <c r="KOR42" s="16"/>
      <c r="KOS42" s="16"/>
      <c r="KOT42" s="16"/>
      <c r="KOU42" s="16"/>
      <c r="KOV42" s="16"/>
      <c r="KOW42" s="16"/>
      <c r="KOX42" s="16"/>
      <c r="KOY42" s="16"/>
      <c r="KOZ42" s="16"/>
      <c r="KPA42" s="16"/>
      <c r="KPB42" s="16"/>
      <c r="KPC42" s="16"/>
      <c r="KPD42" s="16"/>
      <c r="KPE42" s="16"/>
      <c r="KPF42" s="16"/>
      <c r="KPG42" s="16"/>
      <c r="KPH42" s="16"/>
      <c r="KPI42" s="16"/>
      <c r="KPJ42" s="16"/>
      <c r="KPK42" s="16"/>
      <c r="KPL42" s="16"/>
      <c r="KPM42" s="16"/>
      <c r="KPN42" s="16"/>
      <c r="KPO42" s="16"/>
      <c r="KPP42" s="16"/>
      <c r="KPQ42" s="16"/>
      <c r="KPR42" s="16"/>
      <c r="KPS42" s="16"/>
      <c r="KPT42" s="16"/>
      <c r="KPU42" s="16"/>
      <c r="KPV42" s="16"/>
      <c r="KPW42" s="16"/>
      <c r="KPX42" s="16"/>
      <c r="KPY42" s="16"/>
      <c r="KPZ42" s="16"/>
      <c r="KQA42" s="16"/>
      <c r="KQB42" s="16"/>
      <c r="KQC42" s="16"/>
      <c r="KQD42" s="16"/>
      <c r="KQE42" s="16"/>
      <c r="KQF42" s="16"/>
      <c r="KQG42" s="16"/>
      <c r="KQH42" s="16"/>
      <c r="KQI42" s="16"/>
      <c r="KQJ42" s="16"/>
      <c r="KQK42" s="16"/>
      <c r="KQL42" s="16"/>
      <c r="KQM42" s="16"/>
      <c r="KQN42" s="16"/>
      <c r="KQO42" s="16"/>
      <c r="KQP42" s="16"/>
      <c r="KQQ42" s="16"/>
      <c r="KQR42" s="16"/>
      <c r="KQS42" s="16"/>
      <c r="KQT42" s="16"/>
      <c r="KQU42" s="16"/>
      <c r="KQV42" s="16"/>
      <c r="KQW42" s="16"/>
      <c r="KQX42" s="16"/>
      <c r="KQY42" s="16"/>
      <c r="KQZ42" s="16"/>
      <c r="KRA42" s="16"/>
      <c r="KRB42" s="16"/>
      <c r="KRC42" s="16"/>
      <c r="KRD42" s="16"/>
      <c r="KRE42" s="16"/>
      <c r="KRF42" s="16"/>
      <c r="KRG42" s="16"/>
      <c r="KRH42" s="16"/>
      <c r="KRI42" s="16"/>
      <c r="KRJ42" s="16"/>
      <c r="KRK42" s="16"/>
      <c r="KRL42" s="16"/>
      <c r="KRM42" s="16"/>
      <c r="KRN42" s="16"/>
      <c r="KRO42" s="16"/>
      <c r="KRP42" s="16"/>
      <c r="KRQ42" s="16"/>
      <c r="KRR42" s="16"/>
      <c r="KRS42" s="16"/>
      <c r="KRT42" s="16"/>
      <c r="KRU42" s="16"/>
      <c r="KRV42" s="16"/>
      <c r="KRW42" s="16"/>
      <c r="KRX42" s="16"/>
      <c r="KRY42" s="16"/>
      <c r="KRZ42" s="16"/>
      <c r="KSA42" s="16"/>
      <c r="KSB42" s="16"/>
      <c r="KSC42" s="16"/>
      <c r="KSD42" s="16"/>
      <c r="KSE42" s="16"/>
      <c r="KSF42" s="16"/>
      <c r="KSG42" s="16"/>
      <c r="KSH42" s="16"/>
      <c r="KSI42" s="16"/>
      <c r="KSJ42" s="16"/>
      <c r="KSK42" s="16"/>
      <c r="KSL42" s="16"/>
      <c r="KSM42" s="16"/>
      <c r="KSN42" s="16"/>
      <c r="KSO42" s="16"/>
      <c r="KSP42" s="16"/>
      <c r="KSQ42" s="16"/>
      <c r="KSR42" s="16"/>
      <c r="KSS42" s="16"/>
      <c r="KST42" s="16"/>
      <c r="KSU42" s="16"/>
      <c r="KSV42" s="16"/>
      <c r="KSW42" s="16"/>
      <c r="KSX42" s="16"/>
      <c r="KSY42" s="16"/>
      <c r="KSZ42" s="16"/>
      <c r="KTA42" s="16"/>
      <c r="KTB42" s="16"/>
      <c r="KTC42" s="16"/>
      <c r="KTD42" s="16"/>
      <c r="KTE42" s="16"/>
      <c r="KTF42" s="16"/>
      <c r="KTG42" s="16"/>
      <c r="KTH42" s="16"/>
      <c r="KTI42" s="16"/>
      <c r="KTJ42" s="16"/>
      <c r="KTK42" s="16"/>
      <c r="KTL42" s="16"/>
      <c r="KTM42" s="16"/>
      <c r="KTN42" s="16"/>
      <c r="KTO42" s="16"/>
      <c r="KTP42" s="16"/>
      <c r="KTQ42" s="16"/>
      <c r="KTR42" s="16"/>
      <c r="KTS42" s="16"/>
      <c r="KTT42" s="16"/>
      <c r="KTU42" s="16"/>
      <c r="KTV42" s="16"/>
      <c r="KTW42" s="16"/>
      <c r="KTX42" s="16"/>
      <c r="KTY42" s="16"/>
      <c r="KTZ42" s="16"/>
      <c r="KUA42" s="16"/>
      <c r="KUB42" s="16"/>
      <c r="KUC42" s="16"/>
      <c r="KUD42" s="16"/>
      <c r="KUE42" s="16"/>
      <c r="KUF42" s="16"/>
      <c r="KUG42" s="16"/>
      <c r="KUH42" s="16"/>
      <c r="KUI42" s="16"/>
      <c r="KUJ42" s="16"/>
      <c r="KUK42" s="16"/>
      <c r="KUL42" s="16"/>
      <c r="KUM42" s="16"/>
      <c r="KUN42" s="16"/>
      <c r="KUO42" s="16"/>
      <c r="KUP42" s="16"/>
      <c r="KUQ42" s="16"/>
      <c r="KUR42" s="16"/>
      <c r="KUS42" s="16"/>
      <c r="KUT42" s="16"/>
      <c r="KUU42" s="16"/>
      <c r="KUV42" s="16"/>
      <c r="KUW42" s="16"/>
      <c r="KUX42" s="16"/>
      <c r="KUY42" s="16"/>
      <c r="KUZ42" s="16"/>
      <c r="KVA42" s="16"/>
      <c r="KVB42" s="16"/>
      <c r="KVC42" s="16"/>
      <c r="KVD42" s="16"/>
      <c r="KVE42" s="16"/>
      <c r="KVF42" s="16"/>
      <c r="KVG42" s="16"/>
      <c r="KVH42" s="16"/>
      <c r="KVI42" s="16"/>
      <c r="KVJ42" s="16"/>
      <c r="KVK42" s="16"/>
      <c r="KVL42" s="16"/>
      <c r="KVM42" s="16"/>
      <c r="KVN42" s="16"/>
      <c r="KVO42" s="16"/>
      <c r="KVP42" s="16"/>
      <c r="KVQ42" s="16"/>
      <c r="KVR42" s="16"/>
      <c r="KVS42" s="16"/>
      <c r="KVT42" s="16"/>
      <c r="KVU42" s="16"/>
      <c r="KVV42" s="16"/>
      <c r="KVW42" s="16"/>
      <c r="KVX42" s="16"/>
      <c r="KVY42" s="16"/>
      <c r="KVZ42" s="16"/>
      <c r="KWA42" s="16"/>
      <c r="KWB42" s="16"/>
      <c r="KWC42" s="16"/>
      <c r="KWD42" s="16"/>
      <c r="KWE42" s="16"/>
      <c r="KWF42" s="16"/>
      <c r="KWG42" s="16"/>
      <c r="KWH42" s="16"/>
      <c r="KWI42" s="16"/>
      <c r="KWJ42" s="16"/>
      <c r="KWK42" s="16"/>
      <c r="KWL42" s="16"/>
      <c r="KWM42" s="16"/>
      <c r="KWN42" s="16"/>
      <c r="KWO42" s="16"/>
      <c r="KWP42" s="16"/>
      <c r="KWQ42" s="16"/>
      <c r="KWR42" s="16"/>
      <c r="KWS42" s="16"/>
      <c r="KWT42" s="16"/>
      <c r="KWU42" s="16"/>
      <c r="KWV42" s="16"/>
      <c r="KWW42" s="16"/>
      <c r="KWX42" s="16"/>
      <c r="KWY42" s="16"/>
      <c r="KWZ42" s="16"/>
      <c r="KXA42" s="16"/>
      <c r="KXB42" s="16"/>
      <c r="KXC42" s="16"/>
      <c r="KXD42" s="16"/>
      <c r="KXE42" s="16"/>
      <c r="KXF42" s="16"/>
      <c r="KXG42" s="16"/>
      <c r="KXH42" s="16"/>
      <c r="KXI42" s="16"/>
      <c r="KXJ42" s="16"/>
      <c r="KXK42" s="16"/>
      <c r="KXL42" s="16"/>
      <c r="KXM42" s="16"/>
      <c r="KXN42" s="16"/>
      <c r="KXO42" s="16"/>
      <c r="KXP42" s="16"/>
      <c r="KXQ42" s="16"/>
      <c r="KXR42" s="16"/>
      <c r="KXS42" s="16"/>
      <c r="KXT42" s="16"/>
      <c r="KXU42" s="16"/>
      <c r="KXV42" s="16"/>
      <c r="KXW42" s="16"/>
      <c r="KXX42" s="16"/>
      <c r="KXY42" s="16"/>
      <c r="KXZ42" s="16"/>
      <c r="KYA42" s="16"/>
      <c r="KYB42" s="16"/>
      <c r="KYC42" s="16"/>
      <c r="KYD42" s="16"/>
      <c r="KYE42" s="16"/>
      <c r="KYF42" s="16"/>
      <c r="KYG42" s="16"/>
      <c r="KYH42" s="16"/>
      <c r="KYI42" s="16"/>
      <c r="KYJ42" s="16"/>
      <c r="KYK42" s="16"/>
      <c r="KYL42" s="16"/>
      <c r="KYM42" s="16"/>
      <c r="KYN42" s="16"/>
      <c r="KYO42" s="16"/>
      <c r="KYP42" s="16"/>
      <c r="KYQ42" s="16"/>
      <c r="KYR42" s="16"/>
      <c r="KYS42" s="16"/>
      <c r="KYT42" s="16"/>
      <c r="KYU42" s="16"/>
      <c r="KYV42" s="16"/>
      <c r="KYW42" s="16"/>
      <c r="KYX42" s="16"/>
      <c r="KYY42" s="16"/>
      <c r="KYZ42" s="16"/>
      <c r="KZA42" s="16"/>
      <c r="KZB42" s="16"/>
      <c r="KZC42" s="16"/>
      <c r="KZD42" s="16"/>
      <c r="KZE42" s="16"/>
      <c r="KZF42" s="16"/>
      <c r="KZG42" s="16"/>
      <c r="KZH42" s="16"/>
      <c r="KZI42" s="16"/>
      <c r="KZJ42" s="16"/>
      <c r="KZK42" s="16"/>
      <c r="KZL42" s="16"/>
      <c r="KZM42" s="16"/>
      <c r="KZN42" s="16"/>
      <c r="KZO42" s="16"/>
      <c r="KZP42" s="16"/>
      <c r="KZQ42" s="16"/>
      <c r="KZR42" s="16"/>
      <c r="KZS42" s="16"/>
      <c r="KZT42" s="16"/>
      <c r="KZU42" s="16"/>
      <c r="KZV42" s="16"/>
      <c r="KZW42" s="16"/>
      <c r="KZX42" s="16"/>
      <c r="KZY42" s="16"/>
      <c r="KZZ42" s="16"/>
      <c r="LAA42" s="16"/>
      <c r="LAB42" s="16"/>
      <c r="LAC42" s="16"/>
      <c r="LAD42" s="16"/>
      <c r="LAE42" s="16"/>
      <c r="LAF42" s="16"/>
      <c r="LAG42" s="16"/>
      <c r="LAH42" s="16"/>
      <c r="LAI42" s="16"/>
      <c r="LAJ42" s="16"/>
      <c r="LAK42" s="16"/>
      <c r="LAL42" s="16"/>
      <c r="LAM42" s="16"/>
      <c r="LAN42" s="16"/>
      <c r="LAO42" s="16"/>
      <c r="LAP42" s="16"/>
      <c r="LAQ42" s="16"/>
      <c r="LAR42" s="16"/>
      <c r="LAS42" s="16"/>
      <c r="LAT42" s="16"/>
      <c r="LAU42" s="16"/>
      <c r="LAV42" s="16"/>
      <c r="LAW42" s="16"/>
      <c r="LAX42" s="16"/>
      <c r="LAY42" s="16"/>
      <c r="LAZ42" s="16"/>
      <c r="LBA42" s="16"/>
      <c r="LBB42" s="16"/>
      <c r="LBC42" s="16"/>
      <c r="LBD42" s="16"/>
      <c r="LBE42" s="16"/>
      <c r="LBF42" s="16"/>
      <c r="LBG42" s="16"/>
      <c r="LBH42" s="16"/>
      <c r="LBI42" s="16"/>
      <c r="LBJ42" s="16"/>
      <c r="LBK42" s="16"/>
      <c r="LBL42" s="16"/>
      <c r="LBM42" s="16"/>
      <c r="LBN42" s="16"/>
      <c r="LBO42" s="16"/>
      <c r="LBP42" s="16"/>
      <c r="LBQ42" s="16"/>
      <c r="LBR42" s="16"/>
      <c r="LBS42" s="16"/>
      <c r="LBT42" s="16"/>
      <c r="LBU42" s="16"/>
      <c r="LBV42" s="16"/>
      <c r="LBW42" s="16"/>
      <c r="LBX42" s="16"/>
      <c r="LBY42" s="16"/>
      <c r="LBZ42" s="16"/>
      <c r="LCA42" s="16"/>
      <c r="LCB42" s="16"/>
      <c r="LCC42" s="16"/>
      <c r="LCD42" s="16"/>
      <c r="LCE42" s="16"/>
      <c r="LCF42" s="16"/>
      <c r="LCG42" s="16"/>
      <c r="LCH42" s="16"/>
      <c r="LCI42" s="16"/>
      <c r="LCJ42" s="16"/>
      <c r="LCK42" s="16"/>
      <c r="LCL42" s="16"/>
      <c r="LCM42" s="16"/>
      <c r="LCN42" s="16"/>
      <c r="LCO42" s="16"/>
      <c r="LCP42" s="16"/>
      <c r="LCQ42" s="16"/>
      <c r="LCR42" s="16"/>
      <c r="LCS42" s="16"/>
      <c r="LCT42" s="16"/>
      <c r="LCU42" s="16"/>
      <c r="LCV42" s="16"/>
      <c r="LCW42" s="16"/>
      <c r="LCX42" s="16"/>
      <c r="LCY42" s="16"/>
      <c r="LCZ42" s="16"/>
      <c r="LDA42" s="16"/>
      <c r="LDB42" s="16"/>
      <c r="LDC42" s="16"/>
      <c r="LDD42" s="16"/>
      <c r="LDE42" s="16"/>
      <c r="LDF42" s="16"/>
      <c r="LDG42" s="16"/>
      <c r="LDH42" s="16"/>
      <c r="LDI42" s="16"/>
      <c r="LDJ42" s="16"/>
      <c r="LDK42" s="16"/>
      <c r="LDL42" s="16"/>
      <c r="LDM42" s="16"/>
      <c r="LDN42" s="16"/>
      <c r="LDO42" s="16"/>
      <c r="LDP42" s="16"/>
      <c r="LDQ42" s="16"/>
      <c r="LDR42" s="16"/>
      <c r="LDS42" s="16"/>
      <c r="LDT42" s="16"/>
      <c r="LDU42" s="16"/>
      <c r="LDV42" s="16"/>
      <c r="LDW42" s="16"/>
      <c r="LDX42" s="16"/>
      <c r="LDY42" s="16"/>
      <c r="LDZ42" s="16"/>
      <c r="LEA42" s="16"/>
      <c r="LEB42" s="16"/>
      <c r="LEC42" s="16"/>
      <c r="LED42" s="16"/>
      <c r="LEE42" s="16"/>
      <c r="LEF42" s="16"/>
      <c r="LEG42" s="16"/>
      <c r="LEH42" s="16"/>
      <c r="LEI42" s="16"/>
      <c r="LEJ42" s="16"/>
      <c r="LEK42" s="16"/>
      <c r="LEL42" s="16"/>
      <c r="LEM42" s="16"/>
      <c r="LEN42" s="16"/>
      <c r="LEO42" s="16"/>
      <c r="LEP42" s="16"/>
      <c r="LEQ42" s="16"/>
      <c r="LER42" s="16"/>
      <c r="LES42" s="16"/>
      <c r="LET42" s="16"/>
      <c r="LEU42" s="16"/>
      <c r="LEV42" s="16"/>
      <c r="LEW42" s="16"/>
      <c r="LEX42" s="16"/>
      <c r="LEY42" s="16"/>
      <c r="LEZ42" s="16"/>
      <c r="LFA42" s="16"/>
      <c r="LFB42" s="16"/>
      <c r="LFC42" s="16"/>
      <c r="LFD42" s="16"/>
      <c r="LFE42" s="16"/>
      <c r="LFF42" s="16"/>
      <c r="LFG42" s="16"/>
      <c r="LFH42" s="16"/>
      <c r="LFI42" s="16"/>
      <c r="LFJ42" s="16"/>
      <c r="LFK42" s="16"/>
      <c r="LFL42" s="16"/>
      <c r="LFM42" s="16"/>
      <c r="LFN42" s="16"/>
      <c r="LFO42" s="16"/>
      <c r="LFP42" s="16"/>
      <c r="LFQ42" s="16"/>
      <c r="LFR42" s="16"/>
      <c r="LFS42" s="16"/>
      <c r="LFT42" s="16"/>
      <c r="LFU42" s="16"/>
      <c r="LFV42" s="16"/>
      <c r="LFW42" s="16"/>
      <c r="LFX42" s="16"/>
      <c r="LFY42" s="16"/>
      <c r="LFZ42" s="16"/>
      <c r="LGA42" s="16"/>
      <c r="LGB42" s="16"/>
      <c r="LGC42" s="16"/>
      <c r="LGD42" s="16"/>
      <c r="LGE42" s="16"/>
      <c r="LGF42" s="16"/>
      <c r="LGG42" s="16"/>
      <c r="LGH42" s="16"/>
      <c r="LGI42" s="16"/>
      <c r="LGJ42" s="16"/>
      <c r="LGK42" s="16"/>
      <c r="LGL42" s="16"/>
      <c r="LGM42" s="16"/>
      <c r="LGN42" s="16"/>
      <c r="LGO42" s="16"/>
      <c r="LGP42" s="16"/>
      <c r="LGQ42" s="16"/>
      <c r="LGR42" s="16"/>
      <c r="LGS42" s="16"/>
      <c r="LGT42" s="16"/>
      <c r="LGU42" s="16"/>
      <c r="LGV42" s="16"/>
      <c r="LGW42" s="16"/>
      <c r="LGX42" s="16"/>
      <c r="LGY42" s="16"/>
      <c r="LGZ42" s="16"/>
      <c r="LHA42" s="16"/>
      <c r="LHB42" s="16"/>
      <c r="LHC42" s="16"/>
      <c r="LHD42" s="16"/>
      <c r="LHE42" s="16"/>
      <c r="LHF42" s="16"/>
      <c r="LHG42" s="16"/>
      <c r="LHH42" s="16"/>
      <c r="LHI42" s="16"/>
      <c r="LHJ42" s="16"/>
      <c r="LHK42" s="16"/>
      <c r="LHL42" s="16"/>
      <c r="LHM42" s="16"/>
      <c r="LHN42" s="16"/>
      <c r="LHO42" s="16"/>
      <c r="LHP42" s="16"/>
      <c r="LHQ42" s="16"/>
      <c r="LHR42" s="16"/>
      <c r="LHS42" s="16"/>
      <c r="LHT42" s="16"/>
      <c r="LHU42" s="16"/>
      <c r="LHV42" s="16"/>
      <c r="LHW42" s="16"/>
      <c r="LHX42" s="16"/>
      <c r="LHY42" s="16"/>
      <c r="LHZ42" s="16"/>
      <c r="LIA42" s="16"/>
      <c r="LIB42" s="16"/>
      <c r="LIC42" s="16"/>
      <c r="LID42" s="16"/>
      <c r="LIE42" s="16"/>
      <c r="LIF42" s="16"/>
      <c r="LIG42" s="16"/>
      <c r="LIH42" s="16"/>
      <c r="LII42" s="16"/>
      <c r="LIJ42" s="16"/>
      <c r="LIK42" s="16"/>
      <c r="LIL42" s="16"/>
      <c r="LIM42" s="16"/>
      <c r="LIN42" s="16"/>
      <c r="LIO42" s="16"/>
      <c r="LIP42" s="16"/>
      <c r="LIQ42" s="16"/>
      <c r="LIR42" s="16"/>
      <c r="LIS42" s="16"/>
      <c r="LIT42" s="16"/>
      <c r="LIU42" s="16"/>
      <c r="LIV42" s="16"/>
      <c r="LIW42" s="16"/>
      <c r="LIX42" s="16"/>
      <c r="LIY42" s="16"/>
      <c r="LIZ42" s="16"/>
      <c r="LJA42" s="16"/>
      <c r="LJB42" s="16"/>
      <c r="LJC42" s="16"/>
      <c r="LJD42" s="16"/>
      <c r="LJE42" s="16"/>
      <c r="LJF42" s="16"/>
      <c r="LJG42" s="16"/>
      <c r="LJH42" s="16"/>
      <c r="LJI42" s="16"/>
      <c r="LJJ42" s="16"/>
      <c r="LJK42" s="16"/>
      <c r="LJL42" s="16"/>
      <c r="LJM42" s="16"/>
      <c r="LJN42" s="16"/>
      <c r="LJO42" s="16"/>
      <c r="LJP42" s="16"/>
      <c r="LJQ42" s="16"/>
      <c r="LJR42" s="16"/>
      <c r="LJS42" s="16"/>
      <c r="LJT42" s="16"/>
      <c r="LJU42" s="16"/>
      <c r="LJV42" s="16"/>
      <c r="LJW42" s="16"/>
      <c r="LJX42" s="16"/>
      <c r="LJY42" s="16"/>
      <c r="LJZ42" s="16"/>
      <c r="LKA42" s="16"/>
      <c r="LKB42" s="16"/>
      <c r="LKC42" s="16"/>
      <c r="LKD42" s="16"/>
      <c r="LKE42" s="16"/>
      <c r="LKF42" s="16"/>
      <c r="LKG42" s="16"/>
      <c r="LKH42" s="16"/>
      <c r="LKI42" s="16"/>
      <c r="LKJ42" s="16"/>
      <c r="LKK42" s="16"/>
      <c r="LKL42" s="16"/>
      <c r="LKM42" s="16"/>
      <c r="LKN42" s="16"/>
      <c r="LKO42" s="16"/>
      <c r="LKP42" s="16"/>
      <c r="LKQ42" s="16"/>
      <c r="LKR42" s="16"/>
      <c r="LKS42" s="16"/>
      <c r="LKT42" s="16"/>
      <c r="LKU42" s="16"/>
      <c r="LKV42" s="16"/>
      <c r="LKW42" s="16"/>
      <c r="LKX42" s="16"/>
      <c r="LKY42" s="16"/>
      <c r="LKZ42" s="16"/>
      <c r="LLA42" s="16"/>
      <c r="LLB42" s="16"/>
      <c r="LLC42" s="16"/>
      <c r="LLD42" s="16"/>
      <c r="LLE42" s="16"/>
      <c r="LLF42" s="16"/>
      <c r="LLG42" s="16"/>
      <c r="LLH42" s="16"/>
      <c r="LLI42" s="16"/>
      <c r="LLJ42" s="16"/>
      <c r="LLK42" s="16"/>
      <c r="LLL42" s="16"/>
      <c r="LLM42" s="16"/>
      <c r="LLN42" s="16"/>
      <c r="LLO42" s="16"/>
      <c r="LLP42" s="16"/>
      <c r="LLQ42" s="16"/>
      <c r="LLR42" s="16"/>
      <c r="LLS42" s="16"/>
      <c r="LLT42" s="16"/>
      <c r="LLU42" s="16"/>
      <c r="LLV42" s="16"/>
      <c r="LLW42" s="16"/>
      <c r="LLX42" s="16"/>
      <c r="LLY42" s="16"/>
      <c r="LLZ42" s="16"/>
      <c r="LMA42" s="16"/>
      <c r="LMB42" s="16"/>
      <c r="LMC42" s="16"/>
      <c r="LMD42" s="16"/>
      <c r="LME42" s="16"/>
      <c r="LMF42" s="16"/>
      <c r="LMG42" s="16"/>
      <c r="LMH42" s="16"/>
      <c r="LMI42" s="16"/>
      <c r="LMJ42" s="16"/>
      <c r="LMK42" s="16"/>
      <c r="LML42" s="16"/>
      <c r="LMM42" s="16"/>
      <c r="LMN42" s="16"/>
      <c r="LMO42" s="16"/>
      <c r="LMP42" s="16"/>
      <c r="LMQ42" s="16"/>
      <c r="LMR42" s="16"/>
      <c r="LMS42" s="16"/>
      <c r="LMT42" s="16"/>
      <c r="LMU42" s="16"/>
      <c r="LMV42" s="16"/>
      <c r="LMW42" s="16"/>
      <c r="LMX42" s="16"/>
      <c r="LMY42" s="16"/>
      <c r="LMZ42" s="16"/>
      <c r="LNA42" s="16"/>
      <c r="LNB42" s="16"/>
      <c r="LNC42" s="16"/>
      <c r="LND42" s="16"/>
      <c r="LNE42" s="16"/>
      <c r="LNF42" s="16"/>
      <c r="LNG42" s="16"/>
      <c r="LNH42" s="16"/>
      <c r="LNI42" s="16"/>
      <c r="LNJ42" s="16"/>
      <c r="LNK42" s="16"/>
      <c r="LNL42" s="16"/>
      <c r="LNM42" s="16"/>
      <c r="LNN42" s="16"/>
      <c r="LNO42" s="16"/>
      <c r="LNP42" s="16"/>
      <c r="LNQ42" s="16"/>
      <c r="LNR42" s="16"/>
      <c r="LNS42" s="16"/>
      <c r="LNT42" s="16"/>
      <c r="LNU42" s="16"/>
      <c r="LNV42" s="16"/>
      <c r="LNW42" s="16"/>
      <c r="LNX42" s="16"/>
      <c r="LNY42" s="16"/>
      <c r="LNZ42" s="16"/>
      <c r="LOA42" s="16"/>
      <c r="LOB42" s="16"/>
      <c r="LOC42" s="16"/>
      <c r="LOD42" s="16"/>
      <c r="LOE42" s="16"/>
      <c r="LOF42" s="16"/>
      <c r="LOG42" s="16"/>
      <c r="LOH42" s="16"/>
      <c r="LOI42" s="16"/>
      <c r="LOJ42" s="16"/>
      <c r="LOK42" s="16"/>
      <c r="LOL42" s="16"/>
      <c r="LOM42" s="16"/>
      <c r="LON42" s="16"/>
      <c r="LOO42" s="16"/>
      <c r="LOP42" s="16"/>
      <c r="LOQ42" s="16"/>
      <c r="LOR42" s="16"/>
      <c r="LOS42" s="16"/>
      <c r="LOT42" s="16"/>
      <c r="LOU42" s="16"/>
      <c r="LOV42" s="16"/>
      <c r="LOW42" s="16"/>
      <c r="LOX42" s="16"/>
      <c r="LOY42" s="16"/>
      <c r="LOZ42" s="16"/>
      <c r="LPA42" s="16"/>
      <c r="LPB42" s="16"/>
      <c r="LPC42" s="16"/>
      <c r="LPD42" s="16"/>
      <c r="LPE42" s="16"/>
      <c r="LPF42" s="16"/>
      <c r="LPG42" s="16"/>
      <c r="LPH42" s="16"/>
      <c r="LPI42" s="16"/>
      <c r="LPJ42" s="16"/>
      <c r="LPK42" s="16"/>
      <c r="LPL42" s="16"/>
      <c r="LPM42" s="16"/>
      <c r="LPN42" s="16"/>
      <c r="LPO42" s="16"/>
      <c r="LPP42" s="16"/>
      <c r="LPQ42" s="16"/>
      <c r="LPR42" s="16"/>
      <c r="LPS42" s="16"/>
      <c r="LPT42" s="16"/>
      <c r="LPU42" s="16"/>
      <c r="LPV42" s="16"/>
      <c r="LPW42" s="16"/>
      <c r="LPX42" s="16"/>
      <c r="LPY42" s="16"/>
      <c r="LPZ42" s="16"/>
      <c r="LQA42" s="16"/>
      <c r="LQB42" s="16"/>
      <c r="LQC42" s="16"/>
      <c r="LQD42" s="16"/>
      <c r="LQE42" s="16"/>
      <c r="LQF42" s="16"/>
      <c r="LQG42" s="16"/>
      <c r="LQH42" s="16"/>
      <c r="LQI42" s="16"/>
      <c r="LQJ42" s="16"/>
      <c r="LQK42" s="16"/>
      <c r="LQL42" s="16"/>
      <c r="LQM42" s="16"/>
      <c r="LQN42" s="16"/>
      <c r="LQO42" s="16"/>
      <c r="LQP42" s="16"/>
      <c r="LQQ42" s="16"/>
      <c r="LQR42" s="16"/>
      <c r="LQS42" s="16"/>
      <c r="LQT42" s="16"/>
      <c r="LQU42" s="16"/>
      <c r="LQV42" s="16"/>
      <c r="LQW42" s="16"/>
      <c r="LQX42" s="16"/>
      <c r="LQY42" s="16"/>
      <c r="LQZ42" s="16"/>
      <c r="LRA42" s="16"/>
      <c r="LRB42" s="16"/>
      <c r="LRC42" s="16"/>
      <c r="LRD42" s="16"/>
      <c r="LRE42" s="16"/>
      <c r="LRF42" s="16"/>
      <c r="LRG42" s="16"/>
      <c r="LRH42" s="16"/>
      <c r="LRI42" s="16"/>
      <c r="LRJ42" s="16"/>
      <c r="LRK42" s="16"/>
      <c r="LRL42" s="16"/>
      <c r="LRM42" s="16"/>
      <c r="LRN42" s="16"/>
      <c r="LRO42" s="16"/>
      <c r="LRP42" s="16"/>
      <c r="LRQ42" s="16"/>
      <c r="LRR42" s="16"/>
      <c r="LRS42" s="16"/>
      <c r="LRT42" s="16"/>
      <c r="LRU42" s="16"/>
      <c r="LRV42" s="16"/>
      <c r="LRW42" s="16"/>
      <c r="LRX42" s="16"/>
      <c r="LRY42" s="16"/>
      <c r="LRZ42" s="16"/>
      <c r="LSA42" s="16"/>
      <c r="LSB42" s="16"/>
      <c r="LSC42" s="16"/>
      <c r="LSD42" s="16"/>
      <c r="LSE42" s="16"/>
      <c r="LSF42" s="16"/>
      <c r="LSG42" s="16"/>
      <c r="LSH42" s="16"/>
      <c r="LSI42" s="16"/>
      <c r="LSJ42" s="16"/>
      <c r="LSK42" s="16"/>
      <c r="LSL42" s="16"/>
      <c r="LSM42" s="16"/>
      <c r="LSN42" s="16"/>
      <c r="LSO42" s="16"/>
      <c r="LSP42" s="16"/>
      <c r="LSQ42" s="16"/>
      <c r="LSR42" s="16"/>
      <c r="LSS42" s="16"/>
      <c r="LST42" s="16"/>
      <c r="LSU42" s="16"/>
      <c r="LSV42" s="16"/>
      <c r="LSW42" s="16"/>
      <c r="LSX42" s="16"/>
      <c r="LSY42" s="16"/>
      <c r="LSZ42" s="16"/>
      <c r="LTA42" s="16"/>
      <c r="LTB42" s="16"/>
      <c r="LTC42" s="16"/>
      <c r="LTD42" s="16"/>
      <c r="LTE42" s="16"/>
      <c r="LTF42" s="16"/>
      <c r="LTG42" s="16"/>
      <c r="LTH42" s="16"/>
      <c r="LTI42" s="16"/>
      <c r="LTJ42" s="16"/>
      <c r="LTK42" s="16"/>
      <c r="LTL42" s="16"/>
      <c r="LTM42" s="16"/>
      <c r="LTN42" s="16"/>
      <c r="LTO42" s="16"/>
      <c r="LTP42" s="16"/>
      <c r="LTQ42" s="16"/>
      <c r="LTR42" s="16"/>
      <c r="LTS42" s="16"/>
      <c r="LTT42" s="16"/>
      <c r="LTU42" s="16"/>
      <c r="LTV42" s="16"/>
      <c r="LTW42" s="16"/>
      <c r="LTX42" s="16"/>
      <c r="LTY42" s="16"/>
      <c r="LTZ42" s="16"/>
      <c r="LUA42" s="16"/>
      <c r="LUB42" s="16"/>
      <c r="LUC42" s="16"/>
      <c r="LUD42" s="16"/>
      <c r="LUE42" s="16"/>
      <c r="LUF42" s="16"/>
      <c r="LUG42" s="16"/>
      <c r="LUH42" s="16"/>
      <c r="LUI42" s="16"/>
      <c r="LUJ42" s="16"/>
      <c r="LUK42" s="16"/>
      <c r="LUL42" s="16"/>
      <c r="LUM42" s="16"/>
      <c r="LUN42" s="16"/>
      <c r="LUO42" s="16"/>
      <c r="LUP42" s="16"/>
      <c r="LUQ42" s="16"/>
      <c r="LUR42" s="16"/>
      <c r="LUS42" s="16"/>
      <c r="LUT42" s="16"/>
      <c r="LUU42" s="16"/>
      <c r="LUV42" s="16"/>
      <c r="LUW42" s="16"/>
      <c r="LUX42" s="16"/>
      <c r="LUY42" s="16"/>
      <c r="LUZ42" s="16"/>
      <c r="LVA42" s="16"/>
      <c r="LVB42" s="16"/>
      <c r="LVC42" s="16"/>
      <c r="LVD42" s="16"/>
      <c r="LVE42" s="16"/>
      <c r="LVF42" s="16"/>
      <c r="LVG42" s="16"/>
      <c r="LVH42" s="16"/>
      <c r="LVI42" s="16"/>
      <c r="LVJ42" s="16"/>
      <c r="LVK42" s="16"/>
      <c r="LVL42" s="16"/>
      <c r="LVM42" s="16"/>
      <c r="LVN42" s="16"/>
      <c r="LVO42" s="16"/>
      <c r="LVP42" s="16"/>
      <c r="LVQ42" s="16"/>
      <c r="LVR42" s="16"/>
      <c r="LVS42" s="16"/>
      <c r="LVT42" s="16"/>
      <c r="LVU42" s="16"/>
      <c r="LVV42" s="16"/>
      <c r="LVW42" s="16"/>
      <c r="LVX42" s="16"/>
      <c r="LVY42" s="16"/>
      <c r="LVZ42" s="16"/>
      <c r="LWA42" s="16"/>
      <c r="LWB42" s="16"/>
      <c r="LWC42" s="16"/>
      <c r="LWD42" s="16"/>
      <c r="LWE42" s="16"/>
      <c r="LWF42" s="16"/>
      <c r="LWG42" s="16"/>
      <c r="LWH42" s="16"/>
      <c r="LWI42" s="16"/>
      <c r="LWJ42" s="16"/>
      <c r="LWK42" s="16"/>
      <c r="LWL42" s="16"/>
      <c r="LWM42" s="16"/>
      <c r="LWN42" s="16"/>
      <c r="LWO42" s="16"/>
      <c r="LWP42" s="16"/>
      <c r="LWQ42" s="16"/>
      <c r="LWR42" s="16"/>
      <c r="LWS42" s="16"/>
      <c r="LWT42" s="16"/>
      <c r="LWU42" s="16"/>
      <c r="LWV42" s="16"/>
      <c r="LWW42" s="16"/>
      <c r="LWX42" s="16"/>
      <c r="LWY42" s="16"/>
      <c r="LWZ42" s="16"/>
      <c r="LXA42" s="16"/>
      <c r="LXB42" s="16"/>
      <c r="LXC42" s="16"/>
      <c r="LXD42" s="16"/>
      <c r="LXE42" s="16"/>
      <c r="LXF42" s="16"/>
      <c r="LXG42" s="16"/>
      <c r="LXH42" s="16"/>
      <c r="LXI42" s="16"/>
      <c r="LXJ42" s="16"/>
      <c r="LXK42" s="16"/>
      <c r="LXL42" s="16"/>
      <c r="LXM42" s="16"/>
      <c r="LXN42" s="16"/>
      <c r="LXO42" s="16"/>
      <c r="LXP42" s="16"/>
      <c r="LXQ42" s="16"/>
      <c r="LXR42" s="16"/>
      <c r="LXS42" s="16"/>
      <c r="LXT42" s="16"/>
      <c r="LXU42" s="16"/>
      <c r="LXV42" s="16"/>
      <c r="LXW42" s="16"/>
      <c r="LXX42" s="16"/>
      <c r="LXY42" s="16"/>
      <c r="LXZ42" s="16"/>
      <c r="LYA42" s="16"/>
      <c r="LYB42" s="16"/>
      <c r="LYC42" s="16"/>
      <c r="LYD42" s="16"/>
      <c r="LYE42" s="16"/>
      <c r="LYF42" s="16"/>
      <c r="LYG42" s="16"/>
      <c r="LYH42" s="16"/>
      <c r="LYI42" s="16"/>
      <c r="LYJ42" s="16"/>
      <c r="LYK42" s="16"/>
      <c r="LYL42" s="16"/>
      <c r="LYM42" s="16"/>
      <c r="LYN42" s="16"/>
      <c r="LYO42" s="16"/>
      <c r="LYP42" s="16"/>
      <c r="LYQ42" s="16"/>
      <c r="LYR42" s="16"/>
      <c r="LYS42" s="16"/>
      <c r="LYT42" s="16"/>
      <c r="LYU42" s="16"/>
      <c r="LYV42" s="16"/>
      <c r="LYW42" s="16"/>
      <c r="LYX42" s="16"/>
      <c r="LYY42" s="16"/>
      <c r="LYZ42" s="16"/>
      <c r="LZA42" s="16"/>
      <c r="LZB42" s="16"/>
      <c r="LZC42" s="16"/>
      <c r="LZD42" s="16"/>
      <c r="LZE42" s="16"/>
      <c r="LZF42" s="16"/>
      <c r="LZG42" s="16"/>
      <c r="LZH42" s="16"/>
      <c r="LZI42" s="16"/>
      <c r="LZJ42" s="16"/>
      <c r="LZK42" s="16"/>
      <c r="LZL42" s="16"/>
      <c r="LZM42" s="16"/>
      <c r="LZN42" s="16"/>
      <c r="LZO42" s="16"/>
      <c r="LZP42" s="16"/>
      <c r="LZQ42" s="16"/>
      <c r="LZR42" s="16"/>
      <c r="LZS42" s="16"/>
      <c r="LZT42" s="16"/>
      <c r="LZU42" s="16"/>
      <c r="LZV42" s="16"/>
      <c r="LZW42" s="16"/>
      <c r="LZX42" s="16"/>
      <c r="LZY42" s="16"/>
      <c r="LZZ42" s="16"/>
      <c r="MAA42" s="16"/>
      <c r="MAB42" s="16"/>
      <c r="MAC42" s="16"/>
      <c r="MAD42" s="16"/>
      <c r="MAE42" s="16"/>
      <c r="MAF42" s="16"/>
      <c r="MAG42" s="16"/>
      <c r="MAH42" s="16"/>
      <c r="MAI42" s="16"/>
      <c r="MAJ42" s="16"/>
      <c r="MAK42" s="16"/>
      <c r="MAL42" s="16"/>
      <c r="MAM42" s="16"/>
      <c r="MAN42" s="16"/>
      <c r="MAO42" s="16"/>
      <c r="MAP42" s="16"/>
      <c r="MAQ42" s="16"/>
      <c r="MAR42" s="16"/>
      <c r="MAS42" s="16"/>
      <c r="MAT42" s="16"/>
      <c r="MAU42" s="16"/>
      <c r="MAV42" s="16"/>
      <c r="MAW42" s="16"/>
      <c r="MAX42" s="16"/>
      <c r="MAY42" s="16"/>
      <c r="MAZ42" s="16"/>
      <c r="MBA42" s="16"/>
      <c r="MBB42" s="16"/>
      <c r="MBC42" s="16"/>
      <c r="MBD42" s="16"/>
      <c r="MBE42" s="16"/>
      <c r="MBF42" s="16"/>
      <c r="MBG42" s="16"/>
      <c r="MBH42" s="16"/>
      <c r="MBI42" s="16"/>
      <c r="MBJ42" s="16"/>
      <c r="MBK42" s="16"/>
      <c r="MBL42" s="16"/>
      <c r="MBM42" s="16"/>
      <c r="MBN42" s="16"/>
      <c r="MBO42" s="16"/>
      <c r="MBP42" s="16"/>
      <c r="MBQ42" s="16"/>
      <c r="MBR42" s="16"/>
      <c r="MBS42" s="16"/>
      <c r="MBT42" s="16"/>
      <c r="MBU42" s="16"/>
      <c r="MBV42" s="16"/>
      <c r="MBW42" s="16"/>
      <c r="MBX42" s="16"/>
      <c r="MBY42" s="16"/>
      <c r="MBZ42" s="16"/>
      <c r="MCA42" s="16"/>
      <c r="MCB42" s="16"/>
      <c r="MCC42" s="16"/>
      <c r="MCD42" s="16"/>
      <c r="MCE42" s="16"/>
      <c r="MCF42" s="16"/>
      <c r="MCG42" s="16"/>
      <c r="MCH42" s="16"/>
      <c r="MCI42" s="16"/>
      <c r="MCJ42" s="16"/>
      <c r="MCK42" s="16"/>
      <c r="MCL42" s="16"/>
      <c r="MCM42" s="16"/>
      <c r="MCN42" s="16"/>
      <c r="MCO42" s="16"/>
      <c r="MCP42" s="16"/>
      <c r="MCQ42" s="16"/>
      <c r="MCR42" s="16"/>
      <c r="MCS42" s="16"/>
      <c r="MCT42" s="16"/>
      <c r="MCU42" s="16"/>
      <c r="MCV42" s="16"/>
      <c r="MCW42" s="16"/>
      <c r="MCX42" s="16"/>
      <c r="MCY42" s="16"/>
      <c r="MCZ42" s="16"/>
      <c r="MDA42" s="16"/>
      <c r="MDB42" s="16"/>
      <c r="MDC42" s="16"/>
      <c r="MDD42" s="16"/>
      <c r="MDE42" s="16"/>
      <c r="MDF42" s="16"/>
      <c r="MDG42" s="16"/>
      <c r="MDH42" s="16"/>
      <c r="MDI42" s="16"/>
      <c r="MDJ42" s="16"/>
      <c r="MDK42" s="16"/>
      <c r="MDL42" s="16"/>
      <c r="MDM42" s="16"/>
      <c r="MDN42" s="16"/>
      <c r="MDO42" s="16"/>
      <c r="MDP42" s="16"/>
      <c r="MDQ42" s="16"/>
      <c r="MDR42" s="16"/>
      <c r="MDS42" s="16"/>
      <c r="MDT42" s="16"/>
      <c r="MDU42" s="16"/>
      <c r="MDV42" s="16"/>
      <c r="MDW42" s="16"/>
      <c r="MDX42" s="16"/>
      <c r="MDY42" s="16"/>
      <c r="MDZ42" s="16"/>
      <c r="MEA42" s="16"/>
      <c r="MEB42" s="16"/>
      <c r="MEC42" s="16"/>
      <c r="MED42" s="16"/>
      <c r="MEE42" s="16"/>
      <c r="MEF42" s="16"/>
      <c r="MEG42" s="16"/>
      <c r="MEH42" s="16"/>
      <c r="MEI42" s="16"/>
      <c r="MEJ42" s="16"/>
      <c r="MEK42" s="16"/>
      <c r="MEL42" s="16"/>
      <c r="MEM42" s="16"/>
      <c r="MEN42" s="16"/>
      <c r="MEO42" s="16"/>
      <c r="MEP42" s="16"/>
      <c r="MEQ42" s="16"/>
      <c r="MER42" s="16"/>
      <c r="MES42" s="16"/>
      <c r="MET42" s="16"/>
      <c r="MEU42" s="16"/>
      <c r="MEV42" s="16"/>
      <c r="MEW42" s="16"/>
      <c r="MEX42" s="16"/>
      <c r="MEY42" s="16"/>
      <c r="MEZ42" s="16"/>
      <c r="MFA42" s="16"/>
      <c r="MFB42" s="16"/>
      <c r="MFC42" s="16"/>
      <c r="MFD42" s="16"/>
      <c r="MFE42" s="16"/>
      <c r="MFF42" s="16"/>
      <c r="MFG42" s="16"/>
      <c r="MFH42" s="16"/>
      <c r="MFI42" s="16"/>
      <c r="MFJ42" s="16"/>
      <c r="MFK42" s="16"/>
      <c r="MFL42" s="16"/>
      <c r="MFM42" s="16"/>
      <c r="MFN42" s="16"/>
      <c r="MFO42" s="16"/>
      <c r="MFP42" s="16"/>
      <c r="MFQ42" s="16"/>
      <c r="MFR42" s="16"/>
      <c r="MFS42" s="16"/>
      <c r="MFT42" s="16"/>
      <c r="MFU42" s="16"/>
      <c r="MFV42" s="16"/>
      <c r="MFW42" s="16"/>
      <c r="MFX42" s="16"/>
      <c r="MFY42" s="16"/>
      <c r="MFZ42" s="16"/>
      <c r="MGA42" s="16"/>
      <c r="MGB42" s="16"/>
      <c r="MGC42" s="16"/>
      <c r="MGD42" s="16"/>
      <c r="MGE42" s="16"/>
      <c r="MGF42" s="16"/>
      <c r="MGG42" s="16"/>
      <c r="MGH42" s="16"/>
      <c r="MGI42" s="16"/>
      <c r="MGJ42" s="16"/>
      <c r="MGK42" s="16"/>
      <c r="MGL42" s="16"/>
      <c r="MGM42" s="16"/>
      <c r="MGN42" s="16"/>
      <c r="MGO42" s="16"/>
      <c r="MGP42" s="16"/>
      <c r="MGQ42" s="16"/>
      <c r="MGR42" s="16"/>
      <c r="MGS42" s="16"/>
      <c r="MGT42" s="16"/>
      <c r="MGU42" s="16"/>
      <c r="MGV42" s="16"/>
      <c r="MGW42" s="16"/>
      <c r="MGX42" s="16"/>
      <c r="MGY42" s="16"/>
      <c r="MGZ42" s="16"/>
      <c r="MHA42" s="16"/>
      <c r="MHB42" s="16"/>
      <c r="MHC42" s="16"/>
      <c r="MHD42" s="16"/>
      <c r="MHE42" s="16"/>
      <c r="MHF42" s="16"/>
      <c r="MHG42" s="16"/>
      <c r="MHH42" s="16"/>
      <c r="MHI42" s="16"/>
      <c r="MHJ42" s="16"/>
      <c r="MHK42" s="16"/>
      <c r="MHL42" s="16"/>
      <c r="MHM42" s="16"/>
      <c r="MHN42" s="16"/>
      <c r="MHO42" s="16"/>
      <c r="MHP42" s="16"/>
      <c r="MHQ42" s="16"/>
      <c r="MHR42" s="16"/>
      <c r="MHS42" s="16"/>
      <c r="MHT42" s="16"/>
      <c r="MHU42" s="16"/>
      <c r="MHV42" s="16"/>
      <c r="MHW42" s="16"/>
      <c r="MHX42" s="16"/>
      <c r="MHY42" s="16"/>
      <c r="MHZ42" s="16"/>
      <c r="MIA42" s="16"/>
      <c r="MIB42" s="16"/>
      <c r="MIC42" s="16"/>
      <c r="MID42" s="16"/>
      <c r="MIE42" s="16"/>
      <c r="MIF42" s="16"/>
      <c r="MIG42" s="16"/>
      <c r="MIH42" s="16"/>
      <c r="MII42" s="16"/>
      <c r="MIJ42" s="16"/>
      <c r="MIK42" s="16"/>
      <c r="MIL42" s="16"/>
      <c r="MIM42" s="16"/>
      <c r="MIN42" s="16"/>
      <c r="MIO42" s="16"/>
      <c r="MIP42" s="16"/>
      <c r="MIQ42" s="16"/>
      <c r="MIR42" s="16"/>
      <c r="MIS42" s="16"/>
      <c r="MIT42" s="16"/>
      <c r="MIU42" s="16"/>
      <c r="MIV42" s="16"/>
      <c r="MIW42" s="16"/>
      <c r="MIX42" s="16"/>
      <c r="MIY42" s="16"/>
      <c r="MIZ42" s="16"/>
      <c r="MJA42" s="16"/>
      <c r="MJB42" s="16"/>
      <c r="MJC42" s="16"/>
      <c r="MJD42" s="16"/>
      <c r="MJE42" s="16"/>
      <c r="MJF42" s="16"/>
      <c r="MJG42" s="16"/>
      <c r="MJH42" s="16"/>
      <c r="MJI42" s="16"/>
      <c r="MJJ42" s="16"/>
      <c r="MJK42" s="16"/>
      <c r="MJL42" s="16"/>
      <c r="MJM42" s="16"/>
      <c r="MJN42" s="16"/>
      <c r="MJO42" s="16"/>
      <c r="MJP42" s="16"/>
      <c r="MJQ42" s="16"/>
      <c r="MJR42" s="16"/>
      <c r="MJS42" s="16"/>
      <c r="MJT42" s="16"/>
      <c r="MJU42" s="16"/>
      <c r="MJV42" s="16"/>
      <c r="MJW42" s="16"/>
      <c r="MJX42" s="16"/>
      <c r="MJY42" s="16"/>
      <c r="MJZ42" s="16"/>
      <c r="MKA42" s="16"/>
      <c r="MKB42" s="16"/>
      <c r="MKC42" s="16"/>
      <c r="MKD42" s="16"/>
      <c r="MKE42" s="16"/>
      <c r="MKF42" s="16"/>
      <c r="MKG42" s="16"/>
      <c r="MKH42" s="16"/>
      <c r="MKI42" s="16"/>
      <c r="MKJ42" s="16"/>
      <c r="MKK42" s="16"/>
      <c r="MKL42" s="16"/>
      <c r="MKM42" s="16"/>
      <c r="MKN42" s="16"/>
      <c r="MKO42" s="16"/>
      <c r="MKP42" s="16"/>
      <c r="MKQ42" s="16"/>
      <c r="MKR42" s="16"/>
      <c r="MKS42" s="16"/>
      <c r="MKT42" s="16"/>
      <c r="MKU42" s="16"/>
      <c r="MKV42" s="16"/>
      <c r="MKW42" s="16"/>
      <c r="MKX42" s="16"/>
      <c r="MKY42" s="16"/>
      <c r="MKZ42" s="16"/>
      <c r="MLA42" s="16"/>
      <c r="MLB42" s="16"/>
      <c r="MLC42" s="16"/>
      <c r="MLD42" s="16"/>
      <c r="MLE42" s="16"/>
      <c r="MLF42" s="16"/>
      <c r="MLG42" s="16"/>
      <c r="MLH42" s="16"/>
      <c r="MLI42" s="16"/>
      <c r="MLJ42" s="16"/>
      <c r="MLK42" s="16"/>
      <c r="MLL42" s="16"/>
      <c r="MLM42" s="16"/>
      <c r="MLN42" s="16"/>
      <c r="MLO42" s="16"/>
      <c r="MLP42" s="16"/>
      <c r="MLQ42" s="16"/>
      <c r="MLR42" s="16"/>
      <c r="MLS42" s="16"/>
      <c r="MLT42" s="16"/>
      <c r="MLU42" s="16"/>
      <c r="MLV42" s="16"/>
      <c r="MLW42" s="16"/>
      <c r="MLX42" s="16"/>
      <c r="MLY42" s="16"/>
      <c r="MLZ42" s="16"/>
      <c r="MMA42" s="16"/>
      <c r="MMB42" s="16"/>
      <c r="MMC42" s="16"/>
      <c r="MMD42" s="16"/>
      <c r="MME42" s="16"/>
      <c r="MMF42" s="16"/>
      <c r="MMG42" s="16"/>
      <c r="MMH42" s="16"/>
      <c r="MMI42" s="16"/>
      <c r="MMJ42" s="16"/>
      <c r="MMK42" s="16"/>
      <c r="MML42" s="16"/>
      <c r="MMM42" s="16"/>
      <c r="MMN42" s="16"/>
      <c r="MMO42" s="16"/>
      <c r="MMP42" s="16"/>
      <c r="MMQ42" s="16"/>
      <c r="MMR42" s="16"/>
      <c r="MMS42" s="16"/>
      <c r="MMT42" s="16"/>
      <c r="MMU42" s="16"/>
      <c r="MMV42" s="16"/>
      <c r="MMW42" s="16"/>
      <c r="MMX42" s="16"/>
      <c r="MMY42" s="16"/>
      <c r="MMZ42" s="16"/>
      <c r="MNA42" s="16"/>
      <c r="MNB42" s="16"/>
      <c r="MNC42" s="16"/>
      <c r="MND42" s="16"/>
      <c r="MNE42" s="16"/>
      <c r="MNF42" s="16"/>
      <c r="MNG42" s="16"/>
      <c r="MNH42" s="16"/>
      <c r="MNI42" s="16"/>
      <c r="MNJ42" s="16"/>
      <c r="MNK42" s="16"/>
      <c r="MNL42" s="16"/>
      <c r="MNM42" s="16"/>
      <c r="MNN42" s="16"/>
      <c r="MNO42" s="16"/>
      <c r="MNP42" s="16"/>
      <c r="MNQ42" s="16"/>
      <c r="MNR42" s="16"/>
      <c r="MNS42" s="16"/>
      <c r="MNT42" s="16"/>
      <c r="MNU42" s="16"/>
      <c r="MNV42" s="16"/>
      <c r="MNW42" s="16"/>
      <c r="MNX42" s="16"/>
      <c r="MNY42" s="16"/>
      <c r="MNZ42" s="16"/>
      <c r="MOA42" s="16"/>
      <c r="MOB42" s="16"/>
      <c r="MOC42" s="16"/>
      <c r="MOD42" s="16"/>
      <c r="MOE42" s="16"/>
      <c r="MOF42" s="16"/>
      <c r="MOG42" s="16"/>
      <c r="MOH42" s="16"/>
      <c r="MOI42" s="16"/>
      <c r="MOJ42" s="16"/>
      <c r="MOK42" s="16"/>
      <c r="MOL42" s="16"/>
      <c r="MOM42" s="16"/>
      <c r="MON42" s="16"/>
      <c r="MOO42" s="16"/>
      <c r="MOP42" s="16"/>
      <c r="MOQ42" s="16"/>
      <c r="MOR42" s="16"/>
      <c r="MOS42" s="16"/>
      <c r="MOT42" s="16"/>
      <c r="MOU42" s="16"/>
      <c r="MOV42" s="16"/>
      <c r="MOW42" s="16"/>
      <c r="MOX42" s="16"/>
      <c r="MOY42" s="16"/>
      <c r="MOZ42" s="16"/>
      <c r="MPA42" s="16"/>
      <c r="MPB42" s="16"/>
      <c r="MPC42" s="16"/>
      <c r="MPD42" s="16"/>
      <c r="MPE42" s="16"/>
      <c r="MPF42" s="16"/>
      <c r="MPG42" s="16"/>
      <c r="MPH42" s="16"/>
      <c r="MPI42" s="16"/>
      <c r="MPJ42" s="16"/>
      <c r="MPK42" s="16"/>
      <c r="MPL42" s="16"/>
      <c r="MPM42" s="16"/>
      <c r="MPN42" s="16"/>
      <c r="MPO42" s="16"/>
      <c r="MPP42" s="16"/>
      <c r="MPQ42" s="16"/>
      <c r="MPR42" s="16"/>
      <c r="MPS42" s="16"/>
      <c r="MPT42" s="16"/>
      <c r="MPU42" s="16"/>
      <c r="MPV42" s="16"/>
      <c r="MPW42" s="16"/>
      <c r="MPX42" s="16"/>
      <c r="MPY42" s="16"/>
      <c r="MPZ42" s="16"/>
      <c r="MQA42" s="16"/>
      <c r="MQB42" s="16"/>
      <c r="MQC42" s="16"/>
      <c r="MQD42" s="16"/>
      <c r="MQE42" s="16"/>
      <c r="MQF42" s="16"/>
      <c r="MQG42" s="16"/>
      <c r="MQH42" s="16"/>
      <c r="MQI42" s="16"/>
      <c r="MQJ42" s="16"/>
      <c r="MQK42" s="16"/>
      <c r="MQL42" s="16"/>
      <c r="MQM42" s="16"/>
      <c r="MQN42" s="16"/>
      <c r="MQO42" s="16"/>
      <c r="MQP42" s="16"/>
      <c r="MQQ42" s="16"/>
      <c r="MQR42" s="16"/>
      <c r="MQS42" s="16"/>
      <c r="MQT42" s="16"/>
      <c r="MQU42" s="16"/>
      <c r="MQV42" s="16"/>
      <c r="MQW42" s="16"/>
      <c r="MQX42" s="16"/>
      <c r="MQY42" s="16"/>
      <c r="MQZ42" s="16"/>
      <c r="MRA42" s="16"/>
      <c r="MRB42" s="16"/>
      <c r="MRC42" s="16"/>
      <c r="MRD42" s="16"/>
      <c r="MRE42" s="16"/>
      <c r="MRF42" s="16"/>
      <c r="MRG42" s="16"/>
      <c r="MRH42" s="16"/>
      <c r="MRI42" s="16"/>
      <c r="MRJ42" s="16"/>
      <c r="MRK42" s="16"/>
      <c r="MRL42" s="16"/>
      <c r="MRM42" s="16"/>
      <c r="MRN42" s="16"/>
      <c r="MRO42" s="16"/>
      <c r="MRP42" s="16"/>
      <c r="MRQ42" s="16"/>
      <c r="MRR42" s="16"/>
      <c r="MRS42" s="16"/>
      <c r="MRT42" s="16"/>
      <c r="MRU42" s="16"/>
      <c r="MRV42" s="16"/>
      <c r="MRW42" s="16"/>
      <c r="MRX42" s="16"/>
      <c r="MRY42" s="16"/>
      <c r="MRZ42" s="16"/>
      <c r="MSA42" s="16"/>
      <c r="MSB42" s="16"/>
      <c r="MSC42" s="16"/>
      <c r="MSD42" s="16"/>
      <c r="MSE42" s="16"/>
      <c r="MSF42" s="16"/>
      <c r="MSG42" s="16"/>
      <c r="MSH42" s="16"/>
      <c r="MSI42" s="16"/>
      <c r="MSJ42" s="16"/>
      <c r="MSK42" s="16"/>
      <c r="MSL42" s="16"/>
      <c r="MSM42" s="16"/>
      <c r="MSN42" s="16"/>
      <c r="MSO42" s="16"/>
      <c r="MSP42" s="16"/>
      <c r="MSQ42" s="16"/>
      <c r="MSR42" s="16"/>
      <c r="MSS42" s="16"/>
      <c r="MST42" s="16"/>
      <c r="MSU42" s="16"/>
      <c r="MSV42" s="16"/>
      <c r="MSW42" s="16"/>
      <c r="MSX42" s="16"/>
      <c r="MSY42" s="16"/>
      <c r="MSZ42" s="16"/>
      <c r="MTA42" s="16"/>
      <c r="MTB42" s="16"/>
      <c r="MTC42" s="16"/>
      <c r="MTD42" s="16"/>
      <c r="MTE42" s="16"/>
      <c r="MTF42" s="16"/>
      <c r="MTG42" s="16"/>
      <c r="MTH42" s="16"/>
      <c r="MTI42" s="16"/>
      <c r="MTJ42" s="16"/>
      <c r="MTK42" s="16"/>
      <c r="MTL42" s="16"/>
      <c r="MTM42" s="16"/>
      <c r="MTN42" s="16"/>
      <c r="MTO42" s="16"/>
      <c r="MTP42" s="16"/>
      <c r="MTQ42" s="16"/>
      <c r="MTR42" s="16"/>
      <c r="MTS42" s="16"/>
      <c r="MTT42" s="16"/>
      <c r="MTU42" s="16"/>
      <c r="MTV42" s="16"/>
      <c r="MTW42" s="16"/>
      <c r="MTX42" s="16"/>
      <c r="MTY42" s="16"/>
      <c r="MTZ42" s="16"/>
      <c r="MUA42" s="16"/>
      <c r="MUB42" s="16"/>
      <c r="MUC42" s="16"/>
      <c r="MUD42" s="16"/>
      <c r="MUE42" s="16"/>
      <c r="MUF42" s="16"/>
      <c r="MUG42" s="16"/>
      <c r="MUH42" s="16"/>
      <c r="MUI42" s="16"/>
      <c r="MUJ42" s="16"/>
      <c r="MUK42" s="16"/>
      <c r="MUL42" s="16"/>
      <c r="MUM42" s="16"/>
      <c r="MUN42" s="16"/>
      <c r="MUO42" s="16"/>
      <c r="MUP42" s="16"/>
      <c r="MUQ42" s="16"/>
      <c r="MUR42" s="16"/>
      <c r="MUS42" s="16"/>
      <c r="MUT42" s="16"/>
      <c r="MUU42" s="16"/>
      <c r="MUV42" s="16"/>
      <c r="MUW42" s="16"/>
      <c r="MUX42" s="16"/>
      <c r="MUY42" s="16"/>
      <c r="MUZ42" s="16"/>
      <c r="MVA42" s="16"/>
      <c r="MVB42" s="16"/>
      <c r="MVC42" s="16"/>
      <c r="MVD42" s="16"/>
      <c r="MVE42" s="16"/>
      <c r="MVF42" s="16"/>
      <c r="MVG42" s="16"/>
      <c r="MVH42" s="16"/>
      <c r="MVI42" s="16"/>
      <c r="MVJ42" s="16"/>
      <c r="MVK42" s="16"/>
      <c r="MVL42" s="16"/>
      <c r="MVM42" s="16"/>
      <c r="MVN42" s="16"/>
      <c r="MVO42" s="16"/>
      <c r="MVP42" s="16"/>
      <c r="MVQ42" s="16"/>
      <c r="MVR42" s="16"/>
      <c r="MVS42" s="16"/>
      <c r="MVT42" s="16"/>
      <c r="MVU42" s="16"/>
      <c r="MVV42" s="16"/>
      <c r="MVW42" s="16"/>
      <c r="MVX42" s="16"/>
      <c r="MVY42" s="16"/>
      <c r="MVZ42" s="16"/>
      <c r="MWA42" s="16"/>
      <c r="MWB42" s="16"/>
      <c r="MWC42" s="16"/>
      <c r="MWD42" s="16"/>
      <c r="MWE42" s="16"/>
      <c r="MWF42" s="16"/>
      <c r="MWG42" s="16"/>
      <c r="MWH42" s="16"/>
      <c r="MWI42" s="16"/>
      <c r="MWJ42" s="16"/>
      <c r="MWK42" s="16"/>
      <c r="MWL42" s="16"/>
      <c r="MWM42" s="16"/>
      <c r="MWN42" s="16"/>
      <c r="MWO42" s="16"/>
      <c r="MWP42" s="16"/>
      <c r="MWQ42" s="16"/>
      <c r="MWR42" s="16"/>
      <c r="MWS42" s="16"/>
      <c r="MWT42" s="16"/>
      <c r="MWU42" s="16"/>
      <c r="MWV42" s="16"/>
      <c r="MWW42" s="16"/>
      <c r="MWX42" s="16"/>
      <c r="MWY42" s="16"/>
      <c r="MWZ42" s="16"/>
      <c r="MXA42" s="16"/>
      <c r="MXB42" s="16"/>
      <c r="MXC42" s="16"/>
      <c r="MXD42" s="16"/>
      <c r="MXE42" s="16"/>
      <c r="MXF42" s="16"/>
      <c r="MXG42" s="16"/>
      <c r="MXH42" s="16"/>
      <c r="MXI42" s="16"/>
      <c r="MXJ42" s="16"/>
      <c r="MXK42" s="16"/>
      <c r="MXL42" s="16"/>
      <c r="MXM42" s="16"/>
      <c r="MXN42" s="16"/>
      <c r="MXO42" s="16"/>
      <c r="MXP42" s="16"/>
      <c r="MXQ42" s="16"/>
      <c r="MXR42" s="16"/>
      <c r="MXS42" s="16"/>
      <c r="MXT42" s="16"/>
      <c r="MXU42" s="16"/>
      <c r="MXV42" s="16"/>
      <c r="MXW42" s="16"/>
      <c r="MXX42" s="16"/>
      <c r="MXY42" s="16"/>
      <c r="MXZ42" s="16"/>
      <c r="MYA42" s="16"/>
      <c r="MYB42" s="16"/>
      <c r="MYC42" s="16"/>
      <c r="MYD42" s="16"/>
      <c r="MYE42" s="16"/>
      <c r="MYF42" s="16"/>
      <c r="MYG42" s="16"/>
      <c r="MYH42" s="16"/>
      <c r="MYI42" s="16"/>
      <c r="MYJ42" s="16"/>
      <c r="MYK42" s="16"/>
      <c r="MYL42" s="16"/>
      <c r="MYM42" s="16"/>
      <c r="MYN42" s="16"/>
      <c r="MYO42" s="16"/>
      <c r="MYP42" s="16"/>
      <c r="MYQ42" s="16"/>
      <c r="MYR42" s="16"/>
      <c r="MYS42" s="16"/>
      <c r="MYT42" s="16"/>
      <c r="MYU42" s="16"/>
      <c r="MYV42" s="16"/>
      <c r="MYW42" s="16"/>
      <c r="MYX42" s="16"/>
      <c r="MYY42" s="16"/>
      <c r="MYZ42" s="16"/>
      <c r="MZA42" s="16"/>
      <c r="MZB42" s="16"/>
      <c r="MZC42" s="16"/>
      <c r="MZD42" s="16"/>
      <c r="MZE42" s="16"/>
      <c r="MZF42" s="16"/>
      <c r="MZG42" s="16"/>
      <c r="MZH42" s="16"/>
      <c r="MZI42" s="16"/>
      <c r="MZJ42" s="16"/>
      <c r="MZK42" s="16"/>
      <c r="MZL42" s="16"/>
      <c r="MZM42" s="16"/>
      <c r="MZN42" s="16"/>
      <c r="MZO42" s="16"/>
      <c r="MZP42" s="16"/>
      <c r="MZQ42" s="16"/>
      <c r="MZR42" s="16"/>
      <c r="MZS42" s="16"/>
      <c r="MZT42" s="16"/>
      <c r="MZU42" s="16"/>
      <c r="MZV42" s="16"/>
      <c r="MZW42" s="16"/>
      <c r="MZX42" s="16"/>
      <c r="MZY42" s="16"/>
      <c r="MZZ42" s="16"/>
      <c r="NAA42" s="16"/>
      <c r="NAB42" s="16"/>
      <c r="NAC42" s="16"/>
      <c r="NAD42" s="16"/>
      <c r="NAE42" s="16"/>
      <c r="NAF42" s="16"/>
      <c r="NAG42" s="16"/>
      <c r="NAH42" s="16"/>
      <c r="NAI42" s="16"/>
      <c r="NAJ42" s="16"/>
      <c r="NAK42" s="16"/>
      <c r="NAL42" s="16"/>
      <c r="NAM42" s="16"/>
      <c r="NAN42" s="16"/>
      <c r="NAO42" s="16"/>
      <c r="NAP42" s="16"/>
      <c r="NAQ42" s="16"/>
      <c r="NAR42" s="16"/>
      <c r="NAS42" s="16"/>
      <c r="NAT42" s="16"/>
      <c r="NAU42" s="16"/>
      <c r="NAV42" s="16"/>
      <c r="NAW42" s="16"/>
      <c r="NAX42" s="16"/>
      <c r="NAY42" s="16"/>
      <c r="NAZ42" s="16"/>
      <c r="NBA42" s="16"/>
      <c r="NBB42" s="16"/>
      <c r="NBC42" s="16"/>
      <c r="NBD42" s="16"/>
      <c r="NBE42" s="16"/>
      <c r="NBF42" s="16"/>
      <c r="NBG42" s="16"/>
      <c r="NBH42" s="16"/>
      <c r="NBI42" s="16"/>
      <c r="NBJ42" s="16"/>
      <c r="NBK42" s="16"/>
      <c r="NBL42" s="16"/>
      <c r="NBM42" s="16"/>
      <c r="NBN42" s="16"/>
      <c r="NBO42" s="16"/>
      <c r="NBP42" s="16"/>
      <c r="NBQ42" s="16"/>
      <c r="NBR42" s="16"/>
      <c r="NBS42" s="16"/>
      <c r="NBT42" s="16"/>
      <c r="NBU42" s="16"/>
      <c r="NBV42" s="16"/>
      <c r="NBW42" s="16"/>
      <c r="NBX42" s="16"/>
      <c r="NBY42" s="16"/>
      <c r="NBZ42" s="16"/>
      <c r="NCA42" s="16"/>
      <c r="NCB42" s="16"/>
      <c r="NCC42" s="16"/>
      <c r="NCD42" s="16"/>
      <c r="NCE42" s="16"/>
      <c r="NCF42" s="16"/>
      <c r="NCG42" s="16"/>
      <c r="NCH42" s="16"/>
      <c r="NCI42" s="16"/>
      <c r="NCJ42" s="16"/>
      <c r="NCK42" s="16"/>
      <c r="NCL42" s="16"/>
      <c r="NCM42" s="16"/>
      <c r="NCN42" s="16"/>
      <c r="NCO42" s="16"/>
      <c r="NCP42" s="16"/>
      <c r="NCQ42" s="16"/>
      <c r="NCR42" s="16"/>
      <c r="NCS42" s="16"/>
      <c r="NCT42" s="16"/>
      <c r="NCU42" s="16"/>
      <c r="NCV42" s="16"/>
      <c r="NCW42" s="16"/>
      <c r="NCX42" s="16"/>
      <c r="NCY42" s="16"/>
      <c r="NCZ42" s="16"/>
      <c r="NDA42" s="16"/>
      <c r="NDB42" s="16"/>
      <c r="NDC42" s="16"/>
      <c r="NDD42" s="16"/>
      <c r="NDE42" s="16"/>
      <c r="NDF42" s="16"/>
      <c r="NDG42" s="16"/>
      <c r="NDH42" s="16"/>
      <c r="NDI42" s="16"/>
      <c r="NDJ42" s="16"/>
      <c r="NDK42" s="16"/>
      <c r="NDL42" s="16"/>
      <c r="NDM42" s="16"/>
      <c r="NDN42" s="16"/>
      <c r="NDO42" s="16"/>
      <c r="NDP42" s="16"/>
      <c r="NDQ42" s="16"/>
      <c r="NDR42" s="16"/>
      <c r="NDS42" s="16"/>
      <c r="NDT42" s="16"/>
      <c r="NDU42" s="16"/>
      <c r="NDV42" s="16"/>
      <c r="NDW42" s="16"/>
      <c r="NDX42" s="16"/>
      <c r="NDY42" s="16"/>
      <c r="NDZ42" s="16"/>
      <c r="NEA42" s="16"/>
      <c r="NEB42" s="16"/>
      <c r="NEC42" s="16"/>
      <c r="NED42" s="16"/>
      <c r="NEE42" s="16"/>
      <c r="NEF42" s="16"/>
      <c r="NEG42" s="16"/>
      <c r="NEH42" s="16"/>
      <c r="NEI42" s="16"/>
      <c r="NEJ42" s="16"/>
      <c r="NEK42" s="16"/>
      <c r="NEL42" s="16"/>
      <c r="NEM42" s="16"/>
      <c r="NEN42" s="16"/>
      <c r="NEO42" s="16"/>
      <c r="NEP42" s="16"/>
      <c r="NEQ42" s="16"/>
      <c r="NER42" s="16"/>
      <c r="NES42" s="16"/>
      <c r="NET42" s="16"/>
      <c r="NEU42" s="16"/>
      <c r="NEV42" s="16"/>
      <c r="NEW42" s="16"/>
      <c r="NEX42" s="16"/>
      <c r="NEY42" s="16"/>
      <c r="NEZ42" s="16"/>
      <c r="NFA42" s="16"/>
      <c r="NFB42" s="16"/>
      <c r="NFC42" s="16"/>
      <c r="NFD42" s="16"/>
      <c r="NFE42" s="16"/>
      <c r="NFF42" s="16"/>
      <c r="NFG42" s="16"/>
      <c r="NFH42" s="16"/>
      <c r="NFI42" s="16"/>
      <c r="NFJ42" s="16"/>
      <c r="NFK42" s="16"/>
      <c r="NFL42" s="16"/>
      <c r="NFM42" s="16"/>
      <c r="NFN42" s="16"/>
      <c r="NFO42" s="16"/>
      <c r="NFP42" s="16"/>
      <c r="NFQ42" s="16"/>
      <c r="NFR42" s="16"/>
      <c r="NFS42" s="16"/>
      <c r="NFT42" s="16"/>
      <c r="NFU42" s="16"/>
      <c r="NFV42" s="16"/>
      <c r="NFW42" s="16"/>
      <c r="NFX42" s="16"/>
      <c r="NFY42" s="16"/>
      <c r="NFZ42" s="16"/>
      <c r="NGA42" s="16"/>
      <c r="NGB42" s="16"/>
      <c r="NGC42" s="16"/>
      <c r="NGD42" s="16"/>
      <c r="NGE42" s="16"/>
      <c r="NGF42" s="16"/>
      <c r="NGG42" s="16"/>
      <c r="NGH42" s="16"/>
      <c r="NGI42" s="16"/>
      <c r="NGJ42" s="16"/>
      <c r="NGK42" s="16"/>
      <c r="NGL42" s="16"/>
      <c r="NGM42" s="16"/>
      <c r="NGN42" s="16"/>
      <c r="NGO42" s="16"/>
      <c r="NGP42" s="16"/>
      <c r="NGQ42" s="16"/>
      <c r="NGR42" s="16"/>
      <c r="NGS42" s="16"/>
      <c r="NGT42" s="16"/>
      <c r="NGU42" s="16"/>
      <c r="NGV42" s="16"/>
      <c r="NGW42" s="16"/>
      <c r="NGX42" s="16"/>
      <c r="NGY42" s="16"/>
      <c r="NGZ42" s="16"/>
      <c r="NHA42" s="16"/>
      <c r="NHB42" s="16"/>
      <c r="NHC42" s="16"/>
      <c r="NHD42" s="16"/>
      <c r="NHE42" s="16"/>
      <c r="NHF42" s="16"/>
      <c r="NHG42" s="16"/>
      <c r="NHH42" s="16"/>
      <c r="NHI42" s="16"/>
      <c r="NHJ42" s="16"/>
      <c r="NHK42" s="16"/>
      <c r="NHL42" s="16"/>
      <c r="NHM42" s="16"/>
      <c r="NHN42" s="16"/>
      <c r="NHO42" s="16"/>
      <c r="NHP42" s="16"/>
      <c r="NHQ42" s="16"/>
      <c r="NHR42" s="16"/>
      <c r="NHS42" s="16"/>
      <c r="NHT42" s="16"/>
      <c r="NHU42" s="16"/>
      <c r="NHV42" s="16"/>
      <c r="NHW42" s="16"/>
      <c r="NHX42" s="16"/>
      <c r="NHY42" s="16"/>
      <c r="NHZ42" s="16"/>
      <c r="NIA42" s="16"/>
      <c r="NIB42" s="16"/>
      <c r="NIC42" s="16"/>
      <c r="NID42" s="16"/>
      <c r="NIE42" s="16"/>
      <c r="NIF42" s="16"/>
      <c r="NIG42" s="16"/>
      <c r="NIH42" s="16"/>
      <c r="NII42" s="16"/>
      <c r="NIJ42" s="16"/>
      <c r="NIK42" s="16"/>
      <c r="NIL42" s="16"/>
      <c r="NIM42" s="16"/>
      <c r="NIN42" s="16"/>
      <c r="NIO42" s="16"/>
      <c r="NIP42" s="16"/>
      <c r="NIQ42" s="16"/>
      <c r="NIR42" s="16"/>
      <c r="NIS42" s="16"/>
      <c r="NIT42" s="16"/>
      <c r="NIU42" s="16"/>
      <c r="NIV42" s="16"/>
      <c r="NIW42" s="16"/>
      <c r="NIX42" s="16"/>
      <c r="NIY42" s="16"/>
      <c r="NIZ42" s="16"/>
      <c r="NJA42" s="16"/>
      <c r="NJB42" s="16"/>
      <c r="NJC42" s="16"/>
      <c r="NJD42" s="16"/>
      <c r="NJE42" s="16"/>
      <c r="NJF42" s="16"/>
      <c r="NJG42" s="16"/>
      <c r="NJH42" s="16"/>
      <c r="NJI42" s="16"/>
      <c r="NJJ42" s="16"/>
      <c r="NJK42" s="16"/>
      <c r="NJL42" s="16"/>
      <c r="NJM42" s="16"/>
      <c r="NJN42" s="16"/>
      <c r="NJO42" s="16"/>
      <c r="NJP42" s="16"/>
      <c r="NJQ42" s="16"/>
      <c r="NJR42" s="16"/>
      <c r="NJS42" s="16"/>
      <c r="NJT42" s="16"/>
      <c r="NJU42" s="16"/>
      <c r="NJV42" s="16"/>
      <c r="NJW42" s="16"/>
      <c r="NJX42" s="16"/>
      <c r="NJY42" s="16"/>
      <c r="NJZ42" s="16"/>
      <c r="NKA42" s="16"/>
      <c r="NKB42" s="16"/>
      <c r="NKC42" s="16"/>
      <c r="NKD42" s="16"/>
      <c r="NKE42" s="16"/>
      <c r="NKF42" s="16"/>
      <c r="NKG42" s="16"/>
      <c r="NKH42" s="16"/>
      <c r="NKI42" s="16"/>
      <c r="NKJ42" s="16"/>
      <c r="NKK42" s="16"/>
      <c r="NKL42" s="16"/>
      <c r="NKM42" s="16"/>
      <c r="NKN42" s="16"/>
      <c r="NKO42" s="16"/>
      <c r="NKP42" s="16"/>
      <c r="NKQ42" s="16"/>
      <c r="NKR42" s="16"/>
      <c r="NKS42" s="16"/>
      <c r="NKT42" s="16"/>
      <c r="NKU42" s="16"/>
      <c r="NKV42" s="16"/>
      <c r="NKW42" s="16"/>
      <c r="NKX42" s="16"/>
      <c r="NKY42" s="16"/>
      <c r="NKZ42" s="16"/>
      <c r="NLA42" s="16"/>
      <c r="NLB42" s="16"/>
      <c r="NLC42" s="16"/>
      <c r="NLD42" s="16"/>
      <c r="NLE42" s="16"/>
      <c r="NLF42" s="16"/>
      <c r="NLG42" s="16"/>
      <c r="NLH42" s="16"/>
      <c r="NLI42" s="16"/>
      <c r="NLJ42" s="16"/>
      <c r="NLK42" s="16"/>
      <c r="NLL42" s="16"/>
      <c r="NLM42" s="16"/>
      <c r="NLN42" s="16"/>
      <c r="NLO42" s="16"/>
      <c r="NLP42" s="16"/>
      <c r="NLQ42" s="16"/>
      <c r="NLR42" s="16"/>
      <c r="NLS42" s="16"/>
      <c r="NLT42" s="16"/>
      <c r="NLU42" s="16"/>
      <c r="NLV42" s="16"/>
      <c r="NLW42" s="16"/>
      <c r="NLX42" s="16"/>
      <c r="NLY42" s="16"/>
      <c r="NLZ42" s="16"/>
      <c r="NMA42" s="16"/>
      <c r="NMB42" s="16"/>
      <c r="NMC42" s="16"/>
      <c r="NMD42" s="16"/>
      <c r="NME42" s="16"/>
      <c r="NMF42" s="16"/>
      <c r="NMG42" s="16"/>
      <c r="NMH42" s="16"/>
      <c r="NMI42" s="16"/>
      <c r="NMJ42" s="16"/>
      <c r="NMK42" s="16"/>
      <c r="NML42" s="16"/>
      <c r="NMM42" s="16"/>
      <c r="NMN42" s="16"/>
      <c r="NMO42" s="16"/>
      <c r="NMP42" s="16"/>
      <c r="NMQ42" s="16"/>
      <c r="NMR42" s="16"/>
      <c r="NMS42" s="16"/>
      <c r="NMT42" s="16"/>
      <c r="NMU42" s="16"/>
      <c r="NMV42" s="16"/>
      <c r="NMW42" s="16"/>
      <c r="NMX42" s="16"/>
      <c r="NMY42" s="16"/>
      <c r="NMZ42" s="16"/>
      <c r="NNA42" s="16"/>
      <c r="NNB42" s="16"/>
      <c r="NNC42" s="16"/>
      <c r="NND42" s="16"/>
      <c r="NNE42" s="16"/>
      <c r="NNF42" s="16"/>
      <c r="NNG42" s="16"/>
      <c r="NNH42" s="16"/>
      <c r="NNI42" s="16"/>
      <c r="NNJ42" s="16"/>
      <c r="NNK42" s="16"/>
      <c r="NNL42" s="16"/>
      <c r="NNM42" s="16"/>
      <c r="NNN42" s="16"/>
      <c r="NNO42" s="16"/>
      <c r="NNP42" s="16"/>
      <c r="NNQ42" s="16"/>
      <c r="NNR42" s="16"/>
      <c r="NNS42" s="16"/>
      <c r="NNT42" s="16"/>
      <c r="NNU42" s="16"/>
      <c r="NNV42" s="16"/>
      <c r="NNW42" s="16"/>
      <c r="NNX42" s="16"/>
      <c r="NNY42" s="16"/>
      <c r="NNZ42" s="16"/>
      <c r="NOA42" s="16"/>
      <c r="NOB42" s="16"/>
      <c r="NOC42" s="16"/>
      <c r="NOD42" s="16"/>
      <c r="NOE42" s="16"/>
      <c r="NOF42" s="16"/>
      <c r="NOG42" s="16"/>
      <c r="NOH42" s="16"/>
      <c r="NOI42" s="16"/>
      <c r="NOJ42" s="16"/>
      <c r="NOK42" s="16"/>
      <c r="NOL42" s="16"/>
      <c r="NOM42" s="16"/>
      <c r="NON42" s="16"/>
      <c r="NOO42" s="16"/>
      <c r="NOP42" s="16"/>
      <c r="NOQ42" s="16"/>
      <c r="NOR42" s="16"/>
      <c r="NOS42" s="16"/>
      <c r="NOT42" s="16"/>
      <c r="NOU42" s="16"/>
      <c r="NOV42" s="16"/>
      <c r="NOW42" s="16"/>
      <c r="NOX42" s="16"/>
      <c r="NOY42" s="16"/>
      <c r="NOZ42" s="16"/>
      <c r="NPA42" s="16"/>
      <c r="NPB42" s="16"/>
      <c r="NPC42" s="16"/>
      <c r="NPD42" s="16"/>
      <c r="NPE42" s="16"/>
      <c r="NPF42" s="16"/>
      <c r="NPG42" s="16"/>
      <c r="NPH42" s="16"/>
      <c r="NPI42" s="16"/>
      <c r="NPJ42" s="16"/>
      <c r="NPK42" s="16"/>
      <c r="NPL42" s="16"/>
      <c r="NPM42" s="16"/>
      <c r="NPN42" s="16"/>
      <c r="NPO42" s="16"/>
      <c r="NPP42" s="16"/>
      <c r="NPQ42" s="16"/>
      <c r="NPR42" s="16"/>
      <c r="NPS42" s="16"/>
      <c r="NPT42" s="16"/>
      <c r="NPU42" s="16"/>
      <c r="NPV42" s="16"/>
      <c r="NPW42" s="16"/>
      <c r="NPX42" s="16"/>
      <c r="NPY42" s="16"/>
      <c r="NPZ42" s="16"/>
      <c r="NQA42" s="16"/>
      <c r="NQB42" s="16"/>
      <c r="NQC42" s="16"/>
      <c r="NQD42" s="16"/>
      <c r="NQE42" s="16"/>
      <c r="NQF42" s="16"/>
      <c r="NQG42" s="16"/>
      <c r="NQH42" s="16"/>
      <c r="NQI42" s="16"/>
      <c r="NQJ42" s="16"/>
      <c r="NQK42" s="16"/>
      <c r="NQL42" s="16"/>
      <c r="NQM42" s="16"/>
      <c r="NQN42" s="16"/>
      <c r="NQO42" s="16"/>
      <c r="NQP42" s="16"/>
      <c r="NQQ42" s="16"/>
      <c r="NQR42" s="16"/>
      <c r="NQS42" s="16"/>
      <c r="NQT42" s="16"/>
      <c r="NQU42" s="16"/>
      <c r="NQV42" s="16"/>
      <c r="NQW42" s="16"/>
      <c r="NQX42" s="16"/>
      <c r="NQY42" s="16"/>
      <c r="NQZ42" s="16"/>
      <c r="NRA42" s="16"/>
      <c r="NRB42" s="16"/>
      <c r="NRC42" s="16"/>
      <c r="NRD42" s="16"/>
      <c r="NRE42" s="16"/>
      <c r="NRF42" s="16"/>
      <c r="NRG42" s="16"/>
      <c r="NRH42" s="16"/>
      <c r="NRI42" s="16"/>
      <c r="NRJ42" s="16"/>
      <c r="NRK42" s="16"/>
      <c r="NRL42" s="16"/>
      <c r="NRM42" s="16"/>
      <c r="NRN42" s="16"/>
      <c r="NRO42" s="16"/>
      <c r="NRP42" s="16"/>
      <c r="NRQ42" s="16"/>
      <c r="NRR42" s="16"/>
      <c r="NRS42" s="16"/>
      <c r="NRT42" s="16"/>
      <c r="NRU42" s="16"/>
      <c r="NRV42" s="16"/>
      <c r="NRW42" s="16"/>
      <c r="NRX42" s="16"/>
      <c r="NRY42" s="16"/>
      <c r="NRZ42" s="16"/>
      <c r="NSA42" s="16"/>
      <c r="NSB42" s="16"/>
      <c r="NSC42" s="16"/>
      <c r="NSD42" s="16"/>
      <c r="NSE42" s="16"/>
      <c r="NSF42" s="16"/>
      <c r="NSG42" s="16"/>
      <c r="NSH42" s="16"/>
      <c r="NSI42" s="16"/>
      <c r="NSJ42" s="16"/>
      <c r="NSK42" s="16"/>
      <c r="NSL42" s="16"/>
      <c r="NSM42" s="16"/>
      <c r="NSN42" s="16"/>
      <c r="NSO42" s="16"/>
      <c r="NSP42" s="16"/>
      <c r="NSQ42" s="16"/>
      <c r="NSR42" s="16"/>
      <c r="NSS42" s="16"/>
      <c r="NST42" s="16"/>
      <c r="NSU42" s="16"/>
      <c r="NSV42" s="16"/>
      <c r="NSW42" s="16"/>
      <c r="NSX42" s="16"/>
      <c r="NSY42" s="16"/>
      <c r="NSZ42" s="16"/>
      <c r="NTA42" s="16"/>
      <c r="NTB42" s="16"/>
      <c r="NTC42" s="16"/>
      <c r="NTD42" s="16"/>
      <c r="NTE42" s="16"/>
      <c r="NTF42" s="16"/>
      <c r="NTG42" s="16"/>
      <c r="NTH42" s="16"/>
      <c r="NTI42" s="16"/>
      <c r="NTJ42" s="16"/>
      <c r="NTK42" s="16"/>
      <c r="NTL42" s="16"/>
      <c r="NTM42" s="16"/>
      <c r="NTN42" s="16"/>
      <c r="NTO42" s="16"/>
      <c r="NTP42" s="16"/>
      <c r="NTQ42" s="16"/>
      <c r="NTR42" s="16"/>
      <c r="NTS42" s="16"/>
      <c r="NTT42" s="16"/>
      <c r="NTU42" s="16"/>
      <c r="NTV42" s="16"/>
      <c r="NTW42" s="16"/>
      <c r="NTX42" s="16"/>
      <c r="NTY42" s="16"/>
      <c r="NTZ42" s="16"/>
      <c r="NUA42" s="16"/>
      <c r="NUB42" s="16"/>
      <c r="NUC42" s="16"/>
      <c r="NUD42" s="16"/>
      <c r="NUE42" s="16"/>
      <c r="NUF42" s="16"/>
      <c r="NUG42" s="16"/>
      <c r="NUH42" s="16"/>
      <c r="NUI42" s="16"/>
      <c r="NUJ42" s="16"/>
      <c r="NUK42" s="16"/>
      <c r="NUL42" s="16"/>
      <c r="NUM42" s="16"/>
      <c r="NUN42" s="16"/>
      <c r="NUO42" s="16"/>
      <c r="NUP42" s="16"/>
      <c r="NUQ42" s="16"/>
      <c r="NUR42" s="16"/>
      <c r="NUS42" s="16"/>
      <c r="NUT42" s="16"/>
      <c r="NUU42" s="16"/>
      <c r="NUV42" s="16"/>
      <c r="NUW42" s="16"/>
      <c r="NUX42" s="16"/>
      <c r="NUY42" s="16"/>
      <c r="NUZ42" s="16"/>
      <c r="NVA42" s="16"/>
      <c r="NVB42" s="16"/>
      <c r="NVC42" s="16"/>
      <c r="NVD42" s="16"/>
      <c r="NVE42" s="16"/>
      <c r="NVF42" s="16"/>
      <c r="NVG42" s="16"/>
      <c r="NVH42" s="16"/>
      <c r="NVI42" s="16"/>
      <c r="NVJ42" s="16"/>
      <c r="NVK42" s="16"/>
      <c r="NVL42" s="16"/>
      <c r="NVM42" s="16"/>
      <c r="NVN42" s="16"/>
      <c r="NVO42" s="16"/>
      <c r="NVP42" s="16"/>
      <c r="NVQ42" s="16"/>
      <c r="NVR42" s="16"/>
      <c r="NVS42" s="16"/>
      <c r="NVT42" s="16"/>
      <c r="NVU42" s="16"/>
      <c r="NVV42" s="16"/>
      <c r="NVW42" s="16"/>
      <c r="NVX42" s="16"/>
      <c r="NVY42" s="16"/>
      <c r="NVZ42" s="16"/>
      <c r="NWA42" s="16"/>
      <c r="NWB42" s="16"/>
      <c r="NWC42" s="16"/>
      <c r="NWD42" s="16"/>
      <c r="NWE42" s="16"/>
      <c r="NWF42" s="16"/>
      <c r="NWG42" s="16"/>
      <c r="NWH42" s="16"/>
      <c r="NWI42" s="16"/>
      <c r="NWJ42" s="16"/>
      <c r="NWK42" s="16"/>
      <c r="NWL42" s="16"/>
      <c r="NWM42" s="16"/>
      <c r="NWN42" s="16"/>
      <c r="NWO42" s="16"/>
      <c r="NWP42" s="16"/>
      <c r="NWQ42" s="16"/>
      <c r="NWR42" s="16"/>
      <c r="NWS42" s="16"/>
      <c r="NWT42" s="16"/>
      <c r="NWU42" s="16"/>
      <c r="NWV42" s="16"/>
      <c r="NWW42" s="16"/>
      <c r="NWX42" s="16"/>
      <c r="NWY42" s="16"/>
      <c r="NWZ42" s="16"/>
      <c r="NXA42" s="16"/>
      <c r="NXB42" s="16"/>
      <c r="NXC42" s="16"/>
      <c r="NXD42" s="16"/>
      <c r="NXE42" s="16"/>
      <c r="NXF42" s="16"/>
      <c r="NXG42" s="16"/>
      <c r="NXH42" s="16"/>
      <c r="NXI42" s="16"/>
      <c r="NXJ42" s="16"/>
      <c r="NXK42" s="16"/>
      <c r="NXL42" s="16"/>
      <c r="NXM42" s="16"/>
      <c r="NXN42" s="16"/>
      <c r="NXO42" s="16"/>
      <c r="NXP42" s="16"/>
      <c r="NXQ42" s="16"/>
      <c r="NXR42" s="16"/>
      <c r="NXS42" s="16"/>
      <c r="NXT42" s="16"/>
      <c r="NXU42" s="16"/>
      <c r="NXV42" s="16"/>
      <c r="NXW42" s="16"/>
      <c r="NXX42" s="16"/>
      <c r="NXY42" s="16"/>
      <c r="NXZ42" s="16"/>
      <c r="NYA42" s="16"/>
      <c r="NYB42" s="16"/>
      <c r="NYC42" s="16"/>
      <c r="NYD42" s="16"/>
      <c r="NYE42" s="16"/>
      <c r="NYF42" s="16"/>
      <c r="NYG42" s="16"/>
      <c r="NYH42" s="16"/>
      <c r="NYI42" s="16"/>
      <c r="NYJ42" s="16"/>
      <c r="NYK42" s="16"/>
      <c r="NYL42" s="16"/>
      <c r="NYM42" s="16"/>
      <c r="NYN42" s="16"/>
      <c r="NYO42" s="16"/>
      <c r="NYP42" s="16"/>
      <c r="NYQ42" s="16"/>
      <c r="NYR42" s="16"/>
      <c r="NYS42" s="16"/>
      <c r="NYT42" s="16"/>
      <c r="NYU42" s="16"/>
      <c r="NYV42" s="16"/>
      <c r="NYW42" s="16"/>
      <c r="NYX42" s="16"/>
      <c r="NYY42" s="16"/>
      <c r="NYZ42" s="16"/>
      <c r="NZA42" s="16"/>
      <c r="NZB42" s="16"/>
      <c r="NZC42" s="16"/>
      <c r="NZD42" s="16"/>
      <c r="NZE42" s="16"/>
      <c r="NZF42" s="16"/>
      <c r="NZG42" s="16"/>
      <c r="NZH42" s="16"/>
      <c r="NZI42" s="16"/>
      <c r="NZJ42" s="16"/>
      <c r="NZK42" s="16"/>
      <c r="NZL42" s="16"/>
      <c r="NZM42" s="16"/>
      <c r="NZN42" s="16"/>
      <c r="NZO42" s="16"/>
      <c r="NZP42" s="16"/>
      <c r="NZQ42" s="16"/>
      <c r="NZR42" s="16"/>
      <c r="NZS42" s="16"/>
      <c r="NZT42" s="16"/>
      <c r="NZU42" s="16"/>
      <c r="NZV42" s="16"/>
      <c r="NZW42" s="16"/>
      <c r="NZX42" s="16"/>
      <c r="NZY42" s="16"/>
      <c r="NZZ42" s="16"/>
      <c r="OAA42" s="16"/>
      <c r="OAB42" s="16"/>
      <c r="OAC42" s="16"/>
      <c r="OAD42" s="16"/>
      <c r="OAE42" s="16"/>
      <c r="OAF42" s="16"/>
      <c r="OAG42" s="16"/>
      <c r="OAH42" s="16"/>
      <c r="OAI42" s="16"/>
      <c r="OAJ42" s="16"/>
      <c r="OAK42" s="16"/>
      <c r="OAL42" s="16"/>
      <c r="OAM42" s="16"/>
      <c r="OAN42" s="16"/>
      <c r="OAO42" s="16"/>
      <c r="OAP42" s="16"/>
      <c r="OAQ42" s="16"/>
      <c r="OAR42" s="16"/>
      <c r="OAS42" s="16"/>
      <c r="OAT42" s="16"/>
      <c r="OAU42" s="16"/>
      <c r="OAV42" s="16"/>
      <c r="OAW42" s="16"/>
      <c r="OAX42" s="16"/>
      <c r="OAY42" s="16"/>
      <c r="OAZ42" s="16"/>
      <c r="OBA42" s="16"/>
      <c r="OBB42" s="16"/>
      <c r="OBC42" s="16"/>
      <c r="OBD42" s="16"/>
      <c r="OBE42" s="16"/>
      <c r="OBF42" s="16"/>
      <c r="OBG42" s="16"/>
      <c r="OBH42" s="16"/>
      <c r="OBI42" s="16"/>
      <c r="OBJ42" s="16"/>
      <c r="OBK42" s="16"/>
      <c r="OBL42" s="16"/>
      <c r="OBM42" s="16"/>
      <c r="OBN42" s="16"/>
      <c r="OBO42" s="16"/>
      <c r="OBP42" s="16"/>
      <c r="OBQ42" s="16"/>
      <c r="OBR42" s="16"/>
      <c r="OBS42" s="16"/>
      <c r="OBT42" s="16"/>
      <c r="OBU42" s="16"/>
      <c r="OBV42" s="16"/>
      <c r="OBW42" s="16"/>
      <c r="OBX42" s="16"/>
      <c r="OBY42" s="16"/>
      <c r="OBZ42" s="16"/>
      <c r="OCA42" s="16"/>
      <c r="OCB42" s="16"/>
      <c r="OCC42" s="16"/>
      <c r="OCD42" s="16"/>
      <c r="OCE42" s="16"/>
      <c r="OCF42" s="16"/>
      <c r="OCG42" s="16"/>
      <c r="OCH42" s="16"/>
      <c r="OCI42" s="16"/>
      <c r="OCJ42" s="16"/>
      <c r="OCK42" s="16"/>
      <c r="OCL42" s="16"/>
      <c r="OCM42" s="16"/>
      <c r="OCN42" s="16"/>
      <c r="OCO42" s="16"/>
      <c r="OCP42" s="16"/>
      <c r="OCQ42" s="16"/>
      <c r="OCR42" s="16"/>
      <c r="OCS42" s="16"/>
      <c r="OCT42" s="16"/>
      <c r="OCU42" s="16"/>
      <c r="OCV42" s="16"/>
      <c r="OCW42" s="16"/>
      <c r="OCX42" s="16"/>
      <c r="OCY42" s="16"/>
      <c r="OCZ42" s="16"/>
      <c r="ODA42" s="16"/>
      <c r="ODB42" s="16"/>
      <c r="ODC42" s="16"/>
      <c r="ODD42" s="16"/>
      <c r="ODE42" s="16"/>
      <c r="ODF42" s="16"/>
      <c r="ODG42" s="16"/>
      <c r="ODH42" s="16"/>
      <c r="ODI42" s="16"/>
      <c r="ODJ42" s="16"/>
      <c r="ODK42" s="16"/>
      <c r="ODL42" s="16"/>
      <c r="ODM42" s="16"/>
      <c r="ODN42" s="16"/>
      <c r="ODO42" s="16"/>
      <c r="ODP42" s="16"/>
      <c r="ODQ42" s="16"/>
      <c r="ODR42" s="16"/>
      <c r="ODS42" s="16"/>
      <c r="ODT42" s="16"/>
      <c r="ODU42" s="16"/>
      <c r="ODV42" s="16"/>
      <c r="ODW42" s="16"/>
      <c r="ODX42" s="16"/>
      <c r="ODY42" s="16"/>
      <c r="ODZ42" s="16"/>
      <c r="OEA42" s="16"/>
      <c r="OEB42" s="16"/>
      <c r="OEC42" s="16"/>
      <c r="OED42" s="16"/>
      <c r="OEE42" s="16"/>
      <c r="OEF42" s="16"/>
      <c r="OEG42" s="16"/>
      <c r="OEH42" s="16"/>
      <c r="OEI42" s="16"/>
      <c r="OEJ42" s="16"/>
      <c r="OEK42" s="16"/>
      <c r="OEL42" s="16"/>
      <c r="OEM42" s="16"/>
      <c r="OEN42" s="16"/>
      <c r="OEO42" s="16"/>
      <c r="OEP42" s="16"/>
      <c r="OEQ42" s="16"/>
      <c r="OER42" s="16"/>
      <c r="OES42" s="16"/>
      <c r="OET42" s="16"/>
      <c r="OEU42" s="16"/>
      <c r="OEV42" s="16"/>
      <c r="OEW42" s="16"/>
      <c r="OEX42" s="16"/>
      <c r="OEY42" s="16"/>
      <c r="OEZ42" s="16"/>
      <c r="OFA42" s="16"/>
      <c r="OFB42" s="16"/>
      <c r="OFC42" s="16"/>
      <c r="OFD42" s="16"/>
      <c r="OFE42" s="16"/>
      <c r="OFF42" s="16"/>
      <c r="OFG42" s="16"/>
      <c r="OFH42" s="16"/>
      <c r="OFI42" s="16"/>
      <c r="OFJ42" s="16"/>
      <c r="OFK42" s="16"/>
      <c r="OFL42" s="16"/>
      <c r="OFM42" s="16"/>
      <c r="OFN42" s="16"/>
      <c r="OFO42" s="16"/>
      <c r="OFP42" s="16"/>
      <c r="OFQ42" s="16"/>
      <c r="OFR42" s="16"/>
      <c r="OFS42" s="16"/>
      <c r="OFT42" s="16"/>
      <c r="OFU42" s="16"/>
      <c r="OFV42" s="16"/>
      <c r="OFW42" s="16"/>
      <c r="OFX42" s="16"/>
      <c r="OFY42" s="16"/>
      <c r="OFZ42" s="16"/>
      <c r="OGA42" s="16"/>
      <c r="OGB42" s="16"/>
      <c r="OGC42" s="16"/>
      <c r="OGD42" s="16"/>
      <c r="OGE42" s="16"/>
      <c r="OGF42" s="16"/>
      <c r="OGG42" s="16"/>
      <c r="OGH42" s="16"/>
      <c r="OGI42" s="16"/>
      <c r="OGJ42" s="16"/>
      <c r="OGK42" s="16"/>
      <c r="OGL42" s="16"/>
      <c r="OGM42" s="16"/>
      <c r="OGN42" s="16"/>
      <c r="OGO42" s="16"/>
      <c r="OGP42" s="16"/>
      <c r="OGQ42" s="16"/>
      <c r="OGR42" s="16"/>
      <c r="OGS42" s="16"/>
      <c r="OGT42" s="16"/>
      <c r="OGU42" s="16"/>
      <c r="OGV42" s="16"/>
      <c r="OGW42" s="16"/>
      <c r="OGX42" s="16"/>
      <c r="OGY42" s="16"/>
      <c r="OGZ42" s="16"/>
      <c r="OHA42" s="16"/>
      <c r="OHB42" s="16"/>
      <c r="OHC42" s="16"/>
      <c r="OHD42" s="16"/>
      <c r="OHE42" s="16"/>
      <c r="OHF42" s="16"/>
      <c r="OHG42" s="16"/>
      <c r="OHH42" s="16"/>
      <c r="OHI42" s="16"/>
      <c r="OHJ42" s="16"/>
      <c r="OHK42" s="16"/>
      <c r="OHL42" s="16"/>
      <c r="OHM42" s="16"/>
      <c r="OHN42" s="16"/>
      <c r="OHO42" s="16"/>
      <c r="OHP42" s="16"/>
      <c r="OHQ42" s="16"/>
      <c r="OHR42" s="16"/>
      <c r="OHS42" s="16"/>
      <c r="OHT42" s="16"/>
      <c r="OHU42" s="16"/>
      <c r="OHV42" s="16"/>
      <c r="OHW42" s="16"/>
      <c r="OHX42" s="16"/>
      <c r="OHY42" s="16"/>
      <c r="OHZ42" s="16"/>
      <c r="OIA42" s="16"/>
      <c r="OIB42" s="16"/>
      <c r="OIC42" s="16"/>
      <c r="OID42" s="16"/>
      <c r="OIE42" s="16"/>
      <c r="OIF42" s="16"/>
      <c r="OIG42" s="16"/>
      <c r="OIH42" s="16"/>
      <c r="OII42" s="16"/>
      <c r="OIJ42" s="16"/>
      <c r="OIK42" s="16"/>
      <c r="OIL42" s="16"/>
      <c r="OIM42" s="16"/>
      <c r="OIN42" s="16"/>
      <c r="OIO42" s="16"/>
      <c r="OIP42" s="16"/>
      <c r="OIQ42" s="16"/>
      <c r="OIR42" s="16"/>
      <c r="OIS42" s="16"/>
      <c r="OIT42" s="16"/>
      <c r="OIU42" s="16"/>
      <c r="OIV42" s="16"/>
      <c r="OIW42" s="16"/>
      <c r="OIX42" s="16"/>
      <c r="OIY42" s="16"/>
      <c r="OIZ42" s="16"/>
      <c r="OJA42" s="16"/>
      <c r="OJB42" s="16"/>
      <c r="OJC42" s="16"/>
      <c r="OJD42" s="16"/>
      <c r="OJE42" s="16"/>
      <c r="OJF42" s="16"/>
      <c r="OJG42" s="16"/>
      <c r="OJH42" s="16"/>
      <c r="OJI42" s="16"/>
      <c r="OJJ42" s="16"/>
      <c r="OJK42" s="16"/>
      <c r="OJL42" s="16"/>
      <c r="OJM42" s="16"/>
      <c r="OJN42" s="16"/>
      <c r="OJO42" s="16"/>
      <c r="OJP42" s="16"/>
      <c r="OJQ42" s="16"/>
      <c r="OJR42" s="16"/>
      <c r="OJS42" s="16"/>
      <c r="OJT42" s="16"/>
      <c r="OJU42" s="16"/>
      <c r="OJV42" s="16"/>
      <c r="OJW42" s="16"/>
      <c r="OJX42" s="16"/>
      <c r="OJY42" s="16"/>
      <c r="OJZ42" s="16"/>
      <c r="OKA42" s="16"/>
      <c r="OKB42" s="16"/>
      <c r="OKC42" s="16"/>
      <c r="OKD42" s="16"/>
      <c r="OKE42" s="16"/>
      <c r="OKF42" s="16"/>
      <c r="OKG42" s="16"/>
      <c r="OKH42" s="16"/>
      <c r="OKI42" s="16"/>
      <c r="OKJ42" s="16"/>
      <c r="OKK42" s="16"/>
      <c r="OKL42" s="16"/>
      <c r="OKM42" s="16"/>
      <c r="OKN42" s="16"/>
      <c r="OKO42" s="16"/>
      <c r="OKP42" s="16"/>
      <c r="OKQ42" s="16"/>
      <c r="OKR42" s="16"/>
      <c r="OKS42" s="16"/>
      <c r="OKT42" s="16"/>
      <c r="OKU42" s="16"/>
      <c r="OKV42" s="16"/>
      <c r="OKW42" s="16"/>
      <c r="OKX42" s="16"/>
      <c r="OKY42" s="16"/>
      <c r="OKZ42" s="16"/>
      <c r="OLA42" s="16"/>
      <c r="OLB42" s="16"/>
      <c r="OLC42" s="16"/>
      <c r="OLD42" s="16"/>
      <c r="OLE42" s="16"/>
      <c r="OLF42" s="16"/>
      <c r="OLG42" s="16"/>
      <c r="OLH42" s="16"/>
      <c r="OLI42" s="16"/>
      <c r="OLJ42" s="16"/>
      <c r="OLK42" s="16"/>
      <c r="OLL42" s="16"/>
      <c r="OLM42" s="16"/>
      <c r="OLN42" s="16"/>
      <c r="OLO42" s="16"/>
      <c r="OLP42" s="16"/>
      <c r="OLQ42" s="16"/>
      <c r="OLR42" s="16"/>
      <c r="OLS42" s="16"/>
      <c r="OLT42" s="16"/>
      <c r="OLU42" s="16"/>
      <c r="OLV42" s="16"/>
      <c r="OLW42" s="16"/>
      <c r="OLX42" s="16"/>
      <c r="OLY42" s="16"/>
      <c r="OLZ42" s="16"/>
      <c r="OMA42" s="16"/>
      <c r="OMB42" s="16"/>
      <c r="OMC42" s="16"/>
      <c r="OMD42" s="16"/>
      <c r="OME42" s="16"/>
      <c r="OMF42" s="16"/>
      <c r="OMG42" s="16"/>
      <c r="OMH42" s="16"/>
      <c r="OMI42" s="16"/>
      <c r="OMJ42" s="16"/>
      <c r="OMK42" s="16"/>
      <c r="OML42" s="16"/>
      <c r="OMM42" s="16"/>
      <c r="OMN42" s="16"/>
      <c r="OMO42" s="16"/>
      <c r="OMP42" s="16"/>
      <c r="OMQ42" s="16"/>
      <c r="OMR42" s="16"/>
      <c r="OMS42" s="16"/>
      <c r="OMT42" s="16"/>
      <c r="OMU42" s="16"/>
      <c r="OMV42" s="16"/>
      <c r="OMW42" s="16"/>
      <c r="OMX42" s="16"/>
      <c r="OMY42" s="16"/>
      <c r="OMZ42" s="16"/>
      <c r="ONA42" s="16"/>
      <c r="ONB42" s="16"/>
      <c r="ONC42" s="16"/>
      <c r="OND42" s="16"/>
      <c r="ONE42" s="16"/>
      <c r="ONF42" s="16"/>
      <c r="ONG42" s="16"/>
      <c r="ONH42" s="16"/>
      <c r="ONI42" s="16"/>
      <c r="ONJ42" s="16"/>
      <c r="ONK42" s="16"/>
      <c r="ONL42" s="16"/>
      <c r="ONM42" s="16"/>
      <c r="ONN42" s="16"/>
      <c r="ONO42" s="16"/>
      <c r="ONP42" s="16"/>
      <c r="ONQ42" s="16"/>
      <c r="ONR42" s="16"/>
      <c r="ONS42" s="16"/>
      <c r="ONT42" s="16"/>
      <c r="ONU42" s="16"/>
      <c r="ONV42" s="16"/>
      <c r="ONW42" s="16"/>
      <c r="ONX42" s="16"/>
      <c r="ONY42" s="16"/>
      <c r="ONZ42" s="16"/>
      <c r="OOA42" s="16"/>
      <c r="OOB42" s="16"/>
      <c r="OOC42" s="16"/>
      <c r="OOD42" s="16"/>
      <c r="OOE42" s="16"/>
      <c r="OOF42" s="16"/>
      <c r="OOG42" s="16"/>
      <c r="OOH42" s="16"/>
      <c r="OOI42" s="16"/>
      <c r="OOJ42" s="16"/>
      <c r="OOK42" s="16"/>
      <c r="OOL42" s="16"/>
      <c r="OOM42" s="16"/>
      <c r="OON42" s="16"/>
      <c r="OOO42" s="16"/>
      <c r="OOP42" s="16"/>
      <c r="OOQ42" s="16"/>
      <c r="OOR42" s="16"/>
      <c r="OOS42" s="16"/>
      <c r="OOT42" s="16"/>
      <c r="OOU42" s="16"/>
      <c r="OOV42" s="16"/>
      <c r="OOW42" s="16"/>
      <c r="OOX42" s="16"/>
      <c r="OOY42" s="16"/>
      <c r="OOZ42" s="16"/>
      <c r="OPA42" s="16"/>
      <c r="OPB42" s="16"/>
      <c r="OPC42" s="16"/>
      <c r="OPD42" s="16"/>
      <c r="OPE42" s="16"/>
      <c r="OPF42" s="16"/>
      <c r="OPG42" s="16"/>
      <c r="OPH42" s="16"/>
      <c r="OPI42" s="16"/>
      <c r="OPJ42" s="16"/>
      <c r="OPK42" s="16"/>
      <c r="OPL42" s="16"/>
      <c r="OPM42" s="16"/>
      <c r="OPN42" s="16"/>
      <c r="OPO42" s="16"/>
      <c r="OPP42" s="16"/>
      <c r="OPQ42" s="16"/>
      <c r="OPR42" s="16"/>
      <c r="OPS42" s="16"/>
      <c r="OPT42" s="16"/>
      <c r="OPU42" s="16"/>
      <c r="OPV42" s="16"/>
      <c r="OPW42" s="16"/>
      <c r="OPX42" s="16"/>
      <c r="OPY42" s="16"/>
      <c r="OPZ42" s="16"/>
      <c r="OQA42" s="16"/>
      <c r="OQB42" s="16"/>
      <c r="OQC42" s="16"/>
      <c r="OQD42" s="16"/>
      <c r="OQE42" s="16"/>
      <c r="OQF42" s="16"/>
      <c r="OQG42" s="16"/>
      <c r="OQH42" s="16"/>
      <c r="OQI42" s="16"/>
      <c r="OQJ42" s="16"/>
      <c r="OQK42" s="16"/>
      <c r="OQL42" s="16"/>
      <c r="OQM42" s="16"/>
      <c r="OQN42" s="16"/>
      <c r="OQO42" s="16"/>
      <c r="OQP42" s="16"/>
      <c r="OQQ42" s="16"/>
      <c r="OQR42" s="16"/>
      <c r="OQS42" s="16"/>
      <c r="OQT42" s="16"/>
      <c r="OQU42" s="16"/>
      <c r="OQV42" s="16"/>
      <c r="OQW42" s="16"/>
      <c r="OQX42" s="16"/>
      <c r="OQY42" s="16"/>
      <c r="OQZ42" s="16"/>
      <c r="ORA42" s="16"/>
      <c r="ORB42" s="16"/>
      <c r="ORC42" s="16"/>
      <c r="ORD42" s="16"/>
      <c r="ORE42" s="16"/>
      <c r="ORF42" s="16"/>
      <c r="ORG42" s="16"/>
      <c r="ORH42" s="16"/>
      <c r="ORI42" s="16"/>
      <c r="ORJ42" s="16"/>
      <c r="ORK42" s="16"/>
      <c r="ORL42" s="16"/>
      <c r="ORM42" s="16"/>
      <c r="ORN42" s="16"/>
      <c r="ORO42" s="16"/>
      <c r="ORP42" s="16"/>
      <c r="ORQ42" s="16"/>
      <c r="ORR42" s="16"/>
      <c r="ORS42" s="16"/>
      <c r="ORT42" s="16"/>
      <c r="ORU42" s="16"/>
      <c r="ORV42" s="16"/>
      <c r="ORW42" s="16"/>
      <c r="ORX42" s="16"/>
      <c r="ORY42" s="16"/>
      <c r="ORZ42" s="16"/>
      <c r="OSA42" s="16"/>
      <c r="OSB42" s="16"/>
      <c r="OSC42" s="16"/>
      <c r="OSD42" s="16"/>
      <c r="OSE42" s="16"/>
      <c r="OSF42" s="16"/>
      <c r="OSG42" s="16"/>
      <c r="OSH42" s="16"/>
      <c r="OSI42" s="16"/>
      <c r="OSJ42" s="16"/>
      <c r="OSK42" s="16"/>
      <c r="OSL42" s="16"/>
      <c r="OSM42" s="16"/>
      <c r="OSN42" s="16"/>
      <c r="OSO42" s="16"/>
      <c r="OSP42" s="16"/>
      <c r="OSQ42" s="16"/>
      <c r="OSR42" s="16"/>
      <c r="OSS42" s="16"/>
      <c r="OST42" s="16"/>
      <c r="OSU42" s="16"/>
      <c r="OSV42" s="16"/>
      <c r="OSW42" s="16"/>
      <c r="OSX42" s="16"/>
      <c r="OSY42" s="16"/>
      <c r="OSZ42" s="16"/>
      <c r="OTA42" s="16"/>
      <c r="OTB42" s="16"/>
      <c r="OTC42" s="16"/>
      <c r="OTD42" s="16"/>
      <c r="OTE42" s="16"/>
      <c r="OTF42" s="16"/>
      <c r="OTG42" s="16"/>
      <c r="OTH42" s="16"/>
      <c r="OTI42" s="16"/>
      <c r="OTJ42" s="16"/>
      <c r="OTK42" s="16"/>
      <c r="OTL42" s="16"/>
      <c r="OTM42" s="16"/>
      <c r="OTN42" s="16"/>
      <c r="OTO42" s="16"/>
      <c r="OTP42" s="16"/>
      <c r="OTQ42" s="16"/>
      <c r="OTR42" s="16"/>
      <c r="OTS42" s="16"/>
      <c r="OTT42" s="16"/>
      <c r="OTU42" s="16"/>
      <c r="OTV42" s="16"/>
      <c r="OTW42" s="16"/>
      <c r="OTX42" s="16"/>
      <c r="OTY42" s="16"/>
      <c r="OTZ42" s="16"/>
      <c r="OUA42" s="16"/>
      <c r="OUB42" s="16"/>
      <c r="OUC42" s="16"/>
      <c r="OUD42" s="16"/>
      <c r="OUE42" s="16"/>
      <c r="OUF42" s="16"/>
      <c r="OUG42" s="16"/>
      <c r="OUH42" s="16"/>
      <c r="OUI42" s="16"/>
      <c r="OUJ42" s="16"/>
      <c r="OUK42" s="16"/>
      <c r="OUL42" s="16"/>
      <c r="OUM42" s="16"/>
      <c r="OUN42" s="16"/>
      <c r="OUO42" s="16"/>
      <c r="OUP42" s="16"/>
      <c r="OUQ42" s="16"/>
      <c r="OUR42" s="16"/>
      <c r="OUS42" s="16"/>
      <c r="OUT42" s="16"/>
      <c r="OUU42" s="16"/>
      <c r="OUV42" s="16"/>
      <c r="OUW42" s="16"/>
      <c r="OUX42" s="16"/>
      <c r="OUY42" s="16"/>
      <c r="OUZ42" s="16"/>
      <c r="OVA42" s="16"/>
      <c r="OVB42" s="16"/>
      <c r="OVC42" s="16"/>
      <c r="OVD42" s="16"/>
      <c r="OVE42" s="16"/>
      <c r="OVF42" s="16"/>
      <c r="OVG42" s="16"/>
      <c r="OVH42" s="16"/>
      <c r="OVI42" s="16"/>
      <c r="OVJ42" s="16"/>
      <c r="OVK42" s="16"/>
      <c r="OVL42" s="16"/>
      <c r="OVM42" s="16"/>
      <c r="OVN42" s="16"/>
      <c r="OVO42" s="16"/>
      <c r="OVP42" s="16"/>
      <c r="OVQ42" s="16"/>
      <c r="OVR42" s="16"/>
      <c r="OVS42" s="16"/>
      <c r="OVT42" s="16"/>
      <c r="OVU42" s="16"/>
      <c r="OVV42" s="16"/>
      <c r="OVW42" s="16"/>
      <c r="OVX42" s="16"/>
      <c r="OVY42" s="16"/>
      <c r="OVZ42" s="16"/>
      <c r="OWA42" s="16"/>
      <c r="OWB42" s="16"/>
      <c r="OWC42" s="16"/>
      <c r="OWD42" s="16"/>
      <c r="OWE42" s="16"/>
      <c r="OWF42" s="16"/>
      <c r="OWG42" s="16"/>
      <c r="OWH42" s="16"/>
      <c r="OWI42" s="16"/>
      <c r="OWJ42" s="16"/>
      <c r="OWK42" s="16"/>
      <c r="OWL42" s="16"/>
      <c r="OWM42" s="16"/>
      <c r="OWN42" s="16"/>
      <c r="OWO42" s="16"/>
      <c r="OWP42" s="16"/>
      <c r="OWQ42" s="16"/>
      <c r="OWR42" s="16"/>
      <c r="OWS42" s="16"/>
      <c r="OWT42" s="16"/>
      <c r="OWU42" s="16"/>
      <c r="OWV42" s="16"/>
      <c r="OWW42" s="16"/>
      <c r="OWX42" s="16"/>
      <c r="OWY42" s="16"/>
      <c r="OWZ42" s="16"/>
      <c r="OXA42" s="16"/>
      <c r="OXB42" s="16"/>
      <c r="OXC42" s="16"/>
      <c r="OXD42" s="16"/>
      <c r="OXE42" s="16"/>
      <c r="OXF42" s="16"/>
      <c r="OXG42" s="16"/>
      <c r="OXH42" s="16"/>
      <c r="OXI42" s="16"/>
      <c r="OXJ42" s="16"/>
      <c r="OXK42" s="16"/>
      <c r="OXL42" s="16"/>
      <c r="OXM42" s="16"/>
      <c r="OXN42" s="16"/>
      <c r="OXO42" s="16"/>
      <c r="OXP42" s="16"/>
      <c r="OXQ42" s="16"/>
      <c r="OXR42" s="16"/>
      <c r="OXS42" s="16"/>
      <c r="OXT42" s="16"/>
      <c r="OXU42" s="16"/>
      <c r="OXV42" s="16"/>
      <c r="OXW42" s="16"/>
      <c r="OXX42" s="16"/>
      <c r="OXY42" s="16"/>
      <c r="OXZ42" s="16"/>
      <c r="OYA42" s="16"/>
      <c r="OYB42" s="16"/>
      <c r="OYC42" s="16"/>
      <c r="OYD42" s="16"/>
      <c r="OYE42" s="16"/>
      <c r="OYF42" s="16"/>
      <c r="OYG42" s="16"/>
      <c r="OYH42" s="16"/>
      <c r="OYI42" s="16"/>
      <c r="OYJ42" s="16"/>
      <c r="OYK42" s="16"/>
      <c r="OYL42" s="16"/>
      <c r="OYM42" s="16"/>
      <c r="OYN42" s="16"/>
      <c r="OYO42" s="16"/>
      <c r="OYP42" s="16"/>
      <c r="OYQ42" s="16"/>
      <c r="OYR42" s="16"/>
      <c r="OYS42" s="16"/>
      <c r="OYT42" s="16"/>
      <c r="OYU42" s="16"/>
      <c r="OYV42" s="16"/>
      <c r="OYW42" s="16"/>
      <c r="OYX42" s="16"/>
      <c r="OYY42" s="16"/>
      <c r="OYZ42" s="16"/>
      <c r="OZA42" s="16"/>
      <c r="OZB42" s="16"/>
      <c r="OZC42" s="16"/>
      <c r="OZD42" s="16"/>
      <c r="OZE42" s="16"/>
      <c r="OZF42" s="16"/>
      <c r="OZG42" s="16"/>
      <c r="OZH42" s="16"/>
      <c r="OZI42" s="16"/>
      <c r="OZJ42" s="16"/>
      <c r="OZK42" s="16"/>
      <c r="OZL42" s="16"/>
      <c r="OZM42" s="16"/>
      <c r="OZN42" s="16"/>
      <c r="OZO42" s="16"/>
      <c r="OZP42" s="16"/>
      <c r="OZQ42" s="16"/>
      <c r="OZR42" s="16"/>
      <c r="OZS42" s="16"/>
      <c r="OZT42" s="16"/>
      <c r="OZU42" s="16"/>
      <c r="OZV42" s="16"/>
      <c r="OZW42" s="16"/>
      <c r="OZX42" s="16"/>
      <c r="OZY42" s="16"/>
      <c r="OZZ42" s="16"/>
      <c r="PAA42" s="16"/>
      <c r="PAB42" s="16"/>
      <c r="PAC42" s="16"/>
      <c r="PAD42" s="16"/>
      <c r="PAE42" s="16"/>
      <c r="PAF42" s="16"/>
      <c r="PAG42" s="16"/>
      <c r="PAH42" s="16"/>
      <c r="PAI42" s="16"/>
      <c r="PAJ42" s="16"/>
      <c r="PAK42" s="16"/>
      <c r="PAL42" s="16"/>
      <c r="PAM42" s="16"/>
      <c r="PAN42" s="16"/>
      <c r="PAO42" s="16"/>
      <c r="PAP42" s="16"/>
      <c r="PAQ42" s="16"/>
      <c r="PAR42" s="16"/>
      <c r="PAS42" s="16"/>
      <c r="PAT42" s="16"/>
      <c r="PAU42" s="16"/>
      <c r="PAV42" s="16"/>
      <c r="PAW42" s="16"/>
      <c r="PAX42" s="16"/>
      <c r="PAY42" s="16"/>
      <c r="PAZ42" s="16"/>
      <c r="PBA42" s="16"/>
      <c r="PBB42" s="16"/>
      <c r="PBC42" s="16"/>
      <c r="PBD42" s="16"/>
      <c r="PBE42" s="16"/>
      <c r="PBF42" s="16"/>
      <c r="PBG42" s="16"/>
      <c r="PBH42" s="16"/>
      <c r="PBI42" s="16"/>
      <c r="PBJ42" s="16"/>
      <c r="PBK42" s="16"/>
      <c r="PBL42" s="16"/>
      <c r="PBM42" s="16"/>
      <c r="PBN42" s="16"/>
      <c r="PBO42" s="16"/>
      <c r="PBP42" s="16"/>
      <c r="PBQ42" s="16"/>
      <c r="PBR42" s="16"/>
      <c r="PBS42" s="16"/>
      <c r="PBT42" s="16"/>
      <c r="PBU42" s="16"/>
      <c r="PBV42" s="16"/>
      <c r="PBW42" s="16"/>
      <c r="PBX42" s="16"/>
      <c r="PBY42" s="16"/>
      <c r="PBZ42" s="16"/>
      <c r="PCA42" s="16"/>
      <c r="PCB42" s="16"/>
      <c r="PCC42" s="16"/>
      <c r="PCD42" s="16"/>
      <c r="PCE42" s="16"/>
      <c r="PCF42" s="16"/>
      <c r="PCG42" s="16"/>
      <c r="PCH42" s="16"/>
      <c r="PCI42" s="16"/>
      <c r="PCJ42" s="16"/>
      <c r="PCK42" s="16"/>
      <c r="PCL42" s="16"/>
      <c r="PCM42" s="16"/>
      <c r="PCN42" s="16"/>
      <c r="PCO42" s="16"/>
      <c r="PCP42" s="16"/>
      <c r="PCQ42" s="16"/>
      <c r="PCR42" s="16"/>
      <c r="PCS42" s="16"/>
      <c r="PCT42" s="16"/>
      <c r="PCU42" s="16"/>
      <c r="PCV42" s="16"/>
      <c r="PCW42" s="16"/>
      <c r="PCX42" s="16"/>
      <c r="PCY42" s="16"/>
      <c r="PCZ42" s="16"/>
      <c r="PDA42" s="16"/>
      <c r="PDB42" s="16"/>
      <c r="PDC42" s="16"/>
      <c r="PDD42" s="16"/>
      <c r="PDE42" s="16"/>
      <c r="PDF42" s="16"/>
      <c r="PDG42" s="16"/>
      <c r="PDH42" s="16"/>
      <c r="PDI42" s="16"/>
      <c r="PDJ42" s="16"/>
      <c r="PDK42" s="16"/>
      <c r="PDL42" s="16"/>
      <c r="PDM42" s="16"/>
      <c r="PDN42" s="16"/>
      <c r="PDO42" s="16"/>
      <c r="PDP42" s="16"/>
      <c r="PDQ42" s="16"/>
      <c r="PDR42" s="16"/>
      <c r="PDS42" s="16"/>
      <c r="PDT42" s="16"/>
      <c r="PDU42" s="16"/>
      <c r="PDV42" s="16"/>
      <c r="PDW42" s="16"/>
      <c r="PDX42" s="16"/>
      <c r="PDY42" s="16"/>
      <c r="PDZ42" s="16"/>
      <c r="PEA42" s="16"/>
      <c r="PEB42" s="16"/>
      <c r="PEC42" s="16"/>
      <c r="PED42" s="16"/>
      <c r="PEE42" s="16"/>
      <c r="PEF42" s="16"/>
      <c r="PEG42" s="16"/>
      <c r="PEH42" s="16"/>
      <c r="PEI42" s="16"/>
      <c r="PEJ42" s="16"/>
      <c r="PEK42" s="16"/>
      <c r="PEL42" s="16"/>
      <c r="PEM42" s="16"/>
      <c r="PEN42" s="16"/>
      <c r="PEO42" s="16"/>
      <c r="PEP42" s="16"/>
      <c r="PEQ42" s="16"/>
      <c r="PER42" s="16"/>
      <c r="PES42" s="16"/>
      <c r="PET42" s="16"/>
      <c r="PEU42" s="16"/>
      <c r="PEV42" s="16"/>
      <c r="PEW42" s="16"/>
      <c r="PEX42" s="16"/>
      <c r="PEY42" s="16"/>
      <c r="PEZ42" s="16"/>
      <c r="PFA42" s="16"/>
      <c r="PFB42" s="16"/>
      <c r="PFC42" s="16"/>
      <c r="PFD42" s="16"/>
      <c r="PFE42" s="16"/>
      <c r="PFF42" s="16"/>
      <c r="PFG42" s="16"/>
      <c r="PFH42" s="16"/>
      <c r="PFI42" s="16"/>
      <c r="PFJ42" s="16"/>
      <c r="PFK42" s="16"/>
      <c r="PFL42" s="16"/>
      <c r="PFM42" s="16"/>
      <c r="PFN42" s="16"/>
      <c r="PFO42" s="16"/>
      <c r="PFP42" s="16"/>
      <c r="PFQ42" s="16"/>
      <c r="PFR42" s="16"/>
      <c r="PFS42" s="16"/>
      <c r="PFT42" s="16"/>
      <c r="PFU42" s="16"/>
      <c r="PFV42" s="16"/>
      <c r="PFW42" s="16"/>
      <c r="PFX42" s="16"/>
      <c r="PFY42" s="16"/>
      <c r="PFZ42" s="16"/>
      <c r="PGA42" s="16"/>
      <c r="PGB42" s="16"/>
      <c r="PGC42" s="16"/>
      <c r="PGD42" s="16"/>
      <c r="PGE42" s="16"/>
      <c r="PGF42" s="16"/>
      <c r="PGG42" s="16"/>
      <c r="PGH42" s="16"/>
      <c r="PGI42" s="16"/>
      <c r="PGJ42" s="16"/>
      <c r="PGK42" s="16"/>
      <c r="PGL42" s="16"/>
      <c r="PGM42" s="16"/>
      <c r="PGN42" s="16"/>
      <c r="PGO42" s="16"/>
      <c r="PGP42" s="16"/>
      <c r="PGQ42" s="16"/>
      <c r="PGR42" s="16"/>
      <c r="PGS42" s="16"/>
      <c r="PGT42" s="16"/>
      <c r="PGU42" s="16"/>
      <c r="PGV42" s="16"/>
      <c r="PGW42" s="16"/>
      <c r="PGX42" s="16"/>
      <c r="PGY42" s="16"/>
      <c r="PGZ42" s="16"/>
      <c r="PHA42" s="16"/>
      <c r="PHB42" s="16"/>
      <c r="PHC42" s="16"/>
      <c r="PHD42" s="16"/>
      <c r="PHE42" s="16"/>
      <c r="PHF42" s="16"/>
      <c r="PHG42" s="16"/>
      <c r="PHH42" s="16"/>
      <c r="PHI42" s="16"/>
      <c r="PHJ42" s="16"/>
      <c r="PHK42" s="16"/>
      <c r="PHL42" s="16"/>
      <c r="PHM42" s="16"/>
      <c r="PHN42" s="16"/>
      <c r="PHO42" s="16"/>
      <c r="PHP42" s="16"/>
      <c r="PHQ42" s="16"/>
      <c r="PHR42" s="16"/>
      <c r="PHS42" s="16"/>
      <c r="PHT42" s="16"/>
      <c r="PHU42" s="16"/>
      <c r="PHV42" s="16"/>
      <c r="PHW42" s="16"/>
      <c r="PHX42" s="16"/>
      <c r="PHY42" s="16"/>
      <c r="PHZ42" s="16"/>
      <c r="PIA42" s="16"/>
      <c r="PIB42" s="16"/>
      <c r="PIC42" s="16"/>
      <c r="PID42" s="16"/>
      <c r="PIE42" s="16"/>
      <c r="PIF42" s="16"/>
      <c r="PIG42" s="16"/>
      <c r="PIH42" s="16"/>
      <c r="PII42" s="16"/>
      <c r="PIJ42" s="16"/>
      <c r="PIK42" s="16"/>
      <c r="PIL42" s="16"/>
      <c r="PIM42" s="16"/>
      <c r="PIN42" s="16"/>
      <c r="PIO42" s="16"/>
      <c r="PIP42" s="16"/>
      <c r="PIQ42" s="16"/>
      <c r="PIR42" s="16"/>
      <c r="PIS42" s="16"/>
      <c r="PIT42" s="16"/>
      <c r="PIU42" s="16"/>
      <c r="PIV42" s="16"/>
      <c r="PIW42" s="16"/>
      <c r="PIX42" s="16"/>
      <c r="PIY42" s="16"/>
      <c r="PIZ42" s="16"/>
      <c r="PJA42" s="16"/>
      <c r="PJB42" s="16"/>
      <c r="PJC42" s="16"/>
      <c r="PJD42" s="16"/>
      <c r="PJE42" s="16"/>
      <c r="PJF42" s="16"/>
      <c r="PJG42" s="16"/>
      <c r="PJH42" s="16"/>
      <c r="PJI42" s="16"/>
      <c r="PJJ42" s="16"/>
      <c r="PJK42" s="16"/>
      <c r="PJL42" s="16"/>
      <c r="PJM42" s="16"/>
      <c r="PJN42" s="16"/>
      <c r="PJO42" s="16"/>
      <c r="PJP42" s="16"/>
      <c r="PJQ42" s="16"/>
      <c r="PJR42" s="16"/>
      <c r="PJS42" s="16"/>
      <c r="PJT42" s="16"/>
      <c r="PJU42" s="16"/>
      <c r="PJV42" s="16"/>
      <c r="PJW42" s="16"/>
      <c r="PJX42" s="16"/>
      <c r="PJY42" s="16"/>
      <c r="PJZ42" s="16"/>
      <c r="PKA42" s="16"/>
      <c r="PKB42" s="16"/>
      <c r="PKC42" s="16"/>
      <c r="PKD42" s="16"/>
      <c r="PKE42" s="16"/>
      <c r="PKF42" s="16"/>
      <c r="PKG42" s="16"/>
      <c r="PKH42" s="16"/>
      <c r="PKI42" s="16"/>
      <c r="PKJ42" s="16"/>
      <c r="PKK42" s="16"/>
      <c r="PKL42" s="16"/>
      <c r="PKM42" s="16"/>
      <c r="PKN42" s="16"/>
      <c r="PKO42" s="16"/>
      <c r="PKP42" s="16"/>
      <c r="PKQ42" s="16"/>
      <c r="PKR42" s="16"/>
      <c r="PKS42" s="16"/>
      <c r="PKT42" s="16"/>
      <c r="PKU42" s="16"/>
      <c r="PKV42" s="16"/>
      <c r="PKW42" s="16"/>
      <c r="PKX42" s="16"/>
      <c r="PKY42" s="16"/>
      <c r="PKZ42" s="16"/>
      <c r="PLA42" s="16"/>
      <c r="PLB42" s="16"/>
      <c r="PLC42" s="16"/>
      <c r="PLD42" s="16"/>
      <c r="PLE42" s="16"/>
      <c r="PLF42" s="16"/>
      <c r="PLG42" s="16"/>
      <c r="PLH42" s="16"/>
      <c r="PLI42" s="16"/>
      <c r="PLJ42" s="16"/>
      <c r="PLK42" s="16"/>
      <c r="PLL42" s="16"/>
      <c r="PLM42" s="16"/>
      <c r="PLN42" s="16"/>
      <c r="PLO42" s="16"/>
      <c r="PLP42" s="16"/>
      <c r="PLQ42" s="16"/>
      <c r="PLR42" s="16"/>
      <c r="PLS42" s="16"/>
      <c r="PLT42" s="16"/>
      <c r="PLU42" s="16"/>
      <c r="PLV42" s="16"/>
      <c r="PLW42" s="16"/>
      <c r="PLX42" s="16"/>
      <c r="PLY42" s="16"/>
      <c r="PLZ42" s="16"/>
      <c r="PMA42" s="16"/>
      <c r="PMB42" s="16"/>
      <c r="PMC42" s="16"/>
      <c r="PMD42" s="16"/>
      <c r="PME42" s="16"/>
      <c r="PMF42" s="16"/>
      <c r="PMG42" s="16"/>
      <c r="PMH42" s="16"/>
      <c r="PMI42" s="16"/>
      <c r="PMJ42" s="16"/>
      <c r="PMK42" s="16"/>
      <c r="PML42" s="16"/>
      <c r="PMM42" s="16"/>
      <c r="PMN42" s="16"/>
      <c r="PMO42" s="16"/>
      <c r="PMP42" s="16"/>
      <c r="PMQ42" s="16"/>
      <c r="PMR42" s="16"/>
      <c r="PMS42" s="16"/>
      <c r="PMT42" s="16"/>
      <c r="PMU42" s="16"/>
      <c r="PMV42" s="16"/>
      <c r="PMW42" s="16"/>
      <c r="PMX42" s="16"/>
      <c r="PMY42" s="16"/>
      <c r="PMZ42" s="16"/>
      <c r="PNA42" s="16"/>
      <c r="PNB42" s="16"/>
      <c r="PNC42" s="16"/>
      <c r="PND42" s="16"/>
      <c r="PNE42" s="16"/>
      <c r="PNF42" s="16"/>
      <c r="PNG42" s="16"/>
      <c r="PNH42" s="16"/>
      <c r="PNI42" s="16"/>
      <c r="PNJ42" s="16"/>
      <c r="PNK42" s="16"/>
      <c r="PNL42" s="16"/>
      <c r="PNM42" s="16"/>
      <c r="PNN42" s="16"/>
      <c r="PNO42" s="16"/>
      <c r="PNP42" s="16"/>
      <c r="PNQ42" s="16"/>
      <c r="PNR42" s="16"/>
      <c r="PNS42" s="16"/>
      <c r="PNT42" s="16"/>
      <c r="PNU42" s="16"/>
      <c r="PNV42" s="16"/>
      <c r="PNW42" s="16"/>
      <c r="PNX42" s="16"/>
      <c r="PNY42" s="16"/>
      <c r="PNZ42" s="16"/>
      <c r="POA42" s="16"/>
      <c r="POB42" s="16"/>
      <c r="POC42" s="16"/>
      <c r="POD42" s="16"/>
      <c r="POE42" s="16"/>
      <c r="POF42" s="16"/>
      <c r="POG42" s="16"/>
      <c r="POH42" s="16"/>
      <c r="POI42" s="16"/>
      <c r="POJ42" s="16"/>
      <c r="POK42" s="16"/>
      <c r="POL42" s="16"/>
      <c r="POM42" s="16"/>
      <c r="PON42" s="16"/>
      <c r="POO42" s="16"/>
      <c r="POP42" s="16"/>
      <c r="POQ42" s="16"/>
      <c r="POR42" s="16"/>
      <c r="POS42" s="16"/>
      <c r="POT42" s="16"/>
      <c r="POU42" s="16"/>
      <c r="POV42" s="16"/>
      <c r="POW42" s="16"/>
      <c r="POX42" s="16"/>
      <c r="POY42" s="16"/>
      <c r="POZ42" s="16"/>
      <c r="PPA42" s="16"/>
      <c r="PPB42" s="16"/>
      <c r="PPC42" s="16"/>
      <c r="PPD42" s="16"/>
      <c r="PPE42" s="16"/>
      <c r="PPF42" s="16"/>
      <c r="PPG42" s="16"/>
      <c r="PPH42" s="16"/>
      <c r="PPI42" s="16"/>
      <c r="PPJ42" s="16"/>
      <c r="PPK42" s="16"/>
      <c r="PPL42" s="16"/>
      <c r="PPM42" s="16"/>
      <c r="PPN42" s="16"/>
      <c r="PPO42" s="16"/>
      <c r="PPP42" s="16"/>
      <c r="PPQ42" s="16"/>
      <c r="PPR42" s="16"/>
      <c r="PPS42" s="16"/>
      <c r="PPT42" s="16"/>
      <c r="PPU42" s="16"/>
      <c r="PPV42" s="16"/>
      <c r="PPW42" s="16"/>
      <c r="PPX42" s="16"/>
      <c r="PPY42" s="16"/>
      <c r="PPZ42" s="16"/>
      <c r="PQA42" s="16"/>
      <c r="PQB42" s="16"/>
      <c r="PQC42" s="16"/>
      <c r="PQD42" s="16"/>
      <c r="PQE42" s="16"/>
      <c r="PQF42" s="16"/>
      <c r="PQG42" s="16"/>
      <c r="PQH42" s="16"/>
      <c r="PQI42" s="16"/>
      <c r="PQJ42" s="16"/>
      <c r="PQK42" s="16"/>
      <c r="PQL42" s="16"/>
      <c r="PQM42" s="16"/>
      <c r="PQN42" s="16"/>
      <c r="PQO42" s="16"/>
      <c r="PQP42" s="16"/>
      <c r="PQQ42" s="16"/>
      <c r="PQR42" s="16"/>
      <c r="PQS42" s="16"/>
      <c r="PQT42" s="16"/>
      <c r="PQU42" s="16"/>
      <c r="PQV42" s="16"/>
      <c r="PQW42" s="16"/>
      <c r="PQX42" s="16"/>
      <c r="PQY42" s="16"/>
      <c r="PQZ42" s="16"/>
      <c r="PRA42" s="16"/>
      <c r="PRB42" s="16"/>
      <c r="PRC42" s="16"/>
      <c r="PRD42" s="16"/>
      <c r="PRE42" s="16"/>
      <c r="PRF42" s="16"/>
      <c r="PRG42" s="16"/>
      <c r="PRH42" s="16"/>
      <c r="PRI42" s="16"/>
      <c r="PRJ42" s="16"/>
      <c r="PRK42" s="16"/>
      <c r="PRL42" s="16"/>
      <c r="PRM42" s="16"/>
      <c r="PRN42" s="16"/>
      <c r="PRO42" s="16"/>
      <c r="PRP42" s="16"/>
      <c r="PRQ42" s="16"/>
      <c r="PRR42" s="16"/>
      <c r="PRS42" s="16"/>
      <c r="PRT42" s="16"/>
      <c r="PRU42" s="16"/>
      <c r="PRV42" s="16"/>
      <c r="PRW42" s="16"/>
      <c r="PRX42" s="16"/>
      <c r="PRY42" s="16"/>
      <c r="PRZ42" s="16"/>
      <c r="PSA42" s="16"/>
      <c r="PSB42" s="16"/>
      <c r="PSC42" s="16"/>
      <c r="PSD42" s="16"/>
      <c r="PSE42" s="16"/>
      <c r="PSF42" s="16"/>
      <c r="PSG42" s="16"/>
      <c r="PSH42" s="16"/>
      <c r="PSI42" s="16"/>
      <c r="PSJ42" s="16"/>
      <c r="PSK42" s="16"/>
      <c r="PSL42" s="16"/>
      <c r="PSM42" s="16"/>
      <c r="PSN42" s="16"/>
      <c r="PSO42" s="16"/>
      <c r="PSP42" s="16"/>
      <c r="PSQ42" s="16"/>
      <c r="PSR42" s="16"/>
      <c r="PSS42" s="16"/>
      <c r="PST42" s="16"/>
      <c r="PSU42" s="16"/>
      <c r="PSV42" s="16"/>
      <c r="PSW42" s="16"/>
      <c r="PSX42" s="16"/>
      <c r="PSY42" s="16"/>
      <c r="PSZ42" s="16"/>
      <c r="PTA42" s="16"/>
      <c r="PTB42" s="16"/>
      <c r="PTC42" s="16"/>
      <c r="PTD42" s="16"/>
      <c r="PTE42" s="16"/>
      <c r="PTF42" s="16"/>
      <c r="PTG42" s="16"/>
      <c r="PTH42" s="16"/>
      <c r="PTI42" s="16"/>
      <c r="PTJ42" s="16"/>
      <c r="PTK42" s="16"/>
      <c r="PTL42" s="16"/>
      <c r="PTM42" s="16"/>
      <c r="PTN42" s="16"/>
      <c r="PTO42" s="16"/>
      <c r="PTP42" s="16"/>
      <c r="PTQ42" s="16"/>
      <c r="PTR42" s="16"/>
      <c r="PTS42" s="16"/>
      <c r="PTT42" s="16"/>
      <c r="PTU42" s="16"/>
      <c r="PTV42" s="16"/>
      <c r="PTW42" s="16"/>
      <c r="PTX42" s="16"/>
      <c r="PTY42" s="16"/>
      <c r="PTZ42" s="16"/>
      <c r="PUA42" s="16"/>
      <c r="PUB42" s="16"/>
      <c r="PUC42" s="16"/>
      <c r="PUD42" s="16"/>
      <c r="PUE42" s="16"/>
      <c r="PUF42" s="16"/>
      <c r="PUG42" s="16"/>
      <c r="PUH42" s="16"/>
      <c r="PUI42" s="16"/>
      <c r="PUJ42" s="16"/>
      <c r="PUK42" s="16"/>
      <c r="PUL42" s="16"/>
      <c r="PUM42" s="16"/>
      <c r="PUN42" s="16"/>
      <c r="PUO42" s="16"/>
      <c r="PUP42" s="16"/>
      <c r="PUQ42" s="16"/>
      <c r="PUR42" s="16"/>
      <c r="PUS42" s="16"/>
      <c r="PUT42" s="16"/>
      <c r="PUU42" s="16"/>
      <c r="PUV42" s="16"/>
      <c r="PUW42" s="16"/>
      <c r="PUX42" s="16"/>
      <c r="PUY42" s="16"/>
      <c r="PUZ42" s="16"/>
      <c r="PVA42" s="16"/>
      <c r="PVB42" s="16"/>
      <c r="PVC42" s="16"/>
      <c r="PVD42" s="16"/>
      <c r="PVE42" s="16"/>
      <c r="PVF42" s="16"/>
      <c r="PVG42" s="16"/>
      <c r="PVH42" s="16"/>
      <c r="PVI42" s="16"/>
      <c r="PVJ42" s="16"/>
      <c r="PVK42" s="16"/>
      <c r="PVL42" s="16"/>
      <c r="PVM42" s="16"/>
      <c r="PVN42" s="16"/>
      <c r="PVO42" s="16"/>
      <c r="PVP42" s="16"/>
      <c r="PVQ42" s="16"/>
      <c r="PVR42" s="16"/>
      <c r="PVS42" s="16"/>
      <c r="PVT42" s="16"/>
      <c r="PVU42" s="16"/>
      <c r="PVV42" s="16"/>
      <c r="PVW42" s="16"/>
      <c r="PVX42" s="16"/>
      <c r="PVY42" s="16"/>
      <c r="PVZ42" s="16"/>
      <c r="PWA42" s="16"/>
      <c r="PWB42" s="16"/>
      <c r="PWC42" s="16"/>
      <c r="PWD42" s="16"/>
      <c r="PWE42" s="16"/>
      <c r="PWF42" s="16"/>
      <c r="PWG42" s="16"/>
      <c r="PWH42" s="16"/>
      <c r="PWI42" s="16"/>
      <c r="PWJ42" s="16"/>
      <c r="PWK42" s="16"/>
      <c r="PWL42" s="16"/>
      <c r="PWM42" s="16"/>
      <c r="PWN42" s="16"/>
      <c r="PWO42" s="16"/>
      <c r="PWP42" s="16"/>
      <c r="PWQ42" s="16"/>
      <c r="PWR42" s="16"/>
      <c r="PWS42" s="16"/>
      <c r="PWT42" s="16"/>
      <c r="PWU42" s="16"/>
      <c r="PWV42" s="16"/>
      <c r="PWW42" s="16"/>
      <c r="PWX42" s="16"/>
      <c r="PWY42" s="16"/>
      <c r="PWZ42" s="16"/>
      <c r="PXA42" s="16"/>
      <c r="PXB42" s="16"/>
      <c r="PXC42" s="16"/>
      <c r="PXD42" s="16"/>
      <c r="PXE42" s="16"/>
      <c r="PXF42" s="16"/>
      <c r="PXG42" s="16"/>
      <c r="PXH42" s="16"/>
      <c r="PXI42" s="16"/>
      <c r="PXJ42" s="16"/>
      <c r="PXK42" s="16"/>
      <c r="PXL42" s="16"/>
      <c r="PXM42" s="16"/>
      <c r="PXN42" s="16"/>
      <c r="PXO42" s="16"/>
      <c r="PXP42" s="16"/>
      <c r="PXQ42" s="16"/>
      <c r="PXR42" s="16"/>
      <c r="PXS42" s="16"/>
      <c r="PXT42" s="16"/>
      <c r="PXU42" s="16"/>
      <c r="PXV42" s="16"/>
      <c r="PXW42" s="16"/>
      <c r="PXX42" s="16"/>
      <c r="PXY42" s="16"/>
      <c r="PXZ42" s="16"/>
      <c r="PYA42" s="16"/>
      <c r="PYB42" s="16"/>
      <c r="PYC42" s="16"/>
      <c r="PYD42" s="16"/>
      <c r="PYE42" s="16"/>
      <c r="PYF42" s="16"/>
      <c r="PYG42" s="16"/>
      <c r="PYH42" s="16"/>
      <c r="PYI42" s="16"/>
      <c r="PYJ42" s="16"/>
      <c r="PYK42" s="16"/>
      <c r="PYL42" s="16"/>
      <c r="PYM42" s="16"/>
      <c r="PYN42" s="16"/>
      <c r="PYO42" s="16"/>
      <c r="PYP42" s="16"/>
      <c r="PYQ42" s="16"/>
      <c r="PYR42" s="16"/>
      <c r="PYS42" s="16"/>
      <c r="PYT42" s="16"/>
      <c r="PYU42" s="16"/>
      <c r="PYV42" s="16"/>
      <c r="PYW42" s="16"/>
      <c r="PYX42" s="16"/>
      <c r="PYY42" s="16"/>
      <c r="PYZ42" s="16"/>
      <c r="PZA42" s="16"/>
      <c r="PZB42" s="16"/>
      <c r="PZC42" s="16"/>
      <c r="PZD42" s="16"/>
      <c r="PZE42" s="16"/>
      <c r="PZF42" s="16"/>
      <c r="PZG42" s="16"/>
      <c r="PZH42" s="16"/>
      <c r="PZI42" s="16"/>
      <c r="PZJ42" s="16"/>
      <c r="PZK42" s="16"/>
      <c r="PZL42" s="16"/>
      <c r="PZM42" s="16"/>
      <c r="PZN42" s="16"/>
      <c r="PZO42" s="16"/>
      <c r="PZP42" s="16"/>
      <c r="PZQ42" s="16"/>
      <c r="PZR42" s="16"/>
      <c r="PZS42" s="16"/>
      <c r="PZT42" s="16"/>
      <c r="PZU42" s="16"/>
      <c r="PZV42" s="16"/>
      <c r="PZW42" s="16"/>
      <c r="PZX42" s="16"/>
      <c r="PZY42" s="16"/>
      <c r="PZZ42" s="16"/>
      <c r="QAA42" s="16"/>
      <c r="QAB42" s="16"/>
      <c r="QAC42" s="16"/>
      <c r="QAD42" s="16"/>
      <c r="QAE42" s="16"/>
      <c r="QAF42" s="16"/>
      <c r="QAG42" s="16"/>
      <c r="QAH42" s="16"/>
      <c r="QAI42" s="16"/>
      <c r="QAJ42" s="16"/>
      <c r="QAK42" s="16"/>
      <c r="QAL42" s="16"/>
      <c r="QAM42" s="16"/>
      <c r="QAN42" s="16"/>
      <c r="QAO42" s="16"/>
      <c r="QAP42" s="16"/>
      <c r="QAQ42" s="16"/>
      <c r="QAR42" s="16"/>
      <c r="QAS42" s="16"/>
      <c r="QAT42" s="16"/>
      <c r="QAU42" s="16"/>
      <c r="QAV42" s="16"/>
      <c r="QAW42" s="16"/>
      <c r="QAX42" s="16"/>
      <c r="QAY42" s="16"/>
      <c r="QAZ42" s="16"/>
      <c r="QBA42" s="16"/>
      <c r="QBB42" s="16"/>
      <c r="QBC42" s="16"/>
      <c r="QBD42" s="16"/>
      <c r="QBE42" s="16"/>
      <c r="QBF42" s="16"/>
      <c r="QBG42" s="16"/>
      <c r="QBH42" s="16"/>
      <c r="QBI42" s="16"/>
      <c r="QBJ42" s="16"/>
      <c r="QBK42" s="16"/>
      <c r="QBL42" s="16"/>
      <c r="QBM42" s="16"/>
      <c r="QBN42" s="16"/>
      <c r="QBO42" s="16"/>
      <c r="QBP42" s="16"/>
      <c r="QBQ42" s="16"/>
      <c r="QBR42" s="16"/>
      <c r="QBS42" s="16"/>
      <c r="QBT42" s="16"/>
      <c r="QBU42" s="16"/>
      <c r="QBV42" s="16"/>
      <c r="QBW42" s="16"/>
      <c r="QBX42" s="16"/>
      <c r="QBY42" s="16"/>
      <c r="QBZ42" s="16"/>
      <c r="QCA42" s="16"/>
      <c r="QCB42" s="16"/>
      <c r="QCC42" s="16"/>
      <c r="QCD42" s="16"/>
      <c r="QCE42" s="16"/>
      <c r="QCF42" s="16"/>
      <c r="QCG42" s="16"/>
      <c r="QCH42" s="16"/>
      <c r="QCI42" s="16"/>
      <c r="QCJ42" s="16"/>
      <c r="QCK42" s="16"/>
      <c r="QCL42" s="16"/>
      <c r="QCM42" s="16"/>
      <c r="QCN42" s="16"/>
      <c r="QCO42" s="16"/>
      <c r="QCP42" s="16"/>
      <c r="QCQ42" s="16"/>
      <c r="QCR42" s="16"/>
      <c r="QCS42" s="16"/>
      <c r="QCT42" s="16"/>
      <c r="QCU42" s="16"/>
      <c r="QCV42" s="16"/>
      <c r="QCW42" s="16"/>
      <c r="QCX42" s="16"/>
      <c r="QCY42" s="16"/>
      <c r="QCZ42" s="16"/>
      <c r="QDA42" s="16"/>
      <c r="QDB42" s="16"/>
      <c r="QDC42" s="16"/>
      <c r="QDD42" s="16"/>
      <c r="QDE42" s="16"/>
      <c r="QDF42" s="16"/>
      <c r="QDG42" s="16"/>
      <c r="QDH42" s="16"/>
      <c r="QDI42" s="16"/>
      <c r="QDJ42" s="16"/>
      <c r="QDK42" s="16"/>
      <c r="QDL42" s="16"/>
      <c r="QDM42" s="16"/>
      <c r="QDN42" s="16"/>
      <c r="QDO42" s="16"/>
      <c r="QDP42" s="16"/>
      <c r="QDQ42" s="16"/>
      <c r="QDR42" s="16"/>
      <c r="QDS42" s="16"/>
      <c r="QDT42" s="16"/>
      <c r="QDU42" s="16"/>
      <c r="QDV42" s="16"/>
      <c r="QDW42" s="16"/>
      <c r="QDX42" s="16"/>
      <c r="QDY42" s="16"/>
      <c r="QDZ42" s="16"/>
      <c r="QEA42" s="16"/>
      <c r="QEB42" s="16"/>
      <c r="QEC42" s="16"/>
      <c r="QED42" s="16"/>
      <c r="QEE42" s="16"/>
      <c r="QEF42" s="16"/>
      <c r="QEG42" s="16"/>
      <c r="QEH42" s="16"/>
      <c r="QEI42" s="16"/>
      <c r="QEJ42" s="16"/>
      <c r="QEK42" s="16"/>
      <c r="QEL42" s="16"/>
      <c r="QEM42" s="16"/>
      <c r="QEN42" s="16"/>
      <c r="QEO42" s="16"/>
      <c r="QEP42" s="16"/>
      <c r="QEQ42" s="16"/>
      <c r="QER42" s="16"/>
      <c r="QES42" s="16"/>
      <c r="QET42" s="16"/>
      <c r="QEU42" s="16"/>
      <c r="QEV42" s="16"/>
      <c r="QEW42" s="16"/>
      <c r="QEX42" s="16"/>
      <c r="QEY42" s="16"/>
      <c r="QEZ42" s="16"/>
      <c r="QFA42" s="16"/>
      <c r="QFB42" s="16"/>
      <c r="QFC42" s="16"/>
      <c r="QFD42" s="16"/>
      <c r="QFE42" s="16"/>
      <c r="QFF42" s="16"/>
      <c r="QFG42" s="16"/>
      <c r="QFH42" s="16"/>
      <c r="QFI42" s="16"/>
      <c r="QFJ42" s="16"/>
      <c r="QFK42" s="16"/>
      <c r="QFL42" s="16"/>
      <c r="QFM42" s="16"/>
      <c r="QFN42" s="16"/>
      <c r="QFO42" s="16"/>
      <c r="QFP42" s="16"/>
      <c r="QFQ42" s="16"/>
      <c r="QFR42" s="16"/>
      <c r="QFS42" s="16"/>
      <c r="QFT42" s="16"/>
      <c r="QFU42" s="16"/>
      <c r="QFV42" s="16"/>
      <c r="QFW42" s="16"/>
      <c r="QFX42" s="16"/>
      <c r="QFY42" s="16"/>
      <c r="QFZ42" s="16"/>
      <c r="QGA42" s="16"/>
      <c r="QGB42" s="16"/>
      <c r="QGC42" s="16"/>
      <c r="QGD42" s="16"/>
      <c r="QGE42" s="16"/>
      <c r="QGF42" s="16"/>
      <c r="QGG42" s="16"/>
      <c r="QGH42" s="16"/>
      <c r="QGI42" s="16"/>
      <c r="QGJ42" s="16"/>
      <c r="QGK42" s="16"/>
      <c r="QGL42" s="16"/>
      <c r="QGM42" s="16"/>
      <c r="QGN42" s="16"/>
      <c r="QGO42" s="16"/>
      <c r="QGP42" s="16"/>
      <c r="QGQ42" s="16"/>
      <c r="QGR42" s="16"/>
      <c r="QGS42" s="16"/>
      <c r="QGT42" s="16"/>
      <c r="QGU42" s="16"/>
      <c r="QGV42" s="16"/>
      <c r="QGW42" s="16"/>
      <c r="QGX42" s="16"/>
      <c r="QGY42" s="16"/>
      <c r="QGZ42" s="16"/>
      <c r="QHA42" s="16"/>
      <c r="QHB42" s="16"/>
      <c r="QHC42" s="16"/>
      <c r="QHD42" s="16"/>
      <c r="QHE42" s="16"/>
      <c r="QHF42" s="16"/>
      <c r="QHG42" s="16"/>
      <c r="QHH42" s="16"/>
      <c r="QHI42" s="16"/>
      <c r="QHJ42" s="16"/>
      <c r="QHK42" s="16"/>
      <c r="QHL42" s="16"/>
      <c r="QHM42" s="16"/>
      <c r="QHN42" s="16"/>
      <c r="QHO42" s="16"/>
      <c r="QHP42" s="16"/>
      <c r="QHQ42" s="16"/>
      <c r="QHR42" s="16"/>
      <c r="QHS42" s="16"/>
      <c r="QHT42" s="16"/>
      <c r="QHU42" s="16"/>
      <c r="QHV42" s="16"/>
      <c r="QHW42" s="16"/>
      <c r="QHX42" s="16"/>
      <c r="QHY42" s="16"/>
      <c r="QHZ42" s="16"/>
      <c r="QIA42" s="16"/>
      <c r="QIB42" s="16"/>
      <c r="QIC42" s="16"/>
      <c r="QID42" s="16"/>
      <c r="QIE42" s="16"/>
      <c r="QIF42" s="16"/>
      <c r="QIG42" s="16"/>
      <c r="QIH42" s="16"/>
      <c r="QII42" s="16"/>
      <c r="QIJ42" s="16"/>
      <c r="QIK42" s="16"/>
      <c r="QIL42" s="16"/>
      <c r="QIM42" s="16"/>
      <c r="QIN42" s="16"/>
      <c r="QIO42" s="16"/>
      <c r="QIP42" s="16"/>
      <c r="QIQ42" s="16"/>
      <c r="QIR42" s="16"/>
      <c r="QIS42" s="16"/>
      <c r="QIT42" s="16"/>
      <c r="QIU42" s="16"/>
      <c r="QIV42" s="16"/>
      <c r="QIW42" s="16"/>
      <c r="QIX42" s="16"/>
      <c r="QIY42" s="16"/>
      <c r="QIZ42" s="16"/>
      <c r="QJA42" s="16"/>
      <c r="QJB42" s="16"/>
      <c r="QJC42" s="16"/>
      <c r="QJD42" s="16"/>
      <c r="QJE42" s="16"/>
      <c r="QJF42" s="16"/>
      <c r="QJG42" s="16"/>
      <c r="QJH42" s="16"/>
      <c r="QJI42" s="16"/>
      <c r="QJJ42" s="16"/>
      <c r="QJK42" s="16"/>
      <c r="QJL42" s="16"/>
      <c r="QJM42" s="16"/>
      <c r="QJN42" s="16"/>
      <c r="QJO42" s="16"/>
      <c r="QJP42" s="16"/>
      <c r="QJQ42" s="16"/>
      <c r="QJR42" s="16"/>
      <c r="QJS42" s="16"/>
      <c r="QJT42" s="16"/>
      <c r="QJU42" s="16"/>
      <c r="QJV42" s="16"/>
      <c r="QJW42" s="16"/>
      <c r="QJX42" s="16"/>
      <c r="QJY42" s="16"/>
      <c r="QJZ42" s="16"/>
      <c r="QKA42" s="16"/>
      <c r="QKB42" s="16"/>
      <c r="QKC42" s="16"/>
      <c r="QKD42" s="16"/>
      <c r="QKE42" s="16"/>
      <c r="QKF42" s="16"/>
      <c r="QKG42" s="16"/>
      <c r="QKH42" s="16"/>
      <c r="QKI42" s="16"/>
      <c r="QKJ42" s="16"/>
      <c r="QKK42" s="16"/>
      <c r="QKL42" s="16"/>
      <c r="QKM42" s="16"/>
      <c r="QKN42" s="16"/>
      <c r="QKO42" s="16"/>
      <c r="QKP42" s="16"/>
      <c r="QKQ42" s="16"/>
      <c r="QKR42" s="16"/>
      <c r="QKS42" s="16"/>
      <c r="QKT42" s="16"/>
      <c r="QKU42" s="16"/>
      <c r="QKV42" s="16"/>
      <c r="QKW42" s="16"/>
      <c r="QKX42" s="16"/>
      <c r="QKY42" s="16"/>
      <c r="QKZ42" s="16"/>
      <c r="QLA42" s="16"/>
      <c r="QLB42" s="16"/>
      <c r="QLC42" s="16"/>
      <c r="QLD42" s="16"/>
      <c r="QLE42" s="16"/>
      <c r="QLF42" s="16"/>
      <c r="QLG42" s="16"/>
      <c r="QLH42" s="16"/>
      <c r="QLI42" s="16"/>
      <c r="QLJ42" s="16"/>
      <c r="QLK42" s="16"/>
      <c r="QLL42" s="16"/>
      <c r="QLM42" s="16"/>
      <c r="QLN42" s="16"/>
      <c r="QLO42" s="16"/>
      <c r="QLP42" s="16"/>
      <c r="QLQ42" s="16"/>
      <c r="QLR42" s="16"/>
      <c r="QLS42" s="16"/>
      <c r="QLT42" s="16"/>
      <c r="QLU42" s="16"/>
      <c r="QLV42" s="16"/>
      <c r="QLW42" s="16"/>
      <c r="QLX42" s="16"/>
      <c r="QLY42" s="16"/>
      <c r="QLZ42" s="16"/>
      <c r="QMA42" s="16"/>
      <c r="QMB42" s="16"/>
      <c r="QMC42" s="16"/>
      <c r="QMD42" s="16"/>
      <c r="QME42" s="16"/>
      <c r="QMF42" s="16"/>
      <c r="QMG42" s="16"/>
      <c r="QMH42" s="16"/>
      <c r="QMI42" s="16"/>
      <c r="QMJ42" s="16"/>
      <c r="QMK42" s="16"/>
      <c r="QML42" s="16"/>
      <c r="QMM42" s="16"/>
      <c r="QMN42" s="16"/>
      <c r="QMO42" s="16"/>
      <c r="QMP42" s="16"/>
      <c r="QMQ42" s="16"/>
      <c r="QMR42" s="16"/>
      <c r="QMS42" s="16"/>
      <c r="QMT42" s="16"/>
      <c r="QMU42" s="16"/>
      <c r="QMV42" s="16"/>
      <c r="QMW42" s="16"/>
      <c r="QMX42" s="16"/>
      <c r="QMY42" s="16"/>
      <c r="QMZ42" s="16"/>
      <c r="QNA42" s="16"/>
      <c r="QNB42" s="16"/>
      <c r="QNC42" s="16"/>
      <c r="QND42" s="16"/>
      <c r="QNE42" s="16"/>
      <c r="QNF42" s="16"/>
      <c r="QNG42" s="16"/>
      <c r="QNH42" s="16"/>
      <c r="QNI42" s="16"/>
      <c r="QNJ42" s="16"/>
      <c r="QNK42" s="16"/>
      <c r="QNL42" s="16"/>
      <c r="QNM42" s="16"/>
      <c r="QNN42" s="16"/>
      <c r="QNO42" s="16"/>
      <c r="QNP42" s="16"/>
      <c r="QNQ42" s="16"/>
      <c r="QNR42" s="16"/>
      <c r="QNS42" s="16"/>
      <c r="QNT42" s="16"/>
      <c r="QNU42" s="16"/>
      <c r="QNV42" s="16"/>
      <c r="QNW42" s="16"/>
      <c r="QNX42" s="16"/>
      <c r="QNY42" s="16"/>
      <c r="QNZ42" s="16"/>
      <c r="QOA42" s="16"/>
      <c r="QOB42" s="16"/>
      <c r="QOC42" s="16"/>
      <c r="QOD42" s="16"/>
      <c r="QOE42" s="16"/>
      <c r="QOF42" s="16"/>
      <c r="QOG42" s="16"/>
      <c r="QOH42" s="16"/>
      <c r="QOI42" s="16"/>
      <c r="QOJ42" s="16"/>
      <c r="QOK42" s="16"/>
      <c r="QOL42" s="16"/>
      <c r="QOM42" s="16"/>
      <c r="QON42" s="16"/>
      <c r="QOO42" s="16"/>
      <c r="QOP42" s="16"/>
      <c r="QOQ42" s="16"/>
      <c r="QOR42" s="16"/>
      <c r="QOS42" s="16"/>
      <c r="QOT42" s="16"/>
      <c r="QOU42" s="16"/>
      <c r="QOV42" s="16"/>
      <c r="QOW42" s="16"/>
      <c r="QOX42" s="16"/>
      <c r="QOY42" s="16"/>
      <c r="QOZ42" s="16"/>
      <c r="QPA42" s="16"/>
      <c r="QPB42" s="16"/>
      <c r="QPC42" s="16"/>
      <c r="QPD42" s="16"/>
      <c r="QPE42" s="16"/>
      <c r="QPF42" s="16"/>
      <c r="QPG42" s="16"/>
      <c r="QPH42" s="16"/>
      <c r="QPI42" s="16"/>
      <c r="QPJ42" s="16"/>
      <c r="QPK42" s="16"/>
      <c r="QPL42" s="16"/>
      <c r="QPM42" s="16"/>
      <c r="QPN42" s="16"/>
      <c r="QPO42" s="16"/>
      <c r="QPP42" s="16"/>
      <c r="QPQ42" s="16"/>
      <c r="QPR42" s="16"/>
      <c r="QPS42" s="16"/>
      <c r="QPT42" s="16"/>
      <c r="QPU42" s="16"/>
      <c r="QPV42" s="16"/>
      <c r="QPW42" s="16"/>
      <c r="QPX42" s="16"/>
      <c r="QPY42" s="16"/>
      <c r="QPZ42" s="16"/>
      <c r="QQA42" s="16"/>
      <c r="QQB42" s="16"/>
      <c r="QQC42" s="16"/>
      <c r="QQD42" s="16"/>
      <c r="QQE42" s="16"/>
      <c r="QQF42" s="16"/>
      <c r="QQG42" s="16"/>
      <c r="QQH42" s="16"/>
      <c r="QQI42" s="16"/>
      <c r="QQJ42" s="16"/>
      <c r="QQK42" s="16"/>
      <c r="QQL42" s="16"/>
      <c r="QQM42" s="16"/>
      <c r="QQN42" s="16"/>
      <c r="QQO42" s="16"/>
      <c r="QQP42" s="16"/>
      <c r="QQQ42" s="16"/>
      <c r="QQR42" s="16"/>
      <c r="QQS42" s="16"/>
      <c r="QQT42" s="16"/>
      <c r="QQU42" s="16"/>
      <c r="QQV42" s="16"/>
      <c r="QQW42" s="16"/>
      <c r="QQX42" s="16"/>
      <c r="QQY42" s="16"/>
      <c r="QQZ42" s="16"/>
      <c r="QRA42" s="16"/>
      <c r="QRB42" s="16"/>
      <c r="QRC42" s="16"/>
      <c r="QRD42" s="16"/>
      <c r="QRE42" s="16"/>
      <c r="QRF42" s="16"/>
      <c r="QRG42" s="16"/>
      <c r="QRH42" s="16"/>
      <c r="QRI42" s="16"/>
      <c r="QRJ42" s="16"/>
      <c r="QRK42" s="16"/>
      <c r="QRL42" s="16"/>
      <c r="QRM42" s="16"/>
      <c r="QRN42" s="16"/>
      <c r="QRO42" s="16"/>
      <c r="QRP42" s="16"/>
      <c r="QRQ42" s="16"/>
      <c r="QRR42" s="16"/>
      <c r="QRS42" s="16"/>
      <c r="QRT42" s="16"/>
      <c r="QRU42" s="16"/>
      <c r="QRV42" s="16"/>
      <c r="QRW42" s="16"/>
      <c r="QRX42" s="16"/>
      <c r="QRY42" s="16"/>
      <c r="QRZ42" s="16"/>
      <c r="QSA42" s="16"/>
      <c r="QSB42" s="16"/>
      <c r="QSC42" s="16"/>
      <c r="QSD42" s="16"/>
      <c r="QSE42" s="16"/>
      <c r="QSF42" s="16"/>
      <c r="QSG42" s="16"/>
      <c r="QSH42" s="16"/>
      <c r="QSI42" s="16"/>
      <c r="QSJ42" s="16"/>
      <c r="QSK42" s="16"/>
      <c r="QSL42" s="16"/>
      <c r="QSM42" s="16"/>
      <c r="QSN42" s="16"/>
      <c r="QSO42" s="16"/>
      <c r="QSP42" s="16"/>
      <c r="QSQ42" s="16"/>
      <c r="QSR42" s="16"/>
      <c r="QSS42" s="16"/>
      <c r="QST42" s="16"/>
      <c r="QSU42" s="16"/>
      <c r="QSV42" s="16"/>
      <c r="QSW42" s="16"/>
      <c r="QSX42" s="16"/>
      <c r="QSY42" s="16"/>
      <c r="QSZ42" s="16"/>
      <c r="QTA42" s="16"/>
      <c r="QTB42" s="16"/>
      <c r="QTC42" s="16"/>
      <c r="QTD42" s="16"/>
      <c r="QTE42" s="16"/>
      <c r="QTF42" s="16"/>
      <c r="QTG42" s="16"/>
      <c r="QTH42" s="16"/>
      <c r="QTI42" s="16"/>
      <c r="QTJ42" s="16"/>
      <c r="QTK42" s="16"/>
      <c r="QTL42" s="16"/>
      <c r="QTM42" s="16"/>
      <c r="QTN42" s="16"/>
      <c r="QTO42" s="16"/>
      <c r="QTP42" s="16"/>
      <c r="QTQ42" s="16"/>
      <c r="QTR42" s="16"/>
      <c r="QTS42" s="16"/>
      <c r="QTT42" s="16"/>
      <c r="QTU42" s="16"/>
      <c r="QTV42" s="16"/>
      <c r="QTW42" s="16"/>
      <c r="QTX42" s="16"/>
      <c r="QTY42" s="16"/>
      <c r="QTZ42" s="16"/>
      <c r="QUA42" s="16"/>
      <c r="QUB42" s="16"/>
      <c r="QUC42" s="16"/>
      <c r="QUD42" s="16"/>
      <c r="QUE42" s="16"/>
      <c r="QUF42" s="16"/>
      <c r="QUG42" s="16"/>
      <c r="QUH42" s="16"/>
      <c r="QUI42" s="16"/>
      <c r="QUJ42" s="16"/>
      <c r="QUK42" s="16"/>
      <c r="QUL42" s="16"/>
      <c r="QUM42" s="16"/>
      <c r="QUN42" s="16"/>
      <c r="QUO42" s="16"/>
      <c r="QUP42" s="16"/>
      <c r="QUQ42" s="16"/>
      <c r="QUR42" s="16"/>
      <c r="QUS42" s="16"/>
      <c r="QUT42" s="16"/>
      <c r="QUU42" s="16"/>
      <c r="QUV42" s="16"/>
      <c r="QUW42" s="16"/>
      <c r="QUX42" s="16"/>
      <c r="QUY42" s="16"/>
      <c r="QUZ42" s="16"/>
      <c r="QVA42" s="16"/>
      <c r="QVB42" s="16"/>
      <c r="QVC42" s="16"/>
      <c r="QVD42" s="16"/>
      <c r="QVE42" s="16"/>
      <c r="QVF42" s="16"/>
      <c r="QVG42" s="16"/>
      <c r="QVH42" s="16"/>
      <c r="QVI42" s="16"/>
      <c r="QVJ42" s="16"/>
      <c r="QVK42" s="16"/>
      <c r="QVL42" s="16"/>
      <c r="QVM42" s="16"/>
      <c r="QVN42" s="16"/>
      <c r="QVO42" s="16"/>
      <c r="QVP42" s="16"/>
      <c r="QVQ42" s="16"/>
      <c r="QVR42" s="16"/>
      <c r="QVS42" s="16"/>
      <c r="QVT42" s="16"/>
      <c r="QVU42" s="16"/>
      <c r="QVV42" s="16"/>
      <c r="QVW42" s="16"/>
      <c r="QVX42" s="16"/>
      <c r="QVY42" s="16"/>
      <c r="QVZ42" s="16"/>
      <c r="QWA42" s="16"/>
      <c r="QWB42" s="16"/>
      <c r="QWC42" s="16"/>
      <c r="QWD42" s="16"/>
      <c r="QWE42" s="16"/>
      <c r="QWF42" s="16"/>
      <c r="QWG42" s="16"/>
      <c r="QWH42" s="16"/>
      <c r="QWI42" s="16"/>
      <c r="QWJ42" s="16"/>
      <c r="QWK42" s="16"/>
      <c r="QWL42" s="16"/>
      <c r="QWM42" s="16"/>
      <c r="QWN42" s="16"/>
      <c r="QWO42" s="16"/>
      <c r="QWP42" s="16"/>
      <c r="QWQ42" s="16"/>
      <c r="QWR42" s="16"/>
      <c r="QWS42" s="16"/>
      <c r="QWT42" s="16"/>
      <c r="QWU42" s="16"/>
      <c r="QWV42" s="16"/>
      <c r="QWW42" s="16"/>
      <c r="QWX42" s="16"/>
      <c r="QWY42" s="16"/>
      <c r="QWZ42" s="16"/>
      <c r="QXA42" s="16"/>
      <c r="QXB42" s="16"/>
      <c r="QXC42" s="16"/>
      <c r="QXD42" s="16"/>
      <c r="QXE42" s="16"/>
      <c r="QXF42" s="16"/>
      <c r="QXG42" s="16"/>
      <c r="QXH42" s="16"/>
      <c r="QXI42" s="16"/>
      <c r="QXJ42" s="16"/>
      <c r="QXK42" s="16"/>
      <c r="QXL42" s="16"/>
      <c r="QXM42" s="16"/>
      <c r="QXN42" s="16"/>
      <c r="QXO42" s="16"/>
      <c r="QXP42" s="16"/>
      <c r="QXQ42" s="16"/>
      <c r="QXR42" s="16"/>
      <c r="QXS42" s="16"/>
      <c r="QXT42" s="16"/>
      <c r="QXU42" s="16"/>
      <c r="QXV42" s="16"/>
      <c r="QXW42" s="16"/>
      <c r="QXX42" s="16"/>
      <c r="QXY42" s="16"/>
      <c r="QXZ42" s="16"/>
      <c r="QYA42" s="16"/>
      <c r="QYB42" s="16"/>
      <c r="QYC42" s="16"/>
      <c r="QYD42" s="16"/>
      <c r="QYE42" s="16"/>
      <c r="QYF42" s="16"/>
      <c r="QYG42" s="16"/>
      <c r="QYH42" s="16"/>
      <c r="QYI42" s="16"/>
      <c r="QYJ42" s="16"/>
      <c r="QYK42" s="16"/>
      <c r="QYL42" s="16"/>
      <c r="QYM42" s="16"/>
      <c r="QYN42" s="16"/>
      <c r="QYO42" s="16"/>
      <c r="QYP42" s="16"/>
      <c r="QYQ42" s="16"/>
      <c r="QYR42" s="16"/>
      <c r="QYS42" s="16"/>
      <c r="QYT42" s="16"/>
      <c r="QYU42" s="16"/>
      <c r="QYV42" s="16"/>
      <c r="QYW42" s="16"/>
      <c r="QYX42" s="16"/>
      <c r="QYY42" s="16"/>
      <c r="QYZ42" s="16"/>
      <c r="QZA42" s="16"/>
      <c r="QZB42" s="16"/>
      <c r="QZC42" s="16"/>
      <c r="QZD42" s="16"/>
      <c r="QZE42" s="16"/>
      <c r="QZF42" s="16"/>
      <c r="QZG42" s="16"/>
      <c r="QZH42" s="16"/>
      <c r="QZI42" s="16"/>
      <c r="QZJ42" s="16"/>
      <c r="QZK42" s="16"/>
      <c r="QZL42" s="16"/>
      <c r="QZM42" s="16"/>
      <c r="QZN42" s="16"/>
      <c r="QZO42" s="16"/>
      <c r="QZP42" s="16"/>
      <c r="QZQ42" s="16"/>
      <c r="QZR42" s="16"/>
      <c r="QZS42" s="16"/>
      <c r="QZT42" s="16"/>
      <c r="QZU42" s="16"/>
      <c r="QZV42" s="16"/>
      <c r="QZW42" s="16"/>
      <c r="QZX42" s="16"/>
      <c r="QZY42" s="16"/>
      <c r="QZZ42" s="16"/>
      <c r="RAA42" s="16"/>
      <c r="RAB42" s="16"/>
      <c r="RAC42" s="16"/>
      <c r="RAD42" s="16"/>
      <c r="RAE42" s="16"/>
      <c r="RAF42" s="16"/>
      <c r="RAG42" s="16"/>
      <c r="RAH42" s="16"/>
      <c r="RAI42" s="16"/>
      <c r="RAJ42" s="16"/>
      <c r="RAK42" s="16"/>
      <c r="RAL42" s="16"/>
      <c r="RAM42" s="16"/>
      <c r="RAN42" s="16"/>
      <c r="RAO42" s="16"/>
      <c r="RAP42" s="16"/>
      <c r="RAQ42" s="16"/>
      <c r="RAR42" s="16"/>
      <c r="RAS42" s="16"/>
      <c r="RAT42" s="16"/>
      <c r="RAU42" s="16"/>
      <c r="RAV42" s="16"/>
      <c r="RAW42" s="16"/>
      <c r="RAX42" s="16"/>
      <c r="RAY42" s="16"/>
      <c r="RAZ42" s="16"/>
      <c r="RBA42" s="16"/>
      <c r="RBB42" s="16"/>
      <c r="RBC42" s="16"/>
      <c r="RBD42" s="16"/>
      <c r="RBE42" s="16"/>
      <c r="RBF42" s="16"/>
      <c r="RBG42" s="16"/>
      <c r="RBH42" s="16"/>
      <c r="RBI42" s="16"/>
      <c r="RBJ42" s="16"/>
      <c r="RBK42" s="16"/>
      <c r="RBL42" s="16"/>
      <c r="RBM42" s="16"/>
      <c r="RBN42" s="16"/>
      <c r="RBO42" s="16"/>
      <c r="RBP42" s="16"/>
      <c r="RBQ42" s="16"/>
      <c r="RBR42" s="16"/>
      <c r="RBS42" s="16"/>
      <c r="RBT42" s="16"/>
      <c r="RBU42" s="16"/>
      <c r="RBV42" s="16"/>
      <c r="RBW42" s="16"/>
      <c r="RBX42" s="16"/>
      <c r="RBY42" s="16"/>
      <c r="RBZ42" s="16"/>
      <c r="RCA42" s="16"/>
      <c r="RCB42" s="16"/>
      <c r="RCC42" s="16"/>
      <c r="RCD42" s="16"/>
      <c r="RCE42" s="16"/>
      <c r="RCF42" s="16"/>
      <c r="RCG42" s="16"/>
      <c r="RCH42" s="16"/>
      <c r="RCI42" s="16"/>
      <c r="RCJ42" s="16"/>
      <c r="RCK42" s="16"/>
      <c r="RCL42" s="16"/>
      <c r="RCM42" s="16"/>
      <c r="RCN42" s="16"/>
      <c r="RCO42" s="16"/>
      <c r="RCP42" s="16"/>
      <c r="RCQ42" s="16"/>
      <c r="RCR42" s="16"/>
      <c r="RCS42" s="16"/>
      <c r="RCT42" s="16"/>
      <c r="RCU42" s="16"/>
      <c r="RCV42" s="16"/>
      <c r="RCW42" s="16"/>
      <c r="RCX42" s="16"/>
      <c r="RCY42" s="16"/>
      <c r="RCZ42" s="16"/>
      <c r="RDA42" s="16"/>
      <c r="RDB42" s="16"/>
      <c r="RDC42" s="16"/>
      <c r="RDD42" s="16"/>
      <c r="RDE42" s="16"/>
      <c r="RDF42" s="16"/>
      <c r="RDG42" s="16"/>
      <c r="RDH42" s="16"/>
      <c r="RDI42" s="16"/>
      <c r="RDJ42" s="16"/>
      <c r="RDK42" s="16"/>
      <c r="RDL42" s="16"/>
      <c r="RDM42" s="16"/>
      <c r="RDN42" s="16"/>
      <c r="RDO42" s="16"/>
      <c r="RDP42" s="16"/>
      <c r="RDQ42" s="16"/>
      <c r="RDR42" s="16"/>
      <c r="RDS42" s="16"/>
      <c r="RDT42" s="16"/>
      <c r="RDU42" s="16"/>
      <c r="RDV42" s="16"/>
      <c r="RDW42" s="16"/>
      <c r="RDX42" s="16"/>
      <c r="RDY42" s="16"/>
      <c r="RDZ42" s="16"/>
      <c r="REA42" s="16"/>
      <c r="REB42" s="16"/>
      <c r="REC42" s="16"/>
      <c r="RED42" s="16"/>
      <c r="REE42" s="16"/>
      <c r="REF42" s="16"/>
      <c r="REG42" s="16"/>
      <c r="REH42" s="16"/>
      <c r="REI42" s="16"/>
      <c r="REJ42" s="16"/>
      <c r="REK42" s="16"/>
      <c r="REL42" s="16"/>
      <c r="REM42" s="16"/>
      <c r="REN42" s="16"/>
      <c r="REO42" s="16"/>
      <c r="REP42" s="16"/>
      <c r="REQ42" s="16"/>
      <c r="RER42" s="16"/>
      <c r="RES42" s="16"/>
      <c r="RET42" s="16"/>
      <c r="REU42" s="16"/>
      <c r="REV42" s="16"/>
      <c r="REW42" s="16"/>
      <c r="REX42" s="16"/>
      <c r="REY42" s="16"/>
      <c r="REZ42" s="16"/>
      <c r="RFA42" s="16"/>
      <c r="RFB42" s="16"/>
      <c r="RFC42" s="16"/>
      <c r="RFD42" s="16"/>
      <c r="RFE42" s="16"/>
      <c r="RFF42" s="16"/>
      <c r="RFG42" s="16"/>
      <c r="RFH42" s="16"/>
      <c r="RFI42" s="16"/>
      <c r="RFJ42" s="16"/>
      <c r="RFK42" s="16"/>
      <c r="RFL42" s="16"/>
      <c r="RFM42" s="16"/>
      <c r="RFN42" s="16"/>
      <c r="RFO42" s="16"/>
      <c r="RFP42" s="16"/>
      <c r="RFQ42" s="16"/>
      <c r="RFR42" s="16"/>
      <c r="RFS42" s="16"/>
      <c r="RFT42" s="16"/>
      <c r="RFU42" s="16"/>
      <c r="RFV42" s="16"/>
      <c r="RFW42" s="16"/>
      <c r="RFX42" s="16"/>
      <c r="RFY42" s="16"/>
      <c r="RFZ42" s="16"/>
      <c r="RGA42" s="16"/>
      <c r="RGB42" s="16"/>
      <c r="RGC42" s="16"/>
      <c r="RGD42" s="16"/>
      <c r="RGE42" s="16"/>
      <c r="RGF42" s="16"/>
      <c r="RGG42" s="16"/>
      <c r="RGH42" s="16"/>
      <c r="RGI42" s="16"/>
      <c r="RGJ42" s="16"/>
      <c r="RGK42" s="16"/>
      <c r="RGL42" s="16"/>
      <c r="RGM42" s="16"/>
      <c r="RGN42" s="16"/>
      <c r="RGO42" s="16"/>
      <c r="RGP42" s="16"/>
      <c r="RGQ42" s="16"/>
      <c r="RGR42" s="16"/>
      <c r="RGS42" s="16"/>
      <c r="RGT42" s="16"/>
      <c r="RGU42" s="16"/>
      <c r="RGV42" s="16"/>
      <c r="RGW42" s="16"/>
      <c r="RGX42" s="16"/>
      <c r="RGY42" s="16"/>
      <c r="RGZ42" s="16"/>
      <c r="RHA42" s="16"/>
      <c r="RHB42" s="16"/>
      <c r="RHC42" s="16"/>
      <c r="RHD42" s="16"/>
      <c r="RHE42" s="16"/>
      <c r="RHF42" s="16"/>
      <c r="RHG42" s="16"/>
      <c r="RHH42" s="16"/>
      <c r="RHI42" s="16"/>
      <c r="RHJ42" s="16"/>
      <c r="RHK42" s="16"/>
      <c r="RHL42" s="16"/>
      <c r="RHM42" s="16"/>
      <c r="RHN42" s="16"/>
      <c r="RHO42" s="16"/>
      <c r="RHP42" s="16"/>
      <c r="RHQ42" s="16"/>
      <c r="RHR42" s="16"/>
      <c r="RHS42" s="16"/>
      <c r="RHT42" s="16"/>
      <c r="RHU42" s="16"/>
      <c r="RHV42" s="16"/>
      <c r="RHW42" s="16"/>
      <c r="RHX42" s="16"/>
      <c r="RHY42" s="16"/>
      <c r="RHZ42" s="16"/>
      <c r="RIA42" s="16"/>
      <c r="RIB42" s="16"/>
      <c r="RIC42" s="16"/>
      <c r="RID42" s="16"/>
      <c r="RIE42" s="16"/>
      <c r="RIF42" s="16"/>
      <c r="RIG42" s="16"/>
      <c r="RIH42" s="16"/>
      <c r="RII42" s="16"/>
      <c r="RIJ42" s="16"/>
      <c r="RIK42" s="16"/>
      <c r="RIL42" s="16"/>
      <c r="RIM42" s="16"/>
      <c r="RIN42" s="16"/>
      <c r="RIO42" s="16"/>
      <c r="RIP42" s="16"/>
      <c r="RIQ42" s="16"/>
      <c r="RIR42" s="16"/>
      <c r="RIS42" s="16"/>
      <c r="RIT42" s="16"/>
      <c r="RIU42" s="16"/>
      <c r="RIV42" s="16"/>
      <c r="RIW42" s="16"/>
      <c r="RIX42" s="16"/>
      <c r="RIY42" s="16"/>
      <c r="RIZ42" s="16"/>
      <c r="RJA42" s="16"/>
      <c r="RJB42" s="16"/>
      <c r="RJC42" s="16"/>
      <c r="RJD42" s="16"/>
      <c r="RJE42" s="16"/>
      <c r="RJF42" s="16"/>
      <c r="RJG42" s="16"/>
      <c r="RJH42" s="16"/>
      <c r="RJI42" s="16"/>
      <c r="RJJ42" s="16"/>
      <c r="RJK42" s="16"/>
      <c r="RJL42" s="16"/>
      <c r="RJM42" s="16"/>
      <c r="RJN42" s="16"/>
      <c r="RJO42" s="16"/>
      <c r="RJP42" s="16"/>
      <c r="RJQ42" s="16"/>
      <c r="RJR42" s="16"/>
      <c r="RJS42" s="16"/>
      <c r="RJT42" s="16"/>
      <c r="RJU42" s="16"/>
      <c r="RJV42" s="16"/>
      <c r="RJW42" s="16"/>
      <c r="RJX42" s="16"/>
      <c r="RJY42" s="16"/>
      <c r="RJZ42" s="16"/>
      <c r="RKA42" s="16"/>
      <c r="RKB42" s="16"/>
      <c r="RKC42" s="16"/>
      <c r="RKD42" s="16"/>
      <c r="RKE42" s="16"/>
      <c r="RKF42" s="16"/>
      <c r="RKG42" s="16"/>
      <c r="RKH42" s="16"/>
      <c r="RKI42" s="16"/>
      <c r="RKJ42" s="16"/>
      <c r="RKK42" s="16"/>
      <c r="RKL42" s="16"/>
      <c r="RKM42" s="16"/>
      <c r="RKN42" s="16"/>
      <c r="RKO42" s="16"/>
      <c r="RKP42" s="16"/>
      <c r="RKQ42" s="16"/>
      <c r="RKR42" s="16"/>
      <c r="RKS42" s="16"/>
      <c r="RKT42" s="16"/>
      <c r="RKU42" s="16"/>
      <c r="RKV42" s="16"/>
      <c r="RKW42" s="16"/>
      <c r="RKX42" s="16"/>
      <c r="RKY42" s="16"/>
      <c r="RKZ42" s="16"/>
      <c r="RLA42" s="16"/>
      <c r="RLB42" s="16"/>
      <c r="RLC42" s="16"/>
      <c r="RLD42" s="16"/>
      <c r="RLE42" s="16"/>
      <c r="RLF42" s="16"/>
      <c r="RLG42" s="16"/>
      <c r="RLH42" s="16"/>
      <c r="RLI42" s="16"/>
      <c r="RLJ42" s="16"/>
      <c r="RLK42" s="16"/>
      <c r="RLL42" s="16"/>
      <c r="RLM42" s="16"/>
      <c r="RLN42" s="16"/>
      <c r="RLO42" s="16"/>
      <c r="RLP42" s="16"/>
      <c r="RLQ42" s="16"/>
      <c r="RLR42" s="16"/>
      <c r="RLS42" s="16"/>
      <c r="RLT42" s="16"/>
      <c r="RLU42" s="16"/>
      <c r="RLV42" s="16"/>
      <c r="RLW42" s="16"/>
      <c r="RLX42" s="16"/>
      <c r="RLY42" s="16"/>
      <c r="RLZ42" s="16"/>
      <c r="RMA42" s="16"/>
      <c r="RMB42" s="16"/>
      <c r="RMC42" s="16"/>
      <c r="RMD42" s="16"/>
      <c r="RME42" s="16"/>
      <c r="RMF42" s="16"/>
      <c r="RMG42" s="16"/>
      <c r="RMH42" s="16"/>
      <c r="RMI42" s="16"/>
      <c r="RMJ42" s="16"/>
      <c r="RMK42" s="16"/>
      <c r="RML42" s="16"/>
      <c r="RMM42" s="16"/>
      <c r="RMN42" s="16"/>
      <c r="RMO42" s="16"/>
      <c r="RMP42" s="16"/>
      <c r="RMQ42" s="16"/>
      <c r="RMR42" s="16"/>
      <c r="RMS42" s="16"/>
      <c r="RMT42" s="16"/>
      <c r="RMU42" s="16"/>
      <c r="RMV42" s="16"/>
      <c r="RMW42" s="16"/>
      <c r="RMX42" s="16"/>
      <c r="RMY42" s="16"/>
      <c r="RMZ42" s="16"/>
      <c r="RNA42" s="16"/>
      <c r="RNB42" s="16"/>
      <c r="RNC42" s="16"/>
      <c r="RND42" s="16"/>
      <c r="RNE42" s="16"/>
      <c r="RNF42" s="16"/>
      <c r="RNG42" s="16"/>
      <c r="RNH42" s="16"/>
      <c r="RNI42" s="16"/>
      <c r="RNJ42" s="16"/>
      <c r="RNK42" s="16"/>
      <c r="RNL42" s="16"/>
      <c r="RNM42" s="16"/>
      <c r="RNN42" s="16"/>
      <c r="RNO42" s="16"/>
      <c r="RNP42" s="16"/>
      <c r="RNQ42" s="16"/>
      <c r="RNR42" s="16"/>
      <c r="RNS42" s="16"/>
      <c r="RNT42" s="16"/>
      <c r="RNU42" s="16"/>
      <c r="RNV42" s="16"/>
      <c r="RNW42" s="16"/>
      <c r="RNX42" s="16"/>
      <c r="RNY42" s="16"/>
      <c r="RNZ42" s="16"/>
      <c r="ROA42" s="16"/>
      <c r="ROB42" s="16"/>
      <c r="ROC42" s="16"/>
      <c r="ROD42" s="16"/>
      <c r="ROE42" s="16"/>
      <c r="ROF42" s="16"/>
      <c r="ROG42" s="16"/>
      <c r="ROH42" s="16"/>
      <c r="ROI42" s="16"/>
      <c r="ROJ42" s="16"/>
      <c r="ROK42" s="16"/>
      <c r="ROL42" s="16"/>
      <c r="ROM42" s="16"/>
      <c r="RON42" s="16"/>
      <c r="ROO42" s="16"/>
      <c r="ROP42" s="16"/>
      <c r="ROQ42" s="16"/>
      <c r="ROR42" s="16"/>
      <c r="ROS42" s="16"/>
      <c r="ROT42" s="16"/>
      <c r="ROU42" s="16"/>
      <c r="ROV42" s="16"/>
      <c r="ROW42" s="16"/>
      <c r="ROX42" s="16"/>
      <c r="ROY42" s="16"/>
      <c r="ROZ42" s="16"/>
      <c r="RPA42" s="16"/>
      <c r="RPB42" s="16"/>
      <c r="RPC42" s="16"/>
      <c r="RPD42" s="16"/>
      <c r="RPE42" s="16"/>
      <c r="RPF42" s="16"/>
      <c r="RPG42" s="16"/>
      <c r="RPH42" s="16"/>
      <c r="RPI42" s="16"/>
      <c r="RPJ42" s="16"/>
      <c r="RPK42" s="16"/>
      <c r="RPL42" s="16"/>
      <c r="RPM42" s="16"/>
      <c r="RPN42" s="16"/>
      <c r="RPO42" s="16"/>
      <c r="RPP42" s="16"/>
      <c r="RPQ42" s="16"/>
      <c r="RPR42" s="16"/>
      <c r="RPS42" s="16"/>
      <c r="RPT42" s="16"/>
      <c r="RPU42" s="16"/>
      <c r="RPV42" s="16"/>
      <c r="RPW42" s="16"/>
      <c r="RPX42" s="16"/>
      <c r="RPY42" s="16"/>
      <c r="RPZ42" s="16"/>
      <c r="RQA42" s="16"/>
      <c r="RQB42" s="16"/>
      <c r="RQC42" s="16"/>
      <c r="RQD42" s="16"/>
      <c r="RQE42" s="16"/>
      <c r="RQF42" s="16"/>
      <c r="RQG42" s="16"/>
      <c r="RQH42" s="16"/>
      <c r="RQI42" s="16"/>
      <c r="RQJ42" s="16"/>
      <c r="RQK42" s="16"/>
      <c r="RQL42" s="16"/>
      <c r="RQM42" s="16"/>
      <c r="RQN42" s="16"/>
      <c r="RQO42" s="16"/>
      <c r="RQP42" s="16"/>
      <c r="RQQ42" s="16"/>
      <c r="RQR42" s="16"/>
      <c r="RQS42" s="16"/>
      <c r="RQT42" s="16"/>
      <c r="RQU42" s="16"/>
      <c r="RQV42" s="16"/>
      <c r="RQW42" s="16"/>
      <c r="RQX42" s="16"/>
      <c r="RQY42" s="16"/>
      <c r="RQZ42" s="16"/>
      <c r="RRA42" s="16"/>
      <c r="RRB42" s="16"/>
      <c r="RRC42" s="16"/>
      <c r="RRD42" s="16"/>
      <c r="RRE42" s="16"/>
      <c r="RRF42" s="16"/>
      <c r="RRG42" s="16"/>
      <c r="RRH42" s="16"/>
      <c r="RRI42" s="16"/>
      <c r="RRJ42" s="16"/>
      <c r="RRK42" s="16"/>
      <c r="RRL42" s="16"/>
      <c r="RRM42" s="16"/>
      <c r="RRN42" s="16"/>
      <c r="RRO42" s="16"/>
      <c r="RRP42" s="16"/>
      <c r="RRQ42" s="16"/>
      <c r="RRR42" s="16"/>
      <c r="RRS42" s="16"/>
      <c r="RRT42" s="16"/>
      <c r="RRU42" s="16"/>
      <c r="RRV42" s="16"/>
      <c r="RRW42" s="16"/>
      <c r="RRX42" s="16"/>
      <c r="RRY42" s="16"/>
      <c r="RRZ42" s="16"/>
      <c r="RSA42" s="16"/>
      <c r="RSB42" s="16"/>
      <c r="RSC42" s="16"/>
      <c r="RSD42" s="16"/>
      <c r="RSE42" s="16"/>
      <c r="RSF42" s="16"/>
      <c r="RSG42" s="16"/>
      <c r="RSH42" s="16"/>
      <c r="RSI42" s="16"/>
      <c r="RSJ42" s="16"/>
      <c r="RSK42" s="16"/>
      <c r="RSL42" s="16"/>
      <c r="RSM42" s="16"/>
      <c r="RSN42" s="16"/>
      <c r="RSO42" s="16"/>
      <c r="RSP42" s="16"/>
      <c r="RSQ42" s="16"/>
      <c r="RSR42" s="16"/>
      <c r="RSS42" s="16"/>
      <c r="RST42" s="16"/>
      <c r="RSU42" s="16"/>
      <c r="RSV42" s="16"/>
      <c r="RSW42" s="16"/>
      <c r="RSX42" s="16"/>
      <c r="RSY42" s="16"/>
      <c r="RSZ42" s="16"/>
      <c r="RTA42" s="16"/>
      <c r="RTB42" s="16"/>
      <c r="RTC42" s="16"/>
      <c r="RTD42" s="16"/>
      <c r="RTE42" s="16"/>
      <c r="RTF42" s="16"/>
      <c r="RTG42" s="16"/>
      <c r="RTH42" s="16"/>
      <c r="RTI42" s="16"/>
      <c r="RTJ42" s="16"/>
      <c r="RTK42" s="16"/>
      <c r="RTL42" s="16"/>
      <c r="RTM42" s="16"/>
      <c r="RTN42" s="16"/>
      <c r="RTO42" s="16"/>
      <c r="RTP42" s="16"/>
      <c r="RTQ42" s="16"/>
      <c r="RTR42" s="16"/>
      <c r="RTS42" s="16"/>
      <c r="RTT42" s="16"/>
      <c r="RTU42" s="16"/>
      <c r="RTV42" s="16"/>
      <c r="RTW42" s="16"/>
      <c r="RTX42" s="16"/>
      <c r="RTY42" s="16"/>
      <c r="RTZ42" s="16"/>
      <c r="RUA42" s="16"/>
      <c r="RUB42" s="16"/>
      <c r="RUC42" s="16"/>
      <c r="RUD42" s="16"/>
      <c r="RUE42" s="16"/>
      <c r="RUF42" s="16"/>
      <c r="RUG42" s="16"/>
      <c r="RUH42" s="16"/>
      <c r="RUI42" s="16"/>
      <c r="RUJ42" s="16"/>
      <c r="RUK42" s="16"/>
      <c r="RUL42" s="16"/>
      <c r="RUM42" s="16"/>
      <c r="RUN42" s="16"/>
      <c r="RUO42" s="16"/>
      <c r="RUP42" s="16"/>
      <c r="RUQ42" s="16"/>
      <c r="RUR42" s="16"/>
      <c r="RUS42" s="16"/>
      <c r="RUT42" s="16"/>
      <c r="RUU42" s="16"/>
      <c r="RUV42" s="16"/>
      <c r="RUW42" s="16"/>
      <c r="RUX42" s="16"/>
      <c r="RUY42" s="16"/>
      <c r="RUZ42" s="16"/>
      <c r="RVA42" s="16"/>
      <c r="RVB42" s="16"/>
      <c r="RVC42" s="16"/>
      <c r="RVD42" s="16"/>
      <c r="RVE42" s="16"/>
      <c r="RVF42" s="16"/>
      <c r="RVG42" s="16"/>
      <c r="RVH42" s="16"/>
      <c r="RVI42" s="16"/>
      <c r="RVJ42" s="16"/>
      <c r="RVK42" s="16"/>
      <c r="RVL42" s="16"/>
      <c r="RVM42" s="16"/>
      <c r="RVN42" s="16"/>
      <c r="RVO42" s="16"/>
      <c r="RVP42" s="16"/>
      <c r="RVQ42" s="16"/>
      <c r="RVR42" s="16"/>
      <c r="RVS42" s="16"/>
      <c r="RVT42" s="16"/>
      <c r="RVU42" s="16"/>
      <c r="RVV42" s="16"/>
      <c r="RVW42" s="16"/>
      <c r="RVX42" s="16"/>
      <c r="RVY42" s="16"/>
      <c r="RVZ42" s="16"/>
      <c r="RWA42" s="16"/>
      <c r="RWB42" s="16"/>
      <c r="RWC42" s="16"/>
      <c r="RWD42" s="16"/>
      <c r="RWE42" s="16"/>
      <c r="RWF42" s="16"/>
      <c r="RWG42" s="16"/>
      <c r="RWH42" s="16"/>
      <c r="RWI42" s="16"/>
      <c r="RWJ42" s="16"/>
      <c r="RWK42" s="16"/>
      <c r="RWL42" s="16"/>
      <c r="RWM42" s="16"/>
      <c r="RWN42" s="16"/>
      <c r="RWO42" s="16"/>
      <c r="RWP42" s="16"/>
      <c r="RWQ42" s="16"/>
      <c r="RWR42" s="16"/>
      <c r="RWS42" s="16"/>
      <c r="RWT42" s="16"/>
      <c r="RWU42" s="16"/>
      <c r="RWV42" s="16"/>
      <c r="RWW42" s="16"/>
      <c r="RWX42" s="16"/>
      <c r="RWY42" s="16"/>
      <c r="RWZ42" s="16"/>
      <c r="RXA42" s="16"/>
      <c r="RXB42" s="16"/>
      <c r="RXC42" s="16"/>
      <c r="RXD42" s="16"/>
      <c r="RXE42" s="16"/>
      <c r="RXF42" s="16"/>
      <c r="RXG42" s="16"/>
      <c r="RXH42" s="16"/>
      <c r="RXI42" s="16"/>
      <c r="RXJ42" s="16"/>
      <c r="RXK42" s="16"/>
      <c r="RXL42" s="16"/>
      <c r="RXM42" s="16"/>
      <c r="RXN42" s="16"/>
      <c r="RXO42" s="16"/>
      <c r="RXP42" s="16"/>
      <c r="RXQ42" s="16"/>
      <c r="RXR42" s="16"/>
      <c r="RXS42" s="16"/>
      <c r="RXT42" s="16"/>
      <c r="RXU42" s="16"/>
      <c r="RXV42" s="16"/>
      <c r="RXW42" s="16"/>
      <c r="RXX42" s="16"/>
      <c r="RXY42" s="16"/>
      <c r="RXZ42" s="16"/>
      <c r="RYA42" s="16"/>
      <c r="RYB42" s="16"/>
      <c r="RYC42" s="16"/>
      <c r="RYD42" s="16"/>
      <c r="RYE42" s="16"/>
      <c r="RYF42" s="16"/>
      <c r="RYG42" s="16"/>
      <c r="RYH42" s="16"/>
      <c r="RYI42" s="16"/>
      <c r="RYJ42" s="16"/>
      <c r="RYK42" s="16"/>
      <c r="RYL42" s="16"/>
      <c r="RYM42" s="16"/>
      <c r="RYN42" s="16"/>
      <c r="RYO42" s="16"/>
      <c r="RYP42" s="16"/>
      <c r="RYQ42" s="16"/>
      <c r="RYR42" s="16"/>
      <c r="RYS42" s="16"/>
      <c r="RYT42" s="16"/>
      <c r="RYU42" s="16"/>
      <c r="RYV42" s="16"/>
      <c r="RYW42" s="16"/>
      <c r="RYX42" s="16"/>
      <c r="RYY42" s="16"/>
      <c r="RYZ42" s="16"/>
      <c r="RZA42" s="16"/>
      <c r="RZB42" s="16"/>
      <c r="RZC42" s="16"/>
      <c r="RZD42" s="16"/>
      <c r="RZE42" s="16"/>
      <c r="RZF42" s="16"/>
      <c r="RZG42" s="16"/>
      <c r="RZH42" s="16"/>
      <c r="RZI42" s="16"/>
      <c r="RZJ42" s="16"/>
      <c r="RZK42" s="16"/>
      <c r="RZL42" s="16"/>
      <c r="RZM42" s="16"/>
      <c r="RZN42" s="16"/>
      <c r="RZO42" s="16"/>
      <c r="RZP42" s="16"/>
      <c r="RZQ42" s="16"/>
      <c r="RZR42" s="16"/>
      <c r="RZS42" s="16"/>
      <c r="RZT42" s="16"/>
      <c r="RZU42" s="16"/>
      <c r="RZV42" s="16"/>
      <c r="RZW42" s="16"/>
      <c r="RZX42" s="16"/>
      <c r="RZY42" s="16"/>
      <c r="RZZ42" s="16"/>
      <c r="SAA42" s="16"/>
      <c r="SAB42" s="16"/>
      <c r="SAC42" s="16"/>
      <c r="SAD42" s="16"/>
      <c r="SAE42" s="16"/>
      <c r="SAF42" s="16"/>
      <c r="SAG42" s="16"/>
      <c r="SAH42" s="16"/>
      <c r="SAI42" s="16"/>
      <c r="SAJ42" s="16"/>
      <c r="SAK42" s="16"/>
      <c r="SAL42" s="16"/>
      <c r="SAM42" s="16"/>
      <c r="SAN42" s="16"/>
      <c r="SAO42" s="16"/>
      <c r="SAP42" s="16"/>
      <c r="SAQ42" s="16"/>
      <c r="SAR42" s="16"/>
      <c r="SAS42" s="16"/>
      <c r="SAT42" s="16"/>
      <c r="SAU42" s="16"/>
      <c r="SAV42" s="16"/>
      <c r="SAW42" s="16"/>
      <c r="SAX42" s="16"/>
      <c r="SAY42" s="16"/>
      <c r="SAZ42" s="16"/>
      <c r="SBA42" s="16"/>
      <c r="SBB42" s="16"/>
      <c r="SBC42" s="16"/>
      <c r="SBD42" s="16"/>
      <c r="SBE42" s="16"/>
      <c r="SBF42" s="16"/>
      <c r="SBG42" s="16"/>
      <c r="SBH42" s="16"/>
      <c r="SBI42" s="16"/>
      <c r="SBJ42" s="16"/>
      <c r="SBK42" s="16"/>
      <c r="SBL42" s="16"/>
      <c r="SBM42" s="16"/>
      <c r="SBN42" s="16"/>
      <c r="SBO42" s="16"/>
      <c r="SBP42" s="16"/>
      <c r="SBQ42" s="16"/>
      <c r="SBR42" s="16"/>
      <c r="SBS42" s="16"/>
      <c r="SBT42" s="16"/>
      <c r="SBU42" s="16"/>
      <c r="SBV42" s="16"/>
      <c r="SBW42" s="16"/>
      <c r="SBX42" s="16"/>
      <c r="SBY42" s="16"/>
      <c r="SBZ42" s="16"/>
      <c r="SCA42" s="16"/>
      <c r="SCB42" s="16"/>
      <c r="SCC42" s="16"/>
      <c r="SCD42" s="16"/>
      <c r="SCE42" s="16"/>
      <c r="SCF42" s="16"/>
      <c r="SCG42" s="16"/>
      <c r="SCH42" s="16"/>
      <c r="SCI42" s="16"/>
      <c r="SCJ42" s="16"/>
      <c r="SCK42" s="16"/>
      <c r="SCL42" s="16"/>
      <c r="SCM42" s="16"/>
      <c r="SCN42" s="16"/>
      <c r="SCO42" s="16"/>
      <c r="SCP42" s="16"/>
      <c r="SCQ42" s="16"/>
      <c r="SCR42" s="16"/>
      <c r="SCS42" s="16"/>
      <c r="SCT42" s="16"/>
      <c r="SCU42" s="16"/>
      <c r="SCV42" s="16"/>
      <c r="SCW42" s="16"/>
      <c r="SCX42" s="16"/>
      <c r="SCY42" s="16"/>
      <c r="SCZ42" s="16"/>
      <c r="SDA42" s="16"/>
      <c r="SDB42" s="16"/>
      <c r="SDC42" s="16"/>
      <c r="SDD42" s="16"/>
      <c r="SDE42" s="16"/>
      <c r="SDF42" s="16"/>
      <c r="SDG42" s="16"/>
      <c r="SDH42" s="16"/>
      <c r="SDI42" s="16"/>
      <c r="SDJ42" s="16"/>
      <c r="SDK42" s="16"/>
      <c r="SDL42" s="16"/>
      <c r="SDM42" s="16"/>
      <c r="SDN42" s="16"/>
      <c r="SDO42" s="16"/>
      <c r="SDP42" s="16"/>
      <c r="SDQ42" s="16"/>
      <c r="SDR42" s="16"/>
      <c r="SDS42" s="16"/>
      <c r="SDT42" s="16"/>
      <c r="SDU42" s="16"/>
      <c r="SDV42" s="16"/>
      <c r="SDW42" s="16"/>
      <c r="SDX42" s="16"/>
      <c r="SDY42" s="16"/>
      <c r="SDZ42" s="16"/>
      <c r="SEA42" s="16"/>
      <c r="SEB42" s="16"/>
      <c r="SEC42" s="16"/>
      <c r="SED42" s="16"/>
      <c r="SEE42" s="16"/>
      <c r="SEF42" s="16"/>
      <c r="SEG42" s="16"/>
      <c r="SEH42" s="16"/>
      <c r="SEI42" s="16"/>
      <c r="SEJ42" s="16"/>
      <c r="SEK42" s="16"/>
      <c r="SEL42" s="16"/>
      <c r="SEM42" s="16"/>
      <c r="SEN42" s="16"/>
      <c r="SEO42" s="16"/>
      <c r="SEP42" s="16"/>
      <c r="SEQ42" s="16"/>
      <c r="SER42" s="16"/>
      <c r="SES42" s="16"/>
      <c r="SET42" s="16"/>
      <c r="SEU42" s="16"/>
      <c r="SEV42" s="16"/>
      <c r="SEW42" s="16"/>
      <c r="SEX42" s="16"/>
      <c r="SEY42" s="16"/>
      <c r="SEZ42" s="16"/>
      <c r="SFA42" s="16"/>
      <c r="SFB42" s="16"/>
      <c r="SFC42" s="16"/>
      <c r="SFD42" s="16"/>
      <c r="SFE42" s="16"/>
      <c r="SFF42" s="16"/>
      <c r="SFG42" s="16"/>
      <c r="SFH42" s="16"/>
      <c r="SFI42" s="16"/>
      <c r="SFJ42" s="16"/>
      <c r="SFK42" s="16"/>
      <c r="SFL42" s="16"/>
      <c r="SFM42" s="16"/>
      <c r="SFN42" s="16"/>
      <c r="SFO42" s="16"/>
      <c r="SFP42" s="16"/>
      <c r="SFQ42" s="16"/>
      <c r="SFR42" s="16"/>
      <c r="SFS42" s="16"/>
      <c r="SFT42" s="16"/>
      <c r="SFU42" s="16"/>
      <c r="SFV42" s="16"/>
      <c r="SFW42" s="16"/>
      <c r="SFX42" s="16"/>
      <c r="SFY42" s="16"/>
      <c r="SFZ42" s="16"/>
      <c r="SGA42" s="16"/>
      <c r="SGB42" s="16"/>
      <c r="SGC42" s="16"/>
      <c r="SGD42" s="16"/>
      <c r="SGE42" s="16"/>
      <c r="SGF42" s="16"/>
      <c r="SGG42" s="16"/>
      <c r="SGH42" s="16"/>
      <c r="SGI42" s="16"/>
      <c r="SGJ42" s="16"/>
      <c r="SGK42" s="16"/>
      <c r="SGL42" s="16"/>
      <c r="SGM42" s="16"/>
      <c r="SGN42" s="16"/>
      <c r="SGO42" s="16"/>
      <c r="SGP42" s="16"/>
      <c r="SGQ42" s="16"/>
      <c r="SGR42" s="16"/>
      <c r="SGS42" s="16"/>
      <c r="SGT42" s="16"/>
      <c r="SGU42" s="16"/>
      <c r="SGV42" s="16"/>
      <c r="SGW42" s="16"/>
      <c r="SGX42" s="16"/>
      <c r="SGY42" s="16"/>
      <c r="SGZ42" s="16"/>
      <c r="SHA42" s="16"/>
      <c r="SHB42" s="16"/>
      <c r="SHC42" s="16"/>
      <c r="SHD42" s="16"/>
      <c r="SHE42" s="16"/>
      <c r="SHF42" s="16"/>
      <c r="SHG42" s="16"/>
      <c r="SHH42" s="16"/>
      <c r="SHI42" s="16"/>
      <c r="SHJ42" s="16"/>
      <c r="SHK42" s="16"/>
      <c r="SHL42" s="16"/>
      <c r="SHM42" s="16"/>
      <c r="SHN42" s="16"/>
      <c r="SHO42" s="16"/>
      <c r="SHP42" s="16"/>
      <c r="SHQ42" s="16"/>
      <c r="SHR42" s="16"/>
      <c r="SHS42" s="16"/>
      <c r="SHT42" s="16"/>
      <c r="SHU42" s="16"/>
      <c r="SHV42" s="16"/>
      <c r="SHW42" s="16"/>
      <c r="SHX42" s="16"/>
      <c r="SHY42" s="16"/>
      <c r="SHZ42" s="16"/>
      <c r="SIA42" s="16"/>
      <c r="SIB42" s="16"/>
      <c r="SIC42" s="16"/>
      <c r="SID42" s="16"/>
      <c r="SIE42" s="16"/>
      <c r="SIF42" s="16"/>
      <c r="SIG42" s="16"/>
      <c r="SIH42" s="16"/>
      <c r="SII42" s="16"/>
      <c r="SIJ42" s="16"/>
      <c r="SIK42" s="16"/>
      <c r="SIL42" s="16"/>
      <c r="SIM42" s="16"/>
      <c r="SIN42" s="16"/>
      <c r="SIO42" s="16"/>
      <c r="SIP42" s="16"/>
      <c r="SIQ42" s="16"/>
      <c r="SIR42" s="16"/>
      <c r="SIS42" s="16"/>
      <c r="SIT42" s="16"/>
      <c r="SIU42" s="16"/>
      <c r="SIV42" s="16"/>
      <c r="SIW42" s="16"/>
      <c r="SIX42" s="16"/>
      <c r="SIY42" s="16"/>
      <c r="SIZ42" s="16"/>
      <c r="SJA42" s="16"/>
      <c r="SJB42" s="16"/>
      <c r="SJC42" s="16"/>
      <c r="SJD42" s="16"/>
      <c r="SJE42" s="16"/>
      <c r="SJF42" s="16"/>
      <c r="SJG42" s="16"/>
      <c r="SJH42" s="16"/>
      <c r="SJI42" s="16"/>
      <c r="SJJ42" s="16"/>
      <c r="SJK42" s="16"/>
      <c r="SJL42" s="16"/>
      <c r="SJM42" s="16"/>
      <c r="SJN42" s="16"/>
      <c r="SJO42" s="16"/>
      <c r="SJP42" s="16"/>
      <c r="SJQ42" s="16"/>
      <c r="SJR42" s="16"/>
      <c r="SJS42" s="16"/>
      <c r="SJT42" s="16"/>
      <c r="SJU42" s="16"/>
      <c r="SJV42" s="16"/>
      <c r="SJW42" s="16"/>
      <c r="SJX42" s="16"/>
      <c r="SJY42" s="16"/>
      <c r="SJZ42" s="16"/>
      <c r="SKA42" s="16"/>
      <c r="SKB42" s="16"/>
      <c r="SKC42" s="16"/>
      <c r="SKD42" s="16"/>
      <c r="SKE42" s="16"/>
      <c r="SKF42" s="16"/>
      <c r="SKG42" s="16"/>
      <c r="SKH42" s="16"/>
      <c r="SKI42" s="16"/>
      <c r="SKJ42" s="16"/>
      <c r="SKK42" s="16"/>
      <c r="SKL42" s="16"/>
      <c r="SKM42" s="16"/>
      <c r="SKN42" s="16"/>
      <c r="SKO42" s="16"/>
      <c r="SKP42" s="16"/>
      <c r="SKQ42" s="16"/>
      <c r="SKR42" s="16"/>
      <c r="SKS42" s="16"/>
      <c r="SKT42" s="16"/>
      <c r="SKU42" s="16"/>
      <c r="SKV42" s="16"/>
      <c r="SKW42" s="16"/>
      <c r="SKX42" s="16"/>
      <c r="SKY42" s="16"/>
      <c r="SKZ42" s="16"/>
      <c r="SLA42" s="16"/>
      <c r="SLB42" s="16"/>
      <c r="SLC42" s="16"/>
      <c r="SLD42" s="16"/>
      <c r="SLE42" s="16"/>
      <c r="SLF42" s="16"/>
      <c r="SLG42" s="16"/>
      <c r="SLH42" s="16"/>
      <c r="SLI42" s="16"/>
      <c r="SLJ42" s="16"/>
      <c r="SLK42" s="16"/>
      <c r="SLL42" s="16"/>
      <c r="SLM42" s="16"/>
      <c r="SLN42" s="16"/>
      <c r="SLO42" s="16"/>
      <c r="SLP42" s="16"/>
      <c r="SLQ42" s="16"/>
      <c r="SLR42" s="16"/>
      <c r="SLS42" s="16"/>
      <c r="SLT42" s="16"/>
      <c r="SLU42" s="16"/>
      <c r="SLV42" s="16"/>
      <c r="SLW42" s="16"/>
      <c r="SLX42" s="16"/>
      <c r="SLY42" s="16"/>
      <c r="SLZ42" s="16"/>
      <c r="SMA42" s="16"/>
      <c r="SMB42" s="16"/>
      <c r="SMC42" s="16"/>
      <c r="SMD42" s="16"/>
      <c r="SME42" s="16"/>
      <c r="SMF42" s="16"/>
      <c r="SMG42" s="16"/>
      <c r="SMH42" s="16"/>
      <c r="SMI42" s="16"/>
      <c r="SMJ42" s="16"/>
      <c r="SMK42" s="16"/>
      <c r="SML42" s="16"/>
      <c r="SMM42" s="16"/>
      <c r="SMN42" s="16"/>
      <c r="SMO42" s="16"/>
      <c r="SMP42" s="16"/>
      <c r="SMQ42" s="16"/>
      <c r="SMR42" s="16"/>
      <c r="SMS42" s="16"/>
      <c r="SMT42" s="16"/>
      <c r="SMU42" s="16"/>
      <c r="SMV42" s="16"/>
      <c r="SMW42" s="16"/>
      <c r="SMX42" s="16"/>
      <c r="SMY42" s="16"/>
      <c r="SMZ42" s="16"/>
      <c r="SNA42" s="16"/>
      <c r="SNB42" s="16"/>
      <c r="SNC42" s="16"/>
      <c r="SND42" s="16"/>
      <c r="SNE42" s="16"/>
      <c r="SNF42" s="16"/>
      <c r="SNG42" s="16"/>
      <c r="SNH42" s="16"/>
      <c r="SNI42" s="16"/>
      <c r="SNJ42" s="16"/>
      <c r="SNK42" s="16"/>
      <c r="SNL42" s="16"/>
      <c r="SNM42" s="16"/>
      <c r="SNN42" s="16"/>
      <c r="SNO42" s="16"/>
      <c r="SNP42" s="16"/>
      <c r="SNQ42" s="16"/>
      <c r="SNR42" s="16"/>
      <c r="SNS42" s="16"/>
      <c r="SNT42" s="16"/>
      <c r="SNU42" s="16"/>
      <c r="SNV42" s="16"/>
      <c r="SNW42" s="16"/>
      <c r="SNX42" s="16"/>
      <c r="SNY42" s="16"/>
      <c r="SNZ42" s="16"/>
      <c r="SOA42" s="16"/>
      <c r="SOB42" s="16"/>
      <c r="SOC42" s="16"/>
      <c r="SOD42" s="16"/>
      <c r="SOE42" s="16"/>
      <c r="SOF42" s="16"/>
      <c r="SOG42" s="16"/>
      <c r="SOH42" s="16"/>
      <c r="SOI42" s="16"/>
      <c r="SOJ42" s="16"/>
      <c r="SOK42" s="16"/>
      <c r="SOL42" s="16"/>
      <c r="SOM42" s="16"/>
      <c r="SON42" s="16"/>
      <c r="SOO42" s="16"/>
      <c r="SOP42" s="16"/>
      <c r="SOQ42" s="16"/>
      <c r="SOR42" s="16"/>
      <c r="SOS42" s="16"/>
      <c r="SOT42" s="16"/>
      <c r="SOU42" s="16"/>
      <c r="SOV42" s="16"/>
      <c r="SOW42" s="16"/>
      <c r="SOX42" s="16"/>
      <c r="SOY42" s="16"/>
      <c r="SOZ42" s="16"/>
      <c r="SPA42" s="16"/>
      <c r="SPB42" s="16"/>
      <c r="SPC42" s="16"/>
      <c r="SPD42" s="16"/>
      <c r="SPE42" s="16"/>
      <c r="SPF42" s="16"/>
      <c r="SPG42" s="16"/>
      <c r="SPH42" s="16"/>
      <c r="SPI42" s="16"/>
      <c r="SPJ42" s="16"/>
      <c r="SPK42" s="16"/>
      <c r="SPL42" s="16"/>
      <c r="SPM42" s="16"/>
      <c r="SPN42" s="16"/>
      <c r="SPO42" s="16"/>
      <c r="SPP42" s="16"/>
      <c r="SPQ42" s="16"/>
      <c r="SPR42" s="16"/>
      <c r="SPS42" s="16"/>
      <c r="SPT42" s="16"/>
      <c r="SPU42" s="16"/>
      <c r="SPV42" s="16"/>
      <c r="SPW42" s="16"/>
      <c r="SPX42" s="16"/>
      <c r="SPY42" s="16"/>
      <c r="SPZ42" s="16"/>
      <c r="SQA42" s="16"/>
      <c r="SQB42" s="16"/>
      <c r="SQC42" s="16"/>
      <c r="SQD42" s="16"/>
      <c r="SQE42" s="16"/>
      <c r="SQF42" s="16"/>
      <c r="SQG42" s="16"/>
      <c r="SQH42" s="16"/>
      <c r="SQI42" s="16"/>
      <c r="SQJ42" s="16"/>
      <c r="SQK42" s="16"/>
      <c r="SQL42" s="16"/>
      <c r="SQM42" s="16"/>
      <c r="SQN42" s="16"/>
      <c r="SQO42" s="16"/>
      <c r="SQP42" s="16"/>
      <c r="SQQ42" s="16"/>
      <c r="SQR42" s="16"/>
      <c r="SQS42" s="16"/>
      <c r="SQT42" s="16"/>
      <c r="SQU42" s="16"/>
      <c r="SQV42" s="16"/>
      <c r="SQW42" s="16"/>
      <c r="SQX42" s="16"/>
      <c r="SQY42" s="16"/>
      <c r="SQZ42" s="16"/>
      <c r="SRA42" s="16"/>
      <c r="SRB42" s="16"/>
      <c r="SRC42" s="16"/>
      <c r="SRD42" s="16"/>
      <c r="SRE42" s="16"/>
      <c r="SRF42" s="16"/>
      <c r="SRG42" s="16"/>
      <c r="SRH42" s="16"/>
      <c r="SRI42" s="16"/>
      <c r="SRJ42" s="16"/>
      <c r="SRK42" s="16"/>
      <c r="SRL42" s="16"/>
      <c r="SRM42" s="16"/>
      <c r="SRN42" s="16"/>
      <c r="SRO42" s="16"/>
      <c r="SRP42" s="16"/>
      <c r="SRQ42" s="16"/>
      <c r="SRR42" s="16"/>
      <c r="SRS42" s="16"/>
      <c r="SRT42" s="16"/>
      <c r="SRU42" s="16"/>
      <c r="SRV42" s="16"/>
      <c r="SRW42" s="16"/>
      <c r="SRX42" s="16"/>
      <c r="SRY42" s="16"/>
      <c r="SRZ42" s="16"/>
      <c r="SSA42" s="16"/>
      <c r="SSB42" s="16"/>
      <c r="SSC42" s="16"/>
      <c r="SSD42" s="16"/>
      <c r="SSE42" s="16"/>
      <c r="SSF42" s="16"/>
      <c r="SSG42" s="16"/>
      <c r="SSH42" s="16"/>
      <c r="SSI42" s="16"/>
      <c r="SSJ42" s="16"/>
      <c r="SSK42" s="16"/>
      <c r="SSL42" s="16"/>
      <c r="SSM42" s="16"/>
      <c r="SSN42" s="16"/>
      <c r="SSO42" s="16"/>
      <c r="SSP42" s="16"/>
      <c r="SSQ42" s="16"/>
      <c r="SSR42" s="16"/>
      <c r="SSS42" s="16"/>
      <c r="SST42" s="16"/>
      <c r="SSU42" s="16"/>
      <c r="SSV42" s="16"/>
      <c r="SSW42" s="16"/>
      <c r="SSX42" s="16"/>
      <c r="SSY42" s="16"/>
      <c r="SSZ42" s="16"/>
      <c r="STA42" s="16"/>
      <c r="STB42" s="16"/>
      <c r="STC42" s="16"/>
      <c r="STD42" s="16"/>
      <c r="STE42" s="16"/>
      <c r="STF42" s="16"/>
      <c r="STG42" s="16"/>
      <c r="STH42" s="16"/>
      <c r="STI42" s="16"/>
      <c r="STJ42" s="16"/>
      <c r="STK42" s="16"/>
      <c r="STL42" s="16"/>
      <c r="STM42" s="16"/>
      <c r="STN42" s="16"/>
      <c r="STO42" s="16"/>
      <c r="STP42" s="16"/>
      <c r="STQ42" s="16"/>
      <c r="STR42" s="16"/>
      <c r="STS42" s="16"/>
      <c r="STT42" s="16"/>
      <c r="STU42" s="16"/>
      <c r="STV42" s="16"/>
      <c r="STW42" s="16"/>
      <c r="STX42" s="16"/>
      <c r="STY42" s="16"/>
      <c r="STZ42" s="16"/>
      <c r="SUA42" s="16"/>
      <c r="SUB42" s="16"/>
      <c r="SUC42" s="16"/>
      <c r="SUD42" s="16"/>
      <c r="SUE42" s="16"/>
      <c r="SUF42" s="16"/>
      <c r="SUG42" s="16"/>
      <c r="SUH42" s="16"/>
      <c r="SUI42" s="16"/>
      <c r="SUJ42" s="16"/>
      <c r="SUK42" s="16"/>
      <c r="SUL42" s="16"/>
      <c r="SUM42" s="16"/>
      <c r="SUN42" s="16"/>
      <c r="SUO42" s="16"/>
      <c r="SUP42" s="16"/>
      <c r="SUQ42" s="16"/>
      <c r="SUR42" s="16"/>
      <c r="SUS42" s="16"/>
      <c r="SUT42" s="16"/>
      <c r="SUU42" s="16"/>
      <c r="SUV42" s="16"/>
      <c r="SUW42" s="16"/>
      <c r="SUX42" s="16"/>
      <c r="SUY42" s="16"/>
      <c r="SUZ42" s="16"/>
      <c r="SVA42" s="16"/>
      <c r="SVB42" s="16"/>
      <c r="SVC42" s="16"/>
      <c r="SVD42" s="16"/>
      <c r="SVE42" s="16"/>
      <c r="SVF42" s="16"/>
      <c r="SVG42" s="16"/>
      <c r="SVH42" s="16"/>
      <c r="SVI42" s="16"/>
      <c r="SVJ42" s="16"/>
      <c r="SVK42" s="16"/>
      <c r="SVL42" s="16"/>
      <c r="SVM42" s="16"/>
      <c r="SVN42" s="16"/>
      <c r="SVO42" s="16"/>
      <c r="SVP42" s="16"/>
      <c r="SVQ42" s="16"/>
      <c r="SVR42" s="16"/>
      <c r="SVS42" s="16"/>
      <c r="SVT42" s="16"/>
      <c r="SVU42" s="16"/>
      <c r="SVV42" s="16"/>
      <c r="SVW42" s="16"/>
      <c r="SVX42" s="16"/>
      <c r="SVY42" s="16"/>
      <c r="SVZ42" s="16"/>
      <c r="SWA42" s="16"/>
      <c r="SWB42" s="16"/>
      <c r="SWC42" s="16"/>
      <c r="SWD42" s="16"/>
      <c r="SWE42" s="16"/>
      <c r="SWF42" s="16"/>
      <c r="SWG42" s="16"/>
      <c r="SWH42" s="16"/>
      <c r="SWI42" s="16"/>
      <c r="SWJ42" s="16"/>
      <c r="SWK42" s="16"/>
      <c r="SWL42" s="16"/>
      <c r="SWM42" s="16"/>
      <c r="SWN42" s="16"/>
      <c r="SWO42" s="16"/>
      <c r="SWP42" s="16"/>
      <c r="SWQ42" s="16"/>
      <c r="SWR42" s="16"/>
      <c r="SWS42" s="16"/>
      <c r="SWT42" s="16"/>
      <c r="SWU42" s="16"/>
      <c r="SWV42" s="16"/>
      <c r="SWW42" s="16"/>
      <c r="SWX42" s="16"/>
      <c r="SWY42" s="16"/>
      <c r="SWZ42" s="16"/>
      <c r="SXA42" s="16"/>
      <c r="SXB42" s="16"/>
      <c r="SXC42" s="16"/>
      <c r="SXD42" s="16"/>
      <c r="SXE42" s="16"/>
      <c r="SXF42" s="16"/>
      <c r="SXG42" s="16"/>
      <c r="SXH42" s="16"/>
      <c r="SXI42" s="16"/>
      <c r="SXJ42" s="16"/>
      <c r="SXK42" s="16"/>
      <c r="SXL42" s="16"/>
      <c r="SXM42" s="16"/>
      <c r="SXN42" s="16"/>
      <c r="SXO42" s="16"/>
      <c r="SXP42" s="16"/>
      <c r="SXQ42" s="16"/>
      <c r="SXR42" s="16"/>
      <c r="SXS42" s="16"/>
      <c r="SXT42" s="16"/>
      <c r="SXU42" s="16"/>
      <c r="SXV42" s="16"/>
      <c r="SXW42" s="16"/>
      <c r="SXX42" s="16"/>
      <c r="SXY42" s="16"/>
      <c r="SXZ42" s="16"/>
      <c r="SYA42" s="16"/>
      <c r="SYB42" s="16"/>
      <c r="SYC42" s="16"/>
      <c r="SYD42" s="16"/>
      <c r="SYE42" s="16"/>
      <c r="SYF42" s="16"/>
      <c r="SYG42" s="16"/>
      <c r="SYH42" s="16"/>
      <c r="SYI42" s="16"/>
      <c r="SYJ42" s="16"/>
      <c r="SYK42" s="16"/>
      <c r="SYL42" s="16"/>
      <c r="SYM42" s="16"/>
      <c r="SYN42" s="16"/>
      <c r="SYO42" s="16"/>
      <c r="SYP42" s="16"/>
      <c r="SYQ42" s="16"/>
      <c r="SYR42" s="16"/>
      <c r="SYS42" s="16"/>
      <c r="SYT42" s="16"/>
      <c r="SYU42" s="16"/>
      <c r="SYV42" s="16"/>
      <c r="SYW42" s="16"/>
      <c r="SYX42" s="16"/>
      <c r="SYY42" s="16"/>
      <c r="SYZ42" s="16"/>
      <c r="SZA42" s="16"/>
      <c r="SZB42" s="16"/>
      <c r="SZC42" s="16"/>
      <c r="SZD42" s="16"/>
      <c r="SZE42" s="16"/>
      <c r="SZF42" s="16"/>
      <c r="SZG42" s="16"/>
      <c r="SZH42" s="16"/>
      <c r="SZI42" s="16"/>
      <c r="SZJ42" s="16"/>
      <c r="SZK42" s="16"/>
      <c r="SZL42" s="16"/>
      <c r="SZM42" s="16"/>
      <c r="SZN42" s="16"/>
      <c r="SZO42" s="16"/>
      <c r="SZP42" s="16"/>
      <c r="SZQ42" s="16"/>
      <c r="SZR42" s="16"/>
      <c r="SZS42" s="16"/>
      <c r="SZT42" s="16"/>
      <c r="SZU42" s="16"/>
      <c r="SZV42" s="16"/>
      <c r="SZW42" s="16"/>
      <c r="SZX42" s="16"/>
      <c r="SZY42" s="16"/>
      <c r="SZZ42" s="16"/>
      <c r="TAA42" s="16"/>
      <c r="TAB42" s="16"/>
      <c r="TAC42" s="16"/>
      <c r="TAD42" s="16"/>
      <c r="TAE42" s="16"/>
      <c r="TAF42" s="16"/>
      <c r="TAG42" s="16"/>
      <c r="TAH42" s="16"/>
      <c r="TAI42" s="16"/>
      <c r="TAJ42" s="16"/>
      <c r="TAK42" s="16"/>
      <c r="TAL42" s="16"/>
      <c r="TAM42" s="16"/>
      <c r="TAN42" s="16"/>
      <c r="TAO42" s="16"/>
      <c r="TAP42" s="16"/>
      <c r="TAQ42" s="16"/>
      <c r="TAR42" s="16"/>
      <c r="TAS42" s="16"/>
      <c r="TAT42" s="16"/>
      <c r="TAU42" s="16"/>
      <c r="TAV42" s="16"/>
      <c r="TAW42" s="16"/>
      <c r="TAX42" s="16"/>
      <c r="TAY42" s="16"/>
      <c r="TAZ42" s="16"/>
      <c r="TBA42" s="16"/>
      <c r="TBB42" s="16"/>
      <c r="TBC42" s="16"/>
      <c r="TBD42" s="16"/>
      <c r="TBE42" s="16"/>
      <c r="TBF42" s="16"/>
      <c r="TBG42" s="16"/>
      <c r="TBH42" s="16"/>
      <c r="TBI42" s="16"/>
      <c r="TBJ42" s="16"/>
      <c r="TBK42" s="16"/>
      <c r="TBL42" s="16"/>
      <c r="TBM42" s="16"/>
      <c r="TBN42" s="16"/>
      <c r="TBO42" s="16"/>
      <c r="TBP42" s="16"/>
      <c r="TBQ42" s="16"/>
      <c r="TBR42" s="16"/>
      <c r="TBS42" s="16"/>
      <c r="TBT42" s="16"/>
      <c r="TBU42" s="16"/>
      <c r="TBV42" s="16"/>
      <c r="TBW42" s="16"/>
      <c r="TBX42" s="16"/>
      <c r="TBY42" s="16"/>
      <c r="TBZ42" s="16"/>
      <c r="TCA42" s="16"/>
      <c r="TCB42" s="16"/>
      <c r="TCC42" s="16"/>
      <c r="TCD42" s="16"/>
      <c r="TCE42" s="16"/>
      <c r="TCF42" s="16"/>
      <c r="TCG42" s="16"/>
      <c r="TCH42" s="16"/>
      <c r="TCI42" s="16"/>
      <c r="TCJ42" s="16"/>
      <c r="TCK42" s="16"/>
      <c r="TCL42" s="16"/>
      <c r="TCM42" s="16"/>
      <c r="TCN42" s="16"/>
      <c r="TCO42" s="16"/>
      <c r="TCP42" s="16"/>
      <c r="TCQ42" s="16"/>
      <c r="TCR42" s="16"/>
      <c r="TCS42" s="16"/>
      <c r="TCT42" s="16"/>
      <c r="TCU42" s="16"/>
      <c r="TCV42" s="16"/>
      <c r="TCW42" s="16"/>
      <c r="TCX42" s="16"/>
      <c r="TCY42" s="16"/>
      <c r="TCZ42" s="16"/>
      <c r="TDA42" s="16"/>
      <c r="TDB42" s="16"/>
      <c r="TDC42" s="16"/>
      <c r="TDD42" s="16"/>
      <c r="TDE42" s="16"/>
      <c r="TDF42" s="16"/>
      <c r="TDG42" s="16"/>
      <c r="TDH42" s="16"/>
      <c r="TDI42" s="16"/>
      <c r="TDJ42" s="16"/>
      <c r="TDK42" s="16"/>
      <c r="TDL42" s="16"/>
      <c r="TDM42" s="16"/>
      <c r="TDN42" s="16"/>
      <c r="TDO42" s="16"/>
      <c r="TDP42" s="16"/>
      <c r="TDQ42" s="16"/>
      <c r="TDR42" s="16"/>
      <c r="TDS42" s="16"/>
      <c r="TDT42" s="16"/>
      <c r="TDU42" s="16"/>
      <c r="TDV42" s="16"/>
      <c r="TDW42" s="16"/>
      <c r="TDX42" s="16"/>
      <c r="TDY42" s="16"/>
      <c r="TDZ42" s="16"/>
      <c r="TEA42" s="16"/>
      <c r="TEB42" s="16"/>
      <c r="TEC42" s="16"/>
      <c r="TED42" s="16"/>
      <c r="TEE42" s="16"/>
      <c r="TEF42" s="16"/>
      <c r="TEG42" s="16"/>
      <c r="TEH42" s="16"/>
      <c r="TEI42" s="16"/>
      <c r="TEJ42" s="16"/>
      <c r="TEK42" s="16"/>
      <c r="TEL42" s="16"/>
      <c r="TEM42" s="16"/>
      <c r="TEN42" s="16"/>
      <c r="TEO42" s="16"/>
      <c r="TEP42" s="16"/>
      <c r="TEQ42" s="16"/>
      <c r="TER42" s="16"/>
      <c r="TES42" s="16"/>
      <c r="TET42" s="16"/>
      <c r="TEU42" s="16"/>
      <c r="TEV42" s="16"/>
      <c r="TEW42" s="16"/>
      <c r="TEX42" s="16"/>
      <c r="TEY42" s="16"/>
      <c r="TEZ42" s="16"/>
      <c r="TFA42" s="16"/>
      <c r="TFB42" s="16"/>
      <c r="TFC42" s="16"/>
      <c r="TFD42" s="16"/>
      <c r="TFE42" s="16"/>
      <c r="TFF42" s="16"/>
      <c r="TFG42" s="16"/>
      <c r="TFH42" s="16"/>
      <c r="TFI42" s="16"/>
      <c r="TFJ42" s="16"/>
      <c r="TFK42" s="16"/>
      <c r="TFL42" s="16"/>
      <c r="TFM42" s="16"/>
      <c r="TFN42" s="16"/>
      <c r="TFO42" s="16"/>
      <c r="TFP42" s="16"/>
      <c r="TFQ42" s="16"/>
      <c r="TFR42" s="16"/>
      <c r="TFS42" s="16"/>
      <c r="TFT42" s="16"/>
      <c r="TFU42" s="16"/>
      <c r="TFV42" s="16"/>
      <c r="TFW42" s="16"/>
      <c r="TFX42" s="16"/>
      <c r="TFY42" s="16"/>
      <c r="TFZ42" s="16"/>
      <c r="TGA42" s="16"/>
      <c r="TGB42" s="16"/>
      <c r="TGC42" s="16"/>
      <c r="TGD42" s="16"/>
      <c r="TGE42" s="16"/>
      <c r="TGF42" s="16"/>
      <c r="TGG42" s="16"/>
      <c r="TGH42" s="16"/>
      <c r="TGI42" s="16"/>
      <c r="TGJ42" s="16"/>
      <c r="TGK42" s="16"/>
      <c r="TGL42" s="16"/>
      <c r="TGM42" s="16"/>
      <c r="TGN42" s="16"/>
      <c r="TGO42" s="16"/>
      <c r="TGP42" s="16"/>
      <c r="TGQ42" s="16"/>
      <c r="TGR42" s="16"/>
      <c r="TGS42" s="16"/>
      <c r="TGT42" s="16"/>
      <c r="TGU42" s="16"/>
      <c r="TGV42" s="16"/>
      <c r="TGW42" s="16"/>
      <c r="TGX42" s="16"/>
      <c r="TGY42" s="16"/>
      <c r="TGZ42" s="16"/>
      <c r="THA42" s="16"/>
      <c r="THB42" s="16"/>
      <c r="THC42" s="16"/>
      <c r="THD42" s="16"/>
      <c r="THE42" s="16"/>
      <c r="THF42" s="16"/>
      <c r="THG42" s="16"/>
      <c r="THH42" s="16"/>
      <c r="THI42" s="16"/>
      <c r="THJ42" s="16"/>
      <c r="THK42" s="16"/>
      <c r="THL42" s="16"/>
      <c r="THM42" s="16"/>
      <c r="THN42" s="16"/>
      <c r="THO42" s="16"/>
      <c r="THP42" s="16"/>
      <c r="THQ42" s="16"/>
      <c r="THR42" s="16"/>
      <c r="THS42" s="16"/>
      <c r="THT42" s="16"/>
      <c r="THU42" s="16"/>
      <c r="THV42" s="16"/>
      <c r="THW42" s="16"/>
      <c r="THX42" s="16"/>
      <c r="THY42" s="16"/>
      <c r="THZ42" s="16"/>
      <c r="TIA42" s="16"/>
      <c r="TIB42" s="16"/>
      <c r="TIC42" s="16"/>
      <c r="TID42" s="16"/>
      <c r="TIE42" s="16"/>
      <c r="TIF42" s="16"/>
      <c r="TIG42" s="16"/>
      <c r="TIH42" s="16"/>
      <c r="TII42" s="16"/>
      <c r="TIJ42" s="16"/>
      <c r="TIK42" s="16"/>
      <c r="TIL42" s="16"/>
      <c r="TIM42" s="16"/>
      <c r="TIN42" s="16"/>
      <c r="TIO42" s="16"/>
      <c r="TIP42" s="16"/>
      <c r="TIQ42" s="16"/>
      <c r="TIR42" s="16"/>
      <c r="TIS42" s="16"/>
      <c r="TIT42" s="16"/>
      <c r="TIU42" s="16"/>
      <c r="TIV42" s="16"/>
      <c r="TIW42" s="16"/>
      <c r="TIX42" s="16"/>
      <c r="TIY42" s="16"/>
      <c r="TIZ42" s="16"/>
      <c r="TJA42" s="16"/>
      <c r="TJB42" s="16"/>
      <c r="TJC42" s="16"/>
      <c r="TJD42" s="16"/>
      <c r="TJE42" s="16"/>
      <c r="TJF42" s="16"/>
      <c r="TJG42" s="16"/>
      <c r="TJH42" s="16"/>
      <c r="TJI42" s="16"/>
      <c r="TJJ42" s="16"/>
      <c r="TJK42" s="16"/>
      <c r="TJL42" s="16"/>
      <c r="TJM42" s="16"/>
      <c r="TJN42" s="16"/>
      <c r="TJO42" s="16"/>
      <c r="TJP42" s="16"/>
      <c r="TJQ42" s="16"/>
      <c r="TJR42" s="16"/>
      <c r="TJS42" s="16"/>
      <c r="TJT42" s="16"/>
      <c r="TJU42" s="16"/>
      <c r="TJV42" s="16"/>
      <c r="TJW42" s="16"/>
      <c r="TJX42" s="16"/>
      <c r="TJY42" s="16"/>
      <c r="TJZ42" s="16"/>
      <c r="TKA42" s="16"/>
      <c r="TKB42" s="16"/>
      <c r="TKC42" s="16"/>
      <c r="TKD42" s="16"/>
      <c r="TKE42" s="16"/>
      <c r="TKF42" s="16"/>
      <c r="TKG42" s="16"/>
      <c r="TKH42" s="16"/>
      <c r="TKI42" s="16"/>
      <c r="TKJ42" s="16"/>
      <c r="TKK42" s="16"/>
      <c r="TKL42" s="16"/>
      <c r="TKM42" s="16"/>
      <c r="TKN42" s="16"/>
      <c r="TKO42" s="16"/>
      <c r="TKP42" s="16"/>
      <c r="TKQ42" s="16"/>
      <c r="TKR42" s="16"/>
      <c r="TKS42" s="16"/>
      <c r="TKT42" s="16"/>
      <c r="TKU42" s="16"/>
      <c r="TKV42" s="16"/>
      <c r="TKW42" s="16"/>
      <c r="TKX42" s="16"/>
      <c r="TKY42" s="16"/>
      <c r="TKZ42" s="16"/>
      <c r="TLA42" s="16"/>
      <c r="TLB42" s="16"/>
      <c r="TLC42" s="16"/>
      <c r="TLD42" s="16"/>
      <c r="TLE42" s="16"/>
      <c r="TLF42" s="16"/>
      <c r="TLG42" s="16"/>
      <c r="TLH42" s="16"/>
      <c r="TLI42" s="16"/>
      <c r="TLJ42" s="16"/>
      <c r="TLK42" s="16"/>
      <c r="TLL42" s="16"/>
      <c r="TLM42" s="16"/>
      <c r="TLN42" s="16"/>
      <c r="TLO42" s="16"/>
      <c r="TLP42" s="16"/>
      <c r="TLQ42" s="16"/>
      <c r="TLR42" s="16"/>
      <c r="TLS42" s="16"/>
      <c r="TLT42" s="16"/>
      <c r="TLU42" s="16"/>
      <c r="TLV42" s="16"/>
      <c r="TLW42" s="16"/>
      <c r="TLX42" s="16"/>
      <c r="TLY42" s="16"/>
      <c r="TLZ42" s="16"/>
      <c r="TMA42" s="16"/>
      <c r="TMB42" s="16"/>
      <c r="TMC42" s="16"/>
      <c r="TMD42" s="16"/>
      <c r="TME42" s="16"/>
      <c r="TMF42" s="16"/>
      <c r="TMG42" s="16"/>
      <c r="TMH42" s="16"/>
      <c r="TMI42" s="16"/>
      <c r="TMJ42" s="16"/>
      <c r="TMK42" s="16"/>
      <c r="TML42" s="16"/>
      <c r="TMM42" s="16"/>
      <c r="TMN42" s="16"/>
      <c r="TMO42" s="16"/>
      <c r="TMP42" s="16"/>
      <c r="TMQ42" s="16"/>
      <c r="TMR42" s="16"/>
      <c r="TMS42" s="16"/>
      <c r="TMT42" s="16"/>
      <c r="TMU42" s="16"/>
      <c r="TMV42" s="16"/>
      <c r="TMW42" s="16"/>
      <c r="TMX42" s="16"/>
      <c r="TMY42" s="16"/>
      <c r="TMZ42" s="16"/>
      <c r="TNA42" s="16"/>
      <c r="TNB42" s="16"/>
      <c r="TNC42" s="16"/>
      <c r="TND42" s="16"/>
      <c r="TNE42" s="16"/>
      <c r="TNF42" s="16"/>
      <c r="TNG42" s="16"/>
      <c r="TNH42" s="16"/>
      <c r="TNI42" s="16"/>
      <c r="TNJ42" s="16"/>
      <c r="TNK42" s="16"/>
      <c r="TNL42" s="16"/>
      <c r="TNM42" s="16"/>
      <c r="TNN42" s="16"/>
      <c r="TNO42" s="16"/>
      <c r="TNP42" s="16"/>
      <c r="TNQ42" s="16"/>
      <c r="TNR42" s="16"/>
      <c r="TNS42" s="16"/>
      <c r="TNT42" s="16"/>
      <c r="TNU42" s="16"/>
      <c r="TNV42" s="16"/>
      <c r="TNW42" s="16"/>
      <c r="TNX42" s="16"/>
      <c r="TNY42" s="16"/>
      <c r="TNZ42" s="16"/>
      <c r="TOA42" s="16"/>
      <c r="TOB42" s="16"/>
      <c r="TOC42" s="16"/>
      <c r="TOD42" s="16"/>
      <c r="TOE42" s="16"/>
      <c r="TOF42" s="16"/>
      <c r="TOG42" s="16"/>
      <c r="TOH42" s="16"/>
      <c r="TOI42" s="16"/>
      <c r="TOJ42" s="16"/>
      <c r="TOK42" s="16"/>
      <c r="TOL42" s="16"/>
      <c r="TOM42" s="16"/>
      <c r="TON42" s="16"/>
      <c r="TOO42" s="16"/>
      <c r="TOP42" s="16"/>
      <c r="TOQ42" s="16"/>
      <c r="TOR42" s="16"/>
      <c r="TOS42" s="16"/>
      <c r="TOT42" s="16"/>
      <c r="TOU42" s="16"/>
      <c r="TOV42" s="16"/>
      <c r="TOW42" s="16"/>
      <c r="TOX42" s="16"/>
      <c r="TOY42" s="16"/>
      <c r="TOZ42" s="16"/>
      <c r="TPA42" s="16"/>
      <c r="TPB42" s="16"/>
      <c r="TPC42" s="16"/>
      <c r="TPD42" s="16"/>
      <c r="TPE42" s="16"/>
      <c r="TPF42" s="16"/>
      <c r="TPG42" s="16"/>
      <c r="TPH42" s="16"/>
      <c r="TPI42" s="16"/>
      <c r="TPJ42" s="16"/>
      <c r="TPK42" s="16"/>
      <c r="TPL42" s="16"/>
      <c r="TPM42" s="16"/>
      <c r="TPN42" s="16"/>
      <c r="TPO42" s="16"/>
      <c r="TPP42" s="16"/>
      <c r="TPQ42" s="16"/>
      <c r="TPR42" s="16"/>
      <c r="TPS42" s="16"/>
      <c r="TPT42" s="16"/>
      <c r="TPU42" s="16"/>
      <c r="TPV42" s="16"/>
      <c r="TPW42" s="16"/>
      <c r="TPX42" s="16"/>
      <c r="TPY42" s="16"/>
      <c r="TPZ42" s="16"/>
      <c r="TQA42" s="16"/>
      <c r="TQB42" s="16"/>
      <c r="TQC42" s="16"/>
      <c r="TQD42" s="16"/>
      <c r="TQE42" s="16"/>
      <c r="TQF42" s="16"/>
      <c r="TQG42" s="16"/>
      <c r="TQH42" s="16"/>
      <c r="TQI42" s="16"/>
      <c r="TQJ42" s="16"/>
      <c r="TQK42" s="16"/>
      <c r="TQL42" s="16"/>
      <c r="TQM42" s="16"/>
      <c r="TQN42" s="16"/>
      <c r="TQO42" s="16"/>
      <c r="TQP42" s="16"/>
      <c r="TQQ42" s="16"/>
      <c r="TQR42" s="16"/>
      <c r="TQS42" s="16"/>
      <c r="TQT42" s="16"/>
      <c r="TQU42" s="16"/>
      <c r="TQV42" s="16"/>
      <c r="TQW42" s="16"/>
      <c r="TQX42" s="16"/>
      <c r="TQY42" s="16"/>
      <c r="TQZ42" s="16"/>
      <c r="TRA42" s="16"/>
      <c r="TRB42" s="16"/>
      <c r="TRC42" s="16"/>
      <c r="TRD42" s="16"/>
      <c r="TRE42" s="16"/>
      <c r="TRF42" s="16"/>
      <c r="TRG42" s="16"/>
      <c r="TRH42" s="16"/>
      <c r="TRI42" s="16"/>
      <c r="TRJ42" s="16"/>
      <c r="TRK42" s="16"/>
      <c r="TRL42" s="16"/>
      <c r="TRM42" s="16"/>
      <c r="TRN42" s="16"/>
      <c r="TRO42" s="16"/>
      <c r="TRP42" s="16"/>
      <c r="TRQ42" s="16"/>
      <c r="TRR42" s="16"/>
      <c r="TRS42" s="16"/>
      <c r="TRT42" s="16"/>
      <c r="TRU42" s="16"/>
      <c r="TRV42" s="16"/>
      <c r="TRW42" s="16"/>
      <c r="TRX42" s="16"/>
      <c r="TRY42" s="16"/>
      <c r="TRZ42" s="16"/>
      <c r="TSA42" s="16"/>
      <c r="TSB42" s="16"/>
      <c r="TSC42" s="16"/>
      <c r="TSD42" s="16"/>
      <c r="TSE42" s="16"/>
      <c r="TSF42" s="16"/>
      <c r="TSG42" s="16"/>
      <c r="TSH42" s="16"/>
      <c r="TSI42" s="16"/>
      <c r="TSJ42" s="16"/>
      <c r="TSK42" s="16"/>
      <c r="TSL42" s="16"/>
      <c r="TSM42" s="16"/>
      <c r="TSN42" s="16"/>
      <c r="TSO42" s="16"/>
      <c r="TSP42" s="16"/>
      <c r="TSQ42" s="16"/>
      <c r="TSR42" s="16"/>
      <c r="TSS42" s="16"/>
      <c r="TST42" s="16"/>
      <c r="TSU42" s="16"/>
      <c r="TSV42" s="16"/>
      <c r="TSW42" s="16"/>
      <c r="TSX42" s="16"/>
      <c r="TSY42" s="16"/>
      <c r="TSZ42" s="16"/>
      <c r="TTA42" s="16"/>
      <c r="TTB42" s="16"/>
      <c r="TTC42" s="16"/>
      <c r="TTD42" s="16"/>
      <c r="TTE42" s="16"/>
      <c r="TTF42" s="16"/>
      <c r="TTG42" s="16"/>
      <c r="TTH42" s="16"/>
      <c r="TTI42" s="16"/>
      <c r="TTJ42" s="16"/>
      <c r="TTK42" s="16"/>
      <c r="TTL42" s="16"/>
      <c r="TTM42" s="16"/>
      <c r="TTN42" s="16"/>
      <c r="TTO42" s="16"/>
      <c r="TTP42" s="16"/>
      <c r="TTQ42" s="16"/>
      <c r="TTR42" s="16"/>
      <c r="TTS42" s="16"/>
      <c r="TTT42" s="16"/>
      <c r="TTU42" s="16"/>
      <c r="TTV42" s="16"/>
      <c r="TTW42" s="16"/>
      <c r="TTX42" s="16"/>
      <c r="TTY42" s="16"/>
      <c r="TTZ42" s="16"/>
      <c r="TUA42" s="16"/>
      <c r="TUB42" s="16"/>
      <c r="TUC42" s="16"/>
      <c r="TUD42" s="16"/>
      <c r="TUE42" s="16"/>
      <c r="TUF42" s="16"/>
      <c r="TUG42" s="16"/>
      <c r="TUH42" s="16"/>
      <c r="TUI42" s="16"/>
      <c r="TUJ42" s="16"/>
      <c r="TUK42" s="16"/>
      <c r="TUL42" s="16"/>
      <c r="TUM42" s="16"/>
      <c r="TUN42" s="16"/>
      <c r="TUO42" s="16"/>
      <c r="TUP42" s="16"/>
      <c r="TUQ42" s="16"/>
      <c r="TUR42" s="16"/>
      <c r="TUS42" s="16"/>
      <c r="TUT42" s="16"/>
      <c r="TUU42" s="16"/>
      <c r="TUV42" s="16"/>
      <c r="TUW42" s="16"/>
      <c r="TUX42" s="16"/>
      <c r="TUY42" s="16"/>
      <c r="TUZ42" s="16"/>
      <c r="TVA42" s="16"/>
      <c r="TVB42" s="16"/>
      <c r="TVC42" s="16"/>
      <c r="TVD42" s="16"/>
      <c r="TVE42" s="16"/>
      <c r="TVF42" s="16"/>
      <c r="TVG42" s="16"/>
      <c r="TVH42" s="16"/>
      <c r="TVI42" s="16"/>
      <c r="TVJ42" s="16"/>
      <c r="TVK42" s="16"/>
      <c r="TVL42" s="16"/>
      <c r="TVM42" s="16"/>
      <c r="TVN42" s="16"/>
      <c r="TVO42" s="16"/>
      <c r="TVP42" s="16"/>
      <c r="TVQ42" s="16"/>
      <c r="TVR42" s="16"/>
      <c r="TVS42" s="16"/>
      <c r="TVT42" s="16"/>
      <c r="TVU42" s="16"/>
      <c r="TVV42" s="16"/>
      <c r="TVW42" s="16"/>
      <c r="TVX42" s="16"/>
      <c r="TVY42" s="16"/>
      <c r="TVZ42" s="16"/>
      <c r="TWA42" s="16"/>
      <c r="TWB42" s="16"/>
      <c r="TWC42" s="16"/>
      <c r="TWD42" s="16"/>
      <c r="TWE42" s="16"/>
      <c r="TWF42" s="16"/>
      <c r="TWG42" s="16"/>
      <c r="TWH42" s="16"/>
      <c r="TWI42" s="16"/>
      <c r="TWJ42" s="16"/>
      <c r="TWK42" s="16"/>
      <c r="TWL42" s="16"/>
      <c r="TWM42" s="16"/>
      <c r="TWN42" s="16"/>
      <c r="TWO42" s="16"/>
      <c r="TWP42" s="16"/>
      <c r="TWQ42" s="16"/>
      <c r="TWR42" s="16"/>
      <c r="TWS42" s="16"/>
      <c r="TWT42" s="16"/>
      <c r="TWU42" s="16"/>
      <c r="TWV42" s="16"/>
      <c r="TWW42" s="16"/>
      <c r="TWX42" s="16"/>
      <c r="TWY42" s="16"/>
      <c r="TWZ42" s="16"/>
      <c r="TXA42" s="16"/>
      <c r="TXB42" s="16"/>
      <c r="TXC42" s="16"/>
      <c r="TXD42" s="16"/>
      <c r="TXE42" s="16"/>
      <c r="TXF42" s="16"/>
      <c r="TXG42" s="16"/>
      <c r="TXH42" s="16"/>
      <c r="TXI42" s="16"/>
      <c r="TXJ42" s="16"/>
      <c r="TXK42" s="16"/>
      <c r="TXL42" s="16"/>
      <c r="TXM42" s="16"/>
      <c r="TXN42" s="16"/>
      <c r="TXO42" s="16"/>
      <c r="TXP42" s="16"/>
      <c r="TXQ42" s="16"/>
      <c r="TXR42" s="16"/>
      <c r="TXS42" s="16"/>
      <c r="TXT42" s="16"/>
      <c r="TXU42" s="16"/>
      <c r="TXV42" s="16"/>
      <c r="TXW42" s="16"/>
      <c r="TXX42" s="16"/>
      <c r="TXY42" s="16"/>
      <c r="TXZ42" s="16"/>
      <c r="TYA42" s="16"/>
      <c r="TYB42" s="16"/>
      <c r="TYC42" s="16"/>
      <c r="TYD42" s="16"/>
      <c r="TYE42" s="16"/>
      <c r="TYF42" s="16"/>
      <c r="TYG42" s="16"/>
      <c r="TYH42" s="16"/>
      <c r="TYI42" s="16"/>
      <c r="TYJ42" s="16"/>
      <c r="TYK42" s="16"/>
      <c r="TYL42" s="16"/>
      <c r="TYM42" s="16"/>
      <c r="TYN42" s="16"/>
      <c r="TYO42" s="16"/>
      <c r="TYP42" s="16"/>
      <c r="TYQ42" s="16"/>
      <c r="TYR42" s="16"/>
      <c r="TYS42" s="16"/>
      <c r="TYT42" s="16"/>
      <c r="TYU42" s="16"/>
      <c r="TYV42" s="16"/>
      <c r="TYW42" s="16"/>
      <c r="TYX42" s="16"/>
      <c r="TYY42" s="16"/>
      <c r="TYZ42" s="16"/>
      <c r="TZA42" s="16"/>
      <c r="TZB42" s="16"/>
      <c r="TZC42" s="16"/>
      <c r="TZD42" s="16"/>
      <c r="TZE42" s="16"/>
      <c r="TZF42" s="16"/>
      <c r="TZG42" s="16"/>
      <c r="TZH42" s="16"/>
      <c r="TZI42" s="16"/>
      <c r="TZJ42" s="16"/>
      <c r="TZK42" s="16"/>
      <c r="TZL42" s="16"/>
      <c r="TZM42" s="16"/>
      <c r="TZN42" s="16"/>
      <c r="TZO42" s="16"/>
      <c r="TZP42" s="16"/>
      <c r="TZQ42" s="16"/>
      <c r="TZR42" s="16"/>
      <c r="TZS42" s="16"/>
      <c r="TZT42" s="16"/>
      <c r="TZU42" s="16"/>
      <c r="TZV42" s="16"/>
      <c r="TZW42" s="16"/>
      <c r="TZX42" s="16"/>
      <c r="TZY42" s="16"/>
      <c r="TZZ42" s="16"/>
      <c r="UAA42" s="16"/>
      <c r="UAB42" s="16"/>
      <c r="UAC42" s="16"/>
      <c r="UAD42" s="16"/>
      <c r="UAE42" s="16"/>
      <c r="UAF42" s="16"/>
      <c r="UAG42" s="16"/>
      <c r="UAH42" s="16"/>
      <c r="UAI42" s="16"/>
      <c r="UAJ42" s="16"/>
      <c r="UAK42" s="16"/>
      <c r="UAL42" s="16"/>
      <c r="UAM42" s="16"/>
      <c r="UAN42" s="16"/>
      <c r="UAO42" s="16"/>
      <c r="UAP42" s="16"/>
      <c r="UAQ42" s="16"/>
      <c r="UAR42" s="16"/>
      <c r="UAS42" s="16"/>
      <c r="UAT42" s="16"/>
      <c r="UAU42" s="16"/>
      <c r="UAV42" s="16"/>
      <c r="UAW42" s="16"/>
      <c r="UAX42" s="16"/>
      <c r="UAY42" s="16"/>
      <c r="UAZ42" s="16"/>
      <c r="UBA42" s="16"/>
      <c r="UBB42" s="16"/>
      <c r="UBC42" s="16"/>
      <c r="UBD42" s="16"/>
      <c r="UBE42" s="16"/>
      <c r="UBF42" s="16"/>
      <c r="UBG42" s="16"/>
      <c r="UBH42" s="16"/>
      <c r="UBI42" s="16"/>
      <c r="UBJ42" s="16"/>
      <c r="UBK42" s="16"/>
      <c r="UBL42" s="16"/>
      <c r="UBM42" s="16"/>
      <c r="UBN42" s="16"/>
      <c r="UBO42" s="16"/>
      <c r="UBP42" s="16"/>
      <c r="UBQ42" s="16"/>
      <c r="UBR42" s="16"/>
      <c r="UBS42" s="16"/>
      <c r="UBT42" s="16"/>
      <c r="UBU42" s="16"/>
      <c r="UBV42" s="16"/>
      <c r="UBW42" s="16"/>
      <c r="UBX42" s="16"/>
      <c r="UBY42" s="16"/>
      <c r="UBZ42" s="16"/>
      <c r="UCA42" s="16"/>
      <c r="UCB42" s="16"/>
      <c r="UCC42" s="16"/>
      <c r="UCD42" s="16"/>
      <c r="UCE42" s="16"/>
      <c r="UCF42" s="16"/>
      <c r="UCG42" s="16"/>
      <c r="UCH42" s="16"/>
      <c r="UCI42" s="16"/>
      <c r="UCJ42" s="16"/>
      <c r="UCK42" s="16"/>
      <c r="UCL42" s="16"/>
      <c r="UCM42" s="16"/>
      <c r="UCN42" s="16"/>
      <c r="UCO42" s="16"/>
      <c r="UCP42" s="16"/>
      <c r="UCQ42" s="16"/>
      <c r="UCR42" s="16"/>
      <c r="UCS42" s="16"/>
      <c r="UCT42" s="16"/>
      <c r="UCU42" s="16"/>
      <c r="UCV42" s="16"/>
      <c r="UCW42" s="16"/>
      <c r="UCX42" s="16"/>
      <c r="UCY42" s="16"/>
      <c r="UCZ42" s="16"/>
      <c r="UDA42" s="16"/>
      <c r="UDB42" s="16"/>
      <c r="UDC42" s="16"/>
      <c r="UDD42" s="16"/>
      <c r="UDE42" s="16"/>
      <c r="UDF42" s="16"/>
      <c r="UDG42" s="16"/>
      <c r="UDH42" s="16"/>
      <c r="UDI42" s="16"/>
      <c r="UDJ42" s="16"/>
      <c r="UDK42" s="16"/>
      <c r="UDL42" s="16"/>
      <c r="UDM42" s="16"/>
      <c r="UDN42" s="16"/>
      <c r="UDO42" s="16"/>
      <c r="UDP42" s="16"/>
      <c r="UDQ42" s="16"/>
      <c r="UDR42" s="16"/>
      <c r="UDS42" s="16"/>
      <c r="UDT42" s="16"/>
      <c r="UDU42" s="16"/>
      <c r="UDV42" s="16"/>
      <c r="UDW42" s="16"/>
      <c r="UDX42" s="16"/>
      <c r="UDY42" s="16"/>
      <c r="UDZ42" s="16"/>
      <c r="UEA42" s="16"/>
      <c r="UEB42" s="16"/>
      <c r="UEC42" s="16"/>
      <c r="UED42" s="16"/>
      <c r="UEE42" s="16"/>
      <c r="UEF42" s="16"/>
      <c r="UEG42" s="16"/>
      <c r="UEH42" s="16"/>
      <c r="UEI42" s="16"/>
      <c r="UEJ42" s="16"/>
      <c r="UEK42" s="16"/>
      <c r="UEL42" s="16"/>
      <c r="UEM42" s="16"/>
      <c r="UEN42" s="16"/>
      <c r="UEO42" s="16"/>
      <c r="UEP42" s="16"/>
      <c r="UEQ42" s="16"/>
      <c r="UER42" s="16"/>
      <c r="UES42" s="16"/>
      <c r="UET42" s="16"/>
      <c r="UEU42" s="16"/>
      <c r="UEV42" s="16"/>
      <c r="UEW42" s="16"/>
      <c r="UEX42" s="16"/>
      <c r="UEY42" s="16"/>
      <c r="UEZ42" s="16"/>
      <c r="UFA42" s="16"/>
      <c r="UFB42" s="16"/>
      <c r="UFC42" s="16"/>
      <c r="UFD42" s="16"/>
      <c r="UFE42" s="16"/>
      <c r="UFF42" s="16"/>
      <c r="UFG42" s="16"/>
      <c r="UFH42" s="16"/>
      <c r="UFI42" s="16"/>
      <c r="UFJ42" s="16"/>
      <c r="UFK42" s="16"/>
      <c r="UFL42" s="16"/>
      <c r="UFM42" s="16"/>
      <c r="UFN42" s="16"/>
      <c r="UFO42" s="16"/>
      <c r="UFP42" s="16"/>
      <c r="UFQ42" s="16"/>
      <c r="UFR42" s="16"/>
      <c r="UFS42" s="16"/>
      <c r="UFT42" s="16"/>
      <c r="UFU42" s="16"/>
      <c r="UFV42" s="16"/>
      <c r="UFW42" s="16"/>
      <c r="UFX42" s="16"/>
      <c r="UFY42" s="16"/>
      <c r="UFZ42" s="16"/>
      <c r="UGA42" s="16"/>
      <c r="UGB42" s="16"/>
      <c r="UGC42" s="16"/>
      <c r="UGD42" s="16"/>
      <c r="UGE42" s="16"/>
      <c r="UGF42" s="16"/>
      <c r="UGG42" s="16"/>
      <c r="UGH42" s="16"/>
      <c r="UGI42" s="16"/>
      <c r="UGJ42" s="16"/>
      <c r="UGK42" s="16"/>
      <c r="UGL42" s="16"/>
      <c r="UGM42" s="16"/>
      <c r="UGN42" s="16"/>
      <c r="UGO42" s="16"/>
      <c r="UGP42" s="16"/>
      <c r="UGQ42" s="16"/>
      <c r="UGR42" s="16"/>
      <c r="UGS42" s="16"/>
      <c r="UGT42" s="16"/>
      <c r="UGU42" s="16"/>
      <c r="UGV42" s="16"/>
      <c r="UGW42" s="16"/>
      <c r="UGX42" s="16"/>
      <c r="UGY42" s="16"/>
      <c r="UGZ42" s="16"/>
      <c r="UHA42" s="16"/>
      <c r="UHB42" s="16"/>
      <c r="UHC42" s="16"/>
      <c r="UHD42" s="16"/>
      <c r="UHE42" s="16"/>
      <c r="UHF42" s="16"/>
      <c r="UHG42" s="16"/>
      <c r="UHH42" s="16"/>
      <c r="UHI42" s="16"/>
      <c r="UHJ42" s="16"/>
      <c r="UHK42" s="16"/>
      <c r="UHL42" s="16"/>
      <c r="UHM42" s="16"/>
      <c r="UHN42" s="16"/>
      <c r="UHO42" s="16"/>
      <c r="UHP42" s="16"/>
      <c r="UHQ42" s="16"/>
      <c r="UHR42" s="16"/>
      <c r="UHS42" s="16"/>
      <c r="UHT42" s="16"/>
      <c r="UHU42" s="16"/>
      <c r="UHV42" s="16"/>
      <c r="UHW42" s="16"/>
      <c r="UHX42" s="16"/>
      <c r="UHY42" s="16"/>
      <c r="UHZ42" s="16"/>
      <c r="UIA42" s="16"/>
      <c r="UIB42" s="16"/>
      <c r="UIC42" s="16"/>
      <c r="UID42" s="16"/>
      <c r="UIE42" s="16"/>
      <c r="UIF42" s="16"/>
      <c r="UIG42" s="16"/>
      <c r="UIH42" s="16"/>
      <c r="UII42" s="16"/>
      <c r="UIJ42" s="16"/>
      <c r="UIK42" s="16"/>
      <c r="UIL42" s="16"/>
      <c r="UIM42" s="16"/>
      <c r="UIN42" s="16"/>
      <c r="UIO42" s="16"/>
      <c r="UIP42" s="16"/>
      <c r="UIQ42" s="16"/>
      <c r="UIR42" s="16"/>
      <c r="UIS42" s="16"/>
      <c r="UIT42" s="16"/>
      <c r="UIU42" s="16"/>
      <c r="UIV42" s="16"/>
      <c r="UIW42" s="16"/>
      <c r="UIX42" s="16"/>
      <c r="UIY42" s="16"/>
      <c r="UIZ42" s="16"/>
      <c r="UJA42" s="16"/>
      <c r="UJB42" s="16"/>
      <c r="UJC42" s="16"/>
      <c r="UJD42" s="16"/>
      <c r="UJE42" s="16"/>
      <c r="UJF42" s="16"/>
      <c r="UJG42" s="16"/>
      <c r="UJH42" s="16"/>
      <c r="UJI42" s="16"/>
      <c r="UJJ42" s="16"/>
      <c r="UJK42" s="16"/>
      <c r="UJL42" s="16"/>
      <c r="UJM42" s="16"/>
      <c r="UJN42" s="16"/>
      <c r="UJO42" s="16"/>
      <c r="UJP42" s="16"/>
      <c r="UJQ42" s="16"/>
      <c r="UJR42" s="16"/>
      <c r="UJS42" s="16"/>
      <c r="UJT42" s="16"/>
      <c r="UJU42" s="16"/>
      <c r="UJV42" s="16"/>
      <c r="UJW42" s="16"/>
      <c r="UJX42" s="16"/>
      <c r="UJY42" s="16"/>
      <c r="UJZ42" s="16"/>
      <c r="UKA42" s="16"/>
      <c r="UKB42" s="16"/>
      <c r="UKC42" s="16"/>
      <c r="UKD42" s="16"/>
      <c r="UKE42" s="16"/>
      <c r="UKF42" s="16"/>
      <c r="UKG42" s="16"/>
      <c r="UKH42" s="16"/>
      <c r="UKI42" s="16"/>
      <c r="UKJ42" s="16"/>
      <c r="UKK42" s="16"/>
      <c r="UKL42" s="16"/>
      <c r="UKM42" s="16"/>
      <c r="UKN42" s="16"/>
      <c r="UKO42" s="16"/>
      <c r="UKP42" s="16"/>
      <c r="UKQ42" s="16"/>
      <c r="UKR42" s="16"/>
      <c r="UKS42" s="16"/>
      <c r="UKT42" s="16"/>
      <c r="UKU42" s="16"/>
      <c r="UKV42" s="16"/>
      <c r="UKW42" s="16"/>
      <c r="UKX42" s="16"/>
      <c r="UKY42" s="16"/>
      <c r="UKZ42" s="16"/>
      <c r="ULA42" s="16"/>
      <c r="ULB42" s="16"/>
      <c r="ULC42" s="16"/>
      <c r="ULD42" s="16"/>
      <c r="ULE42" s="16"/>
      <c r="ULF42" s="16"/>
      <c r="ULG42" s="16"/>
      <c r="ULH42" s="16"/>
      <c r="ULI42" s="16"/>
      <c r="ULJ42" s="16"/>
      <c r="ULK42" s="16"/>
      <c r="ULL42" s="16"/>
      <c r="ULM42" s="16"/>
      <c r="ULN42" s="16"/>
      <c r="ULO42" s="16"/>
      <c r="ULP42" s="16"/>
      <c r="ULQ42" s="16"/>
      <c r="ULR42" s="16"/>
      <c r="ULS42" s="16"/>
      <c r="ULT42" s="16"/>
      <c r="ULU42" s="16"/>
      <c r="ULV42" s="16"/>
      <c r="ULW42" s="16"/>
      <c r="ULX42" s="16"/>
      <c r="ULY42" s="16"/>
      <c r="ULZ42" s="16"/>
      <c r="UMA42" s="16"/>
      <c r="UMB42" s="16"/>
      <c r="UMC42" s="16"/>
      <c r="UMD42" s="16"/>
      <c r="UME42" s="16"/>
      <c r="UMF42" s="16"/>
      <c r="UMG42" s="16"/>
      <c r="UMH42" s="16"/>
      <c r="UMI42" s="16"/>
      <c r="UMJ42" s="16"/>
      <c r="UMK42" s="16"/>
      <c r="UML42" s="16"/>
      <c r="UMM42" s="16"/>
      <c r="UMN42" s="16"/>
      <c r="UMO42" s="16"/>
      <c r="UMP42" s="16"/>
      <c r="UMQ42" s="16"/>
      <c r="UMR42" s="16"/>
      <c r="UMS42" s="16"/>
      <c r="UMT42" s="16"/>
      <c r="UMU42" s="16"/>
      <c r="UMV42" s="16"/>
      <c r="UMW42" s="16"/>
      <c r="UMX42" s="16"/>
      <c r="UMY42" s="16"/>
      <c r="UMZ42" s="16"/>
      <c r="UNA42" s="16"/>
      <c r="UNB42" s="16"/>
      <c r="UNC42" s="16"/>
      <c r="UND42" s="16"/>
      <c r="UNE42" s="16"/>
      <c r="UNF42" s="16"/>
      <c r="UNG42" s="16"/>
      <c r="UNH42" s="16"/>
      <c r="UNI42" s="16"/>
      <c r="UNJ42" s="16"/>
      <c r="UNK42" s="16"/>
      <c r="UNL42" s="16"/>
      <c r="UNM42" s="16"/>
      <c r="UNN42" s="16"/>
      <c r="UNO42" s="16"/>
      <c r="UNP42" s="16"/>
      <c r="UNQ42" s="16"/>
      <c r="UNR42" s="16"/>
      <c r="UNS42" s="16"/>
      <c r="UNT42" s="16"/>
      <c r="UNU42" s="16"/>
      <c r="UNV42" s="16"/>
      <c r="UNW42" s="16"/>
      <c r="UNX42" s="16"/>
      <c r="UNY42" s="16"/>
      <c r="UNZ42" s="16"/>
      <c r="UOA42" s="16"/>
      <c r="UOB42" s="16"/>
      <c r="UOC42" s="16"/>
      <c r="UOD42" s="16"/>
      <c r="UOE42" s="16"/>
      <c r="UOF42" s="16"/>
      <c r="UOG42" s="16"/>
      <c r="UOH42" s="16"/>
      <c r="UOI42" s="16"/>
      <c r="UOJ42" s="16"/>
      <c r="UOK42" s="16"/>
      <c r="UOL42" s="16"/>
      <c r="UOM42" s="16"/>
      <c r="UON42" s="16"/>
      <c r="UOO42" s="16"/>
      <c r="UOP42" s="16"/>
      <c r="UOQ42" s="16"/>
      <c r="UOR42" s="16"/>
      <c r="UOS42" s="16"/>
      <c r="UOT42" s="16"/>
      <c r="UOU42" s="16"/>
      <c r="UOV42" s="16"/>
      <c r="UOW42" s="16"/>
      <c r="UOX42" s="16"/>
      <c r="UOY42" s="16"/>
      <c r="UOZ42" s="16"/>
      <c r="UPA42" s="16"/>
      <c r="UPB42" s="16"/>
      <c r="UPC42" s="16"/>
      <c r="UPD42" s="16"/>
      <c r="UPE42" s="16"/>
      <c r="UPF42" s="16"/>
      <c r="UPG42" s="16"/>
      <c r="UPH42" s="16"/>
      <c r="UPI42" s="16"/>
      <c r="UPJ42" s="16"/>
      <c r="UPK42" s="16"/>
      <c r="UPL42" s="16"/>
      <c r="UPM42" s="16"/>
      <c r="UPN42" s="16"/>
      <c r="UPO42" s="16"/>
      <c r="UPP42" s="16"/>
      <c r="UPQ42" s="16"/>
      <c r="UPR42" s="16"/>
      <c r="UPS42" s="16"/>
      <c r="UPT42" s="16"/>
      <c r="UPU42" s="16"/>
      <c r="UPV42" s="16"/>
      <c r="UPW42" s="16"/>
      <c r="UPX42" s="16"/>
      <c r="UPY42" s="16"/>
      <c r="UPZ42" s="16"/>
      <c r="UQA42" s="16"/>
      <c r="UQB42" s="16"/>
      <c r="UQC42" s="16"/>
      <c r="UQD42" s="16"/>
      <c r="UQE42" s="16"/>
      <c r="UQF42" s="16"/>
      <c r="UQG42" s="16"/>
      <c r="UQH42" s="16"/>
      <c r="UQI42" s="16"/>
      <c r="UQJ42" s="16"/>
      <c r="UQK42" s="16"/>
      <c r="UQL42" s="16"/>
      <c r="UQM42" s="16"/>
      <c r="UQN42" s="16"/>
      <c r="UQO42" s="16"/>
      <c r="UQP42" s="16"/>
      <c r="UQQ42" s="16"/>
      <c r="UQR42" s="16"/>
      <c r="UQS42" s="16"/>
      <c r="UQT42" s="16"/>
      <c r="UQU42" s="16"/>
      <c r="UQV42" s="16"/>
      <c r="UQW42" s="16"/>
      <c r="UQX42" s="16"/>
      <c r="UQY42" s="16"/>
      <c r="UQZ42" s="16"/>
      <c r="URA42" s="16"/>
      <c r="URB42" s="16"/>
      <c r="URC42" s="16"/>
      <c r="URD42" s="16"/>
      <c r="URE42" s="16"/>
      <c r="URF42" s="16"/>
      <c r="URG42" s="16"/>
      <c r="URH42" s="16"/>
      <c r="URI42" s="16"/>
      <c r="URJ42" s="16"/>
      <c r="URK42" s="16"/>
      <c r="URL42" s="16"/>
      <c r="URM42" s="16"/>
      <c r="URN42" s="16"/>
      <c r="URO42" s="16"/>
      <c r="URP42" s="16"/>
      <c r="URQ42" s="16"/>
      <c r="URR42" s="16"/>
      <c r="URS42" s="16"/>
      <c r="URT42" s="16"/>
      <c r="URU42" s="16"/>
      <c r="URV42" s="16"/>
      <c r="URW42" s="16"/>
      <c r="URX42" s="16"/>
      <c r="URY42" s="16"/>
      <c r="URZ42" s="16"/>
      <c r="USA42" s="16"/>
      <c r="USB42" s="16"/>
      <c r="USC42" s="16"/>
      <c r="USD42" s="16"/>
      <c r="USE42" s="16"/>
      <c r="USF42" s="16"/>
      <c r="USG42" s="16"/>
      <c r="USH42" s="16"/>
      <c r="USI42" s="16"/>
      <c r="USJ42" s="16"/>
      <c r="USK42" s="16"/>
      <c r="USL42" s="16"/>
      <c r="USM42" s="16"/>
      <c r="USN42" s="16"/>
      <c r="USO42" s="16"/>
      <c r="USP42" s="16"/>
      <c r="USQ42" s="16"/>
      <c r="USR42" s="16"/>
      <c r="USS42" s="16"/>
      <c r="UST42" s="16"/>
      <c r="USU42" s="16"/>
      <c r="USV42" s="16"/>
      <c r="USW42" s="16"/>
      <c r="USX42" s="16"/>
      <c r="USY42" s="16"/>
      <c r="USZ42" s="16"/>
      <c r="UTA42" s="16"/>
      <c r="UTB42" s="16"/>
      <c r="UTC42" s="16"/>
      <c r="UTD42" s="16"/>
      <c r="UTE42" s="16"/>
      <c r="UTF42" s="16"/>
      <c r="UTG42" s="16"/>
      <c r="UTH42" s="16"/>
      <c r="UTI42" s="16"/>
      <c r="UTJ42" s="16"/>
      <c r="UTK42" s="16"/>
      <c r="UTL42" s="16"/>
      <c r="UTM42" s="16"/>
      <c r="UTN42" s="16"/>
      <c r="UTO42" s="16"/>
      <c r="UTP42" s="16"/>
      <c r="UTQ42" s="16"/>
      <c r="UTR42" s="16"/>
      <c r="UTS42" s="16"/>
      <c r="UTT42" s="16"/>
      <c r="UTU42" s="16"/>
      <c r="UTV42" s="16"/>
      <c r="UTW42" s="16"/>
      <c r="UTX42" s="16"/>
      <c r="UTY42" s="16"/>
      <c r="UTZ42" s="16"/>
      <c r="UUA42" s="16"/>
      <c r="UUB42" s="16"/>
      <c r="UUC42" s="16"/>
      <c r="UUD42" s="16"/>
      <c r="UUE42" s="16"/>
      <c r="UUF42" s="16"/>
      <c r="UUG42" s="16"/>
      <c r="UUH42" s="16"/>
      <c r="UUI42" s="16"/>
      <c r="UUJ42" s="16"/>
      <c r="UUK42" s="16"/>
      <c r="UUL42" s="16"/>
      <c r="UUM42" s="16"/>
      <c r="UUN42" s="16"/>
      <c r="UUO42" s="16"/>
      <c r="UUP42" s="16"/>
      <c r="UUQ42" s="16"/>
      <c r="UUR42" s="16"/>
      <c r="UUS42" s="16"/>
      <c r="UUT42" s="16"/>
      <c r="UUU42" s="16"/>
      <c r="UUV42" s="16"/>
      <c r="UUW42" s="16"/>
      <c r="UUX42" s="16"/>
      <c r="UUY42" s="16"/>
      <c r="UUZ42" s="16"/>
      <c r="UVA42" s="16"/>
      <c r="UVB42" s="16"/>
      <c r="UVC42" s="16"/>
      <c r="UVD42" s="16"/>
      <c r="UVE42" s="16"/>
      <c r="UVF42" s="16"/>
      <c r="UVG42" s="16"/>
      <c r="UVH42" s="16"/>
      <c r="UVI42" s="16"/>
      <c r="UVJ42" s="16"/>
      <c r="UVK42" s="16"/>
      <c r="UVL42" s="16"/>
      <c r="UVM42" s="16"/>
      <c r="UVN42" s="16"/>
      <c r="UVO42" s="16"/>
      <c r="UVP42" s="16"/>
      <c r="UVQ42" s="16"/>
      <c r="UVR42" s="16"/>
      <c r="UVS42" s="16"/>
      <c r="UVT42" s="16"/>
      <c r="UVU42" s="16"/>
      <c r="UVV42" s="16"/>
      <c r="UVW42" s="16"/>
      <c r="UVX42" s="16"/>
      <c r="UVY42" s="16"/>
      <c r="UVZ42" s="16"/>
      <c r="UWA42" s="16"/>
      <c r="UWB42" s="16"/>
      <c r="UWC42" s="16"/>
      <c r="UWD42" s="16"/>
      <c r="UWE42" s="16"/>
      <c r="UWF42" s="16"/>
      <c r="UWG42" s="16"/>
      <c r="UWH42" s="16"/>
      <c r="UWI42" s="16"/>
      <c r="UWJ42" s="16"/>
      <c r="UWK42" s="16"/>
      <c r="UWL42" s="16"/>
      <c r="UWM42" s="16"/>
      <c r="UWN42" s="16"/>
      <c r="UWO42" s="16"/>
      <c r="UWP42" s="16"/>
      <c r="UWQ42" s="16"/>
      <c r="UWR42" s="16"/>
      <c r="UWS42" s="16"/>
      <c r="UWT42" s="16"/>
      <c r="UWU42" s="16"/>
      <c r="UWV42" s="16"/>
      <c r="UWW42" s="16"/>
      <c r="UWX42" s="16"/>
      <c r="UWY42" s="16"/>
      <c r="UWZ42" s="16"/>
      <c r="UXA42" s="16"/>
      <c r="UXB42" s="16"/>
      <c r="UXC42" s="16"/>
      <c r="UXD42" s="16"/>
      <c r="UXE42" s="16"/>
      <c r="UXF42" s="16"/>
      <c r="UXG42" s="16"/>
      <c r="UXH42" s="16"/>
      <c r="UXI42" s="16"/>
      <c r="UXJ42" s="16"/>
      <c r="UXK42" s="16"/>
      <c r="UXL42" s="16"/>
      <c r="UXM42" s="16"/>
      <c r="UXN42" s="16"/>
      <c r="UXO42" s="16"/>
      <c r="UXP42" s="16"/>
      <c r="UXQ42" s="16"/>
      <c r="UXR42" s="16"/>
      <c r="UXS42" s="16"/>
      <c r="UXT42" s="16"/>
      <c r="UXU42" s="16"/>
      <c r="UXV42" s="16"/>
      <c r="UXW42" s="16"/>
      <c r="UXX42" s="16"/>
      <c r="UXY42" s="16"/>
      <c r="UXZ42" s="16"/>
      <c r="UYA42" s="16"/>
      <c r="UYB42" s="16"/>
      <c r="UYC42" s="16"/>
      <c r="UYD42" s="16"/>
      <c r="UYE42" s="16"/>
      <c r="UYF42" s="16"/>
      <c r="UYG42" s="16"/>
      <c r="UYH42" s="16"/>
      <c r="UYI42" s="16"/>
      <c r="UYJ42" s="16"/>
      <c r="UYK42" s="16"/>
      <c r="UYL42" s="16"/>
      <c r="UYM42" s="16"/>
      <c r="UYN42" s="16"/>
      <c r="UYO42" s="16"/>
      <c r="UYP42" s="16"/>
      <c r="UYQ42" s="16"/>
      <c r="UYR42" s="16"/>
      <c r="UYS42" s="16"/>
      <c r="UYT42" s="16"/>
      <c r="UYU42" s="16"/>
      <c r="UYV42" s="16"/>
      <c r="UYW42" s="16"/>
      <c r="UYX42" s="16"/>
      <c r="UYY42" s="16"/>
      <c r="UYZ42" s="16"/>
      <c r="UZA42" s="16"/>
      <c r="UZB42" s="16"/>
      <c r="UZC42" s="16"/>
      <c r="UZD42" s="16"/>
      <c r="UZE42" s="16"/>
      <c r="UZF42" s="16"/>
      <c r="UZG42" s="16"/>
      <c r="UZH42" s="16"/>
      <c r="UZI42" s="16"/>
      <c r="UZJ42" s="16"/>
      <c r="UZK42" s="16"/>
      <c r="UZL42" s="16"/>
      <c r="UZM42" s="16"/>
      <c r="UZN42" s="16"/>
      <c r="UZO42" s="16"/>
      <c r="UZP42" s="16"/>
      <c r="UZQ42" s="16"/>
      <c r="UZR42" s="16"/>
      <c r="UZS42" s="16"/>
      <c r="UZT42" s="16"/>
      <c r="UZU42" s="16"/>
      <c r="UZV42" s="16"/>
      <c r="UZW42" s="16"/>
      <c r="UZX42" s="16"/>
      <c r="UZY42" s="16"/>
      <c r="UZZ42" s="16"/>
      <c r="VAA42" s="16"/>
      <c r="VAB42" s="16"/>
      <c r="VAC42" s="16"/>
      <c r="VAD42" s="16"/>
      <c r="VAE42" s="16"/>
      <c r="VAF42" s="16"/>
      <c r="VAG42" s="16"/>
      <c r="VAH42" s="16"/>
      <c r="VAI42" s="16"/>
      <c r="VAJ42" s="16"/>
      <c r="VAK42" s="16"/>
      <c r="VAL42" s="16"/>
      <c r="VAM42" s="16"/>
      <c r="VAN42" s="16"/>
      <c r="VAO42" s="16"/>
      <c r="VAP42" s="16"/>
      <c r="VAQ42" s="16"/>
      <c r="VAR42" s="16"/>
      <c r="VAS42" s="16"/>
      <c r="VAT42" s="16"/>
      <c r="VAU42" s="16"/>
      <c r="VAV42" s="16"/>
      <c r="VAW42" s="16"/>
      <c r="VAX42" s="16"/>
      <c r="VAY42" s="16"/>
      <c r="VAZ42" s="16"/>
      <c r="VBA42" s="16"/>
      <c r="VBB42" s="16"/>
      <c r="VBC42" s="16"/>
      <c r="VBD42" s="16"/>
      <c r="VBE42" s="16"/>
      <c r="VBF42" s="16"/>
      <c r="VBG42" s="16"/>
      <c r="VBH42" s="16"/>
      <c r="VBI42" s="16"/>
      <c r="VBJ42" s="16"/>
      <c r="VBK42" s="16"/>
      <c r="VBL42" s="16"/>
      <c r="VBM42" s="16"/>
      <c r="VBN42" s="16"/>
      <c r="VBO42" s="16"/>
    </row>
    <row r="43" spans="1:14939" x14ac:dyDescent="0.25">
      <c r="B43" s="1664"/>
      <c r="C43" s="491" t="s">
        <v>70</v>
      </c>
      <c r="D43" s="508">
        <f>SUM(D45:D46)</f>
        <v>0</v>
      </c>
      <c r="E43" s="492" t="s">
        <v>14</v>
      </c>
      <c r="F43" s="457">
        <f>'[22]Januari 24'!AL39</f>
        <v>1537641</v>
      </c>
      <c r="G43" s="457">
        <f>'[29]Februari - 24'!$AL$39</f>
        <v>398670</v>
      </c>
      <c r="H43" s="457">
        <f t="shared" ref="H43:Q43" si="8">H45+H46</f>
        <v>0</v>
      </c>
      <c r="I43" s="457">
        <f>'[22]April 24'!AL39</f>
        <v>0</v>
      </c>
      <c r="J43" s="457">
        <f>'[22]Mei 24'!AL39</f>
        <v>0</v>
      </c>
      <c r="K43" s="457">
        <f t="shared" si="8"/>
        <v>0</v>
      </c>
      <c r="L43" s="457">
        <f>'[22]July 24'!AL39</f>
        <v>0</v>
      </c>
      <c r="M43" s="457">
        <f t="shared" si="8"/>
        <v>0</v>
      </c>
      <c r="N43" s="457">
        <f t="shared" si="8"/>
        <v>0</v>
      </c>
      <c r="O43" s="457">
        <f>'[22]Oktober 24'!AL39</f>
        <v>0</v>
      </c>
      <c r="P43" s="457">
        <f>'[22]November 24'!AL39</f>
        <v>0</v>
      </c>
      <c r="Q43" s="457">
        <f t="shared" si="8"/>
        <v>0</v>
      </c>
      <c r="R43" s="737"/>
      <c r="S43" s="60">
        <f>S45+S46</f>
        <v>1936311</v>
      </c>
      <c r="T43" s="685">
        <f>T45+T46</f>
        <v>24558000</v>
      </c>
      <c r="U43" s="793">
        <f>S43/T43*100</f>
        <v>7.884644515025653</v>
      </c>
      <c r="V43" s="65"/>
      <c r="W43" s="1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R43" s="65"/>
      <c r="AT43" s="465"/>
      <c r="AU43" s="465"/>
      <c r="AV43" s="1"/>
      <c r="AW43" s="1"/>
      <c r="AX43" s="148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V43" s="1"/>
      <c r="BW43" s="1"/>
      <c r="BX43" s="146"/>
      <c r="BY43" s="1"/>
      <c r="DA43" s="1"/>
      <c r="DF43" s="5"/>
      <c r="DG43" s="146">
        <v>2136</v>
      </c>
      <c r="DH43" s="146"/>
      <c r="DI43" s="146"/>
      <c r="DJ43" s="146"/>
      <c r="FM43" s="146"/>
      <c r="JH43" s="146"/>
      <c r="JI43" s="146"/>
      <c r="JJ43" s="146"/>
      <c r="JK43" s="146"/>
      <c r="OO43" s="146"/>
      <c r="OP43" s="146"/>
      <c r="OR43" s="146"/>
      <c r="PF43" s="149"/>
      <c r="PJ43" s="146"/>
      <c r="RM43" s="149"/>
      <c r="AGV43" s="145"/>
      <c r="AIK43" s="145"/>
      <c r="AIL43" s="145"/>
      <c r="AIM43" s="145"/>
    </row>
    <row r="44" spans="1:14939" x14ac:dyDescent="0.25">
      <c r="B44" s="1664"/>
      <c r="C44" s="491" t="s">
        <v>69</v>
      </c>
      <c r="D44" s="508"/>
      <c r="E44" s="492" t="s">
        <v>14</v>
      </c>
      <c r="F44" s="457">
        <f>'[22]Januari 24'!AL40</f>
        <v>0</v>
      </c>
      <c r="G44" s="457"/>
      <c r="H44" s="457">
        <f>'[22]Maret 24'!AL40</f>
        <v>0</v>
      </c>
      <c r="I44" s="457">
        <f>'[22]April 24'!AL40</f>
        <v>0</v>
      </c>
      <c r="J44" s="457">
        <f>'[22]Mei 24'!AL40</f>
        <v>0</v>
      </c>
      <c r="K44" s="457">
        <f>'[22]Juny 24'!AL40</f>
        <v>0</v>
      </c>
      <c r="L44" s="457">
        <f>'[22]July 24'!AL40</f>
        <v>0</v>
      </c>
      <c r="M44" s="457">
        <f>'[22]Agustus 24'!AL40</f>
        <v>0</v>
      </c>
      <c r="N44" s="457" t="e">
        <f>'September - 2024'!AM62</f>
        <v>#DIV/0!</v>
      </c>
      <c r="O44" s="457">
        <f>'[22]Oktober 24'!AL40</f>
        <v>0</v>
      </c>
      <c r="P44" s="457"/>
      <c r="Q44" s="457">
        <f>'[22]Desember 24'!AL40</f>
        <v>0</v>
      </c>
      <c r="R44" s="737"/>
      <c r="S44" s="60" t="e">
        <f>SUM(F44:Q44)</f>
        <v>#DIV/0!</v>
      </c>
      <c r="T44" s="689" t="e">
        <f>SUM(F44:Q44)</f>
        <v>#DIV/0!</v>
      </c>
      <c r="U44" s="796" t="e">
        <f>SUM(H44:S44)</f>
        <v>#DIV/0!</v>
      </c>
      <c r="V44" s="65"/>
      <c r="W44" s="1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R44" s="65"/>
      <c r="AT44" s="465"/>
      <c r="AU44" s="465"/>
      <c r="AV44" s="1"/>
      <c r="AW44" s="1"/>
      <c r="AX44" s="148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V44" s="1"/>
      <c r="BW44" s="1"/>
      <c r="BX44" s="146"/>
      <c r="BY44" s="1"/>
      <c r="DA44" s="1"/>
      <c r="DF44" s="5"/>
      <c r="DG44" s="146"/>
      <c r="DH44" s="146"/>
      <c r="DI44" s="146"/>
      <c r="DJ44" s="146"/>
      <c r="FM44" s="146"/>
      <c r="JH44" s="146"/>
      <c r="JI44" s="146"/>
      <c r="JJ44" s="146"/>
      <c r="JK44" s="146"/>
      <c r="OO44" s="146"/>
      <c r="OP44" s="146"/>
      <c r="OR44" s="146"/>
      <c r="PF44" s="149"/>
      <c r="PJ44" s="146"/>
      <c r="RM44" s="149"/>
      <c r="AGV44" s="145"/>
      <c r="AIK44" s="145"/>
      <c r="AIL44" s="145"/>
      <c r="AIM44" s="145"/>
    </row>
    <row r="45" spans="1:14939" x14ac:dyDescent="0.25">
      <c r="B45" s="1664"/>
      <c r="C45" s="491" t="s">
        <v>68</v>
      </c>
      <c r="D45" s="508"/>
      <c r="E45" s="492" t="s">
        <v>14</v>
      </c>
      <c r="F45" s="457">
        <f>'[22]Januari 24'!AL41</f>
        <v>923976</v>
      </c>
      <c r="G45" s="457">
        <f>'[29]Februari - 24'!$AL$41</f>
        <v>248300</v>
      </c>
      <c r="H45" s="457">
        <f>'[22]Maret 24'!AL41</f>
        <v>0</v>
      </c>
      <c r="I45" s="457">
        <f>'[22]April 24'!AL41</f>
        <v>0</v>
      </c>
      <c r="J45" s="457">
        <f>'[22]Mei 24'!AL41</f>
        <v>0</v>
      </c>
      <c r="K45" s="457">
        <f>'[22]Juny 24'!AL41</f>
        <v>0</v>
      </c>
      <c r="L45" s="457">
        <f>'[22]July 24'!AL41</f>
        <v>0</v>
      </c>
      <c r="M45" s="457">
        <f>'[27]Agustus - 2024'!$AN$45</f>
        <v>0</v>
      </c>
      <c r="N45" s="457">
        <f>'September - 2024'!AM47</f>
        <v>0</v>
      </c>
      <c r="O45" s="457">
        <f>'[22]Oktober 24'!AL41</f>
        <v>0</v>
      </c>
      <c r="P45" s="457">
        <f>'[22]November 24'!AL41</f>
        <v>0</v>
      </c>
      <c r="Q45" s="457">
        <f>'[22]Desember 24'!AL41</f>
        <v>0</v>
      </c>
      <c r="R45" s="737"/>
      <c r="S45" s="60">
        <f>SUM(F45:Q45)</f>
        <v>1172276</v>
      </c>
      <c r="T45" s="689">
        <v>14736000</v>
      </c>
      <c r="U45" s="793">
        <f>S45/T45*100</f>
        <v>7.9551845819761127</v>
      </c>
      <c r="V45" s="65"/>
      <c r="W45" s="1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R45" s="65"/>
      <c r="AT45" s="465"/>
      <c r="AU45" s="465"/>
      <c r="AV45" s="3"/>
      <c r="AW45" s="1"/>
      <c r="AX45" s="146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V45" s="1"/>
      <c r="BW45" s="1"/>
      <c r="BX45" s="146"/>
      <c r="BY45" s="1"/>
      <c r="DA45" s="1"/>
      <c r="DF45" s="5"/>
      <c r="DG45" s="146">
        <v>1796</v>
      </c>
      <c r="DH45" s="146"/>
      <c r="DI45" s="146"/>
      <c r="DJ45" s="146"/>
      <c r="FM45" s="146"/>
      <c r="JH45" s="146"/>
      <c r="JI45" s="146"/>
      <c r="JJ45" s="146"/>
      <c r="JK45" s="146"/>
      <c r="OO45" s="146"/>
      <c r="OP45" s="146"/>
      <c r="OR45" s="146"/>
      <c r="PF45" s="149"/>
      <c r="PJ45" s="146"/>
      <c r="RM45" s="149"/>
      <c r="AGV45" s="145"/>
      <c r="AIK45" s="145"/>
      <c r="AIL45" s="145"/>
      <c r="AIM45" s="145"/>
    </row>
    <row r="46" spans="1:14939" x14ac:dyDescent="0.25">
      <c r="B46" s="1664"/>
      <c r="C46" s="491" t="s">
        <v>67</v>
      </c>
      <c r="D46" s="508"/>
      <c r="E46" s="492" t="s">
        <v>14</v>
      </c>
      <c r="F46" s="457">
        <f>'[22]Januari 24'!AL42</f>
        <v>613665</v>
      </c>
      <c r="G46" s="457">
        <f>'[29]Februari - 24'!$AL$42</f>
        <v>150370</v>
      </c>
      <c r="H46" s="457">
        <f>'[22]Maret 24'!AL42</f>
        <v>0</v>
      </c>
      <c r="I46" s="457">
        <f>'[22]April 24'!AL42</f>
        <v>0</v>
      </c>
      <c r="J46" s="457">
        <f>'[22]Mei 24'!AL42</f>
        <v>0</v>
      </c>
      <c r="K46" s="457">
        <f>'[22]Juny 24'!AL42</f>
        <v>0</v>
      </c>
      <c r="L46" s="457">
        <f>'[22]July 24'!AL42</f>
        <v>0</v>
      </c>
      <c r="M46" s="457">
        <f>'[27]Agustus - 2024'!$AN$46</f>
        <v>0</v>
      </c>
      <c r="N46" s="457">
        <f>'[22]September 24'!AL42</f>
        <v>0</v>
      </c>
      <c r="O46" s="457">
        <f>'[22]Oktober 24'!AL42</f>
        <v>0</v>
      </c>
      <c r="P46" s="457">
        <f>'[22]November 24'!AL42</f>
        <v>0</v>
      </c>
      <c r="Q46" s="457">
        <f>'[22]Desember 24'!AL42</f>
        <v>0</v>
      </c>
      <c r="R46" s="737"/>
      <c r="S46" s="60">
        <f>SUM(F46:Q46)</f>
        <v>764035</v>
      </c>
      <c r="T46" s="689">
        <v>9822000</v>
      </c>
      <c r="U46" s="793">
        <f>S46/T46*100</f>
        <v>7.7788128690694363</v>
      </c>
      <c r="V46" s="65"/>
      <c r="W46" s="1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R46" s="65"/>
      <c r="AT46" s="465"/>
      <c r="AU46" s="465"/>
      <c r="AV46" s="3"/>
      <c r="AW46" s="1"/>
      <c r="AX46" s="150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V46" s="1"/>
      <c r="BW46" s="1"/>
      <c r="BX46" s="146"/>
      <c r="BY46" s="1"/>
      <c r="DA46" s="1"/>
      <c r="DF46" s="5"/>
      <c r="DG46" s="146">
        <f>DG43/DG45*100</f>
        <v>118.93095768374164</v>
      </c>
      <c r="DH46" s="146"/>
      <c r="DI46" s="146"/>
      <c r="DJ46" s="146"/>
      <c r="FM46" s="146"/>
      <c r="JH46" s="146"/>
      <c r="JI46" s="146"/>
      <c r="JJ46" s="146"/>
      <c r="JK46" s="146"/>
      <c r="OO46" s="146"/>
      <c r="OP46" s="146"/>
      <c r="OR46" s="146"/>
      <c r="PF46" s="149"/>
      <c r="PJ46" s="146"/>
      <c r="RM46" s="149"/>
      <c r="AGV46" s="145"/>
      <c r="AIK46" s="145"/>
      <c r="AIL46" s="145"/>
      <c r="AIM46" s="145"/>
    </row>
    <row r="47" spans="1:14939" s="525" customFormat="1" x14ac:dyDescent="0.25">
      <c r="B47" s="1664"/>
      <c r="C47" s="11" t="s">
        <v>113</v>
      </c>
      <c r="D47" s="526"/>
      <c r="E47" s="527"/>
      <c r="F47" s="531">
        <f>'[22]Januari 24'!AL43</f>
        <v>17.423640322580646</v>
      </c>
      <c r="G47" s="531">
        <f>'[29]Februari - 24'!$AL$43</f>
        <v>13.04905322580645</v>
      </c>
      <c r="H47" s="531">
        <f>'[22]Maret 24'!AL43</f>
        <v>2.8945161290322581</v>
      </c>
      <c r="I47" s="531">
        <f>'[22]April 24'!AL43</f>
        <v>0</v>
      </c>
      <c r="J47" s="531">
        <f>'[24]Mei - 24'!$AL$44</f>
        <v>0</v>
      </c>
      <c r="K47" s="531">
        <f>'[25]Juni - 24'!$AL$44</f>
        <v>12.523845161290323</v>
      </c>
      <c r="L47" s="532">
        <f>(L38+L34+L29+L25)/(60000000)</f>
        <v>0.19476771666666667</v>
      </c>
      <c r="M47" s="532">
        <f>($M$38+$M$34+$M$29+$M$25)/(60000000)</f>
        <v>3.7458166666666667E-3</v>
      </c>
      <c r="N47" s="532">
        <f>($N$38+$N$34+$N$29+$N$25)/(60000000)</f>
        <v>0.38580124999999998</v>
      </c>
      <c r="O47" s="532">
        <f>(O38+O34+O29+O25)/(60000000)</f>
        <v>0</v>
      </c>
      <c r="P47" s="532">
        <f>(P38+P34+P29+P25)/(60000000)</f>
        <v>0</v>
      </c>
      <c r="Q47" s="532">
        <f>(Q38+Q34+Q29+Q25)/(60000000)</f>
        <v>0</v>
      </c>
      <c r="R47" s="738"/>
      <c r="S47" s="87">
        <f>+AVERAGE(F47:O47)</f>
        <v>4.6475369622043008</v>
      </c>
      <c r="T47" s="694"/>
      <c r="U47" s="797"/>
      <c r="V47" s="65"/>
      <c r="W47" s="1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R47" s="65"/>
      <c r="AT47" s="825"/>
      <c r="AU47" s="825"/>
      <c r="AV47" s="376"/>
      <c r="AW47" s="65"/>
      <c r="AX47" s="1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V47" s="65"/>
      <c r="BW47" s="65"/>
      <c r="BX47" s="147"/>
      <c r="BY47" s="65"/>
      <c r="DA47" s="65"/>
      <c r="DF47" s="529"/>
      <c r="DG47" s="147"/>
      <c r="DH47" s="147"/>
      <c r="DI47" s="147"/>
      <c r="DJ47" s="147"/>
      <c r="FM47" s="147"/>
      <c r="JH47" s="147"/>
      <c r="JI47" s="147"/>
      <c r="JJ47" s="147"/>
      <c r="JK47" s="147"/>
      <c r="OO47" s="147"/>
      <c r="OP47" s="147"/>
      <c r="OR47" s="147"/>
      <c r="PF47" s="156"/>
      <c r="PJ47" s="147"/>
      <c r="RM47" s="156"/>
      <c r="AGV47" s="147"/>
      <c r="AIK47" s="147"/>
      <c r="AIL47" s="147"/>
      <c r="AIM47" s="147"/>
    </row>
    <row r="48" spans="1:14939" s="525" customFormat="1" x14ac:dyDescent="0.25">
      <c r="B48" s="1664"/>
      <c r="C48" s="11" t="s">
        <v>347</v>
      </c>
      <c r="D48" s="526"/>
      <c r="E48" s="527"/>
      <c r="F48" s="531">
        <f>(F43+F38+F34+F30+F26)/F49*100</f>
        <v>53.914268304115495</v>
      </c>
      <c r="G48" s="531">
        <f t="shared" ref="G48:Q48" si="9">(G43+G38+G34+G30+G26)/G49*100</f>
        <v>13.116556569641233</v>
      </c>
      <c r="H48" s="531">
        <f t="shared" si="9"/>
        <v>4.8445092322643344</v>
      </c>
      <c r="I48" s="531"/>
      <c r="J48" s="531">
        <f t="shared" si="9"/>
        <v>0</v>
      </c>
      <c r="K48" s="531">
        <f t="shared" si="9"/>
        <v>22.670784367894381</v>
      </c>
      <c r="L48" s="531">
        <f t="shared" si="9"/>
        <v>34.514749091231003</v>
      </c>
      <c r="M48" s="531">
        <f>($M$43+$M$38+$M$34+$M$30+$M$25)/$M$49*100</f>
        <v>0.65619804954006378</v>
      </c>
      <c r="N48" s="531">
        <f>($N$43+$N$38+$N$34+$N$30+$N$26)/$N$49*100</f>
        <v>59.478012055878949</v>
      </c>
      <c r="O48" s="531">
        <f t="shared" si="9"/>
        <v>0</v>
      </c>
      <c r="P48" s="531">
        <f t="shared" si="9"/>
        <v>0</v>
      </c>
      <c r="Q48" s="531">
        <f t="shared" si="9"/>
        <v>0</v>
      </c>
      <c r="R48" s="738"/>
      <c r="S48" s="87">
        <f>+AVERAGE(F48:O48)</f>
        <v>21.021675296729498</v>
      </c>
      <c r="T48" s="694"/>
      <c r="U48" s="797"/>
      <c r="V48" s="65"/>
      <c r="W48" s="1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R48" s="65"/>
      <c r="AT48" s="825"/>
      <c r="AU48" s="825"/>
      <c r="AV48" s="376"/>
      <c r="AW48" s="65"/>
      <c r="AX48" s="1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V48" s="65"/>
      <c r="BW48" s="65"/>
      <c r="BX48" s="147"/>
      <c r="BY48" s="65"/>
      <c r="DA48" s="65"/>
      <c r="DF48" s="529"/>
      <c r="DG48" s="147"/>
      <c r="DH48" s="147"/>
      <c r="DI48" s="147"/>
      <c r="DJ48" s="147"/>
      <c r="FM48" s="147"/>
      <c r="JH48" s="147"/>
      <c r="JI48" s="147"/>
      <c r="JJ48" s="147"/>
      <c r="JK48" s="147"/>
      <c r="OO48" s="147"/>
      <c r="OP48" s="147"/>
      <c r="OR48" s="147"/>
      <c r="PF48" s="156"/>
      <c r="PJ48" s="147"/>
      <c r="RM48" s="156"/>
      <c r="AGV48" s="147"/>
      <c r="AIK48" s="147"/>
      <c r="AIL48" s="147"/>
      <c r="AIM48" s="147"/>
    </row>
    <row r="49" spans="2:923" s="525" customFormat="1" x14ac:dyDescent="0.25">
      <c r="B49" s="1664"/>
      <c r="C49" s="11" t="s">
        <v>348</v>
      </c>
      <c r="D49" s="526"/>
      <c r="E49" s="527"/>
      <c r="F49" s="758">
        <v>10667000</v>
      </c>
      <c r="G49" s="758">
        <v>42841000</v>
      </c>
      <c r="H49" s="758">
        <v>37044000</v>
      </c>
      <c r="I49" s="758"/>
      <c r="J49" s="758">
        <f>'[24]Mei - 24'!$D$19</f>
        <v>34250178</v>
      </c>
      <c r="K49" s="758">
        <f>'[25]Juni - 24'!$D$19</f>
        <v>34250178</v>
      </c>
      <c r="L49" s="758">
        <f>'[25]Juni - 24'!$D$19</f>
        <v>34250178</v>
      </c>
      <c r="M49" s="758">
        <f>'[25]Juni - 24'!$D$19</f>
        <v>34250178</v>
      </c>
      <c r="N49" s="531">
        <f>'[25]Juni - 24'!$D$19</f>
        <v>34250178</v>
      </c>
      <c r="O49" s="531">
        <f>'[25]Juni - 24'!$D$19</f>
        <v>34250178</v>
      </c>
      <c r="P49" s="531">
        <f>'[25]Juni - 24'!$D$19</f>
        <v>34250178</v>
      </c>
      <c r="Q49" s="531">
        <f>'[25]Juni - 24'!$D$19</f>
        <v>34250178</v>
      </c>
      <c r="R49" s="738"/>
      <c r="S49" s="533">
        <f>SUM(F49:O49)</f>
        <v>296053068</v>
      </c>
      <c r="T49" s="694"/>
      <c r="U49" s="797"/>
      <c r="V49" s="65"/>
      <c r="W49" s="1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R49" s="65"/>
      <c r="AT49" s="825"/>
      <c r="AU49" s="825"/>
      <c r="AV49" s="376"/>
      <c r="AW49" s="65"/>
      <c r="AX49" s="1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V49" s="65"/>
      <c r="BW49" s="65"/>
      <c r="BX49" s="147"/>
      <c r="BY49" s="65"/>
      <c r="DA49" s="65"/>
      <c r="DF49" s="529"/>
      <c r="DG49" s="147"/>
      <c r="DH49" s="147"/>
      <c r="DI49" s="147"/>
      <c r="DJ49" s="147"/>
      <c r="FM49" s="147"/>
      <c r="JH49" s="147"/>
      <c r="JI49" s="147"/>
      <c r="JJ49" s="147"/>
      <c r="JK49" s="147"/>
      <c r="OO49" s="147"/>
      <c r="OP49" s="147"/>
      <c r="OR49" s="147"/>
      <c r="PF49" s="156"/>
      <c r="PJ49" s="147"/>
      <c r="RM49" s="156"/>
      <c r="AGV49" s="147"/>
      <c r="AIK49" s="147"/>
      <c r="AIL49" s="147"/>
      <c r="AIM49" s="147"/>
    </row>
    <row r="50" spans="2:923" x14ac:dyDescent="0.25">
      <c r="B50" s="1664"/>
      <c r="C50" s="534" t="s">
        <v>66</v>
      </c>
      <c r="D50" s="79"/>
      <c r="E50" s="79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737"/>
      <c r="S50" s="732" t="s">
        <v>128</v>
      </c>
      <c r="T50" s="695" t="s">
        <v>128</v>
      </c>
      <c r="U50" s="798" t="s">
        <v>128</v>
      </c>
      <c r="V50" s="65"/>
      <c r="W50" s="1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R50" s="65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V50" s="1"/>
      <c r="BW50" s="1"/>
      <c r="BX50" s="1"/>
      <c r="BY50" s="1"/>
      <c r="CF50" s="1" t="s">
        <v>221</v>
      </c>
      <c r="DA50" s="1"/>
      <c r="OP50" s="145">
        <v>678</v>
      </c>
    </row>
    <row r="51" spans="2:923" x14ac:dyDescent="0.25">
      <c r="B51" s="1664"/>
      <c r="C51" s="536" t="s">
        <v>65</v>
      </c>
      <c r="D51" s="476">
        <v>94.2</v>
      </c>
      <c r="E51" s="527" t="s">
        <v>25</v>
      </c>
      <c r="F51" s="537">
        <f t="shared" ref="F51:Q51" si="10">(F19/(F11))*100</f>
        <v>94.537593327246256</v>
      </c>
      <c r="G51" s="453">
        <f t="shared" si="10"/>
        <v>94.281617778941538</v>
      </c>
      <c r="H51" s="453">
        <f t="shared" si="10"/>
        <v>94.870709880681062</v>
      </c>
      <c r="I51" s="453" t="e">
        <f t="shared" si="10"/>
        <v>#DIV/0!</v>
      </c>
      <c r="J51" s="453" t="e">
        <f t="shared" si="10"/>
        <v>#DIV/0!</v>
      </c>
      <c r="K51" s="453">
        <f t="shared" si="10"/>
        <v>94.544904150811391</v>
      </c>
      <c r="L51" s="453">
        <f t="shared" si="10"/>
        <v>90.001937359460953</v>
      </c>
      <c r="M51" s="453">
        <f>($M$19/($M$11))*100</f>
        <v>0</v>
      </c>
      <c r="N51" s="453">
        <f t="shared" si="10"/>
        <v>94.748466395439806</v>
      </c>
      <c r="O51" s="453" t="e">
        <f t="shared" si="10"/>
        <v>#DIV/0!</v>
      </c>
      <c r="P51" s="453" t="e">
        <f t="shared" si="10"/>
        <v>#DIV/0!</v>
      </c>
      <c r="Q51" s="453" t="e">
        <f t="shared" si="10"/>
        <v>#DIV/0!</v>
      </c>
      <c r="R51" s="738"/>
      <c r="S51" s="538">
        <f>(S19/(S11))*100</f>
        <v>93.621166740373781</v>
      </c>
      <c r="T51" s="539">
        <f>(T19/(T11))*100</f>
        <v>94.769966822822482</v>
      </c>
      <c r="U51" s="799"/>
      <c r="V51" s="835"/>
      <c r="W51" s="1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R51" s="65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V51" s="1"/>
      <c r="BW51" s="1"/>
      <c r="BX51" s="1"/>
      <c r="BY51" s="1"/>
      <c r="DA51" s="1"/>
      <c r="OP51" s="145">
        <v>420</v>
      </c>
      <c r="OR51" s="494">
        <f>OP51/OP50*100</f>
        <v>61.946902654867252</v>
      </c>
    </row>
    <row r="52" spans="2:923" x14ac:dyDescent="0.25">
      <c r="B52" s="1664"/>
      <c r="C52" s="536" t="s">
        <v>64</v>
      </c>
      <c r="D52" s="476">
        <v>5</v>
      </c>
      <c r="E52" s="527" t="s">
        <v>25</v>
      </c>
      <c r="F52" s="537">
        <f t="shared" ref="F52:Q52" si="11">(F20/(F11))*100</f>
        <v>4.777311844384835</v>
      </c>
      <c r="G52" s="453">
        <f t="shared" si="11"/>
        <v>5.0597452638229523</v>
      </c>
      <c r="H52" s="453">
        <f t="shared" si="11"/>
        <v>4.447002588509493</v>
      </c>
      <c r="I52" s="453" t="e">
        <f t="shared" si="11"/>
        <v>#DIV/0!</v>
      </c>
      <c r="J52" s="453" t="e">
        <f t="shared" si="11"/>
        <v>#DIV/0!</v>
      </c>
      <c r="K52" s="453">
        <f t="shared" si="11"/>
        <v>4.8500653644601215</v>
      </c>
      <c r="L52" s="453">
        <f t="shared" si="11"/>
        <v>4.4613156077341589</v>
      </c>
      <c r="M52" s="453">
        <f>($M$20/($M$11))*100</f>
        <v>0</v>
      </c>
      <c r="N52" s="453">
        <f t="shared" si="11"/>
        <v>4.1524825659176523</v>
      </c>
      <c r="O52" s="453" t="e">
        <f t="shared" si="11"/>
        <v>#DIV/0!</v>
      </c>
      <c r="P52" s="453" t="e">
        <f t="shared" si="11"/>
        <v>#DIV/0!</v>
      </c>
      <c r="Q52" s="453" t="e">
        <f t="shared" si="11"/>
        <v>#DIV/0!</v>
      </c>
      <c r="R52" s="738"/>
      <c r="S52" s="538">
        <f>(S20/(S11))*100</f>
        <v>4.5509754415368571</v>
      </c>
      <c r="T52" s="539">
        <f>(T20/(T11))*100</f>
        <v>4.5147541139225487</v>
      </c>
      <c r="U52" s="799"/>
      <c r="V52" s="835"/>
      <c r="W52" s="1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R52" s="65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V52" s="1"/>
      <c r="BW52" s="1"/>
      <c r="BX52" s="1"/>
      <c r="BY52" s="1"/>
      <c r="DA52" s="1"/>
      <c r="OP52" s="145">
        <f>OP50-OP51</f>
        <v>258</v>
      </c>
      <c r="OR52" s="494">
        <f>OP52/OP50*100</f>
        <v>38.053097345132741</v>
      </c>
    </row>
    <row r="53" spans="2:923" x14ac:dyDescent="0.25">
      <c r="B53" s="1664"/>
      <c r="C53" s="536" t="s">
        <v>63</v>
      </c>
      <c r="D53" s="476">
        <v>82</v>
      </c>
      <c r="E53" s="527" t="s">
        <v>25</v>
      </c>
      <c r="F53" s="537">
        <f t="shared" ref="F53:Q53" si="12">(F26/F25)*100</f>
        <v>83.343365213977492</v>
      </c>
      <c r="G53" s="453">
        <f t="shared" si="12"/>
        <v>83.685979829938688</v>
      </c>
      <c r="H53" s="453" t="e">
        <f t="shared" si="12"/>
        <v>#DIV/0!</v>
      </c>
      <c r="I53" s="453" t="e">
        <f t="shared" si="12"/>
        <v>#DIV/0!</v>
      </c>
      <c r="J53" s="453" t="e">
        <f t="shared" si="12"/>
        <v>#DIV/0!</v>
      </c>
      <c r="K53" s="453" t="e">
        <f t="shared" si="12"/>
        <v>#DIV/0!</v>
      </c>
      <c r="L53" s="453" t="e">
        <f t="shared" si="12"/>
        <v>#DIV/0!</v>
      </c>
      <c r="M53" s="453" t="e">
        <f>$M$26/($M$26+$M$27)*100</f>
        <v>#DIV/0!</v>
      </c>
      <c r="N53" s="453">
        <f t="shared" si="12"/>
        <v>83.238810506354824</v>
      </c>
      <c r="O53" s="453" t="e">
        <f t="shared" si="12"/>
        <v>#DIV/0!</v>
      </c>
      <c r="P53" s="453" t="e">
        <f t="shared" si="12"/>
        <v>#DIV/0!</v>
      </c>
      <c r="Q53" s="453" t="e">
        <f t="shared" si="12"/>
        <v>#DIV/0!</v>
      </c>
      <c r="R53" s="738"/>
      <c r="S53" s="538">
        <f>(S26/S25)*100</f>
        <v>83.262293402111027</v>
      </c>
      <c r="T53" s="539">
        <f>(T26/T25)*100</f>
        <v>82.036627687232993</v>
      </c>
      <c r="U53" s="799"/>
      <c r="V53" s="835"/>
      <c r="W53" s="1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R53" s="65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V53" s="1"/>
      <c r="BW53" s="1"/>
      <c r="BX53" s="1"/>
      <c r="BY53" s="1"/>
      <c r="DA53" s="1"/>
    </row>
    <row r="54" spans="2:923" x14ac:dyDescent="0.25">
      <c r="B54" s="1664"/>
      <c r="C54" s="536" t="s">
        <v>62</v>
      </c>
      <c r="D54" s="476">
        <v>18</v>
      </c>
      <c r="E54" s="527" t="s">
        <v>25</v>
      </c>
      <c r="F54" s="537">
        <f t="shared" ref="F54:Q54" si="13">(F27/F25)*100</f>
        <v>16.656634786022508</v>
      </c>
      <c r="G54" s="453">
        <f t="shared" si="13"/>
        <v>16.314020170061301</v>
      </c>
      <c r="H54" s="453" t="e">
        <f t="shared" si="13"/>
        <v>#DIV/0!</v>
      </c>
      <c r="I54" s="453" t="e">
        <f t="shared" si="13"/>
        <v>#DIV/0!</v>
      </c>
      <c r="J54" s="453" t="e">
        <f t="shared" si="13"/>
        <v>#DIV/0!</v>
      </c>
      <c r="K54" s="453" t="e">
        <f t="shared" si="13"/>
        <v>#DIV/0!</v>
      </c>
      <c r="L54" s="453" t="e">
        <f t="shared" si="13"/>
        <v>#DIV/0!</v>
      </c>
      <c r="M54" s="453" t="e">
        <f>$M$27/($M$27+$M$26)*100</f>
        <v>#DIV/0!</v>
      </c>
      <c r="N54" s="453">
        <f t="shared" si="13"/>
        <v>16.761189493645173</v>
      </c>
      <c r="O54" s="453" t="e">
        <f t="shared" si="13"/>
        <v>#DIV/0!</v>
      </c>
      <c r="P54" s="453" t="e">
        <f t="shared" si="13"/>
        <v>#DIV/0!</v>
      </c>
      <c r="Q54" s="453" t="e">
        <f t="shared" si="13"/>
        <v>#DIV/0!</v>
      </c>
      <c r="R54" s="738"/>
      <c r="S54" s="538">
        <f>(S27/S25)*100</f>
        <v>16.73770659788897</v>
      </c>
      <c r="T54" s="539">
        <f>(T27/T25)*100</f>
        <v>17.963372312767007</v>
      </c>
      <c r="U54" s="799"/>
      <c r="V54" s="835"/>
      <c r="W54" s="1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R54" s="65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V54" s="1"/>
      <c r="BW54" s="1"/>
      <c r="BX54" s="1"/>
      <c r="BY54" s="1"/>
      <c r="DA54" s="1"/>
    </row>
    <row r="55" spans="2:923" x14ac:dyDescent="0.25">
      <c r="B55" s="1664"/>
      <c r="C55" s="536" t="s">
        <v>107</v>
      </c>
      <c r="D55" s="540">
        <v>75</v>
      </c>
      <c r="E55" s="527" t="s">
        <v>25</v>
      </c>
      <c r="F55" s="453">
        <f t="shared" ref="F55:Q55" si="14">(F30/F29)*100</f>
        <v>78.878780366969167</v>
      </c>
      <c r="G55" s="453">
        <f t="shared" si="14"/>
        <v>71.680253771769571</v>
      </c>
      <c r="H55" s="453" t="e">
        <f t="shared" si="14"/>
        <v>#DIV/0!</v>
      </c>
      <c r="I55" s="453" t="e">
        <f t="shared" si="14"/>
        <v>#DIV/0!</v>
      </c>
      <c r="J55" s="453" t="e">
        <f t="shared" si="14"/>
        <v>#DIV/0!</v>
      </c>
      <c r="K55" s="453" t="e">
        <f t="shared" si="14"/>
        <v>#DIV/0!</v>
      </c>
      <c r="L55" s="453" t="e">
        <f t="shared" si="14"/>
        <v>#DIV/0!</v>
      </c>
      <c r="M55" s="453" t="e">
        <f t="shared" si="14"/>
        <v>#DIV/0!</v>
      </c>
      <c r="N55" s="453" t="e">
        <f t="shared" si="14"/>
        <v>#DIV/0!</v>
      </c>
      <c r="O55" s="453" t="e">
        <f t="shared" si="14"/>
        <v>#DIV/0!</v>
      </c>
      <c r="P55" s="453" t="e">
        <f t="shared" si="14"/>
        <v>#DIV/0!</v>
      </c>
      <c r="Q55" s="453" t="e">
        <f t="shared" si="14"/>
        <v>#DIV/0!</v>
      </c>
      <c r="R55" s="738"/>
      <c r="S55" s="538">
        <f>(S30/S29)*100</f>
        <v>73.705371550088159</v>
      </c>
      <c r="T55" s="539">
        <v>75</v>
      </c>
      <c r="U55" s="799"/>
      <c r="V55" s="835"/>
      <c r="W55" s="315"/>
      <c r="X55" s="830"/>
      <c r="Y55" s="830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R55" s="65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V55" s="1"/>
      <c r="BW55" s="1"/>
      <c r="BX55" s="1"/>
      <c r="BY55" s="1"/>
      <c r="DA55" s="1"/>
    </row>
    <row r="56" spans="2:923" x14ac:dyDescent="0.25">
      <c r="B56" s="1664"/>
      <c r="C56" s="536" t="s">
        <v>62</v>
      </c>
      <c r="D56" s="540">
        <v>25</v>
      </c>
      <c r="E56" s="527" t="s">
        <v>25</v>
      </c>
      <c r="F56" s="453">
        <f t="shared" ref="F56:Q56" si="15">(F31/F29)*100</f>
        <v>21.121219633030833</v>
      </c>
      <c r="G56" s="453">
        <f t="shared" si="15"/>
        <v>28.319746228230418</v>
      </c>
      <c r="H56" s="453" t="e">
        <f t="shared" si="15"/>
        <v>#DIV/0!</v>
      </c>
      <c r="I56" s="453" t="e">
        <f t="shared" si="15"/>
        <v>#DIV/0!</v>
      </c>
      <c r="J56" s="453" t="e">
        <f t="shared" si="15"/>
        <v>#DIV/0!</v>
      </c>
      <c r="K56" s="453" t="e">
        <f t="shared" si="15"/>
        <v>#DIV/0!</v>
      </c>
      <c r="L56" s="453" t="e">
        <f t="shared" si="15"/>
        <v>#DIV/0!</v>
      </c>
      <c r="M56" s="453" t="e">
        <f t="shared" si="15"/>
        <v>#DIV/0!</v>
      </c>
      <c r="N56" s="453" t="e">
        <f t="shared" si="15"/>
        <v>#DIV/0!</v>
      </c>
      <c r="O56" s="453" t="e">
        <f t="shared" si="15"/>
        <v>#DIV/0!</v>
      </c>
      <c r="P56" s="453" t="e">
        <f t="shared" si="15"/>
        <v>#DIV/0!</v>
      </c>
      <c r="Q56" s="453" t="e">
        <f t="shared" si="15"/>
        <v>#DIV/0!</v>
      </c>
      <c r="R56" s="738"/>
      <c r="S56" s="538">
        <f>(S31/S29)*100</f>
        <v>26.294628449911841</v>
      </c>
      <c r="T56" s="539">
        <v>25</v>
      </c>
      <c r="U56" s="799"/>
      <c r="V56" s="835"/>
      <c r="W56" s="315"/>
      <c r="X56" s="830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R56" s="65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V56" s="1"/>
      <c r="BW56" s="1"/>
      <c r="BX56" s="1"/>
      <c r="BY56" s="1"/>
      <c r="DA56" s="1"/>
    </row>
    <row r="57" spans="2:923" x14ac:dyDescent="0.25">
      <c r="B57" s="1664"/>
      <c r="C57" s="536" t="s">
        <v>109</v>
      </c>
      <c r="D57" s="476">
        <v>75</v>
      </c>
      <c r="E57" s="527" t="s">
        <v>25</v>
      </c>
      <c r="F57" s="453" t="e">
        <f t="shared" ref="F57:Q57" si="16">F35/F34*100</f>
        <v>#DIV/0!</v>
      </c>
      <c r="G57" s="453" t="e">
        <f t="shared" si="16"/>
        <v>#DIV/0!</v>
      </c>
      <c r="H57" s="453">
        <f t="shared" si="16"/>
        <v>75.204214896142147</v>
      </c>
      <c r="I57" s="453" t="e">
        <f t="shared" si="16"/>
        <v>#DIV/0!</v>
      </c>
      <c r="J57" s="453" t="e">
        <f t="shared" si="16"/>
        <v>#DIV/0!</v>
      </c>
      <c r="K57" s="453" t="e">
        <f t="shared" si="16"/>
        <v>#DIV/0!</v>
      </c>
      <c r="L57" s="453" t="e">
        <f t="shared" si="16"/>
        <v>#DIV/0!</v>
      </c>
      <c r="M57" s="453" t="e">
        <f t="shared" si="16"/>
        <v>#DIV/0!</v>
      </c>
      <c r="N57" s="453" t="e">
        <f t="shared" si="16"/>
        <v>#DIV/0!</v>
      </c>
      <c r="O57" s="453" t="e">
        <f t="shared" si="16"/>
        <v>#DIV/0!</v>
      </c>
      <c r="P57" s="453" t="e">
        <f t="shared" si="16"/>
        <v>#DIV/0!</v>
      </c>
      <c r="Q57" s="453" t="e">
        <f t="shared" si="16"/>
        <v>#DIV/0!</v>
      </c>
      <c r="R57" s="738" t="s">
        <v>221</v>
      </c>
      <c r="S57" s="538">
        <f>(S35/S34)*100</f>
        <v>75.204214896142147</v>
      </c>
      <c r="T57" s="539">
        <v>75</v>
      </c>
      <c r="U57" s="799"/>
      <c r="V57" s="835"/>
      <c r="W57" s="144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R57" s="65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V57" s="1"/>
      <c r="BW57" s="1"/>
      <c r="BX57" s="1"/>
      <c r="BY57" s="1"/>
      <c r="DA57" s="1"/>
    </row>
    <row r="58" spans="2:923" x14ac:dyDescent="0.25">
      <c r="B58" s="1664"/>
      <c r="C58" s="536" t="s">
        <v>62</v>
      </c>
      <c r="D58" s="476">
        <v>25</v>
      </c>
      <c r="E58" s="527" t="s">
        <v>25</v>
      </c>
      <c r="F58" s="453" t="e">
        <f t="shared" ref="F58:Q58" si="17">F36/F34*100</f>
        <v>#DIV/0!</v>
      </c>
      <c r="G58" s="453" t="e">
        <f t="shared" si="17"/>
        <v>#DIV/0!</v>
      </c>
      <c r="H58" s="453">
        <f t="shared" si="17"/>
        <v>24.795785103857863</v>
      </c>
      <c r="I58" s="453" t="e">
        <f t="shared" si="17"/>
        <v>#DIV/0!</v>
      </c>
      <c r="J58" s="453" t="e">
        <f t="shared" si="17"/>
        <v>#DIV/0!</v>
      </c>
      <c r="K58" s="453" t="e">
        <f t="shared" si="17"/>
        <v>#DIV/0!</v>
      </c>
      <c r="L58" s="453" t="e">
        <f t="shared" si="17"/>
        <v>#DIV/0!</v>
      </c>
      <c r="M58" s="453" t="e">
        <f t="shared" si="17"/>
        <v>#DIV/0!</v>
      </c>
      <c r="N58" s="453" t="e">
        <f t="shared" si="17"/>
        <v>#DIV/0!</v>
      </c>
      <c r="O58" s="453" t="e">
        <f t="shared" si="17"/>
        <v>#DIV/0!</v>
      </c>
      <c r="P58" s="453" t="e">
        <f t="shared" si="17"/>
        <v>#DIV/0!</v>
      </c>
      <c r="Q58" s="453" t="e">
        <f t="shared" si="17"/>
        <v>#DIV/0!</v>
      </c>
      <c r="R58" s="539"/>
      <c r="S58" s="538">
        <f>(S36/S34)*100</f>
        <v>24.795785103857863</v>
      </c>
      <c r="T58" s="539">
        <v>25</v>
      </c>
      <c r="U58" s="799"/>
      <c r="V58" s="835"/>
      <c r="W58" s="1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R58" s="65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V58" s="1"/>
      <c r="BW58" s="1"/>
      <c r="BX58" s="1"/>
      <c r="BY58" s="1"/>
      <c r="DA58" s="1"/>
      <c r="FN58" s="1">
        <v>95.03</v>
      </c>
    </row>
    <row r="59" spans="2:923" x14ac:dyDescent="0.25">
      <c r="B59" s="1664"/>
      <c r="C59" s="536" t="s">
        <v>111</v>
      </c>
      <c r="D59" s="476">
        <v>70</v>
      </c>
      <c r="E59" s="527" t="s">
        <v>25</v>
      </c>
      <c r="F59" s="453" t="e">
        <f t="shared" ref="F59:O59" si="18">(F39/F38)*100</f>
        <v>#DIV/0!</v>
      </c>
      <c r="G59" s="453" t="e">
        <f t="shared" si="18"/>
        <v>#DIV/0!</v>
      </c>
      <c r="H59" s="453">
        <f t="shared" si="18"/>
        <v>67.524050365957223</v>
      </c>
      <c r="I59" s="453" t="e">
        <f t="shared" si="18"/>
        <v>#DIV/0!</v>
      </c>
      <c r="J59" s="453" t="e">
        <f t="shared" si="18"/>
        <v>#DIV/0!</v>
      </c>
      <c r="K59" s="453">
        <f t="shared" si="18"/>
        <v>70.815298918810882</v>
      </c>
      <c r="L59" s="453">
        <f>'[26]Juli - 2024 ( Revisi )'!$AL$51</f>
        <v>70.680524643702526</v>
      </c>
      <c r="M59" s="453">
        <f>'[27]Agustus - 2024'!$AN$57</f>
        <v>0</v>
      </c>
      <c r="N59" s="453">
        <f t="shared" si="18"/>
        <v>72.7581276694021</v>
      </c>
      <c r="O59" s="453" t="e">
        <f t="shared" si="18"/>
        <v>#DIV/0!</v>
      </c>
      <c r="P59" s="453"/>
      <c r="Q59" s="453" t="e">
        <f>(Q39/Q38)*100</f>
        <v>#DIV/0!</v>
      </c>
      <c r="R59" s="539"/>
      <c r="S59" s="538">
        <f>(S39/S38)*100</f>
        <v>70.77149448980343</v>
      </c>
      <c r="T59" s="539">
        <v>70</v>
      </c>
      <c r="U59" s="799"/>
      <c r="V59" s="835"/>
      <c r="W59" s="1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R59" s="65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V59" s="1"/>
      <c r="BW59" s="1"/>
      <c r="BX59" s="1"/>
      <c r="BY59" s="1"/>
      <c r="DA59" s="1"/>
      <c r="FN59" s="1"/>
    </row>
    <row r="60" spans="2:923" x14ac:dyDescent="0.25">
      <c r="B60" s="1664"/>
      <c r="C60" s="536" t="s">
        <v>62</v>
      </c>
      <c r="D60" s="476">
        <v>30</v>
      </c>
      <c r="E60" s="527" t="s">
        <v>25</v>
      </c>
      <c r="F60" s="453" t="e">
        <f t="shared" ref="F60:O60" si="19">(F40/F38)*100</f>
        <v>#DIV/0!</v>
      </c>
      <c r="G60" s="453" t="e">
        <f t="shared" si="19"/>
        <v>#DIV/0!</v>
      </c>
      <c r="H60" s="453">
        <f t="shared" si="19"/>
        <v>32.475949634042777</v>
      </c>
      <c r="I60" s="453" t="e">
        <f t="shared" si="19"/>
        <v>#DIV/0!</v>
      </c>
      <c r="J60" s="453" t="e">
        <f t="shared" si="19"/>
        <v>#DIV/0!</v>
      </c>
      <c r="K60" s="453">
        <f t="shared" si="19"/>
        <v>29.184701081189125</v>
      </c>
      <c r="L60" s="453">
        <f>'[26]Juli - 2024 ( Revisi )'!$AL$52</f>
        <v>29.319475356297481</v>
      </c>
      <c r="M60" s="453">
        <f>'[27]Agustus - 2024'!$AN$58</f>
        <v>0</v>
      </c>
      <c r="N60" s="453">
        <f t="shared" si="19"/>
        <v>27.2418723305979</v>
      </c>
      <c r="O60" s="453" t="e">
        <f t="shared" si="19"/>
        <v>#DIV/0!</v>
      </c>
      <c r="P60" s="453"/>
      <c r="Q60" s="453" t="e">
        <f>(Q40/Q38)*100</f>
        <v>#DIV/0!</v>
      </c>
      <c r="R60" s="539"/>
      <c r="S60" s="538">
        <f>(S40/S38)*100</f>
        <v>29.228505510196563</v>
      </c>
      <c r="T60" s="539">
        <v>30</v>
      </c>
      <c r="U60" s="799"/>
      <c r="V60" s="835"/>
      <c r="W60" s="1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R60" s="65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V60" s="1"/>
      <c r="BW60" s="1"/>
      <c r="BX60" s="1"/>
      <c r="BY60" s="1"/>
      <c r="DA60" s="1"/>
      <c r="FN60" s="1"/>
    </row>
    <row r="61" spans="2:923" x14ac:dyDescent="0.25">
      <c r="B61" s="1664"/>
      <c r="C61" s="536" t="s">
        <v>61</v>
      </c>
      <c r="D61" s="476">
        <v>60</v>
      </c>
      <c r="E61" s="527" t="s">
        <v>25</v>
      </c>
      <c r="F61" s="537">
        <f t="shared" ref="F61:Q61" si="20">F45/F43*100</f>
        <v>60.090489262448123</v>
      </c>
      <c r="G61" s="453">
        <f t="shared" si="20"/>
        <v>62.282087942408502</v>
      </c>
      <c r="H61" s="453" t="e">
        <f t="shared" si="20"/>
        <v>#DIV/0!</v>
      </c>
      <c r="I61" s="453" t="e">
        <f t="shared" si="20"/>
        <v>#DIV/0!</v>
      </c>
      <c r="J61" s="453" t="e">
        <f t="shared" si="20"/>
        <v>#DIV/0!</v>
      </c>
      <c r="K61" s="453" t="e">
        <f t="shared" si="20"/>
        <v>#DIV/0!</v>
      </c>
      <c r="L61" s="453" t="e">
        <f t="shared" si="20"/>
        <v>#DIV/0!</v>
      </c>
      <c r="M61" s="453" t="e">
        <f t="shared" si="20"/>
        <v>#DIV/0!</v>
      </c>
      <c r="N61" s="453" t="e">
        <f t="shared" si="20"/>
        <v>#DIV/0!</v>
      </c>
      <c r="O61" s="453" t="e">
        <f t="shared" si="20"/>
        <v>#DIV/0!</v>
      </c>
      <c r="P61" s="453" t="e">
        <f t="shared" si="20"/>
        <v>#DIV/0!</v>
      </c>
      <c r="Q61" s="453" t="e">
        <f t="shared" si="20"/>
        <v>#DIV/0!</v>
      </c>
      <c r="R61" s="738"/>
      <c r="S61" s="538">
        <f>(S45/S43)*100</f>
        <v>60.541720828937088</v>
      </c>
      <c r="T61" s="539">
        <f>T45/T43*100</f>
        <v>60.00488639139995</v>
      </c>
      <c r="U61" s="799"/>
      <c r="V61" s="835"/>
      <c r="W61" s="1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R61" s="65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V61" s="1"/>
      <c r="BW61" s="1"/>
      <c r="BX61" s="1"/>
      <c r="BY61" s="1"/>
      <c r="DA61" s="1"/>
      <c r="FN61" s="1">
        <v>4.2300000000000004</v>
      </c>
      <c r="OR61" s="145">
        <f>OR62/94.2%</f>
        <v>1307.8556263269638</v>
      </c>
      <c r="OS61" s="1" t="s">
        <v>349</v>
      </c>
    </row>
    <row r="62" spans="2:923" x14ac:dyDescent="0.25">
      <c r="B62" s="1665"/>
      <c r="C62" s="536" t="s">
        <v>60</v>
      </c>
      <c r="D62" s="476">
        <v>40</v>
      </c>
      <c r="E62" s="527" t="s">
        <v>25</v>
      </c>
      <c r="F62" s="537">
        <f t="shared" ref="F62:Q62" si="21">F46/F43*100</f>
        <v>39.909510737551877</v>
      </c>
      <c r="G62" s="453">
        <f t="shared" si="21"/>
        <v>37.717912057591491</v>
      </c>
      <c r="H62" s="453" t="e">
        <f t="shared" si="21"/>
        <v>#DIV/0!</v>
      </c>
      <c r="I62" s="453" t="e">
        <f t="shared" si="21"/>
        <v>#DIV/0!</v>
      </c>
      <c r="J62" s="453" t="e">
        <f t="shared" si="21"/>
        <v>#DIV/0!</v>
      </c>
      <c r="K62" s="453" t="e">
        <f t="shared" si="21"/>
        <v>#DIV/0!</v>
      </c>
      <c r="L62" s="453" t="e">
        <f t="shared" si="21"/>
        <v>#DIV/0!</v>
      </c>
      <c r="M62" s="453" t="e">
        <f t="shared" si="21"/>
        <v>#DIV/0!</v>
      </c>
      <c r="N62" s="453" t="e">
        <f t="shared" si="21"/>
        <v>#DIV/0!</v>
      </c>
      <c r="O62" s="453" t="e">
        <f t="shared" si="21"/>
        <v>#DIV/0!</v>
      </c>
      <c r="P62" s="453" t="e">
        <f t="shared" si="21"/>
        <v>#DIV/0!</v>
      </c>
      <c r="Q62" s="453" t="e">
        <f t="shared" si="21"/>
        <v>#DIV/0!</v>
      </c>
      <c r="R62" s="539"/>
      <c r="S62" s="541">
        <f>(S46/S43)*100</f>
        <v>39.458279171062912</v>
      </c>
      <c r="T62" s="539">
        <f>T46/T43*100</f>
        <v>39.99511360860005</v>
      </c>
      <c r="U62" s="800"/>
      <c r="V62" s="835"/>
      <c r="W62" s="1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R62" s="65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V62" s="1"/>
      <c r="BW62" s="1"/>
      <c r="BX62" s="1"/>
      <c r="BY62" s="1"/>
      <c r="DA62" s="1"/>
      <c r="FN62" s="1">
        <f>100-FN58-FN61</f>
        <v>0.73999999999999844</v>
      </c>
      <c r="OR62" s="145">
        <f>22*56</f>
        <v>1232</v>
      </c>
      <c r="OS62" s="1" t="s">
        <v>350</v>
      </c>
    </row>
    <row r="63" spans="2:923" x14ac:dyDescent="0.25">
      <c r="B63" s="1663">
        <v>3</v>
      </c>
      <c r="C63" s="542" t="s">
        <v>59</v>
      </c>
      <c r="D63" s="79"/>
      <c r="E63" s="79"/>
      <c r="F63" s="52"/>
      <c r="G63" s="51"/>
      <c r="H63" s="543"/>
      <c r="I63" s="51"/>
      <c r="J63" s="51"/>
      <c r="K63" s="51"/>
      <c r="L63" s="51"/>
      <c r="M63" s="51"/>
      <c r="N63" s="51"/>
      <c r="O63" s="51"/>
      <c r="P63" s="51"/>
      <c r="Q63" s="51"/>
      <c r="R63" s="737"/>
      <c r="S63" s="614" t="s">
        <v>129</v>
      </c>
      <c r="T63" s="696" t="s">
        <v>129</v>
      </c>
      <c r="U63" s="801" t="s">
        <v>129</v>
      </c>
      <c r="V63" s="65"/>
      <c r="W63" s="1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R63" s="65"/>
      <c r="AT63" s="1"/>
      <c r="AU63" s="1"/>
      <c r="AV63" s="1"/>
      <c r="AW63" s="1"/>
      <c r="AX63" s="3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45"/>
      <c r="BT63" s="1"/>
      <c r="BV63" s="1"/>
      <c r="BW63" s="1"/>
      <c r="BX63" s="1"/>
      <c r="BY63" s="1"/>
      <c r="DA63" s="1"/>
      <c r="OR63" s="145">
        <f>16.5*OR61</f>
        <v>21579.617834394903</v>
      </c>
    </row>
    <row r="64" spans="2:923" x14ac:dyDescent="0.25">
      <c r="B64" s="1664"/>
      <c r="C64" s="475" t="s">
        <v>58</v>
      </c>
      <c r="D64" s="476">
        <v>8</v>
      </c>
      <c r="E64" s="509" t="s">
        <v>56</v>
      </c>
      <c r="F64" s="544">
        <f>'[22]Januari 24'!AL58</f>
        <v>128586</v>
      </c>
      <c r="G64" s="452">
        <f>'[29]Februari - 24'!$AL$58</f>
        <v>148066</v>
      </c>
      <c r="H64" s="545">
        <f>'[22]Maret 24'!AL58</f>
        <v>29654</v>
      </c>
      <c r="I64" s="452">
        <f>'[23]April - 24'!$AK$59</f>
        <v>0</v>
      </c>
      <c r="J64" s="452">
        <f>'[24]Mei - 24'!$AL$59</f>
        <v>0</v>
      </c>
      <c r="K64" s="452">
        <f>'[25]Juni - 24'!$AL$59</f>
        <v>88126</v>
      </c>
      <c r="L64" s="452">
        <f>'[26]Juli - 2024 ( Revisi )'!$AL$56</f>
        <v>162476</v>
      </c>
      <c r="M64" s="452">
        <f>'[27]Agustus - 2024'!$AN$62</f>
        <v>11.311305073715658</v>
      </c>
      <c r="N64" s="452">
        <f>'September - 2024'!$AM$65</f>
        <v>187513</v>
      </c>
      <c r="O64" s="452">
        <f>'[22]Oktober 24'!AL58</f>
        <v>0</v>
      </c>
      <c r="P64" s="452">
        <f>'[22]November 24'!AL58</f>
        <v>0</v>
      </c>
      <c r="Q64" s="452">
        <f>'[22]Desember 24'!AL58</f>
        <v>0</v>
      </c>
      <c r="R64" s="737"/>
      <c r="S64" s="463">
        <f>SUM(F64:Q64)</f>
        <v>744432.31130507367</v>
      </c>
      <c r="T64" s="686">
        <v>2767753</v>
      </c>
      <c r="U64" s="793">
        <f>S64/T64*100</f>
        <v>26.896630996518606</v>
      </c>
      <c r="V64" s="65"/>
      <c r="W64" s="1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R64" s="65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45"/>
      <c r="BT64" s="1"/>
      <c r="BV64" s="1"/>
      <c r="BW64" s="1"/>
      <c r="BX64" s="1"/>
      <c r="BY64" s="1"/>
      <c r="DA64" s="1"/>
    </row>
    <row r="65" spans="2:936" x14ac:dyDescent="0.25">
      <c r="B65" s="1664"/>
      <c r="C65" s="546"/>
      <c r="D65" s="489"/>
      <c r="E65" s="509" t="s">
        <v>25</v>
      </c>
      <c r="F65" s="537">
        <f>'[22]Januari 24'!AL59</f>
        <v>1.2503461047274416</v>
      </c>
      <c r="G65" s="453">
        <f t="shared" ref="G65:L65" si="22">G64/(G12)*100</f>
        <v>1.3601743162497901</v>
      </c>
      <c r="H65" s="453">
        <f t="shared" si="22"/>
        <v>1.0253964352272298</v>
      </c>
      <c r="I65" s="453" t="e">
        <f t="shared" si="22"/>
        <v>#DIV/0!</v>
      </c>
      <c r="J65" s="453" t="e">
        <f t="shared" si="22"/>
        <v>#DIV/0!</v>
      </c>
      <c r="K65" s="453">
        <f t="shared" si="22"/>
        <v>0.98804603990035011</v>
      </c>
      <c r="L65" s="453">
        <f t="shared" si="22"/>
        <v>1.0157289957319953</v>
      </c>
      <c r="M65" s="453">
        <f>$M$64/($M$11)*100</f>
        <v>3363.1975762080183</v>
      </c>
      <c r="N65" s="453">
        <f>$N$64/($N$12)*100</f>
        <v>0.7798001271713848</v>
      </c>
      <c r="O65" s="453" t="e">
        <f>O64/(O12)*100</f>
        <v>#DIV/0!</v>
      </c>
      <c r="P65" s="453" t="e">
        <f>P64/(P12)*100</f>
        <v>#DIV/0!</v>
      </c>
      <c r="Q65" s="453" t="e">
        <f>Q64/(Q12)*100</f>
        <v>#DIV/0!</v>
      </c>
      <c r="R65" s="737"/>
      <c r="S65" s="538">
        <f>S64/(S11)*100</f>
        <v>0.98316641998778576</v>
      </c>
      <c r="T65" s="697">
        <v>0.8</v>
      </c>
      <c r="U65" s="802">
        <v>0</v>
      </c>
      <c r="V65" s="830">
        <f>S65*10</f>
        <v>9.8316641998778582</v>
      </c>
      <c r="W65" s="1"/>
      <c r="X65" s="65"/>
      <c r="Y65" s="65"/>
      <c r="Z65" s="830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R65" s="65"/>
      <c r="AT65" s="1"/>
      <c r="AU65" s="1"/>
      <c r="AV65" s="1"/>
      <c r="AW65" s="1"/>
      <c r="AX65" s="144">
        <f>S65*10</f>
        <v>9.8316641998778582</v>
      </c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4"/>
      <c r="BT65" s="1"/>
      <c r="BV65" s="1"/>
      <c r="BW65" s="1"/>
      <c r="BX65" s="1"/>
      <c r="BY65" s="1"/>
      <c r="DA65" s="1"/>
      <c r="FN65" s="494" t="e">
        <f>#REF!*10</f>
        <v>#REF!</v>
      </c>
      <c r="OO65" s="494"/>
      <c r="OR65" s="145">
        <f>OR61+(S42/1000)</f>
        <v>3351.3387541404163</v>
      </c>
      <c r="OS65" s="145" t="s">
        <v>351</v>
      </c>
    </row>
    <row r="66" spans="2:936" x14ac:dyDescent="0.25">
      <c r="B66" s="1664"/>
      <c r="C66" s="547" t="s">
        <v>57</v>
      </c>
      <c r="D66" s="548">
        <v>16</v>
      </c>
      <c r="E66" s="549" t="s">
        <v>56</v>
      </c>
      <c r="F66" s="550">
        <f>'[22]Januari 24'!AL60</f>
        <v>25923</v>
      </c>
      <c r="G66" s="551">
        <f>'[29]Februari - 24'!$AL$60</f>
        <v>15015</v>
      </c>
      <c r="H66" s="552">
        <f>'[22]Maret 24'!AL60</f>
        <v>2901</v>
      </c>
      <c r="I66" s="551">
        <f>'[22]April 24'!AL60</f>
        <v>0</v>
      </c>
      <c r="J66" s="551">
        <f>'[22]Mei 24'!AL60</f>
        <v>0</v>
      </c>
      <c r="K66" s="551">
        <f>'[22]Juny 24'!AL60</f>
        <v>0</v>
      </c>
      <c r="L66" s="551">
        <f>'[26]Juli - 2024 ( Revisi )'!$AL$58</f>
        <v>0</v>
      </c>
      <c r="M66" s="551">
        <f>'[27]Agustus - 2024'!$AN$64</f>
        <v>0</v>
      </c>
      <c r="N66" s="551">
        <f>'[22]September 24'!AL60</f>
        <v>0</v>
      </c>
      <c r="O66" s="551">
        <f>'[22]Oktober 24'!AL60</f>
        <v>0</v>
      </c>
      <c r="P66" s="551">
        <f>'[22]November 24'!AL60</f>
        <v>0</v>
      </c>
      <c r="Q66" s="551">
        <f>'[22]Desember 24'!AL60</f>
        <v>0</v>
      </c>
      <c r="R66" s="737"/>
      <c r="S66" s="553">
        <f>SUM(F66:Q66)</f>
        <v>43839</v>
      </c>
      <c r="T66" s="698">
        <v>1357284</v>
      </c>
      <c r="U66" s="793">
        <f>S66/T66*100</f>
        <v>3.2299061950188759</v>
      </c>
      <c r="V66" s="65"/>
      <c r="W66" s="1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R66" s="65"/>
      <c r="AT66" s="446"/>
      <c r="AU66" s="446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V66" s="1"/>
      <c r="BW66" s="1"/>
      <c r="BX66" s="145"/>
      <c r="BY66" s="1"/>
      <c r="DA66" s="1"/>
      <c r="DF66" s="5"/>
      <c r="DG66" s="145"/>
      <c r="DH66" s="145"/>
      <c r="DI66" s="145"/>
      <c r="DJ66" s="145"/>
      <c r="FM66" s="145"/>
      <c r="FN66" s="494"/>
      <c r="JH66" s="145"/>
      <c r="JI66" s="145"/>
      <c r="JJ66" s="145"/>
      <c r="JK66" s="145"/>
      <c r="OO66" s="145"/>
      <c r="OP66" s="145"/>
      <c r="OR66" s="145">
        <f>OR63+S66</f>
        <v>65418.6178343949</v>
      </c>
      <c r="OS66" s="145" t="s">
        <v>352</v>
      </c>
      <c r="PF66" s="494"/>
      <c r="PJ66" s="145"/>
      <c r="RM66" s="494"/>
      <c r="AGV66" s="145"/>
      <c r="AIK66" s="145"/>
      <c r="AIL66" s="145"/>
      <c r="AIM66" s="145"/>
    </row>
    <row r="67" spans="2:936" x14ac:dyDescent="0.25">
      <c r="B67" s="1664"/>
      <c r="C67" s="554"/>
      <c r="D67" s="555"/>
      <c r="E67" s="556" t="s">
        <v>25</v>
      </c>
      <c r="F67" s="557">
        <f>'[22]Januari 24'!AL61</f>
        <v>1.5981564323182909</v>
      </c>
      <c r="G67" s="558">
        <f t="shared" ref="G67:Q67" si="23">G66/(G13)*100</f>
        <v>1.7429299763806896</v>
      </c>
      <c r="H67" s="558">
        <f t="shared" si="23"/>
        <v>1.3749509860024054</v>
      </c>
      <c r="I67" s="558" t="e">
        <f t="shared" si="23"/>
        <v>#DIV/0!</v>
      </c>
      <c r="J67" s="558" t="e">
        <f t="shared" si="23"/>
        <v>#DIV/0!</v>
      </c>
      <c r="K67" s="558" t="e">
        <f t="shared" si="23"/>
        <v>#DIV/0!</v>
      </c>
      <c r="L67" s="558" t="e">
        <f t="shared" si="23"/>
        <v>#DIV/0!</v>
      </c>
      <c r="M67" s="558" t="e">
        <f>$M$66/($M$13)*100</f>
        <v>#DIV/0!</v>
      </c>
      <c r="N67" s="558" t="e">
        <f t="shared" si="23"/>
        <v>#DIV/0!</v>
      </c>
      <c r="O67" s="558" t="e">
        <f t="shared" si="23"/>
        <v>#DIV/0!</v>
      </c>
      <c r="P67" s="558" t="e">
        <f t="shared" si="23"/>
        <v>#DIV/0!</v>
      </c>
      <c r="Q67" s="558" t="e">
        <f t="shared" si="23"/>
        <v>#DIV/0!</v>
      </c>
      <c r="R67" s="737"/>
      <c r="S67" s="727">
        <f>S66/(S13)*100</f>
        <v>1.6269650590569087</v>
      </c>
      <c r="T67" s="699">
        <v>1.8</v>
      </c>
      <c r="U67" s="803">
        <v>0</v>
      </c>
      <c r="V67" s="830"/>
      <c r="W67" s="1"/>
      <c r="X67" s="65"/>
      <c r="Y67" s="65"/>
      <c r="Z67" s="830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R67" s="65"/>
      <c r="AT67" s="446"/>
      <c r="AU67" s="446"/>
      <c r="AV67" s="1"/>
      <c r="AW67" s="1"/>
      <c r="AX67" s="144">
        <f>S67*10</f>
        <v>16.269650590569086</v>
      </c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4"/>
      <c r="BT67" s="1"/>
      <c r="BV67" s="1"/>
      <c r="BW67" s="1"/>
      <c r="BX67" s="145"/>
      <c r="BY67" s="1"/>
      <c r="DA67" s="1"/>
      <c r="DF67" s="5"/>
      <c r="DG67" s="145"/>
      <c r="DH67" s="145"/>
      <c r="DI67" s="145"/>
      <c r="DJ67" s="145"/>
      <c r="FM67" s="145"/>
      <c r="FN67" s="494"/>
      <c r="JH67" s="145"/>
      <c r="JI67" s="145"/>
      <c r="JJ67" s="145"/>
      <c r="JK67" s="145"/>
      <c r="OO67" s="494"/>
      <c r="OP67" s="145"/>
      <c r="OR67" s="559">
        <f>OR66/OR65</f>
        <v>19.520144823788218</v>
      </c>
      <c r="OS67" s="560" t="s">
        <v>250</v>
      </c>
      <c r="PF67" s="494"/>
      <c r="PJ67" s="145"/>
      <c r="RM67" s="494"/>
      <c r="AGV67" s="145"/>
      <c r="AIK67" s="145"/>
      <c r="AIL67" s="145"/>
      <c r="AIM67" s="145"/>
    </row>
    <row r="68" spans="2:936" x14ac:dyDescent="0.25">
      <c r="B68" s="1664"/>
      <c r="C68" s="475" t="s">
        <v>55</v>
      </c>
      <c r="D68" s="476">
        <v>0.55000000000000004</v>
      </c>
      <c r="E68" s="509" t="s">
        <v>14</v>
      </c>
      <c r="F68" s="544">
        <f>'[22]Januari 24'!AL62</f>
        <v>6664.8560000000007</v>
      </c>
      <c r="G68" s="452">
        <f>'[29]Februari - 24'!$AL$62</f>
        <v>6551.9319999999989</v>
      </c>
      <c r="H68" s="545">
        <f>'[22]Maret 24'!AL62</f>
        <v>1744.336</v>
      </c>
      <c r="I68" s="452">
        <f>'[23]April - 24'!$AK$63</f>
        <v>0</v>
      </c>
      <c r="J68" s="452">
        <f>'[24]Mei - 24'!$AL$63</f>
        <v>0</v>
      </c>
      <c r="K68" s="452">
        <f>'[25]Juni - 24'!$AL$63</f>
        <v>4040.197999999999</v>
      </c>
      <c r="L68" s="452">
        <f>'[26]Juli - 2024 ( Revisi )'!$AL$60</f>
        <v>7823.7820000000002</v>
      </c>
      <c r="M68" s="452">
        <f>'[27]Agustus - 2024'!$AN$66</f>
        <v>0.50926730514371621</v>
      </c>
      <c r="N68" s="452">
        <f>'September - 2024'!$AM$69</f>
        <v>12499.518</v>
      </c>
      <c r="O68" s="452">
        <f>'[22]Oktober 24'!AL62</f>
        <v>0</v>
      </c>
      <c r="P68" s="452">
        <f>'[22]November 24'!AL62</f>
        <v>0</v>
      </c>
      <c r="Q68" s="452">
        <f>'[22]Desember 24'!AL62</f>
        <v>0</v>
      </c>
      <c r="R68" s="737"/>
      <c r="S68" s="553">
        <f>SUM(F68:Q68)</f>
        <v>39325.131267305143</v>
      </c>
      <c r="T68" s="698">
        <v>252824</v>
      </c>
      <c r="U68" s="804">
        <f>SUM(H68:S68)</f>
        <v>65433.474534610286</v>
      </c>
      <c r="V68" s="529"/>
      <c r="W68" s="1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R68" s="65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V68" s="1"/>
      <c r="BW68" s="1"/>
      <c r="BX68" s="1"/>
      <c r="BY68" s="1"/>
      <c r="DA68" s="1"/>
      <c r="FN68" s="494"/>
      <c r="OR68" s="494">
        <v>16</v>
      </c>
      <c r="OS68" s="1" t="s">
        <v>353</v>
      </c>
    </row>
    <row r="69" spans="2:936" x14ac:dyDescent="0.25">
      <c r="B69" s="1665"/>
      <c r="C69" s="561"/>
      <c r="D69" s="489"/>
      <c r="E69" s="562" t="s">
        <v>25</v>
      </c>
      <c r="F69" s="563">
        <f>'[22]Januari 24'!AL63</f>
        <v>5.597855013514514E-2</v>
      </c>
      <c r="G69" s="564">
        <f t="shared" ref="G69:L69" si="24">G68/(G11)*100</f>
        <v>5.577398227387062E-2</v>
      </c>
      <c r="H69" s="564">
        <f t="shared" si="24"/>
        <v>5.6215516619055966E-2</v>
      </c>
      <c r="I69" s="564" t="e">
        <f t="shared" si="24"/>
        <v>#DIV/0!</v>
      </c>
      <c r="J69" s="564" t="e">
        <f t="shared" si="24"/>
        <v>#DIV/0!</v>
      </c>
      <c r="K69" s="564">
        <f t="shared" si="24"/>
        <v>4.5297660557761771E-2</v>
      </c>
      <c r="L69" s="564">
        <f t="shared" si="24"/>
        <v>4.8910868273997765E-2</v>
      </c>
      <c r="M69" s="564">
        <f>'[27]Agustus - 2024'!$AN$67</f>
        <v>0</v>
      </c>
      <c r="N69" s="564">
        <f>N68/(N11)*100</f>
        <v>5.1981066517953492E-2</v>
      </c>
      <c r="O69" s="564" t="e">
        <f>O68/(O11)*100</f>
        <v>#DIV/0!</v>
      </c>
      <c r="P69" s="564" t="e">
        <f>P68/(P11)*100</f>
        <v>#DIV/0!</v>
      </c>
      <c r="Q69" s="564" t="e">
        <f>Q68/(Q11)*100</f>
        <v>#DIV/0!</v>
      </c>
      <c r="R69" s="740"/>
      <c r="S69" s="311">
        <f>S68/(S11+71450)*100</f>
        <v>5.1887456294835481E-2</v>
      </c>
      <c r="T69" s="700">
        <v>0.06</v>
      </c>
      <c r="U69" s="805">
        <f>U68/(U11+71450)*100</f>
        <v>91.579160214893278</v>
      </c>
      <c r="V69" s="65"/>
      <c r="W69" s="1"/>
      <c r="X69" s="65"/>
      <c r="Y69" s="65"/>
      <c r="Z69" s="830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R69" s="65"/>
      <c r="AT69" s="1"/>
      <c r="AU69" s="1"/>
      <c r="AV69" s="1"/>
      <c r="AW69" s="1"/>
      <c r="AX69" s="144">
        <f>S69*10</f>
        <v>0.51887456294835477</v>
      </c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V69" s="1"/>
      <c r="BW69" s="1"/>
      <c r="BX69" s="1"/>
      <c r="BY69" s="1"/>
      <c r="DA69" s="1"/>
      <c r="FN69" s="494" t="e">
        <f>P69*10</f>
        <v>#DIV/0!</v>
      </c>
      <c r="OO69" s="494"/>
      <c r="OR69" s="494">
        <f>OR67-OR68</f>
        <v>3.5201448237882182</v>
      </c>
      <c r="OS69" s="1" t="s">
        <v>354</v>
      </c>
    </row>
    <row r="70" spans="2:936" x14ac:dyDescent="0.25">
      <c r="B70" s="741">
        <v>4</v>
      </c>
      <c r="C70" s="565" t="s">
        <v>355</v>
      </c>
      <c r="D70" s="566">
        <v>0.8</v>
      </c>
      <c r="E70" s="512" t="s">
        <v>25</v>
      </c>
      <c r="F70" s="567">
        <f t="shared" ref="F70:Q70" si="25">((SUM(F19:F20))-(SUM(F11)))/(SUM(F11))*100</f>
        <v>-0.68509482836891278</v>
      </c>
      <c r="G70" s="568">
        <f t="shared" si="25"/>
        <v>-0.6586369572355022</v>
      </c>
      <c r="H70" s="568">
        <f t="shared" si="25"/>
        <v>-0.68228753080945059</v>
      </c>
      <c r="I70" s="568" t="e">
        <f t="shared" si="25"/>
        <v>#DIV/0!</v>
      </c>
      <c r="J70" s="568" t="e">
        <f t="shared" si="25"/>
        <v>#DIV/0!</v>
      </c>
      <c r="K70" s="568">
        <f t="shared" si="25"/>
        <v>-0.6050304847284852</v>
      </c>
      <c r="L70" s="568">
        <f t="shared" si="25"/>
        <v>-5.5367470328048913</v>
      </c>
      <c r="M70" s="568">
        <f>((SUM(M19:M20))-(SUM(M11)))/(SUM(M11))*100</f>
        <v>-100</v>
      </c>
      <c r="N70" s="568">
        <f t="shared" si="25"/>
        <v>-1.0990510386425516</v>
      </c>
      <c r="O70" s="568" t="e">
        <f t="shared" si="25"/>
        <v>#DIV/0!</v>
      </c>
      <c r="P70" s="568" t="e">
        <f t="shared" si="25"/>
        <v>#DIV/0!</v>
      </c>
      <c r="Q70" s="568" t="e">
        <f t="shared" si="25"/>
        <v>#DIV/0!</v>
      </c>
      <c r="R70" s="742"/>
      <c r="S70" s="312">
        <f>((SUM(S19:S20))-(SUM(S11)))/(SUM(S11))*100</f>
        <v>-1.8278578180893716</v>
      </c>
      <c r="T70" s="701">
        <f>((SUM(T19:T20))-(SUM(T11)))/(SUM(T11))*100</f>
        <v>-0.71527906325497059</v>
      </c>
      <c r="U70" s="791">
        <f>S70/T70*100</f>
        <v>255.54471142653981</v>
      </c>
      <c r="V70" s="835"/>
      <c r="W70" s="1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R70" s="65"/>
      <c r="AT70" s="825"/>
      <c r="AU70" s="825"/>
      <c r="AV70" s="1"/>
      <c r="AW70" s="1"/>
      <c r="AX70" s="14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V70" s="1"/>
      <c r="BW70" s="1"/>
      <c r="BX70" s="147"/>
      <c r="BY70" s="1"/>
      <c r="DA70" s="1"/>
      <c r="DF70" s="529"/>
      <c r="DG70" s="147"/>
      <c r="DH70" s="147"/>
      <c r="DI70" s="147"/>
      <c r="DJ70" s="147"/>
      <c r="FM70" s="147"/>
      <c r="JH70" s="147"/>
      <c r="JI70" s="147"/>
      <c r="JJ70" s="147"/>
      <c r="JK70" s="147"/>
      <c r="OO70" s="147"/>
      <c r="OP70" s="147"/>
      <c r="OR70" s="494"/>
      <c r="PF70" s="156"/>
      <c r="PJ70" s="147"/>
      <c r="RM70" s="156"/>
      <c r="AGV70" s="147"/>
      <c r="AIK70" s="147"/>
      <c r="AIL70" s="147"/>
      <c r="AIM70" s="147"/>
    </row>
    <row r="71" spans="2:936" x14ac:dyDescent="0.25">
      <c r="B71" s="743"/>
      <c r="C71" s="536" t="s">
        <v>54</v>
      </c>
      <c r="D71" s="569">
        <v>22</v>
      </c>
      <c r="E71" s="527" t="s">
        <v>25</v>
      </c>
      <c r="F71" s="453">
        <f>'[30]Januari - 24'!$AL$65</f>
        <v>21.923529411764708</v>
      </c>
      <c r="G71" s="453">
        <f>'[29]Februari - 24'!$AL$65</f>
        <v>21.991000000000003</v>
      </c>
      <c r="H71" s="453">
        <f>'[22]Maret 24'!AL65</f>
        <v>21.957999999999998</v>
      </c>
      <c r="I71" s="453">
        <f>'[23]April - 24'!$AK$66</f>
        <v>0</v>
      </c>
      <c r="J71" s="453">
        <f>'[24]Mei - 24'!$AL$66</f>
        <v>0</v>
      </c>
      <c r="K71" s="453">
        <f>'[25]Juni - 24'!$AL$66</f>
        <v>21.886470588235294</v>
      </c>
      <c r="L71" s="453">
        <f>'[26]Juli - 2024 ( Revisi )'!$AL$64</f>
        <v>21.912727272727277</v>
      </c>
      <c r="M71" s="453">
        <f>'[27]Agustus - 2024'!$AN$70</f>
        <v>0</v>
      </c>
      <c r="N71" s="453">
        <f>'September - 2024'!$AM$73</f>
        <v>22.058148148148149</v>
      </c>
      <c r="O71" s="453"/>
      <c r="P71" s="453" t="e">
        <f>'[22]November 24'!AL65</f>
        <v>#DIV/0!</v>
      </c>
      <c r="Q71" s="453" t="e">
        <f>'[22]Desember 24'!AL65</f>
        <v>#DIV/0!</v>
      </c>
      <c r="R71" s="738"/>
      <c r="S71" s="87">
        <f>AVERAGE(F71:L71)</f>
        <v>15.667389610389611</v>
      </c>
      <c r="T71" s="702">
        <v>22</v>
      </c>
      <c r="U71" s="797" t="e">
        <f>AVERAGE(H71:S71)</f>
        <v>#DIV/0!</v>
      </c>
      <c r="V71" s="65"/>
      <c r="W71" s="1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R71" s="65"/>
      <c r="AT71" s="825"/>
      <c r="AU71" s="825"/>
      <c r="AV71" s="1"/>
      <c r="AW71" s="1"/>
      <c r="AX71" s="65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V71" s="1"/>
      <c r="BW71" s="1"/>
      <c r="BX71" s="147"/>
      <c r="BY71" s="1"/>
      <c r="DA71" s="1"/>
      <c r="DF71" s="529"/>
      <c r="DG71" s="147"/>
      <c r="DH71" s="147"/>
      <c r="DI71" s="147"/>
      <c r="DJ71" s="147"/>
      <c r="FM71" s="147"/>
      <c r="JH71" s="147"/>
      <c r="JI71" s="147"/>
      <c r="JJ71" s="147"/>
      <c r="JK71" s="147"/>
      <c r="OO71" s="147"/>
      <c r="OP71" s="147"/>
      <c r="OR71" s="147"/>
      <c r="PF71" s="156"/>
      <c r="PJ71" s="147"/>
      <c r="RM71" s="156"/>
      <c r="AGV71" s="147"/>
      <c r="AIK71" s="147"/>
      <c r="AIL71" s="147"/>
      <c r="AIM71" s="147"/>
    </row>
    <row r="72" spans="2:936" x14ac:dyDescent="0.25">
      <c r="B72" s="744"/>
      <c r="C72" s="570" t="s">
        <v>53</v>
      </c>
      <c r="D72" s="489"/>
      <c r="E72" s="571" t="s">
        <v>14</v>
      </c>
      <c r="F72" s="453">
        <f t="shared" ref="F72:Q72" si="26">SUM(F64,F66)+(F71%*SUM(F64,F66))</f>
        <v>188382.82605882353</v>
      </c>
      <c r="G72" s="453">
        <f t="shared" si="26"/>
        <v>198944.14270999999</v>
      </c>
      <c r="H72" s="453">
        <f t="shared" si="26"/>
        <v>39703.426899999999</v>
      </c>
      <c r="I72" s="453">
        <f t="shared" si="26"/>
        <v>0</v>
      </c>
      <c r="J72" s="453">
        <f t="shared" si="26"/>
        <v>0</v>
      </c>
      <c r="K72" s="453">
        <f t="shared" si="26"/>
        <v>107413.67107058823</v>
      </c>
      <c r="L72" s="453">
        <f t="shared" si="26"/>
        <v>198078.92276363636</v>
      </c>
      <c r="M72" s="453">
        <f>'[27]Agustus - 2024'!$AN$71</f>
        <v>0</v>
      </c>
      <c r="N72" s="453">
        <f>SUM($N$64,$N$66)+($N$71%*SUM($N$64,$N$66))</f>
        <v>228874.89533703704</v>
      </c>
      <c r="O72" s="453">
        <f t="shared" si="26"/>
        <v>0</v>
      </c>
      <c r="P72" s="453" t="e">
        <f t="shared" si="26"/>
        <v>#DIV/0!</v>
      </c>
      <c r="Q72" s="453" t="e">
        <f t="shared" si="26"/>
        <v>#DIV/0!</v>
      </c>
      <c r="R72" s="738"/>
      <c r="S72" s="572">
        <f>SUM(S64,S66)+(S71%*SUM(S64,S66))</f>
        <v>911772.84883416677</v>
      </c>
      <c r="T72" s="703">
        <v>7811279</v>
      </c>
      <c r="U72" s="806" t="e">
        <f>SUM(U64,U66)+(U71%*SUM(U64,U66))</f>
        <v>#DIV/0!</v>
      </c>
      <c r="V72" s="836"/>
      <c r="W72" s="6"/>
      <c r="X72" s="65"/>
      <c r="Y72" s="824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R72" s="65"/>
      <c r="AX72" s="65"/>
      <c r="BG72" s="147"/>
      <c r="BH72" s="147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CK72" s="147"/>
      <c r="DA72" s="1"/>
      <c r="DS72" s="529"/>
      <c r="DT72" s="147"/>
      <c r="DU72" s="147"/>
      <c r="DV72" s="147"/>
      <c r="DW72" s="147"/>
      <c r="FZ72" s="147"/>
      <c r="GA72" s="376">
        <f>W72+400</f>
        <v>400</v>
      </c>
      <c r="JU72" s="147"/>
      <c r="JV72" s="147"/>
      <c r="JW72" s="147"/>
      <c r="JX72" s="147"/>
      <c r="PB72" s="147"/>
      <c r="PC72" s="147"/>
      <c r="PE72" s="147"/>
      <c r="PS72" s="156"/>
      <c r="PW72" s="147"/>
      <c r="RZ72" s="156"/>
      <c r="AHI72" s="147"/>
      <c r="AIX72" s="147"/>
      <c r="AIY72" s="147"/>
      <c r="AIZ72" s="147"/>
    </row>
    <row r="73" spans="2:936" hidden="1" x14ac:dyDescent="0.25">
      <c r="B73" s="745">
        <v>5</v>
      </c>
      <c r="C73" s="431" t="s">
        <v>52</v>
      </c>
      <c r="D73" s="49"/>
      <c r="E73" s="49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3"/>
      <c r="S73" s="535" t="s">
        <v>130</v>
      </c>
      <c r="T73" s="695" t="s">
        <v>130</v>
      </c>
      <c r="U73" s="798" t="s">
        <v>130</v>
      </c>
      <c r="W73" s="1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R73" s="65"/>
      <c r="AX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DA73" s="1"/>
      <c r="FX73" s="3">
        <v>17292</v>
      </c>
      <c r="OY73" s="145" t="e">
        <f>#REF!-FX73</f>
        <v>#REF!</v>
      </c>
    </row>
    <row r="74" spans="2:936" hidden="1" x14ac:dyDescent="0.25">
      <c r="B74" s="746"/>
      <c r="C74" s="573" t="s">
        <v>51</v>
      </c>
      <c r="D74" s="574"/>
      <c r="E74" s="12" t="s">
        <v>14</v>
      </c>
      <c r="F74" s="575">
        <f>'[22]Januari 24'!AL68</f>
        <v>845858</v>
      </c>
      <c r="G74" s="575" t="e">
        <f>'[22]Februari 24'!AI68</f>
        <v>#REF!</v>
      </c>
      <c r="H74" s="575">
        <f>'[22]Maret 24'!AL68</f>
        <v>0</v>
      </c>
      <c r="I74" s="575">
        <f>'[22]April 24'!AL68</f>
        <v>0</v>
      </c>
      <c r="J74" s="575">
        <f>'[22]Mei 24'!AL68</f>
        <v>0</v>
      </c>
      <c r="K74" s="575">
        <f>'[22]Juny 24'!AL68</f>
        <v>0</v>
      </c>
      <c r="L74" s="575">
        <f>'[22]July 24'!AL68</f>
        <v>0</v>
      </c>
      <c r="M74" s="575">
        <f>'[22]Agustus 24'!AL68</f>
        <v>0</v>
      </c>
      <c r="N74" s="575">
        <f>'[22]September 24'!AL68</f>
        <v>0</v>
      </c>
      <c r="O74" s="575">
        <f>'[22]Oktober 24'!AL68</f>
        <v>0</v>
      </c>
      <c r="P74" s="575">
        <f>'[22]November 24'!AL68</f>
        <v>0</v>
      </c>
      <c r="Q74" s="575">
        <f>'[22]Desember 24'!AL68</f>
        <v>0</v>
      </c>
      <c r="R74" s="27"/>
      <c r="S74" s="92" t="e">
        <f>SUM(F74:Q74)</f>
        <v>#REF!</v>
      </c>
      <c r="T74" s="704" t="e">
        <f>SUM(G74:R74)</f>
        <v>#REF!</v>
      </c>
      <c r="U74" s="791" t="e">
        <f>(S74/T74)*100</f>
        <v>#REF!</v>
      </c>
      <c r="W74" s="1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R74" s="65"/>
      <c r="AX74" s="2"/>
      <c r="BD74" s="150"/>
      <c r="BE74" s="150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CH74" s="150"/>
      <c r="DA74" s="1"/>
      <c r="DP74" s="448"/>
      <c r="DQ74" s="150"/>
      <c r="DR74" s="150"/>
      <c r="DS74" s="150"/>
      <c r="DT74" s="150"/>
      <c r="FW74" s="150"/>
      <c r="JR74" s="150"/>
      <c r="JS74" s="150"/>
      <c r="JT74" s="150"/>
      <c r="JU74" s="150"/>
      <c r="OY74" s="150"/>
      <c r="OZ74" s="150"/>
      <c r="PB74" s="150"/>
      <c r="PP74" s="576"/>
      <c r="PT74" s="150"/>
      <c r="RW74" s="576"/>
      <c r="AHF74" s="155"/>
      <c r="AIU74" s="155"/>
      <c r="AIV74" s="155"/>
      <c r="AIW74" s="155"/>
    </row>
    <row r="75" spans="2:936" hidden="1" x14ac:dyDescent="0.25">
      <c r="B75" s="747"/>
      <c r="C75" s="577" t="s">
        <v>46</v>
      </c>
      <c r="D75" s="578"/>
      <c r="E75" s="579" t="s">
        <v>14</v>
      </c>
      <c r="F75" s="580">
        <f>'[22]Januari 24'!AL69</f>
        <v>399021.27999999997</v>
      </c>
      <c r="G75" s="580" t="e">
        <f>'[22]Februari 24'!AI69</f>
        <v>#REF!</v>
      </c>
      <c r="H75" s="580">
        <f>'[22]Maret 24'!AL69</f>
        <v>0</v>
      </c>
      <c r="I75" s="580">
        <f>'[22]April 24'!AL69</f>
        <v>0</v>
      </c>
      <c r="J75" s="580">
        <f>'[22]Mei 24'!AL69</f>
        <v>0</v>
      </c>
      <c r="K75" s="580">
        <f>'[22]Juny 24'!AL69</f>
        <v>0</v>
      </c>
      <c r="L75" s="580">
        <f>'[22]July 24'!AL69</f>
        <v>0</v>
      </c>
      <c r="M75" s="580">
        <f>'[22]Agustus 24'!AL69</f>
        <v>0</v>
      </c>
      <c r="N75" s="580">
        <f>'[22]September 24'!AL69</f>
        <v>0</v>
      </c>
      <c r="O75" s="580">
        <f>'[22]Oktober 24'!AL69</f>
        <v>0</v>
      </c>
      <c r="P75" s="580">
        <f>'[22]November 24'!AL69</f>
        <v>0</v>
      </c>
      <c r="Q75" s="580">
        <f>'[22]Desember 24'!AL69</f>
        <v>0</v>
      </c>
      <c r="R75" s="748"/>
      <c r="S75" s="92" t="e">
        <f>SUM(S76:S78)</f>
        <v>#REF!</v>
      </c>
      <c r="T75" s="704" t="e">
        <f>SUM(T76:T78)</f>
        <v>#REF!</v>
      </c>
      <c r="U75" s="791" t="e">
        <f>(S75/T75)*100</f>
        <v>#REF!</v>
      </c>
      <c r="W75" s="84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116"/>
      <c r="AX75" s="1"/>
      <c r="AY75" s="178"/>
      <c r="AZ75" s="178"/>
      <c r="BA75" s="178"/>
      <c r="BB75" s="178"/>
      <c r="BC75" s="178"/>
      <c r="BD75" s="178"/>
      <c r="BE75" s="178"/>
      <c r="BF75" s="178"/>
      <c r="BG75" s="178"/>
      <c r="BH75" s="178"/>
      <c r="BI75" s="178"/>
      <c r="BJ75" s="178"/>
      <c r="BK75" s="178"/>
      <c r="BL75" s="178"/>
      <c r="BM75" s="178"/>
      <c r="BN75" s="178"/>
      <c r="BO75" s="178"/>
      <c r="BP75" s="178"/>
      <c r="BQ75" s="178"/>
      <c r="BR75" s="178"/>
      <c r="BS75" s="178"/>
      <c r="BT75" s="178"/>
      <c r="BU75" s="178"/>
      <c r="BV75" s="178"/>
      <c r="BW75" s="178"/>
      <c r="BX75" s="178"/>
      <c r="BY75" s="178"/>
      <c r="BZ75" s="178"/>
      <c r="CA75" s="178"/>
      <c r="CB75" s="178"/>
      <c r="CC75" s="178"/>
      <c r="CD75" s="178"/>
      <c r="CF75" s="178"/>
      <c r="CG75" s="178"/>
      <c r="CH75" s="178"/>
      <c r="CI75" s="178"/>
      <c r="CJ75" s="178"/>
      <c r="CK75" s="178"/>
      <c r="CL75" s="178"/>
      <c r="CM75" s="178"/>
      <c r="CN75" s="178"/>
      <c r="CO75" s="178"/>
      <c r="CP75" s="178"/>
      <c r="CQ75" s="178"/>
      <c r="CR75" s="178"/>
      <c r="CS75" s="178"/>
      <c r="CT75" s="178"/>
      <c r="CU75" s="178"/>
      <c r="CV75" s="178"/>
      <c r="CW75" s="178"/>
      <c r="CX75" s="178"/>
      <c r="CY75" s="178"/>
      <c r="CZ75" s="178"/>
      <c r="DA75" s="178"/>
      <c r="DB75" s="178"/>
      <c r="DC75" s="178"/>
      <c r="DD75" s="178"/>
      <c r="DE75" s="178"/>
      <c r="DF75" s="178"/>
      <c r="DG75" s="178"/>
      <c r="DH75" s="178"/>
      <c r="DI75" s="178"/>
      <c r="DJ75" s="178"/>
      <c r="DK75" s="178"/>
      <c r="DL75" s="178"/>
      <c r="DM75" s="178"/>
      <c r="DN75" s="178"/>
      <c r="DO75" s="178"/>
      <c r="DP75" s="581"/>
      <c r="DQ75" s="178"/>
      <c r="DR75" s="178"/>
      <c r="DS75" s="178"/>
      <c r="DT75" s="178"/>
      <c r="DU75" s="178"/>
      <c r="DV75" s="178"/>
      <c r="DW75" s="178"/>
      <c r="DX75" s="178"/>
      <c r="DY75" s="178"/>
      <c r="DZ75" s="178"/>
      <c r="EA75" s="178"/>
      <c r="EB75" s="178"/>
      <c r="EC75" s="178"/>
      <c r="ED75" s="178"/>
      <c r="EE75" s="178"/>
      <c r="EF75" s="178"/>
      <c r="EG75" s="178"/>
      <c r="EH75" s="178"/>
      <c r="EI75" s="178"/>
      <c r="EJ75" s="178"/>
      <c r="EK75" s="178"/>
      <c r="EL75" s="178"/>
      <c r="EM75" s="178"/>
      <c r="EN75" s="178"/>
      <c r="EO75" s="178"/>
      <c r="EP75" s="178"/>
      <c r="EQ75" s="178"/>
      <c r="ER75" s="178"/>
      <c r="ES75" s="178"/>
      <c r="ET75" s="178"/>
      <c r="EU75" s="178"/>
      <c r="EV75" s="178"/>
      <c r="EW75" s="178"/>
      <c r="EX75" s="178"/>
      <c r="EY75" s="178"/>
      <c r="EZ75" s="178"/>
      <c r="FA75" s="178"/>
      <c r="FB75" s="178"/>
      <c r="FC75" s="178"/>
      <c r="FD75" s="178"/>
      <c r="FE75" s="178"/>
      <c r="FF75" s="178"/>
      <c r="FG75" s="178"/>
      <c r="FH75" s="178"/>
      <c r="FI75" s="178"/>
      <c r="FJ75" s="178"/>
      <c r="FK75" s="178"/>
      <c r="FL75" s="178"/>
      <c r="FM75" s="178"/>
      <c r="FN75" s="178"/>
      <c r="FO75" s="178"/>
      <c r="FP75" s="178"/>
      <c r="FQ75" s="178"/>
      <c r="FR75" s="178"/>
      <c r="FS75" s="178"/>
      <c r="FT75" s="178"/>
      <c r="FU75" s="178"/>
      <c r="FV75" s="178"/>
      <c r="FW75" s="178"/>
      <c r="FX75" s="178"/>
      <c r="FY75" s="178"/>
      <c r="FZ75" s="178"/>
      <c r="GA75" s="178"/>
      <c r="GB75" s="178"/>
      <c r="GC75" s="178"/>
      <c r="GD75" s="178"/>
      <c r="GE75" s="178"/>
      <c r="GF75" s="178"/>
      <c r="GG75" s="178"/>
      <c r="GH75" s="178"/>
      <c r="GI75" s="178"/>
      <c r="GJ75" s="178"/>
      <c r="GK75" s="178"/>
      <c r="GL75" s="178"/>
      <c r="GM75" s="178"/>
      <c r="GN75" s="178"/>
      <c r="GO75" s="178"/>
      <c r="GP75" s="178"/>
      <c r="GQ75" s="178"/>
      <c r="GR75" s="178"/>
      <c r="GS75" s="178"/>
      <c r="GT75" s="178"/>
      <c r="GU75" s="178"/>
      <c r="GV75" s="178"/>
      <c r="GW75" s="178"/>
      <c r="GX75" s="178"/>
      <c r="GY75" s="178"/>
      <c r="GZ75" s="178"/>
      <c r="HA75" s="178"/>
      <c r="HB75" s="178"/>
      <c r="HC75" s="178"/>
      <c r="HD75" s="178"/>
      <c r="HE75" s="178"/>
      <c r="HF75" s="178"/>
      <c r="HG75" s="178"/>
      <c r="HH75" s="178"/>
      <c r="HI75" s="178"/>
      <c r="HJ75" s="178"/>
      <c r="HK75" s="178"/>
      <c r="HL75" s="178"/>
      <c r="HM75" s="178"/>
      <c r="HN75" s="178"/>
      <c r="HO75" s="178"/>
      <c r="HP75" s="178"/>
      <c r="HQ75" s="178"/>
      <c r="HR75" s="178"/>
      <c r="HS75" s="178"/>
      <c r="HT75" s="178"/>
      <c r="HU75" s="178"/>
      <c r="HV75" s="178"/>
      <c r="HW75" s="178"/>
      <c r="HX75" s="178"/>
      <c r="HY75" s="178"/>
      <c r="HZ75" s="178"/>
      <c r="IA75" s="178"/>
      <c r="IB75" s="178"/>
      <c r="IC75" s="178"/>
      <c r="ID75" s="178"/>
      <c r="IE75" s="178"/>
      <c r="IF75" s="178"/>
      <c r="IG75" s="178"/>
      <c r="IH75" s="178"/>
      <c r="II75" s="178"/>
      <c r="IJ75" s="178"/>
      <c r="IK75" s="178"/>
      <c r="IL75" s="178"/>
      <c r="IM75" s="178"/>
      <c r="IN75" s="178"/>
      <c r="IO75" s="178"/>
      <c r="IP75" s="178"/>
      <c r="IQ75" s="178"/>
      <c r="IR75" s="178"/>
      <c r="IS75" s="178"/>
      <c r="IT75" s="178"/>
      <c r="IU75" s="178"/>
      <c r="IV75" s="178"/>
      <c r="IW75" s="178"/>
      <c r="IX75" s="178"/>
      <c r="IY75" s="178"/>
      <c r="IZ75" s="178"/>
      <c r="JA75" s="178"/>
      <c r="JB75" s="178"/>
      <c r="JC75" s="178"/>
      <c r="JD75" s="178"/>
      <c r="JE75" s="178"/>
      <c r="JF75" s="178"/>
      <c r="JG75" s="178"/>
      <c r="JH75" s="178"/>
      <c r="JI75" s="178"/>
      <c r="JJ75" s="178"/>
      <c r="JK75" s="178"/>
      <c r="JL75" s="178"/>
      <c r="JM75" s="178"/>
      <c r="JN75" s="178"/>
      <c r="JO75" s="178"/>
      <c r="JP75" s="178"/>
      <c r="JQ75" s="178"/>
      <c r="JR75" s="178"/>
      <c r="JS75" s="178"/>
      <c r="JT75" s="178"/>
      <c r="JU75" s="178"/>
      <c r="JV75" s="178"/>
      <c r="JW75" s="178"/>
      <c r="JX75" s="178"/>
      <c r="JY75" s="178"/>
      <c r="JZ75" s="178"/>
      <c r="KA75" s="178"/>
      <c r="KB75" s="178"/>
      <c r="KC75" s="178"/>
      <c r="KD75" s="178"/>
      <c r="KE75" s="178"/>
      <c r="KF75" s="178"/>
      <c r="KG75" s="178"/>
      <c r="KH75" s="178"/>
      <c r="KI75" s="178"/>
      <c r="KJ75" s="178"/>
      <c r="KK75" s="178"/>
      <c r="KL75" s="178"/>
      <c r="KM75" s="178"/>
      <c r="KN75" s="178"/>
      <c r="KO75" s="178"/>
      <c r="KP75" s="178"/>
      <c r="KQ75" s="178"/>
      <c r="KR75" s="178"/>
      <c r="KS75" s="178"/>
      <c r="KT75" s="178"/>
      <c r="KU75" s="178"/>
      <c r="KV75" s="178"/>
      <c r="KW75" s="178"/>
      <c r="KX75" s="178"/>
      <c r="KY75" s="178"/>
      <c r="KZ75" s="178"/>
      <c r="LA75" s="178"/>
      <c r="LB75" s="178"/>
      <c r="LC75" s="178"/>
      <c r="LD75" s="178"/>
      <c r="LE75" s="178"/>
      <c r="LF75" s="178"/>
      <c r="LG75" s="178"/>
      <c r="LH75" s="178"/>
      <c r="LI75" s="178"/>
      <c r="LJ75" s="178"/>
      <c r="LK75" s="178"/>
      <c r="LL75" s="178"/>
      <c r="LM75" s="178"/>
      <c r="LN75" s="178"/>
      <c r="LO75" s="178"/>
      <c r="LP75" s="178"/>
      <c r="LQ75" s="178"/>
      <c r="LR75" s="178"/>
      <c r="LS75" s="178"/>
      <c r="LT75" s="178"/>
      <c r="LU75" s="178"/>
      <c r="LV75" s="178"/>
      <c r="LW75" s="178"/>
      <c r="LX75" s="178"/>
      <c r="LY75" s="178"/>
      <c r="LZ75" s="178"/>
      <c r="MA75" s="178"/>
      <c r="MB75" s="178"/>
      <c r="MC75" s="178"/>
      <c r="MD75" s="178"/>
      <c r="ME75" s="178"/>
      <c r="MF75" s="178"/>
      <c r="MG75" s="178"/>
      <c r="MH75" s="178"/>
      <c r="MI75" s="178"/>
      <c r="MJ75" s="178"/>
      <c r="MK75" s="178"/>
      <c r="ML75" s="178"/>
      <c r="MM75" s="178"/>
      <c r="MN75" s="178"/>
      <c r="MO75" s="178"/>
      <c r="MP75" s="178"/>
      <c r="MQ75" s="178"/>
      <c r="MR75" s="178"/>
      <c r="MS75" s="178"/>
      <c r="MT75" s="178"/>
      <c r="MU75" s="178"/>
      <c r="MV75" s="178"/>
      <c r="MW75" s="178"/>
      <c r="MX75" s="178"/>
      <c r="MY75" s="178"/>
      <c r="MZ75" s="178"/>
      <c r="NA75" s="178"/>
      <c r="NB75" s="178"/>
      <c r="NC75" s="178"/>
      <c r="ND75" s="178"/>
      <c r="NE75" s="178"/>
      <c r="NF75" s="178"/>
      <c r="NG75" s="178"/>
      <c r="NH75" s="178"/>
      <c r="NI75" s="178"/>
      <c r="NJ75" s="178"/>
      <c r="NK75" s="178"/>
      <c r="NL75" s="178"/>
      <c r="NM75" s="178"/>
      <c r="NN75" s="178"/>
      <c r="NO75" s="178"/>
      <c r="NP75" s="178"/>
      <c r="NQ75" s="178"/>
      <c r="NR75" s="178"/>
      <c r="NS75" s="178"/>
      <c r="NT75" s="178"/>
      <c r="NU75" s="178"/>
      <c r="NV75" s="178"/>
      <c r="NW75" s="178"/>
      <c r="NX75" s="178"/>
      <c r="NY75" s="178"/>
      <c r="NZ75" s="178"/>
      <c r="OA75" s="178"/>
      <c r="OB75" s="178"/>
      <c r="OC75" s="178"/>
      <c r="OD75" s="178"/>
      <c r="OE75" s="178"/>
      <c r="OF75" s="178"/>
      <c r="OG75" s="178"/>
      <c r="OH75" s="178"/>
      <c r="OI75" s="178"/>
      <c r="OJ75" s="178"/>
      <c r="OK75" s="178"/>
      <c r="OL75" s="178"/>
      <c r="OM75" s="178"/>
      <c r="ON75" s="178"/>
      <c r="OO75" s="178"/>
      <c r="OP75" s="178"/>
      <c r="OQ75" s="178"/>
      <c r="OR75" s="178"/>
      <c r="OS75" s="178"/>
      <c r="OT75" s="178"/>
      <c r="OU75" s="178"/>
      <c r="OV75" s="178"/>
      <c r="OW75" s="178"/>
      <c r="OX75" s="178"/>
      <c r="OY75" s="178"/>
      <c r="OZ75" s="178"/>
      <c r="PA75" s="178"/>
      <c r="PB75" s="178"/>
      <c r="PC75" s="178"/>
      <c r="PD75" s="178"/>
      <c r="PE75" s="178"/>
      <c r="PF75" s="178"/>
      <c r="PG75" s="178"/>
      <c r="PH75" s="178"/>
      <c r="PI75" s="178"/>
      <c r="PJ75" s="178"/>
      <c r="PK75" s="178"/>
      <c r="PL75" s="178"/>
      <c r="PM75" s="178"/>
      <c r="PN75" s="178"/>
      <c r="PO75" s="178"/>
      <c r="PP75" s="178"/>
      <c r="PQ75" s="178"/>
      <c r="PR75" s="178"/>
      <c r="PS75" s="178"/>
      <c r="PT75" s="178"/>
      <c r="PU75" s="178"/>
      <c r="PV75" s="178"/>
      <c r="PW75" s="178"/>
      <c r="PX75" s="178"/>
      <c r="PY75" s="178"/>
      <c r="PZ75" s="178"/>
      <c r="QA75" s="178"/>
      <c r="QB75" s="178"/>
      <c r="QC75" s="178"/>
      <c r="QD75" s="178"/>
      <c r="QE75" s="178"/>
      <c r="QF75" s="178"/>
      <c r="QG75" s="178"/>
      <c r="QH75" s="178"/>
      <c r="QI75" s="178"/>
      <c r="QJ75" s="178"/>
      <c r="QK75" s="178"/>
      <c r="QL75" s="178"/>
      <c r="QM75" s="178"/>
      <c r="QN75" s="178"/>
      <c r="QO75" s="178"/>
      <c r="QP75" s="178"/>
      <c r="QQ75" s="178"/>
      <c r="QR75" s="178"/>
      <c r="QS75" s="178"/>
      <c r="QT75" s="178"/>
      <c r="QU75" s="178"/>
      <c r="QV75" s="178"/>
      <c r="QW75" s="178"/>
      <c r="QX75" s="178"/>
      <c r="QY75" s="178"/>
      <c r="QZ75" s="178"/>
      <c r="RA75" s="178"/>
      <c r="RB75" s="178"/>
      <c r="RC75" s="178"/>
      <c r="RD75" s="178"/>
      <c r="RE75" s="178"/>
      <c r="RF75" s="178"/>
      <c r="RG75" s="178"/>
      <c r="RH75" s="178"/>
      <c r="RI75" s="178"/>
      <c r="RJ75" s="178"/>
      <c r="RK75" s="178"/>
      <c r="RL75" s="178"/>
      <c r="RM75" s="178"/>
      <c r="RN75" s="178"/>
      <c r="RO75" s="178"/>
      <c r="RP75" s="178"/>
      <c r="RQ75" s="178"/>
      <c r="RR75" s="178"/>
      <c r="RS75" s="178"/>
      <c r="RT75" s="178"/>
      <c r="RU75" s="178"/>
      <c r="RV75" s="178"/>
      <c r="RW75" s="178"/>
      <c r="RX75" s="178"/>
      <c r="RY75" s="178"/>
      <c r="RZ75" s="178"/>
      <c r="SA75" s="178"/>
      <c r="SB75" s="178"/>
      <c r="SC75" s="178"/>
      <c r="SD75" s="178"/>
      <c r="SE75" s="178"/>
      <c r="SF75" s="178"/>
      <c r="SG75" s="178"/>
      <c r="SH75" s="178"/>
      <c r="SI75" s="178"/>
      <c r="SJ75" s="178"/>
      <c r="SK75" s="178"/>
      <c r="SL75" s="178"/>
      <c r="SM75" s="178"/>
      <c r="SN75" s="178"/>
      <c r="SO75" s="178"/>
      <c r="SP75" s="178"/>
      <c r="SQ75" s="178"/>
      <c r="SR75" s="178"/>
      <c r="SS75" s="178"/>
      <c r="ST75" s="178"/>
      <c r="SU75" s="178"/>
      <c r="SV75" s="178"/>
      <c r="SW75" s="178"/>
      <c r="SX75" s="178"/>
      <c r="SY75" s="178"/>
      <c r="SZ75" s="178"/>
      <c r="TA75" s="178"/>
      <c r="TB75" s="178"/>
      <c r="TC75" s="178"/>
      <c r="TD75" s="178"/>
      <c r="TE75" s="178"/>
      <c r="TF75" s="178"/>
      <c r="TG75" s="178"/>
      <c r="TH75" s="178"/>
      <c r="TI75" s="178"/>
      <c r="TJ75" s="178"/>
      <c r="TK75" s="178"/>
      <c r="TL75" s="178"/>
      <c r="TM75" s="178"/>
      <c r="TN75" s="178"/>
      <c r="TO75" s="178"/>
      <c r="TP75" s="178"/>
      <c r="TQ75" s="178"/>
      <c r="TR75" s="178"/>
      <c r="TS75" s="178"/>
      <c r="TT75" s="178"/>
      <c r="TU75" s="178"/>
      <c r="TV75" s="178"/>
      <c r="TW75" s="178"/>
      <c r="TX75" s="178"/>
      <c r="TY75" s="178"/>
      <c r="TZ75" s="178"/>
      <c r="UA75" s="178"/>
      <c r="UB75" s="178"/>
      <c r="UC75" s="178"/>
      <c r="UD75" s="178"/>
      <c r="UE75" s="178"/>
      <c r="UF75" s="178"/>
      <c r="UG75" s="178"/>
      <c r="UH75" s="178"/>
      <c r="UI75" s="178"/>
      <c r="UJ75" s="178"/>
      <c r="UK75" s="178"/>
      <c r="UL75" s="178"/>
      <c r="UM75" s="178"/>
      <c r="UN75" s="178"/>
      <c r="UO75" s="178"/>
      <c r="UP75" s="178"/>
      <c r="UQ75" s="178"/>
      <c r="UR75" s="178"/>
      <c r="US75" s="178"/>
      <c r="UT75" s="178"/>
      <c r="UU75" s="178"/>
      <c r="UV75" s="178"/>
      <c r="UW75" s="178"/>
      <c r="UX75" s="178"/>
      <c r="UY75" s="178"/>
      <c r="UZ75" s="178"/>
      <c r="VA75" s="178"/>
      <c r="VB75" s="178"/>
      <c r="VC75" s="178"/>
      <c r="VD75" s="178"/>
      <c r="VE75" s="178"/>
      <c r="VF75" s="178"/>
      <c r="VG75" s="178"/>
      <c r="VH75" s="178"/>
      <c r="VI75" s="178"/>
      <c r="VJ75" s="178"/>
      <c r="VK75" s="178"/>
      <c r="VL75" s="178"/>
      <c r="VM75" s="178"/>
      <c r="VN75" s="178"/>
      <c r="VO75" s="178"/>
      <c r="VP75" s="178"/>
      <c r="VQ75" s="178"/>
      <c r="VR75" s="178"/>
      <c r="VS75" s="178"/>
      <c r="VT75" s="178"/>
      <c r="VU75" s="178"/>
      <c r="VV75" s="178"/>
      <c r="VW75" s="178"/>
      <c r="VX75" s="178"/>
      <c r="VY75" s="178"/>
      <c r="VZ75" s="178"/>
      <c r="WA75" s="178"/>
      <c r="WB75" s="178"/>
      <c r="WC75" s="178"/>
      <c r="WD75" s="178"/>
      <c r="WE75" s="178"/>
      <c r="WF75" s="178"/>
      <c r="WG75" s="178"/>
      <c r="WH75" s="178"/>
      <c r="WI75" s="178"/>
      <c r="WJ75" s="178"/>
      <c r="WK75" s="178"/>
      <c r="WL75" s="178"/>
      <c r="WM75" s="178"/>
      <c r="WN75" s="178"/>
      <c r="WO75" s="178"/>
      <c r="WP75" s="178"/>
      <c r="WQ75" s="178"/>
      <c r="WR75" s="178"/>
      <c r="WS75" s="178"/>
      <c r="WT75" s="178"/>
      <c r="WU75" s="178"/>
      <c r="WV75" s="178"/>
      <c r="WW75" s="178"/>
      <c r="WX75" s="178"/>
      <c r="WY75" s="178"/>
      <c r="WZ75" s="178"/>
      <c r="XA75" s="178"/>
      <c r="XB75" s="178"/>
      <c r="XC75" s="178"/>
      <c r="XD75" s="178"/>
      <c r="XE75" s="178"/>
      <c r="XF75" s="178"/>
      <c r="XG75" s="178"/>
      <c r="XH75" s="178"/>
      <c r="XI75" s="178"/>
      <c r="XJ75" s="178"/>
      <c r="XK75" s="178"/>
      <c r="XL75" s="178"/>
      <c r="XM75" s="178"/>
      <c r="XN75" s="178"/>
      <c r="XO75" s="178"/>
      <c r="XP75" s="178"/>
      <c r="XQ75" s="178"/>
      <c r="XR75" s="178"/>
      <c r="XS75" s="178"/>
      <c r="XT75" s="178"/>
      <c r="XU75" s="178"/>
      <c r="XV75" s="178"/>
      <c r="XW75" s="178"/>
      <c r="XX75" s="178"/>
      <c r="XY75" s="178"/>
      <c r="XZ75" s="178"/>
      <c r="YA75" s="178"/>
      <c r="YB75" s="178"/>
      <c r="YC75" s="178"/>
      <c r="YD75" s="178"/>
      <c r="YE75" s="178"/>
      <c r="YF75" s="178"/>
      <c r="YG75" s="178"/>
      <c r="YH75" s="178"/>
      <c r="YI75" s="178"/>
      <c r="YJ75" s="178"/>
      <c r="YK75" s="178"/>
      <c r="YL75" s="178"/>
      <c r="YM75" s="178"/>
      <c r="YN75" s="178"/>
      <c r="YO75" s="178"/>
      <c r="YP75" s="178"/>
      <c r="YQ75" s="178"/>
      <c r="YR75" s="178"/>
      <c r="YS75" s="178"/>
      <c r="YT75" s="178"/>
      <c r="YU75" s="178"/>
      <c r="YV75" s="178"/>
      <c r="YW75" s="178"/>
      <c r="YX75" s="178"/>
      <c r="YY75" s="178"/>
      <c r="YZ75" s="178"/>
      <c r="ZA75" s="178"/>
      <c r="ZB75" s="178"/>
      <c r="ZC75" s="178"/>
      <c r="ZD75" s="178"/>
      <c r="ZE75" s="178"/>
      <c r="ZF75" s="178"/>
      <c r="ZG75" s="178"/>
      <c r="ZH75" s="178"/>
      <c r="ZI75" s="178"/>
      <c r="ZJ75" s="178"/>
      <c r="ZK75" s="178"/>
      <c r="ZL75" s="178"/>
      <c r="ZM75" s="178"/>
      <c r="ZN75" s="178"/>
      <c r="ZO75" s="178"/>
      <c r="ZP75" s="178"/>
      <c r="ZQ75" s="178"/>
      <c r="ZR75" s="178"/>
      <c r="ZS75" s="178"/>
      <c r="ZT75" s="178"/>
      <c r="ZU75" s="178"/>
      <c r="ZV75" s="178"/>
      <c r="ZW75" s="178"/>
      <c r="ZX75" s="178"/>
      <c r="ZY75" s="178"/>
      <c r="ZZ75" s="178"/>
      <c r="AAA75" s="178"/>
      <c r="AAB75" s="178"/>
      <c r="AAC75" s="178"/>
      <c r="AAD75" s="178"/>
      <c r="AAE75" s="178"/>
      <c r="AAF75" s="178"/>
      <c r="AAG75" s="178"/>
      <c r="AAH75" s="178"/>
      <c r="AAI75" s="178"/>
      <c r="AAJ75" s="178"/>
      <c r="AAK75" s="178"/>
      <c r="AAL75" s="178"/>
      <c r="AAM75" s="178"/>
      <c r="AAN75" s="178"/>
      <c r="AAO75" s="178"/>
      <c r="AAP75" s="178"/>
      <c r="AAQ75" s="178"/>
      <c r="AAR75" s="178"/>
      <c r="AAS75" s="178"/>
      <c r="AAT75" s="178"/>
      <c r="AAU75" s="178"/>
      <c r="AAV75" s="178"/>
      <c r="AAW75" s="178"/>
      <c r="AAX75" s="178"/>
      <c r="AAY75" s="178"/>
      <c r="AAZ75" s="178"/>
      <c r="ABA75" s="178"/>
      <c r="ABB75" s="178"/>
      <c r="ABC75" s="178"/>
      <c r="ABD75" s="178"/>
      <c r="ABE75" s="178"/>
      <c r="ABF75" s="178"/>
      <c r="ABG75" s="178"/>
      <c r="ABH75" s="178"/>
      <c r="ABI75" s="178"/>
      <c r="ABJ75" s="178"/>
      <c r="ABK75" s="178"/>
      <c r="ABL75" s="178"/>
      <c r="ABM75" s="178"/>
      <c r="ABN75" s="178"/>
      <c r="ABO75" s="178"/>
      <c r="ABP75" s="178"/>
      <c r="ABQ75" s="178"/>
      <c r="ABR75" s="178"/>
      <c r="ABS75" s="178"/>
      <c r="ABT75" s="178"/>
      <c r="ABU75" s="178"/>
      <c r="ABV75" s="178"/>
      <c r="ABW75" s="178"/>
      <c r="ABX75" s="178"/>
      <c r="ABY75" s="178"/>
      <c r="ABZ75" s="178"/>
      <c r="ACA75" s="178"/>
      <c r="ACB75" s="178"/>
      <c r="ACC75" s="178"/>
      <c r="ACD75" s="178"/>
      <c r="ACE75" s="178"/>
      <c r="ACF75" s="178"/>
      <c r="ACG75" s="178"/>
      <c r="ACH75" s="178"/>
      <c r="ACI75" s="178"/>
      <c r="ACJ75" s="178"/>
      <c r="ACK75" s="178"/>
      <c r="ACL75" s="178"/>
      <c r="ACM75" s="178"/>
      <c r="ACN75" s="178"/>
      <c r="ACO75" s="178"/>
      <c r="ACP75" s="178"/>
      <c r="ACQ75" s="178"/>
      <c r="ACR75" s="178"/>
      <c r="ACS75" s="178"/>
      <c r="ACT75" s="178"/>
      <c r="ACU75" s="178"/>
      <c r="ACV75" s="178"/>
      <c r="ACW75" s="178"/>
      <c r="ACX75" s="178"/>
      <c r="ACY75" s="178"/>
      <c r="ACZ75" s="178"/>
      <c r="ADA75" s="178"/>
      <c r="ADB75" s="178"/>
      <c r="ADC75" s="178"/>
      <c r="ADD75" s="178"/>
      <c r="ADE75" s="178"/>
      <c r="ADF75" s="178"/>
      <c r="ADG75" s="178"/>
      <c r="ADH75" s="178"/>
      <c r="ADI75" s="178"/>
      <c r="ADJ75" s="178"/>
      <c r="ADK75" s="178"/>
      <c r="ADL75" s="178"/>
      <c r="ADM75" s="178"/>
      <c r="ADN75" s="178"/>
      <c r="ADO75" s="178"/>
      <c r="ADP75" s="178"/>
      <c r="ADQ75" s="178"/>
      <c r="ADR75" s="178"/>
      <c r="ADS75" s="178"/>
      <c r="ADT75" s="178"/>
      <c r="ADU75" s="178"/>
      <c r="ADV75" s="178"/>
      <c r="ADW75" s="178"/>
      <c r="ADX75" s="178"/>
      <c r="ADY75" s="178"/>
      <c r="ADZ75" s="178"/>
      <c r="AEA75" s="178"/>
      <c r="AEB75" s="178"/>
      <c r="AEC75" s="178"/>
      <c r="AED75" s="178"/>
      <c r="AEE75" s="178"/>
      <c r="AEF75" s="178"/>
      <c r="AEG75" s="178"/>
      <c r="AEH75" s="178"/>
      <c r="AEI75" s="178"/>
      <c r="AEJ75" s="178"/>
      <c r="AEK75" s="178"/>
      <c r="AEL75" s="178"/>
      <c r="AEM75" s="178"/>
      <c r="AEN75" s="178"/>
      <c r="AEO75" s="178"/>
      <c r="AEP75" s="178"/>
      <c r="AEQ75" s="178"/>
      <c r="AER75" s="178"/>
      <c r="AES75" s="178"/>
      <c r="AET75" s="178"/>
      <c r="AEU75" s="178"/>
      <c r="AEV75" s="178"/>
      <c r="AEW75" s="178"/>
      <c r="AEX75" s="178"/>
      <c r="AEY75" s="178"/>
      <c r="AEZ75" s="178"/>
      <c r="AFA75" s="178"/>
      <c r="AFB75" s="178"/>
      <c r="AFC75" s="178"/>
      <c r="AFD75" s="178"/>
      <c r="AFE75" s="178"/>
      <c r="AFF75" s="178"/>
      <c r="AFG75" s="178"/>
      <c r="AFH75" s="178"/>
      <c r="AFI75" s="178"/>
      <c r="AFJ75" s="178"/>
      <c r="AFK75" s="178"/>
      <c r="AFL75" s="178"/>
      <c r="AFM75" s="178"/>
      <c r="AFN75" s="178"/>
      <c r="AFO75" s="178"/>
      <c r="AFP75" s="178"/>
      <c r="AFQ75" s="178"/>
      <c r="AFR75" s="156" t="s">
        <v>14</v>
      </c>
      <c r="AFS75" s="178" t="s">
        <v>356</v>
      </c>
    </row>
    <row r="76" spans="2:936" hidden="1" x14ac:dyDescent="0.25">
      <c r="B76" s="749"/>
      <c r="C76" s="582" t="s">
        <v>39</v>
      </c>
      <c r="D76" s="489"/>
      <c r="E76" s="509" t="s">
        <v>14</v>
      </c>
      <c r="F76" s="583">
        <f t="shared" ref="F76:K76" si="27">SUM(F80:F81)*10.86</f>
        <v>400256.16</v>
      </c>
      <c r="G76" s="583" t="e">
        <f t="shared" si="27"/>
        <v>#REF!</v>
      </c>
      <c r="H76" s="583">
        <f t="shared" si="27"/>
        <v>0</v>
      </c>
      <c r="I76" s="584">
        <f>'[22]April 24'!AL70</f>
        <v>0</v>
      </c>
      <c r="J76" s="584">
        <f t="shared" si="27"/>
        <v>0</v>
      </c>
      <c r="K76" s="584">
        <f t="shared" si="27"/>
        <v>0</v>
      </c>
      <c r="L76" s="584">
        <f t="shared" ref="L76:Q76" si="28">SUM(L80:L81)*10.86</f>
        <v>0</v>
      </c>
      <c r="M76" s="584">
        <f t="shared" si="28"/>
        <v>0</v>
      </c>
      <c r="N76" s="584">
        <f t="shared" si="28"/>
        <v>0</v>
      </c>
      <c r="O76" s="584">
        <f t="shared" si="28"/>
        <v>0</v>
      </c>
      <c r="P76" s="584">
        <f>SUM(P80:P81)*10.86</f>
        <v>0</v>
      </c>
      <c r="Q76" s="584">
        <f t="shared" si="28"/>
        <v>0</v>
      </c>
      <c r="R76" s="737"/>
      <c r="S76" s="728" t="e">
        <f>SUM(S80:S81)*10.86</f>
        <v>#REF!</v>
      </c>
      <c r="T76" s="705">
        <f>SUM(T80:T81)*10.86</f>
        <v>32269045.619999997</v>
      </c>
      <c r="U76" s="791" t="e">
        <f>(S76/T76)*100</f>
        <v>#REF!</v>
      </c>
      <c r="V76" s="315"/>
      <c r="W76" s="1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R76" s="65"/>
      <c r="AX76" s="1"/>
      <c r="BD76" s="146"/>
      <c r="BE76" s="146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CH76" s="146"/>
      <c r="DA76" s="1"/>
      <c r="DP76" s="5"/>
      <c r="DQ76" s="146"/>
      <c r="DR76" s="146"/>
      <c r="DS76" s="146"/>
      <c r="DT76" s="146"/>
      <c r="FW76" s="146"/>
      <c r="FX76" s="144" t="e">
        <f>#REF!/1000</f>
        <v>#REF!</v>
      </c>
      <c r="JR76" s="146"/>
      <c r="JS76" s="146"/>
      <c r="JT76" s="146"/>
      <c r="JU76" s="146"/>
      <c r="OY76" s="146">
        <v>4696</v>
      </c>
      <c r="OZ76" s="149" t="e">
        <f>FX76/OY76*100</f>
        <v>#REF!</v>
      </c>
      <c r="PB76" s="146"/>
      <c r="PP76" s="149"/>
      <c r="PT76" s="146"/>
      <c r="RW76" s="149"/>
      <c r="AHF76" s="145"/>
      <c r="AIU76" s="145"/>
      <c r="AIV76" s="145"/>
      <c r="AIW76" s="145"/>
    </row>
    <row r="77" spans="2:936" hidden="1" x14ac:dyDescent="0.25">
      <c r="B77" s="749"/>
      <c r="C77" s="582" t="s">
        <v>38</v>
      </c>
      <c r="D77" s="489"/>
      <c r="E77" s="509" t="s">
        <v>14</v>
      </c>
      <c r="F77" s="453">
        <f>F75-F76</f>
        <v>-1234.8800000000047</v>
      </c>
      <c r="G77" s="453" t="e">
        <f>G75-G76</f>
        <v>#REF!</v>
      </c>
      <c r="H77" s="453">
        <f>H75-H76</f>
        <v>0</v>
      </c>
      <c r="I77" s="453">
        <f>'[22]April 24'!AL71</f>
        <v>0</v>
      </c>
      <c r="J77" s="453">
        <f>J75-J76</f>
        <v>0</v>
      </c>
      <c r="K77" s="453">
        <f t="shared" ref="K77:Q77" si="29">K75-K76</f>
        <v>0</v>
      </c>
      <c r="L77" s="453">
        <f t="shared" si="29"/>
        <v>0</v>
      </c>
      <c r="M77" s="453">
        <f t="shared" si="29"/>
        <v>0</v>
      </c>
      <c r="N77" s="453">
        <f t="shared" si="29"/>
        <v>0</v>
      </c>
      <c r="O77" s="453">
        <f>O75-O76</f>
        <v>0</v>
      </c>
      <c r="P77" s="453">
        <f>P75-P76</f>
        <v>0</v>
      </c>
      <c r="Q77" s="453">
        <f t="shared" si="29"/>
        <v>0</v>
      </c>
      <c r="R77" s="737"/>
      <c r="S77" s="61" t="e">
        <f>SUM(F77:Q77)</f>
        <v>#REF!</v>
      </c>
      <c r="T77" s="687" t="e">
        <f>SUM(G77:R77)</f>
        <v>#REF!</v>
      </c>
      <c r="U77" s="791" t="e">
        <f>(S77/T77)*100</f>
        <v>#REF!</v>
      </c>
      <c r="V77" s="144"/>
      <c r="W77" s="1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R77" s="65"/>
      <c r="AX77" s="1"/>
      <c r="BD77" s="146"/>
      <c r="BE77" s="146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CH77" s="146"/>
      <c r="DA77" s="1"/>
      <c r="DP77" s="5"/>
      <c r="DQ77" s="146"/>
      <c r="DR77" s="146"/>
      <c r="DS77" s="146"/>
      <c r="DT77" s="146"/>
      <c r="FW77" s="146"/>
      <c r="FX77" s="494" t="e">
        <f>#REF!/1000</f>
        <v>#REF!</v>
      </c>
      <c r="JR77" s="146"/>
      <c r="JS77" s="146"/>
      <c r="JT77" s="146"/>
      <c r="JU77" s="146"/>
      <c r="OY77" s="146">
        <v>565</v>
      </c>
      <c r="OZ77" s="149" t="e">
        <f>FX77/OY77*100</f>
        <v>#REF!</v>
      </c>
      <c r="PB77" s="146"/>
      <c r="PP77" s="149"/>
      <c r="PT77" s="146"/>
      <c r="RW77" s="149"/>
      <c r="AHF77" s="145"/>
      <c r="AIU77" s="145"/>
      <c r="AIV77" s="145"/>
      <c r="AIW77" s="145"/>
    </row>
    <row r="78" spans="2:936" hidden="1" x14ac:dyDescent="0.25">
      <c r="B78" s="749"/>
      <c r="C78" s="582" t="s">
        <v>50</v>
      </c>
      <c r="D78" s="489"/>
      <c r="E78" s="477" t="s">
        <v>14</v>
      </c>
      <c r="F78" s="453">
        <f>'[22]Januari 24'!AL72</f>
        <v>0</v>
      </c>
      <c r="G78" s="453">
        <f>'[22]Februari 24'!AI72</f>
        <v>0</v>
      </c>
      <c r="H78" s="453">
        <f>'[22]Maret 24'!AL72</f>
        <v>0</v>
      </c>
      <c r="I78" s="453">
        <f>'[22]April 24'!AL72</f>
        <v>0</v>
      </c>
      <c r="J78" s="453"/>
      <c r="K78" s="453"/>
      <c r="L78" s="453"/>
      <c r="M78" s="453"/>
      <c r="N78" s="453"/>
      <c r="O78" s="453"/>
      <c r="P78" s="453">
        <v>0</v>
      </c>
      <c r="Q78" s="453">
        <v>0</v>
      </c>
      <c r="R78" s="737"/>
      <c r="S78" s="61">
        <f>SUM(F78:Q78)</f>
        <v>0</v>
      </c>
      <c r="T78" s="687">
        <f>SUM(G78:R78)</f>
        <v>0</v>
      </c>
      <c r="U78" s="791"/>
      <c r="W78" s="1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R78" s="65"/>
      <c r="AX78" s="1"/>
      <c r="BD78" s="146"/>
      <c r="BE78" s="146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CH78" s="146"/>
      <c r="DA78" s="1"/>
      <c r="DP78" s="5"/>
      <c r="DQ78" s="146"/>
      <c r="DR78" s="146"/>
      <c r="DS78" s="146"/>
      <c r="DT78" s="146"/>
      <c r="FW78" s="146"/>
      <c r="JR78" s="146"/>
      <c r="JS78" s="146"/>
      <c r="JT78" s="146"/>
      <c r="JU78" s="146"/>
      <c r="OY78" s="146"/>
      <c r="OZ78" s="146"/>
      <c r="PB78" s="146"/>
      <c r="PP78" s="149"/>
      <c r="PT78" s="146"/>
      <c r="RW78" s="149"/>
      <c r="AHF78" s="145"/>
      <c r="AIU78" s="145"/>
      <c r="AIV78" s="145"/>
      <c r="AIW78" s="145"/>
    </row>
    <row r="79" spans="2:936" hidden="1" x14ac:dyDescent="0.25">
      <c r="B79" s="749"/>
      <c r="C79" s="582" t="s">
        <v>29</v>
      </c>
      <c r="D79" s="489"/>
      <c r="E79" s="477"/>
      <c r="F79" s="452"/>
      <c r="G79" s="452"/>
      <c r="H79" s="452"/>
      <c r="I79" s="452"/>
      <c r="J79" s="452"/>
      <c r="K79" s="452"/>
      <c r="L79" s="452"/>
      <c r="M79" s="452"/>
      <c r="N79" s="452"/>
      <c r="O79" s="452"/>
      <c r="P79" s="452"/>
      <c r="Q79" s="452"/>
      <c r="R79" s="737"/>
      <c r="S79" s="66" t="s">
        <v>29</v>
      </c>
      <c r="T79" s="706" t="s">
        <v>29</v>
      </c>
      <c r="U79" s="807" t="s">
        <v>29</v>
      </c>
      <c r="W79" s="1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R79" s="65"/>
      <c r="AX79" s="1"/>
      <c r="BD79" s="146"/>
      <c r="BE79" s="146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CH79" s="146"/>
      <c r="DA79" s="1"/>
      <c r="DP79" s="5"/>
      <c r="DQ79" s="146"/>
      <c r="DR79" s="146"/>
      <c r="DS79" s="146"/>
      <c r="DT79" s="146"/>
      <c r="FW79" s="146"/>
      <c r="JR79" s="146"/>
      <c r="JS79" s="146"/>
      <c r="JT79" s="146"/>
      <c r="JU79" s="146"/>
      <c r="OY79" s="146"/>
      <c r="OZ79" s="146"/>
      <c r="PB79" s="146"/>
      <c r="PP79" s="149"/>
      <c r="PT79" s="146"/>
      <c r="RW79" s="149"/>
      <c r="AHF79" s="145"/>
      <c r="AIU79" s="145"/>
      <c r="AIV79" s="145"/>
      <c r="AIW79" s="145"/>
    </row>
    <row r="80" spans="2:936" hidden="1" x14ac:dyDescent="0.25">
      <c r="B80" s="750"/>
      <c r="C80" s="585" t="s">
        <v>49</v>
      </c>
      <c r="D80" s="450"/>
      <c r="E80" s="586" t="s">
        <v>31</v>
      </c>
      <c r="F80" s="289">
        <f>'[22]Januari 24'!AL74</f>
        <v>17197</v>
      </c>
      <c r="G80" s="289" t="e">
        <f>'[22]Februari 24'!AI74</f>
        <v>#REF!</v>
      </c>
      <c r="H80" s="289">
        <f>'[22]Maret 24'!AL74</f>
        <v>0</v>
      </c>
      <c r="I80" s="289">
        <f>'[22]April 24'!AL74</f>
        <v>0</v>
      </c>
      <c r="J80" s="289">
        <f>'[22]Mei 24'!AL74</f>
        <v>0</v>
      </c>
      <c r="K80" s="289">
        <f>'[22]Juny 24'!AL74</f>
        <v>0</v>
      </c>
      <c r="L80" s="289">
        <f>'[22]July 24'!AL74</f>
        <v>0</v>
      </c>
      <c r="M80" s="289">
        <f>'[22]Agustus 24'!AL74</f>
        <v>0</v>
      </c>
      <c r="N80" s="289">
        <f>'[22]September 24'!AL74</f>
        <v>0</v>
      </c>
      <c r="O80" s="289">
        <f>'[22]Oktober 24'!AL74</f>
        <v>0</v>
      </c>
      <c r="P80" s="289">
        <f>'[22]November 24'!AL74</f>
        <v>0</v>
      </c>
      <c r="Q80" s="289">
        <f>'[22]Desember 24'!AL74</f>
        <v>0</v>
      </c>
      <c r="R80" s="739"/>
      <c r="S80" s="57" t="e">
        <f>SUM(F80:Q80)</f>
        <v>#REF!</v>
      </c>
      <c r="T80" s="684">
        <v>1254577</v>
      </c>
      <c r="U80" s="791" t="e">
        <f>(S80/T80)*100</f>
        <v>#REF!</v>
      </c>
      <c r="W80" s="1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R80" s="65"/>
      <c r="AX80" s="16"/>
      <c r="BD80" s="152"/>
      <c r="BE80" s="152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CH80" s="152"/>
      <c r="DA80" s="1"/>
      <c r="DP80" s="530"/>
      <c r="DQ80" s="152"/>
      <c r="DR80" s="152"/>
      <c r="DS80" s="152"/>
      <c r="DT80" s="152"/>
      <c r="FW80" s="152"/>
      <c r="JR80" s="152"/>
      <c r="JS80" s="152"/>
      <c r="JT80" s="152"/>
      <c r="JU80" s="152"/>
      <c r="OY80" s="152"/>
      <c r="OZ80" s="152"/>
      <c r="PB80" s="152"/>
      <c r="PP80" s="587"/>
      <c r="PT80" s="152"/>
      <c r="RW80" s="587"/>
      <c r="AHF80" s="148"/>
      <c r="AIU80" s="148"/>
      <c r="AIV80" s="148"/>
      <c r="AIW80" s="148"/>
    </row>
    <row r="81" spans="2:936" hidden="1" x14ac:dyDescent="0.25">
      <c r="B81" s="750"/>
      <c r="C81" s="585" t="s">
        <v>48</v>
      </c>
      <c r="D81" s="450"/>
      <c r="E81" s="586" t="s">
        <v>31</v>
      </c>
      <c r="F81" s="289">
        <f>'[22]Januari 24'!AL75</f>
        <v>19659</v>
      </c>
      <c r="G81" s="289" t="e">
        <f>'[22]Februari 24'!AI75</f>
        <v>#REF!</v>
      </c>
      <c r="H81" s="289">
        <f>'[22]Maret 24'!AL75</f>
        <v>0</v>
      </c>
      <c r="I81" s="289">
        <f>'[22]April 24'!AL75</f>
        <v>0</v>
      </c>
      <c r="J81" s="289">
        <f>'[22]Mei 24'!AL75</f>
        <v>0</v>
      </c>
      <c r="K81" s="289">
        <f>'[22]Juny 24'!AL75</f>
        <v>0</v>
      </c>
      <c r="L81" s="289">
        <f>'[22]July 24'!AL75</f>
        <v>0</v>
      </c>
      <c r="M81" s="289">
        <f>'[22]Agustus 24'!AL75</f>
        <v>0</v>
      </c>
      <c r="N81" s="289">
        <f>'[22]September 24'!AL75</f>
        <v>0</v>
      </c>
      <c r="O81" s="289">
        <f>'[22]Oktober 24'!AL75</f>
        <v>0</v>
      </c>
      <c r="P81" s="289">
        <f>'[22]November 24'!AL75</f>
        <v>0</v>
      </c>
      <c r="Q81" s="289">
        <f>'[22]Desember 24'!AL75</f>
        <v>0</v>
      </c>
      <c r="R81" s="739"/>
      <c r="S81" s="57" t="e">
        <f>SUM(F81:Q81)</f>
        <v>#REF!</v>
      </c>
      <c r="T81" s="684">
        <v>1716790</v>
      </c>
      <c r="U81" s="791" t="e">
        <f>(S81/T81)*100</f>
        <v>#REF!</v>
      </c>
      <c r="W81" s="1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R81" s="65"/>
      <c r="AX81" s="16"/>
      <c r="BD81" s="152"/>
      <c r="BE81" s="152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CH81" s="152"/>
      <c r="DA81" s="1"/>
      <c r="DP81" s="530"/>
      <c r="DQ81" s="152"/>
      <c r="DR81" s="152"/>
      <c r="DS81" s="152"/>
      <c r="DT81" s="152"/>
      <c r="FW81" s="152"/>
      <c r="JR81" s="152"/>
      <c r="JS81" s="152"/>
      <c r="JT81" s="152"/>
      <c r="JU81" s="152"/>
      <c r="OY81" s="152"/>
      <c r="OZ81" s="152"/>
      <c r="PB81" s="152"/>
      <c r="PP81" s="587"/>
      <c r="PT81" s="152"/>
      <c r="RW81" s="587"/>
      <c r="AHF81" s="148"/>
      <c r="AIU81" s="148"/>
      <c r="AIV81" s="148"/>
      <c r="AIW81" s="148"/>
    </row>
    <row r="82" spans="2:936" hidden="1" x14ac:dyDescent="0.25">
      <c r="B82" s="749"/>
      <c r="C82" s="582" t="s">
        <v>28</v>
      </c>
      <c r="D82" s="489"/>
      <c r="E82" s="477"/>
      <c r="F82" s="452"/>
      <c r="G82" s="452"/>
      <c r="H82" s="452"/>
      <c r="I82" s="452"/>
      <c r="J82" s="452"/>
      <c r="K82" s="452"/>
      <c r="L82" s="452"/>
      <c r="M82" s="452"/>
      <c r="N82" s="452"/>
      <c r="O82" s="452"/>
      <c r="P82" s="452"/>
      <c r="Q82" s="452"/>
      <c r="R82" s="737"/>
      <c r="S82" s="66" t="s">
        <v>28</v>
      </c>
      <c r="T82" s="706" t="s">
        <v>28</v>
      </c>
      <c r="U82" s="807" t="s">
        <v>28</v>
      </c>
      <c r="W82" s="6"/>
      <c r="X82" s="65"/>
      <c r="Y82" s="824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R82" s="65"/>
      <c r="AX82" s="1"/>
      <c r="BG82" s="146"/>
      <c r="BH82" s="146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CK82" s="146"/>
      <c r="DA82" s="1"/>
      <c r="DS82" s="5"/>
      <c r="DT82" s="146"/>
      <c r="DU82" s="146"/>
      <c r="DV82" s="146"/>
      <c r="DW82" s="146"/>
      <c r="FZ82" s="146"/>
      <c r="JU82" s="146"/>
      <c r="JV82" s="146"/>
      <c r="JW82" s="146"/>
      <c r="JX82" s="146"/>
      <c r="PB82" s="146"/>
      <c r="PC82" s="146"/>
      <c r="PE82" s="146"/>
      <c r="PS82" s="149"/>
      <c r="PW82" s="146"/>
      <c r="RZ82" s="149"/>
      <c r="AHI82" s="145"/>
      <c r="AIX82" s="145"/>
      <c r="AIY82" s="145"/>
      <c r="AIZ82" s="145"/>
    </row>
    <row r="83" spans="2:936" hidden="1" x14ac:dyDescent="0.25">
      <c r="B83" s="749"/>
      <c r="C83" s="475" t="s">
        <v>49</v>
      </c>
      <c r="D83" s="489"/>
      <c r="E83" s="509" t="s">
        <v>28</v>
      </c>
      <c r="F83" s="452">
        <f>F80*12</f>
        <v>206364</v>
      </c>
      <c r="G83" s="452" t="e">
        <f>G80*12</f>
        <v>#REF!</v>
      </c>
      <c r="H83" s="452">
        <f>H80*12</f>
        <v>0</v>
      </c>
      <c r="I83" s="452">
        <f t="shared" ref="I83:Q83" si="30">I80*12</f>
        <v>0</v>
      </c>
      <c r="J83" s="452">
        <f t="shared" si="30"/>
        <v>0</v>
      </c>
      <c r="K83" s="452">
        <f t="shared" si="30"/>
        <v>0</v>
      </c>
      <c r="L83" s="452">
        <f t="shared" si="30"/>
        <v>0</v>
      </c>
      <c r="M83" s="452">
        <f t="shared" si="30"/>
        <v>0</v>
      </c>
      <c r="N83" s="452">
        <f t="shared" si="30"/>
        <v>0</v>
      </c>
      <c r="O83" s="452">
        <f t="shared" si="30"/>
        <v>0</v>
      </c>
      <c r="P83" s="452">
        <f t="shared" si="30"/>
        <v>0</v>
      </c>
      <c r="Q83" s="452">
        <f t="shared" si="30"/>
        <v>0</v>
      </c>
      <c r="R83" s="737"/>
      <c r="S83" s="57" t="e">
        <f>S80*12</f>
        <v>#REF!</v>
      </c>
      <c r="T83" s="684">
        <f>T80*12</f>
        <v>15054924</v>
      </c>
      <c r="U83" s="791" t="e">
        <f>(S83/T83)*100</f>
        <v>#REF!</v>
      </c>
      <c r="W83" s="6"/>
      <c r="X83" s="65"/>
      <c r="Y83" s="824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R83" s="65"/>
      <c r="AX83" s="1"/>
      <c r="BG83" s="146"/>
      <c r="BH83" s="146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CK83" s="146"/>
      <c r="DA83" s="1"/>
      <c r="DS83" s="5"/>
      <c r="DT83" s="146"/>
      <c r="DU83" s="146"/>
      <c r="DV83" s="146"/>
      <c r="DW83" s="146"/>
      <c r="FZ83" s="146"/>
      <c r="JU83" s="146"/>
      <c r="JV83" s="146"/>
      <c r="JW83" s="146"/>
      <c r="JX83" s="146"/>
      <c r="PB83" s="146"/>
      <c r="PC83" s="146"/>
      <c r="PE83" s="146"/>
      <c r="PS83" s="149"/>
      <c r="PW83" s="146"/>
      <c r="RZ83" s="149"/>
      <c r="AHI83" s="145"/>
      <c r="AIX83" s="145"/>
      <c r="AIY83" s="145"/>
      <c r="AIZ83" s="145"/>
    </row>
    <row r="84" spans="2:936" hidden="1" x14ac:dyDescent="0.25">
      <c r="B84" s="749"/>
      <c r="C84" s="475" t="s">
        <v>48</v>
      </c>
      <c r="D84" s="489"/>
      <c r="E84" s="509" t="s">
        <v>28</v>
      </c>
      <c r="F84" s="452">
        <f>F81*6</f>
        <v>117954</v>
      </c>
      <c r="G84" s="452" t="e">
        <f>G81*6</f>
        <v>#REF!</v>
      </c>
      <c r="H84" s="452">
        <f>H81*6</f>
        <v>0</v>
      </c>
      <c r="I84" s="452">
        <f t="shared" ref="I84:Q84" si="31">I81*6</f>
        <v>0</v>
      </c>
      <c r="J84" s="452">
        <f t="shared" si="31"/>
        <v>0</v>
      </c>
      <c r="K84" s="452">
        <f t="shared" si="31"/>
        <v>0</v>
      </c>
      <c r="L84" s="452">
        <f t="shared" si="31"/>
        <v>0</v>
      </c>
      <c r="M84" s="452">
        <f t="shared" si="31"/>
        <v>0</v>
      </c>
      <c r="N84" s="452">
        <f t="shared" si="31"/>
        <v>0</v>
      </c>
      <c r="O84" s="452">
        <f t="shared" si="31"/>
        <v>0</v>
      </c>
      <c r="P84" s="452">
        <f>P81*6</f>
        <v>0</v>
      </c>
      <c r="Q84" s="452">
        <f t="shared" si="31"/>
        <v>0</v>
      </c>
      <c r="R84" s="737"/>
      <c r="S84" s="57" t="e">
        <f>S81*6</f>
        <v>#REF!</v>
      </c>
      <c r="T84" s="684">
        <f>T81*6</f>
        <v>10300740</v>
      </c>
      <c r="U84" s="791" t="e">
        <f>(S84/T84)*100</f>
        <v>#REF!</v>
      </c>
      <c r="W84" s="6"/>
      <c r="X84" s="65"/>
      <c r="Y84" s="824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R84" s="65"/>
      <c r="AX84" s="1"/>
      <c r="BG84" s="146"/>
      <c r="BH84" s="146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CK84" s="146"/>
      <c r="DA84" s="1"/>
      <c r="DS84" s="5"/>
      <c r="DT84" s="146"/>
      <c r="DU84" s="146"/>
      <c r="DV84" s="146"/>
      <c r="DW84" s="146"/>
      <c r="FZ84" s="146"/>
      <c r="JU84" s="146"/>
      <c r="JV84" s="146"/>
      <c r="JW84" s="146"/>
      <c r="JX84" s="146"/>
      <c r="PB84" s="146"/>
      <c r="PC84" s="146"/>
      <c r="PE84" s="146"/>
      <c r="PS84" s="149"/>
      <c r="PW84" s="146"/>
      <c r="RZ84" s="149"/>
      <c r="AHI84" s="145"/>
      <c r="AIX84" s="145"/>
      <c r="AIY84" s="145"/>
      <c r="AIZ84" s="145"/>
    </row>
    <row r="85" spans="2:936" hidden="1" x14ac:dyDescent="0.25">
      <c r="B85" s="749"/>
      <c r="C85" s="582" t="s">
        <v>36</v>
      </c>
      <c r="D85" s="489"/>
      <c r="E85" s="509" t="s">
        <v>35</v>
      </c>
      <c r="F85" s="588">
        <f>(F75*45)/1700</f>
        <v>10562.328</v>
      </c>
      <c r="G85" s="589" t="e">
        <f>(G75*45)/1700</f>
        <v>#REF!</v>
      </c>
      <c r="H85" s="589">
        <f>(H75*45)/1700</f>
        <v>0</v>
      </c>
      <c r="I85" s="588">
        <f>(I75*45)/1700</f>
        <v>0</v>
      </c>
      <c r="J85" s="588">
        <f t="shared" ref="J85:Q85" si="32">(J75*45)/1700</f>
        <v>0</v>
      </c>
      <c r="K85" s="588">
        <f t="shared" si="32"/>
        <v>0</v>
      </c>
      <c r="L85" s="588">
        <f t="shared" si="32"/>
        <v>0</v>
      </c>
      <c r="M85" s="588">
        <f t="shared" si="32"/>
        <v>0</v>
      </c>
      <c r="N85" s="588">
        <f t="shared" si="32"/>
        <v>0</v>
      </c>
      <c r="O85" s="588">
        <f t="shared" si="32"/>
        <v>0</v>
      </c>
      <c r="P85" s="588">
        <f>(P75*45)/1700</f>
        <v>0</v>
      </c>
      <c r="Q85" s="588">
        <f t="shared" si="32"/>
        <v>0</v>
      </c>
      <c r="R85" s="737"/>
      <c r="S85" s="57" t="e">
        <f>SUM(F85:Q85)</f>
        <v>#REF!</v>
      </c>
      <c r="T85" s="588" t="e">
        <f>(T75*45)/1700</f>
        <v>#REF!</v>
      </c>
      <c r="U85" s="791" t="e">
        <f>(S85/T85)*100</f>
        <v>#REF!</v>
      </c>
      <c r="W85" s="6"/>
      <c r="X85" s="65"/>
      <c r="Y85" s="824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R85" s="65"/>
      <c r="AX85" s="1"/>
      <c r="BG85" s="146"/>
      <c r="BH85" s="146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CK85" s="146"/>
      <c r="DA85" s="1"/>
      <c r="DS85" s="5"/>
      <c r="DT85" s="146"/>
      <c r="DU85" s="146"/>
      <c r="DV85" s="146"/>
      <c r="DW85" s="146"/>
      <c r="FZ85" s="146"/>
      <c r="JU85" s="146"/>
      <c r="JV85" s="146"/>
      <c r="JW85" s="146"/>
      <c r="JX85" s="146"/>
      <c r="PB85" s="146"/>
      <c r="PC85" s="146"/>
      <c r="PE85" s="146"/>
      <c r="PS85" s="149"/>
      <c r="PW85" s="146"/>
      <c r="RZ85" s="149"/>
      <c r="AHI85" s="145"/>
      <c r="AIX85" s="145"/>
      <c r="AIY85" s="145"/>
      <c r="AIZ85" s="145"/>
    </row>
    <row r="86" spans="2:936" hidden="1" x14ac:dyDescent="0.25">
      <c r="B86" s="749"/>
      <c r="C86" s="582" t="s">
        <v>34</v>
      </c>
      <c r="D86" s="489"/>
      <c r="E86" s="509" t="s">
        <v>33</v>
      </c>
      <c r="F86" s="452">
        <f>SUM(F80:F81)/500</f>
        <v>73.712000000000003</v>
      </c>
      <c r="G86" s="452" t="e">
        <f>SUM(G80:G81)/500</f>
        <v>#REF!</v>
      </c>
      <c r="H86" s="452">
        <f>SUM(H80:H81)/500</f>
        <v>0</v>
      </c>
      <c r="I86" s="452">
        <f t="shared" ref="I86:Q86" si="33">SUM(I80:I81)/500</f>
        <v>0</v>
      </c>
      <c r="J86" s="452">
        <f t="shared" si="33"/>
        <v>0</v>
      </c>
      <c r="K86" s="452">
        <f t="shared" si="33"/>
        <v>0</v>
      </c>
      <c r="L86" s="452">
        <f t="shared" si="33"/>
        <v>0</v>
      </c>
      <c r="M86" s="452">
        <f t="shared" si="33"/>
        <v>0</v>
      </c>
      <c r="N86" s="452">
        <f t="shared" si="33"/>
        <v>0</v>
      </c>
      <c r="O86" s="452">
        <f t="shared" si="33"/>
        <v>0</v>
      </c>
      <c r="P86" s="452">
        <f t="shared" si="33"/>
        <v>0</v>
      </c>
      <c r="Q86" s="452">
        <f t="shared" si="33"/>
        <v>0</v>
      </c>
      <c r="R86" s="737"/>
      <c r="S86" s="57" t="e">
        <f>SUM(F86:Q86)</f>
        <v>#REF!</v>
      </c>
      <c r="T86" s="545">
        <f>SUM(T80:T81)/500</f>
        <v>5942.7340000000004</v>
      </c>
      <c r="U86" s="791" t="e">
        <f>(S86/T86)*100</f>
        <v>#REF!</v>
      </c>
      <c r="W86" s="6"/>
      <c r="X86" s="65"/>
      <c r="Y86" s="824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R86" s="65"/>
      <c r="AX86" s="1"/>
      <c r="BG86" s="146"/>
      <c r="BH86" s="146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CK86" s="146"/>
      <c r="DA86" s="1"/>
      <c r="DS86" s="5"/>
      <c r="DT86" s="146"/>
      <c r="DU86" s="146"/>
      <c r="DV86" s="146"/>
      <c r="DW86" s="146"/>
      <c r="FZ86" s="146"/>
      <c r="JU86" s="146"/>
      <c r="JV86" s="146"/>
      <c r="JW86" s="146"/>
      <c r="JX86" s="146"/>
      <c r="PB86" s="146"/>
      <c r="PC86" s="146"/>
      <c r="PE86" s="146"/>
      <c r="PS86" s="149"/>
      <c r="PW86" s="146"/>
      <c r="RZ86" s="149"/>
      <c r="AHI86" s="145"/>
      <c r="AIX86" s="145"/>
      <c r="AIY86" s="145"/>
      <c r="AIZ86" s="145"/>
    </row>
    <row r="87" spans="2:936" hidden="1" x14ac:dyDescent="0.25">
      <c r="B87" s="746"/>
      <c r="C87" s="431" t="s">
        <v>32</v>
      </c>
      <c r="D87" s="49"/>
      <c r="E87" s="49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3"/>
      <c r="S87" s="535" t="s">
        <v>131</v>
      </c>
      <c r="T87" s="695" t="s">
        <v>131</v>
      </c>
      <c r="U87" s="798" t="s">
        <v>131</v>
      </c>
      <c r="X87" s="65"/>
      <c r="Y87" s="824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R87" s="65"/>
      <c r="AX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DA87" s="1"/>
    </row>
    <row r="88" spans="2:936" hidden="1" x14ac:dyDescent="0.25">
      <c r="B88" s="749"/>
      <c r="C88" s="582" t="s">
        <v>29</v>
      </c>
      <c r="D88" s="489"/>
      <c r="E88" s="477"/>
      <c r="F88" s="452"/>
      <c r="G88" s="452"/>
      <c r="H88" s="452"/>
      <c r="I88" s="452"/>
      <c r="J88" s="452"/>
      <c r="K88" s="452"/>
      <c r="L88" s="452"/>
      <c r="M88" s="452"/>
      <c r="N88" s="452"/>
      <c r="O88" s="452"/>
      <c r="P88" s="452"/>
      <c r="Q88" s="452"/>
      <c r="R88" s="737"/>
      <c r="S88" s="66" t="s">
        <v>29</v>
      </c>
      <c r="T88" s="706" t="s">
        <v>29</v>
      </c>
      <c r="U88" s="807" t="s">
        <v>29</v>
      </c>
      <c r="W88" s="6"/>
      <c r="X88" s="65"/>
      <c r="Y88" s="824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R88" s="65"/>
      <c r="AX88" s="1"/>
      <c r="BG88" s="146"/>
      <c r="BH88" s="146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CK88" s="146"/>
      <c r="DA88" s="1"/>
      <c r="DS88" s="5"/>
      <c r="DT88" s="146"/>
      <c r="DU88" s="146"/>
      <c r="DV88" s="146"/>
      <c r="DW88" s="146"/>
      <c r="FZ88" s="146"/>
      <c r="JU88" s="146"/>
      <c r="JV88" s="146"/>
      <c r="JW88" s="146"/>
      <c r="JX88" s="146"/>
      <c r="PB88" s="146"/>
      <c r="PC88" s="146"/>
      <c r="PE88" s="146"/>
      <c r="PS88" s="149"/>
      <c r="PW88" s="146"/>
      <c r="RZ88" s="149"/>
      <c r="AHI88" s="145"/>
      <c r="AIX88" s="145"/>
      <c r="AIY88" s="145"/>
      <c r="AIZ88" s="145"/>
    </row>
    <row r="89" spans="2:936" hidden="1" x14ac:dyDescent="0.25">
      <c r="B89" s="749"/>
      <c r="C89" s="475" t="s">
        <v>49</v>
      </c>
      <c r="D89" s="489"/>
      <c r="E89" s="509" t="s">
        <v>31</v>
      </c>
      <c r="F89" s="33">
        <f>'[22]Januari 24'!AL74</f>
        <v>17197</v>
      </c>
      <c r="G89" s="33" t="e">
        <f>'[22]Februari 24'!AI83</f>
        <v>#REF!</v>
      </c>
      <c r="H89" s="33">
        <f>'[22]Maret 24'!AL83</f>
        <v>0</v>
      </c>
      <c r="I89" s="33">
        <f>'[22]April 24'!AL83</f>
        <v>0</v>
      </c>
      <c r="J89" s="33">
        <f>'[22]Mei 24'!AL83</f>
        <v>0</v>
      </c>
      <c r="K89" s="33">
        <f>'[22]Juny 24'!AL83</f>
        <v>0</v>
      </c>
      <c r="L89" s="33">
        <f>'[22]July 24'!AL83</f>
        <v>0</v>
      </c>
      <c r="M89" s="33">
        <f>'[22]Agustus 24'!AL83</f>
        <v>0</v>
      </c>
      <c r="N89" s="33">
        <f>'[22]September 24'!AL83</f>
        <v>0</v>
      </c>
      <c r="O89" s="33">
        <f>'[22]Oktober 24'!AL83</f>
        <v>0</v>
      </c>
      <c r="P89" s="33">
        <f>'[22]November 24'!AL83</f>
        <v>0</v>
      </c>
      <c r="Q89" s="33">
        <f>'[22]Desember 24'!AL83</f>
        <v>0</v>
      </c>
      <c r="R89" s="737"/>
      <c r="S89" s="57" t="e">
        <f t="shared" ref="S89:U90" si="34">SUM(F89:Q89)</f>
        <v>#REF!</v>
      </c>
      <c r="T89" s="684" t="e">
        <f t="shared" si="34"/>
        <v>#REF!</v>
      </c>
      <c r="U89" s="808" t="e">
        <f t="shared" si="34"/>
        <v>#REF!</v>
      </c>
      <c r="W89" s="6"/>
      <c r="X89" s="65"/>
      <c r="Y89" s="824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R89" s="65"/>
      <c r="AX89" s="1"/>
      <c r="BG89" s="146"/>
      <c r="BH89" s="146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CK89" s="146"/>
      <c r="DA89" s="1"/>
      <c r="DS89" s="5"/>
      <c r="DT89" s="146"/>
      <c r="DU89" s="146"/>
      <c r="DV89" s="146"/>
      <c r="DW89" s="146"/>
      <c r="FZ89" s="146"/>
      <c r="JU89" s="146"/>
      <c r="JV89" s="146"/>
      <c r="JW89" s="146"/>
      <c r="JX89" s="146"/>
      <c r="PB89" s="146"/>
      <c r="PC89" s="146"/>
      <c r="PE89" s="146"/>
      <c r="PS89" s="149"/>
      <c r="PW89" s="146"/>
      <c r="RZ89" s="149"/>
      <c r="AHI89" s="145"/>
      <c r="AIX89" s="145"/>
      <c r="AIY89" s="145"/>
      <c r="AIZ89" s="145"/>
    </row>
    <row r="90" spans="2:936" hidden="1" x14ac:dyDescent="0.25">
      <c r="B90" s="749"/>
      <c r="C90" s="475" t="s">
        <v>48</v>
      </c>
      <c r="D90" s="489"/>
      <c r="E90" s="509" t="s">
        <v>31</v>
      </c>
      <c r="F90" s="33">
        <f>'[22]Januari 24'!AL75</f>
        <v>19659</v>
      </c>
      <c r="G90" s="33" t="e">
        <f>'[22]Februari 24'!AI84</f>
        <v>#REF!</v>
      </c>
      <c r="H90" s="33">
        <f>'[22]Maret 24'!AL84</f>
        <v>0</v>
      </c>
      <c r="I90" s="33">
        <f>'[22]April 24'!AL84</f>
        <v>0</v>
      </c>
      <c r="J90" s="33">
        <f>'[22]Mei 24'!AL84</f>
        <v>0</v>
      </c>
      <c r="K90" s="33">
        <f>'[22]Juny 24'!AL84</f>
        <v>0</v>
      </c>
      <c r="L90" s="33">
        <f>'[22]July 24'!AL84</f>
        <v>0</v>
      </c>
      <c r="M90" s="33">
        <f>'[22]Agustus 24'!AL84</f>
        <v>0</v>
      </c>
      <c r="N90" s="33">
        <f>'[22]September 24'!AL84</f>
        <v>0</v>
      </c>
      <c r="O90" s="33">
        <f>'[22]Oktober 24'!AL84</f>
        <v>0</v>
      </c>
      <c r="P90" s="33">
        <f>'[22]November 24'!AL84</f>
        <v>0</v>
      </c>
      <c r="Q90" s="33">
        <f>'[22]Desember 24'!AL84</f>
        <v>0</v>
      </c>
      <c r="R90" s="737"/>
      <c r="S90" s="57" t="e">
        <f t="shared" si="34"/>
        <v>#REF!</v>
      </c>
      <c r="T90" s="684" t="e">
        <f t="shared" si="34"/>
        <v>#REF!</v>
      </c>
      <c r="U90" s="808" t="e">
        <f t="shared" si="34"/>
        <v>#REF!</v>
      </c>
      <c r="W90" s="6"/>
      <c r="X90" s="65"/>
      <c r="Y90" s="824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R90" s="65"/>
      <c r="AX90" s="1"/>
      <c r="BG90" s="146"/>
      <c r="BH90" s="146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CK90" s="146"/>
      <c r="DA90" s="1"/>
      <c r="DS90" s="5"/>
      <c r="DT90" s="146"/>
      <c r="DU90" s="146"/>
      <c r="DV90" s="146"/>
      <c r="DW90" s="146"/>
      <c r="FZ90" s="146"/>
      <c r="JU90" s="146"/>
      <c r="JV90" s="146"/>
      <c r="JW90" s="146"/>
      <c r="JX90" s="146"/>
      <c r="PB90" s="146"/>
      <c r="PC90" s="146"/>
      <c r="PE90" s="146"/>
      <c r="PS90" s="149"/>
      <c r="PW90" s="146"/>
      <c r="RZ90" s="149"/>
      <c r="AHI90" s="145"/>
      <c r="AIX90" s="145"/>
      <c r="AIY90" s="145"/>
      <c r="AIZ90" s="145"/>
    </row>
    <row r="91" spans="2:936" hidden="1" x14ac:dyDescent="0.25">
      <c r="B91" s="749"/>
      <c r="C91" s="582" t="s">
        <v>28</v>
      </c>
      <c r="D91" s="489"/>
      <c r="E91" s="477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737"/>
      <c r="S91" s="66" t="s">
        <v>28</v>
      </c>
      <c r="T91" s="706" t="s">
        <v>28</v>
      </c>
      <c r="U91" s="807" t="s">
        <v>28</v>
      </c>
      <c r="W91" s="6"/>
      <c r="X91" s="65"/>
      <c r="Y91" s="824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825"/>
      <c r="AK91" s="825"/>
      <c r="AL91" s="825"/>
      <c r="AM91" s="825"/>
      <c r="AN91" s="825"/>
      <c r="AO91" s="825"/>
      <c r="AP91" s="825"/>
      <c r="AQ91" s="825"/>
      <c r="AR91" s="825"/>
      <c r="AS91" s="825"/>
      <c r="AX91" s="1"/>
      <c r="BG91" s="146"/>
      <c r="BH91" s="146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CK91" s="146"/>
      <c r="DA91" s="1"/>
      <c r="DS91" s="5"/>
      <c r="DT91" s="146"/>
      <c r="DU91" s="146"/>
      <c r="DV91" s="146"/>
      <c r="DW91" s="146"/>
      <c r="FZ91" s="146"/>
      <c r="JU91" s="146"/>
      <c r="JV91" s="146"/>
      <c r="JW91" s="146"/>
      <c r="JX91" s="146"/>
      <c r="PB91" s="146"/>
      <c r="PC91" s="146"/>
      <c r="PE91" s="146"/>
      <c r="PS91" s="149"/>
      <c r="PW91" s="146"/>
      <c r="RZ91" s="149"/>
      <c r="AHI91" s="145"/>
      <c r="AIX91" s="145"/>
      <c r="AIY91" s="145"/>
      <c r="AIZ91" s="145"/>
    </row>
    <row r="92" spans="2:936" hidden="1" x14ac:dyDescent="0.25">
      <c r="B92" s="749"/>
      <c r="C92" s="475" t="s">
        <v>49</v>
      </c>
      <c r="D92" s="489"/>
      <c r="E92" s="509" t="s">
        <v>28</v>
      </c>
      <c r="F92" s="590">
        <f>F89*12</f>
        <v>206364</v>
      </c>
      <c r="G92" s="590" t="e">
        <f>G89*12</f>
        <v>#REF!</v>
      </c>
      <c r="H92" s="590">
        <f>H89*12</f>
        <v>0</v>
      </c>
      <c r="I92" s="590">
        <f>I89*12</f>
        <v>0</v>
      </c>
      <c r="J92" s="590">
        <f t="shared" ref="J92:Q92" si="35">J89*12</f>
        <v>0</v>
      </c>
      <c r="K92" s="590">
        <f t="shared" si="35"/>
        <v>0</v>
      </c>
      <c r="L92" s="590">
        <f t="shared" si="35"/>
        <v>0</v>
      </c>
      <c r="M92" s="590">
        <f t="shared" si="35"/>
        <v>0</v>
      </c>
      <c r="N92" s="590">
        <f t="shared" si="35"/>
        <v>0</v>
      </c>
      <c r="O92" s="590">
        <f t="shared" si="35"/>
        <v>0</v>
      </c>
      <c r="P92" s="590">
        <f t="shared" si="35"/>
        <v>0</v>
      </c>
      <c r="Q92" s="590">
        <f t="shared" si="35"/>
        <v>0</v>
      </c>
      <c r="R92" s="737"/>
      <c r="S92" s="57" t="e">
        <f t="shared" ref="S92:U93" si="36">SUM(F92:Q92)</f>
        <v>#REF!</v>
      </c>
      <c r="T92" s="684" t="e">
        <f t="shared" si="36"/>
        <v>#REF!</v>
      </c>
      <c r="U92" s="808" t="e">
        <f t="shared" si="36"/>
        <v>#REF!</v>
      </c>
      <c r="W92" s="6"/>
      <c r="X92" s="65"/>
      <c r="Y92" s="824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837"/>
      <c r="AK92" s="825"/>
      <c r="AL92" s="825"/>
      <c r="AM92" s="825"/>
      <c r="AN92" s="838"/>
      <c r="AO92" s="825"/>
      <c r="AP92" s="825"/>
      <c r="AQ92" s="825"/>
      <c r="AR92" s="825"/>
      <c r="AS92" s="825"/>
      <c r="AX92" s="1"/>
      <c r="BG92" s="146"/>
      <c r="BH92" s="146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CK92" s="146"/>
      <c r="DA92" s="1"/>
      <c r="DS92" s="5"/>
      <c r="DT92" s="146"/>
      <c r="DU92" s="146"/>
      <c r="DV92" s="146"/>
      <c r="DW92" s="146"/>
      <c r="FZ92" s="146"/>
      <c r="JU92" s="146"/>
      <c r="JV92" s="146"/>
      <c r="JW92" s="146"/>
      <c r="JX92" s="146"/>
      <c r="PB92" s="146"/>
      <c r="PC92" s="146"/>
      <c r="PE92" s="146"/>
      <c r="PS92" s="149"/>
      <c r="PW92" s="146"/>
      <c r="RZ92" s="149"/>
      <c r="AHI92" s="145"/>
      <c r="AIX92" s="145"/>
      <c r="AIY92" s="145"/>
      <c r="AIZ92" s="145"/>
    </row>
    <row r="93" spans="2:936" hidden="1" x14ac:dyDescent="0.25">
      <c r="B93" s="749"/>
      <c r="C93" s="475" t="s">
        <v>48</v>
      </c>
      <c r="D93" s="489"/>
      <c r="E93" s="509" t="s">
        <v>28</v>
      </c>
      <c r="F93" s="590">
        <f>F90*6</f>
        <v>117954</v>
      </c>
      <c r="G93" s="590" t="e">
        <f>G90*6</f>
        <v>#REF!</v>
      </c>
      <c r="H93" s="590">
        <f>H90*6</f>
        <v>0</v>
      </c>
      <c r="I93" s="590">
        <f>I90*6</f>
        <v>0</v>
      </c>
      <c r="J93" s="590">
        <f t="shared" ref="J93:Q93" si="37">J90*6</f>
        <v>0</v>
      </c>
      <c r="K93" s="590">
        <f t="shared" si="37"/>
        <v>0</v>
      </c>
      <c r="L93" s="590">
        <f t="shared" si="37"/>
        <v>0</v>
      </c>
      <c r="M93" s="590">
        <f t="shared" si="37"/>
        <v>0</v>
      </c>
      <c r="N93" s="590">
        <f t="shared" si="37"/>
        <v>0</v>
      </c>
      <c r="O93" s="590">
        <f t="shared" si="37"/>
        <v>0</v>
      </c>
      <c r="P93" s="590">
        <f t="shared" si="37"/>
        <v>0</v>
      </c>
      <c r="Q93" s="590">
        <f t="shared" si="37"/>
        <v>0</v>
      </c>
      <c r="R93" s="737"/>
      <c r="S93" s="57" t="e">
        <f t="shared" si="36"/>
        <v>#REF!</v>
      </c>
      <c r="T93" s="684" t="e">
        <f t="shared" si="36"/>
        <v>#REF!</v>
      </c>
      <c r="U93" s="808" t="e">
        <f t="shared" si="36"/>
        <v>#REF!</v>
      </c>
      <c r="W93" s="6"/>
      <c r="X93" s="65"/>
      <c r="Y93" s="824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825"/>
      <c r="AK93" s="825"/>
      <c r="AL93" s="825"/>
      <c r="AM93" s="825"/>
      <c r="AN93" s="825"/>
      <c r="AO93" s="825"/>
      <c r="AP93" s="825"/>
      <c r="AQ93" s="825"/>
      <c r="AR93" s="825"/>
      <c r="AS93" s="825"/>
      <c r="AX93" s="1"/>
      <c r="BG93" s="146"/>
      <c r="BH93" s="146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CK93" s="146"/>
      <c r="DA93" s="1"/>
      <c r="DS93" s="5"/>
      <c r="DT93" s="146"/>
      <c r="DU93" s="146"/>
      <c r="DV93" s="146"/>
      <c r="DW93" s="146"/>
      <c r="FZ93" s="146"/>
      <c r="JU93" s="146"/>
      <c r="JV93" s="146"/>
      <c r="JW93" s="146"/>
      <c r="JX93" s="146"/>
      <c r="PB93" s="146"/>
      <c r="PC93" s="146"/>
      <c r="PE93" s="146"/>
      <c r="PS93" s="149"/>
      <c r="PW93" s="146"/>
      <c r="RZ93" s="149"/>
      <c r="AHI93" s="145"/>
      <c r="AIX93" s="145"/>
      <c r="AIY93" s="145"/>
      <c r="AIZ93" s="145"/>
    </row>
    <row r="94" spans="2:936" hidden="1" x14ac:dyDescent="0.25">
      <c r="B94" s="746"/>
      <c r="C94" s="431" t="s">
        <v>30</v>
      </c>
      <c r="D94" s="49"/>
      <c r="E94" s="49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3"/>
      <c r="S94" s="535" t="s">
        <v>131</v>
      </c>
      <c r="T94" s="695" t="s">
        <v>131</v>
      </c>
      <c r="U94" s="798" t="s">
        <v>131</v>
      </c>
      <c r="X94" s="65"/>
      <c r="Y94" s="824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825"/>
      <c r="AK94" s="825"/>
      <c r="AL94" s="825"/>
      <c r="AM94" s="825"/>
      <c r="AN94" s="825"/>
      <c r="AO94" s="825"/>
      <c r="AP94" s="825"/>
      <c r="AQ94" s="825"/>
      <c r="AR94" s="825"/>
      <c r="AS94" s="825"/>
      <c r="AX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DA94" s="1"/>
    </row>
    <row r="95" spans="2:936" hidden="1" x14ac:dyDescent="0.25">
      <c r="B95" s="749"/>
      <c r="C95" s="582" t="s">
        <v>29</v>
      </c>
      <c r="D95" s="489"/>
      <c r="E95" s="477"/>
      <c r="F95" s="452"/>
      <c r="G95" s="452"/>
      <c r="H95" s="452"/>
      <c r="I95" s="452"/>
      <c r="J95" s="452"/>
      <c r="K95" s="452"/>
      <c r="L95" s="452"/>
      <c r="M95" s="452"/>
      <c r="N95" s="452"/>
      <c r="O95" s="452"/>
      <c r="P95" s="452"/>
      <c r="Q95" s="452"/>
      <c r="R95" s="737"/>
      <c r="S95" s="66" t="s">
        <v>29</v>
      </c>
      <c r="T95" s="706" t="s">
        <v>29</v>
      </c>
      <c r="U95" s="807" t="s">
        <v>29</v>
      </c>
      <c r="W95" s="6"/>
      <c r="X95" s="65"/>
      <c r="Y95" s="824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825"/>
      <c r="AK95" s="825"/>
      <c r="AL95" s="825"/>
      <c r="AM95" s="825"/>
      <c r="AN95" s="825"/>
      <c r="AO95" s="825"/>
      <c r="AP95" s="825"/>
      <c r="AQ95" s="825"/>
      <c r="AR95" s="825"/>
      <c r="AS95" s="825"/>
      <c r="AX95" s="1"/>
      <c r="BG95" s="146"/>
      <c r="BH95" s="146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CK95" s="146"/>
      <c r="DA95" s="1"/>
      <c r="DS95" s="5"/>
      <c r="DT95" s="146"/>
      <c r="DU95" s="146"/>
      <c r="DV95" s="146"/>
      <c r="DW95" s="146"/>
      <c r="FZ95" s="146"/>
      <c r="JU95" s="146"/>
      <c r="JV95" s="146"/>
      <c r="JW95" s="146"/>
      <c r="JX95" s="146"/>
      <c r="PB95" s="146"/>
      <c r="PC95" s="146"/>
      <c r="PE95" s="146"/>
      <c r="PS95" s="149"/>
      <c r="PW95" s="146"/>
      <c r="RZ95" s="149"/>
      <c r="AHI95" s="145"/>
      <c r="AIX95" s="145"/>
      <c r="AIY95" s="145"/>
      <c r="AIZ95" s="145"/>
    </row>
    <row r="96" spans="2:936" hidden="1" x14ac:dyDescent="0.25">
      <c r="B96" s="749"/>
      <c r="C96" s="475" t="s">
        <v>49</v>
      </c>
      <c r="D96" s="476">
        <v>0.3</v>
      </c>
      <c r="E96" s="509" t="s">
        <v>25</v>
      </c>
      <c r="F96" s="453">
        <f t="shared" ref="F96:Q97" si="38">F89/F80*100</f>
        <v>100</v>
      </c>
      <c r="G96" s="453" t="e">
        <f t="shared" si="38"/>
        <v>#REF!</v>
      </c>
      <c r="H96" s="453" t="e">
        <f t="shared" si="38"/>
        <v>#DIV/0!</v>
      </c>
      <c r="I96" s="591" t="e">
        <f t="shared" si="38"/>
        <v>#DIV/0!</v>
      </c>
      <c r="J96" s="591" t="e">
        <f t="shared" si="38"/>
        <v>#DIV/0!</v>
      </c>
      <c r="K96" s="591" t="e">
        <f t="shared" si="38"/>
        <v>#DIV/0!</v>
      </c>
      <c r="L96" s="591" t="e">
        <f t="shared" si="38"/>
        <v>#DIV/0!</v>
      </c>
      <c r="M96" s="591" t="e">
        <f>M89/M80*100</f>
        <v>#DIV/0!</v>
      </c>
      <c r="N96" s="591" t="e">
        <f t="shared" si="38"/>
        <v>#DIV/0!</v>
      </c>
      <c r="O96" s="591" t="e">
        <f t="shared" si="38"/>
        <v>#DIV/0!</v>
      </c>
      <c r="P96" s="591" t="e">
        <f>P89/P80*100</f>
        <v>#DIV/0!</v>
      </c>
      <c r="Q96" s="591" t="e">
        <f t="shared" si="38"/>
        <v>#DIV/0!</v>
      </c>
      <c r="R96" s="737"/>
      <c r="S96" s="61" t="e">
        <f t="shared" ref="S96:U97" si="39">S89/S80*100</f>
        <v>#REF!</v>
      </c>
      <c r="T96" s="687" t="e">
        <f t="shared" si="39"/>
        <v>#REF!</v>
      </c>
      <c r="U96" s="791" t="e">
        <f t="shared" si="39"/>
        <v>#REF!</v>
      </c>
      <c r="W96" s="6"/>
      <c r="X96" s="65"/>
      <c r="Y96" s="824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825"/>
      <c r="AK96" s="825"/>
      <c r="AL96" s="825"/>
      <c r="AM96" s="825"/>
      <c r="AN96" s="825"/>
      <c r="AO96" s="825"/>
      <c r="AP96" s="825"/>
      <c r="AQ96" s="825"/>
      <c r="AR96" s="825"/>
      <c r="AS96" s="825"/>
      <c r="AX96" s="1"/>
      <c r="BG96" s="146"/>
      <c r="BH96" s="146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CK96" s="146"/>
      <c r="DA96" s="1"/>
      <c r="DS96" s="5"/>
      <c r="DT96" s="146"/>
      <c r="DU96" s="146"/>
      <c r="DV96" s="146"/>
      <c r="DW96" s="146"/>
      <c r="FZ96" s="146"/>
      <c r="JU96" s="146"/>
      <c r="JV96" s="146"/>
      <c r="JW96" s="146"/>
      <c r="JX96" s="146"/>
      <c r="PB96" s="146"/>
      <c r="PC96" s="146"/>
      <c r="PE96" s="146"/>
      <c r="PS96" s="149"/>
      <c r="PW96" s="146"/>
      <c r="RZ96" s="149"/>
      <c r="AHI96" s="145"/>
      <c r="AIX96" s="145"/>
      <c r="AIY96" s="145"/>
      <c r="AIZ96" s="145"/>
    </row>
    <row r="97" spans="2:936" hidden="1" x14ac:dyDescent="0.25">
      <c r="B97" s="749"/>
      <c r="C97" s="475" t="s">
        <v>48</v>
      </c>
      <c r="D97" s="476">
        <v>0.3</v>
      </c>
      <c r="E97" s="509" t="s">
        <v>25</v>
      </c>
      <c r="F97" s="453">
        <f t="shared" si="38"/>
        <v>100</v>
      </c>
      <c r="G97" s="453" t="e">
        <f t="shared" si="38"/>
        <v>#REF!</v>
      </c>
      <c r="H97" s="453" t="e">
        <f t="shared" si="38"/>
        <v>#DIV/0!</v>
      </c>
      <c r="I97" s="591" t="e">
        <f t="shared" si="38"/>
        <v>#DIV/0!</v>
      </c>
      <c r="J97" s="591" t="e">
        <f t="shared" si="38"/>
        <v>#DIV/0!</v>
      </c>
      <c r="K97" s="591" t="e">
        <f t="shared" si="38"/>
        <v>#DIV/0!</v>
      </c>
      <c r="L97" s="591" t="e">
        <f t="shared" si="38"/>
        <v>#DIV/0!</v>
      </c>
      <c r="M97" s="591" t="e">
        <f t="shared" si="38"/>
        <v>#DIV/0!</v>
      </c>
      <c r="N97" s="591" t="e">
        <f t="shared" si="38"/>
        <v>#DIV/0!</v>
      </c>
      <c r="O97" s="591" t="e">
        <f t="shared" si="38"/>
        <v>#DIV/0!</v>
      </c>
      <c r="P97" s="591" t="e">
        <f t="shared" si="38"/>
        <v>#DIV/0!</v>
      </c>
      <c r="Q97" s="591" t="e">
        <f t="shared" si="38"/>
        <v>#DIV/0!</v>
      </c>
      <c r="R97" s="737"/>
      <c r="S97" s="61" t="e">
        <f t="shared" si="39"/>
        <v>#REF!</v>
      </c>
      <c r="T97" s="687" t="e">
        <f t="shared" si="39"/>
        <v>#REF!</v>
      </c>
      <c r="U97" s="791" t="e">
        <f t="shared" si="39"/>
        <v>#REF!</v>
      </c>
      <c r="W97" s="6"/>
      <c r="X97" s="65"/>
      <c r="Y97" s="824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825"/>
      <c r="AK97" s="825"/>
      <c r="AL97" s="825"/>
      <c r="AM97" s="825"/>
      <c r="AN97" s="825"/>
      <c r="AO97" s="825"/>
      <c r="AP97" s="825"/>
      <c r="AQ97" s="825"/>
      <c r="AR97" s="825"/>
      <c r="AS97" s="825"/>
      <c r="AX97" s="1"/>
      <c r="BG97" s="146"/>
      <c r="BH97" s="146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CK97" s="146"/>
      <c r="DA97" s="1"/>
      <c r="DS97" s="5"/>
      <c r="DT97" s="146"/>
      <c r="DU97" s="146"/>
      <c r="DV97" s="146"/>
      <c r="DW97" s="146"/>
      <c r="FZ97" s="146"/>
      <c r="JU97" s="146"/>
      <c r="JV97" s="146"/>
      <c r="JW97" s="146"/>
      <c r="JX97" s="146"/>
      <c r="PB97" s="146"/>
      <c r="PC97" s="146"/>
      <c r="PE97" s="146"/>
      <c r="PS97" s="149"/>
      <c r="PW97" s="146"/>
      <c r="RZ97" s="149"/>
      <c r="AHI97" s="145"/>
      <c r="AIX97" s="145"/>
      <c r="AIY97" s="145"/>
      <c r="AIZ97" s="145"/>
    </row>
    <row r="98" spans="2:936" hidden="1" x14ac:dyDescent="0.25">
      <c r="B98" s="749"/>
      <c r="C98" s="582" t="s">
        <v>28</v>
      </c>
      <c r="D98" s="476"/>
      <c r="E98" s="477"/>
      <c r="F98" s="453"/>
      <c r="G98" s="453"/>
      <c r="H98" s="453"/>
      <c r="I98" s="453"/>
      <c r="J98" s="453"/>
      <c r="K98" s="453"/>
      <c r="L98" s="453"/>
      <c r="M98" s="453"/>
      <c r="N98" s="453"/>
      <c r="O98" s="453"/>
      <c r="P98" s="453"/>
      <c r="Q98" s="453"/>
      <c r="R98" s="737"/>
      <c r="S98" s="66" t="s">
        <v>28</v>
      </c>
      <c r="T98" s="706" t="s">
        <v>28</v>
      </c>
      <c r="U98" s="807" t="s">
        <v>28</v>
      </c>
      <c r="W98" s="6"/>
      <c r="X98" s="65"/>
      <c r="Y98" s="824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825"/>
      <c r="AK98" s="825"/>
      <c r="AL98" s="825"/>
      <c r="AM98" s="825"/>
      <c r="AN98" s="825"/>
      <c r="AO98" s="825"/>
      <c r="AP98" s="825"/>
      <c r="AQ98" s="825"/>
      <c r="AR98" s="825"/>
      <c r="AS98" s="825"/>
      <c r="AX98" s="1"/>
      <c r="BG98" s="146"/>
      <c r="BH98" s="146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CK98" s="146"/>
      <c r="DA98" s="1"/>
      <c r="DS98" s="5"/>
      <c r="DT98" s="146"/>
      <c r="DU98" s="146"/>
      <c r="DV98" s="146"/>
      <c r="DW98" s="146"/>
      <c r="FZ98" s="146"/>
      <c r="JU98" s="146"/>
      <c r="JV98" s="146"/>
      <c r="JW98" s="146"/>
      <c r="JX98" s="146"/>
      <c r="PB98" s="146"/>
      <c r="PC98" s="146"/>
      <c r="PE98" s="146"/>
      <c r="PS98" s="149"/>
      <c r="PW98" s="146"/>
      <c r="RZ98" s="149"/>
      <c r="AHI98" s="145"/>
      <c r="AIX98" s="145"/>
      <c r="AIY98" s="145"/>
      <c r="AIZ98" s="145"/>
    </row>
    <row r="99" spans="2:936" hidden="1" x14ac:dyDescent="0.25">
      <c r="B99" s="749"/>
      <c r="C99" s="475" t="s">
        <v>49</v>
      </c>
      <c r="D99" s="476">
        <v>0.5</v>
      </c>
      <c r="E99" s="509" t="s">
        <v>25</v>
      </c>
      <c r="F99" s="453">
        <f t="shared" ref="F99:Q100" si="40">F92/F83*100</f>
        <v>100</v>
      </c>
      <c r="G99" s="453" t="e">
        <f t="shared" si="40"/>
        <v>#REF!</v>
      </c>
      <c r="H99" s="453" t="e">
        <f t="shared" si="40"/>
        <v>#DIV/0!</v>
      </c>
      <c r="I99" s="591" t="e">
        <f t="shared" si="40"/>
        <v>#DIV/0!</v>
      </c>
      <c r="J99" s="591" t="e">
        <f t="shared" si="40"/>
        <v>#DIV/0!</v>
      </c>
      <c r="K99" s="591" t="e">
        <f t="shared" si="40"/>
        <v>#DIV/0!</v>
      </c>
      <c r="L99" s="591" t="e">
        <f t="shared" si="40"/>
        <v>#DIV/0!</v>
      </c>
      <c r="M99" s="591" t="e">
        <f t="shared" si="40"/>
        <v>#DIV/0!</v>
      </c>
      <c r="N99" s="591" t="e">
        <f t="shared" si="40"/>
        <v>#DIV/0!</v>
      </c>
      <c r="O99" s="591" t="e">
        <f t="shared" si="40"/>
        <v>#DIV/0!</v>
      </c>
      <c r="P99" s="591" t="e">
        <f t="shared" si="40"/>
        <v>#DIV/0!</v>
      </c>
      <c r="Q99" s="591" t="e">
        <f t="shared" si="40"/>
        <v>#DIV/0!</v>
      </c>
      <c r="R99" s="737"/>
      <c r="S99" s="61" t="e">
        <f t="shared" ref="S99:U100" si="41">S92/S83*100</f>
        <v>#REF!</v>
      </c>
      <c r="T99" s="687" t="e">
        <f t="shared" si="41"/>
        <v>#REF!</v>
      </c>
      <c r="U99" s="791" t="e">
        <f t="shared" si="41"/>
        <v>#REF!</v>
      </c>
      <c r="W99" s="6"/>
      <c r="X99" s="65"/>
      <c r="Y99" s="824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825"/>
      <c r="AK99" s="825"/>
      <c r="AL99" s="825"/>
      <c r="AM99" s="825"/>
      <c r="AN99" s="825"/>
      <c r="AO99" s="825"/>
      <c r="AP99" s="825"/>
      <c r="AQ99" s="825"/>
      <c r="AR99" s="825"/>
      <c r="AS99" s="825"/>
      <c r="AX99" s="1"/>
      <c r="BG99" s="146"/>
      <c r="BH99" s="146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CK99" s="146"/>
      <c r="DA99" s="1"/>
      <c r="DS99" s="5"/>
      <c r="DT99" s="146"/>
      <c r="DU99" s="146"/>
      <c r="DV99" s="146"/>
      <c r="DW99" s="146"/>
      <c r="FZ99" s="146"/>
      <c r="JU99" s="146"/>
      <c r="JV99" s="146"/>
      <c r="JW99" s="146"/>
      <c r="JX99" s="146"/>
      <c r="PB99" s="146"/>
      <c r="PC99" s="146"/>
      <c r="PE99" s="146"/>
      <c r="PS99" s="149"/>
      <c r="PW99" s="146"/>
      <c r="RZ99" s="149"/>
      <c r="AHI99" s="145"/>
      <c r="AIX99" s="145"/>
      <c r="AIY99" s="145"/>
      <c r="AIZ99" s="145"/>
    </row>
    <row r="100" spans="2:936" hidden="1" x14ac:dyDescent="0.25">
      <c r="B100" s="749"/>
      <c r="C100" s="475" t="s">
        <v>48</v>
      </c>
      <c r="D100" s="476">
        <v>0.5</v>
      </c>
      <c r="E100" s="509" t="s">
        <v>25</v>
      </c>
      <c r="F100" s="453">
        <f t="shared" si="40"/>
        <v>100</v>
      </c>
      <c r="G100" s="453" t="e">
        <f t="shared" si="40"/>
        <v>#REF!</v>
      </c>
      <c r="H100" s="453" t="e">
        <f t="shared" si="40"/>
        <v>#DIV/0!</v>
      </c>
      <c r="I100" s="591" t="e">
        <f t="shared" si="40"/>
        <v>#DIV/0!</v>
      </c>
      <c r="J100" s="591" t="e">
        <f t="shared" si="40"/>
        <v>#DIV/0!</v>
      </c>
      <c r="K100" s="591" t="e">
        <f t="shared" si="40"/>
        <v>#DIV/0!</v>
      </c>
      <c r="L100" s="591" t="e">
        <f t="shared" si="40"/>
        <v>#DIV/0!</v>
      </c>
      <c r="M100" s="591" t="e">
        <f t="shared" si="40"/>
        <v>#DIV/0!</v>
      </c>
      <c r="N100" s="591" t="e">
        <f t="shared" si="40"/>
        <v>#DIV/0!</v>
      </c>
      <c r="O100" s="591" t="e">
        <f t="shared" si="40"/>
        <v>#DIV/0!</v>
      </c>
      <c r="P100" s="591" t="e">
        <f t="shared" si="40"/>
        <v>#DIV/0!</v>
      </c>
      <c r="Q100" s="591" t="e">
        <f t="shared" si="40"/>
        <v>#DIV/0!</v>
      </c>
      <c r="R100" s="737"/>
      <c r="S100" s="61" t="e">
        <f t="shared" si="41"/>
        <v>#REF!</v>
      </c>
      <c r="T100" s="687" t="e">
        <f t="shared" si="41"/>
        <v>#REF!</v>
      </c>
      <c r="U100" s="791" t="e">
        <f t="shared" si="41"/>
        <v>#REF!</v>
      </c>
      <c r="W100" s="6"/>
      <c r="X100" s="65"/>
      <c r="Y100" s="824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825"/>
      <c r="AK100" s="825"/>
      <c r="AL100" s="825"/>
      <c r="AM100" s="825"/>
      <c r="AN100" s="825"/>
      <c r="AO100" s="825"/>
      <c r="AP100" s="825"/>
      <c r="AQ100" s="825"/>
      <c r="AR100" s="825"/>
      <c r="AS100" s="825"/>
      <c r="AX100" s="1"/>
      <c r="BG100" s="146"/>
      <c r="BH100" s="146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CK100" s="146"/>
      <c r="DA100" s="1"/>
      <c r="DS100" s="5"/>
      <c r="DT100" s="146"/>
      <c r="DU100" s="146"/>
      <c r="DV100" s="146"/>
      <c r="DW100" s="146"/>
      <c r="FZ100" s="146"/>
      <c r="JU100" s="146"/>
      <c r="JV100" s="146"/>
      <c r="JW100" s="146"/>
      <c r="JX100" s="146"/>
      <c r="PB100" s="146"/>
      <c r="PC100" s="146"/>
      <c r="PE100" s="146"/>
      <c r="PS100" s="149"/>
      <c r="PW100" s="146"/>
      <c r="RZ100" s="149"/>
      <c r="AHI100" s="145"/>
      <c r="AIX100" s="145"/>
      <c r="AIY100" s="145"/>
      <c r="AIZ100" s="145"/>
    </row>
    <row r="101" spans="2:936" hidden="1" x14ac:dyDescent="0.25">
      <c r="B101" s="745">
        <v>6</v>
      </c>
      <c r="C101" s="431" t="s">
        <v>47</v>
      </c>
      <c r="D101" s="49"/>
      <c r="E101" s="49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3"/>
      <c r="S101" s="535" t="s">
        <v>130</v>
      </c>
      <c r="T101" s="695" t="s">
        <v>130</v>
      </c>
      <c r="U101" s="798" t="s">
        <v>130</v>
      </c>
      <c r="W101" s="6"/>
      <c r="X101" s="65"/>
      <c r="Y101" s="824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825"/>
      <c r="AK101" s="825"/>
      <c r="AL101" s="825"/>
      <c r="AM101" s="825"/>
      <c r="AN101" s="825"/>
      <c r="AO101" s="825"/>
      <c r="AP101" s="825"/>
      <c r="AQ101" s="825"/>
      <c r="AR101" s="825"/>
      <c r="AS101" s="825"/>
      <c r="AX101" s="1"/>
      <c r="BG101" s="145"/>
      <c r="BH101" s="145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CK101" s="145"/>
      <c r="DA101" s="1"/>
      <c r="DS101" s="5"/>
      <c r="DT101" s="145"/>
      <c r="DU101" s="145"/>
      <c r="DV101" s="145"/>
      <c r="DW101" s="145"/>
      <c r="FZ101" s="145"/>
      <c r="JU101" s="145"/>
      <c r="JV101" s="145"/>
      <c r="JW101" s="145"/>
      <c r="JX101" s="145"/>
      <c r="PB101" s="145"/>
      <c r="PC101" s="145"/>
      <c r="PE101" s="145"/>
      <c r="PS101" s="494"/>
      <c r="PW101" s="145"/>
      <c r="RZ101" s="494"/>
      <c r="AHI101" s="145"/>
      <c r="AIX101" s="145"/>
      <c r="AIY101" s="145"/>
      <c r="AIZ101" s="145"/>
    </row>
    <row r="102" spans="2:936" hidden="1" x14ac:dyDescent="0.25">
      <c r="B102" s="746"/>
      <c r="C102" s="592" t="s">
        <v>46</v>
      </c>
      <c r="D102" s="593"/>
      <c r="E102" s="20" t="s">
        <v>14</v>
      </c>
      <c r="F102" s="594">
        <f>'[22]Januari 24'!AL96</f>
        <v>461724.07999999996</v>
      </c>
      <c r="G102" s="595" t="e">
        <f>'[22]Februari 24'!AI96</f>
        <v>#REF!</v>
      </c>
      <c r="H102" s="594">
        <f>'[22]Maret 24'!AL96</f>
        <v>0</v>
      </c>
      <c r="I102" s="594">
        <f>'[22]April 24'!AL96</f>
        <v>0</v>
      </c>
      <c r="J102" s="594">
        <f>'[22]Mei 24'!AL96</f>
        <v>0</v>
      </c>
      <c r="K102" s="594">
        <f>'[22]Juny 24'!AL96</f>
        <v>0</v>
      </c>
      <c r="L102" s="594">
        <f>'[22]July 24'!AL96</f>
        <v>0</v>
      </c>
      <c r="M102" s="594">
        <f>'[22]Agustus 24'!AL96</f>
        <v>0</v>
      </c>
      <c r="N102" s="594">
        <f>'[22]September 24'!AL96</f>
        <v>0</v>
      </c>
      <c r="O102" s="594">
        <f>'[22]Oktober 24'!AL96</f>
        <v>0</v>
      </c>
      <c r="P102" s="594">
        <f>'[22]November 24'!AL96</f>
        <v>0</v>
      </c>
      <c r="Q102" s="594">
        <f>'[22]Desember 24'!AL96</f>
        <v>0</v>
      </c>
      <c r="R102" s="751"/>
      <c r="S102" s="92" t="e">
        <f>SUM(S103:S104)</f>
        <v>#REF!</v>
      </c>
      <c r="T102" s="704" t="e">
        <f>SUM(T103:T104)</f>
        <v>#REF!</v>
      </c>
      <c r="U102" s="809" t="e">
        <f>SUM(U103:U104)</f>
        <v>#REF!</v>
      </c>
      <c r="W102" s="839"/>
      <c r="X102" s="65"/>
      <c r="Y102" s="824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837"/>
      <c r="AK102" s="837"/>
      <c r="AL102" s="837"/>
      <c r="AM102" s="837"/>
      <c r="AN102" s="837"/>
      <c r="AO102" s="837"/>
      <c r="AP102" s="837"/>
      <c r="AQ102" s="837"/>
      <c r="AR102" s="837"/>
      <c r="AS102" s="837"/>
      <c r="AX102" s="1"/>
      <c r="BG102" s="150"/>
      <c r="BH102" s="150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CK102" s="150"/>
      <c r="DA102" s="1"/>
      <c r="DS102" s="448"/>
      <c r="DT102" s="150"/>
      <c r="DU102" s="150"/>
      <c r="DV102" s="150"/>
      <c r="DW102" s="150"/>
      <c r="FZ102" s="150"/>
      <c r="JU102" s="150"/>
      <c r="JV102" s="150"/>
      <c r="JW102" s="150"/>
      <c r="JX102" s="150"/>
      <c r="PB102" s="150"/>
      <c r="PC102" s="150"/>
      <c r="PE102" s="150"/>
      <c r="PS102" s="576"/>
      <c r="PW102" s="150"/>
      <c r="RZ102" s="576"/>
      <c r="AHI102" s="155"/>
      <c r="AIX102" s="155"/>
      <c r="AIY102" s="155"/>
      <c r="AIZ102" s="155"/>
    </row>
    <row r="103" spans="2:936" hidden="1" x14ac:dyDescent="0.25">
      <c r="B103" s="749"/>
      <c r="C103" s="582" t="s">
        <v>39</v>
      </c>
      <c r="D103" s="489"/>
      <c r="E103" s="509" t="s">
        <v>14</v>
      </c>
      <c r="F103" s="453">
        <f>SUM(F107:F108)*10.86</f>
        <v>463439.63999999996</v>
      </c>
      <c r="G103" s="539">
        <f>SUM(G107:G108)*10.86</f>
        <v>0</v>
      </c>
      <c r="H103" s="537">
        <f>'[22]Maret 24'!AL97</f>
        <v>0</v>
      </c>
      <c r="I103" s="453">
        <f t="shared" ref="I103:Q103" si="42">SUM(I107:I108)*10.86</f>
        <v>0</v>
      </c>
      <c r="J103" s="539">
        <f>'[22]Mei 24'!AL97</f>
        <v>0</v>
      </c>
      <c r="K103" s="453">
        <f t="shared" si="42"/>
        <v>0</v>
      </c>
      <c r="L103" s="539">
        <f t="shared" si="42"/>
        <v>0</v>
      </c>
      <c r="M103" s="453">
        <f t="shared" si="42"/>
        <v>0</v>
      </c>
      <c r="N103" s="539">
        <f t="shared" si="42"/>
        <v>0</v>
      </c>
      <c r="O103" s="453">
        <f t="shared" si="42"/>
        <v>0</v>
      </c>
      <c r="P103" s="539">
        <f t="shared" si="42"/>
        <v>0</v>
      </c>
      <c r="Q103" s="453">
        <f t="shared" si="42"/>
        <v>0</v>
      </c>
      <c r="R103" s="737"/>
      <c r="S103" s="61">
        <f t="shared" ref="S103:U104" si="43">SUM(F103:Q103)</f>
        <v>463439.63999999996</v>
      </c>
      <c r="T103" s="687">
        <f t="shared" si="43"/>
        <v>0</v>
      </c>
      <c r="U103" s="791">
        <f t="shared" si="43"/>
        <v>463439.63999999996</v>
      </c>
      <c r="W103" s="6"/>
      <c r="X103" s="65"/>
      <c r="Y103" s="824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840"/>
      <c r="AK103" s="837"/>
      <c r="AL103" s="837"/>
      <c r="AM103" s="837"/>
      <c r="AN103" s="837"/>
      <c r="AO103" s="837"/>
      <c r="AP103" s="825"/>
      <c r="AQ103" s="825"/>
      <c r="AR103" s="825"/>
      <c r="AS103" s="825"/>
      <c r="AX103" s="1"/>
      <c r="BG103" s="146"/>
      <c r="BH103" s="146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CK103" s="146"/>
      <c r="DA103" s="1"/>
      <c r="DS103" s="5"/>
      <c r="DT103" s="146"/>
      <c r="DU103" s="146"/>
      <c r="DV103" s="146"/>
      <c r="DW103" s="146"/>
      <c r="FZ103" s="146"/>
      <c r="JU103" s="146"/>
      <c r="JV103" s="146"/>
      <c r="JW103" s="146"/>
      <c r="JX103" s="146"/>
      <c r="PB103" s="146"/>
      <c r="PC103" s="596"/>
      <c r="PE103" s="146"/>
      <c r="PS103" s="149"/>
      <c r="PW103" s="146"/>
      <c r="RZ103" s="149"/>
      <c r="AHI103" s="145"/>
      <c r="AIX103" s="145"/>
      <c r="AIY103" s="145"/>
      <c r="AIZ103" s="145"/>
    </row>
    <row r="104" spans="2:936" hidden="1" x14ac:dyDescent="0.25">
      <c r="B104" s="749"/>
      <c r="C104" s="582" t="s">
        <v>38</v>
      </c>
      <c r="D104" s="489"/>
      <c r="E104" s="509" t="s">
        <v>14</v>
      </c>
      <c r="F104" s="453">
        <f t="shared" ref="F104:Q104" si="44">F102-F103</f>
        <v>-1715.5599999999977</v>
      </c>
      <c r="G104" s="537" t="e">
        <f t="shared" si="44"/>
        <v>#REF!</v>
      </c>
      <c r="H104" s="537">
        <f>'[22]Maret 24'!AL98</f>
        <v>0</v>
      </c>
      <c r="I104" s="453">
        <f t="shared" si="44"/>
        <v>0</v>
      </c>
      <c r="J104" s="539">
        <f t="shared" si="44"/>
        <v>0</v>
      </c>
      <c r="K104" s="453">
        <f t="shared" si="44"/>
        <v>0</v>
      </c>
      <c r="L104" s="539">
        <f t="shared" si="44"/>
        <v>0</v>
      </c>
      <c r="M104" s="453">
        <f t="shared" si="44"/>
        <v>0</v>
      </c>
      <c r="N104" s="539">
        <f t="shared" si="44"/>
        <v>0</v>
      </c>
      <c r="O104" s="453">
        <f t="shared" si="44"/>
        <v>0</v>
      </c>
      <c r="P104" s="539">
        <f t="shared" si="44"/>
        <v>0</v>
      </c>
      <c r="Q104" s="453">
        <f t="shared" si="44"/>
        <v>0</v>
      </c>
      <c r="R104" s="737"/>
      <c r="S104" s="61" t="e">
        <f>SUM(F104:Q104)</f>
        <v>#REF!</v>
      </c>
      <c r="T104" s="687" t="e">
        <f t="shared" si="43"/>
        <v>#REF!</v>
      </c>
      <c r="U104" s="791" t="e">
        <f t="shared" si="43"/>
        <v>#REF!</v>
      </c>
      <c r="W104" s="6"/>
      <c r="X104" s="65"/>
      <c r="Y104" s="824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825"/>
      <c r="AK104" s="825"/>
      <c r="AL104" s="825"/>
      <c r="AM104" s="825"/>
      <c r="AN104" s="825"/>
      <c r="AO104" s="825"/>
      <c r="AP104" s="825"/>
      <c r="AQ104" s="825"/>
      <c r="AR104" s="825"/>
      <c r="AS104" s="825"/>
      <c r="AX104" s="1"/>
      <c r="BG104" s="146"/>
      <c r="BH104" s="146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CK104" s="146"/>
      <c r="DA104" s="1"/>
      <c r="DS104" s="5"/>
      <c r="DT104" s="146"/>
      <c r="DU104" s="146"/>
      <c r="DV104" s="146"/>
      <c r="DW104" s="146"/>
      <c r="FZ104" s="146"/>
      <c r="JU104" s="146"/>
      <c r="JV104" s="146"/>
      <c r="JW104" s="146"/>
      <c r="JX104" s="146"/>
      <c r="PB104" s="146"/>
      <c r="PC104" s="146"/>
      <c r="PE104" s="146"/>
      <c r="PS104" s="149"/>
      <c r="PW104" s="146"/>
      <c r="RZ104" s="149"/>
      <c r="AHI104" s="145"/>
      <c r="AIX104" s="145"/>
      <c r="AIY104" s="145"/>
      <c r="AIZ104" s="145"/>
    </row>
    <row r="105" spans="2:936" hidden="1" x14ac:dyDescent="0.25">
      <c r="B105" s="749"/>
      <c r="C105" s="582" t="s">
        <v>50</v>
      </c>
      <c r="D105" s="489"/>
      <c r="E105" s="509" t="s">
        <v>14</v>
      </c>
      <c r="F105" s="453"/>
      <c r="G105" s="537">
        <v>0</v>
      </c>
      <c r="H105" s="453">
        <f>'[22]Maret 24'!AL99</f>
        <v>0</v>
      </c>
      <c r="I105" s="453"/>
      <c r="J105" s="453"/>
      <c r="K105" s="453"/>
      <c r="L105" s="453"/>
      <c r="M105" s="453"/>
      <c r="N105" s="453"/>
      <c r="O105" s="453"/>
      <c r="P105" s="453"/>
      <c r="Q105" s="453"/>
      <c r="R105" s="737"/>
      <c r="S105" s="61"/>
      <c r="T105" s="687"/>
      <c r="U105" s="791"/>
      <c r="W105" s="6"/>
      <c r="X105" s="65"/>
      <c r="Y105" s="824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825"/>
      <c r="AK105" s="825"/>
      <c r="AL105" s="825"/>
      <c r="AM105" s="825"/>
      <c r="AN105" s="825"/>
      <c r="AO105" s="825"/>
      <c r="AP105" s="825"/>
      <c r="AQ105" s="825"/>
      <c r="AR105" s="825"/>
      <c r="AS105" s="825"/>
      <c r="AX105" s="1"/>
      <c r="BG105" s="146"/>
      <c r="BH105" s="146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CK105" s="146"/>
      <c r="DA105" s="1"/>
      <c r="DS105" s="5"/>
      <c r="DT105" s="146"/>
      <c r="DU105" s="146"/>
      <c r="DV105" s="146"/>
      <c r="DW105" s="146"/>
      <c r="FZ105" s="146"/>
      <c r="JU105" s="146"/>
      <c r="JV105" s="146"/>
      <c r="JW105" s="146"/>
      <c r="JX105" s="146"/>
      <c r="PB105" s="146"/>
      <c r="PC105" s="146"/>
      <c r="PE105" s="146"/>
      <c r="PS105" s="149"/>
      <c r="PW105" s="146"/>
      <c r="RZ105" s="149"/>
      <c r="AHI105" s="145"/>
      <c r="AIX105" s="145"/>
      <c r="AIY105" s="145"/>
      <c r="AIZ105" s="145"/>
    </row>
    <row r="106" spans="2:936" hidden="1" x14ac:dyDescent="0.25">
      <c r="B106" s="749"/>
      <c r="C106" s="582" t="s">
        <v>29</v>
      </c>
      <c r="D106" s="489"/>
      <c r="E106" s="477"/>
      <c r="F106" s="452"/>
      <c r="G106" s="452"/>
      <c r="H106" s="452"/>
      <c r="I106" s="452"/>
      <c r="J106" s="452"/>
      <c r="K106" s="452"/>
      <c r="L106" s="452"/>
      <c r="M106" s="452"/>
      <c r="N106" s="452"/>
      <c r="O106" s="452"/>
      <c r="P106" s="452"/>
      <c r="Q106" s="452"/>
      <c r="R106" s="737"/>
      <c r="S106" s="66" t="s">
        <v>29</v>
      </c>
      <c r="T106" s="706" t="s">
        <v>29</v>
      </c>
      <c r="U106" s="807" t="s">
        <v>29</v>
      </c>
      <c r="W106" s="6"/>
      <c r="X106" s="65"/>
      <c r="Y106" s="824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825"/>
      <c r="AK106" s="825"/>
      <c r="AL106" s="825"/>
      <c r="AM106" s="825"/>
      <c r="AN106" s="825"/>
      <c r="AO106" s="825"/>
      <c r="AP106" s="825"/>
      <c r="AQ106" s="825"/>
      <c r="AR106" s="825"/>
      <c r="AS106" s="825"/>
      <c r="AX106" s="1"/>
      <c r="BG106" s="146"/>
      <c r="BH106" s="146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CK106" s="146"/>
      <c r="DA106" s="1"/>
      <c r="DS106" s="5"/>
      <c r="DT106" s="146"/>
      <c r="DU106" s="146"/>
      <c r="DV106" s="146"/>
      <c r="DW106" s="146"/>
      <c r="FZ106" s="146"/>
      <c r="JU106" s="146"/>
      <c r="JV106" s="146"/>
      <c r="JW106" s="146"/>
      <c r="JX106" s="146"/>
      <c r="PB106" s="146"/>
      <c r="PC106" s="146"/>
      <c r="PE106" s="146"/>
      <c r="PS106" s="149"/>
      <c r="PW106" s="146"/>
      <c r="RZ106" s="149"/>
      <c r="AHI106" s="145"/>
      <c r="AIX106" s="145"/>
      <c r="AIY106" s="145"/>
      <c r="AIZ106" s="145"/>
    </row>
    <row r="107" spans="2:936" hidden="1" x14ac:dyDescent="0.25">
      <c r="B107" s="750"/>
      <c r="C107" s="449" t="s">
        <v>45</v>
      </c>
      <c r="D107" s="450"/>
      <c r="E107" s="586" t="s">
        <v>31</v>
      </c>
      <c r="F107" s="289">
        <f>'[22]Januari 24'!AL101</f>
        <v>7439</v>
      </c>
      <c r="G107" s="289">
        <f>'[22]Februari 24'!AI101</f>
        <v>0</v>
      </c>
      <c r="H107" s="289">
        <f>'[22]Maret 24'!AL101</f>
        <v>0</v>
      </c>
      <c r="I107" s="289">
        <f>'[22]April 24'!AL101</f>
        <v>0</v>
      </c>
      <c r="J107" s="289">
        <f>'[22]Mei 24'!AL101</f>
        <v>0</v>
      </c>
      <c r="K107" s="289">
        <f>'[22]Juny 24'!AL101</f>
        <v>0</v>
      </c>
      <c r="L107" s="289">
        <f>'[22]July 24'!AL101</f>
        <v>0</v>
      </c>
      <c r="M107" s="289">
        <f>'[22]Agustus 24'!AL101</f>
        <v>0</v>
      </c>
      <c r="N107" s="289">
        <f>'[22]September 24'!AL101</f>
        <v>0</v>
      </c>
      <c r="O107" s="289">
        <f>'[22]Oktober 24'!AL101</f>
        <v>0</v>
      </c>
      <c r="P107" s="289">
        <f>'[22]November 24'!AL101</f>
        <v>0</v>
      </c>
      <c r="Q107" s="289">
        <f>'[22]Desember 24'!AL101</f>
        <v>0</v>
      </c>
      <c r="R107" s="739"/>
      <c r="S107" s="94">
        <f>SUM(F107:Q107)</f>
        <v>7439</v>
      </c>
      <c r="T107" s="707">
        <v>1518699</v>
      </c>
      <c r="U107" s="791">
        <f>(S107/T107)*100</f>
        <v>0.48982714810505573</v>
      </c>
      <c r="W107" s="37"/>
      <c r="X107" s="65"/>
      <c r="Y107" s="824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841"/>
      <c r="AK107" s="841"/>
      <c r="AL107" s="841"/>
      <c r="AM107" s="841"/>
      <c r="AN107" s="841"/>
      <c r="AO107" s="841"/>
      <c r="AP107" s="841"/>
      <c r="AQ107" s="841"/>
      <c r="AR107" s="841"/>
      <c r="AS107" s="841"/>
      <c r="AX107" s="16"/>
      <c r="BG107" s="152"/>
      <c r="BH107" s="152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CK107" s="152"/>
      <c r="DA107" s="1"/>
      <c r="DS107" s="530"/>
      <c r="DT107" s="152"/>
      <c r="DU107" s="152"/>
      <c r="DV107" s="152"/>
      <c r="DW107" s="152"/>
      <c r="FZ107" s="152"/>
      <c r="JU107" s="152"/>
      <c r="JV107" s="152"/>
      <c r="JW107" s="152"/>
      <c r="JX107" s="152"/>
      <c r="PB107" s="152"/>
      <c r="PC107" s="152"/>
      <c r="PE107" s="152"/>
      <c r="PS107" s="587"/>
      <c r="PW107" s="152"/>
      <c r="RZ107" s="587"/>
      <c r="AHI107" s="148"/>
      <c r="AIX107" s="148"/>
      <c r="AIY107" s="148"/>
      <c r="AIZ107" s="148"/>
    </row>
    <row r="108" spans="2:936" hidden="1" x14ac:dyDescent="0.25">
      <c r="B108" s="750"/>
      <c r="C108" s="449" t="s">
        <v>44</v>
      </c>
      <c r="D108" s="450"/>
      <c r="E108" s="586" t="s">
        <v>31</v>
      </c>
      <c r="F108" s="289">
        <f>'[22]Januari 24'!AL102</f>
        <v>35235</v>
      </c>
      <c r="G108" s="289">
        <f>'[22]Februari 24'!AI102</f>
        <v>0</v>
      </c>
      <c r="H108" s="289">
        <f>'[22]Maret 24'!AL102</f>
        <v>0</v>
      </c>
      <c r="I108" s="289">
        <f>'[22]April 24'!AL102</f>
        <v>0</v>
      </c>
      <c r="J108" s="289">
        <f>'[22]Mei 24'!AL102</f>
        <v>0</v>
      </c>
      <c r="K108" s="289">
        <f>'[22]Juny 24'!AL102</f>
        <v>0</v>
      </c>
      <c r="L108" s="289">
        <f>'[22]July 24'!AL102</f>
        <v>0</v>
      </c>
      <c r="M108" s="289">
        <f>'[22]Agustus 24'!AL102</f>
        <v>0</v>
      </c>
      <c r="N108" s="289">
        <f>'[22]September 24'!AL102</f>
        <v>0</v>
      </c>
      <c r="O108" s="289">
        <f>'[22]Oktober 24'!AL102</f>
        <v>0</v>
      </c>
      <c r="P108" s="289">
        <f>'[22]November 24'!AL102</f>
        <v>0</v>
      </c>
      <c r="Q108" s="289">
        <f>'[22]Desember 24'!AL102</f>
        <v>0</v>
      </c>
      <c r="R108" s="739"/>
      <c r="S108" s="94">
        <f>SUM(F108:Q108)</f>
        <v>35235</v>
      </c>
      <c r="T108" s="707">
        <v>2112972</v>
      </c>
      <c r="U108" s="791">
        <f>(S108/T108)*100</f>
        <v>1.6675564086982695</v>
      </c>
      <c r="W108" s="37"/>
      <c r="X108" s="65"/>
      <c r="Y108" s="824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841"/>
      <c r="AK108" s="841"/>
      <c r="AL108" s="841"/>
      <c r="AM108" s="841"/>
      <c r="AN108" s="841"/>
      <c r="AO108" s="841"/>
      <c r="AP108" s="841"/>
      <c r="AQ108" s="841"/>
      <c r="AR108" s="841"/>
      <c r="AS108" s="841"/>
      <c r="AX108" s="16"/>
      <c r="BG108" s="152"/>
      <c r="BH108" s="152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CK108" s="152"/>
      <c r="DA108" s="1"/>
      <c r="DS108" s="530"/>
      <c r="DT108" s="152"/>
      <c r="DU108" s="152"/>
      <c r="DV108" s="152"/>
      <c r="DW108" s="152"/>
      <c r="FZ108" s="152"/>
      <c r="JU108" s="152"/>
      <c r="JV108" s="152"/>
      <c r="JW108" s="152"/>
      <c r="JX108" s="152"/>
      <c r="PB108" s="152"/>
      <c r="PC108" s="152"/>
      <c r="PE108" s="152"/>
      <c r="PS108" s="587"/>
      <c r="PW108" s="152"/>
      <c r="RZ108" s="587"/>
      <c r="AHI108" s="148"/>
      <c r="AIX108" s="148"/>
      <c r="AIY108" s="148"/>
      <c r="AIZ108" s="148"/>
    </row>
    <row r="109" spans="2:936" hidden="1" x14ac:dyDescent="0.25">
      <c r="B109" s="749"/>
      <c r="C109" s="582" t="s">
        <v>28</v>
      </c>
      <c r="D109" s="489"/>
      <c r="E109" s="477"/>
      <c r="F109" s="452"/>
      <c r="G109" s="452"/>
      <c r="H109" s="452"/>
      <c r="I109" s="452"/>
      <c r="J109" s="452"/>
      <c r="K109" s="452"/>
      <c r="L109" s="452"/>
      <c r="M109" s="452"/>
      <c r="N109" s="452"/>
      <c r="O109" s="452"/>
      <c r="P109" s="452"/>
      <c r="Q109" s="452"/>
      <c r="R109" s="737"/>
      <c r="S109" s="66" t="s">
        <v>28</v>
      </c>
      <c r="T109" s="706" t="s">
        <v>28</v>
      </c>
      <c r="U109" s="807" t="s">
        <v>28</v>
      </c>
      <c r="W109" s="6"/>
      <c r="X109" s="65"/>
      <c r="Y109" s="824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825"/>
      <c r="AK109" s="825"/>
      <c r="AL109" s="825"/>
      <c r="AM109" s="825"/>
      <c r="AN109" s="825"/>
      <c r="AO109" s="825"/>
      <c r="AP109" s="825"/>
      <c r="AQ109" s="825"/>
      <c r="AR109" s="825"/>
      <c r="AS109" s="825"/>
      <c r="AX109" s="1"/>
      <c r="BG109" s="146"/>
      <c r="BH109" s="146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CK109" s="146"/>
      <c r="DA109" s="1"/>
      <c r="DS109" s="5"/>
      <c r="DT109" s="146"/>
      <c r="DU109" s="146"/>
      <c r="DV109" s="146"/>
      <c r="DW109" s="146"/>
      <c r="FZ109" s="146"/>
      <c r="JU109" s="146"/>
      <c r="JV109" s="146"/>
      <c r="JW109" s="146"/>
      <c r="JX109" s="146"/>
      <c r="PB109" s="146"/>
      <c r="PC109" s="146"/>
      <c r="PE109" s="146"/>
      <c r="PS109" s="149"/>
      <c r="PW109" s="146"/>
      <c r="RZ109" s="149"/>
      <c r="AHI109" s="145"/>
      <c r="AIX109" s="145"/>
      <c r="AIY109" s="145"/>
      <c r="AIZ109" s="145"/>
    </row>
    <row r="110" spans="2:936" hidden="1" x14ac:dyDescent="0.25">
      <c r="B110" s="749"/>
      <c r="C110" s="449" t="s">
        <v>45</v>
      </c>
      <c r="D110" s="489"/>
      <c r="E110" s="509" t="s">
        <v>28</v>
      </c>
      <c r="F110" s="452">
        <f>F107*12</f>
        <v>89268</v>
      </c>
      <c r="G110" s="452">
        <f>G107*12</f>
        <v>0</v>
      </c>
      <c r="H110" s="452">
        <f>H107*12</f>
        <v>0</v>
      </c>
      <c r="I110" s="452">
        <f>I107*12</f>
        <v>0</v>
      </c>
      <c r="J110" s="452">
        <f t="shared" ref="J110:Q110" si="45">J107*12</f>
        <v>0</v>
      </c>
      <c r="K110" s="452">
        <f t="shared" si="45"/>
        <v>0</v>
      </c>
      <c r="L110" s="452">
        <f t="shared" si="45"/>
        <v>0</v>
      </c>
      <c r="M110" s="452">
        <f t="shared" si="45"/>
        <v>0</v>
      </c>
      <c r="N110" s="452">
        <f t="shared" si="45"/>
        <v>0</v>
      </c>
      <c r="O110" s="452">
        <f t="shared" si="45"/>
        <v>0</v>
      </c>
      <c r="P110" s="452">
        <f>P107*12</f>
        <v>0</v>
      </c>
      <c r="Q110" s="452">
        <f t="shared" si="45"/>
        <v>0</v>
      </c>
      <c r="R110" s="737"/>
      <c r="S110" s="57">
        <f>S107*12</f>
        <v>89268</v>
      </c>
      <c r="T110" s="684">
        <f>T107*12</f>
        <v>18224388</v>
      </c>
      <c r="U110" s="808">
        <f>U107*12</f>
        <v>5.8779257772606686</v>
      </c>
      <c r="W110" s="6"/>
      <c r="X110" s="65"/>
      <c r="Y110" s="824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825"/>
      <c r="AK110" s="825"/>
      <c r="AL110" s="825"/>
      <c r="AM110" s="825"/>
      <c r="AN110" s="825"/>
      <c r="AO110" s="825"/>
      <c r="AP110" s="825"/>
      <c r="AQ110" s="825"/>
      <c r="AR110" s="825"/>
      <c r="AS110" s="825"/>
      <c r="AX110" s="1"/>
      <c r="BG110" s="146"/>
      <c r="BH110" s="146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CK110" s="146"/>
      <c r="DA110" s="1"/>
      <c r="DS110" s="5"/>
      <c r="DT110" s="146"/>
      <c r="DU110" s="146"/>
      <c r="DV110" s="146"/>
      <c r="DW110" s="146"/>
      <c r="FZ110" s="146"/>
      <c r="JU110" s="146"/>
      <c r="JV110" s="146"/>
      <c r="JW110" s="146"/>
      <c r="JX110" s="146"/>
      <c r="PB110" s="146"/>
      <c r="PC110" s="146"/>
      <c r="PE110" s="146"/>
      <c r="PS110" s="149"/>
      <c r="PW110" s="146"/>
      <c r="RZ110" s="149"/>
      <c r="AHI110" s="145"/>
      <c r="AIX110" s="145"/>
      <c r="AIY110" s="145"/>
      <c r="AIZ110" s="145"/>
    </row>
    <row r="111" spans="2:936" hidden="1" x14ac:dyDescent="0.25">
      <c r="B111" s="749"/>
      <c r="C111" s="449" t="s">
        <v>44</v>
      </c>
      <c r="D111" s="489"/>
      <c r="E111" s="509" t="s">
        <v>28</v>
      </c>
      <c r="F111" s="452">
        <f>F108*6</f>
        <v>211410</v>
      </c>
      <c r="G111" s="452">
        <f>G108*6</f>
        <v>0</v>
      </c>
      <c r="H111" s="452">
        <f>H108*6</f>
        <v>0</v>
      </c>
      <c r="I111" s="452">
        <f>I108*6</f>
        <v>0</v>
      </c>
      <c r="J111" s="452">
        <f t="shared" ref="J111:Q111" si="46">J108*6</f>
        <v>0</v>
      </c>
      <c r="K111" s="452">
        <f t="shared" si="46"/>
        <v>0</v>
      </c>
      <c r="L111" s="452">
        <f t="shared" si="46"/>
        <v>0</v>
      </c>
      <c r="M111" s="452">
        <f t="shared" si="46"/>
        <v>0</v>
      </c>
      <c r="N111" s="452">
        <f t="shared" si="46"/>
        <v>0</v>
      </c>
      <c r="O111" s="452">
        <f t="shared" si="46"/>
        <v>0</v>
      </c>
      <c r="P111" s="452">
        <f t="shared" si="46"/>
        <v>0</v>
      </c>
      <c r="Q111" s="452">
        <f t="shared" si="46"/>
        <v>0</v>
      </c>
      <c r="R111" s="737"/>
      <c r="S111" s="57">
        <f>S108*6</f>
        <v>211410</v>
      </c>
      <c r="T111" s="684">
        <f>T108*6</f>
        <v>12677832</v>
      </c>
      <c r="U111" s="808">
        <f>U108*6</f>
        <v>10.005338452189617</v>
      </c>
      <c r="W111" s="6"/>
      <c r="X111" s="65"/>
      <c r="Y111" s="824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825"/>
      <c r="AK111" s="825"/>
      <c r="AL111" s="825"/>
      <c r="AM111" s="825"/>
      <c r="AN111" s="825"/>
      <c r="AO111" s="825"/>
      <c r="AP111" s="825"/>
      <c r="AQ111" s="825"/>
      <c r="AR111" s="825"/>
      <c r="AS111" s="825"/>
      <c r="AX111" s="1"/>
      <c r="BG111" s="146"/>
      <c r="BH111" s="146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CK111" s="146"/>
      <c r="DA111" s="1"/>
      <c r="DS111" s="5"/>
      <c r="DT111" s="146"/>
      <c r="DU111" s="146"/>
      <c r="DV111" s="146"/>
      <c r="DW111" s="146"/>
      <c r="FZ111" s="146"/>
      <c r="JU111" s="146"/>
      <c r="JV111" s="146"/>
      <c r="JW111" s="146"/>
      <c r="JX111" s="146"/>
      <c r="PB111" s="146"/>
      <c r="PC111" s="146"/>
      <c r="PE111" s="146"/>
      <c r="PS111" s="149"/>
      <c r="PW111" s="146"/>
      <c r="RZ111" s="149"/>
      <c r="AHI111" s="145"/>
      <c r="AIX111" s="145"/>
      <c r="AIY111" s="145"/>
      <c r="AIZ111" s="145"/>
    </row>
    <row r="112" spans="2:936" hidden="1" x14ac:dyDescent="0.25">
      <c r="B112" s="749"/>
      <c r="C112" s="582" t="s">
        <v>36</v>
      </c>
      <c r="D112" s="489"/>
      <c r="E112" s="509" t="s">
        <v>35</v>
      </c>
      <c r="F112" s="452">
        <f>(F102*45)/1700</f>
        <v>12222.107999999998</v>
      </c>
      <c r="G112" s="452" t="e">
        <f>(G102*45)/1700</f>
        <v>#REF!</v>
      </c>
      <c r="H112" s="452">
        <f>(H102*45)/1700</f>
        <v>0</v>
      </c>
      <c r="I112" s="588">
        <f>(I102*45)/1700</f>
        <v>0</v>
      </c>
      <c r="J112" s="588">
        <f t="shared" ref="J112:Q112" si="47">(J102*45)/1700</f>
        <v>0</v>
      </c>
      <c r="K112" s="588">
        <f t="shared" si="47"/>
        <v>0</v>
      </c>
      <c r="L112" s="588">
        <f t="shared" si="47"/>
        <v>0</v>
      </c>
      <c r="M112" s="588">
        <f t="shared" si="47"/>
        <v>0</v>
      </c>
      <c r="N112" s="588">
        <f t="shared" si="47"/>
        <v>0</v>
      </c>
      <c r="O112" s="588">
        <f t="shared" si="47"/>
        <v>0</v>
      </c>
      <c r="P112" s="588">
        <f>(P102*45)/1700</f>
        <v>0</v>
      </c>
      <c r="Q112" s="588">
        <f t="shared" si="47"/>
        <v>0</v>
      </c>
      <c r="R112" s="737"/>
      <c r="S112" s="597" t="e">
        <f t="shared" ref="S112:U113" si="48">SUM(F112:Q112)</f>
        <v>#REF!</v>
      </c>
      <c r="T112" s="708" t="e">
        <f t="shared" si="48"/>
        <v>#REF!</v>
      </c>
      <c r="U112" s="810" t="e">
        <f>SUM(H112:S112)</f>
        <v>#REF!</v>
      </c>
      <c r="W112" s="6"/>
      <c r="X112" s="65"/>
      <c r="Y112" s="824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825"/>
      <c r="AK112" s="825"/>
      <c r="AL112" s="825"/>
      <c r="AM112" s="825"/>
      <c r="AN112" s="825"/>
      <c r="AO112" s="825"/>
      <c r="AP112" s="825"/>
      <c r="AQ112" s="825"/>
      <c r="AR112" s="825"/>
      <c r="AS112" s="825"/>
      <c r="AX112" s="1"/>
      <c r="BG112" s="146"/>
      <c r="BH112" s="146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CK112" s="146"/>
      <c r="DA112" s="1"/>
      <c r="DS112" s="5"/>
      <c r="DT112" s="146"/>
      <c r="DU112" s="146"/>
      <c r="DV112" s="146"/>
      <c r="DW112" s="146"/>
      <c r="FZ112" s="146"/>
      <c r="JU112" s="146"/>
      <c r="JV112" s="146"/>
      <c r="JW112" s="146"/>
      <c r="JX112" s="146"/>
      <c r="PB112" s="146"/>
      <c r="PC112" s="146"/>
      <c r="PE112" s="146"/>
      <c r="PS112" s="149"/>
      <c r="PW112" s="146"/>
      <c r="RZ112" s="149"/>
      <c r="AHI112" s="145"/>
      <c r="AIX112" s="145"/>
      <c r="AIY112" s="145"/>
      <c r="AIZ112" s="145"/>
    </row>
    <row r="113" spans="2:936" hidden="1" x14ac:dyDescent="0.25">
      <c r="B113" s="749"/>
      <c r="C113" s="582" t="s">
        <v>34</v>
      </c>
      <c r="D113" s="489"/>
      <c r="E113" s="509" t="s">
        <v>33</v>
      </c>
      <c r="F113" s="452">
        <f>SUM(F107:F108)/500</f>
        <v>85.347999999999999</v>
      </c>
      <c r="G113" s="452">
        <f>SUM(G107:G108)/500</f>
        <v>0</v>
      </c>
      <c r="H113" s="452">
        <f>SUM(H107:H108)/500</f>
        <v>0</v>
      </c>
      <c r="I113" s="452">
        <f>SUM(I107:I108)/500</f>
        <v>0</v>
      </c>
      <c r="J113" s="452">
        <f t="shared" ref="J113:Q113" si="49">SUM(J107:J108)/500</f>
        <v>0</v>
      </c>
      <c r="K113" s="452">
        <f>SUM(K107:K108)/500</f>
        <v>0</v>
      </c>
      <c r="L113" s="452">
        <f>SUM(L107:L108)/500</f>
        <v>0</v>
      </c>
      <c r="M113" s="452">
        <f>SUM(M107:M108)/500</f>
        <v>0</v>
      </c>
      <c r="N113" s="452">
        <f t="shared" si="49"/>
        <v>0</v>
      </c>
      <c r="O113" s="452">
        <f t="shared" si="49"/>
        <v>0</v>
      </c>
      <c r="P113" s="452">
        <f t="shared" si="49"/>
        <v>0</v>
      </c>
      <c r="Q113" s="452">
        <f t="shared" si="49"/>
        <v>0</v>
      </c>
      <c r="R113" s="737"/>
      <c r="S113" s="597">
        <f t="shared" si="48"/>
        <v>85.347999999999999</v>
      </c>
      <c r="T113" s="708">
        <f t="shared" si="48"/>
        <v>0</v>
      </c>
      <c r="U113" s="810">
        <f t="shared" si="48"/>
        <v>85.347999999999999</v>
      </c>
      <c r="W113" s="6"/>
      <c r="X113" s="65"/>
      <c r="Y113" s="824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825"/>
      <c r="AK113" s="825"/>
      <c r="AL113" s="825"/>
      <c r="AM113" s="825"/>
      <c r="AN113" s="825"/>
      <c r="AO113" s="825"/>
      <c r="AP113" s="825"/>
      <c r="AQ113" s="825"/>
      <c r="AR113" s="825"/>
      <c r="AS113" s="825"/>
      <c r="AX113" s="1"/>
      <c r="BG113" s="146"/>
      <c r="BH113" s="146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CK113" s="146"/>
      <c r="DA113" s="1"/>
      <c r="DS113" s="5"/>
      <c r="DT113" s="146"/>
      <c r="DU113" s="146"/>
      <c r="DV113" s="146"/>
      <c r="DW113" s="146"/>
      <c r="FZ113" s="146"/>
      <c r="JU113" s="146"/>
      <c r="JV113" s="146"/>
      <c r="JW113" s="146"/>
      <c r="JX113" s="146"/>
      <c r="PB113" s="146"/>
      <c r="PC113" s="146"/>
      <c r="PE113" s="146"/>
      <c r="PS113" s="149"/>
      <c r="PW113" s="146"/>
      <c r="RZ113" s="149"/>
      <c r="AHI113" s="145"/>
      <c r="AIX113" s="145"/>
      <c r="AIY113" s="145"/>
      <c r="AIZ113" s="145"/>
    </row>
    <row r="114" spans="2:936" hidden="1" x14ac:dyDescent="0.25">
      <c r="B114" s="746"/>
      <c r="C114" s="431" t="s">
        <v>32</v>
      </c>
      <c r="D114" s="49"/>
      <c r="E114" s="49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3"/>
      <c r="S114" s="535" t="s">
        <v>131</v>
      </c>
      <c r="T114" s="695" t="s">
        <v>131</v>
      </c>
      <c r="U114" s="798" t="s">
        <v>131</v>
      </c>
      <c r="W114" s="6"/>
      <c r="X114" s="65"/>
      <c r="Y114" s="824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825"/>
      <c r="AK114" s="825"/>
      <c r="AL114" s="825"/>
      <c r="AM114" s="825"/>
      <c r="AN114" s="825"/>
      <c r="AO114" s="825"/>
      <c r="AP114" s="825"/>
      <c r="AQ114" s="825"/>
      <c r="AR114" s="825"/>
      <c r="AS114" s="825"/>
      <c r="AX114" s="1"/>
      <c r="BG114" s="145"/>
      <c r="BH114" s="145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CK114" s="145"/>
      <c r="DA114" s="1"/>
      <c r="DS114" s="5"/>
      <c r="DT114" s="145"/>
      <c r="DU114" s="145"/>
      <c r="DV114" s="145"/>
      <c r="DW114" s="145"/>
      <c r="FZ114" s="145"/>
      <c r="JU114" s="145"/>
      <c r="JV114" s="145"/>
      <c r="JW114" s="145"/>
      <c r="JX114" s="145"/>
      <c r="PB114" s="145"/>
      <c r="PC114" s="145"/>
      <c r="PE114" s="145"/>
      <c r="PS114" s="494"/>
      <c r="PW114" s="145"/>
      <c r="RZ114" s="494"/>
      <c r="AHI114" s="145"/>
      <c r="AIX114" s="145"/>
      <c r="AIY114" s="145"/>
      <c r="AIZ114" s="145"/>
    </row>
    <row r="115" spans="2:936" hidden="1" x14ac:dyDescent="0.25">
      <c r="B115" s="749"/>
      <c r="C115" s="582" t="s">
        <v>29</v>
      </c>
      <c r="D115" s="489"/>
      <c r="E115" s="477"/>
      <c r="F115" s="452"/>
      <c r="G115" s="452"/>
      <c r="H115" s="452"/>
      <c r="I115" s="452"/>
      <c r="J115" s="452"/>
      <c r="K115" s="452"/>
      <c r="L115" s="452"/>
      <c r="M115" s="452"/>
      <c r="N115" s="452"/>
      <c r="O115" s="452"/>
      <c r="P115" s="452"/>
      <c r="Q115" s="452"/>
      <c r="R115" s="737"/>
      <c r="S115" s="66" t="s">
        <v>29</v>
      </c>
      <c r="T115" s="706" t="s">
        <v>29</v>
      </c>
      <c r="U115" s="807" t="s">
        <v>29</v>
      </c>
      <c r="W115" s="6"/>
      <c r="X115" s="65"/>
      <c r="Y115" s="824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R115" s="65"/>
      <c r="AX115" s="1"/>
      <c r="BG115" s="146"/>
      <c r="BH115" s="146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CK115" s="146"/>
      <c r="DA115" s="1"/>
      <c r="DS115" s="5"/>
      <c r="DT115" s="146"/>
      <c r="DU115" s="146"/>
      <c r="DV115" s="146"/>
      <c r="DW115" s="146"/>
      <c r="FZ115" s="146"/>
      <c r="JU115" s="146"/>
      <c r="JV115" s="146"/>
      <c r="JW115" s="146"/>
      <c r="JX115" s="146"/>
      <c r="PB115" s="146"/>
      <c r="PC115" s="146"/>
      <c r="PE115" s="146"/>
      <c r="PS115" s="149"/>
      <c r="PW115" s="146"/>
      <c r="RZ115" s="149"/>
      <c r="AHI115" s="145"/>
      <c r="AIX115" s="145"/>
      <c r="AIY115" s="145"/>
      <c r="AIZ115" s="145"/>
    </row>
    <row r="116" spans="2:936" hidden="1" x14ac:dyDescent="0.25">
      <c r="B116" s="749"/>
      <c r="C116" s="449" t="s">
        <v>45</v>
      </c>
      <c r="D116" s="489"/>
      <c r="E116" s="509" t="s">
        <v>31</v>
      </c>
      <c r="F116" s="33">
        <f>'[22]Januari 24'!AL104</f>
        <v>89268</v>
      </c>
      <c r="G116" s="33">
        <f>'[22]Februari 24'!AI110</f>
        <v>0</v>
      </c>
      <c r="H116" s="33">
        <f>'[22]Maret 24'!AL101</f>
        <v>0</v>
      </c>
      <c r="I116" s="33">
        <f>'[22]April 24'!AL101</f>
        <v>0</v>
      </c>
      <c r="J116" s="33">
        <f>'[22]Mei 24'!AL110</f>
        <v>0</v>
      </c>
      <c r="K116" s="33">
        <f>'[22]Juny 24'!AL110</f>
        <v>0</v>
      </c>
      <c r="L116" s="33">
        <f>'[22]July 24'!AL110</f>
        <v>0</v>
      </c>
      <c r="M116" s="33">
        <f>'[22]Agustus 24'!AL83</f>
        <v>0</v>
      </c>
      <c r="N116" s="33">
        <f>'[22]September 24'!AL110</f>
        <v>0</v>
      </c>
      <c r="O116" s="33">
        <f>'[22]Oktober 24'!AL110</f>
        <v>0</v>
      </c>
      <c r="P116" s="33">
        <f>'[22]November 24'!AL110</f>
        <v>0</v>
      </c>
      <c r="Q116" s="33">
        <f>'[22]Desember 24'!AL110</f>
        <v>0</v>
      </c>
      <c r="R116" s="737"/>
      <c r="S116" s="57">
        <f t="shared" ref="S116:U117" si="50">SUM(F116:Q116)</f>
        <v>89268</v>
      </c>
      <c r="T116" s="684">
        <f t="shared" si="50"/>
        <v>0</v>
      </c>
      <c r="U116" s="808">
        <f t="shared" si="50"/>
        <v>89268</v>
      </c>
      <c r="W116" s="6"/>
      <c r="X116" s="65"/>
      <c r="Y116" s="824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R116" s="65"/>
      <c r="AX116" s="1"/>
      <c r="BG116" s="146"/>
      <c r="BH116" s="146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CK116" s="146"/>
      <c r="DA116" s="1"/>
      <c r="DS116" s="5"/>
      <c r="DT116" s="146"/>
      <c r="DU116" s="146"/>
      <c r="DV116" s="146"/>
      <c r="DW116" s="146"/>
      <c r="FZ116" s="146"/>
      <c r="JU116" s="146"/>
      <c r="JV116" s="146"/>
      <c r="JW116" s="146"/>
      <c r="JX116" s="146"/>
      <c r="PB116" s="146"/>
      <c r="PC116" s="146"/>
      <c r="PE116" s="146"/>
      <c r="PS116" s="149"/>
      <c r="PW116" s="146"/>
      <c r="RZ116" s="149"/>
      <c r="AHI116" s="145"/>
      <c r="AIX116" s="145"/>
      <c r="AIY116" s="145"/>
      <c r="AIZ116" s="145"/>
    </row>
    <row r="117" spans="2:936" hidden="1" x14ac:dyDescent="0.25">
      <c r="B117" s="749"/>
      <c r="C117" s="449" t="s">
        <v>44</v>
      </c>
      <c r="D117" s="489"/>
      <c r="E117" s="509" t="s">
        <v>31</v>
      </c>
      <c r="F117" s="33">
        <f>'[22]Januari 24'!AL105</f>
        <v>211410</v>
      </c>
      <c r="G117" s="33">
        <f>'[22]Februari 24'!AI111</f>
        <v>0</v>
      </c>
      <c r="H117" s="33">
        <f>'[22]Maret 24'!AL102</f>
        <v>0</v>
      </c>
      <c r="I117" s="33">
        <f>'[22]April 24'!AL102</f>
        <v>0</v>
      </c>
      <c r="J117" s="33">
        <f>'[22]Mei 24'!AL111</f>
        <v>0</v>
      </c>
      <c r="K117" s="33">
        <f>'[22]Juny 24'!AL111</f>
        <v>0</v>
      </c>
      <c r="L117" s="33">
        <f>'[22]July 24'!AL111</f>
        <v>0</v>
      </c>
      <c r="M117" s="33">
        <f>'[22]Agustus 24'!AL84</f>
        <v>0</v>
      </c>
      <c r="N117" s="33">
        <f>'[22]September 24'!AL111</f>
        <v>0</v>
      </c>
      <c r="O117" s="33">
        <f>'[22]Oktober 24'!AL111</f>
        <v>0</v>
      </c>
      <c r="P117" s="33">
        <f>'[22]November 24'!AL111</f>
        <v>0</v>
      </c>
      <c r="Q117" s="33">
        <f>'[22]Desember 24'!AL111</f>
        <v>0</v>
      </c>
      <c r="R117" s="737"/>
      <c r="S117" s="57">
        <f t="shared" si="50"/>
        <v>211410</v>
      </c>
      <c r="T117" s="684">
        <f t="shared" si="50"/>
        <v>0</v>
      </c>
      <c r="U117" s="808">
        <f t="shared" si="50"/>
        <v>211410</v>
      </c>
      <c r="W117" s="6"/>
      <c r="X117" s="65"/>
      <c r="Y117" s="824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R117" s="65"/>
      <c r="AX117" s="1"/>
      <c r="BG117" s="146"/>
      <c r="BH117" s="146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CK117" s="146"/>
      <c r="DA117" s="1"/>
      <c r="DS117" s="5"/>
      <c r="DT117" s="146"/>
      <c r="DU117" s="146"/>
      <c r="DV117" s="146"/>
      <c r="DW117" s="146"/>
      <c r="FZ117" s="146"/>
      <c r="JU117" s="146"/>
      <c r="JV117" s="146"/>
      <c r="JW117" s="146"/>
      <c r="JX117" s="146"/>
      <c r="PB117" s="146"/>
      <c r="PC117" s="146"/>
      <c r="PE117" s="146"/>
      <c r="PS117" s="149"/>
      <c r="PW117" s="146"/>
      <c r="RZ117" s="149"/>
      <c r="AHI117" s="145"/>
      <c r="AIX117" s="145"/>
      <c r="AIY117" s="145"/>
      <c r="AIZ117" s="145"/>
    </row>
    <row r="118" spans="2:936" hidden="1" x14ac:dyDescent="0.25">
      <c r="B118" s="749"/>
      <c r="C118" s="582" t="s">
        <v>28</v>
      </c>
      <c r="D118" s="489"/>
      <c r="E118" s="477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737"/>
      <c r="S118" s="66" t="s">
        <v>28</v>
      </c>
      <c r="T118" s="706" t="s">
        <v>28</v>
      </c>
      <c r="U118" s="807" t="s">
        <v>28</v>
      </c>
      <c r="W118" s="6"/>
      <c r="X118" s="65"/>
      <c r="Y118" s="824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R118" s="65"/>
      <c r="AX118" s="1"/>
      <c r="BG118" s="146"/>
      <c r="BH118" s="146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CK118" s="146"/>
      <c r="DA118" s="1"/>
      <c r="DS118" s="5"/>
      <c r="DT118" s="146"/>
      <c r="DU118" s="146"/>
      <c r="DV118" s="146"/>
      <c r="DW118" s="146"/>
      <c r="FZ118" s="146"/>
      <c r="JU118" s="146"/>
      <c r="JV118" s="146"/>
      <c r="JW118" s="146"/>
      <c r="JX118" s="146"/>
      <c r="PB118" s="146"/>
      <c r="PC118" s="146"/>
      <c r="PE118" s="146"/>
      <c r="PS118" s="149"/>
      <c r="PW118" s="146"/>
      <c r="RZ118" s="149"/>
      <c r="AHI118" s="145"/>
      <c r="AIX118" s="145"/>
      <c r="AIY118" s="145"/>
      <c r="AIZ118" s="145"/>
    </row>
    <row r="119" spans="2:936" hidden="1" x14ac:dyDescent="0.25">
      <c r="B119" s="749"/>
      <c r="C119" s="449" t="s">
        <v>45</v>
      </c>
      <c r="D119" s="489"/>
      <c r="E119" s="509" t="s">
        <v>28</v>
      </c>
      <c r="F119" s="590">
        <f>F116*12</f>
        <v>1071216</v>
      </c>
      <c r="G119" s="590">
        <f t="shared" ref="G119:Q120" si="51">G116*12</f>
        <v>0</v>
      </c>
      <c r="H119" s="590">
        <f t="shared" si="51"/>
        <v>0</v>
      </c>
      <c r="I119" s="590" t="e">
        <f>'[22]April 24'!AK114</f>
        <v>#REF!</v>
      </c>
      <c r="J119" s="590">
        <f t="shared" si="51"/>
        <v>0</v>
      </c>
      <c r="K119" s="590">
        <f t="shared" si="51"/>
        <v>0</v>
      </c>
      <c r="L119" s="590">
        <f t="shared" si="51"/>
        <v>0</v>
      </c>
      <c r="M119" s="590">
        <f t="shared" si="51"/>
        <v>0</v>
      </c>
      <c r="N119" s="590">
        <f t="shared" si="51"/>
        <v>0</v>
      </c>
      <c r="O119" s="590">
        <f t="shared" si="51"/>
        <v>0</v>
      </c>
      <c r="P119" s="590">
        <f t="shared" si="51"/>
        <v>0</v>
      </c>
      <c r="Q119" s="590">
        <f t="shared" si="51"/>
        <v>0</v>
      </c>
      <c r="R119" s="737"/>
      <c r="S119" s="57" t="e">
        <f t="shared" ref="S119:U120" si="52">SUM(F119:Q119)</f>
        <v>#REF!</v>
      </c>
      <c r="T119" s="684" t="e">
        <f t="shared" si="52"/>
        <v>#REF!</v>
      </c>
      <c r="U119" s="808" t="e">
        <f t="shared" si="52"/>
        <v>#REF!</v>
      </c>
      <c r="W119" s="6"/>
      <c r="X119" s="65"/>
      <c r="Y119" s="824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R119" s="65"/>
      <c r="AX119" s="1"/>
      <c r="BG119" s="146"/>
      <c r="BH119" s="146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CK119" s="146"/>
      <c r="DA119" s="1"/>
      <c r="DS119" s="5"/>
      <c r="DT119" s="146"/>
      <c r="DU119" s="146"/>
      <c r="DV119" s="146"/>
      <c r="DW119" s="146"/>
      <c r="FZ119" s="146"/>
      <c r="JU119" s="146"/>
      <c r="JV119" s="146"/>
      <c r="JW119" s="146"/>
      <c r="JX119" s="146"/>
      <c r="PB119" s="146"/>
      <c r="PC119" s="146"/>
      <c r="PE119" s="146"/>
      <c r="PS119" s="149"/>
      <c r="PW119" s="146"/>
      <c r="RZ119" s="149"/>
      <c r="AHI119" s="145"/>
      <c r="AIX119" s="145"/>
      <c r="AIY119" s="145"/>
      <c r="AIZ119" s="145"/>
    </row>
    <row r="120" spans="2:936" hidden="1" x14ac:dyDescent="0.25">
      <c r="B120" s="749"/>
      <c r="C120" s="449" t="s">
        <v>44</v>
      </c>
      <c r="D120" s="489"/>
      <c r="E120" s="509" t="s">
        <v>28</v>
      </c>
      <c r="F120" s="590">
        <f>F117*6</f>
        <v>1268460</v>
      </c>
      <c r="G120" s="590">
        <f>G117*6</f>
        <v>0</v>
      </c>
      <c r="H120" s="590">
        <f>H117*6</f>
        <v>0</v>
      </c>
      <c r="I120" s="590" t="e">
        <f>'[22]April 24'!AK115</f>
        <v>#REF!</v>
      </c>
      <c r="J120" s="590">
        <f t="shared" si="51"/>
        <v>0</v>
      </c>
      <c r="K120" s="590">
        <f t="shared" si="51"/>
        <v>0</v>
      </c>
      <c r="L120" s="590">
        <f t="shared" si="51"/>
        <v>0</v>
      </c>
      <c r="M120" s="590">
        <f t="shared" si="51"/>
        <v>0</v>
      </c>
      <c r="N120" s="590">
        <f t="shared" si="51"/>
        <v>0</v>
      </c>
      <c r="O120" s="590">
        <f t="shared" si="51"/>
        <v>0</v>
      </c>
      <c r="P120" s="590">
        <f t="shared" si="51"/>
        <v>0</v>
      </c>
      <c r="Q120" s="590">
        <f t="shared" si="51"/>
        <v>0</v>
      </c>
      <c r="R120" s="737"/>
      <c r="S120" s="57" t="e">
        <f t="shared" si="52"/>
        <v>#REF!</v>
      </c>
      <c r="T120" s="684" t="e">
        <f t="shared" si="52"/>
        <v>#REF!</v>
      </c>
      <c r="U120" s="808" t="e">
        <f t="shared" si="52"/>
        <v>#REF!</v>
      </c>
      <c r="W120" s="6"/>
      <c r="X120" s="65"/>
      <c r="Y120" s="824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R120" s="65"/>
      <c r="AX120" s="1"/>
      <c r="BG120" s="146"/>
      <c r="BH120" s="146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CK120" s="146"/>
      <c r="DA120" s="1"/>
      <c r="DS120" s="5"/>
      <c r="DT120" s="146"/>
      <c r="DU120" s="146"/>
      <c r="DV120" s="146"/>
      <c r="DW120" s="146"/>
      <c r="FZ120" s="146"/>
      <c r="JU120" s="146"/>
      <c r="JV120" s="146"/>
      <c r="JW120" s="146"/>
      <c r="JX120" s="146"/>
      <c r="PB120" s="146"/>
      <c r="PC120" s="146"/>
      <c r="PE120" s="146"/>
      <c r="PS120" s="149"/>
      <c r="PW120" s="146"/>
      <c r="RZ120" s="149"/>
      <c r="AHI120" s="145"/>
      <c r="AIX120" s="145"/>
      <c r="AIY120" s="145"/>
      <c r="AIZ120" s="145"/>
    </row>
    <row r="121" spans="2:936" hidden="1" x14ac:dyDescent="0.25">
      <c r="B121" s="746"/>
      <c r="C121" s="431" t="s">
        <v>30</v>
      </c>
      <c r="D121" s="49"/>
      <c r="E121" s="49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3"/>
      <c r="S121" s="535" t="s">
        <v>131</v>
      </c>
      <c r="T121" s="695" t="s">
        <v>131</v>
      </c>
      <c r="U121" s="798" t="s">
        <v>131</v>
      </c>
      <c r="W121" s="6"/>
      <c r="X121" s="65"/>
      <c r="Y121" s="824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R121" s="65"/>
      <c r="AX121" s="1"/>
      <c r="BG121" s="145"/>
      <c r="BH121" s="145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CK121" s="145"/>
      <c r="DA121" s="1"/>
      <c r="DS121" s="5"/>
      <c r="DT121" s="145"/>
      <c r="DU121" s="145"/>
      <c r="DV121" s="145"/>
      <c r="DW121" s="145"/>
      <c r="FZ121" s="145"/>
      <c r="JU121" s="145"/>
      <c r="JV121" s="145"/>
      <c r="JW121" s="145"/>
      <c r="JX121" s="145"/>
      <c r="PB121" s="145"/>
      <c r="PC121" s="145"/>
      <c r="PE121" s="145"/>
      <c r="PS121" s="494"/>
      <c r="PW121" s="145"/>
      <c r="RZ121" s="494"/>
      <c r="AHI121" s="145"/>
      <c r="AIX121" s="145"/>
      <c r="AIY121" s="145"/>
      <c r="AIZ121" s="145"/>
    </row>
    <row r="122" spans="2:936" hidden="1" x14ac:dyDescent="0.25">
      <c r="B122" s="749"/>
      <c r="C122" s="582" t="s">
        <v>29</v>
      </c>
      <c r="D122" s="489"/>
      <c r="E122" s="477"/>
      <c r="F122" s="452"/>
      <c r="G122" s="452"/>
      <c r="H122" s="452"/>
      <c r="I122" s="452"/>
      <c r="J122" s="452"/>
      <c r="K122" s="452"/>
      <c r="L122" s="452"/>
      <c r="M122" s="452"/>
      <c r="N122" s="452"/>
      <c r="O122" s="452"/>
      <c r="P122" s="452"/>
      <c r="Q122" s="452"/>
      <c r="R122" s="737"/>
      <c r="S122" s="66" t="s">
        <v>29</v>
      </c>
      <c r="T122" s="706" t="s">
        <v>29</v>
      </c>
      <c r="U122" s="807" t="s">
        <v>29</v>
      </c>
      <c r="W122" s="6"/>
      <c r="X122" s="65"/>
      <c r="Y122" s="824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R122" s="65"/>
      <c r="AX122" s="1"/>
      <c r="BG122" s="146"/>
      <c r="BH122" s="146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CK122" s="146"/>
      <c r="DA122" s="1"/>
      <c r="DS122" s="5"/>
      <c r="DT122" s="146"/>
      <c r="DU122" s="146"/>
      <c r="DV122" s="146"/>
      <c r="DW122" s="146"/>
      <c r="FZ122" s="146"/>
      <c r="JU122" s="146"/>
      <c r="JV122" s="146"/>
      <c r="JW122" s="146"/>
      <c r="JX122" s="146"/>
      <c r="PB122" s="146"/>
      <c r="PC122" s="146"/>
      <c r="PE122" s="146"/>
      <c r="PS122" s="149"/>
      <c r="PW122" s="146"/>
      <c r="RZ122" s="149"/>
      <c r="AHI122" s="145"/>
      <c r="AIX122" s="145"/>
      <c r="AIY122" s="145"/>
      <c r="AIZ122" s="145"/>
    </row>
    <row r="123" spans="2:936" hidden="1" x14ac:dyDescent="0.25">
      <c r="B123" s="749"/>
      <c r="C123" s="449" t="s">
        <v>45</v>
      </c>
      <c r="D123" s="476">
        <v>0.3</v>
      </c>
      <c r="E123" s="509" t="s">
        <v>25</v>
      </c>
      <c r="F123" s="453">
        <f>F116/F107*100</f>
        <v>1200</v>
      </c>
      <c r="G123" s="453" t="e">
        <f t="shared" ref="F123:H124" si="53">G116/G107*100</f>
        <v>#DIV/0!</v>
      </c>
      <c r="H123" s="453" t="e">
        <f>H116/H107*100</f>
        <v>#DIV/0!</v>
      </c>
      <c r="I123" s="453" t="e">
        <f t="shared" ref="I123:Q124" si="54">I116/I107*100</f>
        <v>#DIV/0!</v>
      </c>
      <c r="J123" s="453" t="e">
        <f>J116/J107*100</f>
        <v>#DIV/0!</v>
      </c>
      <c r="K123" s="453" t="e">
        <f t="shared" si="54"/>
        <v>#DIV/0!</v>
      </c>
      <c r="L123" s="453" t="e">
        <f>L116/L107*100</f>
        <v>#DIV/0!</v>
      </c>
      <c r="M123" s="453" t="e">
        <f t="shared" si="54"/>
        <v>#DIV/0!</v>
      </c>
      <c r="N123" s="453" t="e">
        <f t="shared" si="54"/>
        <v>#DIV/0!</v>
      </c>
      <c r="O123" s="453" t="e">
        <f>O116/O107*100</f>
        <v>#DIV/0!</v>
      </c>
      <c r="P123" s="453" t="e">
        <f t="shared" si="54"/>
        <v>#DIV/0!</v>
      </c>
      <c r="Q123" s="453" t="e">
        <f t="shared" si="54"/>
        <v>#DIV/0!</v>
      </c>
      <c r="R123" s="737"/>
      <c r="S123" s="61">
        <f t="shared" ref="S123:U124" si="55">S116/S107*100</f>
        <v>1200</v>
      </c>
      <c r="T123" s="687">
        <f t="shared" si="55"/>
        <v>0</v>
      </c>
      <c r="U123" s="791">
        <f t="shared" si="55"/>
        <v>18224388</v>
      </c>
      <c r="W123" s="6"/>
      <c r="X123" s="65"/>
      <c r="Y123" s="824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R123" s="65"/>
      <c r="AX123" s="1"/>
      <c r="BG123" s="146"/>
      <c r="BH123" s="146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CK123" s="146"/>
      <c r="DA123" s="1"/>
      <c r="DS123" s="5"/>
      <c r="DT123" s="146"/>
      <c r="DU123" s="146"/>
      <c r="DV123" s="146"/>
      <c r="DW123" s="146"/>
      <c r="FZ123" s="146"/>
      <c r="JU123" s="146"/>
      <c r="JV123" s="146"/>
      <c r="JW123" s="146"/>
      <c r="JX123" s="146"/>
      <c r="PB123" s="146"/>
      <c r="PC123" s="146"/>
      <c r="PE123" s="146"/>
      <c r="PS123" s="149"/>
      <c r="PW123" s="146"/>
      <c r="RZ123" s="149"/>
      <c r="AHI123" s="145"/>
      <c r="AIX123" s="145"/>
      <c r="AIY123" s="145"/>
      <c r="AIZ123" s="145"/>
    </row>
    <row r="124" spans="2:936" hidden="1" x14ac:dyDescent="0.25">
      <c r="B124" s="749"/>
      <c r="C124" s="449" t="s">
        <v>44</v>
      </c>
      <c r="D124" s="476">
        <v>0.3</v>
      </c>
      <c r="E124" s="509" t="s">
        <v>25</v>
      </c>
      <c r="F124" s="453">
        <f t="shared" si="53"/>
        <v>600</v>
      </c>
      <c r="G124" s="453" t="e">
        <f t="shared" si="53"/>
        <v>#DIV/0!</v>
      </c>
      <c r="H124" s="453" t="e">
        <f t="shared" si="53"/>
        <v>#DIV/0!</v>
      </c>
      <c r="I124" s="453" t="e">
        <f t="shared" si="54"/>
        <v>#DIV/0!</v>
      </c>
      <c r="J124" s="453" t="e">
        <f>J117/J108*100</f>
        <v>#DIV/0!</v>
      </c>
      <c r="K124" s="453" t="e">
        <f t="shared" si="54"/>
        <v>#DIV/0!</v>
      </c>
      <c r="L124" s="453" t="e">
        <f>L117/L108*100</f>
        <v>#DIV/0!</v>
      </c>
      <c r="M124" s="453" t="e">
        <f t="shared" si="54"/>
        <v>#DIV/0!</v>
      </c>
      <c r="N124" s="453" t="e">
        <f t="shared" si="54"/>
        <v>#DIV/0!</v>
      </c>
      <c r="O124" s="453" t="e">
        <f t="shared" si="54"/>
        <v>#DIV/0!</v>
      </c>
      <c r="P124" s="453" t="e">
        <f t="shared" si="54"/>
        <v>#DIV/0!</v>
      </c>
      <c r="Q124" s="453" t="e">
        <f t="shared" si="54"/>
        <v>#DIV/0!</v>
      </c>
      <c r="R124" s="737"/>
      <c r="S124" s="61">
        <f t="shared" si="55"/>
        <v>600</v>
      </c>
      <c r="T124" s="687">
        <f t="shared" si="55"/>
        <v>0</v>
      </c>
      <c r="U124" s="791">
        <f t="shared" si="55"/>
        <v>12677832</v>
      </c>
      <c r="W124" s="6"/>
      <c r="X124" s="65"/>
      <c r="Y124" s="824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R124" s="65"/>
      <c r="AX124" s="1"/>
      <c r="BG124" s="146"/>
      <c r="BH124" s="146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CK124" s="146"/>
      <c r="DA124" s="1"/>
      <c r="DS124" s="5"/>
      <c r="DT124" s="146"/>
      <c r="DU124" s="146"/>
      <c r="DV124" s="146"/>
      <c r="DW124" s="146"/>
      <c r="FZ124" s="146"/>
      <c r="JU124" s="146"/>
      <c r="JV124" s="146"/>
      <c r="JW124" s="146"/>
      <c r="JX124" s="146"/>
      <c r="PB124" s="146"/>
      <c r="PC124" s="146"/>
      <c r="PE124" s="146"/>
      <c r="PS124" s="149"/>
      <c r="PW124" s="146"/>
      <c r="RZ124" s="149"/>
      <c r="AHI124" s="145"/>
      <c r="AIX124" s="145"/>
      <c r="AIY124" s="145"/>
      <c r="AIZ124" s="145"/>
    </row>
    <row r="125" spans="2:936" hidden="1" x14ac:dyDescent="0.25">
      <c r="B125" s="749"/>
      <c r="C125" s="582" t="s">
        <v>28</v>
      </c>
      <c r="D125" s="476"/>
      <c r="E125" s="477"/>
      <c r="F125" s="453"/>
      <c r="G125" s="453"/>
      <c r="H125" s="453"/>
      <c r="I125" s="453"/>
      <c r="J125" s="453"/>
      <c r="K125" s="453"/>
      <c r="L125" s="453"/>
      <c r="M125" s="453"/>
      <c r="N125" s="453"/>
      <c r="O125" s="453"/>
      <c r="P125" s="453"/>
      <c r="Q125" s="453"/>
      <c r="R125" s="737"/>
      <c r="S125" s="66" t="s">
        <v>28</v>
      </c>
      <c r="T125" s="706" t="s">
        <v>28</v>
      </c>
      <c r="U125" s="807" t="s">
        <v>28</v>
      </c>
      <c r="W125" s="6"/>
      <c r="X125" s="65"/>
      <c r="Y125" s="824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R125" s="65"/>
      <c r="AX125" s="1"/>
      <c r="BG125" s="146"/>
      <c r="BH125" s="146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CK125" s="146"/>
      <c r="DA125" s="1"/>
      <c r="DS125" s="5"/>
      <c r="DT125" s="146"/>
      <c r="DU125" s="146"/>
      <c r="DV125" s="146"/>
      <c r="DW125" s="146"/>
      <c r="FZ125" s="146"/>
      <c r="JU125" s="146"/>
      <c r="JV125" s="146"/>
      <c r="JW125" s="146"/>
      <c r="JX125" s="146"/>
      <c r="PB125" s="146"/>
      <c r="PC125" s="146"/>
      <c r="PE125" s="146"/>
      <c r="PS125" s="149"/>
      <c r="PW125" s="146"/>
      <c r="RZ125" s="149"/>
      <c r="AHI125" s="145"/>
      <c r="AIX125" s="145"/>
      <c r="AIY125" s="145"/>
      <c r="AIZ125" s="145"/>
    </row>
    <row r="126" spans="2:936" hidden="1" x14ac:dyDescent="0.25">
      <c r="B126" s="749"/>
      <c r="C126" s="449" t="s">
        <v>45</v>
      </c>
      <c r="D126" s="476">
        <v>0.5</v>
      </c>
      <c r="E126" s="509" t="s">
        <v>25</v>
      </c>
      <c r="F126" s="453">
        <f t="shared" ref="F126:Q127" si="56">F119/F110*100</f>
        <v>1200</v>
      </c>
      <c r="G126" s="453" t="e">
        <f t="shared" si="56"/>
        <v>#DIV/0!</v>
      </c>
      <c r="H126" s="453" t="e">
        <f t="shared" si="56"/>
        <v>#DIV/0!</v>
      </c>
      <c r="I126" s="453" t="e">
        <f t="shared" si="56"/>
        <v>#REF!</v>
      </c>
      <c r="J126" s="453" t="e">
        <f t="shared" si="56"/>
        <v>#DIV/0!</v>
      </c>
      <c r="K126" s="453" t="e">
        <f t="shared" si="56"/>
        <v>#DIV/0!</v>
      </c>
      <c r="L126" s="453" t="e">
        <f t="shared" si="56"/>
        <v>#DIV/0!</v>
      </c>
      <c r="M126" s="453" t="e">
        <f t="shared" si="56"/>
        <v>#DIV/0!</v>
      </c>
      <c r="N126" s="453" t="e">
        <f t="shared" si="56"/>
        <v>#DIV/0!</v>
      </c>
      <c r="O126" s="453" t="e">
        <f t="shared" si="56"/>
        <v>#DIV/0!</v>
      </c>
      <c r="P126" s="453" t="e">
        <f t="shared" si="56"/>
        <v>#DIV/0!</v>
      </c>
      <c r="Q126" s="453" t="e">
        <f t="shared" si="56"/>
        <v>#DIV/0!</v>
      </c>
      <c r="R126" s="737"/>
      <c r="S126" s="61" t="e">
        <f t="shared" ref="S126:U127" si="57">S119/S110*100</f>
        <v>#REF!</v>
      </c>
      <c r="T126" s="687" t="e">
        <f t="shared" si="57"/>
        <v>#REF!</v>
      </c>
      <c r="U126" s="791" t="e">
        <f t="shared" si="57"/>
        <v>#REF!</v>
      </c>
      <c r="W126" s="6"/>
      <c r="X126" s="65"/>
      <c r="Y126" s="824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R126" s="65"/>
      <c r="AX126" s="1"/>
      <c r="BG126" s="146"/>
      <c r="BH126" s="146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CK126" s="146"/>
      <c r="DA126" s="1"/>
      <c r="DS126" s="5"/>
      <c r="DT126" s="146"/>
      <c r="DU126" s="146"/>
      <c r="DV126" s="146"/>
      <c r="DW126" s="146"/>
      <c r="FZ126" s="146"/>
      <c r="JU126" s="146"/>
      <c r="JV126" s="146"/>
      <c r="JW126" s="146"/>
      <c r="JX126" s="146"/>
      <c r="PB126" s="146"/>
      <c r="PC126" s="146"/>
      <c r="PE126" s="146"/>
      <c r="PS126" s="149"/>
      <c r="PW126" s="146"/>
      <c r="RZ126" s="149"/>
      <c r="AHI126" s="145"/>
      <c r="AIX126" s="145"/>
      <c r="AIY126" s="145"/>
      <c r="AIZ126" s="145"/>
    </row>
    <row r="127" spans="2:936" hidden="1" x14ac:dyDescent="0.25">
      <c r="B127" s="749"/>
      <c r="C127" s="449" t="s">
        <v>44</v>
      </c>
      <c r="D127" s="476">
        <v>0.5</v>
      </c>
      <c r="E127" s="509" t="s">
        <v>25</v>
      </c>
      <c r="F127" s="453">
        <f t="shared" si="56"/>
        <v>600</v>
      </c>
      <c r="G127" s="453" t="e">
        <f t="shared" si="56"/>
        <v>#DIV/0!</v>
      </c>
      <c r="H127" s="453" t="e">
        <f t="shared" si="56"/>
        <v>#DIV/0!</v>
      </c>
      <c r="I127" s="453" t="e">
        <f t="shared" si="56"/>
        <v>#REF!</v>
      </c>
      <c r="J127" s="453" t="e">
        <f t="shared" si="56"/>
        <v>#DIV/0!</v>
      </c>
      <c r="K127" s="453" t="e">
        <f t="shared" si="56"/>
        <v>#DIV/0!</v>
      </c>
      <c r="L127" s="453" t="e">
        <f t="shared" si="56"/>
        <v>#DIV/0!</v>
      </c>
      <c r="M127" s="453" t="e">
        <f t="shared" si="56"/>
        <v>#DIV/0!</v>
      </c>
      <c r="N127" s="453" t="e">
        <f t="shared" si="56"/>
        <v>#DIV/0!</v>
      </c>
      <c r="O127" s="453" t="e">
        <f t="shared" si="56"/>
        <v>#DIV/0!</v>
      </c>
      <c r="P127" s="453" t="e">
        <f t="shared" si="56"/>
        <v>#DIV/0!</v>
      </c>
      <c r="Q127" s="453" t="e">
        <f t="shared" si="56"/>
        <v>#DIV/0!</v>
      </c>
      <c r="R127" s="737"/>
      <c r="S127" s="61" t="e">
        <f t="shared" si="57"/>
        <v>#REF!</v>
      </c>
      <c r="T127" s="687" t="e">
        <f t="shared" si="57"/>
        <v>#REF!</v>
      </c>
      <c r="U127" s="791" t="e">
        <f t="shared" si="57"/>
        <v>#REF!</v>
      </c>
      <c r="W127" s="6"/>
      <c r="X127" s="65"/>
      <c r="Y127" s="824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R127" s="65"/>
      <c r="AX127" s="1"/>
      <c r="BG127" s="146"/>
      <c r="BH127" s="146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CK127" s="146"/>
      <c r="DA127" s="1"/>
      <c r="DS127" s="5"/>
      <c r="DT127" s="146"/>
      <c r="DU127" s="146"/>
      <c r="DV127" s="146"/>
      <c r="DW127" s="146"/>
      <c r="FZ127" s="146"/>
      <c r="JU127" s="146"/>
      <c r="JV127" s="146"/>
      <c r="JW127" s="146"/>
      <c r="JX127" s="146"/>
      <c r="PB127" s="146"/>
      <c r="PC127" s="146"/>
      <c r="PE127" s="146"/>
      <c r="PS127" s="149"/>
      <c r="PW127" s="146"/>
      <c r="RZ127" s="149"/>
      <c r="AHI127" s="145"/>
      <c r="AIX127" s="145"/>
      <c r="AIY127" s="145"/>
      <c r="AIZ127" s="145"/>
    </row>
    <row r="128" spans="2:936" hidden="1" x14ac:dyDescent="0.25">
      <c r="B128" s="745">
        <v>7</v>
      </c>
      <c r="C128" s="431" t="s">
        <v>43</v>
      </c>
      <c r="D128" s="49"/>
      <c r="E128" s="49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3"/>
      <c r="S128" s="535" t="s">
        <v>130</v>
      </c>
      <c r="T128" s="695" t="s">
        <v>130</v>
      </c>
      <c r="U128" s="798" t="s">
        <v>130</v>
      </c>
      <c r="W128" s="6"/>
      <c r="X128" s="65"/>
      <c r="Y128" s="824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825"/>
      <c r="AK128" s="825"/>
      <c r="AL128" s="825"/>
      <c r="AM128" s="825"/>
      <c r="AN128" s="825"/>
      <c r="AO128" s="825"/>
      <c r="AP128" s="825"/>
      <c r="AQ128" s="825"/>
      <c r="AR128" s="825"/>
      <c r="AS128" s="825"/>
      <c r="AX128" s="1"/>
      <c r="BG128" s="145"/>
      <c r="BH128" s="145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CK128" s="145"/>
      <c r="DA128" s="1"/>
      <c r="DS128" s="5"/>
      <c r="DT128" s="145"/>
      <c r="DU128" s="145"/>
      <c r="DV128" s="145"/>
      <c r="DW128" s="145"/>
      <c r="FZ128" s="145"/>
      <c r="JU128" s="145"/>
      <c r="JV128" s="145"/>
      <c r="JW128" s="145"/>
      <c r="JX128" s="145"/>
      <c r="PB128" s="145"/>
      <c r="PC128" s="145"/>
      <c r="PE128" s="145"/>
      <c r="PS128" s="494"/>
      <c r="PW128" s="145"/>
      <c r="RZ128" s="494"/>
      <c r="AHI128" s="145"/>
      <c r="AIX128" s="145"/>
      <c r="AIY128" s="145"/>
      <c r="AIZ128" s="145"/>
    </row>
    <row r="129" spans="2:936" hidden="1" x14ac:dyDescent="0.25">
      <c r="B129" s="746"/>
      <c r="C129" s="592" t="s">
        <v>114</v>
      </c>
      <c r="D129" s="593"/>
      <c r="E129" s="20" t="s">
        <v>14</v>
      </c>
      <c r="F129" s="598">
        <f>'[22]Januari 24'!AL123</f>
        <v>534116</v>
      </c>
      <c r="G129" s="599" t="e">
        <f>'[22]Februari 24'!AI123</f>
        <v>#REF!</v>
      </c>
      <c r="H129" s="752">
        <f>'[22]Maret 24'!AL123</f>
        <v>0</v>
      </c>
      <c r="I129" s="594">
        <f>'[22]April 24'!AL123</f>
        <v>0</v>
      </c>
      <c r="J129" s="594">
        <f>'[22]Mei 24'!AL123</f>
        <v>0</v>
      </c>
      <c r="K129" s="594">
        <f>'[22]Juny 24'!AL123</f>
        <v>0</v>
      </c>
      <c r="L129" s="594">
        <f>'[22]July 24'!AL123</f>
        <v>0</v>
      </c>
      <c r="M129" s="753">
        <f>'[22]Agustus 24'!AL123</f>
        <v>0</v>
      </c>
      <c r="N129" s="594">
        <f>'[22]September 24'!AL123</f>
        <v>0</v>
      </c>
      <c r="O129" s="594">
        <f>'[22]Oktober 24'!AL123</f>
        <v>0</v>
      </c>
      <c r="P129" s="594">
        <f>'[22]November 24'!AL123</f>
        <v>0</v>
      </c>
      <c r="Q129" s="594">
        <f>'[22]Desember 24'!AL123</f>
        <v>0</v>
      </c>
      <c r="R129" s="751"/>
      <c r="S129" s="92" t="e">
        <f>SUM(S131:S132)</f>
        <v>#REF!</v>
      </c>
      <c r="T129" s="704" t="e">
        <f>SUM(T131:T132)</f>
        <v>#REF!</v>
      </c>
      <c r="U129" s="809" t="e">
        <f>SUM(U131:U132)</f>
        <v>#REF!</v>
      </c>
      <c r="W129" s="839"/>
      <c r="X129" s="65"/>
      <c r="Y129" s="824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837"/>
      <c r="AK129" s="837"/>
      <c r="AL129" s="837"/>
      <c r="AM129" s="837"/>
      <c r="AN129" s="837"/>
      <c r="AO129" s="837"/>
      <c r="AP129" s="837"/>
      <c r="AQ129" s="837"/>
      <c r="AR129" s="837"/>
      <c r="AS129" s="837"/>
      <c r="AX129" s="1"/>
      <c r="BG129" s="150"/>
      <c r="BH129" s="150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CK129" s="150"/>
      <c r="DA129" s="1"/>
      <c r="DS129" s="448"/>
      <c r="DT129" s="150"/>
      <c r="DU129" s="150"/>
      <c r="DV129" s="150"/>
      <c r="DW129" s="150"/>
      <c r="FZ129" s="150"/>
      <c r="JU129" s="150"/>
      <c r="JV129" s="150"/>
      <c r="JW129" s="150"/>
      <c r="JX129" s="150"/>
      <c r="PB129" s="150"/>
      <c r="PC129" s="150"/>
      <c r="PE129" s="150"/>
      <c r="PS129" s="576"/>
      <c r="PW129" s="150"/>
      <c r="RZ129" s="576"/>
      <c r="AHI129" s="155"/>
      <c r="AIX129" s="155"/>
      <c r="AIY129" s="155"/>
      <c r="AIZ129" s="155"/>
    </row>
    <row r="130" spans="2:936" hidden="1" x14ac:dyDescent="0.25">
      <c r="B130" s="746"/>
      <c r="C130" s="592" t="s">
        <v>115</v>
      </c>
      <c r="D130" s="593"/>
      <c r="E130" s="20" t="s">
        <v>14</v>
      </c>
      <c r="F130" s="594">
        <f>'[22]Januari 24'!AL124</f>
        <v>524483.80000000005</v>
      </c>
      <c r="G130" s="594" t="e">
        <f>'[22]Februari 24'!AI124</f>
        <v>#REF!</v>
      </c>
      <c r="H130" s="594">
        <f>'[22]Maret 24'!AL124</f>
        <v>0</v>
      </c>
      <c r="I130" s="594">
        <f>'[22]April 24'!AL124</f>
        <v>0</v>
      </c>
      <c r="J130" s="594">
        <f>'[22]Mei 24'!AL124</f>
        <v>0</v>
      </c>
      <c r="K130" s="594">
        <f>'[22]Juny 24'!AL124</f>
        <v>0</v>
      </c>
      <c r="L130" s="594">
        <f>'[22]July 24'!AL124</f>
        <v>0</v>
      </c>
      <c r="M130" s="594">
        <f>'[22]Agustus 24'!AL124</f>
        <v>0</v>
      </c>
      <c r="N130" s="594">
        <f>'[22]September 24'!AL124</f>
        <v>0</v>
      </c>
      <c r="O130" s="594">
        <f>'[22]Oktober 24'!AL124</f>
        <v>0</v>
      </c>
      <c r="P130" s="594">
        <f>'[22]November 24'!AL124</f>
        <v>0</v>
      </c>
      <c r="Q130" s="289">
        <f>'[22]Desember 24'!AL124</f>
        <v>0</v>
      </c>
      <c r="R130" s="751"/>
      <c r="S130" s="92" t="e">
        <f>SUM(S131:S132)</f>
        <v>#REF!</v>
      </c>
      <c r="T130" s="704" t="e">
        <f>SUM(T131:T132)</f>
        <v>#REF!</v>
      </c>
      <c r="U130" s="809" t="e">
        <f>SUM(U131:U132)</f>
        <v>#REF!</v>
      </c>
      <c r="W130" s="839"/>
      <c r="X130" s="65"/>
      <c r="Y130" s="824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837"/>
      <c r="AK130" s="837"/>
      <c r="AL130" s="837"/>
      <c r="AM130" s="837"/>
      <c r="AN130" s="837"/>
      <c r="AO130" s="837"/>
      <c r="AP130" s="837"/>
      <c r="AQ130" s="837"/>
      <c r="AR130" s="837"/>
      <c r="AS130" s="837"/>
      <c r="AX130" s="1"/>
      <c r="BG130" s="150"/>
      <c r="BH130" s="150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CK130" s="150"/>
      <c r="DA130" s="1"/>
      <c r="DS130" s="448"/>
      <c r="DT130" s="150"/>
      <c r="DU130" s="150"/>
      <c r="DV130" s="150"/>
      <c r="DW130" s="150"/>
      <c r="FZ130" s="150"/>
      <c r="JU130" s="150"/>
      <c r="JV130" s="150"/>
      <c r="JW130" s="150"/>
      <c r="JX130" s="150"/>
      <c r="PB130" s="150"/>
      <c r="PC130" s="150"/>
      <c r="PE130" s="150"/>
      <c r="PS130" s="576"/>
      <c r="PW130" s="150"/>
      <c r="RZ130" s="576"/>
      <c r="AHI130" s="155"/>
      <c r="AIX130" s="155"/>
      <c r="AIY130" s="155"/>
      <c r="AIZ130" s="155"/>
    </row>
    <row r="131" spans="2:936" hidden="1" x14ac:dyDescent="0.25">
      <c r="B131" s="749"/>
      <c r="C131" s="582" t="s">
        <v>39</v>
      </c>
      <c r="D131" s="489"/>
      <c r="E131" s="509" t="s">
        <v>14</v>
      </c>
      <c r="F131" s="453">
        <f t="shared" ref="F131:Q131" si="58">SUM(F134:F135)*9.75348</f>
        <v>525527.25587999995</v>
      </c>
      <c r="G131" s="453" t="e">
        <f t="shared" si="58"/>
        <v>#REF!</v>
      </c>
      <c r="H131" s="453">
        <f t="shared" si="58"/>
        <v>0</v>
      </c>
      <c r="I131" s="453">
        <f t="shared" si="58"/>
        <v>0</v>
      </c>
      <c r="J131" s="453">
        <f t="shared" si="58"/>
        <v>0</v>
      </c>
      <c r="K131" s="453">
        <f t="shared" si="58"/>
        <v>0</v>
      </c>
      <c r="L131" s="453">
        <f t="shared" si="58"/>
        <v>0</v>
      </c>
      <c r="M131" s="453">
        <f t="shared" si="58"/>
        <v>0</v>
      </c>
      <c r="N131" s="453">
        <f t="shared" si="58"/>
        <v>0</v>
      </c>
      <c r="O131" s="453">
        <f t="shared" si="58"/>
        <v>0</v>
      </c>
      <c r="P131" s="453">
        <f t="shared" si="58"/>
        <v>0</v>
      </c>
      <c r="Q131" s="453">
        <f t="shared" si="58"/>
        <v>0</v>
      </c>
      <c r="R131" s="737"/>
      <c r="S131" s="61" t="e">
        <f t="shared" ref="S131:U132" si="59">SUM(F131:Q131)</f>
        <v>#REF!</v>
      </c>
      <c r="T131" s="687" t="e">
        <f t="shared" si="59"/>
        <v>#REF!</v>
      </c>
      <c r="U131" s="791" t="e">
        <f t="shared" si="59"/>
        <v>#REF!</v>
      </c>
      <c r="W131" s="6"/>
      <c r="X131" s="65"/>
      <c r="Y131" s="824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840"/>
      <c r="AK131" s="837"/>
      <c r="AL131" s="837"/>
      <c r="AM131" s="837"/>
      <c r="AN131" s="837"/>
      <c r="AO131" s="837"/>
      <c r="AP131" s="825"/>
      <c r="AQ131" s="825"/>
      <c r="AR131" s="825"/>
      <c r="AS131" s="825"/>
      <c r="AX131" s="1"/>
      <c r="BG131" s="146"/>
      <c r="BH131" s="146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CK131" s="146"/>
      <c r="DA131" s="1"/>
      <c r="DS131" s="5"/>
      <c r="DT131" s="146"/>
      <c r="DU131" s="146"/>
      <c r="DV131" s="146"/>
      <c r="DW131" s="146"/>
      <c r="FZ131" s="146"/>
      <c r="JU131" s="146"/>
      <c r="JV131" s="146"/>
      <c r="JW131" s="146"/>
      <c r="JX131" s="146"/>
      <c r="PB131" s="146"/>
      <c r="PC131" s="146"/>
      <c r="PE131" s="146"/>
      <c r="PS131" s="149"/>
      <c r="PW131" s="146"/>
      <c r="RZ131" s="149"/>
      <c r="AHI131" s="145"/>
      <c r="AIX131" s="145"/>
      <c r="AIY131" s="145"/>
      <c r="AIZ131" s="145"/>
    </row>
    <row r="132" spans="2:936" hidden="1" x14ac:dyDescent="0.25">
      <c r="B132" s="749"/>
      <c r="C132" s="582" t="s">
        <v>38</v>
      </c>
      <c r="D132" s="489"/>
      <c r="E132" s="509" t="s">
        <v>14</v>
      </c>
      <c r="F132" s="453">
        <f>F130-F131</f>
        <v>-1043.4558799999068</v>
      </c>
      <c r="G132" s="453" t="e">
        <f>G130-G131</f>
        <v>#REF!</v>
      </c>
      <c r="H132" s="453">
        <f>H130-H131</f>
        <v>0</v>
      </c>
      <c r="I132" s="453">
        <f>I130-I131</f>
        <v>0</v>
      </c>
      <c r="J132" s="453">
        <f>J130-J131</f>
        <v>0</v>
      </c>
      <c r="K132" s="453">
        <f t="shared" ref="K132:Q132" si="60">K130-K131</f>
        <v>0</v>
      </c>
      <c r="L132" s="453">
        <f t="shared" si="60"/>
        <v>0</v>
      </c>
      <c r="M132" s="453">
        <f t="shared" si="60"/>
        <v>0</v>
      </c>
      <c r="N132" s="453">
        <f t="shared" si="60"/>
        <v>0</v>
      </c>
      <c r="O132" s="453">
        <f t="shared" si="60"/>
        <v>0</v>
      </c>
      <c r="P132" s="453">
        <f t="shared" si="60"/>
        <v>0</v>
      </c>
      <c r="Q132" s="453">
        <f t="shared" si="60"/>
        <v>0</v>
      </c>
      <c r="R132" s="737"/>
      <c r="S132" s="61" t="e">
        <f t="shared" si="59"/>
        <v>#REF!</v>
      </c>
      <c r="T132" s="687" t="e">
        <f t="shared" si="59"/>
        <v>#REF!</v>
      </c>
      <c r="U132" s="791" t="e">
        <f t="shared" si="59"/>
        <v>#REF!</v>
      </c>
      <c r="W132" s="6"/>
      <c r="X132" s="65"/>
      <c r="Y132" s="824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825"/>
      <c r="AK132" s="825"/>
      <c r="AL132" s="825"/>
      <c r="AM132" s="825"/>
      <c r="AN132" s="825"/>
      <c r="AO132" s="825"/>
      <c r="AP132" s="825"/>
      <c r="AQ132" s="825"/>
      <c r="AR132" s="825"/>
      <c r="AS132" s="825"/>
      <c r="AX132" s="1"/>
      <c r="BG132" s="146"/>
      <c r="BH132" s="146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CK132" s="146"/>
      <c r="DA132" s="1"/>
      <c r="DS132" s="5"/>
      <c r="DT132" s="146"/>
      <c r="DU132" s="146"/>
      <c r="DV132" s="146"/>
      <c r="DW132" s="146"/>
      <c r="FZ132" s="146"/>
      <c r="GA132" s="1">
        <f>0.9*12</f>
        <v>10.8</v>
      </c>
      <c r="JU132" s="146"/>
      <c r="JV132" s="146"/>
      <c r="JW132" s="146"/>
      <c r="JX132" s="146"/>
      <c r="PB132" s="146"/>
      <c r="PC132" s="146"/>
      <c r="PE132" s="146"/>
      <c r="PS132" s="149"/>
      <c r="PW132" s="146"/>
      <c r="RZ132" s="149"/>
      <c r="AHI132" s="145"/>
      <c r="AIX132" s="145"/>
      <c r="AIY132" s="145"/>
      <c r="AIZ132" s="145"/>
    </row>
    <row r="133" spans="2:936" hidden="1" x14ac:dyDescent="0.25">
      <c r="B133" s="749"/>
      <c r="C133" s="582" t="s">
        <v>29</v>
      </c>
      <c r="D133" s="489"/>
      <c r="E133" s="477"/>
      <c r="F133" s="452"/>
      <c r="G133" s="452"/>
      <c r="H133" s="452"/>
      <c r="I133" s="452"/>
      <c r="J133" s="452"/>
      <c r="K133" s="452"/>
      <c r="L133" s="452"/>
      <c r="M133" s="452"/>
      <c r="N133" s="452"/>
      <c r="O133" s="452"/>
      <c r="P133" s="452"/>
      <c r="Q133" s="452"/>
      <c r="R133" s="737"/>
      <c r="S133" s="66" t="s">
        <v>29</v>
      </c>
      <c r="T133" s="706" t="s">
        <v>29</v>
      </c>
      <c r="U133" s="807" t="s">
        <v>29</v>
      </c>
      <c r="W133" s="6"/>
      <c r="X133" s="65"/>
      <c r="Y133" s="824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825"/>
      <c r="AK133" s="825"/>
      <c r="AL133" s="825"/>
      <c r="AM133" s="825"/>
      <c r="AN133" s="825"/>
      <c r="AO133" s="825"/>
      <c r="AP133" s="825"/>
      <c r="AQ133" s="825"/>
      <c r="AR133" s="825"/>
      <c r="AS133" s="825"/>
      <c r="AX133" s="1"/>
      <c r="BG133" s="146"/>
      <c r="BH133" s="146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CK133" s="146"/>
      <c r="DA133" s="1"/>
      <c r="DS133" s="5"/>
      <c r="DT133" s="146"/>
      <c r="DU133" s="146"/>
      <c r="DV133" s="146"/>
      <c r="DW133" s="146"/>
      <c r="FZ133" s="146"/>
      <c r="JU133" s="146"/>
      <c r="JV133" s="146"/>
      <c r="JW133" s="146"/>
      <c r="JX133" s="146"/>
      <c r="PB133" s="146"/>
      <c r="PC133" s="146"/>
      <c r="PE133" s="146"/>
      <c r="PS133" s="149"/>
      <c r="PW133" s="146"/>
      <c r="RZ133" s="149"/>
      <c r="AHI133" s="145"/>
      <c r="AIX133" s="145"/>
      <c r="AIY133" s="145"/>
      <c r="AIZ133" s="145"/>
    </row>
    <row r="134" spans="2:936" hidden="1" x14ac:dyDescent="0.25">
      <c r="B134" s="750"/>
      <c r="C134" s="449" t="s">
        <v>42</v>
      </c>
      <c r="D134" s="450"/>
      <c r="E134" s="586" t="s">
        <v>31</v>
      </c>
      <c r="F134" s="289">
        <f>'[22]Januari 24'!AL128</f>
        <v>48858</v>
      </c>
      <c r="G134" s="289" t="e">
        <f>'[22]Februari 24'!AI128</f>
        <v>#REF!</v>
      </c>
      <c r="H134" s="289">
        <f>'[22]Maret 24'!AL128</f>
        <v>0</v>
      </c>
      <c r="I134" s="289">
        <f>'[22]April 24'!AL128</f>
        <v>0</v>
      </c>
      <c r="J134" s="289">
        <f>'[22]Mei 24'!AL128</f>
        <v>0</v>
      </c>
      <c r="K134" s="289">
        <f>'[22]Juny 24'!AL128</f>
        <v>0</v>
      </c>
      <c r="L134" s="289">
        <f>'[22]July 24'!AL128</f>
        <v>0</v>
      </c>
      <c r="M134" s="289">
        <f>'[22]Agustus 24'!AL128</f>
        <v>0</v>
      </c>
      <c r="N134" s="289">
        <f>'[22]September 24'!AL128</f>
        <v>0</v>
      </c>
      <c r="O134" s="289">
        <f>'[22]Oktober 24'!AL128</f>
        <v>0</v>
      </c>
      <c r="P134" s="289">
        <f>'[22]November 24'!AL128</f>
        <v>0</v>
      </c>
      <c r="Q134" s="289">
        <f>'[22]Desember 24'!AL128</f>
        <v>0</v>
      </c>
      <c r="R134" s="739"/>
      <c r="S134" s="94" t="e">
        <f t="shared" ref="S134:U135" si="61">SUM(F134:Q134)</f>
        <v>#REF!</v>
      </c>
      <c r="T134" s="707">
        <v>296194</v>
      </c>
      <c r="U134" s="811" t="e">
        <f t="shared" si="61"/>
        <v>#REF!</v>
      </c>
      <c r="W134" s="37"/>
      <c r="X134" s="65"/>
      <c r="Y134" s="824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841"/>
      <c r="AK134" s="841"/>
      <c r="AL134" s="841"/>
      <c r="AM134" s="841"/>
      <c r="AN134" s="841"/>
      <c r="AO134" s="841"/>
      <c r="AP134" s="841"/>
      <c r="AQ134" s="841"/>
      <c r="AR134" s="841"/>
      <c r="AS134" s="841"/>
      <c r="AX134" s="1"/>
      <c r="BG134" s="152"/>
      <c r="BH134" s="152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CK134" s="152"/>
      <c r="DA134" s="1"/>
      <c r="DS134" s="530"/>
      <c r="DT134" s="152"/>
      <c r="DU134" s="152"/>
      <c r="DV134" s="152"/>
      <c r="DW134" s="152"/>
      <c r="FZ134" s="152"/>
      <c r="JU134" s="152"/>
      <c r="JV134" s="152"/>
      <c r="JW134" s="152"/>
      <c r="JX134" s="152"/>
      <c r="PB134" s="152"/>
      <c r="PC134" s="152"/>
      <c r="PE134" s="152"/>
      <c r="PS134" s="587"/>
      <c r="PW134" s="152"/>
      <c r="RZ134" s="587"/>
      <c r="AHI134" s="148"/>
      <c r="AIX134" s="148"/>
      <c r="AIY134" s="148"/>
      <c r="AIZ134" s="148"/>
    </row>
    <row r="135" spans="2:936" hidden="1" x14ac:dyDescent="0.25">
      <c r="B135" s="750"/>
      <c r="C135" s="449" t="s">
        <v>41</v>
      </c>
      <c r="D135" s="450"/>
      <c r="E135" s="586" t="s">
        <v>31</v>
      </c>
      <c r="F135" s="289">
        <f>'[22]Januari 24'!AL129</f>
        <v>5023</v>
      </c>
      <c r="G135" s="289" t="e">
        <f>'[22]Februari 24'!AI129</f>
        <v>#REF!</v>
      </c>
      <c r="H135" s="289">
        <f>'[22]Maret 24'!AL129</f>
        <v>0</v>
      </c>
      <c r="I135" s="289">
        <f>'[22]April 24'!AL129</f>
        <v>0</v>
      </c>
      <c r="J135" s="289">
        <f>'[22]Mei 24'!AL129</f>
        <v>0</v>
      </c>
      <c r="K135" s="2">
        <f>'[22]Juny 24'!AL129</f>
        <v>0</v>
      </c>
      <c r="L135" s="289">
        <f>'[22]July 24'!AL129</f>
        <v>0</v>
      </c>
      <c r="M135" s="289">
        <f>'[22]Agustus 24'!AL129</f>
        <v>0</v>
      </c>
      <c r="N135" s="289">
        <f>'[22]September 24'!AL129</f>
        <v>0</v>
      </c>
      <c r="O135" s="289">
        <f>'[22]Oktober 24'!AL129</f>
        <v>0</v>
      </c>
      <c r="P135" s="289">
        <f>'[22]November 24'!AL129</f>
        <v>0</v>
      </c>
      <c r="Q135" s="289">
        <f>'[22]Desember 24'!AL129</f>
        <v>0</v>
      </c>
      <c r="R135" s="739"/>
      <c r="S135" s="94" t="e">
        <f t="shared" si="61"/>
        <v>#REF!</v>
      </c>
      <c r="T135" s="707">
        <v>626151</v>
      </c>
      <c r="U135" s="811" t="e">
        <f t="shared" si="61"/>
        <v>#REF!</v>
      </c>
      <c r="W135" s="37"/>
      <c r="X135" s="65"/>
      <c r="Y135" s="824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841"/>
      <c r="AK135" s="841"/>
      <c r="AL135" s="841"/>
      <c r="AM135" s="841"/>
      <c r="AN135" s="841"/>
      <c r="AO135" s="841"/>
      <c r="AP135" s="841"/>
      <c r="AQ135" s="841"/>
      <c r="AR135" s="841"/>
      <c r="AS135" s="841"/>
      <c r="AX135" s="1"/>
      <c r="BG135" s="152"/>
      <c r="BH135" s="152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CK135" s="152"/>
      <c r="DA135" s="1"/>
      <c r="DS135" s="530"/>
      <c r="DT135" s="152"/>
      <c r="DU135" s="152"/>
      <c r="DV135" s="152"/>
      <c r="DW135" s="152"/>
      <c r="FZ135" s="152"/>
      <c r="JU135" s="152"/>
      <c r="JV135" s="152"/>
      <c r="JW135" s="152"/>
      <c r="JX135" s="152"/>
      <c r="PB135" s="152"/>
      <c r="PC135" s="152"/>
      <c r="PE135" s="152"/>
      <c r="PS135" s="587"/>
      <c r="PW135" s="152"/>
      <c r="RZ135" s="587"/>
      <c r="AHI135" s="148"/>
      <c r="AIX135" s="148"/>
      <c r="AIY135" s="148"/>
      <c r="AIZ135" s="148"/>
    </row>
    <row r="136" spans="2:936" hidden="1" x14ac:dyDescent="0.25">
      <c r="B136" s="749"/>
      <c r="C136" s="582" t="s">
        <v>28</v>
      </c>
      <c r="D136" s="489"/>
      <c r="E136" s="477"/>
      <c r="F136" s="452"/>
      <c r="G136" s="452"/>
      <c r="H136" s="452"/>
      <c r="I136" s="452"/>
      <c r="J136" s="452"/>
      <c r="K136" s="452"/>
      <c r="L136" s="452"/>
      <c r="M136" s="452"/>
      <c r="N136" s="452"/>
      <c r="O136" s="452"/>
      <c r="P136" s="452"/>
      <c r="Q136" s="452"/>
      <c r="R136" s="737"/>
      <c r="S136" s="66" t="s">
        <v>28</v>
      </c>
      <c r="T136" s="706" t="s">
        <v>28</v>
      </c>
      <c r="U136" s="807" t="s">
        <v>28</v>
      </c>
      <c r="W136" s="6"/>
      <c r="X136" s="65"/>
      <c r="Y136" s="824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825"/>
      <c r="AK136" s="825"/>
      <c r="AL136" s="825"/>
      <c r="AM136" s="825"/>
      <c r="AN136" s="825"/>
      <c r="AO136" s="825"/>
      <c r="AP136" s="825"/>
      <c r="AQ136" s="825"/>
      <c r="AR136" s="825"/>
      <c r="AS136" s="825"/>
      <c r="AX136" s="1"/>
      <c r="BG136" s="146"/>
      <c r="BH136" s="146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CK136" s="146"/>
      <c r="DA136" s="1"/>
      <c r="DS136" s="5"/>
      <c r="DT136" s="146"/>
      <c r="DU136" s="146"/>
      <c r="DV136" s="146"/>
      <c r="DW136" s="146"/>
      <c r="FZ136" s="146"/>
      <c r="JU136" s="146"/>
      <c r="JV136" s="146"/>
      <c r="JW136" s="146"/>
      <c r="JX136" s="146"/>
      <c r="PB136" s="146"/>
      <c r="PC136" s="146"/>
      <c r="PE136" s="146"/>
      <c r="PS136" s="149"/>
      <c r="PW136" s="146"/>
      <c r="RZ136" s="149"/>
      <c r="AHI136" s="145"/>
      <c r="AIX136" s="145"/>
      <c r="AIY136" s="145"/>
      <c r="AIZ136" s="145"/>
    </row>
    <row r="137" spans="2:936" hidden="1" x14ac:dyDescent="0.25">
      <c r="B137" s="749"/>
      <c r="C137" s="449" t="s">
        <v>42</v>
      </c>
      <c r="D137" s="489"/>
      <c r="E137" s="509" t="s">
        <v>28</v>
      </c>
      <c r="F137" s="452">
        <f t="shared" ref="F137:Q137" si="62">F134*12</f>
        <v>586296</v>
      </c>
      <c r="G137" s="452" t="e">
        <f t="shared" si="62"/>
        <v>#REF!</v>
      </c>
      <c r="H137" s="452">
        <f t="shared" si="62"/>
        <v>0</v>
      </c>
      <c r="I137" s="452">
        <f t="shared" si="62"/>
        <v>0</v>
      </c>
      <c r="J137" s="452">
        <f t="shared" si="62"/>
        <v>0</v>
      </c>
      <c r="K137" s="452">
        <f t="shared" si="62"/>
        <v>0</v>
      </c>
      <c r="L137" s="452">
        <f t="shared" si="62"/>
        <v>0</v>
      </c>
      <c r="M137" s="452">
        <f t="shared" si="62"/>
        <v>0</v>
      </c>
      <c r="N137" s="452">
        <f t="shared" si="62"/>
        <v>0</v>
      </c>
      <c r="O137" s="452">
        <f t="shared" si="62"/>
        <v>0</v>
      </c>
      <c r="P137" s="452">
        <f t="shared" si="62"/>
        <v>0</v>
      </c>
      <c r="Q137" s="452">
        <f t="shared" si="62"/>
        <v>0</v>
      </c>
      <c r="R137" s="737"/>
      <c r="S137" s="57" t="e">
        <f>S134*12</f>
        <v>#REF!</v>
      </c>
      <c r="T137" s="684">
        <f>T134*12</f>
        <v>3554328</v>
      </c>
      <c r="U137" s="808" t="e">
        <f>U134*12</f>
        <v>#REF!</v>
      </c>
      <c r="W137" s="6"/>
      <c r="X137" s="65"/>
      <c r="Y137" s="824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825"/>
      <c r="AK137" s="825"/>
      <c r="AL137" s="825"/>
      <c r="AM137" s="825"/>
      <c r="AN137" s="825"/>
      <c r="AO137" s="825"/>
      <c r="AP137" s="825"/>
      <c r="AQ137" s="825"/>
      <c r="AR137" s="825"/>
      <c r="AS137" s="825"/>
      <c r="AX137" s="1"/>
      <c r="BG137" s="146"/>
      <c r="BH137" s="146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CK137" s="146"/>
      <c r="DA137" s="1"/>
      <c r="DS137" s="5"/>
      <c r="DT137" s="146"/>
      <c r="DU137" s="146"/>
      <c r="DV137" s="146"/>
      <c r="DW137" s="146"/>
      <c r="FZ137" s="146"/>
      <c r="JU137" s="146"/>
      <c r="JV137" s="146"/>
      <c r="JW137" s="146"/>
      <c r="JX137" s="146"/>
      <c r="PB137" s="146"/>
      <c r="PC137" s="146"/>
      <c r="PE137" s="146"/>
      <c r="PS137" s="149"/>
      <c r="PW137" s="146"/>
      <c r="RZ137" s="149"/>
      <c r="AHI137" s="145"/>
      <c r="AIX137" s="145"/>
      <c r="AIY137" s="145"/>
      <c r="AIZ137" s="145"/>
    </row>
    <row r="138" spans="2:936" hidden="1" x14ac:dyDescent="0.25">
      <c r="B138" s="749"/>
      <c r="C138" s="449" t="s">
        <v>41</v>
      </c>
      <c r="D138" s="489"/>
      <c r="E138" s="509" t="s">
        <v>28</v>
      </c>
      <c r="F138" s="452">
        <f t="shared" ref="F138:Q138" si="63">F135*6</f>
        <v>30138</v>
      </c>
      <c r="G138" s="452" t="e">
        <f t="shared" si="63"/>
        <v>#REF!</v>
      </c>
      <c r="H138" s="452">
        <f t="shared" si="63"/>
        <v>0</v>
      </c>
      <c r="I138" s="452">
        <f t="shared" si="63"/>
        <v>0</v>
      </c>
      <c r="J138" s="452">
        <f t="shared" si="63"/>
        <v>0</v>
      </c>
      <c r="K138" s="452">
        <f t="shared" si="63"/>
        <v>0</v>
      </c>
      <c r="L138" s="452">
        <f t="shared" si="63"/>
        <v>0</v>
      </c>
      <c r="M138" s="452">
        <f t="shared" si="63"/>
        <v>0</v>
      </c>
      <c r="N138" s="452">
        <f t="shared" si="63"/>
        <v>0</v>
      </c>
      <c r="O138" s="452">
        <f t="shared" si="63"/>
        <v>0</v>
      </c>
      <c r="P138" s="452">
        <f t="shared" si="63"/>
        <v>0</v>
      </c>
      <c r="Q138" s="452">
        <f t="shared" si="63"/>
        <v>0</v>
      </c>
      <c r="R138" s="737"/>
      <c r="S138" s="57" t="e">
        <f>S135*6</f>
        <v>#REF!</v>
      </c>
      <c r="T138" s="684">
        <f>T135*6</f>
        <v>3756906</v>
      </c>
      <c r="U138" s="808" t="e">
        <f>U135*6</f>
        <v>#REF!</v>
      </c>
      <c r="W138" s="6"/>
      <c r="X138" s="65"/>
      <c r="Y138" s="824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825"/>
      <c r="AK138" s="825"/>
      <c r="AL138" s="825"/>
      <c r="AM138" s="825"/>
      <c r="AN138" s="825"/>
      <c r="AO138" s="825"/>
      <c r="AP138" s="825"/>
      <c r="AQ138" s="825"/>
      <c r="AR138" s="825"/>
      <c r="AS138" s="825"/>
      <c r="AX138" s="1"/>
      <c r="BG138" s="146"/>
      <c r="BH138" s="146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CK138" s="146"/>
      <c r="DA138" s="1"/>
      <c r="DS138" s="5"/>
      <c r="DT138" s="146"/>
      <c r="DU138" s="146"/>
      <c r="DV138" s="146"/>
      <c r="DW138" s="146"/>
      <c r="FZ138" s="146"/>
      <c r="JU138" s="146"/>
      <c r="JV138" s="146"/>
      <c r="JW138" s="146"/>
      <c r="JX138" s="146"/>
      <c r="PB138" s="146"/>
      <c r="PC138" s="146"/>
      <c r="PE138" s="146"/>
      <c r="PS138" s="149"/>
      <c r="PW138" s="146"/>
      <c r="RZ138" s="149"/>
      <c r="AHI138" s="145"/>
      <c r="AIX138" s="145"/>
      <c r="AIY138" s="145"/>
      <c r="AIZ138" s="145"/>
    </row>
    <row r="139" spans="2:936" hidden="1" x14ac:dyDescent="0.25">
      <c r="B139" s="749"/>
      <c r="C139" s="582" t="s">
        <v>36</v>
      </c>
      <c r="D139" s="489"/>
      <c r="E139" s="509" t="s">
        <v>35</v>
      </c>
      <c r="F139" s="452">
        <f>(F130*45)/1700</f>
        <v>13883.394705882356</v>
      </c>
      <c r="G139" s="452" t="e">
        <f>(G130*45)/1700</f>
        <v>#REF!</v>
      </c>
      <c r="H139" s="452">
        <f>(H130*45)/1700</f>
        <v>0</v>
      </c>
      <c r="I139" s="452">
        <f>(I130*45)/1700</f>
        <v>0</v>
      </c>
      <c r="J139" s="452">
        <f>(J130*45)/1700</f>
        <v>0</v>
      </c>
      <c r="K139" s="452">
        <f>K130*45/1700</f>
        <v>0</v>
      </c>
      <c r="L139" s="452">
        <f t="shared" ref="L139:Q139" si="64">L130*45/1700</f>
        <v>0</v>
      </c>
      <c r="M139" s="452">
        <f t="shared" si="64"/>
        <v>0</v>
      </c>
      <c r="N139" s="452">
        <f t="shared" si="64"/>
        <v>0</v>
      </c>
      <c r="O139" s="452">
        <f t="shared" si="64"/>
        <v>0</v>
      </c>
      <c r="P139" s="452">
        <f t="shared" si="64"/>
        <v>0</v>
      </c>
      <c r="Q139" s="452">
        <f t="shared" si="64"/>
        <v>0</v>
      </c>
      <c r="R139" s="737"/>
      <c r="S139" s="57" t="e">
        <f t="shared" ref="S139:U140" si="65">SUM(F139:Q139)</f>
        <v>#REF!</v>
      </c>
      <c r="T139" s="684" t="e">
        <f t="shared" si="65"/>
        <v>#REF!</v>
      </c>
      <c r="U139" s="808" t="e">
        <f t="shared" si="65"/>
        <v>#REF!</v>
      </c>
      <c r="W139" s="6"/>
      <c r="X139" s="65"/>
      <c r="Y139" s="824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825"/>
      <c r="AK139" s="825"/>
      <c r="AL139" s="825"/>
      <c r="AM139" s="825"/>
      <c r="AN139" s="825"/>
      <c r="AO139" s="825"/>
      <c r="AP139" s="825"/>
      <c r="AQ139" s="825"/>
      <c r="AR139" s="825"/>
      <c r="AS139" s="825"/>
      <c r="AX139" s="1"/>
      <c r="BG139" s="146"/>
      <c r="BH139" s="146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CK139" s="146"/>
      <c r="DA139" s="1"/>
      <c r="DS139" s="5"/>
      <c r="DT139" s="146"/>
      <c r="DU139" s="146"/>
      <c r="DV139" s="146"/>
      <c r="DW139" s="146"/>
      <c r="FZ139" s="146"/>
      <c r="JU139" s="146"/>
      <c r="JV139" s="146"/>
      <c r="JW139" s="146"/>
      <c r="JX139" s="146"/>
      <c r="PB139" s="146"/>
      <c r="PC139" s="146"/>
      <c r="PE139" s="146"/>
      <c r="PS139" s="149"/>
      <c r="PW139" s="146"/>
      <c r="RZ139" s="149"/>
      <c r="AHI139" s="145"/>
      <c r="AIX139" s="145"/>
      <c r="AIY139" s="145"/>
      <c r="AIZ139" s="145"/>
    </row>
    <row r="140" spans="2:936" hidden="1" x14ac:dyDescent="0.25">
      <c r="B140" s="749"/>
      <c r="C140" s="582" t="s">
        <v>34</v>
      </c>
      <c r="D140" s="489"/>
      <c r="E140" s="509" t="s">
        <v>33</v>
      </c>
      <c r="F140" s="452">
        <f t="shared" ref="F140:L140" si="66">SUM(F134:F135)/500</f>
        <v>107.762</v>
      </c>
      <c r="G140" s="452" t="e">
        <f t="shared" si="66"/>
        <v>#REF!</v>
      </c>
      <c r="H140" s="452">
        <f t="shared" si="66"/>
        <v>0</v>
      </c>
      <c r="I140" s="452">
        <f t="shared" si="66"/>
        <v>0</v>
      </c>
      <c r="J140" s="452">
        <f t="shared" si="66"/>
        <v>0</v>
      </c>
      <c r="K140" s="600">
        <f t="shared" si="66"/>
        <v>0</v>
      </c>
      <c r="L140" s="600">
        <f t="shared" si="66"/>
        <v>0</v>
      </c>
      <c r="M140" s="600">
        <f>SUM(M134:M135)/500</f>
        <v>0</v>
      </c>
      <c r="N140" s="600">
        <f>SUM(N134:N135)/500</f>
        <v>0</v>
      </c>
      <c r="O140" s="600">
        <f>SUM(O134:O135)/500</f>
        <v>0</v>
      </c>
      <c r="P140" s="600">
        <f>SUM(P134:P135)/500</f>
        <v>0</v>
      </c>
      <c r="Q140" s="600">
        <f>SUM(Q134:Q135)/500</f>
        <v>0</v>
      </c>
      <c r="R140" s="737"/>
      <c r="S140" s="57" t="e">
        <f t="shared" si="65"/>
        <v>#REF!</v>
      </c>
      <c r="T140" s="684" t="e">
        <f t="shared" si="65"/>
        <v>#REF!</v>
      </c>
      <c r="U140" s="808" t="e">
        <f t="shared" si="65"/>
        <v>#REF!</v>
      </c>
      <c r="W140" s="6"/>
      <c r="X140" s="65"/>
      <c r="Y140" s="824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825"/>
      <c r="AK140" s="825"/>
      <c r="AL140" s="825"/>
      <c r="AM140" s="825"/>
      <c r="AN140" s="825"/>
      <c r="AO140" s="825"/>
      <c r="AP140" s="825"/>
      <c r="AQ140" s="825"/>
      <c r="AR140" s="825"/>
      <c r="AS140" s="825"/>
      <c r="AX140" s="1"/>
      <c r="BG140" s="146"/>
      <c r="BH140" s="146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CK140" s="146"/>
      <c r="DA140" s="1"/>
      <c r="DS140" s="5"/>
      <c r="DT140" s="146"/>
      <c r="DU140" s="146"/>
      <c r="DV140" s="146"/>
      <c r="DW140" s="146"/>
      <c r="FZ140" s="146"/>
      <c r="JU140" s="146"/>
      <c r="JV140" s="146"/>
      <c r="JW140" s="146"/>
      <c r="JX140" s="146"/>
      <c r="PB140" s="146"/>
      <c r="PC140" s="146"/>
      <c r="PE140" s="146"/>
      <c r="PS140" s="149"/>
      <c r="PW140" s="146"/>
      <c r="RZ140" s="149"/>
      <c r="AHI140" s="145"/>
      <c r="AIX140" s="145"/>
      <c r="AIY140" s="145"/>
      <c r="AIZ140" s="145"/>
    </row>
    <row r="141" spans="2:936" hidden="1" x14ac:dyDescent="0.25">
      <c r="B141" s="746"/>
      <c r="C141" s="431" t="s">
        <v>32</v>
      </c>
      <c r="D141" s="49"/>
      <c r="E141" s="49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3"/>
      <c r="S141" s="535" t="s">
        <v>131</v>
      </c>
      <c r="T141" s="695" t="s">
        <v>131</v>
      </c>
      <c r="U141" s="798" t="s">
        <v>131</v>
      </c>
      <c r="W141" s="1"/>
      <c r="X141" s="65"/>
      <c r="Y141" s="65"/>
      <c r="Z141" s="65"/>
      <c r="AA141" s="65"/>
      <c r="AB141" s="65"/>
      <c r="AC141" s="65"/>
      <c r="AD141" s="65"/>
      <c r="AE141" s="65"/>
      <c r="AF141" s="65"/>
      <c r="AG141" s="825"/>
      <c r="AH141" s="825"/>
      <c r="AI141" s="825"/>
      <c r="AJ141" s="825"/>
      <c r="AK141" s="825"/>
      <c r="AL141" s="825"/>
      <c r="AM141" s="825"/>
      <c r="AN141" s="825"/>
      <c r="AO141" s="825"/>
      <c r="AP141" s="825"/>
      <c r="AR141" s="65"/>
      <c r="AX141" s="1"/>
      <c r="BD141" s="145"/>
      <c r="BE141" s="145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CH141" s="145"/>
      <c r="DA141" s="1"/>
      <c r="DP141" s="5"/>
      <c r="DQ141" s="145"/>
      <c r="DR141" s="145"/>
      <c r="DS141" s="145"/>
      <c r="DT141" s="145"/>
      <c r="FW141" s="145"/>
      <c r="JR141" s="145"/>
      <c r="JS141" s="145"/>
      <c r="JT141" s="145"/>
      <c r="JU141" s="145"/>
      <c r="OY141" s="145"/>
      <c r="OZ141" s="145"/>
      <c r="PB141" s="145"/>
      <c r="PP141" s="494"/>
      <c r="PT141" s="145"/>
      <c r="RW141" s="494"/>
      <c r="AHF141" s="145"/>
      <c r="AIU141" s="145"/>
      <c r="AIV141" s="145"/>
      <c r="AIW141" s="145"/>
    </row>
    <row r="142" spans="2:936" hidden="1" x14ac:dyDescent="0.25">
      <c r="B142" s="749"/>
      <c r="C142" s="582" t="s">
        <v>29</v>
      </c>
      <c r="D142" s="489"/>
      <c r="E142" s="477"/>
      <c r="F142" s="452"/>
      <c r="G142" s="452"/>
      <c r="H142" s="452"/>
      <c r="I142" s="452"/>
      <c r="J142" s="452"/>
      <c r="K142" s="452"/>
      <c r="L142" s="452"/>
      <c r="M142" s="452"/>
      <c r="N142" s="452"/>
      <c r="O142" s="452"/>
      <c r="P142" s="452"/>
      <c r="Q142" s="452"/>
      <c r="R142" s="737"/>
      <c r="S142" s="66" t="s">
        <v>29</v>
      </c>
      <c r="T142" s="706" t="s">
        <v>29</v>
      </c>
      <c r="U142" s="807" t="s">
        <v>29</v>
      </c>
      <c r="W142" s="1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R142" s="65"/>
      <c r="AX142" s="1"/>
      <c r="BD142" s="146"/>
      <c r="BE142" s="146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CH142" s="146"/>
      <c r="DA142" s="1"/>
      <c r="DP142" s="5"/>
      <c r="DQ142" s="146"/>
      <c r="DR142" s="146"/>
      <c r="DS142" s="146"/>
      <c r="DT142" s="146"/>
      <c r="FW142" s="146"/>
      <c r="JR142" s="146"/>
      <c r="JS142" s="146"/>
      <c r="JT142" s="146"/>
      <c r="JU142" s="146"/>
      <c r="OY142" s="146"/>
      <c r="OZ142" s="146"/>
      <c r="PB142" s="146"/>
      <c r="PP142" s="149"/>
      <c r="PT142" s="146"/>
      <c r="RW142" s="149"/>
      <c r="AHF142" s="145"/>
      <c r="AIU142" s="145"/>
      <c r="AIV142" s="145"/>
      <c r="AIW142" s="145"/>
    </row>
    <row r="143" spans="2:936" hidden="1" x14ac:dyDescent="0.25">
      <c r="B143" s="749"/>
      <c r="C143" s="449" t="s">
        <v>42</v>
      </c>
      <c r="D143" s="489"/>
      <c r="E143" s="509" t="s">
        <v>31</v>
      </c>
      <c r="F143" s="33">
        <f>'[22]Januari 24'!AL131</f>
        <v>586296</v>
      </c>
      <c r="G143" s="33" t="e">
        <f>'[22]Februari 24'!AI137</f>
        <v>#REF!</v>
      </c>
      <c r="H143" s="33">
        <f>'[22]Maret 24'!AL137</f>
        <v>0</v>
      </c>
      <c r="I143" s="33">
        <f>'[22]April 24'!AL137</f>
        <v>0</v>
      </c>
      <c r="J143" s="33">
        <f>'[22]Mei 24'!AL137</f>
        <v>0</v>
      </c>
      <c r="K143" s="33">
        <f>'[22]Juny 24'!AL137</f>
        <v>0</v>
      </c>
      <c r="L143" s="33">
        <f>'[22]July 24'!AL137</f>
        <v>0</v>
      </c>
      <c r="M143" s="33">
        <f>'[22]Agustus 24'!AL110</f>
        <v>0</v>
      </c>
      <c r="N143" s="33">
        <f>'[22]September 24'!AL137</f>
        <v>0</v>
      </c>
      <c r="O143" s="33">
        <f>'[22]Oktober 24'!AL137</f>
        <v>0</v>
      </c>
      <c r="P143" s="33">
        <f>'[22]November 24'!AL137</f>
        <v>0</v>
      </c>
      <c r="Q143" s="33">
        <f>'[22]Desember 24'!AL137</f>
        <v>0</v>
      </c>
      <c r="R143" s="737"/>
      <c r="S143" s="57" t="e">
        <f t="shared" ref="S143:U144" si="67">SUM(F143:Q143)</f>
        <v>#REF!</v>
      </c>
      <c r="T143" s="684" t="e">
        <f t="shared" si="67"/>
        <v>#REF!</v>
      </c>
      <c r="U143" s="808" t="e">
        <f t="shared" si="67"/>
        <v>#REF!</v>
      </c>
      <c r="W143" s="1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R143" s="65"/>
      <c r="AX143" s="1"/>
      <c r="BD143" s="146"/>
      <c r="BE143" s="146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CH143" s="146"/>
      <c r="DA143" s="1"/>
      <c r="DP143" s="5"/>
      <c r="DQ143" s="146"/>
      <c r="DR143" s="146"/>
      <c r="DS143" s="146"/>
      <c r="DT143" s="146"/>
      <c r="FW143" s="146"/>
      <c r="JR143" s="146"/>
      <c r="JS143" s="146"/>
      <c r="JT143" s="146"/>
      <c r="JU143" s="146"/>
      <c r="OY143" s="146"/>
      <c r="OZ143" s="146"/>
      <c r="PB143" s="146"/>
      <c r="PP143" s="149"/>
      <c r="PT143" s="146"/>
      <c r="RW143" s="149"/>
      <c r="AHF143" s="145"/>
      <c r="AIU143" s="145"/>
      <c r="AIV143" s="145"/>
      <c r="AIW143" s="145"/>
    </row>
    <row r="144" spans="2:936" hidden="1" x14ac:dyDescent="0.25">
      <c r="B144" s="749"/>
      <c r="C144" s="449" t="s">
        <v>41</v>
      </c>
      <c r="D144" s="489"/>
      <c r="E144" s="509" t="s">
        <v>31</v>
      </c>
      <c r="F144" s="33">
        <f>'[22]Januari 24'!AL132</f>
        <v>30138</v>
      </c>
      <c r="G144" s="33" t="e">
        <f>'[22]Februari 24'!AI138</f>
        <v>#REF!</v>
      </c>
      <c r="H144" s="33">
        <f>'[22]Maret 24'!AL138</f>
        <v>0</v>
      </c>
      <c r="I144" s="33">
        <f>'[22]April 24'!AL138</f>
        <v>0</v>
      </c>
      <c r="J144" s="33">
        <f>'[22]Mei 24'!AL138</f>
        <v>0</v>
      </c>
      <c r="K144" s="33">
        <f>'[22]Juny 24'!AL129</f>
        <v>0</v>
      </c>
      <c r="L144" s="33">
        <f>'[22]July 24'!AL138</f>
        <v>0</v>
      </c>
      <c r="M144" s="33">
        <f>'[22]Agustus 24'!AL111</f>
        <v>0</v>
      </c>
      <c r="N144" s="33">
        <f>'[22]September 24'!AL138</f>
        <v>0</v>
      </c>
      <c r="O144" s="33">
        <f>'[22]Oktober 24'!AL138</f>
        <v>0</v>
      </c>
      <c r="P144" s="33">
        <f>'[22]November 24'!AL138</f>
        <v>0</v>
      </c>
      <c r="Q144" s="33">
        <f>'[22]Desember 24'!AL138</f>
        <v>0</v>
      </c>
      <c r="R144" s="737"/>
      <c r="S144" s="57" t="e">
        <f t="shared" si="67"/>
        <v>#REF!</v>
      </c>
      <c r="T144" s="684" t="e">
        <f t="shared" si="67"/>
        <v>#REF!</v>
      </c>
      <c r="U144" s="808" t="e">
        <f t="shared" si="67"/>
        <v>#REF!</v>
      </c>
      <c r="W144" s="1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R144" s="65"/>
      <c r="AX144" s="1"/>
      <c r="BD144" s="146"/>
      <c r="BE144" s="146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CH144" s="146"/>
      <c r="DA144" s="1"/>
      <c r="DP144" s="5"/>
      <c r="DQ144" s="146"/>
      <c r="DR144" s="146"/>
      <c r="DS144" s="146"/>
      <c r="DT144" s="146"/>
      <c r="FW144" s="146"/>
      <c r="JR144" s="146"/>
      <c r="JS144" s="146"/>
      <c r="JT144" s="146"/>
      <c r="JU144" s="146"/>
      <c r="OY144" s="146"/>
      <c r="OZ144" s="146"/>
      <c r="PB144" s="146"/>
      <c r="PP144" s="149"/>
      <c r="PT144" s="146"/>
      <c r="RW144" s="149"/>
      <c r="AHF144" s="145"/>
      <c r="AIU144" s="145"/>
      <c r="AIV144" s="145"/>
      <c r="AIW144" s="145"/>
    </row>
    <row r="145" spans="2:933" hidden="1" x14ac:dyDescent="0.25">
      <c r="B145" s="749"/>
      <c r="C145" s="582" t="s">
        <v>28</v>
      </c>
      <c r="D145" s="489"/>
      <c r="E145" s="477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737"/>
      <c r="S145" s="66" t="s">
        <v>28</v>
      </c>
      <c r="T145" s="706" t="s">
        <v>28</v>
      </c>
      <c r="U145" s="807" t="s">
        <v>28</v>
      </c>
      <c r="W145" s="1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R145" s="65"/>
      <c r="AX145" s="1"/>
      <c r="BD145" s="146"/>
      <c r="BE145" s="146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CH145" s="146"/>
      <c r="DA145" s="1"/>
      <c r="DP145" s="5"/>
      <c r="DQ145" s="146"/>
      <c r="DR145" s="146"/>
      <c r="DS145" s="146"/>
      <c r="DT145" s="146"/>
      <c r="FW145" s="146"/>
      <c r="JR145" s="146"/>
      <c r="JS145" s="146"/>
      <c r="JT145" s="146"/>
      <c r="JU145" s="146"/>
      <c r="OY145" s="146"/>
      <c r="OZ145" s="146"/>
      <c r="PB145" s="146"/>
      <c r="PP145" s="149"/>
      <c r="PT145" s="146"/>
      <c r="RW145" s="149"/>
      <c r="AHF145" s="145"/>
      <c r="AIU145" s="145"/>
      <c r="AIV145" s="145"/>
      <c r="AIW145" s="145"/>
    </row>
    <row r="146" spans="2:933" hidden="1" x14ac:dyDescent="0.25">
      <c r="B146" s="749"/>
      <c r="C146" s="449" t="str">
        <f>C143</f>
        <v xml:space="preserve">INL SP 900 mL  </v>
      </c>
      <c r="D146" s="489"/>
      <c r="E146" s="509" t="s">
        <v>28</v>
      </c>
      <c r="F146" s="33">
        <f t="shared" ref="F146:L146" si="68">F143*12</f>
        <v>7035552</v>
      </c>
      <c r="G146" s="33" t="e">
        <f t="shared" si="68"/>
        <v>#REF!</v>
      </c>
      <c r="H146" s="33">
        <f t="shared" si="68"/>
        <v>0</v>
      </c>
      <c r="I146" s="33">
        <f t="shared" si="68"/>
        <v>0</v>
      </c>
      <c r="J146" s="33">
        <f t="shared" si="68"/>
        <v>0</v>
      </c>
      <c r="K146" s="33">
        <f t="shared" si="68"/>
        <v>0</v>
      </c>
      <c r="L146" s="33">
        <f t="shared" si="68"/>
        <v>0</v>
      </c>
      <c r="M146" s="33">
        <f>M143*12</f>
        <v>0</v>
      </c>
      <c r="N146" s="33">
        <f>N143*12</f>
        <v>0</v>
      </c>
      <c r="O146" s="33">
        <f>O143*12</f>
        <v>0</v>
      </c>
      <c r="P146" s="33">
        <f>P143*12</f>
        <v>0</v>
      </c>
      <c r="Q146" s="33">
        <f>Q143*12</f>
        <v>0</v>
      </c>
      <c r="R146" s="737"/>
      <c r="S146" s="57" t="e">
        <f t="shared" ref="S146:U147" si="69">SUM(F146:Q146)</f>
        <v>#REF!</v>
      </c>
      <c r="T146" s="684" t="e">
        <f t="shared" si="69"/>
        <v>#REF!</v>
      </c>
      <c r="U146" s="808" t="e">
        <f t="shared" si="69"/>
        <v>#REF!</v>
      </c>
      <c r="W146" s="1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R146" s="65"/>
      <c r="AX146" s="1"/>
      <c r="BD146" s="146"/>
      <c r="BE146" s="146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CH146" s="146"/>
      <c r="DA146" s="1"/>
      <c r="DP146" s="5"/>
      <c r="DQ146" s="146"/>
      <c r="DR146" s="146"/>
      <c r="DS146" s="146"/>
      <c r="DT146" s="146"/>
      <c r="FW146" s="146"/>
      <c r="JR146" s="146"/>
      <c r="JS146" s="146"/>
      <c r="JT146" s="146"/>
      <c r="JU146" s="146"/>
      <c r="OY146" s="146"/>
      <c r="OZ146" s="146"/>
      <c r="PB146" s="146"/>
      <c r="PP146" s="149"/>
      <c r="PT146" s="146"/>
      <c r="RW146" s="149"/>
      <c r="AHF146" s="145"/>
      <c r="AIU146" s="145"/>
      <c r="AIV146" s="145"/>
      <c r="AIW146" s="145"/>
    </row>
    <row r="147" spans="2:933" hidden="1" x14ac:dyDescent="0.25">
      <c r="B147" s="749"/>
      <c r="C147" s="449" t="str">
        <f>C144</f>
        <v>INL SP 1,8 L</v>
      </c>
      <c r="D147" s="489"/>
      <c r="E147" s="509" t="s">
        <v>28</v>
      </c>
      <c r="F147" s="33">
        <f t="shared" ref="F147:L147" si="70">F144*6</f>
        <v>180828</v>
      </c>
      <c r="G147" s="33" t="e">
        <f t="shared" si="70"/>
        <v>#REF!</v>
      </c>
      <c r="H147" s="33">
        <f t="shared" si="70"/>
        <v>0</v>
      </c>
      <c r="I147" s="33">
        <f t="shared" si="70"/>
        <v>0</v>
      </c>
      <c r="J147" s="33">
        <f t="shared" si="70"/>
        <v>0</v>
      </c>
      <c r="K147" s="33">
        <f t="shared" si="70"/>
        <v>0</v>
      </c>
      <c r="L147" s="33">
        <f t="shared" si="70"/>
        <v>0</v>
      </c>
      <c r="M147" s="33">
        <f>M144*6</f>
        <v>0</v>
      </c>
      <c r="N147" s="33">
        <f>N144*6</f>
        <v>0</v>
      </c>
      <c r="O147" s="33">
        <f>O144*6</f>
        <v>0</v>
      </c>
      <c r="P147" s="33">
        <f>P144*6</f>
        <v>0</v>
      </c>
      <c r="Q147" s="33">
        <f>Q144*6</f>
        <v>0</v>
      </c>
      <c r="R147" s="737"/>
      <c r="S147" s="57" t="e">
        <f t="shared" si="69"/>
        <v>#REF!</v>
      </c>
      <c r="T147" s="684" t="e">
        <f t="shared" si="69"/>
        <v>#REF!</v>
      </c>
      <c r="U147" s="808" t="e">
        <f t="shared" si="69"/>
        <v>#REF!</v>
      </c>
      <c r="W147" s="1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R147" s="65"/>
      <c r="AX147" s="1"/>
      <c r="BD147" s="146"/>
      <c r="BE147" s="146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CH147" s="146"/>
      <c r="DA147" s="1"/>
      <c r="DP147" s="5"/>
      <c r="DQ147" s="146"/>
      <c r="DR147" s="146"/>
      <c r="DS147" s="146"/>
      <c r="DT147" s="146"/>
      <c r="FW147" s="146"/>
      <c r="JR147" s="146"/>
      <c r="JS147" s="146"/>
      <c r="JT147" s="146"/>
      <c r="JU147" s="146"/>
      <c r="OY147" s="146"/>
      <c r="OZ147" s="146"/>
      <c r="PB147" s="146"/>
      <c r="PP147" s="149"/>
      <c r="PT147" s="146"/>
      <c r="RW147" s="149"/>
      <c r="AHF147" s="145"/>
      <c r="AIU147" s="145"/>
      <c r="AIV147" s="145"/>
      <c r="AIW147" s="145"/>
    </row>
    <row r="148" spans="2:933" hidden="1" x14ac:dyDescent="0.25">
      <c r="B148" s="749"/>
      <c r="C148" s="431" t="s">
        <v>30</v>
      </c>
      <c r="D148" s="79"/>
      <c r="E148" s="601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602"/>
      <c r="S148" s="98"/>
      <c r="T148" s="709"/>
      <c r="U148" s="812"/>
      <c r="W148" s="1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R148" s="65"/>
      <c r="AX148" s="1"/>
      <c r="BD148" s="146"/>
      <c r="BE148" s="146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CH148" s="146"/>
      <c r="DA148" s="1"/>
      <c r="DP148" s="5"/>
      <c r="DQ148" s="146"/>
      <c r="DR148" s="146"/>
      <c r="DS148" s="146"/>
      <c r="DT148" s="146"/>
      <c r="FW148" s="146"/>
      <c r="JR148" s="146"/>
      <c r="JS148" s="146"/>
      <c r="JT148" s="146"/>
      <c r="JU148" s="146"/>
      <c r="OY148" s="146"/>
      <c r="OZ148" s="146"/>
      <c r="PB148" s="146"/>
      <c r="PP148" s="149"/>
      <c r="PT148" s="146"/>
      <c r="RW148" s="149"/>
      <c r="AHF148" s="145"/>
      <c r="AIU148" s="145"/>
      <c r="AIV148" s="145"/>
      <c r="AIW148" s="145"/>
    </row>
    <row r="149" spans="2:933" hidden="1" x14ac:dyDescent="0.25">
      <c r="B149" s="749"/>
      <c r="C149" s="582" t="s">
        <v>29</v>
      </c>
      <c r="D149" s="489"/>
      <c r="E149" s="509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737"/>
      <c r="S149" s="57"/>
      <c r="T149" s="684"/>
      <c r="U149" s="808"/>
      <c r="W149" s="1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R149" s="65"/>
      <c r="AX149" s="1"/>
      <c r="BD149" s="146"/>
      <c r="BE149" s="146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CH149" s="146"/>
      <c r="DA149" s="1"/>
      <c r="DP149" s="5"/>
      <c r="DQ149" s="146"/>
      <c r="DR149" s="146"/>
      <c r="DS149" s="146"/>
      <c r="DT149" s="146"/>
      <c r="FW149" s="146"/>
      <c r="JR149" s="146"/>
      <c r="JS149" s="146"/>
      <c r="JT149" s="146"/>
      <c r="JU149" s="146"/>
      <c r="OY149" s="146"/>
      <c r="OZ149" s="146"/>
      <c r="PB149" s="146"/>
      <c r="PP149" s="149"/>
      <c r="PT149" s="146"/>
      <c r="RW149" s="149"/>
      <c r="AHF149" s="145"/>
      <c r="AIU149" s="145"/>
      <c r="AIV149" s="145"/>
      <c r="AIW149" s="145"/>
    </row>
    <row r="150" spans="2:933" hidden="1" x14ac:dyDescent="0.25">
      <c r="B150" s="749"/>
      <c r="C150" s="449" t="s">
        <v>42</v>
      </c>
      <c r="D150" s="489"/>
      <c r="E150" s="509" t="s">
        <v>25</v>
      </c>
      <c r="F150" s="453">
        <f>F143/F134*100</f>
        <v>1200</v>
      </c>
      <c r="G150" s="453" t="e">
        <f>G143/G134*100</f>
        <v>#REF!</v>
      </c>
      <c r="H150" s="453" t="e">
        <f t="shared" ref="H150:Q151" si="71">H143/H134*100</f>
        <v>#DIV/0!</v>
      </c>
      <c r="I150" s="453" t="e">
        <f>I143/I134*100</f>
        <v>#DIV/0!</v>
      </c>
      <c r="J150" s="453" t="e">
        <f t="shared" si="71"/>
        <v>#DIV/0!</v>
      </c>
      <c r="K150" s="453" t="e">
        <f t="shared" si="71"/>
        <v>#DIV/0!</v>
      </c>
      <c r="L150" s="453" t="e">
        <f t="shared" si="71"/>
        <v>#DIV/0!</v>
      </c>
      <c r="M150" s="453" t="e">
        <f t="shared" si="71"/>
        <v>#DIV/0!</v>
      </c>
      <c r="N150" s="453" t="e">
        <f t="shared" si="71"/>
        <v>#DIV/0!</v>
      </c>
      <c r="O150" s="453" t="e">
        <f t="shared" si="71"/>
        <v>#DIV/0!</v>
      </c>
      <c r="P150" s="453" t="e">
        <f t="shared" si="71"/>
        <v>#DIV/0!</v>
      </c>
      <c r="Q150" s="453" t="e">
        <f t="shared" si="71"/>
        <v>#DIV/0!</v>
      </c>
      <c r="R150" s="737"/>
      <c r="S150" s="61" t="e">
        <f>S143/S134*100</f>
        <v>#REF!</v>
      </c>
      <c r="T150" s="684"/>
      <c r="U150" s="808"/>
      <c r="W150" s="1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R150" s="65"/>
      <c r="AX150" s="1"/>
      <c r="BD150" s="146"/>
      <c r="BE150" s="146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CH150" s="146"/>
      <c r="DA150" s="1"/>
      <c r="DP150" s="5"/>
      <c r="DQ150" s="146"/>
      <c r="DR150" s="146"/>
      <c r="DS150" s="146"/>
      <c r="DT150" s="146"/>
      <c r="FW150" s="146"/>
      <c r="JR150" s="146"/>
      <c r="JS150" s="146"/>
      <c r="JT150" s="146"/>
      <c r="JU150" s="146"/>
      <c r="OY150" s="146"/>
      <c r="OZ150" s="146"/>
      <c r="PB150" s="146"/>
      <c r="PP150" s="149"/>
      <c r="PT150" s="146"/>
      <c r="RW150" s="149"/>
      <c r="AHF150" s="145"/>
      <c r="AIU150" s="145"/>
      <c r="AIV150" s="145"/>
      <c r="AIW150" s="145"/>
    </row>
    <row r="151" spans="2:933" hidden="1" x14ac:dyDescent="0.25">
      <c r="B151" s="749"/>
      <c r="C151" s="449" t="s">
        <v>41</v>
      </c>
      <c r="D151" s="489"/>
      <c r="E151" s="509" t="s">
        <v>25</v>
      </c>
      <c r="F151" s="453">
        <f>F144/F135*100</f>
        <v>600</v>
      </c>
      <c r="G151" s="453" t="e">
        <f>G144/G135*100</f>
        <v>#REF!</v>
      </c>
      <c r="H151" s="453" t="e">
        <f t="shared" si="71"/>
        <v>#DIV/0!</v>
      </c>
      <c r="I151" s="453" t="e">
        <f t="shared" si="71"/>
        <v>#DIV/0!</v>
      </c>
      <c r="J151" s="453" t="e">
        <f t="shared" si="71"/>
        <v>#DIV/0!</v>
      </c>
      <c r="K151" s="453" t="e">
        <f t="shared" si="71"/>
        <v>#DIV/0!</v>
      </c>
      <c r="L151" s="453" t="e">
        <f t="shared" si="71"/>
        <v>#DIV/0!</v>
      </c>
      <c r="M151" s="453" t="e">
        <f t="shared" si="71"/>
        <v>#DIV/0!</v>
      </c>
      <c r="N151" s="453" t="e">
        <f t="shared" si="71"/>
        <v>#DIV/0!</v>
      </c>
      <c r="O151" s="453" t="e">
        <f t="shared" si="71"/>
        <v>#DIV/0!</v>
      </c>
      <c r="P151" s="453" t="e">
        <f t="shared" si="71"/>
        <v>#DIV/0!</v>
      </c>
      <c r="Q151" s="453" t="e">
        <f t="shared" si="71"/>
        <v>#DIV/0!</v>
      </c>
      <c r="R151" s="737"/>
      <c r="S151" s="61" t="e">
        <f>S144/S135*100</f>
        <v>#REF!</v>
      </c>
      <c r="T151" s="684"/>
      <c r="U151" s="808"/>
      <c r="W151" s="1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R151" s="65"/>
      <c r="AX151" s="1"/>
      <c r="BD151" s="146"/>
      <c r="BE151" s="146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CH151" s="146"/>
      <c r="DA151" s="1"/>
      <c r="DP151" s="5"/>
      <c r="DQ151" s="146"/>
      <c r="DR151" s="146"/>
      <c r="DS151" s="146"/>
      <c r="DT151" s="146"/>
      <c r="FW151" s="146"/>
      <c r="JR151" s="146"/>
      <c r="JS151" s="146"/>
      <c r="JT151" s="146"/>
      <c r="JU151" s="146"/>
      <c r="OY151" s="146"/>
      <c r="OZ151" s="146"/>
      <c r="PB151" s="146"/>
      <c r="PP151" s="149"/>
      <c r="PT151" s="146"/>
      <c r="RW151" s="149"/>
      <c r="AHF151" s="145"/>
      <c r="AIU151" s="145"/>
      <c r="AIV151" s="145"/>
      <c r="AIW151" s="145"/>
    </row>
    <row r="152" spans="2:933" hidden="1" x14ac:dyDescent="0.25">
      <c r="B152" s="749"/>
      <c r="C152" s="582" t="s">
        <v>28</v>
      </c>
      <c r="D152" s="489"/>
      <c r="E152" s="509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737"/>
      <c r="S152" s="57"/>
      <c r="T152" s="684"/>
      <c r="U152" s="808"/>
      <c r="W152" s="1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R152" s="65"/>
      <c r="AX152" s="1"/>
      <c r="BD152" s="146"/>
      <c r="BE152" s="146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CH152" s="146"/>
      <c r="DA152" s="1"/>
      <c r="DP152" s="5"/>
      <c r="DQ152" s="146"/>
      <c r="DR152" s="146"/>
      <c r="DS152" s="146"/>
      <c r="DT152" s="146"/>
      <c r="FW152" s="146"/>
      <c r="JR152" s="146"/>
      <c r="JS152" s="146"/>
      <c r="JT152" s="146"/>
      <c r="JU152" s="146"/>
      <c r="OY152" s="146"/>
      <c r="OZ152" s="146"/>
      <c r="PB152" s="146"/>
      <c r="PP152" s="149"/>
      <c r="PT152" s="146"/>
      <c r="RW152" s="149"/>
      <c r="AHF152" s="145"/>
      <c r="AIU152" s="145"/>
      <c r="AIV152" s="145"/>
      <c r="AIW152" s="145"/>
    </row>
    <row r="153" spans="2:933" hidden="1" x14ac:dyDescent="0.25">
      <c r="B153" s="749"/>
      <c r="C153" s="449" t="s">
        <v>42</v>
      </c>
      <c r="D153" s="489"/>
      <c r="E153" s="509" t="s">
        <v>25</v>
      </c>
      <c r="F153" s="453">
        <f>F146/F137*100</f>
        <v>1200</v>
      </c>
      <c r="G153" s="453" t="e">
        <f>G146/G137*100</f>
        <v>#REF!</v>
      </c>
      <c r="H153" s="453" t="e">
        <f t="shared" ref="H153:Q154" si="72">H146/H137*100</f>
        <v>#DIV/0!</v>
      </c>
      <c r="I153" s="453" t="e">
        <f t="shared" si="72"/>
        <v>#DIV/0!</v>
      </c>
      <c r="J153" s="453" t="e">
        <f t="shared" si="72"/>
        <v>#DIV/0!</v>
      </c>
      <c r="K153" s="453" t="e">
        <f t="shared" si="72"/>
        <v>#DIV/0!</v>
      </c>
      <c r="L153" s="453" t="e">
        <f t="shared" si="72"/>
        <v>#DIV/0!</v>
      </c>
      <c r="M153" s="453" t="e">
        <f t="shared" si="72"/>
        <v>#DIV/0!</v>
      </c>
      <c r="N153" s="453" t="e">
        <f t="shared" si="72"/>
        <v>#DIV/0!</v>
      </c>
      <c r="O153" s="453" t="e">
        <f t="shared" si="72"/>
        <v>#DIV/0!</v>
      </c>
      <c r="P153" s="453" t="e">
        <f t="shared" si="72"/>
        <v>#DIV/0!</v>
      </c>
      <c r="Q153" s="453" t="e">
        <f t="shared" si="72"/>
        <v>#DIV/0!</v>
      </c>
      <c r="R153" s="737"/>
      <c r="S153" s="61" t="e">
        <f>S146/S137*100</f>
        <v>#REF!</v>
      </c>
      <c r="T153" s="684"/>
      <c r="U153" s="808"/>
      <c r="W153" s="1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R153" s="65"/>
      <c r="AX153" s="1"/>
      <c r="BD153" s="146"/>
      <c r="BE153" s="146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CH153" s="146"/>
      <c r="DA153" s="1"/>
      <c r="DP153" s="5"/>
      <c r="DQ153" s="146"/>
      <c r="DR153" s="146"/>
      <c r="DS153" s="146"/>
      <c r="DT153" s="146"/>
      <c r="FW153" s="146"/>
      <c r="JR153" s="146"/>
      <c r="JS153" s="146"/>
      <c r="JT153" s="146"/>
      <c r="JU153" s="146"/>
      <c r="OY153" s="146"/>
      <c r="OZ153" s="146"/>
      <c r="PB153" s="146"/>
      <c r="PP153" s="149"/>
      <c r="PT153" s="146"/>
      <c r="RW153" s="149"/>
      <c r="AHF153" s="145"/>
      <c r="AIU153" s="145"/>
      <c r="AIV153" s="145"/>
      <c r="AIW153" s="145"/>
    </row>
    <row r="154" spans="2:933" hidden="1" x14ac:dyDescent="0.25">
      <c r="B154" s="749"/>
      <c r="C154" s="449" t="s">
        <v>41</v>
      </c>
      <c r="D154" s="489"/>
      <c r="E154" s="509" t="s">
        <v>25</v>
      </c>
      <c r="F154" s="453">
        <f>F147/F138*100</f>
        <v>600</v>
      </c>
      <c r="G154" s="453" t="e">
        <f>G147/G138*100</f>
        <v>#REF!</v>
      </c>
      <c r="H154" s="453" t="e">
        <f t="shared" si="72"/>
        <v>#DIV/0!</v>
      </c>
      <c r="I154" s="453" t="e">
        <f t="shared" si="72"/>
        <v>#DIV/0!</v>
      </c>
      <c r="J154" s="453" t="e">
        <f t="shared" si="72"/>
        <v>#DIV/0!</v>
      </c>
      <c r="K154" s="453" t="e">
        <f t="shared" si="72"/>
        <v>#DIV/0!</v>
      </c>
      <c r="L154" s="453" t="e">
        <f t="shared" si="72"/>
        <v>#DIV/0!</v>
      </c>
      <c r="M154" s="453" t="e">
        <f t="shared" si="72"/>
        <v>#DIV/0!</v>
      </c>
      <c r="N154" s="453" t="e">
        <f t="shared" si="72"/>
        <v>#DIV/0!</v>
      </c>
      <c r="O154" s="453" t="e">
        <f t="shared" si="72"/>
        <v>#DIV/0!</v>
      </c>
      <c r="P154" s="453" t="e">
        <f t="shared" si="72"/>
        <v>#DIV/0!</v>
      </c>
      <c r="Q154" s="453" t="e">
        <f t="shared" si="72"/>
        <v>#DIV/0!</v>
      </c>
      <c r="R154" s="737"/>
      <c r="S154" s="61" t="e">
        <f>S147/S138*100</f>
        <v>#REF!</v>
      </c>
      <c r="T154" s="684"/>
      <c r="U154" s="808"/>
      <c r="W154" s="1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R154" s="65"/>
      <c r="AX154" s="1"/>
      <c r="BD154" s="146"/>
      <c r="BE154" s="146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CH154" s="146"/>
      <c r="DA154" s="1"/>
      <c r="DP154" s="5"/>
      <c r="DQ154" s="146"/>
      <c r="DR154" s="146"/>
      <c r="DS154" s="146"/>
      <c r="DT154" s="146"/>
      <c r="FW154" s="146"/>
      <c r="JR154" s="146"/>
      <c r="JS154" s="146"/>
      <c r="JT154" s="146"/>
      <c r="JU154" s="146"/>
      <c r="OY154" s="146"/>
      <c r="OZ154" s="146"/>
      <c r="PB154" s="146"/>
      <c r="PP154" s="149"/>
      <c r="PT154" s="146"/>
      <c r="RW154" s="149"/>
      <c r="AHF154" s="145"/>
      <c r="AIU154" s="145"/>
      <c r="AIV154" s="145"/>
      <c r="AIW154" s="145"/>
    </row>
    <row r="155" spans="2:933" hidden="1" x14ac:dyDescent="0.25">
      <c r="B155" s="745">
        <v>8</v>
      </c>
      <c r="C155" s="431" t="s">
        <v>40</v>
      </c>
      <c r="D155" s="49"/>
      <c r="E155" s="49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3"/>
      <c r="S155" s="535" t="s">
        <v>130</v>
      </c>
      <c r="T155" s="695" t="s">
        <v>130</v>
      </c>
      <c r="U155" s="798" t="s">
        <v>130</v>
      </c>
      <c r="W155" s="1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R155" s="65"/>
      <c r="AX155" s="1"/>
      <c r="BD155" s="145"/>
      <c r="BE155" s="145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CH155" s="145"/>
      <c r="DA155" s="1"/>
      <c r="DP155" s="5"/>
      <c r="DQ155" s="145"/>
      <c r="DR155" s="145"/>
      <c r="DS155" s="145"/>
      <c r="DT155" s="145"/>
      <c r="FW155" s="145"/>
      <c r="JR155" s="145"/>
      <c r="JS155" s="145"/>
      <c r="JT155" s="145"/>
      <c r="JU155" s="145"/>
      <c r="OY155" s="145"/>
      <c r="OZ155" s="145"/>
      <c r="PB155" s="145"/>
      <c r="PP155" s="494"/>
      <c r="PT155" s="145"/>
      <c r="RW155" s="494"/>
      <c r="AHF155" s="145"/>
      <c r="AIU155" s="145"/>
      <c r="AIV155" s="145"/>
      <c r="AIW155" s="145"/>
    </row>
    <row r="156" spans="2:933" hidden="1" x14ac:dyDescent="0.25">
      <c r="B156" s="749"/>
      <c r="C156" s="592" t="s">
        <v>115</v>
      </c>
      <c r="D156" s="593"/>
      <c r="E156" s="20" t="s">
        <v>14</v>
      </c>
      <c r="F156" s="603">
        <f>'[22]Januari 24'!AL150</f>
        <v>0</v>
      </c>
      <c r="G156" s="603" t="e">
        <f>'[22]Februari 24'!AI150</f>
        <v>#REF!</v>
      </c>
      <c r="H156" s="603">
        <f>'[22]Maret 24'!AL150</f>
        <v>0</v>
      </c>
      <c r="I156" s="603">
        <f>'[22]April 24'!AL150</f>
        <v>0</v>
      </c>
      <c r="J156" s="603">
        <f>'[22]Mei 24'!AL150</f>
        <v>0</v>
      </c>
      <c r="K156" s="603" t="e">
        <f>'[22]July 24'!AM107</f>
        <v>#REF!</v>
      </c>
      <c r="L156" s="603">
        <f>'[22]July 24'!AL150</f>
        <v>0</v>
      </c>
      <c r="M156" s="603">
        <f>'[22]Agustus 24'!AL150</f>
        <v>0</v>
      </c>
      <c r="N156" s="603">
        <f>'[22]September 24'!AL150</f>
        <v>0</v>
      </c>
      <c r="O156" s="603">
        <f>'[22]Oktober 24'!AL150</f>
        <v>0</v>
      </c>
      <c r="P156" s="603">
        <f>'[22]November 24'!AL150</f>
        <v>0</v>
      </c>
      <c r="Q156" s="603">
        <f>'[22]Desember 24'!AL156</f>
        <v>0</v>
      </c>
      <c r="R156" s="751"/>
      <c r="S156" s="92" t="e">
        <f>SUM(S157:S158)</f>
        <v>#REF!</v>
      </c>
      <c r="T156" s="704" t="e">
        <f>SUM(T157:T158)</f>
        <v>#REF!</v>
      </c>
      <c r="U156" s="809" t="e">
        <f>SUM(U157:U158)</f>
        <v>#REF!</v>
      </c>
      <c r="W156" s="1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R156" s="65"/>
      <c r="AX156" s="1"/>
      <c r="BD156" s="146"/>
      <c r="BE156" s="146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CH156" s="146"/>
      <c r="DA156" s="1"/>
      <c r="DP156" s="5"/>
      <c r="DQ156" s="146"/>
      <c r="DR156" s="146"/>
      <c r="DS156" s="146"/>
      <c r="DT156" s="146"/>
      <c r="FW156" s="146"/>
      <c r="JR156" s="146"/>
      <c r="JS156" s="146"/>
      <c r="JT156" s="146"/>
      <c r="JU156" s="146"/>
      <c r="OY156" s="146"/>
      <c r="OZ156" s="146"/>
      <c r="PB156" s="146"/>
      <c r="PP156" s="149"/>
      <c r="PT156" s="146"/>
      <c r="RW156" s="149"/>
      <c r="AHF156" s="145"/>
      <c r="AIU156" s="145"/>
      <c r="AIV156" s="145"/>
      <c r="AIW156" s="145"/>
    </row>
    <row r="157" spans="2:933" hidden="1" x14ac:dyDescent="0.25">
      <c r="B157" s="749"/>
      <c r="C157" s="582" t="s">
        <v>39</v>
      </c>
      <c r="D157" s="489"/>
      <c r="E157" s="509" t="s">
        <v>14</v>
      </c>
      <c r="F157" s="453">
        <f t="shared" ref="F157:Q157" si="73">SUM(F161:F163)*9.75348</f>
        <v>0</v>
      </c>
      <c r="G157" s="453">
        <f t="shared" si="73"/>
        <v>63348.852599999998</v>
      </c>
      <c r="H157" s="453">
        <f>'[22]Maret 24'!AL151</f>
        <v>0</v>
      </c>
      <c r="I157" s="453">
        <f>'[22]April 24'!AL151</f>
        <v>0</v>
      </c>
      <c r="J157" s="453">
        <f t="shared" si="73"/>
        <v>0</v>
      </c>
      <c r="K157" s="453">
        <f t="shared" si="73"/>
        <v>0</v>
      </c>
      <c r="L157" s="453">
        <f t="shared" si="73"/>
        <v>0</v>
      </c>
      <c r="M157" s="453">
        <f>'[22]Agustus 24'!AL124</f>
        <v>0</v>
      </c>
      <c r="N157" s="453">
        <f t="shared" si="73"/>
        <v>0</v>
      </c>
      <c r="O157" s="453">
        <f>SUM(O160:O163)*9.75348</f>
        <v>0</v>
      </c>
      <c r="P157" s="453" t="e">
        <f t="shared" si="73"/>
        <v>#REF!</v>
      </c>
      <c r="Q157" s="453">
        <f t="shared" si="73"/>
        <v>0</v>
      </c>
      <c r="R157" s="737"/>
      <c r="S157" s="61" t="e">
        <f t="shared" ref="S157:U158" si="74">SUM(F157:Q157)</f>
        <v>#REF!</v>
      </c>
      <c r="T157" s="687" t="e">
        <f t="shared" si="74"/>
        <v>#REF!</v>
      </c>
      <c r="U157" s="791" t="e">
        <f t="shared" si="74"/>
        <v>#REF!</v>
      </c>
      <c r="W157" s="1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R157" s="65"/>
      <c r="AX157" s="1"/>
      <c r="BD157" s="146"/>
      <c r="BE157" s="146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CH157" s="146"/>
      <c r="DA157" s="1"/>
      <c r="DP157" s="5"/>
      <c r="DQ157" s="146"/>
      <c r="DR157" s="146"/>
      <c r="DS157" s="146"/>
      <c r="DT157" s="146"/>
      <c r="FW157" s="146"/>
      <c r="JR157" s="146"/>
      <c r="JS157" s="146"/>
      <c r="JT157" s="146"/>
      <c r="JU157" s="146"/>
      <c r="OY157" s="146"/>
      <c r="OZ157" s="146"/>
      <c r="PB157" s="146"/>
      <c r="PP157" s="149"/>
      <c r="PT157" s="146"/>
      <c r="RW157" s="149"/>
      <c r="AHF157" s="145"/>
      <c r="AIU157" s="145"/>
      <c r="AIV157" s="145"/>
      <c r="AIW157" s="145"/>
    </row>
    <row r="158" spans="2:933" hidden="1" x14ac:dyDescent="0.25">
      <c r="B158" s="749"/>
      <c r="C158" s="582" t="s">
        <v>38</v>
      </c>
      <c r="D158" s="489"/>
      <c r="E158" s="509" t="s">
        <v>14</v>
      </c>
      <c r="F158" s="453">
        <f>F156-F157</f>
        <v>0</v>
      </c>
      <c r="G158" s="453" t="e">
        <f t="shared" ref="G158:Q158" si="75">G156-G157</f>
        <v>#REF!</v>
      </c>
      <c r="H158" s="453">
        <f t="shared" si="75"/>
        <v>0</v>
      </c>
      <c r="I158" s="453">
        <f t="shared" si="75"/>
        <v>0</v>
      </c>
      <c r="J158" s="453">
        <f t="shared" si="75"/>
        <v>0</v>
      </c>
      <c r="K158" s="453" t="e">
        <f t="shared" si="75"/>
        <v>#REF!</v>
      </c>
      <c r="L158" s="453">
        <f t="shared" si="75"/>
        <v>0</v>
      </c>
      <c r="M158" s="453">
        <f t="shared" si="75"/>
        <v>0</v>
      </c>
      <c r="N158" s="452">
        <f t="shared" si="75"/>
        <v>0</v>
      </c>
      <c r="O158" s="453">
        <f t="shared" si="75"/>
        <v>0</v>
      </c>
      <c r="P158" s="453" t="e">
        <f t="shared" si="75"/>
        <v>#REF!</v>
      </c>
      <c r="Q158" s="453">
        <f t="shared" si="75"/>
        <v>0</v>
      </c>
      <c r="R158" s="737"/>
      <c r="S158" s="61" t="e">
        <f t="shared" si="74"/>
        <v>#REF!</v>
      </c>
      <c r="T158" s="687" t="e">
        <f t="shared" si="74"/>
        <v>#REF!</v>
      </c>
      <c r="U158" s="791" t="e">
        <f t="shared" si="74"/>
        <v>#REF!</v>
      </c>
      <c r="W158" s="1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R158" s="65"/>
      <c r="AX158" s="1"/>
      <c r="BD158" s="146"/>
      <c r="BE158" s="146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CH158" s="146"/>
      <c r="DA158" s="1"/>
      <c r="DP158" s="5"/>
      <c r="DQ158" s="146"/>
      <c r="DR158" s="146"/>
      <c r="DS158" s="146"/>
      <c r="DT158" s="146"/>
      <c r="FW158" s="146"/>
      <c r="JR158" s="146"/>
      <c r="JS158" s="146"/>
      <c r="JT158" s="146"/>
      <c r="JU158" s="146"/>
      <c r="OY158" s="146"/>
      <c r="OZ158" s="146"/>
      <c r="PB158" s="146"/>
      <c r="PP158" s="149"/>
      <c r="PT158" s="146"/>
      <c r="RW158" s="149"/>
      <c r="AHF158" s="145"/>
      <c r="AIU158" s="145"/>
      <c r="AIV158" s="145"/>
      <c r="AIW158" s="145"/>
    </row>
    <row r="159" spans="2:933" hidden="1" x14ac:dyDescent="0.25">
      <c r="B159" s="749"/>
      <c r="C159" s="582" t="s">
        <v>29</v>
      </c>
      <c r="D159" s="489"/>
      <c r="E159" s="477"/>
      <c r="F159" s="452"/>
      <c r="G159" s="452" t="s">
        <v>357</v>
      </c>
      <c r="H159" s="452"/>
      <c r="I159" s="452"/>
      <c r="J159" s="452"/>
      <c r="K159" s="452"/>
      <c r="L159" s="452"/>
      <c r="M159" s="452"/>
      <c r="N159" s="452"/>
      <c r="O159" s="452"/>
      <c r="P159" s="452"/>
      <c r="Q159" s="452"/>
      <c r="R159" s="737"/>
      <c r="S159" s="66" t="s">
        <v>29</v>
      </c>
      <c r="T159" s="706" t="s">
        <v>29</v>
      </c>
      <c r="U159" s="807" t="s">
        <v>29</v>
      </c>
      <c r="W159" s="1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R159" s="65"/>
      <c r="AX159" s="1"/>
      <c r="BD159" s="146"/>
      <c r="BE159" s="146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CH159" s="146"/>
      <c r="DA159" s="1"/>
      <c r="DP159" s="5"/>
      <c r="DQ159" s="146"/>
      <c r="DR159" s="146"/>
      <c r="DS159" s="146"/>
      <c r="DT159" s="146"/>
      <c r="FW159" s="146"/>
      <c r="JR159" s="146"/>
      <c r="JS159" s="146"/>
      <c r="JT159" s="146"/>
      <c r="JU159" s="146"/>
      <c r="OY159" s="146"/>
      <c r="OZ159" s="146"/>
      <c r="PB159" s="146"/>
      <c r="PP159" s="149"/>
      <c r="PT159" s="146"/>
      <c r="RW159" s="149"/>
      <c r="AHF159" s="145"/>
      <c r="AIU159" s="145"/>
      <c r="AIV159" s="145"/>
      <c r="AIW159" s="145"/>
    </row>
    <row r="160" spans="2:933" hidden="1" x14ac:dyDescent="0.25">
      <c r="B160" s="749"/>
      <c r="C160" s="449" t="s">
        <v>116</v>
      </c>
      <c r="D160" s="489"/>
      <c r="E160" s="586" t="s">
        <v>31</v>
      </c>
      <c r="F160" s="452">
        <f>'[22]Januari 24'!AL154</f>
        <v>0</v>
      </c>
      <c r="G160" s="452">
        <f>'[22]Februari 24'!AL154</f>
        <v>202</v>
      </c>
      <c r="H160" s="452">
        <f>'[22]Maret 24'!AL154</f>
        <v>0</v>
      </c>
      <c r="I160" s="452">
        <f>'[22]April 24'!AL154</f>
        <v>0</v>
      </c>
      <c r="J160" s="452">
        <f>'[22]Mei 24'!AL154</f>
        <v>0</v>
      </c>
      <c r="K160" s="452">
        <f>'[22]Juny 24'!AL154</f>
        <v>0</v>
      </c>
      <c r="L160" s="452">
        <f>'[22]July 24'!AL154</f>
        <v>0</v>
      </c>
      <c r="M160" s="452">
        <f>'[22]Agustus 24'!AL154</f>
        <v>0</v>
      </c>
      <c r="N160" s="452">
        <f>'[22]September 24'!AL154</f>
        <v>0</v>
      </c>
      <c r="O160" s="452">
        <f>'[22]Oktober 24'!AL154</f>
        <v>0</v>
      </c>
      <c r="P160" s="452"/>
      <c r="Q160" s="452"/>
      <c r="R160" s="737"/>
      <c r="S160" s="66"/>
      <c r="T160" s="706">
        <v>11326</v>
      </c>
      <c r="U160" s="807"/>
      <c r="W160" s="1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R160" s="65"/>
      <c r="AX160" s="1"/>
      <c r="BD160" s="146"/>
      <c r="BE160" s="146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CH160" s="146"/>
      <c r="DA160" s="1"/>
      <c r="DP160" s="5"/>
      <c r="DQ160" s="146"/>
      <c r="DR160" s="146"/>
      <c r="DS160" s="146"/>
      <c r="DT160" s="146"/>
      <c r="FW160" s="146"/>
      <c r="JR160" s="146"/>
      <c r="JS160" s="146"/>
      <c r="JT160" s="146"/>
      <c r="JU160" s="146"/>
      <c r="OY160" s="146"/>
      <c r="OZ160" s="146"/>
      <c r="PB160" s="146"/>
      <c r="PP160" s="149"/>
      <c r="PT160" s="146"/>
      <c r="RW160" s="149"/>
      <c r="AHF160" s="145"/>
      <c r="AIU160" s="145"/>
      <c r="AIV160" s="145"/>
      <c r="AIW160" s="145"/>
    </row>
    <row r="161" spans="2:933" hidden="1" x14ac:dyDescent="0.25">
      <c r="B161" s="750"/>
      <c r="C161" s="449" t="s">
        <v>27</v>
      </c>
      <c r="D161" s="450"/>
      <c r="E161" s="586" t="s">
        <v>31</v>
      </c>
      <c r="F161" s="289">
        <f>'[22]Januari 24'!AL155</f>
        <v>0</v>
      </c>
      <c r="G161" s="289">
        <f>'[22]Februari 24'!AL155</f>
        <v>1126</v>
      </c>
      <c r="H161" s="289">
        <f>'[22]Maret 24'!AL155</f>
        <v>0</v>
      </c>
      <c r="I161" s="289">
        <f>'[22]April 24'!AL155</f>
        <v>0</v>
      </c>
      <c r="J161" s="289">
        <f>'[22]Mei 24'!AL155</f>
        <v>0</v>
      </c>
      <c r="K161" s="289">
        <f>'[22]Juny 24'!AL155</f>
        <v>0</v>
      </c>
      <c r="L161" s="289">
        <f>'[22]July 24'!AL155</f>
        <v>0</v>
      </c>
      <c r="M161" s="289">
        <f>'[22]Agustus 24'!AL155</f>
        <v>0</v>
      </c>
      <c r="N161" s="289">
        <f>'[22]September 24'!AL155</f>
        <v>0</v>
      </c>
      <c r="O161" s="289">
        <f>'[22]Oktober 24'!AL155</f>
        <v>0</v>
      </c>
      <c r="P161" s="289" t="e">
        <f>'[22]November 24'!AK159</f>
        <v>#REF!</v>
      </c>
      <c r="Q161" s="289">
        <f>'[22]Desember 24'!AL160</f>
        <v>0</v>
      </c>
      <c r="R161" s="739"/>
      <c r="S161" s="94" t="e">
        <f t="shared" ref="S161:U163" si="76">SUM(F161:Q161)</f>
        <v>#REF!</v>
      </c>
      <c r="T161" s="707">
        <v>62922</v>
      </c>
      <c r="U161" s="811" t="e">
        <f t="shared" si="76"/>
        <v>#REF!</v>
      </c>
      <c r="W161" s="1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R161" s="65"/>
      <c r="AX161" s="16"/>
      <c r="BD161" s="152"/>
      <c r="BE161" s="152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CH161" s="152"/>
      <c r="DA161" s="1"/>
      <c r="DP161" s="530"/>
      <c r="DQ161" s="152"/>
      <c r="DR161" s="152"/>
      <c r="DS161" s="152"/>
      <c r="DT161" s="152"/>
      <c r="FW161" s="152"/>
      <c r="JR161" s="152"/>
      <c r="JS161" s="152"/>
      <c r="JT161" s="152"/>
      <c r="JU161" s="152"/>
      <c r="OY161" s="152"/>
      <c r="OZ161" s="152"/>
      <c r="PB161" s="152"/>
      <c r="PP161" s="587"/>
      <c r="PT161" s="152"/>
      <c r="RW161" s="587"/>
      <c r="AHF161" s="148"/>
      <c r="AIU161" s="148"/>
      <c r="AIV161" s="148"/>
      <c r="AIW161" s="148"/>
    </row>
    <row r="162" spans="2:933" hidden="1" x14ac:dyDescent="0.25">
      <c r="B162" s="750"/>
      <c r="C162" s="449" t="s">
        <v>26</v>
      </c>
      <c r="D162" s="450"/>
      <c r="E162" s="586" t="s">
        <v>31</v>
      </c>
      <c r="F162" s="289">
        <f>'[22]Januari 24'!AL156</f>
        <v>0</v>
      </c>
      <c r="G162" s="289">
        <f>'[22]Februari 24'!AL156</f>
        <v>5369</v>
      </c>
      <c r="H162" s="289">
        <f>'[22]Maret 24'!AL156</f>
        <v>0</v>
      </c>
      <c r="I162" s="289">
        <f>'[22]April 24'!AL156</f>
        <v>0</v>
      </c>
      <c r="J162" s="289">
        <f>'[22]Mei 24'!AL156</f>
        <v>0</v>
      </c>
      <c r="K162" s="289">
        <f>'[22]Juny 24'!AL156</f>
        <v>0</v>
      </c>
      <c r="L162" s="289">
        <f>'[22]July 24'!AL156</f>
        <v>0</v>
      </c>
      <c r="M162" s="289">
        <f>'[22]Agustus 24'!AL156</f>
        <v>0</v>
      </c>
      <c r="N162" s="289">
        <f>'[22]September 24'!AL156</f>
        <v>0</v>
      </c>
      <c r="O162" s="289">
        <f>'[22]Oktober 24'!AL156</f>
        <v>0</v>
      </c>
      <c r="P162" s="289" t="e">
        <f>'[22]November 24'!AK160</f>
        <v>#REF!</v>
      </c>
      <c r="Q162" s="289">
        <f>'[22]Desember 24'!AL161</f>
        <v>0</v>
      </c>
      <c r="R162" s="739"/>
      <c r="S162" s="94" t="e">
        <f t="shared" si="76"/>
        <v>#REF!</v>
      </c>
      <c r="T162" s="707">
        <v>172089</v>
      </c>
      <c r="U162" s="811" t="e">
        <f t="shared" si="76"/>
        <v>#REF!</v>
      </c>
      <c r="W162" s="1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R162" s="65"/>
      <c r="AX162" s="16"/>
      <c r="BD162" s="152"/>
      <c r="BE162" s="152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CH162" s="152"/>
      <c r="DA162" s="1"/>
      <c r="DP162" s="530"/>
      <c r="DQ162" s="152"/>
      <c r="DR162" s="152"/>
      <c r="DS162" s="152"/>
      <c r="DT162" s="152"/>
      <c r="FW162" s="152"/>
      <c r="JR162" s="152"/>
      <c r="JS162" s="152"/>
      <c r="JT162" s="152"/>
      <c r="JU162" s="152"/>
      <c r="OY162" s="152"/>
      <c r="OZ162" s="152"/>
      <c r="PB162" s="152"/>
      <c r="PP162" s="587"/>
      <c r="PT162" s="152"/>
      <c r="RW162" s="587"/>
      <c r="AHF162" s="148"/>
      <c r="AIU162" s="148"/>
      <c r="AIV162" s="148"/>
      <c r="AIW162" s="148"/>
    </row>
    <row r="163" spans="2:933" hidden="1" x14ac:dyDescent="0.25">
      <c r="B163" s="750"/>
      <c r="C163" s="449" t="s">
        <v>37</v>
      </c>
      <c r="D163" s="450"/>
      <c r="E163" s="586" t="s">
        <v>31</v>
      </c>
      <c r="F163" s="289">
        <f>'[22]Januari 24'!AL157</f>
        <v>0</v>
      </c>
      <c r="G163" s="289">
        <f>'[22]Februari 24'!AL157</f>
        <v>0</v>
      </c>
      <c r="H163" s="289">
        <f>'[22]Maret 24'!AL157</f>
        <v>0</v>
      </c>
      <c r="I163" s="289">
        <f>'[22]April 24'!AL157</f>
        <v>0</v>
      </c>
      <c r="J163" s="289">
        <f>'[22]Mei 24'!AL157</f>
        <v>0</v>
      </c>
      <c r="K163" s="289">
        <f>'[22]Juny 24'!AL157</f>
        <v>0</v>
      </c>
      <c r="L163" s="289">
        <f>'[22]July 24'!AL157</f>
        <v>0</v>
      </c>
      <c r="M163" s="289">
        <f>'[22]Agustus 24'!AL157</f>
        <v>0</v>
      </c>
      <c r="N163" s="289">
        <f>'[22]September 24'!AL157</f>
        <v>0</v>
      </c>
      <c r="O163" s="289">
        <f>'[22]Oktober 24'!AL157</f>
        <v>0</v>
      </c>
      <c r="P163" s="289" t="e">
        <f>'[22]November 24'!AK161</f>
        <v>#REF!</v>
      </c>
      <c r="Q163" s="289">
        <f>'[22]Desember 24'!AL162</f>
        <v>0</v>
      </c>
      <c r="R163" s="739"/>
      <c r="S163" s="94" t="e">
        <f t="shared" si="76"/>
        <v>#REF!</v>
      </c>
      <c r="T163" s="707" t="e">
        <f t="shared" si="76"/>
        <v>#REF!</v>
      </c>
      <c r="U163" s="811" t="e">
        <f t="shared" si="76"/>
        <v>#REF!</v>
      </c>
      <c r="W163" s="1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R163" s="65"/>
      <c r="AX163" s="16"/>
      <c r="BD163" s="152"/>
      <c r="BE163" s="152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CH163" s="152"/>
      <c r="DA163" s="1"/>
      <c r="DP163" s="530"/>
      <c r="DQ163" s="152"/>
      <c r="DR163" s="152"/>
      <c r="DS163" s="152"/>
      <c r="DT163" s="152"/>
      <c r="FW163" s="152"/>
      <c r="JR163" s="152"/>
      <c r="JS163" s="152"/>
      <c r="JT163" s="152"/>
      <c r="JU163" s="152"/>
      <c r="OY163" s="152"/>
      <c r="OZ163" s="152"/>
      <c r="PB163" s="152"/>
      <c r="PP163" s="587"/>
      <c r="PT163" s="152"/>
      <c r="RW163" s="587"/>
      <c r="AHF163" s="148"/>
      <c r="AIU163" s="148"/>
      <c r="AIV163" s="148"/>
      <c r="AIW163" s="148"/>
    </row>
    <row r="164" spans="2:933" hidden="1" x14ac:dyDescent="0.25">
      <c r="B164" s="749"/>
      <c r="C164" s="582" t="s">
        <v>28</v>
      </c>
      <c r="D164" s="489"/>
      <c r="E164" s="477"/>
      <c r="F164" s="452"/>
      <c r="G164" s="452"/>
      <c r="H164" s="452"/>
      <c r="I164" s="452"/>
      <c r="J164" s="452"/>
      <c r="K164" s="452"/>
      <c r="L164" s="452"/>
      <c r="M164" s="452"/>
      <c r="N164" s="452"/>
      <c r="O164" s="452"/>
      <c r="P164" s="452"/>
      <c r="Q164" s="452"/>
      <c r="R164" s="737"/>
      <c r="S164" s="66" t="s">
        <v>28</v>
      </c>
      <c r="T164" s="706" t="s">
        <v>28</v>
      </c>
      <c r="U164" s="807" t="s">
        <v>28</v>
      </c>
      <c r="W164" s="1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R164" s="65"/>
      <c r="AX164" s="1"/>
      <c r="BD164" s="146"/>
      <c r="BE164" s="146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CH164" s="146"/>
      <c r="DA164" s="1"/>
      <c r="DP164" s="5"/>
      <c r="DQ164" s="146"/>
      <c r="DR164" s="146"/>
      <c r="DS164" s="146"/>
      <c r="DT164" s="146"/>
      <c r="FW164" s="146"/>
      <c r="JR164" s="146"/>
      <c r="JS164" s="146"/>
      <c r="JT164" s="146"/>
      <c r="JU164" s="146"/>
      <c r="OY164" s="146"/>
      <c r="OZ164" s="146"/>
      <c r="PB164" s="146"/>
      <c r="PP164" s="149"/>
      <c r="PT164" s="146"/>
      <c r="RW164" s="149"/>
      <c r="AHF164" s="145"/>
      <c r="AIU164" s="145"/>
      <c r="AIV164" s="145"/>
      <c r="AIW164" s="145"/>
    </row>
    <row r="165" spans="2:933" hidden="1" x14ac:dyDescent="0.25">
      <c r="B165" s="749"/>
      <c r="C165" s="449" t="s">
        <v>27</v>
      </c>
      <c r="D165" s="489"/>
      <c r="E165" s="509" t="s">
        <v>28</v>
      </c>
      <c r="F165" s="452">
        <f>F161*24</f>
        <v>0</v>
      </c>
      <c r="G165" s="452">
        <f t="shared" ref="G165:Q165" si="77">G161*24</f>
        <v>27024</v>
      </c>
      <c r="H165" s="452">
        <f t="shared" si="77"/>
        <v>0</v>
      </c>
      <c r="I165" s="452">
        <f t="shared" si="77"/>
        <v>0</v>
      </c>
      <c r="J165" s="452">
        <f t="shared" si="77"/>
        <v>0</v>
      </c>
      <c r="K165" s="452">
        <f t="shared" si="77"/>
        <v>0</v>
      </c>
      <c r="L165" s="452">
        <f t="shared" si="77"/>
        <v>0</v>
      </c>
      <c r="M165" s="452">
        <f t="shared" si="77"/>
        <v>0</v>
      </c>
      <c r="N165" s="452">
        <f t="shared" si="77"/>
        <v>0</v>
      </c>
      <c r="O165" s="452">
        <f t="shared" si="77"/>
        <v>0</v>
      </c>
      <c r="P165" s="452" t="e">
        <f t="shared" si="77"/>
        <v>#REF!</v>
      </c>
      <c r="Q165" s="452">
        <f t="shared" si="77"/>
        <v>0</v>
      </c>
      <c r="R165" s="737"/>
      <c r="S165" s="57" t="e">
        <f>S161*24</f>
        <v>#REF!</v>
      </c>
      <c r="T165" s="684">
        <f>T161*24</f>
        <v>1510128</v>
      </c>
      <c r="U165" s="808" t="e">
        <f>U161*24</f>
        <v>#REF!</v>
      </c>
      <c r="W165" s="1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R165" s="65"/>
      <c r="AX165" s="1"/>
      <c r="BD165" s="146"/>
      <c r="BE165" s="146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CH165" s="146"/>
      <c r="DA165" s="1"/>
      <c r="DP165" s="5"/>
      <c r="DQ165" s="146"/>
      <c r="DR165" s="146"/>
      <c r="DS165" s="146"/>
      <c r="DT165" s="146"/>
      <c r="FW165" s="146"/>
      <c r="JR165" s="146"/>
      <c r="JS165" s="146"/>
      <c r="JT165" s="146"/>
      <c r="JU165" s="146"/>
      <c r="OY165" s="146"/>
      <c r="OZ165" s="146"/>
      <c r="PB165" s="146"/>
      <c r="PP165" s="149"/>
      <c r="PT165" s="146"/>
      <c r="RW165" s="149"/>
      <c r="AHF165" s="145"/>
      <c r="AIU165" s="145"/>
      <c r="AIV165" s="145"/>
      <c r="AIW165" s="145"/>
    </row>
    <row r="166" spans="2:933" hidden="1" x14ac:dyDescent="0.25">
      <c r="B166" s="749"/>
      <c r="C166" s="449" t="s">
        <v>26</v>
      </c>
      <c r="D166" s="489"/>
      <c r="E166" s="509" t="s">
        <v>28</v>
      </c>
      <c r="F166" s="452">
        <f>F162*12</f>
        <v>0</v>
      </c>
      <c r="G166" s="452">
        <f t="shared" ref="G166:Q166" si="78">G162*12</f>
        <v>64428</v>
      </c>
      <c r="H166" s="452">
        <f t="shared" si="78"/>
        <v>0</v>
      </c>
      <c r="I166" s="452">
        <f t="shared" si="78"/>
        <v>0</v>
      </c>
      <c r="J166" s="452">
        <f t="shared" si="78"/>
        <v>0</v>
      </c>
      <c r="K166" s="452">
        <f t="shared" si="78"/>
        <v>0</v>
      </c>
      <c r="L166" s="452">
        <f t="shared" si="78"/>
        <v>0</v>
      </c>
      <c r="M166" s="452">
        <f t="shared" si="78"/>
        <v>0</v>
      </c>
      <c r="N166" s="452">
        <f t="shared" si="78"/>
        <v>0</v>
      </c>
      <c r="O166" s="452">
        <f t="shared" si="78"/>
        <v>0</v>
      </c>
      <c r="P166" s="452" t="e">
        <f t="shared" si="78"/>
        <v>#REF!</v>
      </c>
      <c r="Q166" s="452">
        <f t="shared" si="78"/>
        <v>0</v>
      </c>
      <c r="R166" s="737"/>
      <c r="S166" s="57" t="e">
        <f>S162*12</f>
        <v>#REF!</v>
      </c>
      <c r="T166" s="684">
        <f>T162*12</f>
        <v>2065068</v>
      </c>
      <c r="U166" s="808" t="e">
        <f>U162*12</f>
        <v>#REF!</v>
      </c>
      <c r="W166" s="1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R166" s="65"/>
      <c r="AX166" s="1"/>
      <c r="BD166" s="146"/>
      <c r="BE166" s="146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CH166" s="146"/>
      <c r="DA166" s="1"/>
      <c r="DP166" s="5"/>
      <c r="DQ166" s="146"/>
      <c r="DR166" s="146"/>
      <c r="DS166" s="146"/>
      <c r="DT166" s="146"/>
      <c r="FW166" s="146"/>
      <c r="JR166" s="146"/>
      <c r="JS166" s="146"/>
      <c r="JT166" s="146"/>
      <c r="JU166" s="146"/>
      <c r="OY166" s="146"/>
      <c r="OZ166" s="146"/>
      <c r="PB166" s="146"/>
      <c r="PP166" s="149"/>
      <c r="PT166" s="146"/>
      <c r="RW166" s="149"/>
      <c r="AHF166" s="145"/>
      <c r="AIU166" s="145"/>
      <c r="AIV166" s="145"/>
      <c r="AIW166" s="145"/>
    </row>
    <row r="167" spans="2:933" hidden="1" x14ac:dyDescent="0.25">
      <c r="B167" s="749"/>
      <c r="C167" s="449" t="s">
        <v>37</v>
      </c>
      <c r="D167" s="489"/>
      <c r="E167" s="509" t="s">
        <v>28</v>
      </c>
      <c r="F167" s="452">
        <f>F163*6</f>
        <v>0</v>
      </c>
      <c r="G167" s="452">
        <f t="shared" ref="G167:Q167" si="79">G163*6</f>
        <v>0</v>
      </c>
      <c r="H167" s="452">
        <f t="shared" si="79"/>
        <v>0</v>
      </c>
      <c r="I167" s="452">
        <f t="shared" si="79"/>
        <v>0</v>
      </c>
      <c r="J167" s="452">
        <f t="shared" si="79"/>
        <v>0</v>
      </c>
      <c r="K167" s="452">
        <f t="shared" si="79"/>
        <v>0</v>
      </c>
      <c r="L167" s="452">
        <f t="shared" si="79"/>
        <v>0</v>
      </c>
      <c r="M167" s="452">
        <f t="shared" si="79"/>
        <v>0</v>
      </c>
      <c r="N167" s="452">
        <f t="shared" si="79"/>
        <v>0</v>
      </c>
      <c r="O167" s="452">
        <f t="shared" si="79"/>
        <v>0</v>
      </c>
      <c r="P167" s="452" t="e">
        <f t="shared" si="79"/>
        <v>#REF!</v>
      </c>
      <c r="Q167" s="452">
        <f t="shared" si="79"/>
        <v>0</v>
      </c>
      <c r="R167" s="737"/>
      <c r="S167" s="57" t="e">
        <f>S163*6</f>
        <v>#REF!</v>
      </c>
      <c r="T167" s="684" t="e">
        <f>T163*6</f>
        <v>#REF!</v>
      </c>
      <c r="U167" s="808" t="e">
        <f>U163*6</f>
        <v>#REF!</v>
      </c>
      <c r="W167" s="1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R167" s="65"/>
      <c r="AX167" s="1"/>
      <c r="BD167" s="146"/>
      <c r="BE167" s="146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CH167" s="146"/>
      <c r="DA167" s="1"/>
      <c r="DP167" s="5"/>
      <c r="DQ167" s="146"/>
      <c r="DR167" s="146"/>
      <c r="DS167" s="146"/>
      <c r="DT167" s="146"/>
      <c r="FW167" s="146"/>
      <c r="JR167" s="146"/>
      <c r="JS167" s="146"/>
      <c r="JT167" s="146"/>
      <c r="JU167" s="146"/>
      <c r="OY167" s="146"/>
      <c r="OZ167" s="146"/>
      <c r="PB167" s="146"/>
      <c r="PP167" s="149"/>
      <c r="PT167" s="146"/>
      <c r="RW167" s="149"/>
      <c r="AHF167" s="145"/>
      <c r="AIU167" s="145"/>
      <c r="AIV167" s="145"/>
      <c r="AIW167" s="145"/>
    </row>
    <row r="168" spans="2:933" hidden="1" x14ac:dyDescent="0.25">
      <c r="B168" s="749"/>
      <c r="C168" s="582" t="s">
        <v>36</v>
      </c>
      <c r="D168" s="489"/>
      <c r="E168" s="509" t="s">
        <v>35</v>
      </c>
      <c r="F168" s="452">
        <f t="shared" ref="F168:Q168" si="80">F156*45/1700</f>
        <v>0</v>
      </c>
      <c r="G168" s="452" t="e">
        <f t="shared" si="80"/>
        <v>#REF!</v>
      </c>
      <c r="H168" s="452">
        <f t="shared" si="80"/>
        <v>0</v>
      </c>
      <c r="I168" s="452">
        <f t="shared" si="80"/>
        <v>0</v>
      </c>
      <c r="J168" s="452">
        <f t="shared" si="80"/>
        <v>0</v>
      </c>
      <c r="K168" s="452" t="e">
        <f t="shared" si="80"/>
        <v>#REF!</v>
      </c>
      <c r="L168" s="452">
        <f t="shared" si="80"/>
        <v>0</v>
      </c>
      <c r="M168" s="452">
        <f t="shared" si="80"/>
        <v>0</v>
      </c>
      <c r="N168" s="452">
        <f t="shared" si="80"/>
        <v>0</v>
      </c>
      <c r="O168" s="452">
        <f t="shared" si="80"/>
        <v>0</v>
      </c>
      <c r="P168" s="452">
        <f t="shared" si="80"/>
        <v>0</v>
      </c>
      <c r="Q168" s="452">
        <f t="shared" si="80"/>
        <v>0</v>
      </c>
      <c r="R168" s="737"/>
      <c r="S168" s="57" t="e">
        <f t="shared" ref="S168:U169" si="81">SUM(F168:Q168)</f>
        <v>#REF!</v>
      </c>
      <c r="T168" s="684" t="e">
        <f t="shared" si="81"/>
        <v>#REF!</v>
      </c>
      <c r="U168" s="808" t="e">
        <f t="shared" si="81"/>
        <v>#REF!</v>
      </c>
      <c r="W168" s="1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R168" s="65"/>
      <c r="AX168" s="1"/>
      <c r="BD168" s="146"/>
      <c r="BE168" s="146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CH168" s="146"/>
      <c r="DA168" s="1"/>
      <c r="DP168" s="5"/>
      <c r="DQ168" s="146"/>
      <c r="DR168" s="146"/>
      <c r="DS168" s="146"/>
      <c r="DT168" s="146"/>
      <c r="FW168" s="146"/>
      <c r="JR168" s="146"/>
      <c r="JS168" s="146"/>
      <c r="JT168" s="146"/>
      <c r="JU168" s="146"/>
      <c r="OY168" s="146"/>
      <c r="OZ168" s="146"/>
      <c r="PB168" s="146"/>
      <c r="PP168" s="149"/>
      <c r="PT168" s="146"/>
      <c r="RW168" s="149"/>
      <c r="AHF168" s="145"/>
      <c r="AIU168" s="145"/>
      <c r="AIV168" s="145"/>
      <c r="AIW168" s="145"/>
    </row>
    <row r="169" spans="2:933" hidden="1" x14ac:dyDescent="0.25">
      <c r="B169" s="749"/>
      <c r="C169" s="582" t="s">
        <v>34</v>
      </c>
      <c r="D169" s="489"/>
      <c r="E169" s="509" t="s">
        <v>33</v>
      </c>
      <c r="F169" s="452">
        <f t="shared" ref="F169:Q169" si="82">SUM(F161:F163)/500</f>
        <v>0</v>
      </c>
      <c r="G169" s="452">
        <f t="shared" si="82"/>
        <v>12.99</v>
      </c>
      <c r="H169" s="452">
        <f t="shared" si="82"/>
        <v>0</v>
      </c>
      <c r="I169" s="452">
        <f t="shared" si="82"/>
        <v>0</v>
      </c>
      <c r="J169" s="452">
        <f t="shared" si="82"/>
        <v>0</v>
      </c>
      <c r="K169" s="452">
        <f t="shared" si="82"/>
        <v>0</v>
      </c>
      <c r="L169" s="452">
        <f t="shared" si="82"/>
        <v>0</v>
      </c>
      <c r="M169" s="452">
        <f t="shared" si="82"/>
        <v>0</v>
      </c>
      <c r="N169" s="452">
        <f t="shared" si="82"/>
        <v>0</v>
      </c>
      <c r="O169" s="452">
        <f t="shared" si="82"/>
        <v>0</v>
      </c>
      <c r="P169" s="452" t="e">
        <f t="shared" si="82"/>
        <v>#REF!</v>
      </c>
      <c r="Q169" s="452">
        <f t="shared" si="82"/>
        <v>0</v>
      </c>
      <c r="R169" s="737"/>
      <c r="S169" s="57" t="e">
        <f t="shared" si="81"/>
        <v>#REF!</v>
      </c>
      <c r="T169" s="684" t="e">
        <f t="shared" si="81"/>
        <v>#REF!</v>
      </c>
      <c r="U169" s="808" t="e">
        <f t="shared" si="81"/>
        <v>#REF!</v>
      </c>
      <c r="W169" s="1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R169" s="65"/>
      <c r="AX169" s="1"/>
      <c r="BD169" s="146"/>
      <c r="BE169" s="146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CH169" s="146"/>
      <c r="DA169" s="1"/>
      <c r="DP169" s="5"/>
      <c r="DQ169" s="146"/>
      <c r="DR169" s="146"/>
      <c r="DS169" s="146"/>
      <c r="DT169" s="146"/>
      <c r="FW169" s="146"/>
      <c r="JR169" s="146"/>
      <c r="JS169" s="146"/>
      <c r="JT169" s="146"/>
      <c r="JU169" s="146"/>
      <c r="OY169" s="146"/>
      <c r="OZ169" s="146"/>
      <c r="PB169" s="146"/>
      <c r="PP169" s="149"/>
      <c r="PT169" s="146"/>
      <c r="RW169" s="149"/>
      <c r="AHF169" s="145"/>
      <c r="AIU169" s="145"/>
      <c r="AIV169" s="145"/>
      <c r="AIW169" s="145"/>
    </row>
    <row r="170" spans="2:933" hidden="1" x14ac:dyDescent="0.25">
      <c r="B170" s="746"/>
      <c r="C170" s="431" t="s">
        <v>32</v>
      </c>
      <c r="D170" s="49"/>
      <c r="E170" s="49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3"/>
      <c r="S170" s="535" t="s">
        <v>131</v>
      </c>
      <c r="T170" s="695" t="s">
        <v>131</v>
      </c>
      <c r="U170" s="798" t="s">
        <v>131</v>
      </c>
      <c r="W170" s="1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R170" s="65"/>
      <c r="AX170" s="1"/>
      <c r="BD170" s="145"/>
      <c r="BE170" s="145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CH170" s="145"/>
      <c r="DA170" s="1"/>
      <c r="DP170" s="5"/>
      <c r="DQ170" s="145"/>
      <c r="DR170" s="145"/>
      <c r="DS170" s="145"/>
      <c r="DT170" s="145"/>
      <c r="FW170" s="145"/>
      <c r="JR170" s="145"/>
      <c r="JS170" s="145"/>
      <c r="JT170" s="145"/>
      <c r="JU170" s="145"/>
      <c r="OY170" s="145"/>
      <c r="OZ170" s="145"/>
      <c r="PB170" s="145"/>
      <c r="PP170" s="494"/>
      <c r="PT170" s="145"/>
      <c r="RW170" s="494"/>
      <c r="AHF170" s="145"/>
      <c r="AIU170" s="145"/>
      <c r="AIV170" s="145"/>
      <c r="AIW170" s="145"/>
    </row>
    <row r="171" spans="2:933" hidden="1" x14ac:dyDescent="0.25">
      <c r="B171" s="749"/>
      <c r="C171" s="582" t="s">
        <v>29</v>
      </c>
      <c r="D171" s="489"/>
      <c r="E171" s="477"/>
      <c r="F171" s="452"/>
      <c r="G171" s="452"/>
      <c r="H171" s="452"/>
      <c r="I171" s="452"/>
      <c r="J171" s="452"/>
      <c r="K171" s="452"/>
      <c r="L171" s="452"/>
      <c r="M171" s="452"/>
      <c r="N171" s="452"/>
      <c r="O171" s="452"/>
      <c r="P171" s="452"/>
      <c r="Q171" s="452"/>
      <c r="R171" s="737"/>
      <c r="S171" s="66" t="s">
        <v>29</v>
      </c>
      <c r="T171" s="706" t="s">
        <v>29</v>
      </c>
      <c r="U171" s="807" t="s">
        <v>29</v>
      </c>
      <c r="W171" s="1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R171" s="65"/>
      <c r="AX171" s="1"/>
      <c r="BD171" s="146"/>
      <c r="BE171" s="146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CH171" s="146"/>
      <c r="DA171" s="1"/>
      <c r="DP171" s="5"/>
      <c r="DQ171" s="146"/>
      <c r="DR171" s="146"/>
      <c r="DS171" s="146"/>
      <c r="DT171" s="146"/>
      <c r="FW171" s="146"/>
      <c r="JR171" s="146"/>
      <c r="JS171" s="146"/>
      <c r="JT171" s="146"/>
      <c r="JU171" s="146"/>
      <c r="OY171" s="146"/>
      <c r="OZ171" s="146"/>
      <c r="PB171" s="146"/>
      <c r="PP171" s="149"/>
      <c r="PT171" s="146"/>
      <c r="RW171" s="149"/>
      <c r="AHF171" s="145"/>
      <c r="AIU171" s="145"/>
      <c r="AIV171" s="145"/>
      <c r="AIW171" s="145"/>
    </row>
    <row r="172" spans="2:933" hidden="1" x14ac:dyDescent="0.25">
      <c r="B172" s="749"/>
      <c r="C172" s="449" t="s">
        <v>116</v>
      </c>
      <c r="D172" s="489"/>
      <c r="E172" s="509" t="s">
        <v>31</v>
      </c>
      <c r="F172" s="452"/>
      <c r="G172" s="452" t="e">
        <f>'[22]Februari 24'!AL167</f>
        <v>#REF!</v>
      </c>
      <c r="H172" s="452" t="e">
        <f>'[22]Maret 24'!AL167</f>
        <v>#REF!</v>
      </c>
      <c r="I172" s="452" t="e">
        <f>'[22]April 24'!AL167</f>
        <v>#REF!</v>
      </c>
      <c r="J172" s="452" t="e">
        <f>'[22]Mei 24'!AL167</f>
        <v>#REF!</v>
      </c>
      <c r="K172" s="452" t="e">
        <f>'[22]Juny 24'!AL167</f>
        <v>#REF!</v>
      </c>
      <c r="L172" s="452" t="e">
        <f>'[22]July 24'!AL167</f>
        <v>#REF!</v>
      </c>
      <c r="M172" s="452" t="e">
        <f>'[22]Agustus 24'!AL167</f>
        <v>#REF!</v>
      </c>
      <c r="N172" s="452" t="e">
        <f>'[22]September 24'!AL167</f>
        <v>#REF!</v>
      </c>
      <c r="O172" s="452">
        <f>'[22]Oktober 24'!AL159</f>
        <v>0</v>
      </c>
      <c r="P172" s="452"/>
      <c r="Q172" s="452"/>
      <c r="R172" s="737"/>
      <c r="S172" s="66"/>
      <c r="T172" s="706"/>
      <c r="U172" s="807"/>
      <c r="W172" s="1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R172" s="65"/>
      <c r="AX172" s="1"/>
      <c r="BD172" s="146"/>
      <c r="BE172" s="146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CH172" s="146"/>
      <c r="DA172" s="1"/>
      <c r="DP172" s="5"/>
      <c r="DQ172" s="146"/>
      <c r="DR172" s="146"/>
      <c r="DS172" s="146"/>
      <c r="DT172" s="146"/>
      <c r="FW172" s="146"/>
      <c r="JR172" s="146"/>
      <c r="JS172" s="146"/>
      <c r="JT172" s="146"/>
      <c r="JU172" s="146"/>
      <c r="OY172" s="146"/>
      <c r="OZ172" s="146"/>
      <c r="PB172" s="146"/>
      <c r="PP172" s="149"/>
      <c r="PT172" s="146"/>
      <c r="RW172" s="149"/>
      <c r="AHF172" s="145"/>
      <c r="AIU172" s="145"/>
      <c r="AIV172" s="145"/>
      <c r="AIW172" s="145"/>
    </row>
    <row r="173" spans="2:933" hidden="1" x14ac:dyDescent="0.25">
      <c r="B173" s="749"/>
      <c r="C173" s="449" t="s">
        <v>27</v>
      </c>
      <c r="D173" s="489"/>
      <c r="E173" s="509" t="s">
        <v>31</v>
      </c>
      <c r="F173" s="452">
        <v>0</v>
      </c>
      <c r="G173" s="452">
        <f>'[22]Februari 24'!AL168</f>
        <v>9</v>
      </c>
      <c r="H173" s="452">
        <f>'[22]Maret 24'!AL168</f>
        <v>0</v>
      </c>
      <c r="I173" s="452">
        <f>'[22]April 24'!AL168</f>
        <v>0</v>
      </c>
      <c r="J173" s="452">
        <f>'[22]Mei 24'!AL168</f>
        <v>0</v>
      </c>
      <c r="K173" s="452">
        <f>'[22]Juny 24'!AL168</f>
        <v>0</v>
      </c>
      <c r="L173" s="452">
        <f>'[22]July 24'!AL168</f>
        <v>0</v>
      </c>
      <c r="M173" s="452">
        <f>'[22]Agustus 24'!AL168</f>
        <v>0</v>
      </c>
      <c r="N173" s="452">
        <f>'[22]September 24'!AL168</f>
        <v>0</v>
      </c>
      <c r="O173" s="452">
        <f>'[22]Oktober 24'!AL160</f>
        <v>0</v>
      </c>
      <c r="P173" s="452" t="e">
        <f>'[22]November 24'!AK159</f>
        <v>#REF!</v>
      </c>
      <c r="Q173" s="452" t="e">
        <f>'[22]Desember 24'!AL171</f>
        <v>#REF!</v>
      </c>
      <c r="R173" s="737"/>
      <c r="S173" s="57" t="e">
        <f t="shared" ref="S173:U174" si="83">SUM(F173:Q173)</f>
        <v>#REF!</v>
      </c>
      <c r="T173" s="684" t="e">
        <f t="shared" si="83"/>
        <v>#REF!</v>
      </c>
      <c r="U173" s="808" t="e">
        <f t="shared" si="83"/>
        <v>#REF!</v>
      </c>
      <c r="W173" s="1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R173" s="65"/>
      <c r="AX173" s="1"/>
      <c r="BD173" s="146"/>
      <c r="BE173" s="146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CH173" s="146"/>
      <c r="DA173" s="1"/>
      <c r="DP173" s="5"/>
      <c r="DQ173" s="146"/>
      <c r="DR173" s="146"/>
      <c r="DS173" s="146"/>
      <c r="DT173" s="146"/>
      <c r="FW173" s="146"/>
      <c r="JR173" s="146"/>
      <c r="JS173" s="146"/>
      <c r="JT173" s="146"/>
      <c r="JU173" s="146"/>
      <c r="OY173" s="146"/>
      <c r="OZ173" s="146"/>
      <c r="PB173" s="146"/>
      <c r="PP173" s="149"/>
      <c r="PT173" s="146"/>
      <c r="RW173" s="149"/>
      <c r="AHF173" s="145"/>
      <c r="AIU173" s="145"/>
      <c r="AIV173" s="145"/>
      <c r="AIW173" s="145"/>
    </row>
    <row r="174" spans="2:933" hidden="1" x14ac:dyDescent="0.25">
      <c r="B174" s="749"/>
      <c r="C174" s="449" t="s">
        <v>26</v>
      </c>
      <c r="D174" s="489"/>
      <c r="E174" s="509" t="s">
        <v>31</v>
      </c>
      <c r="F174" s="452">
        <v>0</v>
      </c>
      <c r="G174" s="452">
        <f>'[22]Februari 24'!AL169</f>
        <v>86</v>
      </c>
      <c r="H174" s="452">
        <f>'[22]Maret 24'!AL169</f>
        <v>0</v>
      </c>
      <c r="I174" s="452">
        <f>'[22]April 24'!AL169</f>
        <v>0</v>
      </c>
      <c r="J174" s="452">
        <f>'[22]Mei 24'!AL169</f>
        <v>0</v>
      </c>
      <c r="K174" s="452">
        <f>'[22]Juny 24'!AL169</f>
        <v>0</v>
      </c>
      <c r="L174" s="452">
        <f>'[22]July 24'!AL169</f>
        <v>0</v>
      </c>
      <c r="M174" s="452">
        <f>'[22]Agustus 24'!AL169</f>
        <v>0</v>
      </c>
      <c r="N174" s="452">
        <f>'[22]September 24'!AL169</f>
        <v>0</v>
      </c>
      <c r="O174" s="452">
        <f>'[22]Oktober 24'!AL162</f>
        <v>0</v>
      </c>
      <c r="P174" s="452" t="e">
        <f>'[22]November 24'!AK160</f>
        <v>#REF!</v>
      </c>
      <c r="Q174" s="452" t="e">
        <f>'[22]Desember 24'!AL172</f>
        <v>#DIV/0!</v>
      </c>
      <c r="R174" s="737"/>
      <c r="S174" s="57" t="e">
        <f t="shared" si="83"/>
        <v>#REF!</v>
      </c>
      <c r="T174" s="684" t="e">
        <f t="shared" si="83"/>
        <v>#REF!</v>
      </c>
      <c r="U174" s="808" t="e">
        <f t="shared" si="83"/>
        <v>#REF!</v>
      </c>
      <c r="W174" s="1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R174" s="65"/>
      <c r="AX174" s="1"/>
      <c r="BD174" s="146"/>
      <c r="BE174" s="146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CH174" s="146"/>
      <c r="DA174" s="1"/>
      <c r="DP174" s="5"/>
      <c r="DQ174" s="146"/>
      <c r="DR174" s="146"/>
      <c r="DS174" s="146"/>
      <c r="DT174" s="146"/>
      <c r="FW174" s="146"/>
      <c r="JR174" s="146"/>
      <c r="JS174" s="146"/>
      <c r="JT174" s="146"/>
      <c r="JU174" s="146"/>
      <c r="OY174" s="146"/>
      <c r="OZ174" s="146"/>
      <c r="PB174" s="146"/>
      <c r="PP174" s="149"/>
      <c r="PT174" s="146"/>
      <c r="RW174" s="149"/>
      <c r="AHF174" s="145"/>
      <c r="AIU174" s="145"/>
      <c r="AIV174" s="145"/>
      <c r="AIW174" s="145"/>
    </row>
    <row r="175" spans="2:933" hidden="1" x14ac:dyDescent="0.25">
      <c r="B175" s="749"/>
      <c r="C175" s="449" t="s">
        <v>37</v>
      </c>
      <c r="D175" s="489"/>
      <c r="E175" s="586" t="s">
        <v>31</v>
      </c>
      <c r="F175" s="452"/>
      <c r="G175" s="452"/>
      <c r="H175" s="452"/>
      <c r="I175" s="452"/>
      <c r="J175" s="452"/>
      <c r="K175" s="452"/>
      <c r="L175" s="452"/>
      <c r="M175" s="452">
        <f>'[22]Agustus 24'!AL129</f>
        <v>0</v>
      </c>
      <c r="N175" s="452"/>
      <c r="O175" s="452">
        <f>'[22]Oktober 24'!AL163</f>
        <v>0</v>
      </c>
      <c r="P175" s="452" t="e">
        <f>'[22]November 24'!AK161</f>
        <v>#REF!</v>
      </c>
      <c r="Q175" s="452" t="e">
        <f>'[22]Desember 24'!AL173</f>
        <v>#DIV/0!</v>
      </c>
      <c r="R175" s="737"/>
      <c r="S175" s="57"/>
      <c r="T175" s="684"/>
      <c r="U175" s="808"/>
      <c r="W175" s="1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R175" s="65"/>
      <c r="AX175" s="1"/>
      <c r="BD175" s="146"/>
      <c r="BE175" s="146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CH175" s="146"/>
      <c r="DA175" s="1"/>
      <c r="DP175" s="5"/>
      <c r="DQ175" s="146"/>
      <c r="DR175" s="146"/>
      <c r="DS175" s="146"/>
      <c r="DT175" s="146"/>
      <c r="FW175" s="146"/>
      <c r="JR175" s="146"/>
      <c r="JS175" s="146"/>
      <c r="JT175" s="146"/>
      <c r="JU175" s="146"/>
      <c r="OY175" s="146"/>
      <c r="OZ175" s="146"/>
      <c r="PB175" s="146"/>
      <c r="PP175" s="149"/>
      <c r="PT175" s="146"/>
      <c r="RW175" s="149"/>
      <c r="AHF175" s="145"/>
      <c r="AIU175" s="145"/>
      <c r="AIV175" s="145"/>
      <c r="AIW175" s="145"/>
    </row>
    <row r="176" spans="2:933" hidden="1" x14ac:dyDescent="0.25">
      <c r="B176" s="749"/>
      <c r="C176" s="582" t="s">
        <v>28</v>
      </c>
      <c r="D176" s="489"/>
      <c r="E176" s="477"/>
      <c r="F176" s="452"/>
      <c r="G176" s="452"/>
      <c r="H176" s="452"/>
      <c r="I176" s="452"/>
      <c r="J176" s="452"/>
      <c r="K176" s="452"/>
      <c r="L176" s="452"/>
      <c r="M176" s="452"/>
      <c r="N176" s="452"/>
      <c r="O176" s="452"/>
      <c r="P176" s="452"/>
      <c r="Q176" s="452"/>
      <c r="R176" s="737"/>
      <c r="S176" s="66" t="s">
        <v>28</v>
      </c>
      <c r="T176" s="706" t="s">
        <v>28</v>
      </c>
      <c r="U176" s="807" t="s">
        <v>28</v>
      </c>
      <c r="W176" s="1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R176" s="65"/>
      <c r="AX176" s="1"/>
      <c r="BD176" s="146"/>
      <c r="BE176" s="146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CH176" s="146"/>
      <c r="DA176" s="1"/>
      <c r="DP176" s="5"/>
      <c r="DQ176" s="146"/>
      <c r="DR176" s="146"/>
      <c r="DS176" s="146"/>
      <c r="DT176" s="146"/>
      <c r="FW176" s="146"/>
      <c r="JR176" s="146"/>
      <c r="JS176" s="146"/>
      <c r="JT176" s="146"/>
      <c r="JU176" s="146"/>
      <c r="OY176" s="146"/>
      <c r="OZ176" s="146"/>
      <c r="PB176" s="146"/>
      <c r="PP176" s="149"/>
      <c r="PT176" s="146"/>
      <c r="RW176" s="149"/>
      <c r="AHF176" s="145"/>
      <c r="AIU176" s="145"/>
      <c r="AIV176" s="145"/>
      <c r="AIW176" s="145"/>
    </row>
    <row r="177" spans="2:933" hidden="1" x14ac:dyDescent="0.25">
      <c r="B177" s="749"/>
      <c r="C177" s="449" t="s">
        <v>27</v>
      </c>
      <c r="D177" s="489"/>
      <c r="E177" s="509" t="s">
        <v>28</v>
      </c>
      <c r="F177" s="452">
        <v>0</v>
      </c>
      <c r="G177" s="452">
        <v>0</v>
      </c>
      <c r="H177" s="452">
        <v>0</v>
      </c>
      <c r="I177" s="452">
        <v>0</v>
      </c>
      <c r="J177" s="452">
        <v>0</v>
      </c>
      <c r="K177" s="452">
        <f t="shared" ref="K177:Q177" si="84">K173*24</f>
        <v>0</v>
      </c>
      <c r="L177" s="452">
        <f t="shared" si="84"/>
        <v>0</v>
      </c>
      <c r="M177" s="452">
        <f t="shared" si="84"/>
        <v>0</v>
      </c>
      <c r="N177" s="452">
        <f t="shared" si="84"/>
        <v>0</v>
      </c>
      <c r="O177" s="452">
        <f t="shared" si="84"/>
        <v>0</v>
      </c>
      <c r="P177" s="452" t="e">
        <f t="shared" si="84"/>
        <v>#REF!</v>
      </c>
      <c r="Q177" s="452" t="e">
        <f t="shared" si="84"/>
        <v>#REF!</v>
      </c>
      <c r="R177" s="737"/>
      <c r="S177" s="57" t="e">
        <f t="shared" ref="S177:U179" si="85">SUM(F177:Q177)</f>
        <v>#REF!</v>
      </c>
      <c r="T177" s="684" t="e">
        <f t="shared" si="85"/>
        <v>#REF!</v>
      </c>
      <c r="U177" s="808" t="e">
        <f t="shared" si="85"/>
        <v>#REF!</v>
      </c>
      <c r="W177" s="1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R177" s="65"/>
      <c r="AX177" s="1"/>
      <c r="BD177" s="146"/>
      <c r="BE177" s="146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CH177" s="146"/>
      <c r="DA177" s="1"/>
      <c r="DP177" s="5"/>
      <c r="DQ177" s="146"/>
      <c r="DR177" s="146"/>
      <c r="DS177" s="146"/>
      <c r="DT177" s="146"/>
      <c r="FW177" s="146"/>
      <c r="JR177" s="146"/>
      <c r="JS177" s="146"/>
      <c r="JT177" s="146"/>
      <c r="JU177" s="146"/>
      <c r="OY177" s="146"/>
      <c r="OZ177" s="146"/>
      <c r="PB177" s="146"/>
      <c r="PP177" s="149"/>
      <c r="PT177" s="146"/>
      <c r="RW177" s="149"/>
      <c r="AHF177" s="145"/>
      <c r="AIU177" s="145"/>
      <c r="AIV177" s="145"/>
      <c r="AIW177" s="145"/>
    </row>
    <row r="178" spans="2:933" hidden="1" x14ac:dyDescent="0.25">
      <c r="B178" s="749"/>
      <c r="C178" s="449" t="s">
        <v>26</v>
      </c>
      <c r="D178" s="489"/>
      <c r="E178" s="509" t="s">
        <v>28</v>
      </c>
      <c r="F178" s="452">
        <v>0</v>
      </c>
      <c r="G178" s="452">
        <v>0</v>
      </c>
      <c r="H178" s="452">
        <v>0</v>
      </c>
      <c r="I178" s="452">
        <v>0</v>
      </c>
      <c r="J178" s="452">
        <v>0</v>
      </c>
      <c r="K178" s="452">
        <f t="shared" ref="K178:Q178" si="86">K174*12</f>
        <v>0</v>
      </c>
      <c r="L178" s="452">
        <f t="shared" si="86"/>
        <v>0</v>
      </c>
      <c r="M178" s="452">
        <f t="shared" si="86"/>
        <v>0</v>
      </c>
      <c r="N178" s="452">
        <f t="shared" si="86"/>
        <v>0</v>
      </c>
      <c r="O178" s="452">
        <f t="shared" si="86"/>
        <v>0</v>
      </c>
      <c r="P178" s="452" t="e">
        <f t="shared" si="86"/>
        <v>#REF!</v>
      </c>
      <c r="Q178" s="452" t="e">
        <f t="shared" si="86"/>
        <v>#DIV/0!</v>
      </c>
      <c r="R178" s="737"/>
      <c r="S178" s="57" t="e">
        <f t="shared" si="85"/>
        <v>#REF!</v>
      </c>
      <c r="T178" s="684" t="e">
        <f t="shared" si="85"/>
        <v>#REF!</v>
      </c>
      <c r="U178" s="808" t="e">
        <f t="shared" si="85"/>
        <v>#REF!</v>
      </c>
      <c r="W178" s="1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R178" s="65"/>
      <c r="AX178" s="1"/>
      <c r="BD178" s="146"/>
      <c r="BE178" s="146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CH178" s="146"/>
      <c r="DA178" s="1"/>
      <c r="DP178" s="5"/>
      <c r="DQ178" s="146"/>
      <c r="DR178" s="146"/>
      <c r="DS178" s="146"/>
      <c r="DT178" s="146"/>
      <c r="FW178" s="146"/>
      <c r="JR178" s="146"/>
      <c r="JS178" s="146"/>
      <c r="JT178" s="146"/>
      <c r="JU178" s="146"/>
      <c r="OY178" s="146"/>
      <c r="OZ178" s="146"/>
      <c r="PB178" s="146"/>
      <c r="PP178" s="149"/>
      <c r="PT178" s="146"/>
      <c r="RW178" s="149"/>
      <c r="AHF178" s="145"/>
      <c r="AIU178" s="145"/>
      <c r="AIV178" s="145"/>
      <c r="AIW178" s="145"/>
    </row>
    <row r="179" spans="2:933" hidden="1" x14ac:dyDescent="0.25">
      <c r="B179" s="749"/>
      <c r="C179" s="449" t="s">
        <v>37</v>
      </c>
      <c r="D179" s="489"/>
      <c r="E179" s="509" t="s">
        <v>28</v>
      </c>
      <c r="F179" s="452"/>
      <c r="G179" s="452"/>
      <c r="H179" s="452"/>
      <c r="I179" s="452"/>
      <c r="J179" s="452"/>
      <c r="K179" s="452">
        <f t="shared" ref="K179:Q179" si="87">K175*6</f>
        <v>0</v>
      </c>
      <c r="L179" s="452">
        <f t="shared" si="87"/>
        <v>0</v>
      </c>
      <c r="M179" s="452">
        <f t="shared" si="87"/>
        <v>0</v>
      </c>
      <c r="N179" s="452">
        <f t="shared" si="87"/>
        <v>0</v>
      </c>
      <c r="O179" s="452">
        <f t="shared" si="87"/>
        <v>0</v>
      </c>
      <c r="P179" s="452" t="e">
        <f t="shared" si="87"/>
        <v>#REF!</v>
      </c>
      <c r="Q179" s="452" t="e">
        <f t="shared" si="87"/>
        <v>#DIV/0!</v>
      </c>
      <c r="R179" s="737"/>
      <c r="S179" s="57" t="e">
        <f t="shared" si="85"/>
        <v>#REF!</v>
      </c>
      <c r="T179" s="684" t="e">
        <f t="shared" si="85"/>
        <v>#REF!</v>
      </c>
      <c r="U179" s="808" t="e">
        <f t="shared" si="85"/>
        <v>#REF!</v>
      </c>
      <c r="W179" s="1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R179" s="65"/>
      <c r="AX179" s="1"/>
      <c r="BD179" s="146"/>
      <c r="BE179" s="146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CH179" s="146"/>
      <c r="DA179" s="1"/>
      <c r="DP179" s="5"/>
      <c r="DQ179" s="146"/>
      <c r="DR179" s="146"/>
      <c r="DS179" s="146"/>
      <c r="DT179" s="146"/>
      <c r="FW179" s="146"/>
      <c r="JR179" s="146"/>
      <c r="JS179" s="146"/>
      <c r="JT179" s="146"/>
      <c r="JU179" s="146"/>
      <c r="OY179" s="146"/>
      <c r="OZ179" s="146"/>
      <c r="PB179" s="146"/>
      <c r="PP179" s="149"/>
      <c r="PT179" s="146"/>
      <c r="RW179" s="149"/>
      <c r="AHF179" s="145"/>
      <c r="AIU179" s="145"/>
      <c r="AIV179" s="145"/>
      <c r="AIW179" s="145"/>
    </row>
    <row r="180" spans="2:933" hidden="1" x14ac:dyDescent="0.25">
      <c r="B180" s="746"/>
      <c r="C180" s="431" t="s">
        <v>30</v>
      </c>
      <c r="D180" s="49"/>
      <c r="E180" s="49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3"/>
      <c r="S180" s="535" t="s">
        <v>131</v>
      </c>
      <c r="T180" s="695" t="s">
        <v>131</v>
      </c>
      <c r="U180" s="798" t="s">
        <v>131</v>
      </c>
      <c r="W180" s="1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R180" s="65"/>
      <c r="AX180" s="1"/>
      <c r="BD180" s="145"/>
      <c r="BE180" s="145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CH180" s="145"/>
      <c r="DA180" s="1"/>
      <c r="DP180" s="5"/>
      <c r="DQ180" s="145"/>
      <c r="DR180" s="145"/>
      <c r="DS180" s="145"/>
      <c r="DT180" s="145"/>
      <c r="FW180" s="145"/>
      <c r="JR180" s="145"/>
      <c r="JS180" s="145"/>
      <c r="JT180" s="145"/>
      <c r="JU180" s="145"/>
      <c r="OY180" s="145"/>
      <c r="OZ180" s="145"/>
      <c r="PB180" s="145"/>
      <c r="PP180" s="494"/>
      <c r="PT180" s="145"/>
      <c r="RW180" s="494"/>
      <c r="AHF180" s="145"/>
      <c r="AIU180" s="145"/>
      <c r="AIV180" s="145"/>
      <c r="AIW180" s="145"/>
    </row>
    <row r="181" spans="2:933" hidden="1" x14ac:dyDescent="0.25">
      <c r="B181" s="749"/>
      <c r="C181" s="582" t="s">
        <v>29</v>
      </c>
      <c r="D181" s="489"/>
      <c r="E181" s="477"/>
      <c r="F181" s="452"/>
      <c r="G181" s="452"/>
      <c r="H181" s="452"/>
      <c r="I181" s="452"/>
      <c r="J181" s="452"/>
      <c r="K181" s="452"/>
      <c r="L181" s="452"/>
      <c r="M181" s="452"/>
      <c r="N181" s="452"/>
      <c r="O181" s="452"/>
      <c r="P181" s="452"/>
      <c r="Q181" s="452"/>
      <c r="R181" s="737"/>
      <c r="S181" s="66" t="s">
        <v>29</v>
      </c>
      <c r="T181" s="706" t="s">
        <v>29</v>
      </c>
      <c r="U181" s="807" t="s">
        <v>29</v>
      </c>
      <c r="W181" s="1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R181" s="65"/>
      <c r="AX181" s="1"/>
      <c r="BD181" s="146"/>
      <c r="BE181" s="146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CH181" s="146"/>
      <c r="DA181" s="1"/>
      <c r="DP181" s="5"/>
      <c r="DQ181" s="146"/>
      <c r="DR181" s="146"/>
      <c r="DS181" s="146"/>
      <c r="DT181" s="146"/>
      <c r="FW181" s="146"/>
      <c r="JR181" s="146"/>
      <c r="JS181" s="146"/>
      <c r="JT181" s="146"/>
      <c r="JU181" s="146"/>
      <c r="OY181" s="146"/>
      <c r="OZ181" s="146"/>
      <c r="PB181" s="146"/>
      <c r="PP181" s="149"/>
      <c r="PT181" s="146"/>
      <c r="RW181" s="149"/>
      <c r="AHF181" s="145"/>
      <c r="AIU181" s="145"/>
      <c r="AIV181" s="145"/>
      <c r="AIW181" s="145"/>
    </row>
    <row r="182" spans="2:933" hidden="1" x14ac:dyDescent="0.25">
      <c r="B182" s="749"/>
      <c r="C182" s="449" t="s">
        <v>27</v>
      </c>
      <c r="D182" s="476">
        <v>0.3</v>
      </c>
      <c r="E182" s="509" t="s">
        <v>25</v>
      </c>
      <c r="F182" s="453" t="e">
        <f>F173/F161*100</f>
        <v>#DIV/0!</v>
      </c>
      <c r="G182" s="453">
        <f t="shared" ref="G182:Q184" si="88">G173/G161*100</f>
        <v>0.79928952042628776</v>
      </c>
      <c r="H182" s="453" t="e">
        <f>H173/H161*100</f>
        <v>#DIV/0!</v>
      </c>
      <c r="I182" s="453" t="e">
        <f t="shared" si="88"/>
        <v>#DIV/0!</v>
      </c>
      <c r="J182" s="453" t="e">
        <f t="shared" si="88"/>
        <v>#DIV/0!</v>
      </c>
      <c r="K182" s="453" t="e">
        <f t="shared" si="88"/>
        <v>#DIV/0!</v>
      </c>
      <c r="L182" s="453" t="e">
        <f t="shared" si="88"/>
        <v>#DIV/0!</v>
      </c>
      <c r="M182" s="453" t="e">
        <f t="shared" si="88"/>
        <v>#DIV/0!</v>
      </c>
      <c r="N182" s="453" t="e">
        <f t="shared" si="88"/>
        <v>#DIV/0!</v>
      </c>
      <c r="O182" s="453" t="e">
        <f t="shared" si="88"/>
        <v>#DIV/0!</v>
      </c>
      <c r="P182" s="453" t="e">
        <f t="shared" si="88"/>
        <v>#REF!</v>
      </c>
      <c r="Q182" s="453" t="e">
        <f t="shared" si="88"/>
        <v>#REF!</v>
      </c>
      <c r="R182" s="737"/>
      <c r="S182" s="61" t="e">
        <f>S173/S161*100</f>
        <v>#REF!</v>
      </c>
      <c r="T182" s="687" t="e">
        <f>T173/T161*100</f>
        <v>#REF!</v>
      </c>
      <c r="U182" s="791" t="e">
        <f>U173/U161*100</f>
        <v>#REF!</v>
      </c>
      <c r="W182" s="1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R182" s="65"/>
      <c r="AX182" s="1"/>
      <c r="BD182" s="146"/>
      <c r="BE182" s="146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CH182" s="146"/>
      <c r="DA182" s="1"/>
      <c r="DP182" s="5"/>
      <c r="DQ182" s="146"/>
      <c r="DR182" s="146"/>
      <c r="DS182" s="146"/>
      <c r="DT182" s="146"/>
      <c r="FW182" s="146"/>
      <c r="JR182" s="146"/>
      <c r="JS182" s="146"/>
      <c r="JT182" s="146"/>
      <c r="JU182" s="146"/>
      <c r="OY182" s="146"/>
      <c r="OZ182" s="146"/>
      <c r="PB182" s="146"/>
      <c r="PP182" s="149"/>
      <c r="PT182" s="146"/>
      <c r="RW182" s="149"/>
      <c r="AHF182" s="145"/>
      <c r="AIU182" s="145"/>
      <c r="AIV182" s="145"/>
      <c r="AIW182" s="145"/>
    </row>
    <row r="183" spans="2:933" hidden="1" x14ac:dyDescent="0.25">
      <c r="B183" s="749"/>
      <c r="C183" s="449" t="s">
        <v>26</v>
      </c>
      <c r="D183" s="476">
        <v>0.3</v>
      </c>
      <c r="E183" s="509" t="s">
        <v>25</v>
      </c>
      <c r="F183" s="453" t="e">
        <f>F174/F162*100</f>
        <v>#DIV/0!</v>
      </c>
      <c r="G183" s="453">
        <f t="shared" si="88"/>
        <v>1.6017880424660087</v>
      </c>
      <c r="H183" s="453" t="e">
        <f t="shared" si="88"/>
        <v>#DIV/0!</v>
      </c>
      <c r="I183" s="453" t="e">
        <f t="shared" si="88"/>
        <v>#DIV/0!</v>
      </c>
      <c r="J183" s="453" t="e">
        <f>J174/J162*100</f>
        <v>#DIV/0!</v>
      </c>
      <c r="K183" s="453" t="e">
        <f t="shared" si="88"/>
        <v>#DIV/0!</v>
      </c>
      <c r="L183" s="453" t="e">
        <f t="shared" si="88"/>
        <v>#DIV/0!</v>
      </c>
      <c r="M183" s="453" t="e">
        <f t="shared" si="88"/>
        <v>#DIV/0!</v>
      </c>
      <c r="N183" s="453" t="e">
        <f t="shared" si="88"/>
        <v>#DIV/0!</v>
      </c>
      <c r="O183" s="453" t="e">
        <f t="shared" si="88"/>
        <v>#DIV/0!</v>
      </c>
      <c r="P183" s="453" t="e">
        <f t="shared" si="88"/>
        <v>#REF!</v>
      </c>
      <c r="Q183" s="453" t="e">
        <f t="shared" si="88"/>
        <v>#DIV/0!</v>
      </c>
      <c r="R183" s="737"/>
      <c r="S183" s="61" t="e">
        <f>S174/S163*100</f>
        <v>#REF!</v>
      </c>
      <c r="T183" s="687" t="e">
        <f>T174/T163*100</f>
        <v>#REF!</v>
      </c>
      <c r="U183" s="791" t="e">
        <f>U174/U163*100</f>
        <v>#REF!</v>
      </c>
      <c r="W183" s="1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R183" s="65"/>
      <c r="AX183" s="1"/>
      <c r="BD183" s="146"/>
      <c r="BE183" s="146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CH183" s="146"/>
      <c r="DA183" s="1"/>
      <c r="DP183" s="5"/>
      <c r="DQ183" s="146"/>
      <c r="DR183" s="146"/>
      <c r="DS183" s="146"/>
      <c r="DT183" s="146"/>
      <c r="FW183" s="146"/>
      <c r="JR183" s="146"/>
      <c r="JS183" s="146"/>
      <c r="JT183" s="146"/>
      <c r="JU183" s="146"/>
      <c r="OY183" s="146"/>
      <c r="OZ183" s="146"/>
      <c r="PB183" s="146"/>
      <c r="PP183" s="149"/>
      <c r="PT183" s="146"/>
      <c r="RW183" s="149"/>
      <c r="AHF183" s="145"/>
      <c r="AIU183" s="145"/>
      <c r="AIV183" s="145"/>
      <c r="AIW183" s="145"/>
    </row>
    <row r="184" spans="2:933" hidden="1" x14ac:dyDescent="0.25">
      <c r="B184" s="749"/>
      <c r="C184" s="449" t="s">
        <v>37</v>
      </c>
      <c r="D184" s="476">
        <v>0.3</v>
      </c>
      <c r="E184" s="509" t="s">
        <v>25</v>
      </c>
      <c r="F184" s="453" t="e">
        <f>F175/F163*100</f>
        <v>#DIV/0!</v>
      </c>
      <c r="G184" s="453" t="e">
        <f t="shared" si="88"/>
        <v>#DIV/0!</v>
      </c>
      <c r="H184" s="453" t="e">
        <f t="shared" si="88"/>
        <v>#DIV/0!</v>
      </c>
      <c r="I184" s="453" t="e">
        <f t="shared" si="88"/>
        <v>#DIV/0!</v>
      </c>
      <c r="J184" s="453" t="e">
        <f t="shared" si="88"/>
        <v>#DIV/0!</v>
      </c>
      <c r="K184" s="453" t="e">
        <f t="shared" si="88"/>
        <v>#DIV/0!</v>
      </c>
      <c r="L184" s="453" t="e">
        <f t="shared" si="88"/>
        <v>#DIV/0!</v>
      </c>
      <c r="M184" s="453" t="e">
        <f t="shared" si="88"/>
        <v>#DIV/0!</v>
      </c>
      <c r="N184" s="453" t="e">
        <f t="shared" si="88"/>
        <v>#DIV/0!</v>
      </c>
      <c r="O184" s="453" t="e">
        <f t="shared" si="88"/>
        <v>#DIV/0!</v>
      </c>
      <c r="P184" s="453" t="e">
        <f t="shared" si="88"/>
        <v>#REF!</v>
      </c>
      <c r="Q184" s="453" t="e">
        <f t="shared" si="88"/>
        <v>#DIV/0!</v>
      </c>
      <c r="R184" s="737"/>
      <c r="S184" s="61"/>
      <c r="T184" s="687"/>
      <c r="U184" s="791"/>
      <c r="W184" s="1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R184" s="65"/>
      <c r="AX184" s="1"/>
      <c r="BD184" s="146"/>
      <c r="BE184" s="146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CH184" s="146"/>
      <c r="DA184" s="1"/>
      <c r="DP184" s="5"/>
      <c r="DQ184" s="146"/>
      <c r="DR184" s="146"/>
      <c r="DS184" s="146"/>
      <c r="DT184" s="146"/>
      <c r="FW184" s="146"/>
      <c r="JR184" s="146"/>
      <c r="JS184" s="146"/>
      <c r="JT184" s="146"/>
      <c r="JU184" s="146"/>
      <c r="OY184" s="146"/>
      <c r="OZ184" s="146"/>
      <c r="PB184" s="146"/>
      <c r="PP184" s="149"/>
      <c r="PT184" s="146"/>
      <c r="RW184" s="149"/>
      <c r="AHF184" s="145"/>
      <c r="AIU184" s="145"/>
      <c r="AIV184" s="145"/>
      <c r="AIW184" s="145"/>
    </row>
    <row r="185" spans="2:933" hidden="1" x14ac:dyDescent="0.25">
      <c r="B185" s="749"/>
      <c r="C185" s="582" t="s">
        <v>28</v>
      </c>
      <c r="D185" s="476"/>
      <c r="E185" s="477"/>
      <c r="F185" s="453"/>
      <c r="G185" s="453"/>
      <c r="H185" s="453"/>
      <c r="I185" s="453"/>
      <c r="J185" s="453"/>
      <c r="K185" s="453"/>
      <c r="L185" s="453"/>
      <c r="M185" s="453"/>
      <c r="N185" s="453"/>
      <c r="O185" s="453"/>
      <c r="P185" s="453"/>
      <c r="Q185" s="453"/>
      <c r="R185" s="737"/>
      <c r="S185" s="66" t="s">
        <v>28</v>
      </c>
      <c r="T185" s="706" t="s">
        <v>28</v>
      </c>
      <c r="U185" s="807" t="s">
        <v>28</v>
      </c>
      <c r="W185" s="1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R185" s="65"/>
      <c r="AX185" s="1"/>
      <c r="BD185" s="146"/>
      <c r="BE185" s="146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CH185" s="146"/>
      <c r="DA185" s="1"/>
      <c r="DP185" s="5"/>
      <c r="DQ185" s="146"/>
      <c r="DR185" s="146"/>
      <c r="DS185" s="146"/>
      <c r="DT185" s="146"/>
      <c r="FW185" s="146"/>
      <c r="JR185" s="146"/>
      <c r="JS185" s="146"/>
      <c r="JT185" s="146"/>
      <c r="JU185" s="146"/>
      <c r="OY185" s="146"/>
      <c r="OZ185" s="146"/>
      <c r="PB185" s="146"/>
      <c r="PP185" s="149"/>
      <c r="PT185" s="146"/>
      <c r="RW185" s="149"/>
      <c r="AHF185" s="145"/>
      <c r="AIU185" s="145"/>
      <c r="AIV185" s="145"/>
      <c r="AIW185" s="145"/>
    </row>
    <row r="186" spans="2:933" hidden="1" x14ac:dyDescent="0.25">
      <c r="B186" s="749"/>
      <c r="C186" s="449" t="s">
        <v>27</v>
      </c>
      <c r="D186" s="476">
        <v>0.5</v>
      </c>
      <c r="E186" s="509" t="s">
        <v>25</v>
      </c>
      <c r="F186" s="453" t="e">
        <f>F177/F165*100</f>
        <v>#DIV/0!</v>
      </c>
      <c r="G186" s="453">
        <f t="shared" ref="G186:Q188" si="89">G177/G165*100</f>
        <v>0</v>
      </c>
      <c r="H186" s="453" t="e">
        <f t="shared" si="89"/>
        <v>#DIV/0!</v>
      </c>
      <c r="I186" s="453" t="e">
        <f t="shared" si="89"/>
        <v>#DIV/0!</v>
      </c>
      <c r="J186" s="453" t="e">
        <f t="shared" si="89"/>
        <v>#DIV/0!</v>
      </c>
      <c r="K186" s="453" t="e">
        <f t="shared" si="89"/>
        <v>#DIV/0!</v>
      </c>
      <c r="L186" s="453" t="e">
        <f t="shared" si="89"/>
        <v>#DIV/0!</v>
      </c>
      <c r="M186" s="453" t="e">
        <f t="shared" si="89"/>
        <v>#DIV/0!</v>
      </c>
      <c r="N186" s="453" t="e">
        <f t="shared" si="89"/>
        <v>#DIV/0!</v>
      </c>
      <c r="O186" s="453" t="e">
        <f t="shared" si="89"/>
        <v>#DIV/0!</v>
      </c>
      <c r="P186" s="453" t="e">
        <f t="shared" si="89"/>
        <v>#REF!</v>
      </c>
      <c r="Q186" s="453" t="e">
        <f t="shared" si="89"/>
        <v>#REF!</v>
      </c>
      <c r="R186" s="737"/>
      <c r="S186" s="61" t="e">
        <f>S177/S165*100</f>
        <v>#REF!</v>
      </c>
      <c r="T186" s="687" t="e">
        <f>T177/T165*100</f>
        <v>#REF!</v>
      </c>
      <c r="U186" s="791" t="e">
        <f>U177/U165*100</f>
        <v>#REF!</v>
      </c>
      <c r="W186" s="1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R186" s="65"/>
      <c r="AX186" s="1"/>
      <c r="BD186" s="146"/>
      <c r="BE186" s="146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CH186" s="146"/>
      <c r="DA186" s="1"/>
      <c r="DP186" s="5"/>
      <c r="DQ186" s="146"/>
      <c r="DR186" s="146"/>
      <c r="DS186" s="146"/>
      <c r="DT186" s="146"/>
      <c r="FW186" s="146"/>
      <c r="JR186" s="146"/>
      <c r="JS186" s="146"/>
      <c r="JT186" s="146"/>
      <c r="JU186" s="146"/>
      <c r="OY186" s="146"/>
      <c r="OZ186" s="146"/>
      <c r="PB186" s="146"/>
      <c r="PP186" s="149"/>
      <c r="PT186" s="146"/>
      <c r="RW186" s="149"/>
      <c r="AHF186" s="145"/>
      <c r="AIU186" s="145"/>
      <c r="AIV186" s="145"/>
      <c r="AIW186" s="145"/>
    </row>
    <row r="187" spans="2:933" hidden="1" x14ac:dyDescent="0.25">
      <c r="B187" s="749"/>
      <c r="C187" s="449" t="s">
        <v>26</v>
      </c>
      <c r="D187" s="476">
        <v>0.5</v>
      </c>
      <c r="E187" s="509" t="s">
        <v>25</v>
      </c>
      <c r="F187" s="453" t="e">
        <f>F178/F166*100</f>
        <v>#DIV/0!</v>
      </c>
      <c r="G187" s="453">
        <f t="shared" si="89"/>
        <v>0</v>
      </c>
      <c r="H187" s="453" t="e">
        <f t="shared" si="89"/>
        <v>#DIV/0!</v>
      </c>
      <c r="I187" s="453" t="e">
        <f t="shared" si="89"/>
        <v>#DIV/0!</v>
      </c>
      <c r="J187" s="453" t="e">
        <f t="shared" si="89"/>
        <v>#DIV/0!</v>
      </c>
      <c r="K187" s="453" t="e">
        <f t="shared" si="89"/>
        <v>#DIV/0!</v>
      </c>
      <c r="L187" s="453" t="e">
        <f t="shared" si="89"/>
        <v>#DIV/0!</v>
      </c>
      <c r="M187" s="453" t="e">
        <f t="shared" si="89"/>
        <v>#DIV/0!</v>
      </c>
      <c r="N187" s="453" t="e">
        <f t="shared" si="89"/>
        <v>#DIV/0!</v>
      </c>
      <c r="O187" s="453" t="e">
        <f t="shared" si="89"/>
        <v>#DIV/0!</v>
      </c>
      <c r="P187" s="453" t="e">
        <f t="shared" si="89"/>
        <v>#REF!</v>
      </c>
      <c r="Q187" s="453" t="e">
        <f t="shared" si="89"/>
        <v>#DIV/0!</v>
      </c>
      <c r="R187" s="737"/>
      <c r="S187" s="61" t="e">
        <f>S178/S167*100</f>
        <v>#REF!</v>
      </c>
      <c r="T187" s="687" t="e">
        <f>T178/T167*100</f>
        <v>#REF!</v>
      </c>
      <c r="U187" s="791" t="e">
        <f>U178/U167*100</f>
        <v>#REF!</v>
      </c>
      <c r="W187" s="1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R187" s="65"/>
      <c r="AX187" s="1"/>
      <c r="BD187" s="146"/>
      <c r="BE187" s="146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CH187" s="146"/>
      <c r="DA187" s="1"/>
      <c r="DP187" s="5"/>
      <c r="DQ187" s="146"/>
      <c r="DR187" s="146"/>
      <c r="DS187" s="146"/>
      <c r="DT187" s="146"/>
      <c r="FW187" s="146"/>
      <c r="JR187" s="146"/>
      <c r="JS187" s="146"/>
      <c r="JT187" s="146"/>
      <c r="JU187" s="146"/>
      <c r="OY187" s="146"/>
      <c r="OZ187" s="146"/>
      <c r="PB187" s="146"/>
      <c r="PP187" s="149"/>
      <c r="PT187" s="146"/>
      <c r="RW187" s="149"/>
      <c r="AHF187" s="145"/>
      <c r="AIU187" s="145"/>
      <c r="AIV187" s="145"/>
      <c r="AIW187" s="145"/>
    </row>
    <row r="188" spans="2:933" hidden="1" x14ac:dyDescent="0.25">
      <c r="B188" s="749"/>
      <c r="C188" s="449" t="s">
        <v>37</v>
      </c>
      <c r="D188" s="476">
        <v>0.5</v>
      </c>
      <c r="E188" s="509" t="s">
        <v>25</v>
      </c>
      <c r="F188" s="453" t="e">
        <f>F179/F167*100</f>
        <v>#DIV/0!</v>
      </c>
      <c r="G188" s="453" t="e">
        <f t="shared" si="89"/>
        <v>#DIV/0!</v>
      </c>
      <c r="H188" s="453" t="e">
        <f t="shared" si="89"/>
        <v>#DIV/0!</v>
      </c>
      <c r="I188" s="453" t="e">
        <f t="shared" si="89"/>
        <v>#DIV/0!</v>
      </c>
      <c r="J188" s="453" t="e">
        <f t="shared" si="89"/>
        <v>#DIV/0!</v>
      </c>
      <c r="K188" s="453" t="e">
        <f t="shared" si="89"/>
        <v>#DIV/0!</v>
      </c>
      <c r="L188" s="453" t="e">
        <f t="shared" si="89"/>
        <v>#DIV/0!</v>
      </c>
      <c r="M188" s="453" t="e">
        <f t="shared" si="89"/>
        <v>#DIV/0!</v>
      </c>
      <c r="N188" s="453" t="e">
        <f t="shared" si="89"/>
        <v>#DIV/0!</v>
      </c>
      <c r="O188" s="453" t="e">
        <f t="shared" si="89"/>
        <v>#DIV/0!</v>
      </c>
      <c r="P188" s="453" t="e">
        <f t="shared" si="89"/>
        <v>#REF!</v>
      </c>
      <c r="Q188" s="453" t="e">
        <f t="shared" si="89"/>
        <v>#DIV/0!</v>
      </c>
      <c r="R188" s="737"/>
      <c r="S188" s="61"/>
      <c r="T188" s="687"/>
      <c r="U188" s="791"/>
      <c r="W188" s="1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R188" s="65"/>
      <c r="AX188" s="1"/>
      <c r="BD188" s="146"/>
      <c r="BE188" s="146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CH188" s="146"/>
      <c r="DA188" s="1"/>
      <c r="DP188" s="5"/>
      <c r="DQ188" s="146"/>
      <c r="DR188" s="146"/>
      <c r="DS188" s="146"/>
      <c r="DT188" s="146"/>
      <c r="FW188" s="146"/>
      <c r="JR188" s="146"/>
      <c r="JS188" s="146"/>
      <c r="JT188" s="146"/>
      <c r="JU188" s="146"/>
      <c r="OY188" s="146"/>
      <c r="OZ188" s="146"/>
      <c r="PB188" s="146"/>
      <c r="PP188" s="149"/>
      <c r="PT188" s="146"/>
      <c r="RW188" s="149"/>
      <c r="AHF188" s="145"/>
      <c r="AIU188" s="145"/>
      <c r="AIV188" s="145"/>
      <c r="AIW188" s="145"/>
    </row>
    <row r="189" spans="2:933" hidden="1" x14ac:dyDescent="0.25">
      <c r="B189" s="749"/>
      <c r="C189" s="604" t="s">
        <v>88</v>
      </c>
      <c r="D189" s="605"/>
      <c r="E189" s="601"/>
      <c r="F189" s="606"/>
      <c r="G189" s="606"/>
      <c r="H189" s="606"/>
      <c r="I189" s="606"/>
      <c r="J189" s="606"/>
      <c r="K189" s="606"/>
      <c r="L189" s="606"/>
      <c r="M189" s="606"/>
      <c r="N189" s="606"/>
      <c r="O189" s="606"/>
      <c r="P189" s="606"/>
      <c r="Q189" s="606"/>
      <c r="R189" s="737"/>
      <c r="S189" s="535" t="s">
        <v>130</v>
      </c>
      <c r="T189" s="695" t="s">
        <v>130</v>
      </c>
      <c r="U189" s="798" t="s">
        <v>130</v>
      </c>
      <c r="W189" s="1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R189" s="65"/>
      <c r="AX189" s="1"/>
      <c r="BD189" s="146"/>
      <c r="BE189" s="146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CH189" s="146"/>
      <c r="DA189" s="1"/>
      <c r="DP189" s="5"/>
      <c r="DQ189" s="146"/>
      <c r="DR189" s="146"/>
      <c r="DS189" s="146"/>
      <c r="DT189" s="146"/>
      <c r="FW189" s="146"/>
      <c r="JR189" s="146"/>
      <c r="JS189" s="146"/>
      <c r="JT189" s="146"/>
      <c r="JU189" s="146"/>
      <c r="OY189" s="146"/>
      <c r="OZ189" s="146"/>
      <c r="PB189" s="146"/>
      <c r="PP189" s="149"/>
      <c r="PT189" s="146"/>
      <c r="RW189" s="149"/>
      <c r="AHF189" s="145"/>
      <c r="AIU189" s="145"/>
      <c r="AIV189" s="145"/>
      <c r="AIW189" s="145"/>
    </row>
    <row r="190" spans="2:933" hidden="1" x14ac:dyDescent="0.25">
      <c r="B190" s="749"/>
      <c r="C190" s="607" t="s">
        <v>93</v>
      </c>
      <c r="D190" s="476"/>
      <c r="E190" s="20" t="s">
        <v>14</v>
      </c>
      <c r="F190" s="603">
        <f>'[22]Januari 24'!AL184</f>
        <v>356139</v>
      </c>
      <c r="G190" s="603">
        <f>'[22]Februari 24'!AL184</f>
        <v>0</v>
      </c>
      <c r="H190" s="603">
        <f>'[22]Maret 24'!AL184</f>
        <v>0</v>
      </c>
      <c r="I190" s="603">
        <f>'[22]April 24'!AL184</f>
        <v>0</v>
      </c>
      <c r="J190" s="603">
        <f>'[22]Mei 24'!AL184</f>
        <v>0</v>
      </c>
      <c r="K190" s="603">
        <f>'[22]Juny 24'!AL184</f>
        <v>0</v>
      </c>
      <c r="L190" s="603">
        <f>'[22]July 24'!AL184</f>
        <v>0</v>
      </c>
      <c r="M190" s="603">
        <f>'[22]Agustus 24'!AL184</f>
        <v>0</v>
      </c>
      <c r="N190" s="603">
        <f>'[22]September 24'!AL184</f>
        <v>0</v>
      </c>
      <c r="O190" s="603">
        <f>'[22]Oktober 24'!AL184</f>
        <v>0</v>
      </c>
      <c r="P190" s="603">
        <f>'[22]November 24'!AL184</f>
        <v>0</v>
      </c>
      <c r="Q190" s="603">
        <f>'[22]Desember 24'!AL184</f>
        <v>0</v>
      </c>
      <c r="R190" s="737"/>
      <c r="S190" s="92">
        <f>SUM(F190:Q190)</f>
        <v>356139</v>
      </c>
      <c r="T190" s="704">
        <f>SUM(G190:R190)</f>
        <v>0</v>
      </c>
      <c r="U190" s="809">
        <f>SUM(H190:S190)</f>
        <v>356139</v>
      </c>
      <c r="W190" s="1"/>
      <c r="X190" s="65"/>
      <c r="Y190" s="529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R190" s="65"/>
      <c r="AX190" s="1"/>
      <c r="BD190" s="146"/>
      <c r="BE190" s="146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CH190" s="146"/>
      <c r="DA190" s="1"/>
      <c r="DP190" s="5"/>
      <c r="DQ190" s="146"/>
      <c r="DR190" s="146"/>
      <c r="DS190" s="146"/>
      <c r="DT190" s="146"/>
      <c r="FW190" s="146"/>
      <c r="JR190" s="146"/>
      <c r="JS190" s="146"/>
      <c r="JT190" s="146"/>
      <c r="JU190" s="146"/>
      <c r="OY190" s="146"/>
      <c r="OZ190" s="146"/>
      <c r="PB190" s="146"/>
      <c r="PP190" s="149"/>
      <c r="PT190" s="146"/>
      <c r="RW190" s="149"/>
      <c r="AHF190" s="145"/>
      <c r="AIU190" s="145"/>
      <c r="AIV190" s="145"/>
      <c r="AIW190" s="145"/>
    </row>
    <row r="191" spans="2:933" hidden="1" x14ac:dyDescent="0.25">
      <c r="B191" s="749"/>
      <c r="C191" s="607" t="s">
        <v>94</v>
      </c>
      <c r="D191" s="476"/>
      <c r="E191" s="20" t="s">
        <v>14</v>
      </c>
      <c r="F191" s="603">
        <f>'[22]Januari 24'!AL185</f>
        <v>364427.63</v>
      </c>
      <c r="G191" s="603" t="e">
        <f>'[22]Februari 24'!AI179</f>
        <v>#REF!</v>
      </c>
      <c r="H191" s="603">
        <f>'[22]Maret 24'!AL185</f>
        <v>0</v>
      </c>
      <c r="I191" s="603">
        <f>'[22]April 24'!AL185</f>
        <v>0</v>
      </c>
      <c r="J191" s="603">
        <f>'[22]Mei 24'!AL185</f>
        <v>0</v>
      </c>
      <c r="K191" s="603">
        <f>'[22]Juny 24'!AL185</f>
        <v>0</v>
      </c>
      <c r="L191" s="603">
        <f>'[22]July 24'!AL185</f>
        <v>0</v>
      </c>
      <c r="M191" s="603">
        <f>'[22]Agustus 24'!AL185</f>
        <v>0</v>
      </c>
      <c r="N191" s="603">
        <f>'[22]September 24'!AL185</f>
        <v>0</v>
      </c>
      <c r="O191" s="603">
        <f>'[22]Oktober 24'!AL185</f>
        <v>0</v>
      </c>
      <c r="P191" s="603">
        <f>'[22]November 24'!AL185</f>
        <v>0</v>
      </c>
      <c r="Q191" s="603">
        <f>'[22]Desember 24'!AL185</f>
        <v>0</v>
      </c>
      <c r="R191" s="737"/>
      <c r="S191" s="92" t="e">
        <f>SUM(S192:S193)</f>
        <v>#REF!</v>
      </c>
      <c r="T191" s="704" t="e">
        <f>SUM(T192:T193)</f>
        <v>#REF!</v>
      </c>
      <c r="U191" s="809" t="e">
        <f>SUM(U192:U193)</f>
        <v>#REF!</v>
      </c>
      <c r="W191" s="1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R191" s="65"/>
      <c r="AX191" s="1"/>
      <c r="BD191" s="146"/>
      <c r="BE191" s="146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CH191" s="146"/>
      <c r="DA191" s="1"/>
      <c r="DP191" s="5"/>
      <c r="DQ191" s="146"/>
      <c r="DR191" s="146"/>
      <c r="DS191" s="146"/>
      <c r="DT191" s="146"/>
      <c r="FW191" s="146"/>
      <c r="JR191" s="146"/>
      <c r="JS191" s="146"/>
      <c r="JT191" s="146"/>
      <c r="JU191" s="146"/>
      <c r="OY191" s="146"/>
      <c r="OZ191" s="146"/>
      <c r="PB191" s="146"/>
      <c r="PP191" s="149"/>
      <c r="PT191" s="146"/>
      <c r="RW191" s="149"/>
      <c r="AHF191" s="145"/>
      <c r="AIU191" s="145"/>
      <c r="AIV191" s="145"/>
      <c r="AIW191" s="145"/>
    </row>
    <row r="192" spans="2:933" hidden="1" x14ac:dyDescent="0.25">
      <c r="B192" s="749"/>
      <c r="C192" s="608" t="s">
        <v>39</v>
      </c>
      <c r="D192" s="476"/>
      <c r="E192" s="509" t="s">
        <v>14</v>
      </c>
      <c r="F192" s="591">
        <f>SUM(F196:F197)*10.83</f>
        <v>364007.13</v>
      </c>
      <c r="G192" s="591">
        <f>SUM(G196:G197)*10.83</f>
        <v>162.44999999999999</v>
      </c>
      <c r="H192" s="591">
        <f>'[22]Maret 24'!AL186</f>
        <v>0</v>
      </c>
      <c r="I192" s="591">
        <f t="shared" ref="I192:Q192" si="90">SUM(I196:I197)*10.83</f>
        <v>0</v>
      </c>
      <c r="J192" s="591">
        <f t="shared" si="90"/>
        <v>0</v>
      </c>
      <c r="K192" s="591">
        <f t="shared" si="90"/>
        <v>0</v>
      </c>
      <c r="L192" s="591">
        <f t="shared" si="90"/>
        <v>0</v>
      </c>
      <c r="M192" s="591">
        <f t="shared" si="90"/>
        <v>0</v>
      </c>
      <c r="N192" s="591">
        <f t="shared" si="90"/>
        <v>0</v>
      </c>
      <c r="O192" s="591">
        <f t="shared" si="90"/>
        <v>0</v>
      </c>
      <c r="P192" s="591">
        <f t="shared" si="90"/>
        <v>0</v>
      </c>
      <c r="Q192" s="591">
        <f t="shared" si="90"/>
        <v>0</v>
      </c>
      <c r="R192" s="737"/>
      <c r="S192" s="61">
        <f>SUM(F192:Q192)</f>
        <v>364169.58</v>
      </c>
      <c r="T192" s="687">
        <f t="shared" ref="S192:U193" si="91">SUM(G192:R192)</f>
        <v>162.44999999999999</v>
      </c>
      <c r="U192" s="791">
        <f t="shared" si="91"/>
        <v>364169.58</v>
      </c>
      <c r="W192" s="1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R192" s="65"/>
      <c r="AX192" s="1"/>
      <c r="BD192" s="146"/>
      <c r="BE192" s="146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CH192" s="146"/>
      <c r="DA192" s="1"/>
      <c r="DP192" s="5"/>
      <c r="DQ192" s="146"/>
      <c r="DR192" s="146"/>
      <c r="DS192" s="146"/>
      <c r="DT192" s="146"/>
      <c r="FW192" s="146"/>
      <c r="JR192" s="146"/>
      <c r="JS192" s="146"/>
      <c r="JT192" s="146"/>
      <c r="JU192" s="146"/>
      <c r="OY192" s="146"/>
      <c r="OZ192" s="146"/>
      <c r="PB192" s="146"/>
      <c r="PP192" s="149"/>
      <c r="PT192" s="146"/>
      <c r="RW192" s="149"/>
      <c r="AHF192" s="145"/>
      <c r="AIU192" s="145"/>
      <c r="AIV192" s="145"/>
      <c r="AIW192" s="145"/>
    </row>
    <row r="193" spans="2:933" hidden="1" x14ac:dyDescent="0.25">
      <c r="B193" s="749"/>
      <c r="C193" s="608" t="s">
        <v>38</v>
      </c>
      <c r="D193" s="476"/>
      <c r="E193" s="509" t="s">
        <v>14</v>
      </c>
      <c r="F193" s="591">
        <f>F191-F192</f>
        <v>420.5</v>
      </c>
      <c r="G193" s="591" t="e">
        <f>G191-G192</f>
        <v>#REF!</v>
      </c>
      <c r="H193" s="591">
        <f>'[22]Maret 24'!AL187</f>
        <v>0</v>
      </c>
      <c r="I193" s="591">
        <f t="shared" ref="I193:Q193" si="92">I191-I192</f>
        <v>0</v>
      </c>
      <c r="J193" s="591">
        <f t="shared" si="92"/>
        <v>0</v>
      </c>
      <c r="K193" s="591">
        <f t="shared" si="92"/>
        <v>0</v>
      </c>
      <c r="L193" s="591">
        <f t="shared" si="92"/>
        <v>0</v>
      </c>
      <c r="M193" s="591">
        <f>M191-M192</f>
        <v>0</v>
      </c>
      <c r="N193" s="591">
        <f t="shared" si="92"/>
        <v>0</v>
      </c>
      <c r="O193" s="591">
        <f t="shared" si="92"/>
        <v>0</v>
      </c>
      <c r="P193" s="591">
        <f t="shared" si="92"/>
        <v>0</v>
      </c>
      <c r="Q193" s="591">
        <f t="shared" si="92"/>
        <v>0</v>
      </c>
      <c r="R193" s="737"/>
      <c r="S193" s="61" t="e">
        <f t="shared" si="91"/>
        <v>#REF!</v>
      </c>
      <c r="T193" s="687" t="e">
        <f t="shared" si="91"/>
        <v>#REF!</v>
      </c>
      <c r="U193" s="791" t="e">
        <f t="shared" si="91"/>
        <v>#REF!</v>
      </c>
      <c r="W193" s="1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R193" s="65"/>
      <c r="AX193" s="1"/>
      <c r="BD193" s="146"/>
      <c r="BE193" s="146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CH193" s="146"/>
      <c r="DA193" s="1"/>
      <c r="DP193" s="5"/>
      <c r="DQ193" s="146"/>
      <c r="DR193" s="146"/>
      <c r="DS193" s="146"/>
      <c r="DT193" s="146"/>
      <c r="FW193" s="146"/>
      <c r="JR193" s="146"/>
      <c r="JS193" s="146"/>
      <c r="JT193" s="146"/>
      <c r="JU193" s="146"/>
      <c r="OY193" s="146"/>
      <c r="OZ193" s="146"/>
      <c r="PB193" s="146"/>
      <c r="PP193" s="149"/>
      <c r="PT193" s="146"/>
      <c r="RW193" s="149"/>
      <c r="AHF193" s="145"/>
      <c r="AIU193" s="145"/>
      <c r="AIV193" s="145"/>
      <c r="AIW193" s="145"/>
    </row>
    <row r="194" spans="2:933" hidden="1" x14ac:dyDescent="0.25">
      <c r="B194" s="749"/>
      <c r="C194" s="609" t="s">
        <v>50</v>
      </c>
      <c r="D194" s="476"/>
      <c r="E194" s="509" t="s">
        <v>14</v>
      </c>
      <c r="F194" s="591"/>
      <c r="G194" s="591"/>
      <c r="H194" s="591">
        <f>'[22]Maret 24'!AL188</f>
        <v>0</v>
      </c>
      <c r="I194" s="591"/>
      <c r="J194" s="591"/>
      <c r="K194" s="591"/>
      <c r="L194" s="591"/>
      <c r="M194" s="591"/>
      <c r="N194" s="591"/>
      <c r="O194" s="591"/>
      <c r="P194" s="591"/>
      <c r="Q194" s="591"/>
      <c r="R194" s="737"/>
      <c r="S194" s="61"/>
      <c r="T194" s="687"/>
      <c r="U194" s="791"/>
      <c r="W194" s="1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R194" s="65"/>
      <c r="AX194" s="1"/>
      <c r="BD194" s="146"/>
      <c r="BE194" s="146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CH194" s="146"/>
      <c r="DA194" s="1"/>
      <c r="DP194" s="5"/>
      <c r="DQ194" s="146"/>
      <c r="DR194" s="146"/>
      <c r="DS194" s="146"/>
      <c r="DT194" s="146"/>
      <c r="FW194" s="146"/>
      <c r="JR194" s="146"/>
      <c r="JS194" s="146"/>
      <c r="JT194" s="146"/>
      <c r="JU194" s="146"/>
      <c r="OY194" s="146"/>
      <c r="OZ194" s="146"/>
      <c r="PB194" s="146"/>
      <c r="PP194" s="149"/>
      <c r="PT194" s="146"/>
      <c r="RW194" s="149"/>
      <c r="AHF194" s="145"/>
      <c r="AIU194" s="145"/>
      <c r="AIV194" s="145"/>
      <c r="AIW194" s="145"/>
    </row>
    <row r="195" spans="2:933" hidden="1" x14ac:dyDescent="0.25">
      <c r="B195" s="749"/>
      <c r="C195" s="608" t="s">
        <v>29</v>
      </c>
      <c r="D195" s="476"/>
      <c r="E195" s="509"/>
      <c r="F195" s="453"/>
      <c r="G195" s="453"/>
      <c r="H195" s="453"/>
      <c r="I195" s="453"/>
      <c r="J195" s="453"/>
      <c r="K195" s="453"/>
      <c r="L195" s="453"/>
      <c r="M195" s="453"/>
      <c r="N195" s="453"/>
      <c r="O195" s="453"/>
      <c r="P195" s="453"/>
      <c r="Q195" s="453"/>
      <c r="R195" s="737"/>
      <c r="S195" s="61"/>
      <c r="T195" s="687"/>
      <c r="U195" s="791"/>
      <c r="W195" s="1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R195" s="65"/>
      <c r="AX195" s="1"/>
      <c r="BD195" s="146"/>
      <c r="BE195" s="146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CH195" s="146"/>
      <c r="DA195" s="1"/>
      <c r="DP195" s="5"/>
      <c r="DQ195" s="146"/>
      <c r="DR195" s="146"/>
      <c r="DS195" s="146"/>
      <c r="DT195" s="146"/>
      <c r="FW195" s="146"/>
      <c r="JR195" s="146"/>
      <c r="JS195" s="146"/>
      <c r="JT195" s="146"/>
      <c r="JU195" s="146"/>
      <c r="OY195" s="146"/>
      <c r="OZ195" s="146"/>
      <c r="PB195" s="146"/>
      <c r="PP195" s="149"/>
      <c r="PT195" s="146"/>
      <c r="RW195" s="149"/>
      <c r="AHF195" s="145"/>
      <c r="AIU195" s="145"/>
      <c r="AIV195" s="145"/>
      <c r="AIW195" s="145"/>
    </row>
    <row r="196" spans="2:933" hidden="1" x14ac:dyDescent="0.25">
      <c r="B196" s="749"/>
      <c r="C196" s="608" t="s">
        <v>89</v>
      </c>
      <c r="D196" s="476"/>
      <c r="E196" s="509" t="s">
        <v>31</v>
      </c>
      <c r="F196" s="610">
        <f>'[22]Januari 24'!AL190</f>
        <v>25527</v>
      </c>
      <c r="G196" s="610">
        <f>'[22]Februari 24'!AL190</f>
        <v>15</v>
      </c>
      <c r="H196" s="610">
        <f>'[22]Maret 24'!AL190</f>
        <v>0</v>
      </c>
      <c r="I196" s="610">
        <f>'[22]April 24'!AL190</f>
        <v>0</v>
      </c>
      <c r="J196" s="610">
        <f>'[22]Mei 24'!AL190</f>
        <v>0</v>
      </c>
      <c r="K196" s="610">
        <f>'[22]Juny 24'!AL190</f>
        <v>0</v>
      </c>
      <c r="L196" s="610">
        <f>'[22]July 24'!AL190</f>
        <v>0</v>
      </c>
      <c r="M196" s="610">
        <f>'[22]Agustus 24'!AL190</f>
        <v>0</v>
      </c>
      <c r="N196" s="610">
        <f>'[22]September 24'!AL190</f>
        <v>0</v>
      </c>
      <c r="O196" s="610">
        <f>'[22]Oktober 24'!AL190</f>
        <v>0</v>
      </c>
      <c r="P196" s="610">
        <f>'[22]November 24'!AL190</f>
        <v>0</v>
      </c>
      <c r="Q196" s="610">
        <f>'[22]Desember 24'!AL190</f>
        <v>0</v>
      </c>
      <c r="R196" s="737"/>
      <c r="S196" s="94">
        <f>SUM(F196:Q196)</f>
        <v>25542</v>
      </c>
      <c r="T196" s="687">
        <v>2048803</v>
      </c>
      <c r="U196" s="791"/>
      <c r="W196" s="1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R196" s="65"/>
      <c r="AX196" s="1"/>
      <c r="BD196" s="146"/>
      <c r="BE196" s="146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CH196" s="146"/>
      <c r="DA196" s="1"/>
      <c r="DP196" s="5"/>
      <c r="DQ196" s="146"/>
      <c r="DR196" s="146"/>
      <c r="DS196" s="146"/>
      <c r="DT196" s="146"/>
      <c r="FW196" s="146"/>
      <c r="JR196" s="146"/>
      <c r="JS196" s="146"/>
      <c r="JT196" s="146"/>
      <c r="JU196" s="146"/>
      <c r="OY196" s="146"/>
      <c r="OZ196" s="146"/>
      <c r="PB196" s="146"/>
      <c r="PP196" s="149"/>
      <c r="PT196" s="146"/>
      <c r="RW196" s="149"/>
      <c r="AHF196" s="145"/>
      <c r="AIU196" s="145"/>
      <c r="AIV196" s="145"/>
      <c r="AIW196" s="145"/>
    </row>
    <row r="197" spans="2:933" hidden="1" x14ac:dyDescent="0.25">
      <c r="B197" s="749"/>
      <c r="C197" s="608" t="s">
        <v>117</v>
      </c>
      <c r="D197" s="476"/>
      <c r="E197" s="509" t="s">
        <v>31</v>
      </c>
      <c r="F197" s="610">
        <f>'[22]Januari 24'!AL191</f>
        <v>8084</v>
      </c>
      <c r="G197" s="610">
        <f>'[22]Februari 24'!AL191</f>
        <v>0</v>
      </c>
      <c r="H197" s="610">
        <f>'[22]Maret 24'!AL191</f>
        <v>0</v>
      </c>
      <c r="I197" s="610">
        <f>'[22]April 24'!AL191</f>
        <v>0</v>
      </c>
      <c r="J197" s="610">
        <f>'[22]Mei 24'!AL191</f>
        <v>0</v>
      </c>
      <c r="K197" s="610">
        <f>'[22]Juny 24'!AL191</f>
        <v>0</v>
      </c>
      <c r="L197" s="610">
        <f>'[22]July 24'!AL191</f>
        <v>0</v>
      </c>
      <c r="M197" s="610">
        <f>'[22]Agustus 24'!AL191</f>
        <v>0</v>
      </c>
      <c r="N197" s="610">
        <f>'[22]September 24'!AL191</f>
        <v>0</v>
      </c>
      <c r="O197" s="610">
        <f>'[22]Oktober 24'!AL191</f>
        <v>0</v>
      </c>
      <c r="P197" s="610">
        <f>'[22]November 24'!AL191</f>
        <v>0</v>
      </c>
      <c r="Q197" s="610">
        <f>'[22]Desember 24'!AL191</f>
        <v>0</v>
      </c>
      <c r="R197" s="737"/>
      <c r="S197" s="94">
        <f>SUM(F197:Q197)</f>
        <v>8084</v>
      </c>
      <c r="T197" s="687"/>
      <c r="U197" s="791"/>
      <c r="W197" s="1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R197" s="65"/>
      <c r="AX197" s="1"/>
      <c r="BD197" s="146"/>
      <c r="BE197" s="146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CH197" s="146"/>
      <c r="DA197" s="1"/>
      <c r="DP197" s="5"/>
      <c r="DQ197" s="146"/>
      <c r="DR197" s="146"/>
      <c r="DS197" s="146"/>
      <c r="DT197" s="146"/>
      <c r="FW197" s="146"/>
      <c r="JR197" s="146"/>
      <c r="JS197" s="146"/>
      <c r="JT197" s="146"/>
      <c r="JU197" s="146"/>
      <c r="OY197" s="146"/>
      <c r="OZ197" s="146"/>
      <c r="PB197" s="146"/>
      <c r="PP197" s="149"/>
      <c r="PT197" s="146"/>
      <c r="RW197" s="149"/>
      <c r="AHF197" s="145"/>
      <c r="AIU197" s="145"/>
      <c r="AIV197" s="145"/>
      <c r="AIW197" s="145"/>
    </row>
    <row r="198" spans="2:933" hidden="1" x14ac:dyDescent="0.25">
      <c r="B198" s="749"/>
      <c r="C198" s="608" t="s">
        <v>28</v>
      </c>
      <c r="D198" s="476"/>
      <c r="E198" s="509"/>
      <c r="F198" s="453"/>
      <c r="G198" s="453"/>
      <c r="H198" s="453"/>
      <c r="I198" s="453"/>
      <c r="J198" s="453"/>
      <c r="K198" s="453"/>
      <c r="L198" s="453"/>
      <c r="M198" s="453"/>
      <c r="N198" s="453"/>
      <c r="O198" s="453"/>
      <c r="P198" s="453"/>
      <c r="Q198" s="453"/>
      <c r="R198" s="737"/>
      <c r="S198" s="61"/>
      <c r="T198" s="687"/>
      <c r="U198" s="791"/>
      <c r="W198" s="1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R198" s="65"/>
      <c r="AX198" s="1"/>
      <c r="BD198" s="146"/>
      <c r="BE198" s="146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CH198" s="146"/>
      <c r="DA198" s="1"/>
      <c r="DP198" s="5"/>
      <c r="DQ198" s="146"/>
      <c r="DR198" s="146"/>
      <c r="DS198" s="146"/>
      <c r="DT198" s="146"/>
      <c r="FW198" s="146"/>
      <c r="JR198" s="146"/>
      <c r="JS198" s="146"/>
      <c r="JT198" s="146"/>
      <c r="JU198" s="146"/>
      <c r="OY198" s="146"/>
      <c r="OZ198" s="146"/>
      <c r="PB198" s="146"/>
      <c r="PP198" s="149"/>
      <c r="PT198" s="146"/>
      <c r="RW198" s="149"/>
      <c r="AHF198" s="145"/>
      <c r="AIU198" s="145"/>
      <c r="AIV198" s="145"/>
      <c r="AIW198" s="145"/>
    </row>
    <row r="199" spans="2:933" hidden="1" x14ac:dyDescent="0.25">
      <c r="B199" s="749"/>
      <c r="C199" s="608" t="s">
        <v>117</v>
      </c>
      <c r="D199" s="476"/>
      <c r="E199" s="509" t="s">
        <v>28</v>
      </c>
      <c r="F199" s="611">
        <f t="shared" ref="F199:Q200" si="93">F196*12</f>
        <v>306324</v>
      </c>
      <c r="G199" s="611">
        <f t="shared" si="93"/>
        <v>180</v>
      </c>
      <c r="H199" s="611">
        <f t="shared" si="93"/>
        <v>0</v>
      </c>
      <c r="I199" s="611">
        <f t="shared" si="93"/>
        <v>0</v>
      </c>
      <c r="J199" s="611">
        <f t="shared" si="93"/>
        <v>0</v>
      </c>
      <c r="K199" s="611">
        <f t="shared" si="93"/>
        <v>0</v>
      </c>
      <c r="L199" s="611">
        <f t="shared" si="93"/>
        <v>0</v>
      </c>
      <c r="M199" s="611">
        <f t="shared" si="93"/>
        <v>0</v>
      </c>
      <c r="N199" s="611">
        <f t="shared" si="93"/>
        <v>0</v>
      </c>
      <c r="O199" s="611">
        <f t="shared" si="93"/>
        <v>0</v>
      </c>
      <c r="P199" s="611">
        <f t="shared" si="93"/>
        <v>0</v>
      </c>
      <c r="Q199" s="611">
        <f t="shared" si="93"/>
        <v>0</v>
      </c>
      <c r="R199" s="737"/>
      <c r="S199" s="94">
        <f>SUM(F199:Q199)</f>
        <v>306504</v>
      </c>
      <c r="T199" s="687"/>
      <c r="U199" s="791"/>
      <c r="W199" s="1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R199" s="65"/>
      <c r="AX199" s="1"/>
      <c r="BD199" s="146"/>
      <c r="BE199" s="146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CH199" s="146"/>
      <c r="DA199" s="1"/>
      <c r="DP199" s="5"/>
      <c r="DQ199" s="146"/>
      <c r="DR199" s="146"/>
      <c r="DS199" s="146"/>
      <c r="DT199" s="146"/>
      <c r="FW199" s="146"/>
      <c r="JR199" s="146"/>
      <c r="JS199" s="146"/>
      <c r="JT199" s="146"/>
      <c r="JU199" s="146"/>
      <c r="OY199" s="146"/>
      <c r="OZ199" s="146"/>
      <c r="PB199" s="146"/>
      <c r="PP199" s="149"/>
      <c r="PT199" s="146"/>
      <c r="RW199" s="149"/>
      <c r="AHF199" s="145"/>
      <c r="AIU199" s="145"/>
      <c r="AIV199" s="145"/>
      <c r="AIW199" s="145"/>
    </row>
    <row r="200" spans="2:933" hidden="1" x14ac:dyDescent="0.25">
      <c r="B200" s="749"/>
      <c r="C200" s="608" t="s">
        <v>89</v>
      </c>
      <c r="D200" s="476"/>
      <c r="E200" s="509" t="s">
        <v>28</v>
      </c>
      <c r="F200" s="611"/>
      <c r="G200" s="611">
        <f>G197*12</f>
        <v>0</v>
      </c>
      <c r="H200" s="611">
        <f t="shared" si="93"/>
        <v>0</v>
      </c>
      <c r="I200" s="611">
        <f t="shared" si="93"/>
        <v>0</v>
      </c>
      <c r="J200" s="611">
        <f t="shared" si="93"/>
        <v>0</v>
      </c>
      <c r="K200" s="611">
        <f t="shared" si="93"/>
        <v>0</v>
      </c>
      <c r="L200" s="611">
        <f t="shared" si="93"/>
        <v>0</v>
      </c>
      <c r="M200" s="611">
        <f t="shared" si="93"/>
        <v>0</v>
      </c>
      <c r="N200" s="611">
        <f t="shared" si="93"/>
        <v>0</v>
      </c>
      <c r="O200" s="611">
        <f t="shared" si="93"/>
        <v>0</v>
      </c>
      <c r="P200" s="611">
        <f t="shared" si="93"/>
        <v>0</v>
      </c>
      <c r="Q200" s="611">
        <f t="shared" si="93"/>
        <v>0</v>
      </c>
      <c r="R200" s="737"/>
      <c r="S200" s="94">
        <f>SUM(F200:Q200)</f>
        <v>0</v>
      </c>
      <c r="T200" s="687"/>
      <c r="U200" s="791"/>
      <c r="W200" s="1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R200" s="65"/>
      <c r="AX200" s="1"/>
      <c r="BD200" s="146"/>
      <c r="BE200" s="146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CH200" s="146"/>
      <c r="DA200" s="1"/>
      <c r="DP200" s="5"/>
      <c r="DQ200" s="146"/>
      <c r="DR200" s="146"/>
      <c r="DS200" s="146"/>
      <c r="DT200" s="146"/>
      <c r="FW200" s="146"/>
      <c r="JR200" s="146"/>
      <c r="JS200" s="146"/>
      <c r="JT200" s="146"/>
      <c r="JU200" s="146"/>
      <c r="OY200" s="146"/>
      <c r="OZ200" s="146"/>
      <c r="PB200" s="146"/>
      <c r="PP200" s="149"/>
      <c r="PT200" s="146"/>
      <c r="RW200" s="149"/>
      <c r="AHF200" s="145"/>
      <c r="AIU200" s="145"/>
      <c r="AIV200" s="145"/>
      <c r="AIW200" s="145"/>
    </row>
    <row r="201" spans="2:933" hidden="1" x14ac:dyDescent="0.25">
      <c r="B201" s="749"/>
      <c r="C201" s="608" t="s">
        <v>36</v>
      </c>
      <c r="D201" s="476"/>
      <c r="E201" s="509"/>
      <c r="F201" s="611">
        <f t="shared" ref="F201:Q201" si="94">F196*45/1700</f>
        <v>675.71470588235297</v>
      </c>
      <c r="G201" s="611">
        <f t="shared" si="94"/>
        <v>0.39705882352941174</v>
      </c>
      <c r="H201" s="611">
        <f t="shared" si="94"/>
        <v>0</v>
      </c>
      <c r="I201" s="611">
        <f t="shared" si="94"/>
        <v>0</v>
      </c>
      <c r="J201" s="611">
        <f t="shared" si="94"/>
        <v>0</v>
      </c>
      <c r="K201" s="611">
        <f t="shared" si="94"/>
        <v>0</v>
      </c>
      <c r="L201" s="611">
        <f t="shared" si="94"/>
        <v>0</v>
      </c>
      <c r="M201" s="611">
        <f t="shared" si="94"/>
        <v>0</v>
      </c>
      <c r="N201" s="611">
        <f t="shared" si="94"/>
        <v>0</v>
      </c>
      <c r="O201" s="611">
        <f t="shared" si="94"/>
        <v>0</v>
      </c>
      <c r="P201" s="611">
        <f t="shared" si="94"/>
        <v>0</v>
      </c>
      <c r="Q201" s="611">
        <f t="shared" si="94"/>
        <v>0</v>
      </c>
      <c r="R201" s="737"/>
      <c r="S201" s="94">
        <f>SUM(F201:Q201)</f>
        <v>676.11176470588236</v>
      </c>
      <c r="T201" s="687"/>
      <c r="U201" s="791"/>
      <c r="W201" s="1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R201" s="65"/>
      <c r="AX201" s="1"/>
      <c r="BD201" s="146"/>
      <c r="BE201" s="146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CH201" s="146"/>
      <c r="DA201" s="1"/>
      <c r="DP201" s="5"/>
      <c r="DQ201" s="146"/>
      <c r="DR201" s="146"/>
      <c r="DS201" s="146"/>
      <c r="DT201" s="146"/>
      <c r="FW201" s="146"/>
      <c r="JR201" s="146"/>
      <c r="JS201" s="146"/>
      <c r="JT201" s="146"/>
      <c r="JU201" s="146"/>
      <c r="OY201" s="146"/>
      <c r="OZ201" s="146"/>
      <c r="PB201" s="146"/>
      <c r="PP201" s="149"/>
      <c r="PT201" s="146"/>
      <c r="RW201" s="149"/>
      <c r="AHF201" s="145"/>
      <c r="AIU201" s="145"/>
      <c r="AIV201" s="145"/>
      <c r="AIW201" s="145"/>
    </row>
    <row r="202" spans="2:933" hidden="1" x14ac:dyDescent="0.25">
      <c r="B202" s="749"/>
      <c r="C202" s="608" t="s">
        <v>34</v>
      </c>
      <c r="D202" s="476"/>
      <c r="E202" s="509"/>
      <c r="F202" s="611">
        <f t="shared" ref="F202:Q202" si="95">SUM(F196)/500</f>
        <v>51.054000000000002</v>
      </c>
      <c r="G202" s="611">
        <f t="shared" si="95"/>
        <v>0.03</v>
      </c>
      <c r="H202" s="611">
        <f t="shared" si="95"/>
        <v>0</v>
      </c>
      <c r="I202" s="611">
        <f t="shared" si="95"/>
        <v>0</v>
      </c>
      <c r="J202" s="611">
        <f t="shared" si="95"/>
        <v>0</v>
      </c>
      <c r="K202" s="611">
        <f t="shared" si="95"/>
        <v>0</v>
      </c>
      <c r="L202" s="611">
        <f t="shared" si="95"/>
        <v>0</v>
      </c>
      <c r="M202" s="611">
        <f t="shared" si="95"/>
        <v>0</v>
      </c>
      <c r="N202" s="611">
        <f t="shared" si="95"/>
        <v>0</v>
      </c>
      <c r="O202" s="611">
        <f t="shared" si="95"/>
        <v>0</v>
      </c>
      <c r="P202" s="611">
        <f t="shared" si="95"/>
        <v>0</v>
      </c>
      <c r="Q202" s="611">
        <f t="shared" si="95"/>
        <v>0</v>
      </c>
      <c r="R202" s="737"/>
      <c r="S202" s="94">
        <f>SUM(F202:Q202)</f>
        <v>51.084000000000003</v>
      </c>
      <c r="T202" s="687"/>
      <c r="U202" s="791"/>
      <c r="W202" s="1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R202" s="65"/>
      <c r="AX202" s="1"/>
      <c r="BD202" s="146"/>
      <c r="BE202" s="146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CH202" s="146"/>
      <c r="DA202" s="1"/>
      <c r="DP202" s="5"/>
      <c r="DQ202" s="146"/>
      <c r="DR202" s="146"/>
      <c r="DS202" s="146"/>
      <c r="DT202" s="146"/>
      <c r="FW202" s="146"/>
      <c r="JR202" s="146"/>
      <c r="JS202" s="146"/>
      <c r="JT202" s="146"/>
      <c r="JU202" s="146"/>
      <c r="OY202" s="146"/>
      <c r="OZ202" s="146"/>
      <c r="PB202" s="146"/>
      <c r="PP202" s="149"/>
      <c r="PT202" s="146"/>
      <c r="RW202" s="149"/>
      <c r="AHF202" s="145"/>
      <c r="AIU202" s="145"/>
      <c r="AIV202" s="145"/>
      <c r="AIW202" s="145"/>
    </row>
    <row r="203" spans="2:933" hidden="1" x14ac:dyDescent="0.25">
      <c r="B203" s="749"/>
      <c r="C203" s="604" t="s">
        <v>32</v>
      </c>
      <c r="D203" s="605"/>
      <c r="E203" s="601"/>
      <c r="F203" s="606"/>
      <c r="G203" s="606"/>
      <c r="H203" s="606"/>
      <c r="I203" s="606"/>
      <c r="J203" s="606"/>
      <c r="K203" s="606"/>
      <c r="L203" s="606"/>
      <c r="M203" s="606"/>
      <c r="N203" s="606"/>
      <c r="O203" s="606"/>
      <c r="P203" s="606"/>
      <c r="Q203" s="606"/>
      <c r="R203" s="737"/>
      <c r="S203" s="535" t="s">
        <v>131</v>
      </c>
      <c r="T203" s="695" t="s">
        <v>131</v>
      </c>
      <c r="U203" s="798" t="s">
        <v>131</v>
      </c>
      <c r="W203" s="1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R203" s="65"/>
      <c r="AX203" s="1"/>
      <c r="BD203" s="146"/>
      <c r="BE203" s="146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CH203" s="146"/>
      <c r="DA203" s="1"/>
      <c r="DP203" s="5"/>
      <c r="DQ203" s="146"/>
      <c r="DR203" s="146"/>
      <c r="DS203" s="146"/>
      <c r="DT203" s="146"/>
      <c r="FW203" s="146"/>
      <c r="JR203" s="146"/>
      <c r="JS203" s="146"/>
      <c r="JT203" s="146"/>
      <c r="JU203" s="146"/>
      <c r="OY203" s="146"/>
      <c r="OZ203" s="146"/>
      <c r="PB203" s="146"/>
      <c r="PP203" s="149"/>
      <c r="PT203" s="146"/>
      <c r="RW203" s="149"/>
      <c r="AHF203" s="145"/>
      <c r="AIU203" s="145"/>
      <c r="AIV203" s="145"/>
      <c r="AIW203" s="145"/>
    </row>
    <row r="204" spans="2:933" hidden="1" x14ac:dyDescent="0.25">
      <c r="B204" s="749"/>
      <c r="C204" s="608" t="s">
        <v>29</v>
      </c>
      <c r="D204" s="476"/>
      <c r="E204" s="509"/>
      <c r="F204" s="453"/>
      <c r="G204" s="453"/>
      <c r="H204" s="453"/>
      <c r="I204" s="453"/>
      <c r="J204" s="453"/>
      <c r="K204" s="453"/>
      <c r="L204" s="453"/>
      <c r="M204" s="453"/>
      <c r="N204" s="453"/>
      <c r="O204" s="453"/>
      <c r="P204" s="453"/>
      <c r="Q204" s="453"/>
      <c r="R204" s="737"/>
      <c r="S204" s="61"/>
      <c r="T204" s="687"/>
      <c r="U204" s="791"/>
      <c r="W204" s="1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R204" s="65"/>
      <c r="AX204" s="1"/>
      <c r="BD204" s="146"/>
      <c r="BE204" s="146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CH204" s="146"/>
      <c r="DA204" s="1"/>
      <c r="DP204" s="5"/>
      <c r="DQ204" s="146"/>
      <c r="DR204" s="146"/>
      <c r="DS204" s="146"/>
      <c r="DT204" s="146"/>
      <c r="FW204" s="146"/>
      <c r="JR204" s="146"/>
      <c r="JS204" s="146"/>
      <c r="JT204" s="146"/>
      <c r="JU204" s="146"/>
      <c r="OY204" s="146"/>
      <c r="OZ204" s="146"/>
      <c r="PB204" s="146"/>
      <c r="PP204" s="149"/>
      <c r="PT204" s="146"/>
      <c r="RW204" s="149"/>
      <c r="AHF204" s="145"/>
      <c r="AIU204" s="145"/>
      <c r="AIV204" s="145"/>
      <c r="AIW204" s="145"/>
    </row>
    <row r="205" spans="2:933" hidden="1" x14ac:dyDescent="0.25">
      <c r="B205" s="749"/>
      <c r="C205" s="608" t="s">
        <v>89</v>
      </c>
      <c r="D205" s="476"/>
      <c r="E205" s="509" t="s">
        <v>31</v>
      </c>
      <c r="F205" s="453">
        <f>'[22]Januari 24'!AL185</f>
        <v>364427.63</v>
      </c>
      <c r="G205" s="452">
        <f>'[22]Februari 24'!AL199</f>
        <v>0</v>
      </c>
      <c r="H205" s="452">
        <f>'[22]Maret 24'!AL199</f>
        <v>0</v>
      </c>
      <c r="I205" s="452">
        <f>'[22]April 24'!AL199</f>
        <v>0</v>
      </c>
      <c r="J205" s="452">
        <f>'[22]Mei 24'!AL199</f>
        <v>0</v>
      </c>
      <c r="K205" s="452">
        <f>'[22]Juny 24'!AL190</f>
        <v>0</v>
      </c>
      <c r="L205" s="452">
        <f>'[22]July 24'!AL199</f>
        <v>0</v>
      </c>
      <c r="M205" s="453">
        <f>'[22]Agustus 24'!AL199</f>
        <v>0</v>
      </c>
      <c r="N205" s="453">
        <f>'[22]September 24'!AL199</f>
        <v>0</v>
      </c>
      <c r="O205" s="453">
        <f>'[22]Oktober 24'!AL199</f>
        <v>0</v>
      </c>
      <c r="P205" s="453">
        <f>'[22]November 24'!AL199</f>
        <v>0</v>
      </c>
      <c r="Q205" s="453">
        <f>'[22]Desember 24'!AL199</f>
        <v>0</v>
      </c>
      <c r="R205" s="737"/>
      <c r="S205" s="94">
        <f>SUM(F205:Q205)</f>
        <v>364427.63</v>
      </c>
      <c r="T205" s="707"/>
      <c r="U205" s="791"/>
      <c r="W205" s="1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R205" s="65"/>
      <c r="AX205" s="1"/>
      <c r="BD205" s="146"/>
      <c r="BE205" s="146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CH205" s="146"/>
      <c r="DA205" s="1"/>
      <c r="DP205" s="5"/>
      <c r="DQ205" s="146"/>
      <c r="DR205" s="146"/>
      <c r="DS205" s="146"/>
      <c r="DT205" s="146"/>
      <c r="FW205" s="146"/>
      <c r="JR205" s="146"/>
      <c r="JS205" s="146"/>
      <c r="JT205" s="146"/>
      <c r="JU205" s="146"/>
      <c r="OY205" s="146"/>
      <c r="OZ205" s="146"/>
      <c r="PB205" s="146"/>
      <c r="PP205" s="149"/>
      <c r="PT205" s="146"/>
      <c r="RW205" s="149"/>
      <c r="AHF205" s="145"/>
      <c r="AIU205" s="145"/>
      <c r="AIV205" s="145"/>
      <c r="AIW205" s="145"/>
    </row>
    <row r="206" spans="2:933" hidden="1" x14ac:dyDescent="0.25">
      <c r="B206" s="749"/>
      <c r="C206" s="608" t="s">
        <v>117</v>
      </c>
      <c r="D206" s="476"/>
      <c r="E206" s="509" t="s">
        <v>31</v>
      </c>
      <c r="F206" s="453"/>
      <c r="G206" s="452">
        <f>'[22]Februari 24'!AL200</f>
        <v>0</v>
      </c>
      <c r="H206" s="452">
        <f>'[22]Maret 24'!AL200</f>
        <v>0</v>
      </c>
      <c r="I206" s="453">
        <f>'[22]April 24'!AL200</f>
        <v>0</v>
      </c>
      <c r="J206" s="453">
        <f>'[22]Mei 24'!AL200</f>
        <v>0</v>
      </c>
      <c r="K206" s="452">
        <f>'[22]Juny 24'!AL191</f>
        <v>0</v>
      </c>
      <c r="L206" s="452">
        <f>'[22]July 24'!AL200</f>
        <v>0</v>
      </c>
      <c r="M206" s="453">
        <f>'[22]Agustus 24'!AL200</f>
        <v>0</v>
      </c>
      <c r="N206" s="453">
        <f>'[22]September 24'!AL200</f>
        <v>0</v>
      </c>
      <c r="O206" s="453">
        <f>'[22]Oktober 24'!AL200</f>
        <v>0</v>
      </c>
      <c r="P206" s="453">
        <f>'[22]November 24'!AL200</f>
        <v>0</v>
      </c>
      <c r="Q206" s="453">
        <f>'[22]Desember 24'!AL200</f>
        <v>0</v>
      </c>
      <c r="R206" s="737"/>
      <c r="S206" s="94">
        <f>SUM(F206:Q206)</f>
        <v>0</v>
      </c>
      <c r="T206" s="707"/>
      <c r="U206" s="791"/>
      <c r="W206" s="1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R206" s="65"/>
      <c r="AX206" s="1"/>
      <c r="BD206" s="146"/>
      <c r="BE206" s="146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CH206" s="146"/>
      <c r="DA206" s="1"/>
      <c r="DP206" s="5"/>
      <c r="DQ206" s="146"/>
      <c r="DR206" s="146"/>
      <c r="DS206" s="146"/>
      <c r="DT206" s="146"/>
      <c r="FW206" s="146"/>
      <c r="JR206" s="146"/>
      <c r="JS206" s="146"/>
      <c r="JT206" s="146"/>
      <c r="JU206" s="146"/>
      <c r="OY206" s="146"/>
      <c r="OZ206" s="146"/>
      <c r="PB206" s="146"/>
      <c r="PP206" s="149"/>
      <c r="PT206" s="146"/>
      <c r="RW206" s="149"/>
      <c r="AHF206" s="145"/>
      <c r="AIU206" s="145"/>
      <c r="AIV206" s="145"/>
      <c r="AIW206" s="145"/>
    </row>
    <row r="207" spans="2:933" hidden="1" x14ac:dyDescent="0.25">
      <c r="B207" s="749"/>
      <c r="C207" s="608" t="s">
        <v>28</v>
      </c>
      <c r="D207" s="476"/>
      <c r="E207" s="509"/>
      <c r="F207" s="453"/>
      <c r="G207" s="453"/>
      <c r="H207" s="452"/>
      <c r="I207" s="453"/>
      <c r="J207" s="453"/>
      <c r="K207" s="453"/>
      <c r="L207" s="453"/>
      <c r="M207" s="453"/>
      <c r="N207" s="453"/>
      <c r="O207" s="453"/>
      <c r="P207" s="453"/>
      <c r="Q207" s="453"/>
      <c r="R207" s="737"/>
      <c r="S207" s="94">
        <f>SUM(F207:Q207)</f>
        <v>0</v>
      </c>
      <c r="T207" s="687"/>
      <c r="U207" s="791"/>
      <c r="W207" s="1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R207" s="65"/>
      <c r="AX207" s="1"/>
      <c r="BD207" s="146"/>
      <c r="BE207" s="146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CH207" s="146"/>
      <c r="DA207" s="1"/>
      <c r="DP207" s="5"/>
      <c r="DQ207" s="146"/>
      <c r="DR207" s="146"/>
      <c r="DS207" s="146"/>
      <c r="DT207" s="146"/>
      <c r="FW207" s="146"/>
      <c r="JR207" s="146"/>
      <c r="JS207" s="146"/>
      <c r="JT207" s="146"/>
      <c r="JU207" s="146"/>
      <c r="OY207" s="146"/>
      <c r="OZ207" s="146"/>
      <c r="PB207" s="146"/>
      <c r="PP207" s="149"/>
      <c r="PT207" s="146"/>
      <c r="RW207" s="149"/>
      <c r="AHF207" s="145"/>
      <c r="AIU207" s="145"/>
      <c r="AIV207" s="145"/>
      <c r="AIW207" s="145"/>
    </row>
    <row r="208" spans="2:933" hidden="1" x14ac:dyDescent="0.25">
      <c r="B208" s="749"/>
      <c r="C208" s="608" t="s">
        <v>89</v>
      </c>
      <c r="D208" s="476"/>
      <c r="E208" s="509" t="s">
        <v>28</v>
      </c>
      <c r="F208" s="452">
        <f t="shared" ref="F208:Q208" si="96">F205*12</f>
        <v>4373131.5600000005</v>
      </c>
      <c r="G208" s="452">
        <f t="shared" si="96"/>
        <v>0</v>
      </c>
      <c r="H208" s="452">
        <f t="shared" si="96"/>
        <v>0</v>
      </c>
      <c r="I208" s="452">
        <f t="shared" si="96"/>
        <v>0</v>
      </c>
      <c r="J208" s="452">
        <f t="shared" si="96"/>
        <v>0</v>
      </c>
      <c r="K208" s="452">
        <f t="shared" si="96"/>
        <v>0</v>
      </c>
      <c r="L208" s="452">
        <f t="shared" si="96"/>
        <v>0</v>
      </c>
      <c r="M208" s="452">
        <f t="shared" si="96"/>
        <v>0</v>
      </c>
      <c r="N208" s="452">
        <f t="shared" si="96"/>
        <v>0</v>
      </c>
      <c r="O208" s="452">
        <f t="shared" si="96"/>
        <v>0</v>
      </c>
      <c r="P208" s="452">
        <f t="shared" si="96"/>
        <v>0</v>
      </c>
      <c r="Q208" s="452">
        <f t="shared" si="96"/>
        <v>0</v>
      </c>
      <c r="R208" s="737"/>
      <c r="S208" s="94">
        <f>SUM(F208:Q208)</f>
        <v>4373131.5600000005</v>
      </c>
      <c r="T208" s="687"/>
      <c r="U208" s="813"/>
      <c r="W208" s="1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R208" s="65"/>
      <c r="AX208" s="1"/>
      <c r="BD208" s="146"/>
      <c r="BE208" s="146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CH208" s="146"/>
      <c r="DA208" s="1"/>
      <c r="DP208" s="5"/>
      <c r="DQ208" s="146"/>
      <c r="DR208" s="146"/>
      <c r="DS208" s="146"/>
      <c r="DT208" s="146"/>
      <c r="FW208" s="146"/>
      <c r="JR208" s="146"/>
      <c r="JS208" s="146"/>
      <c r="JT208" s="146"/>
      <c r="JU208" s="146"/>
      <c r="OY208" s="146"/>
      <c r="OZ208" s="146"/>
      <c r="PB208" s="146"/>
      <c r="PP208" s="149"/>
      <c r="PT208" s="146"/>
      <c r="RW208" s="149"/>
      <c r="AHF208" s="145"/>
      <c r="AIU208" s="145"/>
      <c r="AIV208" s="145"/>
      <c r="AIW208" s="145"/>
    </row>
    <row r="209" spans="2:933" hidden="1" x14ac:dyDescent="0.25">
      <c r="B209" s="749"/>
      <c r="C209" s="608" t="s">
        <v>117</v>
      </c>
      <c r="D209" s="612"/>
      <c r="E209" s="509" t="s">
        <v>28</v>
      </c>
      <c r="F209" s="452">
        <f t="shared" ref="F209:Q209" si="97">F206*6</f>
        <v>0</v>
      </c>
      <c r="G209" s="452">
        <f t="shared" si="97"/>
        <v>0</v>
      </c>
      <c r="H209" s="452">
        <f t="shared" si="97"/>
        <v>0</v>
      </c>
      <c r="I209" s="452">
        <f t="shared" si="97"/>
        <v>0</v>
      </c>
      <c r="J209" s="452">
        <f t="shared" si="97"/>
        <v>0</v>
      </c>
      <c r="K209" s="452">
        <f t="shared" si="97"/>
        <v>0</v>
      </c>
      <c r="L209" s="452">
        <f t="shared" si="97"/>
        <v>0</v>
      </c>
      <c r="M209" s="452">
        <f t="shared" si="97"/>
        <v>0</v>
      </c>
      <c r="N209" s="452">
        <f t="shared" si="97"/>
        <v>0</v>
      </c>
      <c r="O209" s="452">
        <f t="shared" si="97"/>
        <v>0</v>
      </c>
      <c r="P209" s="452">
        <f t="shared" si="97"/>
        <v>0</v>
      </c>
      <c r="Q209" s="452">
        <f t="shared" si="97"/>
        <v>0</v>
      </c>
      <c r="R209" s="737"/>
      <c r="S209" s="94">
        <f>SUM(F209:Q209)</f>
        <v>0</v>
      </c>
      <c r="T209" s="687"/>
      <c r="U209" s="791"/>
      <c r="W209" s="1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R209" s="65"/>
      <c r="AX209" s="1"/>
      <c r="BD209" s="146"/>
      <c r="BE209" s="146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CH209" s="146"/>
      <c r="DA209" s="1"/>
      <c r="DP209" s="5"/>
      <c r="DQ209" s="146"/>
      <c r="DR209" s="146"/>
      <c r="DS209" s="146"/>
      <c r="DT209" s="146"/>
      <c r="FW209" s="146"/>
      <c r="JR209" s="146"/>
      <c r="JS209" s="146"/>
      <c r="JT209" s="146"/>
      <c r="JU209" s="146"/>
      <c r="OY209" s="146"/>
      <c r="OZ209" s="146"/>
      <c r="PB209" s="146"/>
      <c r="PP209" s="149"/>
      <c r="PT209" s="146"/>
      <c r="RW209" s="149"/>
      <c r="AHF209" s="145"/>
      <c r="AIU209" s="145"/>
      <c r="AIV209" s="145"/>
      <c r="AIW209" s="145"/>
    </row>
    <row r="210" spans="2:933" hidden="1" x14ac:dyDescent="0.25">
      <c r="B210" s="749"/>
      <c r="C210" s="431" t="s">
        <v>30</v>
      </c>
      <c r="D210" s="613"/>
      <c r="E210" s="601"/>
      <c r="F210" s="606"/>
      <c r="G210" s="606"/>
      <c r="H210" s="606"/>
      <c r="I210" s="606"/>
      <c r="J210" s="606"/>
      <c r="K210" s="606"/>
      <c r="L210" s="606"/>
      <c r="M210" s="606"/>
      <c r="N210" s="606"/>
      <c r="O210" s="51"/>
      <c r="P210" s="606"/>
      <c r="Q210" s="606"/>
      <c r="R210" s="737"/>
      <c r="S210" s="614" t="s">
        <v>30</v>
      </c>
      <c r="T210" s="710" t="s">
        <v>30</v>
      </c>
      <c r="U210" s="814" t="s">
        <v>30</v>
      </c>
      <c r="W210" s="1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R210" s="65"/>
      <c r="AX210" s="1"/>
      <c r="BD210" s="146"/>
      <c r="BE210" s="146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CH210" s="146"/>
      <c r="DA210" s="1"/>
      <c r="DP210" s="5"/>
      <c r="DQ210" s="146"/>
      <c r="DR210" s="146"/>
      <c r="DS210" s="146"/>
      <c r="DT210" s="146"/>
      <c r="FW210" s="146"/>
      <c r="JR210" s="146"/>
      <c r="JS210" s="146"/>
      <c r="JT210" s="146"/>
      <c r="JU210" s="146"/>
      <c r="OY210" s="146"/>
      <c r="OZ210" s="146"/>
      <c r="PB210" s="146"/>
      <c r="PP210" s="149"/>
      <c r="PT210" s="146"/>
      <c r="RW210" s="149"/>
      <c r="AHF210" s="145"/>
      <c r="AIU210" s="145"/>
      <c r="AIV210" s="145"/>
      <c r="AIW210" s="145"/>
    </row>
    <row r="211" spans="2:933" hidden="1" x14ac:dyDescent="0.25">
      <c r="B211" s="749"/>
      <c r="C211" s="582" t="s">
        <v>29</v>
      </c>
      <c r="D211" s="612"/>
      <c r="E211" s="509"/>
      <c r="F211" s="453"/>
      <c r="G211" s="453"/>
      <c r="H211" s="453"/>
      <c r="I211" s="453"/>
      <c r="J211" s="453"/>
      <c r="K211" s="453"/>
      <c r="L211" s="453"/>
      <c r="M211" s="453"/>
      <c r="N211" s="453"/>
      <c r="O211" s="452"/>
      <c r="P211" s="453"/>
      <c r="Q211" s="453"/>
      <c r="R211" s="737"/>
      <c r="S211" s="61"/>
      <c r="T211" s="687"/>
      <c r="U211" s="791"/>
      <c r="W211" s="1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R211" s="65"/>
      <c r="AX211" s="1"/>
      <c r="BD211" s="146"/>
      <c r="BE211" s="146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CH211" s="146"/>
      <c r="DA211" s="1"/>
      <c r="DP211" s="5"/>
      <c r="DQ211" s="146"/>
      <c r="DR211" s="146"/>
      <c r="DS211" s="146"/>
      <c r="DT211" s="146"/>
      <c r="FW211" s="146"/>
      <c r="JR211" s="146"/>
      <c r="JS211" s="146"/>
      <c r="JT211" s="146"/>
      <c r="JU211" s="146"/>
      <c r="OY211" s="146"/>
      <c r="OZ211" s="146"/>
      <c r="PB211" s="146"/>
      <c r="PP211" s="149"/>
      <c r="PT211" s="146"/>
      <c r="RW211" s="149"/>
      <c r="AHF211" s="145"/>
      <c r="AIU211" s="145"/>
      <c r="AIV211" s="145"/>
      <c r="AIW211" s="145"/>
    </row>
    <row r="212" spans="2:933" hidden="1" x14ac:dyDescent="0.25">
      <c r="B212" s="749"/>
      <c r="C212" s="608" t="s">
        <v>89</v>
      </c>
      <c r="D212" s="540">
        <v>0.3</v>
      </c>
      <c r="E212" s="509" t="s">
        <v>25</v>
      </c>
      <c r="F212" s="453">
        <f>F205/F196*100</f>
        <v>1427.6163669839777</v>
      </c>
      <c r="G212" s="453">
        <f>G205/G196*100</f>
        <v>0</v>
      </c>
      <c r="H212" s="453" t="e">
        <f t="shared" ref="G212:Q213" si="98">H205/H196*100</f>
        <v>#DIV/0!</v>
      </c>
      <c r="I212" s="453" t="e">
        <f t="shared" si="98"/>
        <v>#DIV/0!</v>
      </c>
      <c r="J212" s="453" t="e">
        <f t="shared" si="98"/>
        <v>#DIV/0!</v>
      </c>
      <c r="K212" s="453" t="e">
        <f t="shared" si="98"/>
        <v>#DIV/0!</v>
      </c>
      <c r="L212" s="453" t="e">
        <f t="shared" si="98"/>
        <v>#DIV/0!</v>
      </c>
      <c r="M212" s="453" t="e">
        <f t="shared" si="98"/>
        <v>#DIV/0!</v>
      </c>
      <c r="N212" s="453" t="e">
        <f t="shared" si="98"/>
        <v>#DIV/0!</v>
      </c>
      <c r="O212" s="453" t="e">
        <f t="shared" si="98"/>
        <v>#DIV/0!</v>
      </c>
      <c r="P212" s="453" t="e">
        <f t="shared" si="98"/>
        <v>#DIV/0!</v>
      </c>
      <c r="Q212" s="453" t="e">
        <f t="shared" si="98"/>
        <v>#DIV/0!</v>
      </c>
      <c r="R212" s="737"/>
      <c r="S212" s="538">
        <f>S205/S196*100</f>
        <v>1426.7779735337874</v>
      </c>
      <c r="T212" s="687"/>
      <c r="U212" s="791"/>
      <c r="W212" s="1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R212" s="65"/>
      <c r="AX212" s="1"/>
      <c r="BD212" s="146"/>
      <c r="BE212" s="146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CH212" s="146"/>
      <c r="DA212" s="1"/>
      <c r="DP212" s="5"/>
      <c r="DQ212" s="146"/>
      <c r="DR212" s="146"/>
      <c r="DS212" s="146"/>
      <c r="DT212" s="146"/>
      <c r="FW212" s="146"/>
      <c r="JR212" s="146"/>
      <c r="JS212" s="146"/>
      <c r="JT212" s="146"/>
      <c r="JU212" s="146"/>
      <c r="OY212" s="146"/>
      <c r="OZ212" s="146"/>
      <c r="PB212" s="146"/>
      <c r="PP212" s="149"/>
      <c r="PT212" s="146"/>
      <c r="RW212" s="149"/>
      <c r="AHF212" s="145"/>
      <c r="AIU212" s="145"/>
      <c r="AIV212" s="145"/>
      <c r="AIW212" s="145"/>
    </row>
    <row r="213" spans="2:933" hidden="1" x14ac:dyDescent="0.25">
      <c r="B213" s="749"/>
      <c r="C213" s="608" t="s">
        <v>117</v>
      </c>
      <c r="D213" s="540">
        <v>0.3</v>
      </c>
      <c r="E213" s="509" t="s">
        <v>25</v>
      </c>
      <c r="F213" s="453">
        <f>F206/F197*100</f>
        <v>0</v>
      </c>
      <c r="G213" s="453" t="e">
        <f t="shared" si="98"/>
        <v>#DIV/0!</v>
      </c>
      <c r="H213" s="453" t="e">
        <f t="shared" si="98"/>
        <v>#DIV/0!</v>
      </c>
      <c r="I213" s="453" t="e">
        <f t="shared" si="98"/>
        <v>#DIV/0!</v>
      </c>
      <c r="J213" s="453" t="e">
        <f t="shared" si="98"/>
        <v>#DIV/0!</v>
      </c>
      <c r="K213" s="453" t="e">
        <f>K206/K197*100</f>
        <v>#DIV/0!</v>
      </c>
      <c r="L213" s="453" t="e">
        <f t="shared" si="98"/>
        <v>#DIV/0!</v>
      </c>
      <c r="M213" s="453" t="e">
        <f t="shared" si="98"/>
        <v>#DIV/0!</v>
      </c>
      <c r="N213" s="453" t="e">
        <f t="shared" si="98"/>
        <v>#DIV/0!</v>
      </c>
      <c r="O213" s="453" t="e">
        <f t="shared" si="98"/>
        <v>#DIV/0!</v>
      </c>
      <c r="P213" s="453" t="e">
        <f t="shared" si="98"/>
        <v>#DIV/0!</v>
      </c>
      <c r="Q213" s="453" t="e">
        <f t="shared" si="98"/>
        <v>#DIV/0!</v>
      </c>
      <c r="R213" s="737"/>
      <c r="S213" s="538">
        <f>S206/S197*100</f>
        <v>0</v>
      </c>
      <c r="T213" s="687"/>
      <c r="U213" s="791"/>
      <c r="W213" s="1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R213" s="65"/>
      <c r="AX213" s="1"/>
      <c r="BD213" s="146"/>
      <c r="BE213" s="146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CH213" s="146"/>
      <c r="DA213" s="1"/>
      <c r="DP213" s="5"/>
      <c r="DQ213" s="146"/>
      <c r="DR213" s="146"/>
      <c r="DS213" s="146"/>
      <c r="DT213" s="146"/>
      <c r="FW213" s="146"/>
      <c r="JR213" s="146"/>
      <c r="JS213" s="146"/>
      <c r="JT213" s="146"/>
      <c r="JU213" s="146"/>
      <c r="OY213" s="146"/>
      <c r="OZ213" s="146"/>
      <c r="PB213" s="146"/>
      <c r="PP213" s="149"/>
      <c r="PT213" s="146"/>
      <c r="RW213" s="149"/>
      <c r="AHF213" s="145"/>
      <c r="AIU213" s="145"/>
      <c r="AIV213" s="145"/>
      <c r="AIW213" s="145"/>
    </row>
    <row r="214" spans="2:933" hidden="1" x14ac:dyDescent="0.25">
      <c r="B214" s="749"/>
      <c r="C214" s="582" t="s">
        <v>28</v>
      </c>
      <c r="D214" s="540"/>
      <c r="E214" s="509"/>
      <c r="F214" s="453"/>
      <c r="G214" s="453"/>
      <c r="H214" s="453"/>
      <c r="I214" s="453"/>
      <c r="J214" s="453"/>
      <c r="K214" s="453"/>
      <c r="L214" s="453"/>
      <c r="M214" s="453"/>
      <c r="N214" s="453"/>
      <c r="O214" s="453"/>
      <c r="P214" s="453"/>
      <c r="Q214" s="453"/>
      <c r="R214" s="737"/>
      <c r="S214" s="538"/>
      <c r="T214" s="687"/>
      <c r="U214" s="791"/>
      <c r="W214" s="1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R214" s="65"/>
      <c r="AX214" s="1"/>
      <c r="BD214" s="146"/>
      <c r="BE214" s="146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CH214" s="146"/>
      <c r="DA214" s="1"/>
      <c r="DP214" s="5"/>
      <c r="DQ214" s="146"/>
      <c r="DR214" s="146"/>
      <c r="DS214" s="146"/>
      <c r="DT214" s="146"/>
      <c r="FW214" s="146"/>
      <c r="JR214" s="146"/>
      <c r="JS214" s="146"/>
      <c r="JT214" s="146"/>
      <c r="JU214" s="146"/>
      <c r="OY214" s="146"/>
      <c r="OZ214" s="146"/>
      <c r="PB214" s="146"/>
      <c r="PP214" s="149"/>
      <c r="PT214" s="146"/>
      <c r="RW214" s="149"/>
      <c r="AHF214" s="145"/>
      <c r="AIU214" s="145"/>
      <c r="AIV214" s="145"/>
      <c r="AIW214" s="145"/>
    </row>
    <row r="215" spans="2:933" hidden="1" x14ac:dyDescent="0.25">
      <c r="B215" s="749"/>
      <c r="C215" s="608" t="s">
        <v>89</v>
      </c>
      <c r="D215" s="540">
        <v>0.5</v>
      </c>
      <c r="E215" s="509" t="s">
        <v>25</v>
      </c>
      <c r="F215" s="453">
        <f t="shared" ref="F215:Q216" si="99">F208/F196*100</f>
        <v>17131.396403807736</v>
      </c>
      <c r="G215" s="453">
        <f t="shared" si="99"/>
        <v>0</v>
      </c>
      <c r="H215" s="453" t="e">
        <f t="shared" si="99"/>
        <v>#DIV/0!</v>
      </c>
      <c r="I215" s="453" t="e">
        <f t="shared" si="99"/>
        <v>#DIV/0!</v>
      </c>
      <c r="J215" s="453" t="e">
        <f t="shared" si="99"/>
        <v>#DIV/0!</v>
      </c>
      <c r="K215" s="453" t="e">
        <f t="shared" si="99"/>
        <v>#DIV/0!</v>
      </c>
      <c r="L215" s="453" t="e">
        <f t="shared" si="99"/>
        <v>#DIV/0!</v>
      </c>
      <c r="M215" s="453" t="e">
        <f t="shared" si="99"/>
        <v>#DIV/0!</v>
      </c>
      <c r="N215" s="453" t="e">
        <f t="shared" si="99"/>
        <v>#DIV/0!</v>
      </c>
      <c r="O215" s="453" t="e">
        <f t="shared" si="99"/>
        <v>#DIV/0!</v>
      </c>
      <c r="P215" s="453" t="e">
        <f t="shared" si="99"/>
        <v>#DIV/0!</v>
      </c>
      <c r="Q215" s="453" t="e">
        <f t="shared" si="99"/>
        <v>#DIV/0!</v>
      </c>
      <c r="R215" s="737"/>
      <c r="S215" s="538">
        <f>S208/S196*100</f>
        <v>17121.335682405454</v>
      </c>
      <c r="T215" s="687"/>
      <c r="U215" s="813"/>
      <c r="W215" s="1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R215" s="65"/>
      <c r="AX215" s="1"/>
      <c r="BD215" s="146"/>
      <c r="BE215" s="146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CH215" s="146"/>
      <c r="DA215" s="1"/>
      <c r="DP215" s="5"/>
      <c r="DQ215" s="146"/>
      <c r="DR215" s="146"/>
      <c r="DS215" s="146"/>
      <c r="DT215" s="146"/>
      <c r="FW215" s="146"/>
      <c r="JR215" s="146"/>
      <c r="JS215" s="146"/>
      <c r="JT215" s="146"/>
      <c r="JU215" s="146"/>
      <c r="OY215" s="146"/>
      <c r="OZ215" s="146"/>
      <c r="PB215" s="146"/>
      <c r="PP215" s="149"/>
      <c r="PT215" s="146"/>
      <c r="RW215" s="149"/>
      <c r="AHF215" s="145"/>
      <c r="AIU215" s="145"/>
      <c r="AIV215" s="145"/>
      <c r="AIW215" s="145"/>
    </row>
    <row r="216" spans="2:933" hidden="1" x14ac:dyDescent="0.25">
      <c r="B216" s="749"/>
      <c r="C216" s="608" t="s">
        <v>117</v>
      </c>
      <c r="D216" s="540">
        <v>0.5</v>
      </c>
      <c r="E216" s="509" t="s">
        <v>25</v>
      </c>
      <c r="F216" s="453">
        <f t="shared" si="99"/>
        <v>0</v>
      </c>
      <c r="G216" s="453" t="e">
        <f t="shared" si="99"/>
        <v>#DIV/0!</v>
      </c>
      <c r="H216" s="453" t="e">
        <f t="shared" si="99"/>
        <v>#DIV/0!</v>
      </c>
      <c r="I216" s="453" t="e">
        <f t="shared" si="99"/>
        <v>#DIV/0!</v>
      </c>
      <c r="J216" s="453" t="e">
        <f t="shared" si="99"/>
        <v>#DIV/0!</v>
      </c>
      <c r="K216" s="453" t="e">
        <f t="shared" si="99"/>
        <v>#DIV/0!</v>
      </c>
      <c r="L216" s="453" t="e">
        <f t="shared" si="99"/>
        <v>#DIV/0!</v>
      </c>
      <c r="M216" s="453" t="e">
        <f t="shared" si="99"/>
        <v>#DIV/0!</v>
      </c>
      <c r="N216" s="453" t="e">
        <f t="shared" si="99"/>
        <v>#DIV/0!</v>
      </c>
      <c r="O216" s="453" t="e">
        <f t="shared" si="99"/>
        <v>#DIV/0!</v>
      </c>
      <c r="P216" s="453" t="e">
        <f t="shared" si="99"/>
        <v>#DIV/0!</v>
      </c>
      <c r="Q216" s="453" t="e">
        <f t="shared" si="99"/>
        <v>#DIV/0!</v>
      </c>
      <c r="R216" s="737"/>
      <c r="S216" s="541">
        <f>S209/S197*100</f>
        <v>0</v>
      </c>
      <c r="T216" s="687"/>
      <c r="U216" s="813"/>
      <c r="W216" s="1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R216" s="65"/>
      <c r="AX216" s="1"/>
      <c r="BD216" s="146"/>
      <c r="BE216" s="146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CH216" s="146"/>
      <c r="DA216" s="1"/>
      <c r="DP216" s="5"/>
      <c r="DQ216" s="146"/>
      <c r="DR216" s="146"/>
      <c r="DS216" s="146"/>
      <c r="DT216" s="146"/>
      <c r="FW216" s="146"/>
      <c r="JR216" s="146"/>
      <c r="JS216" s="146"/>
      <c r="JT216" s="146"/>
      <c r="JU216" s="146"/>
      <c r="OY216" s="146"/>
      <c r="OZ216" s="146"/>
      <c r="PB216" s="146"/>
      <c r="PP216" s="149"/>
      <c r="PT216" s="146"/>
      <c r="RW216" s="149"/>
      <c r="AHF216" s="145"/>
      <c r="AIU216" s="145"/>
      <c r="AIV216" s="145"/>
      <c r="AIW216" s="145"/>
    </row>
    <row r="217" spans="2:933" hidden="1" x14ac:dyDescent="0.25">
      <c r="B217" s="749"/>
      <c r="C217" s="615" t="s">
        <v>95</v>
      </c>
      <c r="D217" s="616"/>
      <c r="E217" s="617"/>
      <c r="F217" s="618">
        <f>'[22]Januari 24'!AL211</f>
        <v>356139</v>
      </c>
      <c r="G217" s="618">
        <f>'[22]Februari 24'!AL211</f>
        <v>0</v>
      </c>
      <c r="H217" s="618">
        <f>'[22]Maret 24'!AL211</f>
        <v>0</v>
      </c>
      <c r="I217" s="618">
        <f>'[22]April 24'!AL211</f>
        <v>0</v>
      </c>
      <c r="J217" s="618">
        <f>'[22]Mei 24'!AL211</f>
        <v>0</v>
      </c>
      <c r="K217" s="618">
        <f>'[22]Juny 24'!AL211</f>
        <v>0</v>
      </c>
      <c r="L217" s="618">
        <f>'[22]July 24'!AL211</f>
        <v>0</v>
      </c>
      <c r="M217" s="618">
        <f>'[22]Agustus 24'!AL211</f>
        <v>0</v>
      </c>
      <c r="N217" s="618">
        <f>'[22]September 24'!AL211</f>
        <v>0</v>
      </c>
      <c r="O217" s="619">
        <f>'[22]Oktober 24'!AL211</f>
        <v>0</v>
      </c>
      <c r="P217" s="618">
        <f>'[22]November 24'!AL211</f>
        <v>0</v>
      </c>
      <c r="Q217" s="618">
        <f>'[22]Desember 24'!AL211</f>
        <v>0</v>
      </c>
      <c r="R217" s="738"/>
      <c r="S217" s="620">
        <f>SUM(F217:Q217)</f>
        <v>356139</v>
      </c>
      <c r="T217" s="711">
        <v>22250000</v>
      </c>
      <c r="U217" s="815">
        <f>S217/T217*100</f>
        <v>1.6006247191011236</v>
      </c>
      <c r="W217" s="1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R217" s="65"/>
      <c r="AX217" s="1"/>
      <c r="BD217" s="146"/>
      <c r="BE217" s="146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CH217" s="146"/>
      <c r="DA217" s="1"/>
      <c r="DP217" s="5"/>
      <c r="DQ217" s="146"/>
      <c r="DR217" s="146"/>
      <c r="DS217" s="146"/>
      <c r="DT217" s="146"/>
      <c r="FW217" s="146"/>
      <c r="JR217" s="146"/>
      <c r="JS217" s="146"/>
      <c r="JT217" s="146"/>
      <c r="JU217" s="146"/>
      <c r="OY217" s="146"/>
      <c r="OZ217" s="146"/>
      <c r="PB217" s="146"/>
      <c r="PP217" s="149"/>
      <c r="PT217" s="146"/>
      <c r="RW217" s="149"/>
      <c r="AHF217" s="145"/>
      <c r="AIU217" s="145"/>
      <c r="AIV217" s="145"/>
      <c r="AIW217" s="145"/>
    </row>
    <row r="218" spans="2:933" hidden="1" x14ac:dyDescent="0.25">
      <c r="B218" s="749"/>
      <c r="C218" s="615" t="s">
        <v>118</v>
      </c>
      <c r="D218" s="616"/>
      <c r="E218" s="617"/>
      <c r="F218" s="618">
        <f>'[22]Januari 24'!AL212</f>
        <v>534116</v>
      </c>
      <c r="G218" s="618">
        <f>'[22]Februari 24'!AL212</f>
        <v>542142</v>
      </c>
      <c r="H218" s="618">
        <f>'[22]Maret 24'!AL212</f>
        <v>0</v>
      </c>
      <c r="I218" s="618">
        <f>'[22]April 24'!AL212</f>
        <v>0</v>
      </c>
      <c r="J218" s="621">
        <f>'[22]Mei 24'!AL212</f>
        <v>0</v>
      </c>
      <c r="K218" s="621">
        <f>'[22]Juny 24'!AL212</f>
        <v>0</v>
      </c>
      <c r="L218" s="621">
        <f>'[22]July 24'!AL212</f>
        <v>0</v>
      </c>
      <c r="M218" s="622">
        <f>'[22]Agustus 24'!AL212</f>
        <v>0</v>
      </c>
      <c r="N218" s="621">
        <f>'[22]September 24'!AL212</f>
        <v>0</v>
      </c>
      <c r="O218" s="623">
        <f>'[22]Oktober 24'!AL212</f>
        <v>0</v>
      </c>
      <c r="P218" s="621">
        <f>'[22]November 24'!AL212</f>
        <v>0</v>
      </c>
      <c r="Q218" s="621">
        <f>'[22]Desember 24'!AL212</f>
        <v>0</v>
      </c>
      <c r="R218" s="738"/>
      <c r="S218" s="620">
        <f>SUM(F218:Q218)</f>
        <v>1076258</v>
      </c>
      <c r="T218" s="711">
        <v>11435000</v>
      </c>
      <c r="U218" s="815">
        <f>S218/T218*100</f>
        <v>9.4119632706602534</v>
      </c>
      <c r="W218" s="1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R218" s="65"/>
      <c r="AX218" s="1"/>
      <c r="BD218" s="146"/>
      <c r="BE218" s="146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CH218" s="146"/>
      <c r="DA218" s="1"/>
      <c r="DP218" s="5"/>
      <c r="DQ218" s="146"/>
      <c r="DR218" s="146"/>
      <c r="DS218" s="146"/>
      <c r="DT218" s="146"/>
      <c r="FW218" s="146"/>
      <c r="JR218" s="146"/>
      <c r="JS218" s="146"/>
      <c r="JT218" s="146"/>
      <c r="JU218" s="146"/>
      <c r="OY218" s="146"/>
      <c r="OZ218" s="146"/>
      <c r="PB218" s="146"/>
      <c r="PP218" s="149"/>
      <c r="PT218" s="146"/>
      <c r="RW218" s="149"/>
      <c r="AHF218" s="145"/>
      <c r="AIU218" s="145"/>
      <c r="AIV218" s="145"/>
      <c r="AIW218" s="145"/>
    </row>
    <row r="219" spans="2:933" hidden="1" x14ac:dyDescent="0.25">
      <c r="B219" s="749"/>
      <c r="C219" s="624" t="s">
        <v>90</v>
      </c>
      <c r="D219" s="616"/>
      <c r="E219" s="617"/>
      <c r="F219" s="618">
        <f>'[22]Januari 24'!AL213</f>
        <v>845858</v>
      </c>
      <c r="G219" s="618">
        <f>'[22]Februari 24'!AL213</f>
        <v>192009</v>
      </c>
      <c r="H219" s="618">
        <f>'[22]Maret 24'!AL213</f>
        <v>0</v>
      </c>
      <c r="I219" s="618">
        <f>'[22]April 24'!AL213</f>
        <v>0</v>
      </c>
      <c r="J219" s="618">
        <f>'[22]Mei 24'!AL213</f>
        <v>0</v>
      </c>
      <c r="K219" s="618">
        <f>'[22]Juny 24'!AL213</f>
        <v>0</v>
      </c>
      <c r="L219" s="618">
        <f>'[22]July 24'!AL213</f>
        <v>0</v>
      </c>
      <c r="M219" s="622">
        <f>'[22]Agustus 24'!AL213</f>
        <v>0</v>
      </c>
      <c r="N219" s="618">
        <f>'[22]September 24'!AL213</f>
        <v>0</v>
      </c>
      <c r="O219" s="625">
        <f>'[22]Oktober 24'!AL213</f>
        <v>0</v>
      </c>
      <c r="P219" s="622">
        <f>'[22]November 24'!AL213</f>
        <v>0</v>
      </c>
      <c r="Q219" s="622">
        <f>'[22]Desember 24'!AL213</f>
        <v>0</v>
      </c>
      <c r="R219" s="738"/>
      <c r="S219" s="620">
        <f>SUM(F219:Q219)</f>
        <v>1037867</v>
      </c>
      <c r="T219" s="712">
        <v>71709000</v>
      </c>
      <c r="U219" s="815">
        <f>S219/T219*100</f>
        <v>1.4473315762317143</v>
      </c>
      <c r="W219" s="1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R219" s="65"/>
      <c r="AX219" s="1"/>
      <c r="BD219" s="146"/>
      <c r="BE219" s="146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CH219" s="146"/>
      <c r="DA219" s="1"/>
      <c r="DP219" s="5"/>
      <c r="DQ219" s="146"/>
      <c r="DR219" s="146"/>
      <c r="DS219" s="146"/>
      <c r="DT219" s="146"/>
      <c r="FW219" s="146"/>
      <c r="JR219" s="146"/>
      <c r="JS219" s="146"/>
      <c r="JT219" s="146"/>
      <c r="JU219" s="146"/>
      <c r="OY219" s="146"/>
      <c r="OZ219" s="146"/>
      <c r="PB219" s="146"/>
      <c r="PP219" s="149"/>
      <c r="PT219" s="146"/>
      <c r="RW219" s="149"/>
      <c r="AHF219" s="145"/>
      <c r="AIU219" s="145"/>
      <c r="AIV219" s="145"/>
      <c r="AIW219" s="145"/>
    </row>
    <row r="220" spans="2:933" s="632" customFormat="1" hidden="1" x14ac:dyDescent="0.25">
      <c r="B220" s="746"/>
      <c r="C220" s="626" t="s">
        <v>91</v>
      </c>
      <c r="D220" s="627"/>
      <c r="E220" s="111"/>
      <c r="F220" s="628">
        <f>'[22]Januari 24'!AL214</f>
        <v>1736113</v>
      </c>
      <c r="G220" s="628">
        <f>'[22]Februari 24'!AL214</f>
        <v>734151</v>
      </c>
      <c r="H220" s="628">
        <f>'[22]Maret 24'!AL214</f>
        <v>0</v>
      </c>
      <c r="I220" s="628">
        <f>'[22]April 24'!AL214</f>
        <v>0</v>
      </c>
      <c r="J220" s="629">
        <f>'[22]Mei 24'!AL214</f>
        <v>0</v>
      </c>
      <c r="K220" s="629">
        <f>'[22]Juny 24'!AL214</f>
        <v>0</v>
      </c>
      <c r="L220" s="629">
        <f>'[22]July 24'!AL214</f>
        <v>0</v>
      </c>
      <c r="M220" s="628">
        <f>'[22]Agustus 24'!AL214</f>
        <v>0</v>
      </c>
      <c r="N220" s="630">
        <f>'[22]September 24'!AL214</f>
        <v>0</v>
      </c>
      <c r="O220" s="631">
        <f>'[22]Oktober 24'!AL214</f>
        <v>0</v>
      </c>
      <c r="P220" s="628">
        <f>'[22]November 24'!AL214</f>
        <v>0</v>
      </c>
      <c r="Q220" s="628">
        <f>'[22]Desember 24'!AL214</f>
        <v>0</v>
      </c>
      <c r="R220" s="754"/>
      <c r="S220" s="620">
        <f>SUM(F220:Q220)</f>
        <v>2470264</v>
      </c>
      <c r="T220" s="703">
        <f>SUM(T217:T219)</f>
        <v>105394000</v>
      </c>
      <c r="U220" s="815">
        <f>S220/T220*100</f>
        <v>2.3438374100992467</v>
      </c>
      <c r="W220" s="2"/>
      <c r="X220" s="831"/>
      <c r="Y220" s="831"/>
      <c r="Z220" s="831"/>
      <c r="AA220" s="831"/>
      <c r="AB220" s="831"/>
      <c r="AC220" s="831"/>
      <c r="AD220" s="831"/>
      <c r="AE220" s="831"/>
      <c r="AF220" s="831"/>
      <c r="AG220" s="831"/>
      <c r="AH220" s="831"/>
      <c r="AI220" s="831"/>
      <c r="AJ220" s="831"/>
      <c r="AK220" s="831"/>
      <c r="AL220" s="831"/>
      <c r="AM220" s="831"/>
      <c r="AN220" s="831"/>
      <c r="AO220" s="831"/>
      <c r="AP220" s="831"/>
      <c r="AR220" s="831"/>
      <c r="AX220" s="1"/>
      <c r="BD220" s="150"/>
      <c r="BE220" s="150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CH220" s="150"/>
      <c r="DA220" s="2"/>
      <c r="DP220" s="448"/>
      <c r="DQ220" s="150"/>
      <c r="DR220" s="150"/>
      <c r="DS220" s="150"/>
      <c r="DT220" s="150"/>
      <c r="FW220" s="150"/>
      <c r="JR220" s="150"/>
      <c r="JS220" s="150"/>
      <c r="JT220" s="150"/>
      <c r="JU220" s="150"/>
      <c r="OY220" s="150"/>
      <c r="OZ220" s="150"/>
      <c r="PB220" s="150"/>
      <c r="PP220" s="576"/>
      <c r="PT220" s="150"/>
      <c r="RW220" s="576"/>
      <c r="AHF220" s="155"/>
      <c r="AIU220" s="155"/>
      <c r="AIV220" s="155"/>
      <c r="AIW220" s="155"/>
    </row>
    <row r="221" spans="2:933" s="632" customFormat="1" hidden="1" x14ac:dyDescent="0.25">
      <c r="B221" s="746"/>
      <c r="C221" s="626" t="s">
        <v>96</v>
      </c>
      <c r="D221" s="627"/>
      <c r="E221" s="111"/>
      <c r="F221" s="628">
        <f>'[22]Januari 24'!AL215</f>
        <v>1749656.7900000003</v>
      </c>
      <c r="G221" s="628">
        <f>'[22]Februari 24'!AL215</f>
        <v>649233.52999999991</v>
      </c>
      <c r="H221" s="628">
        <f>'[22]Maret 24'!AL215</f>
        <v>0</v>
      </c>
      <c r="I221" s="628">
        <f>'[22]April 24'!AL215</f>
        <v>0</v>
      </c>
      <c r="J221" s="628">
        <f>'[22]Mei 24'!AL215</f>
        <v>0</v>
      </c>
      <c r="K221" s="628">
        <f>'[22]Juny 24'!AL215</f>
        <v>0</v>
      </c>
      <c r="L221" s="628">
        <f>'[22]July 24'!AL215</f>
        <v>0</v>
      </c>
      <c r="M221" s="628">
        <f>'[22]Agustus 24'!AL215</f>
        <v>0</v>
      </c>
      <c r="N221" s="628">
        <f>'[22]September 24'!AL215</f>
        <v>0</v>
      </c>
      <c r="O221" s="628">
        <f>'[22]Oktober 24'!AL215</f>
        <v>0</v>
      </c>
      <c r="P221" s="628">
        <f>SUM(P75+P102+P130+P191+P156)</f>
        <v>0</v>
      </c>
      <c r="Q221" s="628">
        <f>SUM(Q75+Q102+Q130+Q191+Q156)</f>
        <v>0</v>
      </c>
      <c r="R221" s="754"/>
      <c r="S221" s="633">
        <f>SUM(F221:Q221)</f>
        <v>2398890.3200000003</v>
      </c>
      <c r="T221" s="713">
        <f>SUM(T217:T219)</f>
        <v>105394000</v>
      </c>
      <c r="U221" s="815">
        <f>S221/T221*100</f>
        <v>2.2761165910772911</v>
      </c>
      <c r="W221" s="2"/>
      <c r="X221" s="831"/>
      <c r="Y221" s="831"/>
      <c r="Z221" s="831"/>
      <c r="AA221" s="831"/>
      <c r="AB221" s="831"/>
      <c r="AC221" s="831"/>
      <c r="AD221" s="831"/>
      <c r="AE221" s="831"/>
      <c r="AF221" s="831"/>
      <c r="AG221" s="831"/>
      <c r="AH221" s="831"/>
      <c r="AI221" s="831"/>
      <c r="AJ221" s="831"/>
      <c r="AK221" s="831"/>
      <c r="AL221" s="831"/>
      <c r="AM221" s="831"/>
      <c r="AN221" s="831"/>
      <c r="AO221" s="831"/>
      <c r="AP221" s="831"/>
      <c r="AR221" s="831"/>
      <c r="AX221" s="1"/>
      <c r="BD221" s="150"/>
      <c r="BE221" s="150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CH221" s="150"/>
      <c r="DA221" s="2"/>
      <c r="DP221" s="448"/>
      <c r="DQ221" s="150"/>
      <c r="DR221" s="150"/>
      <c r="DS221" s="150"/>
      <c r="DT221" s="150"/>
      <c r="FW221" s="150"/>
      <c r="JR221" s="150"/>
      <c r="JS221" s="150"/>
      <c r="JT221" s="150"/>
      <c r="JU221" s="150"/>
      <c r="OY221" s="150"/>
      <c r="OZ221" s="150"/>
      <c r="PB221" s="150"/>
      <c r="PP221" s="576"/>
      <c r="PT221" s="150"/>
      <c r="RW221" s="576"/>
      <c r="AHF221" s="155"/>
      <c r="AIU221" s="155"/>
      <c r="AIV221" s="155"/>
      <c r="AIW221" s="155"/>
    </row>
    <row r="222" spans="2:933" x14ac:dyDescent="0.25">
      <c r="B222" s="745">
        <v>9</v>
      </c>
      <c r="C222" s="534" t="s">
        <v>24</v>
      </c>
      <c r="D222" s="634"/>
      <c r="E222" s="79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737"/>
      <c r="S222" s="614" t="s">
        <v>132</v>
      </c>
      <c r="T222" s="696" t="s">
        <v>132</v>
      </c>
      <c r="U222" s="801" t="s">
        <v>132</v>
      </c>
      <c r="W222" s="1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R222" s="65"/>
      <c r="AX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DA222" s="1"/>
    </row>
    <row r="223" spans="2:933" x14ac:dyDescent="0.25">
      <c r="B223" s="746"/>
      <c r="C223" s="475" t="s">
        <v>23</v>
      </c>
      <c r="D223" s="635"/>
      <c r="E223" s="509" t="s">
        <v>19</v>
      </c>
      <c r="F223" s="636">
        <f>'[22]Januari 24'!AL217</f>
        <v>27426.645100000005</v>
      </c>
      <c r="G223" s="636">
        <f>'[22]Februari 24'!AL217</f>
        <v>17654.447900000003</v>
      </c>
      <c r="H223" s="636">
        <f>'[22]Maret 24'!AL217</f>
        <v>5574.5241999999998</v>
      </c>
      <c r="I223" s="636">
        <f>'[23]April - 24'!$AK$218</f>
        <v>0</v>
      </c>
      <c r="J223" s="636">
        <f>'[24]Mei - 24'!$AL$218</f>
        <v>0</v>
      </c>
      <c r="K223" s="636">
        <f>'[25]Juni - 24'!$AL$218</f>
        <v>21557.354200000002</v>
      </c>
      <c r="L223" s="636">
        <f>'[26]Juli - 2024 ( Revisi )'!$AL$216</f>
        <v>27875.589599999996</v>
      </c>
      <c r="M223" s="636">
        <f>'[27]Agustus - 2024'!$AN$222</f>
        <v>1300.0773312500003</v>
      </c>
      <c r="N223" s="636">
        <f>'September - 2024'!$AM$226</f>
        <v>33097.489999999991</v>
      </c>
      <c r="O223" s="636">
        <f>'[22]Oktober 24'!AL217</f>
        <v>0</v>
      </c>
      <c r="P223" s="636">
        <f>'[22]November 24'!AL217</f>
        <v>0</v>
      </c>
      <c r="Q223" s="636">
        <f>'[22]Desember 24'!AL217</f>
        <v>0</v>
      </c>
      <c r="S223" s="637">
        <f>SUM(F223:Q223)</f>
        <v>134486.12833124999</v>
      </c>
      <c r="T223" s="714">
        <v>316731.03000000003</v>
      </c>
      <c r="U223" s="793">
        <f>S223/T223*100</f>
        <v>42.460673439937338</v>
      </c>
      <c r="W223" s="1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R223" s="65"/>
      <c r="AX223" s="1"/>
      <c r="BD223" s="146"/>
      <c r="BE223" s="146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CH223" s="146"/>
      <c r="DA223" s="1"/>
      <c r="DP223" s="5"/>
      <c r="DQ223" s="146"/>
      <c r="DR223" s="146"/>
      <c r="DS223" s="146"/>
      <c r="DT223" s="146"/>
      <c r="FW223" s="146"/>
      <c r="JR223" s="146"/>
      <c r="JS223" s="146"/>
      <c r="JT223" s="146"/>
      <c r="JU223" s="146"/>
      <c r="OY223" s="146"/>
      <c r="OZ223" s="146"/>
      <c r="PB223" s="146"/>
      <c r="PP223" s="149"/>
      <c r="PT223" s="146"/>
      <c r="RW223" s="149"/>
      <c r="AGG223" s="39"/>
      <c r="AHF223" s="145"/>
      <c r="AIU223" s="145"/>
      <c r="AIV223" s="145"/>
      <c r="AIW223" s="145"/>
    </row>
    <row r="224" spans="2:933" x14ac:dyDescent="0.25">
      <c r="B224" s="743"/>
      <c r="C224" s="536" t="s">
        <v>22</v>
      </c>
      <c r="D224" s="638">
        <f>D228</f>
        <v>1460.001</v>
      </c>
      <c r="E224" s="527" t="s">
        <v>19</v>
      </c>
      <c r="F224" s="636">
        <f>'[22]Januari 24'!AL218</f>
        <v>23450.754799999995</v>
      </c>
      <c r="G224" s="636">
        <f>'[22]Februari 24'!AL218</f>
        <v>14868.589600000001</v>
      </c>
      <c r="H224" s="639">
        <f>'[22]Maret 24'!AL218</f>
        <v>5581.7098999999998</v>
      </c>
      <c r="I224" s="639">
        <f>'[23]April - 24'!$AK$219</f>
        <v>0</v>
      </c>
      <c r="J224" s="639">
        <f>'[24]Mei - 24'!$AL$219</f>
        <v>0</v>
      </c>
      <c r="K224" s="639">
        <f>'[25]Juni - 24'!$AL$219</f>
        <v>19670.9984</v>
      </c>
      <c r="L224" s="639">
        <f>'[26]Juli - 2024 ( Revisi )'!$AL$217</f>
        <v>26610.053000000004</v>
      </c>
      <c r="M224" s="636">
        <f>'[27]Agustus - 2024'!$AN$223</f>
        <v>0</v>
      </c>
      <c r="N224" s="636">
        <f>'September - 2024'!$AM$225</f>
        <v>32134.349099999996</v>
      </c>
      <c r="O224" s="636">
        <f>'[22]Oktober 24'!AL218</f>
        <v>0</v>
      </c>
      <c r="P224" s="636">
        <f>'[22]November 24'!AL218</f>
        <v>0</v>
      </c>
      <c r="Q224" s="640">
        <f>'[22]Desember 24'!AL218</f>
        <v>0</v>
      </c>
      <c r="S224" s="641">
        <f>SUM(F224:Q224)</f>
        <v>122316.45479999999</v>
      </c>
      <c r="T224" s="715">
        <v>316731.03000000003</v>
      </c>
      <c r="U224" s="806">
        <f>S224/T224*100</f>
        <v>38.618399592865906</v>
      </c>
      <c r="V224" s="842"/>
      <c r="W224" s="1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R224" s="65"/>
      <c r="AX224" s="177" t="e">
        <f>AW224/AW10</f>
        <v>#DIV/0!</v>
      </c>
      <c r="BD224" s="147"/>
      <c r="BE224" s="147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CH224" s="147"/>
      <c r="DA224" s="1"/>
      <c r="DP224" s="529"/>
      <c r="DQ224" s="147"/>
      <c r="DR224" s="147"/>
      <c r="DS224" s="147"/>
      <c r="DT224" s="147"/>
      <c r="FW224" s="147"/>
      <c r="JR224" s="147"/>
      <c r="JS224" s="147"/>
      <c r="JT224" s="147"/>
      <c r="JU224" s="147"/>
      <c r="OY224" s="147"/>
      <c r="OZ224" s="147"/>
      <c r="PB224" s="147"/>
      <c r="PP224" s="156"/>
      <c r="PT224" s="147"/>
      <c r="RW224" s="156"/>
      <c r="AHF224" s="147"/>
      <c r="AIU224" s="147"/>
      <c r="AIV224" s="147"/>
      <c r="AIW224" s="147"/>
    </row>
    <row r="225" spans="2:933" x14ac:dyDescent="0.25">
      <c r="B225" s="749"/>
      <c r="C225" s="592" t="s">
        <v>11</v>
      </c>
      <c r="D225" s="635"/>
      <c r="E225" s="477"/>
      <c r="F225" s="636"/>
      <c r="G225" s="642"/>
      <c r="H225" s="642"/>
      <c r="I225" s="452"/>
      <c r="J225" s="642"/>
      <c r="K225" s="643"/>
      <c r="L225" s="643"/>
      <c r="M225" s="452"/>
      <c r="N225" s="452"/>
      <c r="O225" s="452"/>
      <c r="P225" s="452"/>
      <c r="Q225" s="644"/>
      <c r="R225" s="737"/>
      <c r="S225" s="731" t="s">
        <v>11</v>
      </c>
      <c r="T225" s="716" t="s">
        <v>11</v>
      </c>
      <c r="U225" s="816" t="s">
        <v>11</v>
      </c>
      <c r="W225" s="1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R225" s="65"/>
      <c r="AX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DA225" s="1"/>
    </row>
    <row r="226" spans="2:933" x14ac:dyDescent="0.25">
      <c r="B226" s="749"/>
      <c r="C226" s="475" t="s">
        <v>21</v>
      </c>
      <c r="D226" s="645">
        <v>292</v>
      </c>
      <c r="E226" s="509" t="s">
        <v>19</v>
      </c>
      <c r="F226" s="636">
        <f>'[22]Januari 24'!AL220</f>
        <v>2299.1853999999998</v>
      </c>
      <c r="G226" s="636">
        <f>'[22]Februari 24'!AL220</f>
        <v>1937.1727999999998</v>
      </c>
      <c r="H226" s="636">
        <f>'[22]Maret 24'!AL220</f>
        <v>578.96010000000001</v>
      </c>
      <c r="I226" s="646">
        <f>'[23]April - 24'!$AK$227</f>
        <v>0</v>
      </c>
      <c r="J226" s="636">
        <f>'[24]Mei - 24'!$AL$221</f>
        <v>0</v>
      </c>
      <c r="K226" s="636">
        <f>'[25]Juni - 24'!$AL$221</f>
        <v>2593.8142000000003</v>
      </c>
      <c r="L226" s="636">
        <f>'[26]Juli - 2024 ( Revisi )'!$AL$219</f>
        <v>4776.3290292795864</v>
      </c>
      <c r="M226" s="636">
        <f>'[27]Agustus - 2024'!$AN$225</f>
        <v>0</v>
      </c>
      <c r="N226" s="636">
        <f>'September - 2024'!$AM$228</f>
        <v>5868.6339215841053</v>
      </c>
      <c r="O226" s="636">
        <f>'[22]Oktober 24'!AL220</f>
        <v>0</v>
      </c>
      <c r="P226" s="636">
        <f>'[22]November 24'!AL220</f>
        <v>0</v>
      </c>
      <c r="Q226" s="636">
        <f>'[22]Desember 24'!AL220</f>
        <v>0</v>
      </c>
      <c r="R226" s="737"/>
      <c r="S226" s="647">
        <f>SUM(F226:Q226)</f>
        <v>18054.095450863693</v>
      </c>
      <c r="T226" s="717">
        <v>47509.77</v>
      </c>
      <c r="U226" s="817">
        <f>S226/T226*100</f>
        <v>38.000805836070548</v>
      </c>
      <c r="W226" s="1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R226" s="65"/>
      <c r="AX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DA226" s="1"/>
      <c r="XA226" s="39"/>
      <c r="AFR226" s="39"/>
    </row>
    <row r="227" spans="2:933" x14ac:dyDescent="0.25">
      <c r="B227" s="749"/>
      <c r="C227" s="475" t="s">
        <v>20</v>
      </c>
      <c r="D227" s="645">
        <v>1168.001</v>
      </c>
      <c r="E227" s="509" t="s">
        <v>19</v>
      </c>
      <c r="F227" s="636">
        <f>'[22]Januari 24'!AL221</f>
        <v>21151.569399999997</v>
      </c>
      <c r="G227" s="636">
        <f>'[22]Februari 24'!AL221</f>
        <v>12931.416799999999</v>
      </c>
      <c r="H227" s="636">
        <f>'[22]Maret 24'!AL221</f>
        <v>5002.7498000000005</v>
      </c>
      <c r="I227" s="636">
        <f>'[23]April - 24'!$AK$228</f>
        <v>0</v>
      </c>
      <c r="J227" s="636">
        <f>'[24]Mei - 24'!$AL$222</f>
        <v>0</v>
      </c>
      <c r="K227" s="636">
        <f>'[25]Juni - 24'!$AL$222</f>
        <v>17077.184200000003</v>
      </c>
      <c r="L227" s="636">
        <f>'[26]Juli - 2024 ( Revisi )'!$AL$220</f>
        <v>21833.72397072041</v>
      </c>
      <c r="M227" s="636">
        <f>'[27]Agustus - 2024'!$AN$226</f>
        <v>0</v>
      </c>
      <c r="N227" s="636">
        <f>'September - 2024'!$AM$230</f>
        <v>26265.7151784159</v>
      </c>
      <c r="O227" s="636">
        <f>'[22]Oktober 24'!AL221</f>
        <v>0</v>
      </c>
      <c r="P227" s="636">
        <f>'[22]November 24'!AL221</f>
        <v>0</v>
      </c>
      <c r="Q227" s="636">
        <f>'[22]Desember 24'!AL221</f>
        <v>0</v>
      </c>
      <c r="R227" s="737"/>
      <c r="S227" s="647">
        <f>SUM(F227:Q227)</f>
        <v>104262.3593491363</v>
      </c>
      <c r="T227" s="717">
        <v>269221.26</v>
      </c>
      <c r="U227" s="817">
        <f>S227/T227*100</f>
        <v>38.727387038132235</v>
      </c>
      <c r="W227" s="1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R227" s="65"/>
      <c r="AX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DA227" s="1"/>
      <c r="WZ227" s="39"/>
    </row>
    <row r="228" spans="2:933" x14ac:dyDescent="0.25">
      <c r="B228" s="755"/>
      <c r="C228" s="648" t="s">
        <v>1</v>
      </c>
      <c r="D228" s="649">
        <f>SUM(D226:D227)</f>
        <v>1460.001</v>
      </c>
      <c r="E228" s="25" t="s">
        <v>19</v>
      </c>
      <c r="F228" s="650">
        <f>F224</f>
        <v>23450.754799999995</v>
      </c>
      <c r="G228" s="650">
        <f>G224</f>
        <v>14868.589600000001</v>
      </c>
      <c r="H228" s="650">
        <f>'[22]Maret 24'!AL222</f>
        <v>5581.7099000000007</v>
      </c>
      <c r="I228" s="650">
        <f>'[23]April - 24'!$AK$223</f>
        <v>0</v>
      </c>
      <c r="J228" s="650">
        <f>J224</f>
        <v>0</v>
      </c>
      <c r="K228" s="650">
        <f t="shared" ref="K228:Q228" si="100">K224</f>
        <v>19670.9984</v>
      </c>
      <c r="L228" s="650">
        <f t="shared" si="100"/>
        <v>26610.053000000004</v>
      </c>
      <c r="M228" s="650">
        <f>M224</f>
        <v>0</v>
      </c>
      <c r="N228" s="650">
        <f t="shared" si="100"/>
        <v>32134.349099999996</v>
      </c>
      <c r="O228" s="650">
        <f t="shared" si="100"/>
        <v>0</v>
      </c>
      <c r="P228" s="650">
        <f>P224</f>
        <v>0</v>
      </c>
      <c r="Q228" s="650">
        <f t="shared" si="100"/>
        <v>0</v>
      </c>
      <c r="R228" s="751"/>
      <c r="S228" s="120">
        <f>SUM(S226:S227)</f>
        <v>122316.45479999999</v>
      </c>
      <c r="T228" s="718">
        <f>SUM(T226:T227)</f>
        <v>316731.03000000003</v>
      </c>
      <c r="U228" s="817">
        <f>S228/T228*100</f>
        <v>38.618399592865906</v>
      </c>
      <c r="W228" s="1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R228" s="65"/>
      <c r="AX228" s="2"/>
      <c r="BD228" s="155"/>
      <c r="BE228" s="155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CH228" s="155"/>
      <c r="DA228" s="1"/>
      <c r="DP228" s="448"/>
      <c r="DQ228" s="155"/>
      <c r="DR228" s="155"/>
      <c r="DS228" s="155"/>
      <c r="DT228" s="155"/>
      <c r="FW228" s="155"/>
      <c r="JR228" s="155"/>
      <c r="JS228" s="155"/>
      <c r="JT228" s="155"/>
      <c r="JU228" s="155"/>
      <c r="OY228" s="155"/>
      <c r="OZ228" s="155"/>
      <c r="PB228" s="155"/>
      <c r="PP228" s="651"/>
      <c r="PT228" s="155"/>
      <c r="RW228" s="651"/>
      <c r="AHF228" s="155"/>
      <c r="AIU228" s="155"/>
      <c r="AIV228" s="155"/>
      <c r="AIW228" s="155"/>
    </row>
    <row r="229" spans="2:933" x14ac:dyDescent="0.25">
      <c r="B229" s="746">
        <v>10</v>
      </c>
      <c r="C229" s="652" t="s">
        <v>18</v>
      </c>
      <c r="D229" s="653"/>
      <c r="E229" s="122"/>
      <c r="F229" s="654"/>
      <c r="G229" s="654"/>
      <c r="H229" s="654"/>
      <c r="I229" s="654"/>
      <c r="J229" s="654"/>
      <c r="K229" s="654"/>
      <c r="L229" s="654"/>
      <c r="M229" s="654"/>
      <c r="N229" s="654"/>
      <c r="O229" s="654"/>
      <c r="P229" s="654"/>
      <c r="Q229" s="654"/>
      <c r="R229" s="751"/>
      <c r="S229" s="733" t="s">
        <v>133</v>
      </c>
      <c r="T229" s="719" t="s">
        <v>133</v>
      </c>
      <c r="U229" s="818" t="s">
        <v>133</v>
      </c>
      <c r="W229" s="1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R229" s="65"/>
      <c r="AX229" s="2"/>
      <c r="BD229" s="155"/>
      <c r="BE229" s="155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CH229" s="155"/>
      <c r="DA229" s="1"/>
      <c r="DP229" s="448"/>
      <c r="DQ229" s="155"/>
      <c r="DR229" s="155"/>
      <c r="DS229" s="155"/>
      <c r="DT229" s="155"/>
      <c r="FW229" s="155"/>
      <c r="JR229" s="155"/>
      <c r="JS229" s="155"/>
      <c r="JT229" s="155"/>
      <c r="JU229" s="155"/>
      <c r="OY229" s="155"/>
      <c r="OZ229" s="155"/>
      <c r="PB229" s="155"/>
      <c r="PP229" s="651"/>
      <c r="PT229" s="155"/>
      <c r="RW229" s="651"/>
      <c r="AHF229" s="155"/>
      <c r="AIU229" s="155"/>
      <c r="AIV229" s="155"/>
      <c r="AIW229" s="155"/>
    </row>
    <row r="230" spans="2:933" x14ac:dyDescent="0.25">
      <c r="B230" s="749"/>
      <c r="C230" s="475" t="s">
        <v>4</v>
      </c>
      <c r="D230" s="656">
        <f>17000*24</f>
        <v>408000</v>
      </c>
      <c r="E230" s="509" t="s">
        <v>14</v>
      </c>
      <c r="F230" s="289">
        <f>'[22]Januari 24'!AL224</f>
        <v>4927889</v>
      </c>
      <c r="G230" s="289">
        <f>'[22]Februari 24'!AL224</f>
        <v>3183848</v>
      </c>
      <c r="H230" s="289">
        <f>'[22]Maret 24'!AL224</f>
        <v>1241817</v>
      </c>
      <c r="I230" s="289">
        <f>'[23]April - 24'!$AK$225</f>
        <v>0</v>
      </c>
      <c r="J230" s="289">
        <f>'[24]Mei - 24'!$AL$225</f>
        <v>0</v>
      </c>
      <c r="K230" s="289">
        <f>'[25]Juni - 24'!$AL$225</f>
        <v>3827086</v>
      </c>
      <c r="L230" s="289">
        <f>'[26]Juli - 2024 ( Revisi )'!$AL$223</f>
        <v>4916977</v>
      </c>
      <c r="M230" s="289">
        <f>'[27]Agustus - 2024'!$AN$229</f>
        <v>0</v>
      </c>
      <c r="N230" s="610">
        <f>'September - 2024'!AM233</f>
        <v>5670273</v>
      </c>
      <c r="O230" s="610">
        <f>'[22]Oktober 24'!AL224</f>
        <v>0</v>
      </c>
      <c r="P230" s="657">
        <f>'[22]November 24'!AL224</f>
        <v>0</v>
      </c>
      <c r="Q230" s="610">
        <f>'[22]Desember 24'!AL224</f>
        <v>0</v>
      </c>
      <c r="R230" s="737"/>
      <c r="S230" s="658">
        <f>SUM(F230:Q230)</f>
        <v>23767890</v>
      </c>
      <c r="T230" s="720">
        <v>110880000</v>
      </c>
      <c r="U230" s="806">
        <f>S230/T230*100</f>
        <v>21.435687229437232</v>
      </c>
      <c r="V230" s="3"/>
      <c r="W230" s="1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R230" s="65"/>
      <c r="AX230" s="2"/>
      <c r="BD230" s="145"/>
      <c r="BE230" s="145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CH230" s="145"/>
      <c r="DA230" s="1"/>
      <c r="DP230" s="5"/>
      <c r="DQ230" s="145"/>
      <c r="DR230" s="145"/>
      <c r="DS230" s="145"/>
      <c r="DT230" s="145"/>
      <c r="FW230" s="145"/>
      <c r="JR230" s="145"/>
      <c r="JS230" s="145"/>
      <c r="JT230" s="145"/>
      <c r="JU230" s="145"/>
      <c r="OY230" s="145"/>
      <c r="OZ230" s="145"/>
      <c r="PB230" s="145"/>
      <c r="PP230" s="494"/>
      <c r="PT230" s="145"/>
      <c r="RW230" s="494"/>
      <c r="AHF230" s="145"/>
      <c r="AIU230" s="145"/>
      <c r="AIV230" s="145"/>
      <c r="AIW230" s="145"/>
    </row>
    <row r="231" spans="2:933" x14ac:dyDescent="0.25">
      <c r="B231" s="746"/>
      <c r="C231" s="582" t="s">
        <v>17</v>
      </c>
      <c r="D231" s="659"/>
      <c r="E231" s="13"/>
      <c r="F231" s="610"/>
      <c r="G231" s="610"/>
      <c r="H231" s="610"/>
      <c r="I231" s="610"/>
      <c r="J231" s="610"/>
      <c r="K231" s="610"/>
      <c r="L231" s="610"/>
      <c r="M231" s="610"/>
      <c r="N231" s="610"/>
      <c r="O231" s="610"/>
      <c r="P231" s="610"/>
      <c r="Q231" s="610"/>
      <c r="R231" s="751"/>
      <c r="S231" s="734" t="s">
        <v>17</v>
      </c>
      <c r="T231" s="721" t="s">
        <v>17</v>
      </c>
      <c r="U231" s="819" t="s">
        <v>17</v>
      </c>
      <c r="V231" s="27"/>
      <c r="W231" s="1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R231" s="65"/>
      <c r="AX231" s="2"/>
      <c r="BD231" s="155"/>
      <c r="BE231" s="155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CH231" s="155"/>
      <c r="DA231" s="1"/>
      <c r="DP231" s="448"/>
      <c r="DQ231" s="155"/>
      <c r="DR231" s="155"/>
      <c r="DS231" s="155"/>
      <c r="DT231" s="155"/>
      <c r="FW231" s="155"/>
      <c r="JR231" s="155"/>
      <c r="JS231" s="155"/>
      <c r="JT231" s="155"/>
      <c r="JU231" s="155"/>
      <c r="OY231" s="155"/>
      <c r="OZ231" s="155"/>
      <c r="PB231" s="155"/>
      <c r="PP231" s="651"/>
      <c r="PT231" s="155"/>
      <c r="RW231" s="651"/>
      <c r="AHF231" s="155"/>
      <c r="AIU231" s="155"/>
      <c r="AIV231" s="155"/>
      <c r="AIW231" s="155"/>
    </row>
    <row r="232" spans="2:933" x14ac:dyDescent="0.25">
      <c r="B232" s="749"/>
      <c r="C232" s="475" t="s">
        <v>16</v>
      </c>
      <c r="D232" s="656">
        <v>180000</v>
      </c>
      <c r="E232" s="509" t="s">
        <v>14</v>
      </c>
      <c r="F232" s="33">
        <f>'[22]Januari 24'!AL226</f>
        <v>2995400</v>
      </c>
      <c r="G232" s="33">
        <f>'[22]Februari 24'!AL226</f>
        <v>2048300</v>
      </c>
      <c r="H232" s="33">
        <f>'[22]Maret 24'!AL226</f>
        <v>829700</v>
      </c>
      <c r="I232" s="33">
        <f>'[23]April - 24'!$AK$227</f>
        <v>0</v>
      </c>
      <c r="J232" s="33">
        <f>'[24]Mei - 24'!$AL$227</f>
        <v>0</v>
      </c>
      <c r="K232" s="33">
        <f>'[25]Juni - 24'!$AL$227</f>
        <v>2489600</v>
      </c>
      <c r="L232" s="33">
        <f>'[26]Juli - 2024 ( Revisi )'!$AL$225</f>
        <v>3311110</v>
      </c>
      <c r="M232" s="33">
        <f>'[27]Agustus - 2024'!$AN$231</f>
        <v>0</v>
      </c>
      <c r="N232" s="33">
        <f>'September - 2024'!$AM$235</f>
        <v>3927994</v>
      </c>
      <c r="O232" s="452">
        <f>'[22]Oktober 24'!AL226</f>
        <v>0</v>
      </c>
      <c r="P232" s="452">
        <f>'[22]November 24'!AL226</f>
        <v>0</v>
      </c>
      <c r="Q232" s="452">
        <f>'[22]Desember 24'!AL226</f>
        <v>0</v>
      </c>
      <c r="R232" s="737"/>
      <c r="S232" s="57">
        <f>SUM(F232:Q232)</f>
        <v>15602104</v>
      </c>
      <c r="T232" s="684">
        <v>41580000</v>
      </c>
      <c r="U232" s="791">
        <f>S232/T232*100</f>
        <v>37.523097643097643</v>
      </c>
      <c r="V232" s="510"/>
      <c r="W232" s="1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R232" s="65"/>
      <c r="AX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DA232" s="1"/>
    </row>
    <row r="233" spans="2:933" x14ac:dyDescent="0.25">
      <c r="B233" s="749"/>
      <c r="C233" s="475" t="s">
        <v>15</v>
      </c>
      <c r="D233" s="656">
        <v>122000</v>
      </c>
      <c r="E233" s="509" t="s">
        <v>14</v>
      </c>
      <c r="F233" s="33">
        <f>'[22]Januari 24'!AL227</f>
        <v>1282600</v>
      </c>
      <c r="G233" s="33">
        <f>'[22]Februari 24'!AL227</f>
        <v>818400</v>
      </c>
      <c r="H233" s="33">
        <f>'[22]Maret 24'!AL227</f>
        <v>366100</v>
      </c>
      <c r="I233" s="33">
        <f>'[23]April - 24'!$AK$228</f>
        <v>0</v>
      </c>
      <c r="J233" s="33">
        <f>'[24]Mei - 24'!$AL$228</f>
        <v>0</v>
      </c>
      <c r="K233" s="33">
        <f>'[25]Juni - 24'!$AL$228</f>
        <v>850000</v>
      </c>
      <c r="L233" s="33">
        <f>'[26]Juli - 2024 ( Revisi )'!$AL$226</f>
        <v>1238750</v>
      </c>
      <c r="M233" s="33">
        <f>'[27]Agustus - 2024'!$AN$233</f>
        <v>0</v>
      </c>
      <c r="N233" s="33">
        <f>'September - 2024'!$AM$237</f>
        <v>1632200</v>
      </c>
      <c r="O233" s="452">
        <f>'[22]Oktober 24'!AL227</f>
        <v>0</v>
      </c>
      <c r="P233" s="452">
        <f>'[22]November 24'!AL227</f>
        <v>0</v>
      </c>
      <c r="Q233" s="452">
        <f>'[22]Desember 24'!AL227</f>
        <v>0</v>
      </c>
      <c r="R233" s="737"/>
      <c r="S233" s="57">
        <f>SUM(F233:Q233)</f>
        <v>6188050</v>
      </c>
      <c r="T233" s="684">
        <v>28182000</v>
      </c>
      <c r="U233" s="791">
        <f>S233/T233*100</f>
        <v>21.957455113192818</v>
      </c>
      <c r="W233" s="1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R233" s="65"/>
      <c r="AX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DA233" s="1"/>
    </row>
    <row r="234" spans="2:933" x14ac:dyDescent="0.25">
      <c r="B234" s="749"/>
      <c r="C234" s="475" t="s">
        <v>7</v>
      </c>
      <c r="D234" s="656">
        <f>D230-D232-D233</f>
        <v>106000</v>
      </c>
      <c r="E234" s="509" t="s">
        <v>14</v>
      </c>
      <c r="F234" s="452">
        <f>'[22]Januari 24'!AL228</f>
        <v>649889</v>
      </c>
      <c r="G234" s="452">
        <f>'[22]Februari 24'!AL228</f>
        <v>317148</v>
      </c>
      <c r="H234" s="452">
        <f>'[22]Maret 24'!AL228</f>
        <v>46017</v>
      </c>
      <c r="I234" s="452">
        <f>'[23]April - 24'!$AK$229</f>
        <v>0</v>
      </c>
      <c r="J234" s="452">
        <f>'[24]Mei - 24'!$AL$229</f>
        <v>0</v>
      </c>
      <c r="K234" s="452">
        <f>'[25]Juni - 24'!$AL$229</f>
        <v>487486</v>
      </c>
      <c r="L234" s="33">
        <f>'[26]Juli - 2024 ( Revisi )'!$AL$227</f>
        <v>367117</v>
      </c>
      <c r="M234" s="452">
        <f>'[27]Agustus - 2024'!$AN$235</f>
        <v>3516.75</v>
      </c>
      <c r="N234" s="452">
        <f>'September - 2024'!$AM$239</f>
        <v>110079</v>
      </c>
      <c r="O234" s="452">
        <f>'[22]Oktober 24'!AL228</f>
        <v>0</v>
      </c>
      <c r="P234" s="452">
        <f>'[22]November 24'!AL228</f>
        <v>0</v>
      </c>
      <c r="Q234" s="452">
        <f>'[22]Desember 24'!AL228</f>
        <v>0</v>
      </c>
      <c r="R234" s="737"/>
      <c r="S234" s="57">
        <f>SUM(F234:Q234)</f>
        <v>1981252.75</v>
      </c>
      <c r="T234" s="684">
        <v>41118000</v>
      </c>
      <c r="U234" s="791">
        <f>S234/T234*100</f>
        <v>4.8184560289897371</v>
      </c>
      <c r="W234" s="1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R234" s="65"/>
      <c r="AX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DA234" s="1"/>
    </row>
    <row r="235" spans="2:933" x14ac:dyDescent="0.25">
      <c r="B235" s="746"/>
      <c r="C235" s="592" t="s">
        <v>1</v>
      </c>
      <c r="D235" s="660">
        <f>SUM(D232:D234)</f>
        <v>408000</v>
      </c>
      <c r="E235" s="509" t="s">
        <v>14</v>
      </c>
      <c r="F235" s="610">
        <f t="shared" ref="F235:Q235" si="101">SUM(F232:F234)</f>
        <v>4927889</v>
      </c>
      <c r="G235" s="610">
        <f t="shared" si="101"/>
        <v>3183848</v>
      </c>
      <c r="H235" s="610">
        <f>'[22]Maret 24'!AL229</f>
        <v>1241817</v>
      </c>
      <c r="I235" s="610">
        <f>'[23]April - 24'!$AK$230</f>
        <v>0</v>
      </c>
      <c r="J235" s="610">
        <f>'[24]Mei - 24'!$AL$230</f>
        <v>0</v>
      </c>
      <c r="K235" s="610">
        <f t="shared" si="101"/>
        <v>3827086</v>
      </c>
      <c r="L235" s="610">
        <f t="shared" si="101"/>
        <v>4916977</v>
      </c>
      <c r="M235" s="610">
        <f>SUM(M232:M234)</f>
        <v>3516.75</v>
      </c>
      <c r="N235" s="610">
        <f t="shared" si="101"/>
        <v>5670273</v>
      </c>
      <c r="O235" s="610">
        <f t="shared" si="101"/>
        <v>0</v>
      </c>
      <c r="P235" s="610">
        <f t="shared" si="101"/>
        <v>0</v>
      </c>
      <c r="Q235" s="610">
        <f t="shared" si="101"/>
        <v>0</v>
      </c>
      <c r="R235" s="751"/>
      <c r="S235" s="661">
        <f>SUM(S232:S234)</f>
        <v>23771406.75</v>
      </c>
      <c r="T235" s="722">
        <f>SUM(T232:T234)</f>
        <v>110880000</v>
      </c>
      <c r="U235" s="791">
        <f>S235/T235*100</f>
        <v>21.43885890151515</v>
      </c>
      <c r="W235" s="1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R235" s="65"/>
      <c r="AX235" s="2"/>
      <c r="BD235" s="155"/>
      <c r="BE235" s="155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CH235" s="155"/>
      <c r="DA235" s="1"/>
      <c r="DP235" s="448"/>
      <c r="DQ235" s="155"/>
      <c r="DR235" s="155"/>
      <c r="DS235" s="155"/>
      <c r="DT235" s="155"/>
      <c r="FW235" s="155"/>
      <c r="JR235" s="155"/>
      <c r="JS235" s="155"/>
      <c r="JT235" s="155"/>
      <c r="JU235" s="155"/>
      <c r="OY235" s="155"/>
      <c r="OZ235" s="155"/>
      <c r="PB235" s="155"/>
      <c r="PP235" s="651"/>
      <c r="PT235" s="155"/>
      <c r="RW235" s="651"/>
      <c r="AHF235" s="155"/>
      <c r="AIU235" s="155"/>
      <c r="AIV235" s="155"/>
      <c r="AIW235" s="155"/>
    </row>
    <row r="236" spans="2:933" x14ac:dyDescent="0.25">
      <c r="B236" s="745">
        <v>11</v>
      </c>
      <c r="C236" s="534" t="s">
        <v>13</v>
      </c>
      <c r="D236" s="662"/>
      <c r="E236" s="79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737"/>
      <c r="S236" s="655" t="s">
        <v>134</v>
      </c>
      <c r="T236" s="719" t="s">
        <v>134</v>
      </c>
      <c r="U236" s="818" t="s">
        <v>134</v>
      </c>
      <c r="W236" s="1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R236" s="65"/>
      <c r="AX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DA236" s="1"/>
    </row>
    <row r="237" spans="2:933" ht="16.5" x14ac:dyDescent="0.25">
      <c r="B237" s="750"/>
      <c r="C237" s="585" t="s">
        <v>12</v>
      </c>
      <c r="D237" s="663">
        <v>750</v>
      </c>
      <c r="E237" s="586" t="s">
        <v>358</v>
      </c>
      <c r="F237" s="594">
        <f>'[22]Januari 24'!AL231</f>
        <v>17554</v>
      </c>
      <c r="G237" s="594">
        <f>'[22]Februari 24'!AL231</f>
        <v>16703</v>
      </c>
      <c r="H237" s="594">
        <f>'[22]Maret 24'!AL231</f>
        <v>3331</v>
      </c>
      <c r="I237" s="594">
        <f>'[23]April - 24'!$AK$234</f>
        <v>0</v>
      </c>
      <c r="J237" s="594">
        <f>'[24]Mei - 24'!$AL$232</f>
        <v>0</v>
      </c>
      <c r="K237" s="594">
        <f>'[25]Juni - 24'!$AL$232</f>
        <v>16314</v>
      </c>
      <c r="L237" s="594">
        <f>'[26]Juli - 2024 ( Revisi )'!$AL$230</f>
        <v>18760</v>
      </c>
      <c r="M237" s="594">
        <f>'[27]Agustus - 2024'!$AN$238</f>
        <v>0</v>
      </c>
      <c r="N237" s="594">
        <f>'September - 2024'!AM242</f>
        <v>18965</v>
      </c>
      <c r="O237" s="664">
        <f>'[22]Oktober 24'!AL231</f>
        <v>0</v>
      </c>
      <c r="P237" s="664">
        <f>'[22]November 24'!AL231</f>
        <v>0</v>
      </c>
      <c r="Q237" s="664">
        <f>'[22]Desember 24'!AL231</f>
        <v>0</v>
      </c>
      <c r="S237" s="665">
        <f>SUM(F237:Q237)</f>
        <v>91627</v>
      </c>
      <c r="T237" s="723">
        <v>232503.81</v>
      </c>
      <c r="U237" s="806">
        <f>S237/T237*100</f>
        <v>39.408816569500516</v>
      </c>
      <c r="V237" s="843"/>
      <c r="W237" s="1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R237" s="65"/>
      <c r="AX237" s="177">
        <f>AW237/4</f>
        <v>0</v>
      </c>
      <c r="BD237" s="148"/>
      <c r="BE237" s="148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CH237" s="148"/>
      <c r="DA237" s="1"/>
      <c r="DP237" s="530"/>
      <c r="DQ237" s="148"/>
      <c r="DR237" s="148"/>
      <c r="DS237" s="148"/>
      <c r="DT237" s="148"/>
      <c r="FW237" s="148"/>
      <c r="JR237" s="148"/>
      <c r="JS237" s="148"/>
      <c r="JT237" s="148"/>
      <c r="JU237" s="148"/>
      <c r="OY237" s="148"/>
      <c r="OZ237" s="148"/>
      <c r="PB237" s="148"/>
      <c r="PP237" s="523"/>
      <c r="PT237" s="148"/>
      <c r="RW237" s="523"/>
      <c r="AHF237" s="148"/>
      <c r="AIU237" s="148"/>
      <c r="AIV237" s="148"/>
      <c r="AIW237" s="148"/>
    </row>
    <row r="238" spans="2:933" x14ac:dyDescent="0.25">
      <c r="B238" s="750"/>
      <c r="C238" s="666" t="s">
        <v>11</v>
      </c>
      <c r="D238" s="667"/>
      <c r="E238" s="451"/>
      <c r="F238" s="281"/>
      <c r="G238" s="281"/>
      <c r="H238" s="281"/>
      <c r="I238" s="281"/>
      <c r="J238" s="281"/>
      <c r="K238" s="281"/>
      <c r="L238" s="281"/>
      <c r="M238" s="281"/>
      <c r="N238" s="281"/>
      <c r="O238" s="281"/>
      <c r="P238" s="281"/>
      <c r="Q238" s="281"/>
      <c r="S238" s="729" t="s">
        <v>11</v>
      </c>
      <c r="T238" s="724" t="s">
        <v>11</v>
      </c>
      <c r="U238" s="820" t="s">
        <v>11</v>
      </c>
      <c r="W238" s="1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R238" s="65"/>
      <c r="AX238" s="16"/>
      <c r="BD238" s="148"/>
      <c r="BE238" s="148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CH238" s="148"/>
      <c r="DA238" s="1"/>
      <c r="DP238" s="530"/>
      <c r="DQ238" s="148"/>
      <c r="DR238" s="148"/>
      <c r="DS238" s="148"/>
      <c r="DT238" s="148"/>
      <c r="FW238" s="148"/>
      <c r="JR238" s="148"/>
      <c r="JS238" s="148"/>
      <c r="JT238" s="148"/>
      <c r="JU238" s="148"/>
      <c r="OY238" s="148"/>
      <c r="OZ238" s="148"/>
      <c r="PB238" s="148"/>
      <c r="PP238" s="523"/>
      <c r="PT238" s="148"/>
      <c r="RW238" s="523"/>
      <c r="AHF238" s="148"/>
      <c r="AIU238" s="148"/>
      <c r="AIV238" s="148"/>
      <c r="AIW238" s="148"/>
    </row>
    <row r="239" spans="2:933" ht="16.5" x14ac:dyDescent="0.25">
      <c r="B239" s="750"/>
      <c r="C239" s="585" t="s">
        <v>10</v>
      </c>
      <c r="D239" s="668">
        <v>91.5</v>
      </c>
      <c r="E239" s="586" t="s">
        <v>358</v>
      </c>
      <c r="F239" s="29">
        <f>'[22]Januari 24'!AL233</f>
        <v>2013</v>
      </c>
      <c r="G239" s="29">
        <f>'[22]Februari 24'!AL233</f>
        <v>1500</v>
      </c>
      <c r="H239" s="29">
        <f>'[22]Maret 24'!AL233</f>
        <v>472</v>
      </c>
      <c r="I239" s="29">
        <f>'[23]April - 24'!$AK$236</f>
        <v>0</v>
      </c>
      <c r="J239" s="29">
        <f>'[24]Mei - 24'!$AL$234</f>
        <v>0</v>
      </c>
      <c r="K239" s="29">
        <f>'[25]Juni - 24'!$AL$234</f>
        <v>1749</v>
      </c>
      <c r="L239" s="29">
        <f>'[26]Juli - 2024 ( Revisi )'!$AL$232</f>
        <v>3095</v>
      </c>
      <c r="M239" s="29">
        <f>'[27]Agustus - 2024'!$AN$240</f>
        <v>0</v>
      </c>
      <c r="N239" s="29">
        <f>'September - 2024'!$AM$244</f>
        <v>2699</v>
      </c>
      <c r="O239" s="281">
        <f>'[22]Oktober 24'!AL233</f>
        <v>0</v>
      </c>
      <c r="P239" s="281">
        <f>'[22]November 24'!AL233</f>
        <v>0</v>
      </c>
      <c r="Q239" s="281">
        <f>'[22]Desember 24'!AL233</f>
        <v>0</v>
      </c>
      <c r="S239" s="669">
        <f>SUM(F239:Q239)</f>
        <v>11528</v>
      </c>
      <c r="T239" s="725">
        <v>18496.169999999998</v>
      </c>
      <c r="U239" s="821">
        <f>S239/T239*100</f>
        <v>62.326416766281888</v>
      </c>
      <c r="V239" s="670"/>
      <c r="W239" s="1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R239" s="65"/>
      <c r="AX239" s="16"/>
      <c r="BD239" s="148"/>
      <c r="BE239" s="148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CH239" s="148"/>
      <c r="DA239" s="1"/>
      <c r="DP239" s="530"/>
      <c r="DQ239" s="148"/>
      <c r="DR239" s="148"/>
      <c r="DS239" s="148"/>
      <c r="DT239" s="148"/>
      <c r="FW239" s="148"/>
      <c r="JR239" s="148"/>
      <c r="JS239" s="148"/>
      <c r="JT239" s="148"/>
      <c r="JU239" s="148"/>
      <c r="OY239" s="148"/>
      <c r="OZ239" s="148"/>
      <c r="PB239" s="148"/>
      <c r="PP239" s="523"/>
      <c r="PT239" s="148"/>
      <c r="RW239" s="523"/>
      <c r="AFR239" s="671" t="e">
        <f>#REF!-S239</f>
        <v>#REF!</v>
      </c>
      <c r="AHF239" s="148"/>
      <c r="AIU239" s="148"/>
      <c r="AIV239" s="148"/>
      <c r="AIW239" s="148"/>
    </row>
    <row r="240" spans="2:933" ht="16.5" x14ac:dyDescent="0.25">
      <c r="B240" s="750"/>
      <c r="C240" s="585" t="s">
        <v>9</v>
      </c>
      <c r="D240" s="668">
        <v>179.63</v>
      </c>
      <c r="E240" s="586" t="s">
        <v>358</v>
      </c>
      <c r="F240" s="29">
        <f>'[22]Januari 24'!AL234</f>
        <v>1344</v>
      </c>
      <c r="G240" s="29">
        <f>'[22]Februari 24'!AL234</f>
        <v>1063</v>
      </c>
      <c r="H240" s="29">
        <f>'[22]Maret 24'!AL234</f>
        <v>414</v>
      </c>
      <c r="I240" s="29">
        <f>'[23]April - 24'!$AK$237</f>
        <v>0</v>
      </c>
      <c r="J240" s="29">
        <f>'[24]Mei - 24'!$AL$235</f>
        <v>0</v>
      </c>
      <c r="K240" s="29">
        <f>'[25]Juni - 24'!$AL$235</f>
        <v>993</v>
      </c>
      <c r="L240" s="29">
        <f>'[26]Juli - 2024 ( Revisi )'!$AL$233</f>
        <v>1579</v>
      </c>
      <c r="M240" s="29">
        <f>'[27]Agustus - 2024'!$AN$242</f>
        <v>0</v>
      </c>
      <c r="N240" s="29">
        <f>'September - 2024'!$AM$246</f>
        <v>2060</v>
      </c>
      <c r="O240" s="281">
        <f>'[22]Oktober 24'!AL234</f>
        <v>0</v>
      </c>
      <c r="P240" s="281">
        <f>'[22]November 24'!AL234</f>
        <v>0</v>
      </c>
      <c r="Q240" s="281">
        <f>'[22]Desember 24'!AL234</f>
        <v>0</v>
      </c>
      <c r="S240" s="669">
        <f>SUM(F240:Q240)</f>
        <v>7453</v>
      </c>
      <c r="T240" s="725">
        <v>31949.61</v>
      </c>
      <c r="U240" s="821">
        <f>S240/T240*100</f>
        <v>23.327358299522277</v>
      </c>
      <c r="W240" s="1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R240" s="65"/>
      <c r="AX240" s="16"/>
      <c r="BD240" s="148"/>
      <c r="BE240" s="148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CH240" s="148"/>
      <c r="DA240" s="1"/>
      <c r="DP240" s="530"/>
      <c r="DQ240" s="148"/>
      <c r="DR240" s="148"/>
      <c r="DS240" s="148"/>
      <c r="DT240" s="148"/>
      <c r="FW240" s="148"/>
      <c r="JR240" s="148"/>
      <c r="JS240" s="148"/>
      <c r="JT240" s="148"/>
      <c r="JU240" s="148"/>
      <c r="OY240" s="148"/>
      <c r="OZ240" s="148"/>
      <c r="PB240" s="148"/>
      <c r="PP240" s="523"/>
      <c r="PT240" s="148"/>
      <c r="RW240" s="523"/>
      <c r="AFR240" s="671" t="e">
        <f>#REF!-S240</f>
        <v>#REF!</v>
      </c>
      <c r="AHF240" s="148"/>
      <c r="AIU240" s="148"/>
      <c r="AIV240" s="148"/>
      <c r="AIW240" s="148"/>
    </row>
    <row r="241" spans="2:933" ht="16.5" x14ac:dyDescent="0.25">
      <c r="B241" s="750"/>
      <c r="C241" s="585" t="s">
        <v>8</v>
      </c>
      <c r="D241" s="663">
        <f>44.69%*D237</f>
        <v>335.17499999999995</v>
      </c>
      <c r="E241" s="586" t="s">
        <v>358</v>
      </c>
      <c r="F241" s="281">
        <f>'[22]Januari 24'!AL235</f>
        <v>7297.1</v>
      </c>
      <c r="G241" s="281">
        <f>'[22]Februari 24'!AL235</f>
        <v>3910.2999999999997</v>
      </c>
      <c r="H241" s="281">
        <f>'[22]Maret 24'!AL235</f>
        <v>1557</v>
      </c>
      <c r="I241" s="281">
        <f>'[23]April - 24'!$AK$238</f>
        <v>0</v>
      </c>
      <c r="J241" s="281">
        <f>'[24]Mei - 24'!$AL$236</f>
        <v>0</v>
      </c>
      <c r="K241" s="281">
        <f>'[25]Juni - 24'!$AL$236</f>
        <v>6781.7999999999984</v>
      </c>
      <c r="L241" s="281">
        <f>'[26]Juli - 2024 ( Revisi )'!$AL$234</f>
        <v>8167.3000000000011</v>
      </c>
      <c r="M241" s="281">
        <f>'[27]Agustus - 2024'!$AN$244</f>
        <v>103300</v>
      </c>
      <c r="N241" s="281">
        <f>'September - 2024'!$AM$248</f>
        <v>9920.2999999999993</v>
      </c>
      <c r="O241" s="281">
        <f>'[22]Oktober 24'!AL235</f>
        <v>0</v>
      </c>
      <c r="P241" s="281">
        <f>'[22]November 24'!AL235</f>
        <v>0</v>
      </c>
      <c r="Q241" s="281">
        <f>'[22]Desember 24'!AL235</f>
        <v>0</v>
      </c>
      <c r="S241" s="669">
        <f>SUM(F241:Q241)</f>
        <v>140933.79999999999</v>
      </c>
      <c r="T241" s="725">
        <v>134857.79999999999</v>
      </c>
      <c r="U241" s="821">
        <f>S241/T241*100</f>
        <v>104.50548651987501</v>
      </c>
      <c r="V241" s="671"/>
      <c r="W241" s="1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R241" s="65"/>
      <c r="AX241" s="16"/>
      <c r="BD241" s="148"/>
      <c r="BE241" s="148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CH241" s="148"/>
      <c r="DA241" s="1"/>
      <c r="DP241" s="530"/>
      <c r="DQ241" s="148"/>
      <c r="DR241" s="148"/>
      <c r="DS241" s="148"/>
      <c r="DT241" s="148"/>
      <c r="FW241" s="148"/>
      <c r="JR241" s="148"/>
      <c r="JS241" s="148"/>
      <c r="JT241" s="148"/>
      <c r="JU241" s="148"/>
      <c r="OY241" s="148"/>
      <c r="OZ241" s="148"/>
      <c r="PB241" s="148"/>
      <c r="PP241" s="523"/>
      <c r="PT241" s="148"/>
      <c r="RW241" s="523"/>
      <c r="AHF241" s="148"/>
      <c r="AIU241" s="148"/>
      <c r="AIV241" s="148"/>
      <c r="AIW241" s="148"/>
    </row>
    <row r="242" spans="2:933" ht="16.5" x14ac:dyDescent="0.25">
      <c r="B242" s="750"/>
      <c r="C242" s="585" t="s">
        <v>7</v>
      </c>
      <c r="D242" s="663">
        <f>D237-SUM(D239:D241)</f>
        <v>143.69500000000005</v>
      </c>
      <c r="E242" s="586" t="s">
        <v>358</v>
      </c>
      <c r="F242" s="281">
        <f>F237-(SUM(F239:F241))</f>
        <v>6899.9</v>
      </c>
      <c r="G242" s="281">
        <f>'[22]Februari 24'!AL236</f>
        <v>10229.699999999997</v>
      </c>
      <c r="H242" s="281">
        <f>'[22]Maret 24'!AL236</f>
        <v>888</v>
      </c>
      <c r="I242" s="281">
        <f>I237-(SUM(I239:I241))</f>
        <v>0</v>
      </c>
      <c r="J242" s="281">
        <f>'[24]Mei - 24'!$AL$237</f>
        <v>0</v>
      </c>
      <c r="K242" s="281">
        <f>K237-(SUM(K239:K241))</f>
        <v>6790.2000000000007</v>
      </c>
      <c r="L242" s="281">
        <f>'[26]Juli - 2024 ( Revisi )'!$AL$235</f>
        <v>6264.6999999999989</v>
      </c>
      <c r="M242" s="281">
        <f>'[27]Agustus - 2024'!$AN$245</f>
        <v>0</v>
      </c>
      <c r="N242" s="281">
        <f>'September - 2024'!$AM$249</f>
        <v>4285.7</v>
      </c>
      <c r="O242" s="281">
        <f>'[22]Oktober 24'!AL236</f>
        <v>0</v>
      </c>
      <c r="P242" s="281">
        <f>P237-(SUM(P239:P241))</f>
        <v>0</v>
      </c>
      <c r="Q242" s="281">
        <f>Q237-(SUM(Q239:Q241))</f>
        <v>0</v>
      </c>
      <c r="S242" s="669">
        <f>SUM(F242:Q242)</f>
        <v>35358.199999999997</v>
      </c>
      <c r="T242" s="725">
        <f>143.7*231</f>
        <v>33194.699999999997</v>
      </c>
      <c r="U242" s="821">
        <f>S242/T242*100</f>
        <v>106.51760672637501</v>
      </c>
      <c r="V242" s="844"/>
      <c r="W242" s="1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R242" s="65"/>
      <c r="AX242" s="16"/>
      <c r="BD242" s="148"/>
      <c r="BE242" s="148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CH242" s="148"/>
      <c r="DA242" s="1"/>
      <c r="DP242" s="530"/>
      <c r="DQ242" s="148"/>
      <c r="DR242" s="148"/>
      <c r="DS242" s="148"/>
      <c r="DT242" s="148"/>
      <c r="FW242" s="148"/>
      <c r="JR242" s="148"/>
      <c r="JS242" s="148"/>
      <c r="JT242" s="148"/>
      <c r="JU242" s="148"/>
      <c r="OY242" s="148"/>
      <c r="OZ242" s="148"/>
      <c r="PB242" s="148"/>
      <c r="PP242" s="523"/>
      <c r="PT242" s="148"/>
      <c r="RW242" s="523"/>
      <c r="AHF242" s="148"/>
      <c r="AIU242" s="148"/>
      <c r="AIV242" s="148"/>
      <c r="AIW242" s="148"/>
    </row>
    <row r="243" spans="2:933" ht="16.5" x14ac:dyDescent="0.25">
      <c r="B243" s="750"/>
      <c r="C243" s="585" t="s">
        <v>6</v>
      </c>
      <c r="D243" s="663">
        <f>30%*D237</f>
        <v>225</v>
      </c>
      <c r="E243" s="586" t="s">
        <v>358</v>
      </c>
      <c r="F243" s="281">
        <f>'[22]Januari 24'!AL237</f>
        <v>4438</v>
      </c>
      <c r="G243" s="281">
        <f>'[22]Februari 24'!AL237</f>
        <v>2566</v>
      </c>
      <c r="H243" s="281">
        <f>'[22]Maret 24'!AL237</f>
        <v>941</v>
      </c>
      <c r="I243" s="281">
        <f>'[23]April - 24'!$AK$240</f>
        <v>0</v>
      </c>
      <c r="J243" s="281">
        <f>'[24]Mei - 24'!$AL$238</f>
        <v>0</v>
      </c>
      <c r="K243" s="281">
        <f>'[25]Juni - 24'!$AL$238</f>
        <v>3544</v>
      </c>
      <c r="L243" s="281">
        <f>'[26]Juli - 2024 ( Revisi )'!$AL$236</f>
        <v>5782</v>
      </c>
      <c r="M243" s="281">
        <f>'[27]Agustus - 2024'!AN246</f>
        <v>0</v>
      </c>
      <c r="N243" s="281">
        <f>'September - 2024'!$AM$250</f>
        <v>5237</v>
      </c>
      <c r="O243" s="281">
        <f>'[22]Oktober 24'!AL237</f>
        <v>0</v>
      </c>
      <c r="P243" s="281">
        <f>'[22]November 24'!AL237</f>
        <v>0</v>
      </c>
      <c r="Q243" s="281">
        <f>'[22]Desember 24'!AL237</f>
        <v>0</v>
      </c>
      <c r="S243" s="669">
        <f>SUM(F243:Q243)</f>
        <v>22508</v>
      </c>
      <c r="T243" s="725">
        <v>47200.23</v>
      </c>
      <c r="U243" s="821">
        <f>S243/T243*100</f>
        <v>47.686208308730691</v>
      </c>
      <c r="W243" s="1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R243" s="65"/>
      <c r="AX243" s="16"/>
      <c r="BD243" s="148"/>
      <c r="BE243" s="148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CH243" s="148"/>
      <c r="DA243" s="1"/>
      <c r="DP243" s="530"/>
      <c r="DQ243" s="148"/>
      <c r="DR243" s="148"/>
      <c r="DS243" s="148"/>
      <c r="DT243" s="148"/>
      <c r="FW243" s="148"/>
      <c r="JR243" s="148"/>
      <c r="JS243" s="148"/>
      <c r="JT243" s="148"/>
      <c r="JU243" s="148"/>
      <c r="OY243" s="148"/>
      <c r="OZ243" s="148"/>
      <c r="PB243" s="148"/>
      <c r="PP243" s="523"/>
      <c r="PT243" s="148"/>
      <c r="RW243" s="523"/>
      <c r="AHF243" s="148"/>
      <c r="AIU243" s="148"/>
      <c r="AIV243" s="148"/>
      <c r="AIW243" s="148"/>
    </row>
    <row r="244" spans="2:933" x14ac:dyDescent="0.25">
      <c r="B244" s="1666">
        <v>12</v>
      </c>
      <c r="C244" s="534" t="s">
        <v>5</v>
      </c>
      <c r="D244" s="662"/>
      <c r="E244" s="79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737"/>
      <c r="S244" s="672" t="s">
        <v>135</v>
      </c>
      <c r="T244" s="726" t="s">
        <v>135</v>
      </c>
      <c r="U244" s="822" t="s">
        <v>135</v>
      </c>
      <c r="W244" s="1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R244" s="65"/>
      <c r="AX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DA244" s="1"/>
    </row>
    <row r="245" spans="2:933" x14ac:dyDescent="0.25">
      <c r="B245" s="1667"/>
      <c r="C245" s="673" t="s">
        <v>4</v>
      </c>
      <c r="D245" s="674"/>
      <c r="E245" s="675"/>
      <c r="F245" s="452"/>
      <c r="G245" s="452"/>
      <c r="H245" s="452"/>
      <c r="I245" s="452"/>
      <c r="J245" s="452"/>
      <c r="K245" s="452"/>
      <c r="L245" s="452"/>
      <c r="M245" s="452"/>
      <c r="N245" s="452"/>
      <c r="O245" s="452"/>
      <c r="P245" s="452"/>
      <c r="Q245" s="452"/>
      <c r="R245" s="737"/>
      <c r="S245" s="731" t="s">
        <v>4</v>
      </c>
      <c r="T245" s="716" t="s">
        <v>4</v>
      </c>
      <c r="U245" s="816" t="s">
        <v>4</v>
      </c>
      <c r="W245" s="1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R245" s="65"/>
      <c r="AX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DA245" s="1"/>
    </row>
    <row r="246" spans="2:933" x14ac:dyDescent="0.25">
      <c r="B246" s="1667"/>
      <c r="C246" s="536" t="s">
        <v>3</v>
      </c>
      <c r="D246" s="656">
        <v>28770</v>
      </c>
      <c r="E246" s="490" t="s">
        <v>2</v>
      </c>
      <c r="F246" s="452">
        <f>'[22]Januari 24'!AL240</f>
        <v>520700</v>
      </c>
      <c r="G246" s="452">
        <f>'[22]Februari 24'!AL240</f>
        <v>417100</v>
      </c>
      <c r="H246" s="611">
        <v>654200</v>
      </c>
      <c r="I246" s="611">
        <f>'[23]April - 24'!$AK$243</f>
        <v>0</v>
      </c>
      <c r="J246" s="452">
        <f>'[24]Mei - 24'!$AL$241</f>
        <v>0</v>
      </c>
      <c r="K246" s="611">
        <f>'[25]Juni - 24'!$AL$241</f>
        <v>407800</v>
      </c>
      <c r="L246" s="452">
        <f>'[26]Juli - 2024 ( Revisi )'!$AL$239</f>
        <v>538900</v>
      </c>
      <c r="M246" s="611">
        <f>'[27]Agustus - 2024'!$AN$249</f>
        <v>0</v>
      </c>
      <c r="N246" s="452">
        <f>'September - 2024'!AM254</f>
        <v>640500</v>
      </c>
      <c r="O246" s="452">
        <f>'[22]Oktober 24'!AL240</f>
        <v>0</v>
      </c>
      <c r="P246" s="452">
        <f>'[22]November 24'!AL240</f>
        <v>0</v>
      </c>
      <c r="Q246" s="452">
        <f>'[22]Desember 24'!AL240</f>
        <v>0</v>
      </c>
      <c r="R246" s="737"/>
      <c r="S246" s="463">
        <f>SUM(F246:Q246)</f>
        <v>3179200</v>
      </c>
      <c r="T246" s="686">
        <v>6906893</v>
      </c>
      <c r="U246" s="793">
        <f>S246/T246*100</f>
        <v>46.029379635676996</v>
      </c>
      <c r="W246" s="1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R246" s="65"/>
      <c r="AX246" s="177">
        <f>AW246/4</f>
        <v>0</v>
      </c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DA246" s="1"/>
    </row>
    <row r="247" spans="2:933" ht="15.75" thickBot="1" x14ac:dyDescent="0.3">
      <c r="B247" s="1667"/>
      <c r="C247" s="673" t="s">
        <v>1</v>
      </c>
      <c r="D247" s="659"/>
      <c r="E247" s="72" t="s">
        <v>0</v>
      </c>
      <c r="F247" s="610">
        <f>SUM(F246:F246)</f>
        <v>520700</v>
      </c>
      <c r="G247" s="610">
        <f t="shared" ref="G247:Q247" si="102">SUM(G246:G246)</f>
        <v>417100</v>
      </c>
      <c r="H247" s="610">
        <f t="shared" si="102"/>
        <v>654200</v>
      </c>
      <c r="I247" s="610">
        <f t="shared" si="102"/>
        <v>0</v>
      </c>
      <c r="J247" s="610">
        <f t="shared" si="102"/>
        <v>0</v>
      </c>
      <c r="K247" s="610">
        <f t="shared" si="102"/>
        <v>407800</v>
      </c>
      <c r="L247" s="610">
        <f t="shared" si="102"/>
        <v>538900</v>
      </c>
      <c r="M247" s="610">
        <f>SUM($M$246:$M$246)</f>
        <v>0</v>
      </c>
      <c r="N247" s="610">
        <f t="shared" si="102"/>
        <v>640500</v>
      </c>
      <c r="O247" s="610">
        <f t="shared" si="102"/>
        <v>0</v>
      </c>
      <c r="P247" s="610">
        <f t="shared" si="102"/>
        <v>0</v>
      </c>
      <c r="Q247" s="610">
        <f t="shared" si="102"/>
        <v>0</v>
      </c>
      <c r="R247" s="738"/>
      <c r="S247" s="661">
        <f>SUM(F247:Q247)</f>
        <v>3179200</v>
      </c>
      <c r="T247" s="679">
        <v>9666771</v>
      </c>
      <c r="U247" s="823">
        <f>S247/T247*100</f>
        <v>32.8879208993365</v>
      </c>
      <c r="V247" s="427"/>
      <c r="W247" s="1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R247" s="65"/>
      <c r="AX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DA247" s="1"/>
    </row>
    <row r="248" spans="2:933" x14ac:dyDescent="0.25">
      <c r="B248" s="1667"/>
      <c r="C248" s="763" t="s">
        <v>16</v>
      </c>
      <c r="D248" s="771"/>
      <c r="E248" s="771"/>
      <c r="F248" s="772"/>
      <c r="G248" s="772"/>
      <c r="H248" s="772"/>
      <c r="I248" s="546"/>
      <c r="J248" s="772"/>
      <c r="K248" s="772"/>
      <c r="L248" s="546"/>
      <c r="M248" s="546"/>
      <c r="N248" s="772"/>
      <c r="O248" s="767"/>
      <c r="P248" s="677"/>
      <c r="Q248" s="677"/>
      <c r="R248" s="771"/>
      <c r="S248" s="128" t="s">
        <v>16</v>
      </c>
      <c r="AO248" s="65"/>
      <c r="AP248" s="824"/>
      <c r="AQ248" s="65"/>
      <c r="AS248" s="65"/>
      <c r="BX248" s="1"/>
      <c r="BY248" s="1"/>
      <c r="BZ248" s="1"/>
      <c r="DB248" s="1"/>
    </row>
    <row r="249" spans="2:933" ht="15.75" thickBot="1" x14ac:dyDescent="0.3">
      <c r="B249" s="1667"/>
      <c r="C249" s="764" t="s">
        <v>119</v>
      </c>
      <c r="D249" s="769">
        <v>5404.17</v>
      </c>
      <c r="E249" s="770" t="s">
        <v>2</v>
      </c>
      <c r="F249" s="772"/>
      <c r="G249" s="772"/>
      <c r="H249" s="772"/>
      <c r="I249" s="546"/>
      <c r="J249" s="772"/>
      <c r="K249" s="772"/>
      <c r="L249" s="851">
        <f>'[26]Juli - 2024 ( Revisi )'!$AL$242</f>
        <v>69700</v>
      </c>
      <c r="M249" s="851">
        <f>'[27]Agustus - 2024'!$AN$252</f>
        <v>0</v>
      </c>
      <c r="N249" s="853">
        <f>'September - 2024'!$AM$259</f>
        <v>98200</v>
      </c>
      <c r="O249" s="767"/>
      <c r="P249" s="677"/>
      <c r="Q249" s="677"/>
      <c r="R249" s="771"/>
      <c r="S249" s="661">
        <f>SUM(E249:Q249)</f>
        <v>167900</v>
      </c>
      <c r="T249" s="678">
        <f>SUM(F249:R249)</f>
        <v>167900</v>
      </c>
    </row>
    <row r="250" spans="2:933" ht="15.75" thickBot="1" x14ac:dyDescent="0.3">
      <c r="B250" s="1667"/>
      <c r="C250" s="764" t="s">
        <v>120</v>
      </c>
      <c r="D250" s="769">
        <v>3850.42</v>
      </c>
      <c r="E250" s="770" t="s">
        <v>2</v>
      </c>
      <c r="F250" s="772"/>
      <c r="G250" s="772"/>
      <c r="H250" s="772"/>
      <c r="I250" s="546"/>
      <c r="J250" s="772"/>
      <c r="K250" s="772"/>
      <c r="L250" s="851">
        <f>'[26]Juli - 2024 ( Revisi )'!$AL$243</f>
        <v>65890</v>
      </c>
      <c r="M250" s="851">
        <f>'[27]Agustus - 2024'!$AN$253</f>
        <v>0</v>
      </c>
      <c r="N250" s="853">
        <f>'September - 2024'!$AM$257</f>
        <v>81760</v>
      </c>
      <c r="O250" s="767"/>
      <c r="P250" s="677"/>
      <c r="Q250" s="677"/>
      <c r="R250" s="771"/>
      <c r="S250" s="661">
        <f>SUM(E250:Q250)</f>
        <v>147650</v>
      </c>
      <c r="T250" s="679">
        <f>SUM(F250:R250)</f>
        <v>147650</v>
      </c>
    </row>
    <row r="251" spans="2:933" ht="15.75" thickBot="1" x14ac:dyDescent="0.3">
      <c r="B251" s="1667"/>
      <c r="C251" s="765" t="s">
        <v>15</v>
      </c>
      <c r="D251" s="769"/>
      <c r="E251" s="771"/>
      <c r="F251" s="772"/>
      <c r="G251" s="772"/>
      <c r="H251" s="772"/>
      <c r="I251" s="546"/>
      <c r="J251" s="772"/>
      <c r="K251" s="772"/>
      <c r="L251" s="851"/>
      <c r="M251" s="851"/>
      <c r="N251" s="853"/>
      <c r="O251" s="767"/>
      <c r="P251" s="677"/>
      <c r="Q251" s="677"/>
      <c r="R251" s="771"/>
      <c r="S251" s="129" t="s">
        <v>15</v>
      </c>
    </row>
    <row r="252" spans="2:933" ht="15.75" thickBot="1" x14ac:dyDescent="0.3">
      <c r="B252" s="1667"/>
      <c r="C252" s="764" t="s">
        <v>121</v>
      </c>
      <c r="D252" s="769">
        <v>5759.67</v>
      </c>
      <c r="E252" s="770" t="s">
        <v>2</v>
      </c>
      <c r="F252" s="772"/>
      <c r="G252" s="772"/>
      <c r="H252" s="772"/>
      <c r="I252" s="546"/>
      <c r="J252" s="772"/>
      <c r="K252" s="772"/>
      <c r="L252" s="851">
        <f>'[26]Juli - 2024 ( Revisi )'!$AL$245</f>
        <v>71800</v>
      </c>
      <c r="M252" s="851">
        <f>'[27]Agustus - 2024'!$AN$255</f>
        <v>0</v>
      </c>
      <c r="N252" s="853">
        <f>'September - 2024'!$AM$264</f>
        <v>94200</v>
      </c>
      <c r="O252" s="767"/>
      <c r="P252" s="677"/>
      <c r="Q252" s="677"/>
      <c r="R252" s="771"/>
      <c r="S252" s="661">
        <f>SUM(E252:Q252)</f>
        <v>166000</v>
      </c>
      <c r="T252" s="680">
        <f>SUM(F252:R252)</f>
        <v>166000</v>
      </c>
    </row>
    <row r="253" spans="2:933" ht="15.75" thickBot="1" x14ac:dyDescent="0.3">
      <c r="B253" s="1667"/>
      <c r="C253" s="764" t="s">
        <v>120</v>
      </c>
      <c r="D253" s="769">
        <v>1308.96</v>
      </c>
      <c r="E253" s="770" t="s">
        <v>2</v>
      </c>
      <c r="F253" s="772"/>
      <c r="G253" s="772"/>
      <c r="H253" s="772"/>
      <c r="I253" s="546"/>
      <c r="J253" s="772"/>
      <c r="K253" s="772"/>
      <c r="L253" s="851">
        <f>'[26]Juli - 2024 ( Revisi )'!$AL$246</f>
        <v>19517</v>
      </c>
      <c r="M253" s="851">
        <f>'[27]Agustus - 2024'!$AN$256</f>
        <v>0</v>
      </c>
      <c r="N253" s="853">
        <f>'September - 2024'!$AM$262</f>
        <v>22645</v>
      </c>
      <c r="O253" s="767"/>
      <c r="P253" s="677"/>
      <c r="Q253" s="677"/>
      <c r="R253" s="771"/>
      <c r="S253" s="661">
        <f>SUM(E253:Q253)</f>
        <v>42162</v>
      </c>
      <c r="T253" s="679">
        <f>SUM(F253:R253)</f>
        <v>42162</v>
      </c>
    </row>
    <row r="254" spans="2:933" ht="15.75" thickBot="1" x14ac:dyDescent="0.3">
      <c r="B254" s="1667"/>
      <c r="C254" s="765" t="s">
        <v>7</v>
      </c>
      <c r="D254" s="769"/>
      <c r="E254" s="771"/>
      <c r="F254" s="772"/>
      <c r="G254" s="772"/>
      <c r="H254" s="772"/>
      <c r="I254" s="546"/>
      <c r="J254" s="772"/>
      <c r="K254" s="772"/>
      <c r="L254" s="851"/>
      <c r="M254" s="851"/>
      <c r="N254" s="853"/>
      <c r="O254" s="767"/>
      <c r="P254" s="677"/>
      <c r="Q254" s="677"/>
      <c r="R254" s="771"/>
      <c r="S254" s="129" t="s">
        <v>7</v>
      </c>
      <c r="AL254" s="446"/>
      <c r="AM254" s="446"/>
      <c r="AN254" s="446"/>
    </row>
    <row r="255" spans="2:933" ht="15.75" thickBot="1" x14ac:dyDescent="0.3">
      <c r="B255" s="1667"/>
      <c r="C255" s="764" t="s">
        <v>122</v>
      </c>
      <c r="D255" s="769">
        <v>11.81</v>
      </c>
      <c r="E255" s="770" t="s">
        <v>2</v>
      </c>
      <c r="F255" s="772"/>
      <c r="G255" s="772"/>
      <c r="H255" s="772"/>
      <c r="I255" s="546"/>
      <c r="J255" s="772"/>
      <c r="K255" s="772"/>
      <c r="L255" s="851">
        <f>'[26]Juli - 2024 ( Revisi )'!$AL$248</f>
        <v>748.31</v>
      </c>
      <c r="M255" s="851">
        <f>'[27]Agustus - 2024'!$AN$258</f>
        <v>0</v>
      </c>
      <c r="N255" s="853">
        <f>'September - 2024'!$AM$267</f>
        <v>444.36</v>
      </c>
      <c r="O255" s="767"/>
      <c r="P255" s="677"/>
      <c r="Q255" s="677"/>
      <c r="R255" s="771"/>
      <c r="S255" s="661">
        <f>SUM(E255:Q255)</f>
        <v>1192.67</v>
      </c>
      <c r="T255" s="680">
        <f>SUM(F255:R255)</f>
        <v>1192.67</v>
      </c>
      <c r="AL255" s="446"/>
      <c r="AM255" s="446"/>
      <c r="AN255" s="446"/>
    </row>
    <row r="256" spans="2:933" ht="15.75" thickBot="1" x14ac:dyDescent="0.3">
      <c r="B256" s="1668"/>
      <c r="C256" s="766" t="s">
        <v>123</v>
      </c>
      <c r="D256" s="775">
        <v>241.12</v>
      </c>
      <c r="E256" s="776" t="s">
        <v>2</v>
      </c>
      <c r="F256" s="777"/>
      <c r="G256" s="777"/>
      <c r="H256" s="777"/>
      <c r="I256" s="756"/>
      <c r="J256" s="777"/>
      <c r="K256" s="777"/>
      <c r="L256" s="852">
        <f>'[26]Juli - 2024 ( Revisi )'!$AL$249</f>
        <v>7628.8</v>
      </c>
      <c r="M256" s="852">
        <f>'[27]Agustus - 2024'!$AN$259</f>
        <v>0</v>
      </c>
      <c r="N256" s="854">
        <f>'September - 2024'!$AM$268</f>
        <v>7791.4999999999982</v>
      </c>
      <c r="O256" s="768"/>
      <c r="P256" s="757"/>
      <c r="Q256" s="757"/>
      <c r="R256" s="773"/>
      <c r="S256" s="774">
        <f>SUM(E256:Q256)</f>
        <v>15420.3</v>
      </c>
      <c r="T256" s="679">
        <f>SUM(F256:R256)</f>
        <v>15420.3</v>
      </c>
      <c r="AL256" s="446"/>
      <c r="AM256" s="446"/>
      <c r="AN256" s="446"/>
    </row>
    <row r="257" spans="9:38" x14ac:dyDescent="0.25">
      <c r="I257" s="1"/>
      <c r="AK257" s="4"/>
      <c r="AL257" s="4"/>
    </row>
    <row r="258" spans="9:38" x14ac:dyDescent="0.25">
      <c r="I258" s="1"/>
      <c r="AK258" s="4"/>
      <c r="AL258" s="4"/>
    </row>
    <row r="259" spans="9:38" x14ac:dyDescent="0.25">
      <c r="I259" s="1"/>
    </row>
  </sheetData>
  <mergeCells count="12">
    <mergeCell ref="AF32:AG32"/>
    <mergeCell ref="AF34:AG34"/>
    <mergeCell ref="AF35:AG35"/>
    <mergeCell ref="AH35:AL35"/>
    <mergeCell ref="B63:B69"/>
    <mergeCell ref="F4:Q4"/>
    <mergeCell ref="B6:B62"/>
    <mergeCell ref="B244:B256"/>
    <mergeCell ref="B4:B5"/>
    <mergeCell ref="C4:C5"/>
    <mergeCell ref="D4:D5"/>
    <mergeCell ref="E4:E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BEEF-5577-4D6D-A432-0841D1931294}">
  <sheetPr>
    <pageSetUpPr fitToPage="1"/>
  </sheetPr>
  <dimension ref="B1:AO45"/>
  <sheetViews>
    <sheetView topLeftCell="A19" zoomScale="85" zoomScaleNormal="85" workbookViewId="0">
      <selection activeCell="L32" sqref="L32"/>
    </sheetView>
  </sheetViews>
  <sheetFormatPr defaultColWidth="9.140625" defaultRowHeight="12.75" x14ac:dyDescent="0.25"/>
  <cols>
    <col min="1" max="1" width="9.140625" style="1114"/>
    <col min="2" max="2" width="1.7109375" style="1114" customWidth="1"/>
    <col min="3" max="3" width="9.42578125" style="1114" customWidth="1"/>
    <col min="4" max="4" width="9" style="1114" customWidth="1"/>
    <col min="5" max="5" width="11.7109375" style="1114" customWidth="1"/>
    <col min="6" max="6" width="12.42578125" style="1114" customWidth="1"/>
    <col min="7" max="7" width="5.28515625" style="1114" customWidth="1"/>
    <col min="8" max="8" width="10" style="1114" customWidth="1"/>
    <col min="9" max="9" width="2.7109375" style="1114" customWidth="1"/>
    <col min="10" max="10" width="8.28515625" style="1114" customWidth="1"/>
    <col min="11" max="11" width="11.85546875" style="1114" customWidth="1"/>
    <col min="12" max="12" width="12.28515625" style="1114" customWidth="1"/>
    <col min="13" max="13" width="9.140625" style="1114" customWidth="1"/>
    <col min="14" max="14" width="11.85546875" style="1128" customWidth="1"/>
    <col min="15" max="15" width="10.140625" style="1114" customWidth="1"/>
    <col min="16" max="16" width="1.5703125" style="1114" customWidth="1"/>
    <col min="17" max="27" width="9.140625" style="1114"/>
    <col min="28" max="28" width="0" style="1114" hidden="1" customWidth="1"/>
    <col min="29" max="16384" width="9.140625" style="1114"/>
  </cols>
  <sheetData>
    <row r="1" spans="2:41" x14ac:dyDescent="0.25">
      <c r="B1" s="1110"/>
      <c r="C1" s="1111"/>
      <c r="D1" s="1111"/>
      <c r="E1" s="1111"/>
      <c r="F1" s="1111"/>
      <c r="G1" s="1111"/>
      <c r="H1" s="1111"/>
      <c r="I1" s="1111"/>
      <c r="J1" s="1111"/>
      <c r="K1" s="1111"/>
      <c r="L1" s="1111"/>
      <c r="M1" s="1111"/>
      <c r="N1" s="1112"/>
      <c r="O1" s="1111"/>
      <c r="P1" s="1113"/>
    </row>
    <row r="2" spans="2:41" ht="25.5" customHeight="1" x14ac:dyDescent="0.25">
      <c r="B2" s="1115"/>
      <c r="C2" s="1693"/>
      <c r="D2" s="1694" t="s">
        <v>572</v>
      </c>
      <c r="E2" s="1694"/>
      <c r="F2" s="1694"/>
      <c r="G2" s="1694"/>
      <c r="H2" s="1694"/>
      <c r="I2" s="1694"/>
      <c r="J2" s="1694"/>
      <c r="K2" s="1694"/>
      <c r="L2" s="1695" t="s">
        <v>573</v>
      </c>
      <c r="M2" s="1695"/>
      <c r="N2" s="1695" t="s">
        <v>574</v>
      </c>
      <c r="O2" s="1695"/>
      <c r="P2" s="1116"/>
    </row>
    <row r="3" spans="2:41" ht="27.75" customHeight="1" x14ac:dyDescent="0.25">
      <c r="B3" s="1115"/>
      <c r="C3" s="1693"/>
      <c r="D3" s="1689" t="s">
        <v>575</v>
      </c>
      <c r="E3" s="1689"/>
      <c r="F3" s="1689"/>
      <c r="G3" s="1689"/>
      <c r="H3" s="1689"/>
      <c r="I3" s="1689"/>
      <c r="J3" s="1689"/>
      <c r="K3" s="1689"/>
      <c r="L3" s="1696" t="s">
        <v>576</v>
      </c>
      <c r="M3" s="1696"/>
      <c r="N3" s="1697">
        <v>44866</v>
      </c>
      <c r="O3" s="1697"/>
      <c r="P3" s="1117"/>
    </row>
    <row r="4" spans="2:41" ht="32.25" customHeight="1" x14ac:dyDescent="0.25">
      <c r="B4" s="1115"/>
      <c r="C4" s="1693"/>
      <c r="D4" s="1696" t="s">
        <v>577</v>
      </c>
      <c r="E4" s="1696"/>
      <c r="F4" s="1696"/>
      <c r="G4" s="1696"/>
      <c r="H4" s="1696"/>
      <c r="I4" s="1696"/>
      <c r="J4" s="1696"/>
      <c r="K4" s="1696"/>
      <c r="L4" s="1695" t="s">
        <v>578</v>
      </c>
      <c r="M4" s="1695"/>
      <c r="N4" s="1689" t="s">
        <v>579</v>
      </c>
      <c r="O4" s="1689"/>
      <c r="P4" s="1118"/>
    </row>
    <row r="5" spans="2:41" ht="23.25" customHeight="1" x14ac:dyDescent="0.25">
      <c r="B5" s="1115"/>
      <c r="C5" s="1119"/>
      <c r="D5" s="1685" t="s">
        <v>580</v>
      </c>
      <c r="E5" s="1686"/>
      <c r="F5" s="1686"/>
      <c r="G5" s="1686"/>
      <c r="H5" s="1686"/>
      <c r="I5" s="1686"/>
      <c r="J5" s="1686"/>
      <c r="K5" s="1687"/>
      <c r="L5" s="1688" t="s">
        <v>581</v>
      </c>
      <c r="M5" s="1688"/>
      <c r="N5" s="1689">
        <v>2</v>
      </c>
      <c r="O5" s="1689"/>
      <c r="P5" s="1118"/>
    </row>
    <row r="6" spans="2:41" ht="18.75" x14ac:dyDescent="0.25">
      <c r="B6" s="1115"/>
      <c r="C6" s="1690" t="s">
        <v>582</v>
      </c>
      <c r="D6" s="1690"/>
      <c r="E6" s="1690"/>
      <c r="F6" s="1690"/>
      <c r="G6" s="1690"/>
      <c r="H6" s="1690"/>
      <c r="I6" s="1690"/>
      <c r="J6" s="1690"/>
      <c r="K6" s="1690"/>
      <c r="L6" s="1690"/>
      <c r="M6" s="1690"/>
      <c r="N6" s="1690"/>
      <c r="O6" s="1690"/>
      <c r="P6" s="1118"/>
    </row>
    <row r="7" spans="2:41" ht="18.75" x14ac:dyDescent="0.25">
      <c r="B7" s="1115"/>
      <c r="C7" s="1691" t="s">
        <v>645</v>
      </c>
      <c r="D7" s="1691"/>
      <c r="E7" s="1691"/>
      <c r="F7" s="1691"/>
      <c r="G7" s="1691"/>
      <c r="H7" s="1691"/>
      <c r="I7" s="1691"/>
      <c r="J7" s="1691"/>
      <c r="K7" s="1691"/>
      <c r="L7" s="1691"/>
      <c r="M7" s="1691"/>
      <c r="N7" s="1691"/>
      <c r="O7" s="1691"/>
      <c r="P7" s="1118"/>
    </row>
    <row r="8" spans="2:41" ht="26.25" customHeight="1" x14ac:dyDescent="0.25">
      <c r="B8" s="1115"/>
      <c r="C8" s="1121"/>
      <c r="D8" s="1692" t="s">
        <v>583</v>
      </c>
      <c r="E8" s="1692"/>
      <c r="F8" s="1122"/>
      <c r="G8" s="1122"/>
      <c r="H8" s="1122"/>
      <c r="I8" s="1122"/>
      <c r="J8" s="1692" t="s">
        <v>584</v>
      </c>
      <c r="K8" s="1692"/>
      <c r="L8" s="1123"/>
      <c r="M8" s="1121"/>
      <c r="N8" s="1121"/>
      <c r="O8" s="1121"/>
      <c r="P8" s="1124"/>
    </row>
    <row r="9" spans="2:41" ht="49.5" customHeight="1" x14ac:dyDescent="0.25">
      <c r="B9" s="1115"/>
      <c r="C9" s="1121"/>
      <c r="D9" s="1125" t="s">
        <v>585</v>
      </c>
      <c r="E9" s="1125" t="s">
        <v>586</v>
      </c>
      <c r="F9" s="1126" t="s">
        <v>587</v>
      </c>
      <c r="G9" s="1125" t="s">
        <v>25</v>
      </c>
      <c r="H9" s="1126" t="s">
        <v>588</v>
      </c>
      <c r="I9" s="1127"/>
      <c r="J9" s="1125" t="s">
        <v>585</v>
      </c>
      <c r="K9" s="1125" t="s">
        <v>586</v>
      </c>
      <c r="L9" s="1126" t="s">
        <v>587</v>
      </c>
      <c r="M9" s="1125" t="s">
        <v>25</v>
      </c>
      <c r="N9" s="1126" t="s">
        <v>588</v>
      </c>
      <c r="O9" s="1121"/>
      <c r="P9" s="1124"/>
      <c r="AM9" s="1128"/>
      <c r="AO9" s="1128"/>
    </row>
    <row r="10" spans="2:41" ht="25.5" customHeight="1" x14ac:dyDescent="0.25">
      <c r="B10" s="1115"/>
      <c r="C10" s="1121"/>
      <c r="D10" s="1129"/>
      <c r="E10" s="1129"/>
      <c r="F10" s="1126" t="s">
        <v>589</v>
      </c>
      <c r="G10" s="1129"/>
      <c r="H10" s="1130"/>
      <c r="I10" s="1131"/>
      <c r="J10" s="1125"/>
      <c r="K10" s="1125"/>
      <c r="L10" s="1125" t="s">
        <v>589</v>
      </c>
      <c r="M10" s="1125"/>
      <c r="N10" s="1125"/>
      <c r="O10" s="1121"/>
      <c r="P10" s="1124"/>
      <c r="AM10" s="1128"/>
      <c r="AO10" s="1128"/>
    </row>
    <row r="11" spans="2:41" ht="31.5" customHeight="1" x14ac:dyDescent="0.25">
      <c r="B11" s="1115"/>
      <c r="C11" s="1121"/>
      <c r="D11" s="1125">
        <v>1</v>
      </c>
      <c r="E11" s="1125" t="s">
        <v>590</v>
      </c>
      <c r="F11" s="1125">
        <v>0.81</v>
      </c>
      <c r="G11" s="1125">
        <v>100</v>
      </c>
      <c r="H11" s="1132">
        <f>G11*F11/100</f>
        <v>0.81</v>
      </c>
      <c r="I11" s="1133"/>
      <c r="J11" s="1125">
        <v>1</v>
      </c>
      <c r="K11" s="1125" t="s">
        <v>591</v>
      </c>
      <c r="L11" s="1125">
        <v>56</v>
      </c>
      <c r="M11" s="1158">
        <v>98</v>
      </c>
      <c r="N11" s="1134">
        <f>M11*L11/100</f>
        <v>54.88</v>
      </c>
      <c r="O11" s="1121"/>
      <c r="P11" s="1124"/>
      <c r="AM11" s="1128"/>
      <c r="AO11" s="1128"/>
    </row>
    <row r="12" spans="2:41" ht="31.5" customHeight="1" x14ac:dyDescent="0.25">
      <c r="B12" s="1115"/>
      <c r="C12" s="1121"/>
      <c r="D12" s="1125">
        <v>2</v>
      </c>
      <c r="E12" s="1125" t="s">
        <v>592</v>
      </c>
      <c r="F12" s="1125">
        <v>72.587000000000003</v>
      </c>
      <c r="G12" s="1125">
        <v>80</v>
      </c>
      <c r="H12" s="1132">
        <f t="shared" ref="H12:H32" si="0">G12*F12/100</f>
        <v>58.069600000000001</v>
      </c>
      <c r="I12" s="1133"/>
      <c r="J12" s="1125">
        <v>2</v>
      </c>
      <c r="K12" s="1125" t="s">
        <v>593</v>
      </c>
      <c r="L12" s="1125">
        <v>56</v>
      </c>
      <c r="M12" s="1158">
        <v>98</v>
      </c>
      <c r="N12" s="1134">
        <f>M12*L12/100</f>
        <v>54.88</v>
      </c>
      <c r="O12" s="1121"/>
      <c r="P12" s="1124"/>
      <c r="AM12" s="1128"/>
      <c r="AO12" s="1128"/>
    </row>
    <row r="13" spans="2:41" ht="31.5" customHeight="1" x14ac:dyDescent="0.25">
      <c r="B13" s="1115"/>
      <c r="C13" s="1135"/>
      <c r="D13" s="1125">
        <v>3</v>
      </c>
      <c r="E13" s="1125" t="s">
        <v>594</v>
      </c>
      <c r="F13" s="1125">
        <v>23.884</v>
      </c>
      <c r="G13" s="1125">
        <v>49.5</v>
      </c>
      <c r="H13" s="1132">
        <f t="shared" si="0"/>
        <v>11.82258</v>
      </c>
      <c r="I13" s="1133"/>
      <c r="J13" s="1125">
        <v>3</v>
      </c>
      <c r="K13" s="1125" t="s">
        <v>595</v>
      </c>
      <c r="L13" s="1125">
        <v>56</v>
      </c>
      <c r="M13" s="1158">
        <v>98</v>
      </c>
      <c r="N13" s="1134">
        <f>M13*L13/100</f>
        <v>54.88</v>
      </c>
      <c r="O13" s="1121"/>
      <c r="P13" s="1124"/>
      <c r="AM13" s="1128"/>
      <c r="AO13" s="1128"/>
    </row>
    <row r="14" spans="2:41" ht="31.5" customHeight="1" x14ac:dyDescent="0.25">
      <c r="B14" s="1115"/>
      <c r="C14" s="1135"/>
      <c r="D14" s="1125">
        <v>4</v>
      </c>
      <c r="E14" s="1125" t="s">
        <v>596</v>
      </c>
      <c r="F14" s="1125">
        <v>7.38</v>
      </c>
      <c r="G14" s="1125">
        <v>0</v>
      </c>
      <c r="H14" s="1132">
        <f t="shared" si="0"/>
        <v>0</v>
      </c>
      <c r="I14" s="1133"/>
      <c r="J14" s="1125">
        <v>4</v>
      </c>
      <c r="K14" s="1125" t="s">
        <v>597</v>
      </c>
      <c r="L14" s="1125">
        <v>56</v>
      </c>
      <c r="M14" s="1158">
        <v>98</v>
      </c>
      <c r="N14" s="1134">
        <f t="shared" ref="N14:N29" si="1">M14*L14/100</f>
        <v>54.88</v>
      </c>
      <c r="O14" s="1121"/>
      <c r="P14" s="1124"/>
      <c r="AM14" s="1128"/>
      <c r="AO14" s="1128"/>
    </row>
    <row r="15" spans="2:41" ht="31.5" customHeight="1" x14ac:dyDescent="0.25">
      <c r="B15" s="1115"/>
      <c r="C15" s="1121"/>
      <c r="D15" s="1125">
        <v>5</v>
      </c>
      <c r="E15" s="1125" t="s">
        <v>598</v>
      </c>
      <c r="F15" s="1125">
        <v>7.38</v>
      </c>
      <c r="G15" s="1125">
        <v>100</v>
      </c>
      <c r="H15" s="1132">
        <f t="shared" si="0"/>
        <v>7.38</v>
      </c>
      <c r="I15" s="1133"/>
      <c r="J15" s="1125">
        <v>5</v>
      </c>
      <c r="K15" s="1125" t="s">
        <v>599</v>
      </c>
      <c r="L15" s="1125">
        <v>56</v>
      </c>
      <c r="M15" s="1158">
        <v>98</v>
      </c>
      <c r="N15" s="1134">
        <f t="shared" si="1"/>
        <v>54.88</v>
      </c>
      <c r="O15" s="1121"/>
      <c r="P15" s="1124"/>
      <c r="AM15" s="1128"/>
      <c r="AO15" s="1128"/>
    </row>
    <row r="16" spans="2:41" ht="31.5" customHeight="1" x14ac:dyDescent="0.25">
      <c r="B16" s="1115"/>
      <c r="C16" s="1121"/>
      <c r="D16" s="1125">
        <v>6</v>
      </c>
      <c r="E16" s="1125" t="s">
        <v>600</v>
      </c>
      <c r="F16" s="1125">
        <v>7.38</v>
      </c>
      <c r="G16" s="1125">
        <v>100</v>
      </c>
      <c r="H16" s="1132">
        <f t="shared" si="0"/>
        <v>7.38</v>
      </c>
      <c r="I16" s="1133"/>
      <c r="J16" s="1125">
        <v>6</v>
      </c>
      <c r="K16" s="1125" t="s">
        <v>601</v>
      </c>
      <c r="L16" s="1125">
        <v>56</v>
      </c>
      <c r="M16" s="1158">
        <v>98</v>
      </c>
      <c r="N16" s="1134">
        <f t="shared" si="1"/>
        <v>54.88</v>
      </c>
      <c r="O16" s="1121"/>
      <c r="P16" s="1124"/>
      <c r="AM16" s="1128"/>
      <c r="AO16" s="1128"/>
    </row>
    <row r="17" spans="2:41" ht="31.5" customHeight="1" x14ac:dyDescent="0.25">
      <c r="B17" s="1115"/>
      <c r="C17" s="1121"/>
      <c r="D17" s="1125">
        <v>7</v>
      </c>
      <c r="E17" s="1125" t="s">
        <v>602</v>
      </c>
      <c r="F17" s="1125">
        <v>7.38</v>
      </c>
      <c r="G17" s="1125">
        <v>0</v>
      </c>
      <c r="H17" s="1132">
        <f t="shared" si="0"/>
        <v>0</v>
      </c>
      <c r="I17" s="1133"/>
      <c r="J17" s="1125">
        <v>7</v>
      </c>
      <c r="K17" s="1125" t="s">
        <v>603</v>
      </c>
      <c r="L17" s="1125">
        <v>56</v>
      </c>
      <c r="M17" s="1158">
        <v>98</v>
      </c>
      <c r="N17" s="1134">
        <f t="shared" si="1"/>
        <v>54.88</v>
      </c>
      <c r="O17" s="1121"/>
      <c r="P17" s="1124"/>
      <c r="AM17" s="1128"/>
      <c r="AO17" s="1128"/>
    </row>
    <row r="18" spans="2:41" ht="31.5" customHeight="1" x14ac:dyDescent="0.25">
      <c r="B18" s="1115"/>
      <c r="C18" s="1121"/>
      <c r="D18" s="1125">
        <v>8</v>
      </c>
      <c r="E18" s="1125" t="s">
        <v>604</v>
      </c>
      <c r="F18" s="1125">
        <v>7.38</v>
      </c>
      <c r="G18" s="1125">
        <v>0</v>
      </c>
      <c r="H18" s="1132">
        <f>G18*F18/100</f>
        <v>0</v>
      </c>
      <c r="I18" s="1133"/>
      <c r="J18" s="1125">
        <v>8</v>
      </c>
      <c r="K18" s="1125" t="s">
        <v>605</v>
      </c>
      <c r="L18" s="1125">
        <v>56</v>
      </c>
      <c r="M18" s="1158">
        <v>98</v>
      </c>
      <c r="N18" s="1134">
        <f t="shared" si="1"/>
        <v>54.88</v>
      </c>
      <c r="O18" s="1121"/>
      <c r="P18" s="1124"/>
      <c r="AB18" s="1114">
        <v>55.888000000000005</v>
      </c>
      <c r="AM18" s="1128"/>
      <c r="AO18" s="1128"/>
    </row>
    <row r="19" spans="2:41" ht="31.5" customHeight="1" x14ac:dyDescent="0.25">
      <c r="B19" s="1115"/>
      <c r="C19" s="1121"/>
      <c r="D19" s="1125">
        <v>9</v>
      </c>
      <c r="E19" s="1125" t="s">
        <v>606</v>
      </c>
      <c r="F19" s="1125">
        <v>0.36899999999999999</v>
      </c>
      <c r="G19" s="1125">
        <v>100</v>
      </c>
      <c r="H19" s="1132">
        <f t="shared" si="0"/>
        <v>0.36899999999999999</v>
      </c>
      <c r="I19" s="1133"/>
      <c r="J19" s="1125">
        <v>9</v>
      </c>
      <c r="K19" s="1125" t="s">
        <v>607</v>
      </c>
      <c r="L19" s="1125">
        <v>56</v>
      </c>
      <c r="M19" s="1158">
        <v>98</v>
      </c>
      <c r="N19" s="1134">
        <f t="shared" si="1"/>
        <v>54.88</v>
      </c>
      <c r="O19" s="1121"/>
      <c r="P19" s="1124"/>
      <c r="AB19" s="1114">
        <v>55.888000000000005</v>
      </c>
      <c r="AM19" s="1128"/>
      <c r="AO19" s="1128"/>
    </row>
    <row r="20" spans="2:41" ht="31.5" customHeight="1" x14ac:dyDescent="0.25">
      <c r="B20" s="1115"/>
      <c r="C20" s="1121"/>
      <c r="D20" s="1125">
        <v>10</v>
      </c>
      <c r="E20" s="1125" t="s">
        <v>608</v>
      </c>
      <c r="F20" s="1125">
        <v>0.24299999999999999</v>
      </c>
      <c r="G20" s="1125">
        <v>100</v>
      </c>
      <c r="H20" s="1132">
        <f t="shared" si="0"/>
        <v>0.24299999999999999</v>
      </c>
      <c r="I20" s="1133"/>
      <c r="J20" s="1125">
        <v>10</v>
      </c>
      <c r="K20" s="1125" t="s">
        <v>609</v>
      </c>
      <c r="L20" s="1125">
        <v>56</v>
      </c>
      <c r="M20" s="1158">
        <v>98</v>
      </c>
      <c r="N20" s="1134">
        <f t="shared" si="1"/>
        <v>54.88</v>
      </c>
      <c r="O20" s="1121"/>
      <c r="P20" s="1124"/>
      <c r="AB20" s="1114">
        <v>55.775999999999996</v>
      </c>
      <c r="AM20" s="1128"/>
      <c r="AO20" s="1128"/>
    </row>
    <row r="21" spans="2:41" ht="31.5" customHeight="1" x14ac:dyDescent="0.25">
      <c r="B21" s="1115"/>
      <c r="C21" s="1121"/>
      <c r="D21" s="1125">
        <v>11</v>
      </c>
      <c r="E21" s="1125" t="s">
        <v>610</v>
      </c>
      <c r="F21" s="1125">
        <v>0.30599999999999999</v>
      </c>
      <c r="G21" s="1125">
        <v>100</v>
      </c>
      <c r="H21" s="1132">
        <f t="shared" si="0"/>
        <v>0.30599999999999999</v>
      </c>
      <c r="I21" s="1133"/>
      <c r="J21" s="1125">
        <v>11</v>
      </c>
      <c r="K21" s="1125" t="s">
        <v>611</v>
      </c>
      <c r="L21" s="1125">
        <v>56</v>
      </c>
      <c r="M21" s="1125">
        <v>62.5</v>
      </c>
      <c r="N21" s="1134">
        <f t="shared" si="1"/>
        <v>35</v>
      </c>
      <c r="O21" s="1121"/>
      <c r="P21" s="1124"/>
      <c r="S21" s="1677"/>
      <c r="AB21" s="1114">
        <v>55.775999999999996</v>
      </c>
      <c r="AM21" s="1128"/>
      <c r="AO21" s="1128"/>
    </row>
    <row r="22" spans="2:41" ht="31.5" customHeight="1" x14ac:dyDescent="0.25">
      <c r="B22" s="1115"/>
      <c r="C22" s="1121"/>
      <c r="D22" s="1125">
        <v>12</v>
      </c>
      <c r="E22" s="1125" t="s">
        <v>612</v>
      </c>
      <c r="F22" s="1125">
        <v>5.383</v>
      </c>
      <c r="G22" s="1125">
        <v>30</v>
      </c>
      <c r="H22" s="1132">
        <f t="shared" si="0"/>
        <v>1.6149</v>
      </c>
      <c r="I22" s="1133"/>
      <c r="J22" s="1125">
        <v>12</v>
      </c>
      <c r="K22" s="1125" t="s">
        <v>613</v>
      </c>
      <c r="L22" s="1125">
        <v>56</v>
      </c>
      <c r="M22" s="1125">
        <v>98.1</v>
      </c>
      <c r="N22" s="1134">
        <f t="shared" si="1"/>
        <v>54.935999999999993</v>
      </c>
      <c r="O22" s="1121"/>
      <c r="P22" s="1124"/>
      <c r="S22" s="1677"/>
      <c r="AB22" s="1114">
        <v>55.775999999999996</v>
      </c>
      <c r="AM22" s="1128"/>
      <c r="AO22" s="1128"/>
    </row>
    <row r="23" spans="2:41" ht="31.5" customHeight="1" x14ac:dyDescent="0.25">
      <c r="B23" s="1115"/>
      <c r="C23" s="1121"/>
      <c r="D23" s="1125">
        <v>13</v>
      </c>
      <c r="E23" s="1125" t="s">
        <v>614</v>
      </c>
      <c r="F23" s="1125">
        <v>7.798</v>
      </c>
      <c r="G23" s="1125">
        <v>0</v>
      </c>
      <c r="H23" s="1132">
        <f t="shared" si="0"/>
        <v>0</v>
      </c>
      <c r="I23" s="1133"/>
      <c r="J23" s="1125">
        <v>13</v>
      </c>
      <c r="K23" s="1125" t="s">
        <v>619</v>
      </c>
      <c r="L23" s="1139">
        <v>56</v>
      </c>
      <c r="M23" s="1125">
        <v>0</v>
      </c>
      <c r="N23" s="1134">
        <f>M23*L23/100</f>
        <v>0</v>
      </c>
      <c r="O23" s="1121"/>
      <c r="P23" s="1124"/>
      <c r="AB23" s="1114">
        <v>55.664000000000009</v>
      </c>
      <c r="AM23" s="1128"/>
      <c r="AO23" s="1128"/>
    </row>
    <row r="24" spans="2:41" ht="31.5" customHeight="1" x14ac:dyDescent="0.25">
      <c r="B24" s="1115"/>
      <c r="C24" s="1121"/>
      <c r="D24" s="1125">
        <v>14</v>
      </c>
      <c r="E24" s="1125" t="s">
        <v>616</v>
      </c>
      <c r="F24" s="1125">
        <v>51.512999999999998</v>
      </c>
      <c r="G24" s="1125">
        <v>44.3</v>
      </c>
      <c r="H24" s="1132">
        <f t="shared" si="0"/>
        <v>22.820258999999997</v>
      </c>
      <c r="I24" s="1133"/>
      <c r="J24" s="1125">
        <v>14</v>
      </c>
      <c r="K24" s="1125" t="s">
        <v>615</v>
      </c>
      <c r="L24" s="1136">
        <v>14.59</v>
      </c>
      <c r="M24" s="1125">
        <v>78.7</v>
      </c>
      <c r="N24" s="1134">
        <f>M24*L24/100</f>
        <v>11.482329999999999</v>
      </c>
      <c r="O24" s="1121"/>
      <c r="P24" s="1124"/>
      <c r="AB24" s="1114">
        <v>55.664000000000009</v>
      </c>
      <c r="AM24" s="1128"/>
      <c r="AO24" s="1128"/>
    </row>
    <row r="25" spans="2:41" ht="31.5" customHeight="1" x14ac:dyDescent="0.25">
      <c r="B25" s="1115"/>
      <c r="C25" s="1121"/>
      <c r="D25" s="1125">
        <v>15</v>
      </c>
      <c r="E25" s="1125" t="s">
        <v>618</v>
      </c>
      <c r="F25" s="1125">
        <v>18.45</v>
      </c>
      <c r="G25" s="1125">
        <v>25</v>
      </c>
      <c r="H25" s="1138">
        <f t="shared" si="0"/>
        <v>4.6124999999999998</v>
      </c>
      <c r="I25" s="1133"/>
      <c r="J25" s="1125">
        <v>15</v>
      </c>
      <c r="K25" s="1125" t="s">
        <v>617</v>
      </c>
      <c r="L25" s="1137">
        <v>14.39</v>
      </c>
      <c r="M25" s="1125">
        <v>81.5</v>
      </c>
      <c r="N25" s="1134">
        <f>M25*L25/100</f>
        <v>11.72785</v>
      </c>
      <c r="O25" s="1121"/>
      <c r="P25" s="1124"/>
      <c r="AB25" s="1114">
        <v>0</v>
      </c>
      <c r="AM25" s="1128"/>
      <c r="AO25" s="1128"/>
    </row>
    <row r="26" spans="2:41" ht="31.5" customHeight="1" x14ac:dyDescent="0.25">
      <c r="B26" s="1115"/>
      <c r="C26" s="1121"/>
      <c r="D26" s="1125">
        <v>16</v>
      </c>
      <c r="E26" s="1125" t="s">
        <v>620</v>
      </c>
      <c r="F26" s="1125">
        <v>18.45</v>
      </c>
      <c r="G26" s="1125">
        <v>100</v>
      </c>
      <c r="H26" s="1132">
        <f t="shared" si="0"/>
        <v>18.45</v>
      </c>
      <c r="I26" s="1133"/>
      <c r="J26" s="1125">
        <v>16</v>
      </c>
      <c r="K26" s="1125" t="s">
        <v>621</v>
      </c>
      <c r="L26" s="1125">
        <v>23.4</v>
      </c>
      <c r="M26" s="1125">
        <v>0</v>
      </c>
      <c r="N26" s="1134">
        <f t="shared" si="1"/>
        <v>0</v>
      </c>
      <c r="O26" s="1121"/>
      <c r="P26" s="1124"/>
      <c r="AB26" s="1114">
        <v>0</v>
      </c>
      <c r="AM26" s="1128"/>
      <c r="AO26" s="1128"/>
    </row>
    <row r="27" spans="2:41" ht="31.5" customHeight="1" x14ac:dyDescent="0.25">
      <c r="B27" s="1115"/>
      <c r="C27" s="1135"/>
      <c r="D27" s="1125">
        <v>17</v>
      </c>
      <c r="E27" s="1125" t="s">
        <v>622</v>
      </c>
      <c r="F27" s="1125">
        <v>12.33</v>
      </c>
      <c r="G27" s="1125">
        <v>80</v>
      </c>
      <c r="H27" s="1132">
        <f t="shared" si="0"/>
        <v>9.863999999999999</v>
      </c>
      <c r="I27" s="1133"/>
      <c r="J27" s="1125">
        <v>17</v>
      </c>
      <c r="K27" s="1125" t="s">
        <v>623</v>
      </c>
      <c r="L27" s="1125">
        <v>23.4</v>
      </c>
      <c r="M27" s="1125">
        <v>0</v>
      </c>
      <c r="N27" s="1134">
        <f t="shared" si="1"/>
        <v>0</v>
      </c>
      <c r="O27" s="1121"/>
      <c r="P27" s="1124"/>
      <c r="X27" s="1114" t="s">
        <v>221</v>
      </c>
      <c r="AB27" s="1114">
        <v>55.38</v>
      </c>
      <c r="AM27" s="1128"/>
      <c r="AO27" s="1128"/>
    </row>
    <row r="28" spans="2:41" ht="31.5" customHeight="1" x14ac:dyDescent="0.25">
      <c r="B28" s="1115"/>
      <c r="C28" s="1135"/>
      <c r="D28" s="1125">
        <v>18</v>
      </c>
      <c r="E28" s="1125" t="s">
        <v>624</v>
      </c>
      <c r="F28" s="1125">
        <v>8.1709999999999994</v>
      </c>
      <c r="G28" s="1125">
        <v>25</v>
      </c>
      <c r="H28" s="1138">
        <f t="shared" si="0"/>
        <v>2.0427499999999998</v>
      </c>
      <c r="I28" s="1133"/>
      <c r="J28" s="1125">
        <v>18</v>
      </c>
      <c r="K28" s="1125" t="s">
        <v>625</v>
      </c>
      <c r="L28" s="1125">
        <v>2.25</v>
      </c>
      <c r="M28" s="1125">
        <v>0</v>
      </c>
      <c r="N28" s="1134">
        <f t="shared" si="1"/>
        <v>0</v>
      </c>
      <c r="O28" s="1121"/>
      <c r="P28" s="1124"/>
      <c r="AB28" s="1114">
        <v>55.88</v>
      </c>
      <c r="AM28" s="1128"/>
      <c r="AO28" s="1128"/>
    </row>
    <row r="29" spans="2:41" ht="31.5" customHeight="1" x14ac:dyDescent="0.25">
      <c r="B29" s="1115"/>
      <c r="C29" s="1121"/>
      <c r="D29" s="1125">
        <v>19</v>
      </c>
      <c r="E29" s="1125" t="s">
        <v>626</v>
      </c>
      <c r="F29" s="1125">
        <v>110.7</v>
      </c>
      <c r="G29" s="1125">
        <v>100</v>
      </c>
      <c r="H29" s="1132">
        <f t="shared" si="0"/>
        <v>110.7</v>
      </c>
      <c r="I29" s="1133"/>
      <c r="J29" s="1125">
        <v>19</v>
      </c>
      <c r="K29" s="1125" t="s">
        <v>627</v>
      </c>
      <c r="L29" s="1125">
        <v>2.25</v>
      </c>
      <c r="M29" s="1125">
        <v>0</v>
      </c>
      <c r="N29" s="1134">
        <f t="shared" si="1"/>
        <v>0</v>
      </c>
      <c r="O29" s="1121"/>
      <c r="P29" s="1124"/>
      <c r="AB29" s="1114">
        <v>56</v>
      </c>
      <c r="AM29" s="1128"/>
      <c r="AO29" s="1128"/>
    </row>
    <row r="30" spans="2:41" ht="31.5" customHeight="1" x14ac:dyDescent="0.25">
      <c r="B30" s="1115"/>
      <c r="C30" s="1121"/>
      <c r="D30" s="1125">
        <v>20</v>
      </c>
      <c r="E30" s="1125" t="s">
        <v>628</v>
      </c>
      <c r="F30" s="1125">
        <v>0.433</v>
      </c>
      <c r="G30" s="1125">
        <v>0</v>
      </c>
      <c r="H30" s="1132">
        <f t="shared" si="0"/>
        <v>0</v>
      </c>
      <c r="I30" s="1133"/>
      <c r="J30" s="1679" t="s">
        <v>1</v>
      </c>
      <c r="K30" s="1680"/>
      <c r="L30" s="1680"/>
      <c r="M30" s="1681"/>
      <c r="N30" s="1134">
        <f>SUM(N11:N29)</f>
        <v>661.94618000000014</v>
      </c>
      <c r="O30" s="1121"/>
      <c r="P30" s="1124"/>
      <c r="AB30" s="1114">
        <v>7.36</v>
      </c>
      <c r="AM30" s="1128"/>
      <c r="AO30" s="1128"/>
    </row>
    <row r="31" spans="2:41" ht="32.25" customHeight="1" x14ac:dyDescent="0.25">
      <c r="B31" s="1115"/>
      <c r="C31" s="1121"/>
      <c r="D31" s="1125">
        <v>21</v>
      </c>
      <c r="E31" s="1125" t="s">
        <v>629</v>
      </c>
      <c r="F31" s="1125">
        <v>4.149</v>
      </c>
      <c r="G31" s="1125">
        <v>50</v>
      </c>
      <c r="H31" s="1138">
        <f t="shared" si="0"/>
        <v>2.0745</v>
      </c>
      <c r="I31" s="1133"/>
      <c r="J31" s="1682" t="s">
        <v>630</v>
      </c>
      <c r="K31" s="1682"/>
      <c r="L31" s="1682"/>
      <c r="M31" s="1682"/>
      <c r="N31" s="1682"/>
      <c r="O31" s="1121"/>
      <c r="P31" s="1124"/>
      <c r="Q31" s="1140"/>
      <c r="S31" s="1141"/>
      <c r="AB31" s="1114">
        <v>11.44</v>
      </c>
      <c r="AM31" s="1128"/>
      <c r="AO31" s="1128"/>
    </row>
    <row r="32" spans="2:41" ht="31.5" customHeight="1" x14ac:dyDescent="0.25">
      <c r="B32" s="1115"/>
      <c r="C32" s="1121"/>
      <c r="D32" s="1125">
        <v>22</v>
      </c>
      <c r="E32" s="1125" t="s">
        <v>631</v>
      </c>
      <c r="F32" s="1125">
        <v>0.81399999999999995</v>
      </c>
      <c r="G32" s="1125">
        <v>0</v>
      </c>
      <c r="H32" s="1132">
        <f t="shared" si="0"/>
        <v>0</v>
      </c>
      <c r="I32" s="1133"/>
      <c r="J32" s="1142"/>
      <c r="K32" s="1142" t="s">
        <v>632</v>
      </c>
      <c r="L32" s="1143">
        <f>SUM(N11:N27)+N28+N29</f>
        <v>661.94618000000014</v>
      </c>
      <c r="M32" s="1144" t="s">
        <v>633</v>
      </c>
      <c r="N32" s="1131"/>
      <c r="O32" s="1121"/>
      <c r="P32" s="1124"/>
      <c r="AB32" s="1114">
        <v>47.88</v>
      </c>
      <c r="AM32" s="1128"/>
      <c r="AO32" s="1128"/>
    </row>
    <row r="33" spans="2:41" ht="18.75" customHeight="1" x14ac:dyDescent="0.25">
      <c r="B33" s="1115"/>
      <c r="C33" s="1121"/>
      <c r="D33" s="1679" t="s">
        <v>1</v>
      </c>
      <c r="E33" s="1680"/>
      <c r="F33" s="1680"/>
      <c r="G33" s="1681"/>
      <c r="H33" s="1134">
        <f>SUM(H11:H32)</f>
        <v>258.55908899999997</v>
      </c>
      <c r="I33" s="1133"/>
      <c r="J33" s="1683" t="s">
        <v>634</v>
      </c>
      <c r="K33" s="1683"/>
      <c r="L33" s="1143">
        <f>N26+N27</f>
        <v>0</v>
      </c>
      <c r="M33" s="1144" t="s">
        <v>633</v>
      </c>
      <c r="N33" s="1131"/>
      <c r="O33" s="1121"/>
      <c r="P33" s="1124"/>
      <c r="AB33" s="1114">
        <f>SUM(AB18:AB32)</f>
        <v>624.37200000000007</v>
      </c>
      <c r="AM33" s="1128"/>
      <c r="AO33" s="1128"/>
    </row>
    <row r="34" spans="2:41" ht="18" customHeight="1" x14ac:dyDescent="0.25">
      <c r="B34" s="1115"/>
      <c r="C34" s="1121"/>
      <c r="D34" s="1684" t="s">
        <v>635</v>
      </c>
      <c r="E34" s="1684"/>
      <c r="F34" s="1684"/>
      <c r="G34" s="1684"/>
      <c r="H34" s="1684"/>
      <c r="I34" s="1133"/>
      <c r="O34" s="1121"/>
      <c r="P34" s="1124"/>
      <c r="AM34" s="1128"/>
      <c r="AO34" s="1128"/>
    </row>
    <row r="35" spans="2:41" ht="21.75" customHeight="1" x14ac:dyDescent="0.25">
      <c r="B35" s="1115"/>
      <c r="C35" s="1121"/>
      <c r="D35" s="1144" t="s">
        <v>636</v>
      </c>
      <c r="E35" s="1145">
        <f>H12+H13</f>
        <v>69.892179999999996</v>
      </c>
      <c r="F35" s="1144" t="s">
        <v>633</v>
      </c>
      <c r="G35" s="1133"/>
      <c r="H35" s="1146"/>
      <c r="I35" s="1133"/>
      <c r="J35" s="1133"/>
      <c r="K35" s="1133"/>
      <c r="L35" s="1133"/>
      <c r="M35" s="1133"/>
      <c r="N35" s="1131"/>
      <c r="O35" s="1121"/>
      <c r="P35" s="1124"/>
      <c r="AM35" s="1128"/>
      <c r="AO35" s="1128"/>
    </row>
    <row r="36" spans="2:41" ht="22.5" customHeight="1" x14ac:dyDescent="0.25">
      <c r="B36" s="1115"/>
      <c r="C36" s="1121"/>
      <c r="D36" s="1144" t="s">
        <v>632</v>
      </c>
      <c r="E36" s="1145">
        <f>H33-E35</f>
        <v>188.66690899999998</v>
      </c>
      <c r="F36" s="1144" t="s">
        <v>633</v>
      </c>
      <c r="G36" s="1133"/>
      <c r="H36" s="1146"/>
      <c r="I36" s="1133"/>
      <c r="J36" s="1133"/>
      <c r="K36" s="1133"/>
      <c r="L36" s="1133"/>
      <c r="M36" s="1133"/>
      <c r="N36" s="1131"/>
      <c r="O36" s="1121"/>
      <c r="P36" s="1124"/>
      <c r="AM36" s="1128"/>
      <c r="AO36" s="1128"/>
    </row>
    <row r="37" spans="2:41" ht="22.5" customHeight="1" x14ac:dyDescent="0.25">
      <c r="B37" s="1115"/>
      <c r="C37" s="1121"/>
      <c r="D37" s="1144"/>
      <c r="E37" s="1147"/>
      <c r="F37" s="1133"/>
      <c r="G37" s="1133"/>
      <c r="H37" s="1146"/>
      <c r="I37" s="1133"/>
      <c r="J37" s="1133"/>
      <c r="K37" s="1133"/>
      <c r="L37" s="1133"/>
      <c r="M37" s="1133"/>
      <c r="N37" s="1131"/>
      <c r="O37" s="1121"/>
      <c r="P37" s="1124"/>
      <c r="AM37" s="1128"/>
      <c r="AO37" s="1128"/>
    </row>
    <row r="38" spans="2:41" ht="15.75" x14ac:dyDescent="0.25">
      <c r="B38" s="1115"/>
      <c r="C38" s="1121" t="s">
        <v>637</v>
      </c>
      <c r="D38" s="1121"/>
      <c r="E38" s="1121"/>
      <c r="F38" s="1121"/>
      <c r="G38" s="1121"/>
      <c r="H38" s="1121"/>
      <c r="I38" s="1121"/>
      <c r="J38" s="1121"/>
      <c r="K38" s="1121"/>
      <c r="L38" s="1121"/>
      <c r="M38" s="1121"/>
      <c r="N38" s="1148"/>
      <c r="P38" s="1124"/>
    </row>
    <row r="39" spans="2:41" ht="25.5" customHeight="1" x14ac:dyDescent="0.25">
      <c r="B39" s="1115"/>
      <c r="C39" s="1121"/>
      <c r="D39" s="1677" t="s">
        <v>638</v>
      </c>
      <c r="E39" s="1677"/>
      <c r="F39" s="1149"/>
      <c r="G39" s="1678" t="s">
        <v>639</v>
      </c>
      <c r="H39" s="1678"/>
      <c r="I39" s="1678"/>
      <c r="J39" s="1678"/>
      <c r="K39" s="1120"/>
      <c r="L39" s="1678" t="s">
        <v>640</v>
      </c>
      <c r="M39" s="1678"/>
      <c r="N39" s="1678"/>
      <c r="O39" s="1150"/>
      <c r="P39" s="1124"/>
    </row>
    <row r="40" spans="2:41" ht="18.75" x14ac:dyDescent="0.25">
      <c r="B40" s="1115"/>
      <c r="C40" s="1121"/>
      <c r="D40" s="1120"/>
      <c r="E40" s="1120"/>
      <c r="F40" s="1120"/>
      <c r="G40" s="1120"/>
      <c r="H40" s="1120"/>
      <c r="I40" s="1120"/>
      <c r="J40" s="1120"/>
      <c r="K40" s="1120"/>
      <c r="L40" s="1120"/>
      <c r="M40" s="1120"/>
      <c r="N40" s="1151"/>
      <c r="P40" s="1124"/>
    </row>
    <row r="41" spans="2:41" ht="18.75" x14ac:dyDescent="0.25">
      <c r="B41" s="1115"/>
      <c r="C41" s="1121"/>
      <c r="D41" s="1120"/>
      <c r="E41" s="1120"/>
      <c r="F41" s="1120"/>
      <c r="G41" s="1120"/>
      <c r="H41" s="1120"/>
      <c r="I41" s="1120"/>
      <c r="J41" s="1120"/>
      <c r="K41" s="1120"/>
      <c r="L41" s="1120"/>
      <c r="M41" s="1120"/>
      <c r="N41" s="1151"/>
      <c r="P41" s="1124"/>
    </row>
    <row r="42" spans="2:41" ht="18.75" x14ac:dyDescent="0.25">
      <c r="B42" s="1115"/>
      <c r="C42" s="1121"/>
      <c r="D42" s="1120"/>
      <c r="E42" s="1120"/>
      <c r="F42" s="1120"/>
      <c r="G42" s="1120"/>
      <c r="H42" s="1120"/>
      <c r="I42" s="1120"/>
      <c r="J42" s="1120"/>
      <c r="K42" s="1120"/>
      <c r="L42" s="1120"/>
      <c r="M42" s="1120"/>
      <c r="N42" s="1151"/>
      <c r="P42" s="1124"/>
    </row>
    <row r="43" spans="2:41" ht="17.25" customHeight="1" x14ac:dyDescent="0.25">
      <c r="B43" s="1115"/>
      <c r="C43" s="1677" t="s">
        <v>646</v>
      </c>
      <c r="D43" s="1677"/>
      <c r="E43" s="1677"/>
      <c r="F43" s="1677"/>
      <c r="G43" s="1677" t="s">
        <v>641</v>
      </c>
      <c r="H43" s="1677"/>
      <c r="I43" s="1677"/>
      <c r="J43" s="1677"/>
      <c r="K43" s="1120"/>
      <c r="L43" s="1678" t="s">
        <v>642</v>
      </c>
      <c r="M43" s="1678"/>
      <c r="N43" s="1678"/>
      <c r="O43" s="1150"/>
      <c r="P43" s="1124"/>
    </row>
    <row r="44" spans="2:41" ht="18.75" x14ac:dyDescent="0.25">
      <c r="B44" s="1115"/>
      <c r="C44" s="1121"/>
      <c r="D44" s="1676" t="s">
        <v>647</v>
      </c>
      <c r="E44" s="1676"/>
      <c r="F44" s="1120"/>
      <c r="G44" s="1676" t="s">
        <v>643</v>
      </c>
      <c r="H44" s="1676"/>
      <c r="I44" s="1676"/>
      <c r="J44" s="1676"/>
      <c r="K44" s="1120"/>
      <c r="L44" s="1676" t="s">
        <v>644</v>
      </c>
      <c r="M44" s="1676"/>
      <c r="N44" s="1676"/>
      <c r="O44" s="1152"/>
      <c r="P44" s="1124"/>
    </row>
    <row r="45" spans="2:41" ht="13.5" thickBot="1" x14ac:dyDescent="0.3">
      <c r="B45" s="1153"/>
      <c r="C45" s="1154"/>
      <c r="D45" s="1154"/>
      <c r="E45" s="1154"/>
      <c r="F45" s="1154"/>
      <c r="G45" s="1155"/>
      <c r="H45" s="1155"/>
      <c r="I45" s="1155"/>
      <c r="J45" s="1155"/>
      <c r="K45" s="1154"/>
      <c r="L45" s="1154"/>
      <c r="M45" s="1154"/>
      <c r="N45" s="1156"/>
      <c r="O45" s="1154"/>
      <c r="P45" s="1157"/>
    </row>
  </sheetData>
  <mergeCells count="32">
    <mergeCell ref="C2:C4"/>
    <mergeCell ref="D2:K2"/>
    <mergeCell ref="L2:M2"/>
    <mergeCell ref="N2:O2"/>
    <mergeCell ref="D3:K3"/>
    <mergeCell ref="L3:M3"/>
    <mergeCell ref="N3:O3"/>
    <mergeCell ref="D4:K4"/>
    <mergeCell ref="L4:M4"/>
    <mergeCell ref="N4:O4"/>
    <mergeCell ref="D34:H34"/>
    <mergeCell ref="D5:K5"/>
    <mergeCell ref="L5:M5"/>
    <mergeCell ref="N5:O5"/>
    <mergeCell ref="C6:O6"/>
    <mergeCell ref="C7:O7"/>
    <mergeCell ref="D8:E8"/>
    <mergeCell ref="J8:K8"/>
    <mergeCell ref="S21:S22"/>
    <mergeCell ref="J30:M30"/>
    <mergeCell ref="J31:N31"/>
    <mergeCell ref="D33:G33"/>
    <mergeCell ref="J33:K33"/>
    <mergeCell ref="D44:E44"/>
    <mergeCell ref="G44:J44"/>
    <mergeCell ref="L44:N44"/>
    <mergeCell ref="D39:E39"/>
    <mergeCell ref="G39:J39"/>
    <mergeCell ref="L39:N39"/>
    <mergeCell ref="C43:F43"/>
    <mergeCell ref="G43:J43"/>
    <mergeCell ref="L43:N43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67" fitToWidth="0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D333-CE00-4DB6-AFBE-EC69BF2661FC}">
  <sheetPr>
    <pageSetUpPr fitToPage="1"/>
  </sheetPr>
  <dimension ref="A1:M80"/>
  <sheetViews>
    <sheetView showGridLines="0" topLeftCell="A32" zoomScale="85" zoomScaleNormal="85" workbookViewId="0">
      <selection activeCell="E67" sqref="E67"/>
    </sheetView>
  </sheetViews>
  <sheetFormatPr defaultColWidth="9.140625" defaultRowHeight="15" x14ac:dyDescent="0.25"/>
  <cols>
    <col min="1" max="1" width="9.140625" style="1160"/>
    <col min="2" max="2" width="5.7109375" style="1160" customWidth="1"/>
    <col min="3" max="3" width="32.5703125" style="1160" customWidth="1"/>
    <col min="4" max="4" width="9" style="1160" customWidth="1"/>
    <col min="5" max="5" width="15.7109375" style="1160" customWidth="1"/>
    <col min="6" max="6" width="20.7109375" style="1160" customWidth="1"/>
    <col min="7" max="7" width="13.7109375" style="1160" customWidth="1"/>
    <col min="8" max="8" width="21.85546875" style="1449" customWidth="1"/>
    <col min="9" max="9" width="16.42578125" style="1161" customWidth="1"/>
    <col min="10" max="10" width="11.140625" style="1160" bestFit="1" customWidth="1"/>
    <col min="11" max="11" width="11.5703125" style="1160" bestFit="1" customWidth="1"/>
    <col min="12" max="12" width="13.7109375" style="1160" customWidth="1"/>
    <col min="13" max="13" width="13.28515625" style="1160" bestFit="1" customWidth="1"/>
    <col min="14" max="16384" width="9.140625" style="1160"/>
  </cols>
  <sheetData>
    <row r="1" spans="2:12" x14ac:dyDescent="0.25">
      <c r="B1" s="1159"/>
    </row>
    <row r="2" spans="2:12" x14ac:dyDescent="0.25">
      <c r="B2" s="1698" t="s">
        <v>649</v>
      </c>
      <c r="C2" s="1698"/>
      <c r="D2" s="1698"/>
      <c r="E2" s="1698"/>
      <c r="F2" s="1698"/>
      <c r="G2" s="1698"/>
      <c r="H2" s="1698"/>
      <c r="I2" s="1163"/>
    </row>
    <row r="3" spans="2:12" x14ac:dyDescent="0.25">
      <c r="B3" s="1698" t="s">
        <v>572</v>
      </c>
      <c r="C3" s="1698"/>
      <c r="D3" s="1698"/>
      <c r="E3" s="1698"/>
      <c r="F3" s="1698"/>
      <c r="G3" s="1698"/>
      <c r="H3" s="1698"/>
      <c r="I3" s="1163"/>
    </row>
    <row r="4" spans="2:12" ht="15.75" thickBot="1" x14ac:dyDescent="0.3">
      <c r="B4" s="1164" t="s">
        <v>753</v>
      </c>
      <c r="C4" s="1165"/>
      <c r="D4" s="1165"/>
      <c r="E4" s="1165"/>
      <c r="F4" s="1165"/>
      <c r="G4" s="1166"/>
      <c r="H4" s="1436"/>
      <c r="I4" s="1167"/>
    </row>
    <row r="5" spans="2:12" x14ac:dyDescent="0.25">
      <c r="B5" s="1699" t="s">
        <v>178</v>
      </c>
      <c r="C5" s="1701" t="s">
        <v>650</v>
      </c>
      <c r="D5" s="1701" t="s">
        <v>651</v>
      </c>
      <c r="E5" s="1703" t="s">
        <v>368</v>
      </c>
      <c r="F5" s="1704"/>
      <c r="G5" s="1705"/>
      <c r="H5" s="1706" t="s">
        <v>652</v>
      </c>
      <c r="I5" s="1168"/>
    </row>
    <row r="6" spans="2:12" ht="41.25" customHeight="1" x14ac:dyDescent="0.25">
      <c r="B6" s="1700"/>
      <c r="C6" s="1702"/>
      <c r="D6" s="1702"/>
      <c r="E6" s="1169" t="s">
        <v>653</v>
      </c>
      <c r="F6" s="1169" t="s">
        <v>654</v>
      </c>
      <c r="G6" s="1169" t="s">
        <v>655</v>
      </c>
      <c r="H6" s="1707"/>
      <c r="I6" s="1168"/>
    </row>
    <row r="7" spans="2:12" x14ac:dyDescent="0.25">
      <c r="B7" s="1170" t="s">
        <v>656</v>
      </c>
      <c r="C7" s="1171" t="s">
        <v>85</v>
      </c>
      <c r="D7" s="1172"/>
      <c r="E7" s="1173"/>
      <c r="F7" s="1173"/>
      <c r="G7" s="1173"/>
      <c r="H7" s="1437"/>
      <c r="I7" s="1174"/>
    </row>
    <row r="8" spans="2:12" x14ac:dyDescent="0.25">
      <c r="B8" s="1175"/>
      <c r="C8" s="1422" t="s">
        <v>657</v>
      </c>
      <c r="D8" s="1176"/>
      <c r="E8" s="1177"/>
      <c r="F8" s="1178"/>
      <c r="G8" s="1177"/>
      <c r="H8" s="1438"/>
      <c r="I8" s="1174"/>
      <c r="J8" s="1179"/>
      <c r="K8" s="1179"/>
      <c r="L8" s="1180"/>
    </row>
    <row r="9" spans="2:12" x14ac:dyDescent="0.25">
      <c r="B9" s="1175"/>
      <c r="C9" s="1181" t="s">
        <v>84</v>
      </c>
      <c r="D9" s="1182" t="s">
        <v>233</v>
      </c>
      <c r="E9" s="1183">
        <v>19</v>
      </c>
      <c r="F9" s="1183">
        <f>'September - 2024'!AM6</f>
        <v>27</v>
      </c>
      <c r="G9" s="1430">
        <f>(F9/E9)</f>
        <v>1.4210526315789473</v>
      </c>
      <c r="H9" s="1457" t="s">
        <v>755</v>
      </c>
      <c r="I9" s="1174"/>
      <c r="J9" s="1184"/>
      <c r="K9" s="1179"/>
    </row>
    <row r="10" spans="2:12" x14ac:dyDescent="0.25">
      <c r="B10" s="1175"/>
      <c r="C10" s="1185" t="s">
        <v>658</v>
      </c>
      <c r="D10" s="1186" t="s">
        <v>14</v>
      </c>
      <c r="E10" s="1178"/>
      <c r="F10" s="1178"/>
      <c r="G10" s="1426"/>
      <c r="H10" s="1439"/>
      <c r="I10" s="1434"/>
      <c r="J10" s="1184"/>
      <c r="K10" s="1179"/>
    </row>
    <row r="11" spans="2:12" x14ac:dyDescent="0.25">
      <c r="B11" s="1175"/>
      <c r="C11" s="1181" t="s">
        <v>71</v>
      </c>
      <c r="D11" s="1182" t="s">
        <v>14</v>
      </c>
      <c r="E11" s="1183">
        <v>34952000</v>
      </c>
      <c r="F11" s="1183">
        <f>'September - 2024'!AM9</f>
        <v>24046290</v>
      </c>
      <c r="G11" s="1430">
        <f>(F11/E11)</f>
        <v>0.68798037308308535</v>
      </c>
      <c r="H11" s="1453" t="s">
        <v>756</v>
      </c>
      <c r="I11" s="1174"/>
      <c r="J11" s="1187"/>
      <c r="L11" s="1180"/>
    </row>
    <row r="12" spans="2:12" x14ac:dyDescent="0.25">
      <c r="B12" s="1175"/>
      <c r="C12" s="1188" t="s">
        <v>659</v>
      </c>
      <c r="D12" s="1189" t="s">
        <v>25</v>
      </c>
      <c r="E12" s="1190">
        <v>5</v>
      </c>
      <c r="F12" s="1191">
        <f>'September - 2024'!AM13</f>
        <v>3.6441975308641967</v>
      </c>
      <c r="G12" s="1431">
        <f>(F12/E12)</f>
        <v>0.72883950617283932</v>
      </c>
      <c r="H12" s="1440"/>
      <c r="I12" s="1192"/>
      <c r="J12" s="1193"/>
    </row>
    <row r="13" spans="2:12" x14ac:dyDescent="0.25">
      <c r="B13" s="1175"/>
      <c r="C13" s="1188" t="s">
        <v>660</v>
      </c>
      <c r="D13" s="1189" t="s">
        <v>25</v>
      </c>
      <c r="E13" s="1190">
        <v>0.5</v>
      </c>
      <c r="F13" s="1191">
        <f>'September - 2024'!AM14</f>
        <v>0.41401234567901246</v>
      </c>
      <c r="G13" s="1431">
        <f t="shared" ref="G13:G17" si="0">(F13/E13)</f>
        <v>0.82802469135802492</v>
      </c>
      <c r="H13" s="1440"/>
      <c r="I13" s="1192"/>
      <c r="J13" s="1193"/>
    </row>
    <row r="14" spans="2:12" x14ac:dyDescent="0.25">
      <c r="B14" s="1175"/>
      <c r="C14" s="1188" t="s">
        <v>661</v>
      </c>
      <c r="D14" s="1189" t="s">
        <v>25</v>
      </c>
      <c r="E14" s="1190">
        <v>22.2</v>
      </c>
      <c r="F14" s="1191">
        <f>'September - 2024'!AM15</f>
        <v>21.265185185185178</v>
      </c>
      <c r="G14" s="1431">
        <f t="shared" si="0"/>
        <v>0.95789122455789089</v>
      </c>
      <c r="H14" s="1440"/>
      <c r="I14" s="1192"/>
    </row>
    <row r="15" spans="2:12" x14ac:dyDescent="0.25">
      <c r="B15" s="1175"/>
      <c r="C15" s="1194" t="s">
        <v>78</v>
      </c>
      <c r="D15" s="1186"/>
      <c r="E15" s="1178"/>
      <c r="F15" s="1178"/>
      <c r="G15" s="1431"/>
      <c r="H15" s="1441"/>
      <c r="I15" s="1192"/>
    </row>
    <row r="16" spans="2:12" x14ac:dyDescent="0.25">
      <c r="B16" s="1175"/>
      <c r="C16" s="1195" t="s">
        <v>196</v>
      </c>
      <c r="D16" s="1196" t="s">
        <v>14</v>
      </c>
      <c r="E16" s="1178">
        <v>33124010.399999999</v>
      </c>
      <c r="F16" s="1178">
        <f>'September - 2024'!AM18</f>
        <v>22783491</v>
      </c>
      <c r="G16" s="1431">
        <f t="shared" si="0"/>
        <v>0.68782405043563211</v>
      </c>
      <c r="H16" s="1433"/>
      <c r="I16" s="1174"/>
    </row>
    <row r="17" spans="2:13" x14ac:dyDescent="0.25">
      <c r="B17" s="1175"/>
      <c r="C17" s="1197" t="s">
        <v>64</v>
      </c>
      <c r="D17" s="1198" t="s">
        <v>14</v>
      </c>
      <c r="E17" s="1199">
        <v>1572840</v>
      </c>
      <c r="F17" s="1178">
        <f>'September - 2024'!AM19</f>
        <v>998518</v>
      </c>
      <c r="G17" s="1431">
        <f t="shared" si="0"/>
        <v>0.63485033442689653</v>
      </c>
      <c r="H17" s="1442"/>
      <c r="I17" s="1174"/>
    </row>
    <row r="18" spans="2:13" ht="8.25" customHeight="1" x14ac:dyDescent="0.25">
      <c r="B18" s="1175"/>
      <c r="C18" s="1209"/>
      <c r="D18" s="1213"/>
      <c r="E18" s="1177"/>
      <c r="F18" s="1203"/>
      <c r="G18" s="1428"/>
      <c r="H18" s="1433"/>
      <c r="I18" s="1174"/>
    </row>
    <row r="19" spans="2:13" s="1420" customFormat="1" ht="14.25" customHeight="1" x14ac:dyDescent="0.25">
      <c r="B19" s="1175"/>
      <c r="C19" s="1422" t="s">
        <v>752</v>
      </c>
      <c r="D19" s="1213"/>
      <c r="E19" s="1177"/>
      <c r="F19" s="1178"/>
      <c r="G19" s="1426"/>
      <c r="H19" s="1433"/>
      <c r="I19" s="1174"/>
    </row>
    <row r="20" spans="2:13" s="1420" customFormat="1" ht="14.25" customHeight="1" x14ac:dyDescent="0.25">
      <c r="B20" s="1175"/>
      <c r="C20" s="1421" t="s">
        <v>361</v>
      </c>
      <c r="D20" s="1213" t="s">
        <v>14</v>
      </c>
      <c r="E20" s="1177">
        <f>E23+E36+E41</f>
        <v>31417000</v>
      </c>
      <c r="F20" s="1178">
        <f>'September - 2024'!AM25</f>
        <v>23189025</v>
      </c>
      <c r="G20" s="1431">
        <f t="shared" ref="G20:G23" si="1">(F20/E20)</f>
        <v>0.73810437024540854</v>
      </c>
      <c r="H20" s="1433" t="s">
        <v>756</v>
      </c>
      <c r="I20" s="1174"/>
    </row>
    <row r="21" spans="2:13" s="1420" customFormat="1" ht="20.25" customHeight="1" x14ac:dyDescent="0.25">
      <c r="B21" s="1175"/>
      <c r="C21" s="1421" t="s">
        <v>754</v>
      </c>
      <c r="D21" s="1213" t="s">
        <v>14</v>
      </c>
      <c r="E21" s="1177">
        <f>E23+E36+E41</f>
        <v>31417000</v>
      </c>
      <c r="F21" s="1207">
        <f>'September - 2024'!AM23</f>
        <v>22592969</v>
      </c>
      <c r="G21" s="1431">
        <f t="shared" si="1"/>
        <v>0.71913196676958335</v>
      </c>
      <c r="H21" s="1433" t="s">
        <v>756</v>
      </c>
      <c r="I21" s="1174"/>
    </row>
    <row r="22" spans="2:13" x14ac:dyDescent="0.25">
      <c r="B22" s="1175"/>
      <c r="C22" s="1200" t="s">
        <v>662</v>
      </c>
      <c r="D22" s="1201"/>
      <c r="E22" s="1202"/>
      <c r="F22" s="1203"/>
      <c r="G22" s="1428"/>
      <c r="H22" s="1450"/>
      <c r="I22" s="1174"/>
    </row>
    <row r="23" spans="2:13" x14ac:dyDescent="0.25">
      <c r="B23" s="1175"/>
      <c r="C23" s="1195" t="s">
        <v>75</v>
      </c>
      <c r="D23" s="1196" t="s">
        <v>14</v>
      </c>
      <c r="E23" s="1178">
        <v>7883000</v>
      </c>
      <c r="F23" s="1178">
        <f>F24+F25</f>
        <v>16566545</v>
      </c>
      <c r="G23" s="1431">
        <f t="shared" si="1"/>
        <v>2.1015533426360524</v>
      </c>
      <c r="H23" s="1454" t="s">
        <v>755</v>
      </c>
      <c r="I23" s="1174"/>
      <c r="J23" s="1193"/>
    </row>
    <row r="24" spans="2:13" x14ac:dyDescent="0.25">
      <c r="B24" s="1175"/>
      <c r="C24" s="1204" t="s">
        <v>63</v>
      </c>
      <c r="D24" s="1205" t="s">
        <v>14</v>
      </c>
      <c r="E24" s="1183">
        <v>6464000</v>
      </c>
      <c r="F24" s="1183">
        <f>'September - 2024'!AM29</f>
        <v>13789795</v>
      </c>
      <c r="G24" s="1430">
        <f>(F24/E24)</f>
        <v>2.1333222462871286</v>
      </c>
      <c r="H24" s="1455" t="s">
        <v>755</v>
      </c>
      <c r="I24" s="1174"/>
      <c r="J24" s="1193"/>
      <c r="M24" s="1206"/>
    </row>
    <row r="25" spans="2:13" x14ac:dyDescent="0.25">
      <c r="B25" s="1175"/>
      <c r="C25" s="1197" t="s">
        <v>62</v>
      </c>
      <c r="D25" s="1198" t="s">
        <v>14</v>
      </c>
      <c r="E25" s="1199">
        <v>1419000</v>
      </c>
      <c r="F25" s="1207">
        <f>'September - 2024'!AM30</f>
        <v>2776750</v>
      </c>
      <c r="G25" s="1431">
        <f t="shared" ref="G25" si="2">(F25/E25)</f>
        <v>1.9568357998590558</v>
      </c>
      <c r="H25" s="1456" t="s">
        <v>755</v>
      </c>
      <c r="I25" s="1174"/>
      <c r="J25" s="1193"/>
      <c r="M25" s="1206"/>
    </row>
    <row r="26" spans="2:13" x14ac:dyDescent="0.25">
      <c r="B26" s="1175"/>
      <c r="C26" s="1200" t="s">
        <v>663</v>
      </c>
      <c r="D26" s="1208"/>
      <c r="E26" s="1202"/>
      <c r="F26" s="1203"/>
      <c r="G26" s="1428"/>
      <c r="H26" s="1433"/>
      <c r="I26" s="1174"/>
      <c r="M26" s="1206"/>
    </row>
    <row r="27" spans="2:13" x14ac:dyDescent="0.25">
      <c r="B27" s="1175"/>
      <c r="C27" s="1185" t="s">
        <v>75</v>
      </c>
      <c r="D27" s="1186" t="s">
        <v>14</v>
      </c>
      <c r="E27" s="1177">
        <v>0</v>
      </c>
      <c r="F27" s="1178"/>
      <c r="G27" s="1426"/>
      <c r="H27" s="1433"/>
      <c r="I27" s="1174"/>
      <c r="J27" s="1193"/>
    </row>
    <row r="28" spans="2:13" x14ac:dyDescent="0.25">
      <c r="B28" s="1175"/>
      <c r="C28" s="1181" t="s">
        <v>664</v>
      </c>
      <c r="D28" s="1182" t="s">
        <v>14</v>
      </c>
      <c r="E28" s="1183">
        <v>0</v>
      </c>
      <c r="F28" s="1183">
        <v>0</v>
      </c>
      <c r="G28" s="1183">
        <v>0</v>
      </c>
      <c r="H28" s="1453"/>
      <c r="I28" s="1174"/>
      <c r="J28" s="1193"/>
    </row>
    <row r="29" spans="2:13" x14ac:dyDescent="0.25">
      <c r="B29" s="1175"/>
      <c r="C29" s="1209" t="s">
        <v>62</v>
      </c>
      <c r="D29" s="1210" t="s">
        <v>14</v>
      </c>
      <c r="E29" s="1177">
        <v>0</v>
      </c>
      <c r="F29" s="1178"/>
      <c r="G29" s="1427"/>
      <c r="H29" s="1433"/>
      <c r="I29" s="1174"/>
      <c r="J29" s="1193"/>
    </row>
    <row r="30" spans="2:13" x14ac:dyDescent="0.25">
      <c r="B30" s="1211"/>
      <c r="C30" s="1200" t="s">
        <v>665</v>
      </c>
      <c r="D30" s="1201"/>
      <c r="E30" s="1202"/>
      <c r="F30" s="1203"/>
      <c r="G30" s="1428"/>
      <c r="H30" s="1443"/>
      <c r="I30" s="1174"/>
    </row>
    <row r="31" spans="2:13" hidden="1" x14ac:dyDescent="0.25">
      <c r="B31" s="1211"/>
      <c r="C31" s="1212" t="s">
        <v>195</v>
      </c>
      <c r="D31" s="1176" t="s">
        <v>14</v>
      </c>
      <c r="E31" s="1177">
        <v>1812101.9108280253</v>
      </c>
      <c r="F31" s="1178"/>
      <c r="G31" s="1425">
        <f t="shared" ref="G31:G66" si="3">(F31/E31)*100</f>
        <v>0</v>
      </c>
      <c r="H31" s="1433"/>
      <c r="I31" s="1174"/>
      <c r="M31" s="1179"/>
    </row>
    <row r="32" spans="2:13" x14ac:dyDescent="0.25">
      <c r="B32" s="1211"/>
      <c r="C32" s="1185" t="s">
        <v>75</v>
      </c>
      <c r="D32" s="1186" t="s">
        <v>14</v>
      </c>
      <c r="E32" s="1178">
        <v>1707000</v>
      </c>
      <c r="F32" s="1178">
        <f>F33+F34</f>
        <v>40950</v>
      </c>
      <c r="G32" s="1426">
        <f t="shared" si="3"/>
        <v>2.3989455184534272</v>
      </c>
      <c r="H32" s="1433" t="s">
        <v>756</v>
      </c>
      <c r="I32" s="1174"/>
      <c r="J32" s="1193"/>
    </row>
    <row r="33" spans="2:10" x14ac:dyDescent="0.25">
      <c r="B33" s="1211"/>
      <c r="C33" s="1181" t="s">
        <v>664</v>
      </c>
      <c r="D33" s="1182" t="s">
        <v>14</v>
      </c>
      <c r="E33" s="1183">
        <v>1280000</v>
      </c>
      <c r="F33" s="1183">
        <f>'September - 2024'!AM38</f>
        <v>30800</v>
      </c>
      <c r="G33" s="1425">
        <f t="shared" si="3"/>
        <v>2.40625</v>
      </c>
      <c r="H33" s="1453" t="s">
        <v>756</v>
      </c>
      <c r="I33" s="1174"/>
      <c r="J33" s="1193"/>
    </row>
    <row r="34" spans="2:10" x14ac:dyDescent="0.25">
      <c r="B34" s="1211"/>
      <c r="C34" s="1209" t="s">
        <v>62</v>
      </c>
      <c r="D34" s="1176" t="s">
        <v>14</v>
      </c>
      <c r="E34" s="1177">
        <v>427000</v>
      </c>
      <c r="F34" s="1178">
        <f>'September - 2024'!AM39</f>
        <v>10150</v>
      </c>
      <c r="G34" s="1427">
        <f t="shared" si="3"/>
        <v>2.3770491803278686</v>
      </c>
      <c r="H34" s="1433" t="s">
        <v>756</v>
      </c>
      <c r="I34" s="1174"/>
      <c r="J34" s="1193"/>
    </row>
    <row r="35" spans="2:10" x14ac:dyDescent="0.25">
      <c r="B35" s="1175"/>
      <c r="C35" s="1200" t="s">
        <v>666</v>
      </c>
      <c r="D35" s="1201"/>
      <c r="E35" s="1202"/>
      <c r="F35" s="1203"/>
      <c r="G35" s="1428"/>
      <c r="H35" s="1443"/>
      <c r="I35" s="1174"/>
    </row>
    <row r="36" spans="2:10" x14ac:dyDescent="0.25">
      <c r="B36" s="1175"/>
      <c r="C36" s="1195" t="s">
        <v>75</v>
      </c>
      <c r="D36" s="1196" t="s">
        <v>14</v>
      </c>
      <c r="E36" s="1178">
        <v>21429000</v>
      </c>
      <c r="F36" s="1178">
        <f>F37+F38</f>
        <v>6581530</v>
      </c>
      <c r="G36" s="1426">
        <f t="shared" si="3"/>
        <v>30.713192402818613</v>
      </c>
      <c r="H36" s="1433" t="s">
        <v>756</v>
      </c>
      <c r="I36" s="1174"/>
      <c r="J36" s="1193"/>
    </row>
    <row r="37" spans="2:10" x14ac:dyDescent="0.25">
      <c r="B37" s="1175"/>
      <c r="C37" s="1204" t="s">
        <v>338</v>
      </c>
      <c r="D37" s="1205" t="s">
        <v>14</v>
      </c>
      <c r="E37" s="1183">
        <v>15000000</v>
      </c>
      <c r="F37" s="1183">
        <f>'September - 2024'!AM42</f>
        <v>4788598</v>
      </c>
      <c r="G37" s="1425">
        <f t="shared" si="3"/>
        <v>31.923986666666664</v>
      </c>
      <c r="H37" s="1453" t="s">
        <v>756</v>
      </c>
      <c r="I37" s="1174"/>
      <c r="J37" s="1193"/>
    </row>
    <row r="38" spans="2:10" x14ac:dyDescent="0.25">
      <c r="B38" s="1175"/>
      <c r="C38" s="1209" t="s">
        <v>62</v>
      </c>
      <c r="D38" s="1213" t="s">
        <v>14</v>
      </c>
      <c r="E38" s="1177">
        <v>6429000</v>
      </c>
      <c r="F38" s="1178">
        <f>'September - 2024'!AM43</f>
        <v>1792932</v>
      </c>
      <c r="G38" s="1427">
        <f t="shared" si="3"/>
        <v>27.888194120391972</v>
      </c>
      <c r="H38" s="1433" t="s">
        <v>756</v>
      </c>
      <c r="I38" s="1174"/>
      <c r="J38" s="1193"/>
    </row>
    <row r="39" spans="2:10" x14ac:dyDescent="0.25">
      <c r="B39" s="1211"/>
      <c r="C39" s="1200" t="s">
        <v>667</v>
      </c>
      <c r="D39" s="1201"/>
      <c r="E39" s="1202"/>
      <c r="F39" s="1203"/>
      <c r="G39" s="1428"/>
      <c r="H39" s="1443"/>
      <c r="I39" s="1174"/>
    </row>
    <row r="40" spans="2:10" hidden="1" x14ac:dyDescent="0.25">
      <c r="B40" s="1211"/>
      <c r="C40" s="1212" t="s">
        <v>195</v>
      </c>
      <c r="D40" s="1214"/>
      <c r="E40" s="1177">
        <v>2234607.2186836516</v>
      </c>
      <c r="F40" s="1178">
        <v>0</v>
      </c>
      <c r="G40" s="1426">
        <f t="shared" si="3"/>
        <v>0</v>
      </c>
      <c r="H40" s="1433"/>
      <c r="I40" s="1174"/>
    </row>
    <row r="41" spans="2:10" x14ac:dyDescent="0.25">
      <c r="B41" s="1211"/>
      <c r="C41" s="1185" t="s">
        <v>75</v>
      </c>
      <c r="D41" s="1186" t="s">
        <v>14</v>
      </c>
      <c r="E41" s="1178">
        <v>2105000</v>
      </c>
      <c r="F41" s="1178">
        <v>0</v>
      </c>
      <c r="G41" s="1426">
        <f t="shared" si="3"/>
        <v>0</v>
      </c>
      <c r="H41" s="1433" t="s">
        <v>756</v>
      </c>
      <c r="I41" s="1174"/>
      <c r="J41" s="1193"/>
    </row>
    <row r="42" spans="2:10" x14ac:dyDescent="0.25">
      <c r="B42" s="1211"/>
      <c r="C42" s="1181" t="s">
        <v>668</v>
      </c>
      <c r="D42" s="1182" t="s">
        <v>14</v>
      </c>
      <c r="E42" s="1183">
        <v>1263000</v>
      </c>
      <c r="F42" s="1183">
        <v>0</v>
      </c>
      <c r="G42" s="1425">
        <f t="shared" si="3"/>
        <v>0</v>
      </c>
      <c r="H42" s="1453" t="s">
        <v>756</v>
      </c>
      <c r="I42" s="1174"/>
      <c r="J42" s="1193"/>
    </row>
    <row r="43" spans="2:10" x14ac:dyDescent="0.25">
      <c r="B43" s="1211"/>
      <c r="C43" s="1215" t="s">
        <v>60</v>
      </c>
      <c r="D43" s="1210" t="s">
        <v>14</v>
      </c>
      <c r="E43" s="1199">
        <v>842000</v>
      </c>
      <c r="F43" s="1178">
        <v>0</v>
      </c>
      <c r="G43" s="1427">
        <f t="shared" si="3"/>
        <v>0</v>
      </c>
      <c r="H43" s="1433" t="s">
        <v>756</v>
      </c>
      <c r="I43" s="1174"/>
      <c r="J43" s="1193"/>
    </row>
    <row r="44" spans="2:10" x14ac:dyDescent="0.25">
      <c r="B44" s="1216" t="s">
        <v>669</v>
      </c>
      <c r="C44" s="1217" t="s">
        <v>670</v>
      </c>
      <c r="D44" s="1172"/>
      <c r="E44" s="1173"/>
      <c r="F44" s="1173"/>
      <c r="G44" s="1432"/>
      <c r="H44" s="1444"/>
      <c r="I44" s="1174"/>
    </row>
    <row r="45" spans="2:10" x14ac:dyDescent="0.25">
      <c r="B45" s="1218"/>
      <c r="C45" s="1195" t="s">
        <v>65</v>
      </c>
      <c r="D45" s="1196" t="s">
        <v>25</v>
      </c>
      <c r="E45" s="1191">
        <v>94.77</v>
      </c>
      <c r="F45" s="281">
        <f>(F16/(F11))*100</f>
        <v>94.748466395439806</v>
      </c>
      <c r="G45" s="1426">
        <f t="shared" si="3"/>
        <v>99.977278036762485</v>
      </c>
      <c r="H45" s="1433" t="s">
        <v>756</v>
      </c>
      <c r="I45" s="1192"/>
    </row>
    <row r="46" spans="2:10" x14ac:dyDescent="0.25">
      <c r="B46" s="1218"/>
      <c r="C46" s="1195" t="s">
        <v>64</v>
      </c>
      <c r="D46" s="1196" t="s">
        <v>25</v>
      </c>
      <c r="E46" s="1191">
        <v>4.5</v>
      </c>
      <c r="F46" s="281">
        <f>(F17/(F11))*100</f>
        <v>4.1524825659176523</v>
      </c>
      <c r="G46" s="1427">
        <f t="shared" si="3"/>
        <v>92.277390353725607</v>
      </c>
      <c r="H46" s="1433" t="s">
        <v>756</v>
      </c>
      <c r="I46" s="1192"/>
    </row>
    <row r="47" spans="2:10" x14ac:dyDescent="0.25">
      <c r="B47" s="1218"/>
      <c r="C47" s="1219" t="s">
        <v>63</v>
      </c>
      <c r="D47" s="1220" t="s">
        <v>25</v>
      </c>
      <c r="E47" s="1221">
        <v>82</v>
      </c>
      <c r="F47" s="1423">
        <f>F24/(F24+F25)*100</f>
        <v>83.238810506354824</v>
      </c>
      <c r="G47" s="1428">
        <f t="shared" si="3"/>
        <v>101.51074451994491</v>
      </c>
      <c r="H47" s="1458" t="s">
        <v>755</v>
      </c>
      <c r="I47" s="1192"/>
    </row>
    <row r="48" spans="2:10" x14ac:dyDescent="0.25">
      <c r="B48" s="1218"/>
      <c r="C48" s="1195" t="s">
        <v>62</v>
      </c>
      <c r="D48" s="1196" t="s">
        <v>25</v>
      </c>
      <c r="E48" s="1191">
        <v>18</v>
      </c>
      <c r="F48" s="1424">
        <f>(F25/F23)*100</f>
        <v>16.761189493645173</v>
      </c>
      <c r="G48" s="1427">
        <f t="shared" si="3"/>
        <v>93.117719409139838</v>
      </c>
      <c r="H48" s="1456" t="s">
        <v>755</v>
      </c>
      <c r="I48" s="1192"/>
    </row>
    <row r="49" spans="2:9" x14ac:dyDescent="0.25">
      <c r="B49" s="1218"/>
      <c r="C49" s="1222" t="s">
        <v>107</v>
      </c>
      <c r="D49" s="1220" t="s">
        <v>25</v>
      </c>
      <c r="E49" s="1221">
        <v>75</v>
      </c>
      <c r="F49" s="1223">
        <v>0</v>
      </c>
      <c r="G49" s="1428">
        <f t="shared" si="3"/>
        <v>0</v>
      </c>
      <c r="H49" s="1451"/>
      <c r="I49" s="1192"/>
    </row>
    <row r="50" spans="2:9" x14ac:dyDescent="0.25">
      <c r="B50" s="1218"/>
      <c r="C50" s="1195" t="s">
        <v>62</v>
      </c>
      <c r="D50" s="1196" t="s">
        <v>25</v>
      </c>
      <c r="E50" s="1191">
        <v>25</v>
      </c>
      <c r="F50" s="1226">
        <v>0</v>
      </c>
      <c r="G50" s="1427">
        <f t="shared" si="3"/>
        <v>0</v>
      </c>
      <c r="H50" s="1452"/>
      <c r="I50" s="1192"/>
    </row>
    <row r="51" spans="2:9" x14ac:dyDescent="0.25">
      <c r="B51" s="1218"/>
      <c r="C51" s="1222" t="s">
        <v>109</v>
      </c>
      <c r="D51" s="1220" t="s">
        <v>25</v>
      </c>
      <c r="E51" s="1221">
        <v>75</v>
      </c>
      <c r="F51" s="1423">
        <f>F33/(F33+F34)*100</f>
        <v>75.213675213675216</v>
      </c>
      <c r="G51" s="1428">
        <f t="shared" si="3"/>
        <v>100.28490028490029</v>
      </c>
      <c r="H51" s="1459" t="s">
        <v>755</v>
      </c>
      <c r="I51" s="1192"/>
    </row>
    <row r="52" spans="2:9" x14ac:dyDescent="0.25">
      <c r="B52" s="1218"/>
      <c r="C52" s="1195" t="s">
        <v>62</v>
      </c>
      <c r="D52" s="1196" t="s">
        <v>25</v>
      </c>
      <c r="E52" s="1191">
        <v>25</v>
      </c>
      <c r="F52" s="1424">
        <f>(F34/F32)*100</f>
        <v>24.786324786324787</v>
      </c>
      <c r="G52" s="1427">
        <f t="shared" si="3"/>
        <v>99.145299145299148</v>
      </c>
      <c r="H52" s="1459" t="s">
        <v>755</v>
      </c>
      <c r="I52" s="1192"/>
    </row>
    <row r="53" spans="2:9" x14ac:dyDescent="0.25">
      <c r="B53" s="1218"/>
      <c r="C53" s="1222" t="s">
        <v>338</v>
      </c>
      <c r="D53" s="1220" t="s">
        <v>25</v>
      </c>
      <c r="E53" s="1221">
        <v>70</v>
      </c>
      <c r="F53" s="1423">
        <f>F37/(F37+F38)*100</f>
        <v>72.7581276694021</v>
      </c>
      <c r="G53" s="1428">
        <f t="shared" si="3"/>
        <v>103.94018238486014</v>
      </c>
      <c r="H53" s="1458" t="s">
        <v>755</v>
      </c>
      <c r="I53" s="1192"/>
    </row>
    <row r="54" spans="2:9" x14ac:dyDescent="0.25">
      <c r="B54" s="1218"/>
      <c r="C54" s="1195" t="s">
        <v>62</v>
      </c>
      <c r="D54" s="1196" t="s">
        <v>25</v>
      </c>
      <c r="E54" s="1191">
        <v>30</v>
      </c>
      <c r="F54" s="1424">
        <f>(F38/F36)*100</f>
        <v>27.2418723305979</v>
      </c>
      <c r="G54" s="1427">
        <f t="shared" si="3"/>
        <v>90.806241101992995</v>
      </c>
      <c r="H54" s="1456" t="s">
        <v>755</v>
      </c>
      <c r="I54" s="1192"/>
    </row>
    <row r="55" spans="2:9" x14ac:dyDescent="0.25">
      <c r="B55" s="1218"/>
      <c r="C55" s="1219" t="s">
        <v>61</v>
      </c>
      <c r="D55" s="1220" t="s">
        <v>25</v>
      </c>
      <c r="E55" s="1221">
        <v>60</v>
      </c>
      <c r="F55" s="281">
        <v>0</v>
      </c>
      <c r="G55" s="1428">
        <f t="shared" si="3"/>
        <v>0</v>
      </c>
      <c r="H55" s="1460"/>
      <c r="I55" s="1192"/>
    </row>
    <row r="56" spans="2:9" x14ac:dyDescent="0.25">
      <c r="B56" s="1218"/>
      <c r="C56" s="1224" t="s">
        <v>60</v>
      </c>
      <c r="D56" s="1225" t="s">
        <v>25</v>
      </c>
      <c r="E56" s="1226">
        <v>40</v>
      </c>
      <c r="F56" s="281">
        <v>0</v>
      </c>
      <c r="G56" s="1427">
        <f t="shared" si="3"/>
        <v>0</v>
      </c>
      <c r="H56" s="1445"/>
      <c r="I56" s="1192"/>
    </row>
    <row r="57" spans="2:9" x14ac:dyDescent="0.25">
      <c r="B57" s="1170" t="s">
        <v>671</v>
      </c>
      <c r="C57" s="1171" t="s">
        <v>59</v>
      </c>
      <c r="D57" s="1172"/>
      <c r="E57" s="1173"/>
      <c r="F57" s="1173"/>
      <c r="G57" s="1432"/>
      <c r="H57" s="1444"/>
      <c r="I57" s="1174"/>
    </row>
    <row r="58" spans="2:9" x14ac:dyDescent="0.25">
      <c r="B58" s="1227"/>
      <c r="C58" s="1228" t="s">
        <v>672</v>
      </c>
      <c r="D58" s="1176" t="s">
        <v>14</v>
      </c>
      <c r="E58" s="1177">
        <v>232362</v>
      </c>
      <c r="F58" s="1178">
        <f>'September - 2024'!AM65</f>
        <v>187513</v>
      </c>
      <c r="G58" s="1426">
        <f>(F58/E58)*100</f>
        <v>80.698651242457885</v>
      </c>
      <c r="H58" s="1433"/>
      <c r="I58" s="1174"/>
    </row>
    <row r="59" spans="2:9" x14ac:dyDescent="0.25">
      <c r="B59" s="1227"/>
      <c r="C59" s="1185"/>
      <c r="D59" s="1196" t="s">
        <v>332</v>
      </c>
      <c r="E59" s="1229">
        <v>8</v>
      </c>
      <c r="F59" s="1230">
        <f>'September - 2024'!AM66*10</f>
        <v>7.798001271713848</v>
      </c>
      <c r="G59" s="1425">
        <f t="shared" si="3"/>
        <v>97.475015896423102</v>
      </c>
      <c r="H59" s="1457" t="s">
        <v>755</v>
      </c>
      <c r="I59" s="1192"/>
    </row>
    <row r="60" spans="2:9" x14ac:dyDescent="0.25">
      <c r="B60" s="1227"/>
      <c r="C60" s="1228" t="s">
        <v>673</v>
      </c>
      <c r="D60" s="1176" t="s">
        <v>14</v>
      </c>
      <c r="E60" s="1177">
        <v>106326</v>
      </c>
      <c r="F60" s="1178">
        <v>0</v>
      </c>
      <c r="G60" s="1426">
        <f t="shared" si="3"/>
        <v>0</v>
      </c>
      <c r="H60" s="1459"/>
      <c r="I60" s="1174"/>
    </row>
    <row r="61" spans="2:9" x14ac:dyDescent="0.25">
      <c r="B61" s="1227"/>
      <c r="C61" s="1185"/>
      <c r="D61" s="1196" t="s">
        <v>332</v>
      </c>
      <c r="E61" s="1229">
        <v>18</v>
      </c>
      <c r="F61" s="1229">
        <v>0</v>
      </c>
      <c r="G61" s="1425">
        <f t="shared" si="3"/>
        <v>0</v>
      </c>
      <c r="H61" s="1461"/>
      <c r="I61" s="1192"/>
    </row>
    <row r="62" spans="2:9" x14ac:dyDescent="0.25">
      <c r="B62" s="1227"/>
      <c r="C62" s="1195" t="s">
        <v>674</v>
      </c>
      <c r="D62" s="1196" t="s">
        <v>14</v>
      </c>
      <c r="E62" s="1178">
        <v>20971</v>
      </c>
      <c r="F62" s="1178">
        <f>'September - 2024'!AM69</f>
        <v>12499.518</v>
      </c>
      <c r="G62" s="1426">
        <f t="shared" si="3"/>
        <v>59.603824328835053</v>
      </c>
      <c r="H62" s="1459"/>
      <c r="I62" s="1174"/>
    </row>
    <row r="63" spans="2:9" x14ac:dyDescent="0.25">
      <c r="B63" s="1227"/>
      <c r="C63" s="1228"/>
      <c r="D63" s="1213" t="s">
        <v>332</v>
      </c>
      <c r="E63" s="1230">
        <v>0.6</v>
      </c>
      <c r="F63" s="1230">
        <f>'September - 2024'!AM70*10</f>
        <v>0.51981066517953489</v>
      </c>
      <c r="G63" s="1429">
        <f t="shared" si="3"/>
        <v>86.635110863255818</v>
      </c>
      <c r="H63" s="1457" t="s">
        <v>755</v>
      </c>
      <c r="I63" s="1192"/>
    </row>
    <row r="64" spans="2:9" x14ac:dyDescent="0.25">
      <c r="B64" s="1170" t="s">
        <v>675</v>
      </c>
      <c r="C64" s="1217" t="s">
        <v>169</v>
      </c>
      <c r="D64" s="1172"/>
      <c r="E64" s="1173"/>
      <c r="F64" s="1173"/>
      <c r="G64" s="1432"/>
      <c r="H64" s="1444"/>
      <c r="I64" s="1174"/>
    </row>
    <row r="65" spans="1:9" x14ac:dyDescent="0.25">
      <c r="B65" s="1231"/>
      <c r="C65" s="1195" t="s">
        <v>676</v>
      </c>
      <c r="D65" s="1196" t="s">
        <v>25</v>
      </c>
      <c r="E65" s="1232">
        <v>-0.73</v>
      </c>
      <c r="F65" s="1230">
        <f>'September - 2024'!AM71</f>
        <v>-1.0990510386425516</v>
      </c>
      <c r="G65" s="1425">
        <f t="shared" si="3"/>
        <v>150.55493680034954</v>
      </c>
      <c r="H65" s="1453" t="s">
        <v>756</v>
      </c>
      <c r="I65" s="1192"/>
    </row>
    <row r="66" spans="1:9" x14ac:dyDescent="0.25">
      <c r="B66" s="1231"/>
      <c r="C66" s="1195" t="s">
        <v>54</v>
      </c>
      <c r="D66" s="1196" t="s">
        <v>25</v>
      </c>
      <c r="E66" s="1191">
        <v>22</v>
      </c>
      <c r="F66" s="1191">
        <v>22</v>
      </c>
      <c r="G66" s="1426">
        <f t="shared" si="3"/>
        <v>100</v>
      </c>
      <c r="H66" s="1440"/>
      <c r="I66" s="1192"/>
    </row>
    <row r="67" spans="1:9" ht="15.75" thickBot="1" x14ac:dyDescent="0.3">
      <c r="B67" s="1233"/>
      <c r="C67" s="1234" t="s">
        <v>53</v>
      </c>
      <c r="D67" s="1235" t="s">
        <v>14</v>
      </c>
      <c r="E67" s="1236">
        <v>413199.35999999999</v>
      </c>
      <c r="F67" s="1236">
        <f>'September - 2024'!AM74</f>
        <v>189044.9220495199</v>
      </c>
      <c r="G67" s="1435">
        <f>(F67/E67)*100</f>
        <v>45.751504080141828</v>
      </c>
      <c r="H67" s="1446"/>
      <c r="I67" s="1192"/>
    </row>
    <row r="68" spans="1:9" x14ac:dyDescent="0.25">
      <c r="B68" s="1160" t="s">
        <v>677</v>
      </c>
      <c r="C68" s="1237"/>
      <c r="D68" s="1238"/>
      <c r="E68" s="1192"/>
      <c r="F68" s="1192"/>
      <c r="G68" s="1192"/>
      <c r="H68" s="1447"/>
      <c r="I68" s="1192"/>
    </row>
    <row r="69" spans="1:9" x14ac:dyDescent="0.25">
      <c r="B69" s="1708" t="s">
        <v>757</v>
      </c>
      <c r="C69" s="1708"/>
      <c r="D69" s="1708"/>
      <c r="E69" s="1708"/>
      <c r="F69" s="1708"/>
      <c r="G69" s="1708"/>
      <c r="H69" s="1708"/>
      <c r="I69" s="1239"/>
    </row>
    <row r="70" spans="1:9" x14ac:dyDescent="0.25">
      <c r="B70" s="1709" t="s">
        <v>761</v>
      </c>
      <c r="C70" s="1709"/>
      <c r="D70" s="1709"/>
      <c r="E70" s="1709"/>
      <c r="F70" s="1709"/>
      <c r="G70" s="1709"/>
      <c r="H70" s="1709"/>
      <c r="I70" s="1239"/>
    </row>
    <row r="71" spans="1:9" x14ac:dyDescent="0.25">
      <c r="B71" s="1709"/>
      <c r="C71" s="1709"/>
      <c r="D71" s="1709"/>
      <c r="E71" s="1709"/>
      <c r="F71" s="1709"/>
      <c r="G71" s="1709"/>
      <c r="H71" s="1709"/>
      <c r="I71" s="1239"/>
    </row>
    <row r="72" spans="1:9" x14ac:dyDescent="0.25">
      <c r="B72" s="1708" t="s">
        <v>758</v>
      </c>
      <c r="C72" s="1708"/>
      <c r="D72" s="1708"/>
      <c r="E72" s="1708"/>
      <c r="F72" s="1708"/>
      <c r="G72" s="1708"/>
      <c r="H72" s="1708"/>
      <c r="I72" s="1239"/>
    </row>
    <row r="73" spans="1:9" x14ac:dyDescent="0.25">
      <c r="B73" s="1708" t="s">
        <v>762</v>
      </c>
      <c r="C73" s="1708"/>
      <c r="D73" s="1708"/>
      <c r="E73" s="1708"/>
      <c r="F73" s="1708"/>
      <c r="G73" s="1708"/>
      <c r="H73" s="1708"/>
      <c r="I73" s="1239"/>
    </row>
    <row r="74" spans="1:9" x14ac:dyDescent="0.25">
      <c r="B74" s="1239"/>
      <c r="C74" s="1239"/>
      <c r="D74" s="1239"/>
      <c r="E74" s="1239"/>
      <c r="F74" s="1239"/>
      <c r="G74" s="1239"/>
      <c r="H74" s="1448"/>
      <c r="I74" s="1239"/>
    </row>
    <row r="75" spans="1:9" s="1536" customFormat="1" x14ac:dyDescent="0.25">
      <c r="A75" s="1698" t="s">
        <v>678</v>
      </c>
      <c r="B75" s="1698"/>
      <c r="C75" s="1698"/>
      <c r="D75" s="1698" t="s">
        <v>679</v>
      </c>
      <c r="E75" s="1698"/>
      <c r="F75" s="1698"/>
      <c r="G75" s="1535"/>
      <c r="H75" s="1162" t="s">
        <v>680</v>
      </c>
      <c r="I75" s="1163"/>
    </row>
    <row r="76" spans="1:9" x14ac:dyDescent="0.25">
      <c r="B76" s="1240"/>
      <c r="C76" s="1240"/>
      <c r="D76" s="1240"/>
      <c r="E76" s="1240"/>
      <c r="G76" s="1240"/>
      <c r="H76" s="1240"/>
      <c r="I76" s="1241"/>
    </row>
    <row r="77" spans="1:9" x14ac:dyDescent="0.25">
      <c r="B77" s="1240"/>
      <c r="C77" s="1240"/>
      <c r="D77" s="1240"/>
      <c r="E77" s="1240"/>
      <c r="G77" s="1240"/>
      <c r="H77" s="1240"/>
      <c r="I77" s="1241"/>
    </row>
    <row r="78" spans="1:9" x14ac:dyDescent="0.25">
      <c r="B78" s="1240"/>
      <c r="C78" s="1240"/>
      <c r="D78" s="1240"/>
      <c r="E78" s="1240"/>
      <c r="G78" s="1240"/>
      <c r="H78" s="1240"/>
      <c r="I78" s="1241"/>
    </row>
    <row r="79" spans="1:9" x14ac:dyDescent="0.25">
      <c r="A79" s="1711" t="s">
        <v>759</v>
      </c>
      <c r="B79" s="1711"/>
      <c r="C79" s="1711"/>
      <c r="D79" s="1711" t="s">
        <v>777</v>
      </c>
      <c r="E79" s="1711"/>
      <c r="F79" s="1244" t="s">
        <v>641</v>
      </c>
      <c r="G79" s="1243"/>
      <c r="H79" s="1244" t="s">
        <v>681</v>
      </c>
      <c r="I79" s="1245"/>
    </row>
    <row r="80" spans="1:9" ht="20.45" customHeight="1" x14ac:dyDescent="0.25">
      <c r="A80" s="1710" t="s">
        <v>760</v>
      </c>
      <c r="B80" s="1710"/>
      <c r="C80" s="1710"/>
      <c r="D80" s="1710" t="s">
        <v>776</v>
      </c>
      <c r="E80" s="1710"/>
      <c r="F80" s="1240" t="s">
        <v>778</v>
      </c>
      <c r="G80" s="1242"/>
      <c r="H80" s="1240" t="s">
        <v>779</v>
      </c>
      <c r="I80" s="1241"/>
    </row>
  </sheetData>
  <mergeCells count="17">
    <mergeCell ref="B69:H69"/>
    <mergeCell ref="B72:H72"/>
    <mergeCell ref="B73:H73"/>
    <mergeCell ref="B70:H71"/>
    <mergeCell ref="A80:C80"/>
    <mergeCell ref="A75:C75"/>
    <mergeCell ref="A79:C79"/>
    <mergeCell ref="D80:E80"/>
    <mergeCell ref="D79:E79"/>
    <mergeCell ref="D75:F75"/>
    <mergeCell ref="B2:H2"/>
    <mergeCell ref="B3:H3"/>
    <mergeCell ref="B5:B6"/>
    <mergeCell ref="C5:C6"/>
    <mergeCell ref="D5:D6"/>
    <mergeCell ref="E5:G5"/>
    <mergeCell ref="H5:H6"/>
  </mergeCells>
  <printOptions horizontalCentered="1" verticalCentered="1"/>
  <pageMargins left="0" right="0" top="0" bottom="0" header="0" footer="0"/>
  <pageSetup paperSize="9" scale="7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7738-FACF-473B-A3C9-F95A6CBE6A75}">
  <sheetPr>
    <pageSetUpPr fitToPage="1"/>
  </sheetPr>
  <dimension ref="D1:O55"/>
  <sheetViews>
    <sheetView showGridLines="0" tabSelected="1" zoomScale="90" zoomScaleNormal="90" zoomScaleSheetLayoutView="115" workbookViewId="0">
      <selection sqref="A1:XFD1048576"/>
    </sheetView>
  </sheetViews>
  <sheetFormatPr defaultColWidth="9" defaultRowHeight="14.25" x14ac:dyDescent="0.2"/>
  <cols>
    <col min="1" max="2" width="9" style="1247"/>
    <col min="3" max="3" width="1.5703125" style="1247" customWidth="1"/>
    <col min="4" max="4" width="4.140625" style="1249" customWidth="1"/>
    <col min="5" max="5" width="42.85546875" style="1247" customWidth="1"/>
    <col min="6" max="6" width="9.85546875" style="1386" customWidth="1"/>
    <col min="7" max="7" width="9" style="1247" customWidth="1"/>
    <col min="8" max="8" width="15.42578125" style="1247" customWidth="1"/>
    <col min="9" max="9" width="15.5703125" style="1247" customWidth="1"/>
    <col min="10" max="10" width="16.42578125" style="1248" customWidth="1"/>
    <col min="11" max="11" width="13.7109375" style="1248" customWidth="1"/>
    <col min="12" max="12" width="14" style="1248" customWidth="1"/>
    <col min="13" max="13" width="9" style="1247"/>
    <col min="14" max="14" width="16.42578125" style="1247" bestFit="1" customWidth="1"/>
    <col min="15" max="16384" width="9" style="1247"/>
  </cols>
  <sheetData>
    <row r="1" spans="4:14" x14ac:dyDescent="0.2">
      <c r="D1" s="1246"/>
    </row>
    <row r="2" spans="4:14" ht="17.100000000000001" customHeight="1" x14ac:dyDescent="0.25">
      <c r="D2" s="1712" t="s">
        <v>682</v>
      </c>
      <c r="E2" s="1712"/>
      <c r="F2" s="1712"/>
      <c r="G2" s="1712"/>
      <c r="H2" s="1712"/>
      <c r="I2" s="1712"/>
      <c r="J2" s="1713"/>
      <c r="K2" s="1712"/>
      <c r="L2" s="1712"/>
    </row>
    <row r="3" spans="4:14" ht="17.100000000000001" customHeight="1" x14ac:dyDescent="0.25">
      <c r="D3" s="1712" t="s">
        <v>572</v>
      </c>
      <c r="E3" s="1712"/>
      <c r="F3" s="1712"/>
      <c r="G3" s="1712"/>
      <c r="H3" s="1712"/>
      <c r="I3" s="1712"/>
      <c r="J3" s="1713"/>
      <c r="K3" s="1712"/>
      <c r="L3" s="1712"/>
    </row>
    <row r="4" spans="4:14" ht="10.5" customHeight="1" x14ac:dyDescent="0.2"/>
    <row r="5" spans="4:14" ht="12.95" customHeight="1" x14ac:dyDescent="0.2">
      <c r="D5" s="1250" t="s">
        <v>753</v>
      </c>
    </row>
    <row r="6" spans="4:14" ht="15" customHeight="1" x14ac:dyDescent="0.25">
      <c r="D6" s="1714" t="s">
        <v>100</v>
      </c>
      <c r="E6" s="1714" t="s">
        <v>650</v>
      </c>
      <c r="F6" s="1715" t="s">
        <v>770</v>
      </c>
      <c r="G6" s="1715" t="s">
        <v>103</v>
      </c>
      <c r="H6" s="1718" t="s">
        <v>368</v>
      </c>
      <c r="I6" s="1718"/>
      <c r="J6" s="1719"/>
      <c r="K6" s="1720" t="s">
        <v>769</v>
      </c>
      <c r="L6" s="1723" t="s">
        <v>652</v>
      </c>
    </row>
    <row r="7" spans="4:14" ht="15" customHeight="1" x14ac:dyDescent="0.2">
      <c r="D7" s="1714"/>
      <c r="E7" s="1714"/>
      <c r="F7" s="1716"/>
      <c r="G7" s="1716"/>
      <c r="H7" s="1726" t="s">
        <v>653</v>
      </c>
      <c r="I7" s="1728" t="s">
        <v>654</v>
      </c>
      <c r="J7" s="1732" t="s">
        <v>655</v>
      </c>
      <c r="K7" s="1721"/>
      <c r="L7" s="1724"/>
    </row>
    <row r="8" spans="4:14" ht="24" customHeight="1" x14ac:dyDescent="0.2">
      <c r="D8" s="1714"/>
      <c r="E8" s="1714"/>
      <c r="F8" s="1717"/>
      <c r="G8" s="1717"/>
      <c r="H8" s="1727"/>
      <c r="I8" s="1729"/>
      <c r="J8" s="1733"/>
      <c r="K8" s="1722"/>
      <c r="L8" s="1725"/>
    </row>
    <row r="9" spans="4:14" ht="20.25" customHeight="1" x14ac:dyDescent="0.2">
      <c r="D9" s="1251"/>
      <c r="E9" s="1251" t="s">
        <v>768</v>
      </c>
      <c r="F9" s="1251"/>
      <c r="G9" s="1251"/>
      <c r="H9" s="1488"/>
      <c r="I9" s="1489"/>
      <c r="J9" s="1490"/>
      <c r="K9" s="1491">
        <v>24046</v>
      </c>
      <c r="L9" s="1472"/>
    </row>
    <row r="10" spans="4:14" ht="15" x14ac:dyDescent="0.25">
      <c r="D10" s="1298" t="s">
        <v>656</v>
      </c>
      <c r="E10" s="1252" t="s">
        <v>24</v>
      </c>
      <c r="F10" s="1516"/>
      <c r="G10" s="1253"/>
      <c r="H10" s="1254"/>
      <c r="I10" s="1254"/>
      <c r="J10" s="1464"/>
      <c r="K10" s="1464"/>
      <c r="L10" s="1473"/>
    </row>
    <row r="11" spans="4:14" ht="15" x14ac:dyDescent="0.25">
      <c r="D11" s="1474"/>
      <c r="E11" s="1255" t="s">
        <v>683</v>
      </c>
      <c r="F11" s="1517"/>
      <c r="G11" s="1256" t="s">
        <v>19</v>
      </c>
      <c r="H11" s="1257"/>
      <c r="I11" s="1258">
        <f>'September - 2024'!AM226</f>
        <v>33097.489999999991</v>
      </c>
      <c r="J11" s="1492"/>
      <c r="K11" s="1465"/>
      <c r="L11" s="1508"/>
    </row>
    <row r="12" spans="4:14" s="1263" customFormat="1" ht="15" x14ac:dyDescent="0.25">
      <c r="D12" s="1266"/>
      <c r="E12" s="1259" t="s">
        <v>684</v>
      </c>
      <c r="F12" s="1518">
        <v>1460.001</v>
      </c>
      <c r="G12" s="1260" t="s">
        <v>19</v>
      </c>
      <c r="H12" s="1261">
        <v>26051.47</v>
      </c>
      <c r="I12" s="1262">
        <f>'September - 2024'!AM225</f>
        <v>32134.349099999996</v>
      </c>
      <c r="J12" s="1493">
        <f>I12/H12</f>
        <v>1.2334946588426678</v>
      </c>
      <c r="K12" s="1466">
        <f>I12/K9</f>
        <v>1.3363698369791233</v>
      </c>
      <c r="L12" s="1475"/>
      <c r="N12" s="1264"/>
    </row>
    <row r="13" spans="4:14" x14ac:dyDescent="0.2">
      <c r="D13" s="1266"/>
      <c r="E13" s="1265" t="s">
        <v>17</v>
      </c>
      <c r="F13" s="1519"/>
      <c r="G13" s="1266"/>
      <c r="H13" s="1267"/>
      <c r="I13" s="1268"/>
      <c r="J13" s="1494"/>
      <c r="K13" s="1299"/>
      <c r="L13" s="1505"/>
    </row>
    <row r="14" spans="4:14" x14ac:dyDescent="0.2">
      <c r="D14" s="1266"/>
      <c r="E14" s="1259" t="s">
        <v>21</v>
      </c>
      <c r="F14" s="1518"/>
      <c r="G14" s="1260" t="s">
        <v>19</v>
      </c>
      <c r="H14" s="1267">
        <v>3907.73</v>
      </c>
      <c r="I14" s="1269">
        <f>'September - 2024'!AM228</f>
        <v>5868.6339215841053</v>
      </c>
      <c r="J14" s="1494">
        <f t="shared" ref="J14:J42" si="0">I14/H14</f>
        <v>1.5018012814560129</v>
      </c>
      <c r="K14" s="1299">
        <f>I14/K9</f>
        <v>0.24405863435016656</v>
      </c>
      <c r="L14" s="1505"/>
      <c r="N14" s="1270"/>
    </row>
    <row r="15" spans="4:14" x14ac:dyDescent="0.2">
      <c r="D15" s="1266"/>
      <c r="E15" s="1259" t="s">
        <v>685</v>
      </c>
      <c r="F15" s="1518"/>
      <c r="G15" s="1260" t="s">
        <v>19</v>
      </c>
      <c r="H15" s="1267">
        <v>22143.74</v>
      </c>
      <c r="I15" s="1271">
        <f>I12-I14</f>
        <v>26265.715178415892</v>
      </c>
      <c r="J15" s="1494">
        <f t="shared" si="0"/>
        <v>1.186146295901952</v>
      </c>
      <c r="K15" s="1299">
        <f>I15/K9</f>
        <v>1.0923112026289568</v>
      </c>
      <c r="L15" s="1506"/>
      <c r="N15" s="1272"/>
    </row>
    <row r="16" spans="4:14" s="1278" customFormat="1" ht="15" x14ac:dyDescent="0.25">
      <c r="D16" s="1476"/>
      <c r="E16" s="1273" t="s">
        <v>1</v>
      </c>
      <c r="F16" s="1520"/>
      <c r="G16" s="1274" t="s">
        <v>19</v>
      </c>
      <c r="H16" s="1275">
        <v>26051.47</v>
      </c>
      <c r="I16" s="1276">
        <f>I12</f>
        <v>32134.349099999996</v>
      </c>
      <c r="J16" s="1495">
        <f t="shared" si="0"/>
        <v>1.2334946588426678</v>
      </c>
      <c r="K16" s="1467">
        <f>SUM(K14+K15)</f>
        <v>1.3363698369791233</v>
      </c>
      <c r="L16" s="1507"/>
    </row>
    <row r="17" spans="4:14" s="1278" customFormat="1" ht="15" x14ac:dyDescent="0.25">
      <c r="D17" s="1280" t="s">
        <v>669</v>
      </c>
      <c r="E17" s="1279" t="s">
        <v>18</v>
      </c>
      <c r="F17" s="1521"/>
      <c r="G17" s="1280"/>
      <c r="H17" s="1281"/>
      <c r="I17" s="1281"/>
      <c r="J17" s="1496"/>
      <c r="K17" s="1468"/>
      <c r="L17" s="1477"/>
    </row>
    <row r="18" spans="4:14" s="1278" customFormat="1" ht="15" x14ac:dyDescent="0.25">
      <c r="D18" s="1286"/>
      <c r="E18" s="1282" t="s">
        <v>4</v>
      </c>
      <c r="F18" s="1522"/>
      <c r="G18" s="1283" t="s">
        <v>14</v>
      </c>
      <c r="H18" s="1284">
        <v>11424000</v>
      </c>
      <c r="I18" s="1284">
        <f>'September - 2024'!AM233</f>
        <v>5670273</v>
      </c>
      <c r="J18" s="1494">
        <f t="shared" si="0"/>
        <v>0.49634742647058822</v>
      </c>
      <c r="K18" s="1469">
        <f>I18/$K$9</f>
        <v>235.80940696997422</v>
      </c>
      <c r="L18" s="1509"/>
      <c r="N18" s="1264"/>
    </row>
    <row r="19" spans="4:14" s="1278" customFormat="1" ht="15" x14ac:dyDescent="0.25">
      <c r="D19" s="1286"/>
      <c r="E19" s="1285" t="s">
        <v>17</v>
      </c>
      <c r="F19" s="1523"/>
      <c r="G19" s="1286"/>
      <c r="H19" s="1287"/>
      <c r="I19" s="1287"/>
      <c r="J19" s="1494"/>
      <c r="K19" s="1299">
        <f t="shared" ref="K19:K23" si="1">I19/$K$9</f>
        <v>0</v>
      </c>
      <c r="L19" s="1509"/>
    </row>
    <row r="20" spans="4:14" s="1278" customFormat="1" ht="15" x14ac:dyDescent="0.25">
      <c r="D20" s="1286"/>
      <c r="E20" s="1282" t="s">
        <v>16</v>
      </c>
      <c r="F20" s="1522" t="s">
        <v>771</v>
      </c>
      <c r="G20" s="1283" t="s">
        <v>14</v>
      </c>
      <c r="H20" s="1284">
        <v>3420000</v>
      </c>
      <c r="I20" s="1284">
        <f>'September - 2024'!AM235</f>
        <v>3927994</v>
      </c>
      <c r="J20" s="1494">
        <f t="shared" si="0"/>
        <v>1.1485362573099416</v>
      </c>
      <c r="K20" s="1299">
        <f t="shared" si="1"/>
        <v>163.35332279797055</v>
      </c>
      <c r="L20" s="1508"/>
    </row>
    <row r="21" spans="4:14" s="1278" customFormat="1" ht="15" x14ac:dyDescent="0.25">
      <c r="D21" s="1286"/>
      <c r="E21" s="1282" t="s">
        <v>15</v>
      </c>
      <c r="F21" s="1522" t="s">
        <v>772</v>
      </c>
      <c r="G21" s="1283" t="s">
        <v>14</v>
      </c>
      <c r="H21" s="1284">
        <v>2318000</v>
      </c>
      <c r="I21" s="1284">
        <f>'September - 2024'!AM237</f>
        <v>1632200</v>
      </c>
      <c r="J21" s="1494">
        <f t="shared" si="0"/>
        <v>0.70414150129421915</v>
      </c>
      <c r="K21" s="1299">
        <f t="shared" si="1"/>
        <v>67.878233386010152</v>
      </c>
      <c r="L21" s="1508"/>
    </row>
    <row r="22" spans="4:14" s="1278" customFormat="1" ht="15" x14ac:dyDescent="0.25">
      <c r="D22" s="1286"/>
      <c r="E22" s="1282" t="s">
        <v>7</v>
      </c>
      <c r="F22" s="1526">
        <v>106000</v>
      </c>
      <c r="G22" s="1283" t="s">
        <v>14</v>
      </c>
      <c r="H22" s="1288">
        <v>5686000</v>
      </c>
      <c r="I22" s="1257">
        <f>'September - 2024'!AM239</f>
        <v>110079</v>
      </c>
      <c r="J22" s="1494">
        <f>I22/H22</f>
        <v>1.9359655293703835E-2</v>
      </c>
      <c r="K22" s="1299">
        <f t="shared" si="1"/>
        <v>4.5778507859935127</v>
      </c>
      <c r="L22" s="1508"/>
    </row>
    <row r="23" spans="4:14" s="1278" customFormat="1" ht="15" x14ac:dyDescent="0.25">
      <c r="D23" s="1474"/>
      <c r="E23" s="1290" t="s">
        <v>1</v>
      </c>
      <c r="F23" s="1524"/>
      <c r="G23" s="1291" t="s">
        <v>14</v>
      </c>
      <c r="H23" s="1292">
        <v>11424000</v>
      </c>
      <c r="I23" s="1292">
        <f>SUM(I20:I22)</f>
        <v>5670273</v>
      </c>
      <c r="J23" s="1495">
        <f t="shared" si="0"/>
        <v>0.49634742647058822</v>
      </c>
      <c r="K23" s="1469">
        <f t="shared" si="1"/>
        <v>235.80940696997422</v>
      </c>
      <c r="L23" s="1509"/>
    </row>
    <row r="24" spans="4:14" ht="15" x14ac:dyDescent="0.25">
      <c r="D24" s="1298" t="s">
        <v>671</v>
      </c>
      <c r="E24" s="1252" t="s">
        <v>13</v>
      </c>
      <c r="F24" s="1516"/>
      <c r="G24" s="1253"/>
      <c r="H24" s="1254"/>
      <c r="I24" s="1254"/>
      <c r="J24" s="1496"/>
      <c r="K24" s="1470"/>
      <c r="L24" s="1478"/>
    </row>
    <row r="25" spans="4:14" ht="15" x14ac:dyDescent="0.25">
      <c r="D25" s="1266"/>
      <c r="E25" s="1255" t="s">
        <v>686</v>
      </c>
      <c r="F25" s="1517"/>
      <c r="G25" s="1256" t="s">
        <v>124</v>
      </c>
      <c r="H25" s="1293">
        <v>19123.689999999999</v>
      </c>
      <c r="I25" s="1294">
        <f>'September - 2024'!AM242</f>
        <v>18965</v>
      </c>
      <c r="J25" s="1493">
        <f t="shared" si="0"/>
        <v>0.99170191526844464</v>
      </c>
      <c r="K25" s="1466">
        <f t="shared" ref="K25:K32" si="2">I25/$K$9</f>
        <v>0.78869666472594191</v>
      </c>
      <c r="L25" s="1479"/>
      <c r="N25" s="1264"/>
    </row>
    <row r="26" spans="4:14" ht="15" x14ac:dyDescent="0.25">
      <c r="D26" s="1266"/>
      <c r="E26" s="1255" t="s">
        <v>763</v>
      </c>
      <c r="F26" s="1517"/>
      <c r="G26" s="1256"/>
      <c r="H26" s="1462"/>
      <c r="I26" s="1463">
        <f>'September - 2024'!AM248</f>
        <v>9920.2999999999993</v>
      </c>
      <c r="J26" s="1494"/>
      <c r="K26" s="1463">
        <f t="shared" si="2"/>
        <v>0.41255510271978707</v>
      </c>
      <c r="L26" s="1480"/>
      <c r="N26" s="1264"/>
    </row>
    <row r="27" spans="4:14" ht="15" x14ac:dyDescent="0.25">
      <c r="D27" s="1266"/>
      <c r="E27" s="1255" t="s">
        <v>764</v>
      </c>
      <c r="F27" s="1517"/>
      <c r="G27" s="1256"/>
      <c r="H27" s="1462"/>
      <c r="I27" s="1463">
        <f>SUM(I29:I31)</f>
        <v>9044.7000000000007</v>
      </c>
      <c r="J27" s="1494"/>
      <c r="K27" s="1463">
        <f t="shared" si="2"/>
        <v>0.37614156200615489</v>
      </c>
      <c r="L27" s="1480"/>
      <c r="N27" s="1264"/>
    </row>
    <row r="28" spans="4:14" x14ac:dyDescent="0.2">
      <c r="D28" s="1266"/>
      <c r="E28" s="1265" t="s">
        <v>765</v>
      </c>
      <c r="F28" s="1519"/>
      <c r="G28" s="1266"/>
      <c r="H28" s="1268"/>
      <c r="I28" s="1268"/>
      <c r="J28" s="1494"/>
      <c r="K28" s="1463">
        <f t="shared" si="2"/>
        <v>0</v>
      </c>
      <c r="L28" s="1510"/>
    </row>
    <row r="29" spans="4:14" x14ac:dyDescent="0.2">
      <c r="D29" s="1266"/>
      <c r="E29" s="1259" t="s">
        <v>10</v>
      </c>
      <c r="F29" s="1518" t="s">
        <v>773</v>
      </c>
      <c r="G29" s="1260" t="s">
        <v>124</v>
      </c>
      <c r="H29" s="1268">
        <v>1521.33</v>
      </c>
      <c r="I29" s="1268">
        <f>'September - 2024'!AM244</f>
        <v>2699</v>
      </c>
      <c r="J29" s="1494">
        <f t="shared" si="0"/>
        <v>1.774105552378511</v>
      </c>
      <c r="K29" s="1463">
        <f t="shared" si="2"/>
        <v>0.11224320053231307</v>
      </c>
      <c r="L29" s="1510"/>
    </row>
    <row r="30" spans="4:14" x14ac:dyDescent="0.2">
      <c r="D30" s="1266"/>
      <c r="E30" s="1259" t="s">
        <v>9</v>
      </c>
      <c r="F30" s="1518" t="s">
        <v>774</v>
      </c>
      <c r="G30" s="1260" t="s">
        <v>124</v>
      </c>
      <c r="H30" s="1268">
        <v>2622</v>
      </c>
      <c r="I30" s="1268">
        <f>'September - 2024'!AM246</f>
        <v>2060</v>
      </c>
      <c r="J30" s="1494">
        <f t="shared" si="0"/>
        <v>0.78565980167810834</v>
      </c>
      <c r="K30" s="1463">
        <f t="shared" si="2"/>
        <v>8.5669134159527566E-2</v>
      </c>
      <c r="L30" s="1510"/>
    </row>
    <row r="31" spans="4:14" x14ac:dyDescent="0.2">
      <c r="D31" s="1266"/>
      <c r="E31" s="1259" t="s">
        <v>7</v>
      </c>
      <c r="F31" s="1518"/>
      <c r="G31" s="1260" t="s">
        <v>124</v>
      </c>
      <c r="H31" s="1295">
        <v>2730.2999999999997</v>
      </c>
      <c r="I31" s="1268">
        <f>'September - 2024'!AM249</f>
        <v>4285.7</v>
      </c>
      <c r="J31" s="1494">
        <f t="shared" si="0"/>
        <v>1.5696809874372781</v>
      </c>
      <c r="K31" s="1463">
        <f t="shared" si="2"/>
        <v>0.17822922731431423</v>
      </c>
      <c r="L31" s="1510"/>
    </row>
    <row r="32" spans="4:14" s="1278" customFormat="1" ht="15" x14ac:dyDescent="0.25">
      <c r="D32" s="1474"/>
      <c r="E32" s="1290" t="s">
        <v>1</v>
      </c>
      <c r="F32" s="1524"/>
      <c r="G32" s="1296" t="s">
        <v>124</v>
      </c>
      <c r="H32" s="1297">
        <v>6873.6299999999992</v>
      </c>
      <c r="I32" s="1297">
        <f>SUM(I26:I27)</f>
        <v>18965</v>
      </c>
      <c r="J32" s="1495">
        <f t="shared" si="0"/>
        <v>2.759095266984112</v>
      </c>
      <c r="K32" s="1471">
        <f t="shared" si="2"/>
        <v>0.78869666472594191</v>
      </c>
      <c r="L32" s="1480"/>
    </row>
    <row r="33" spans="4:15" ht="15" x14ac:dyDescent="0.25">
      <c r="D33" s="1298">
        <v>4</v>
      </c>
      <c r="E33" s="1252" t="s">
        <v>5</v>
      </c>
      <c r="F33" s="1516"/>
      <c r="G33" s="1253"/>
      <c r="H33" s="1254"/>
      <c r="I33" s="1254"/>
      <c r="J33" s="1496"/>
      <c r="K33" s="1464"/>
      <c r="L33" s="1473"/>
    </row>
    <row r="34" spans="4:15" ht="15" x14ac:dyDescent="0.25">
      <c r="D34" s="1474"/>
      <c r="E34" s="1290" t="s">
        <v>4</v>
      </c>
      <c r="F34" s="1524"/>
      <c r="G34" s="1300"/>
      <c r="H34" s="1257"/>
      <c r="I34" s="1257"/>
      <c r="J34" s="1494"/>
      <c r="K34" s="1465"/>
      <c r="L34" s="1508"/>
    </row>
    <row r="35" spans="4:15" ht="15" x14ac:dyDescent="0.25">
      <c r="D35" s="1481"/>
      <c r="E35" s="1259" t="s">
        <v>687</v>
      </c>
      <c r="F35" s="1518"/>
      <c r="G35" s="1260" t="s">
        <v>2</v>
      </c>
      <c r="H35" s="1293">
        <v>568099</v>
      </c>
      <c r="I35" s="1294">
        <f>'September - 2024'!AM254</f>
        <v>640500</v>
      </c>
      <c r="J35" s="1493">
        <f t="shared" si="0"/>
        <v>1.127444336286457</v>
      </c>
      <c r="K35" s="1466">
        <f>I35/$K$9</f>
        <v>26.636446810280297</v>
      </c>
      <c r="L35" s="1482"/>
      <c r="N35" s="1301"/>
    </row>
    <row r="36" spans="4:15" x14ac:dyDescent="0.2">
      <c r="D36" s="1266"/>
      <c r="E36" s="1302" t="s">
        <v>11</v>
      </c>
      <c r="F36" s="1525"/>
      <c r="G36" s="1266"/>
      <c r="H36" s="1268"/>
      <c r="I36" s="1268"/>
      <c r="J36" s="1494"/>
      <c r="K36" s="1463">
        <f t="shared" ref="K36" si="3">I36/$K$9</f>
        <v>0</v>
      </c>
      <c r="L36" s="1511"/>
    </row>
    <row r="37" spans="4:15" ht="15" x14ac:dyDescent="0.25">
      <c r="D37" s="1483"/>
      <c r="E37" s="1303" t="s">
        <v>688</v>
      </c>
      <c r="F37" s="1517">
        <v>5404.17</v>
      </c>
      <c r="G37" s="1260" t="s">
        <v>2</v>
      </c>
      <c r="H37" s="1268">
        <v>102679</v>
      </c>
      <c r="I37" s="1268">
        <f>'September - 2024'!AM259</f>
        <v>98200</v>
      </c>
      <c r="J37" s="1494">
        <f t="shared" si="0"/>
        <v>0.95637861685446879</v>
      </c>
      <c r="K37" s="1463">
        <f>I37/$K$9*1000</f>
        <v>4083.8393079930133</v>
      </c>
      <c r="L37" s="1512"/>
      <c r="N37" s="1304"/>
      <c r="O37" s="1305"/>
    </row>
    <row r="38" spans="4:15" ht="15" x14ac:dyDescent="0.25">
      <c r="D38" s="1483"/>
      <c r="E38" s="1303" t="s">
        <v>766</v>
      </c>
      <c r="F38" s="1517">
        <v>3850.42</v>
      </c>
      <c r="G38" s="1260" t="s">
        <v>2</v>
      </c>
      <c r="H38" s="1268">
        <v>73158</v>
      </c>
      <c r="I38" s="1268">
        <f>'September - 2024'!AM257</f>
        <v>81760</v>
      </c>
      <c r="J38" s="1494">
        <f t="shared" si="0"/>
        <v>1.1175811257825528</v>
      </c>
      <c r="K38" s="1463">
        <f t="shared" ref="K38:K42" si="4">I38/$K$9*1000</f>
        <v>3400.1497130499874</v>
      </c>
      <c r="L38" s="1512"/>
      <c r="N38" s="1304"/>
      <c r="O38" s="1305"/>
    </row>
    <row r="39" spans="4:15" ht="15" x14ac:dyDescent="0.25">
      <c r="D39" s="1483"/>
      <c r="E39" s="1303" t="s">
        <v>767</v>
      </c>
      <c r="F39" s="1517">
        <v>11.81</v>
      </c>
      <c r="G39" s="1260" t="s">
        <v>2</v>
      </c>
      <c r="H39" s="1268">
        <v>212</v>
      </c>
      <c r="I39" s="1268">
        <f>'September - 2024'!AM267</f>
        <v>444.36</v>
      </c>
      <c r="J39" s="1494">
        <f t="shared" si="0"/>
        <v>2.0960377358490567</v>
      </c>
      <c r="K39" s="1463">
        <f t="shared" si="4"/>
        <v>18.479580803460038</v>
      </c>
      <c r="L39" s="1512"/>
      <c r="N39" s="1304"/>
      <c r="O39" s="1305"/>
    </row>
    <row r="40" spans="4:15" ht="15" x14ac:dyDescent="0.25">
      <c r="D40" s="1483"/>
      <c r="E40" s="1303" t="s">
        <v>689</v>
      </c>
      <c r="F40" s="1517">
        <v>5759.67</v>
      </c>
      <c r="G40" s="1260" t="s">
        <v>2</v>
      </c>
      <c r="H40" s="1268">
        <v>109440</v>
      </c>
      <c r="I40" s="1268">
        <f>'September - 2024'!AM264</f>
        <v>94200</v>
      </c>
      <c r="J40" s="1494">
        <f t="shared" si="0"/>
        <v>0.86074561403508776</v>
      </c>
      <c r="K40" s="1463">
        <f t="shared" si="4"/>
        <v>3917.4914746735421</v>
      </c>
      <c r="L40" s="1512"/>
      <c r="N40" s="1304"/>
      <c r="O40" s="1305"/>
    </row>
    <row r="41" spans="4:15" ht="15" x14ac:dyDescent="0.25">
      <c r="D41" s="1483"/>
      <c r="E41" s="1303" t="s">
        <v>690</v>
      </c>
      <c r="F41" s="1517">
        <v>1308.96</v>
      </c>
      <c r="G41" s="1260" t="s">
        <v>2</v>
      </c>
      <c r="H41" s="1268">
        <v>28747</v>
      </c>
      <c r="I41" s="1268">
        <f>'September - 2024'!AM262</f>
        <v>22645</v>
      </c>
      <c r="J41" s="1494">
        <f t="shared" si="0"/>
        <v>0.78773437228232512</v>
      </c>
      <c r="K41" s="1463">
        <f t="shared" si="4"/>
        <v>941.73667137985524</v>
      </c>
      <c r="L41" s="1512"/>
      <c r="N41" s="1304"/>
      <c r="O41" s="1305"/>
    </row>
    <row r="42" spans="4:15" ht="15" x14ac:dyDescent="0.25">
      <c r="D42" s="1484"/>
      <c r="E42" s="1485" t="s">
        <v>691</v>
      </c>
      <c r="F42" s="1527">
        <v>241.12</v>
      </c>
      <c r="G42" s="1486" t="s">
        <v>2</v>
      </c>
      <c r="H42" s="1487">
        <v>4581</v>
      </c>
      <c r="I42" s="1487">
        <f>'September - 2024'!AM268</f>
        <v>7791.4999999999982</v>
      </c>
      <c r="J42" s="1495">
        <f t="shared" si="0"/>
        <v>1.700829513206723</v>
      </c>
      <c r="K42" s="1277">
        <f t="shared" si="4"/>
        <v>324.02478582716452</v>
      </c>
      <c r="L42" s="1513"/>
      <c r="N42" s="1304"/>
      <c r="O42" s="1305"/>
    </row>
    <row r="43" spans="4:15" ht="15" x14ac:dyDescent="0.25">
      <c r="D43" s="1497"/>
      <c r="E43" s="1498"/>
      <c r="F43" s="1514"/>
      <c r="G43" s="1499"/>
      <c r="H43" s="1500"/>
      <c r="I43" s="1500"/>
      <c r="J43" s="1501"/>
      <c r="K43" s="1289"/>
      <c r="L43" s="1504"/>
      <c r="N43" s="1304"/>
      <c r="O43" s="1305"/>
    </row>
    <row r="44" spans="4:15" s="1248" customFormat="1" x14ac:dyDescent="0.2">
      <c r="D44" s="1502" t="s">
        <v>692</v>
      </c>
      <c r="F44" s="1240"/>
    </row>
    <row r="45" spans="4:15" s="1248" customFormat="1" x14ac:dyDescent="0.2">
      <c r="D45" s="1248" t="s">
        <v>693</v>
      </c>
      <c r="F45" s="1240"/>
      <c r="H45" s="1306"/>
      <c r="J45" s="1306"/>
      <c r="K45" s="1306"/>
      <c r="L45" s="1306"/>
    </row>
    <row r="46" spans="4:15" s="1248" customFormat="1" hidden="1" x14ac:dyDescent="0.2">
      <c r="D46" s="1503"/>
      <c r="F46" s="1240"/>
      <c r="H46" s="1289"/>
      <c r="J46" s="1289"/>
      <c r="K46" s="1289"/>
      <c r="L46" s="1289"/>
    </row>
    <row r="47" spans="4:15" s="1248" customFormat="1" x14ac:dyDescent="0.2">
      <c r="D47" s="1731" t="s">
        <v>694</v>
      </c>
      <c r="E47" s="1731"/>
      <c r="F47" s="1731"/>
      <c r="G47" s="1731"/>
      <c r="H47" s="1731"/>
      <c r="I47" s="1731"/>
      <c r="J47" s="1731"/>
      <c r="K47" s="1731"/>
      <c r="L47" s="1731"/>
    </row>
    <row r="48" spans="4:15" ht="15" x14ac:dyDescent="0.2">
      <c r="D48" s="1730"/>
      <c r="E48" s="1730"/>
      <c r="F48" s="1515"/>
      <c r="G48" s="1308"/>
      <c r="J48" s="1289"/>
      <c r="K48" s="1289"/>
      <c r="L48" s="1289"/>
    </row>
    <row r="49" spans="4:12" ht="15" x14ac:dyDescent="0.2">
      <c r="D49" s="1730"/>
      <c r="E49" s="1730"/>
      <c r="F49" s="1515"/>
      <c r="G49" s="1308"/>
      <c r="H49" s="1307"/>
      <c r="J49" s="1289"/>
      <c r="K49" s="1289"/>
      <c r="L49" s="1289"/>
    </row>
    <row r="50" spans="4:12" ht="15" x14ac:dyDescent="0.2">
      <c r="D50" s="1247"/>
      <c r="E50" s="1535" t="s">
        <v>678</v>
      </c>
      <c r="F50" s="1698" t="s">
        <v>679</v>
      </c>
      <c r="G50" s="1698"/>
      <c r="H50" s="1698"/>
      <c r="I50" s="1698"/>
      <c r="K50" s="1698" t="s">
        <v>680</v>
      </c>
      <c r="L50" s="1698"/>
    </row>
    <row r="51" spans="4:12" ht="15" x14ac:dyDescent="0.25">
      <c r="D51" s="1247"/>
      <c r="E51" s="1160"/>
      <c r="F51" s="1240"/>
      <c r="G51" s="1240"/>
      <c r="H51" s="1160"/>
      <c r="I51" s="1240"/>
      <c r="L51" s="1240"/>
    </row>
    <row r="52" spans="4:12" ht="15" x14ac:dyDescent="0.25">
      <c r="D52" s="1247"/>
      <c r="E52" s="1160"/>
      <c r="F52" s="1160"/>
      <c r="G52" s="1160"/>
      <c r="H52" s="1160"/>
      <c r="I52" s="1160"/>
      <c r="L52" s="1160"/>
    </row>
    <row r="53" spans="4:12" ht="15" x14ac:dyDescent="0.25">
      <c r="D53" s="1247"/>
      <c r="E53" s="1160"/>
      <c r="F53" s="1160"/>
      <c r="G53" s="1160"/>
      <c r="H53" s="1160"/>
      <c r="I53" s="1160"/>
      <c r="L53" s="1160"/>
    </row>
    <row r="54" spans="4:12" ht="15" x14ac:dyDescent="0.2">
      <c r="D54" s="1247"/>
      <c r="E54" s="1243" t="s">
        <v>759</v>
      </c>
      <c r="F54" s="1711" t="s">
        <v>777</v>
      </c>
      <c r="G54" s="1711"/>
      <c r="I54" s="1244" t="s">
        <v>641</v>
      </c>
      <c r="K54" s="1711" t="s">
        <v>681</v>
      </c>
      <c r="L54" s="1711"/>
    </row>
    <row r="55" spans="4:12" ht="19.5" customHeight="1" x14ac:dyDescent="0.2">
      <c r="E55" s="1242" t="s">
        <v>760</v>
      </c>
      <c r="F55" s="1710" t="s">
        <v>776</v>
      </c>
      <c r="G55" s="1710"/>
      <c r="I55" s="1240" t="s">
        <v>778</v>
      </c>
      <c r="K55" s="1710" t="s">
        <v>779</v>
      </c>
      <c r="L55" s="1710"/>
    </row>
  </sheetData>
  <mergeCells count="21">
    <mergeCell ref="D48:E48"/>
    <mergeCell ref="D49:E49"/>
    <mergeCell ref="F6:F8"/>
    <mergeCell ref="D47:L47"/>
    <mergeCell ref="J7:J8"/>
    <mergeCell ref="D2:L2"/>
    <mergeCell ref="D3:L3"/>
    <mergeCell ref="D6:D8"/>
    <mergeCell ref="E6:E8"/>
    <mergeCell ref="G6:G8"/>
    <mergeCell ref="H6:J6"/>
    <mergeCell ref="K6:K8"/>
    <mergeCell ref="L6:L8"/>
    <mergeCell ref="H7:H8"/>
    <mergeCell ref="I7:I8"/>
    <mergeCell ref="K50:L50"/>
    <mergeCell ref="K54:L54"/>
    <mergeCell ref="K55:L55"/>
    <mergeCell ref="F50:I50"/>
    <mergeCell ref="F54:G54"/>
    <mergeCell ref="F55:G55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53F2-6C8F-4EA6-8255-79EC004F8F2E}">
  <dimension ref="C2:K52"/>
  <sheetViews>
    <sheetView showGridLines="0" zoomScale="90" zoomScaleNormal="90" workbookViewId="0">
      <selection activeCell="D17" sqref="D17"/>
    </sheetView>
  </sheetViews>
  <sheetFormatPr defaultRowHeight="15" x14ac:dyDescent="0.25"/>
  <cols>
    <col min="1" max="3" width="9.140625" style="1309"/>
    <col min="4" max="4" width="33.85546875" style="1309" customWidth="1"/>
    <col min="5" max="5" width="12.140625" style="1309" customWidth="1"/>
    <col min="6" max="8" width="14.42578125" style="1309" customWidth="1"/>
    <col min="9" max="9" width="55.85546875" style="1309" customWidth="1"/>
    <col min="10" max="10" width="9.140625" style="1309"/>
    <col min="11" max="11" width="10.28515625" style="1309" bestFit="1" customWidth="1"/>
    <col min="12" max="16384" width="9.140625" style="1309"/>
  </cols>
  <sheetData>
    <row r="2" spans="4:11" ht="18" x14ac:dyDescent="0.25">
      <c r="D2" s="1736" t="s">
        <v>695</v>
      </c>
      <c r="E2" s="1736"/>
      <c r="F2" s="1736"/>
      <c r="G2" s="1736"/>
      <c r="H2" s="1736"/>
      <c r="I2" s="1736"/>
    </row>
    <row r="3" spans="4:11" ht="18" x14ac:dyDescent="0.25">
      <c r="D3" s="1737" t="s">
        <v>696</v>
      </c>
      <c r="E3" s="1737"/>
      <c r="F3" s="1737"/>
      <c r="G3" s="1737"/>
      <c r="H3" s="1737"/>
      <c r="I3" s="1737"/>
    </row>
    <row r="4" spans="4:11" ht="15.75" thickBot="1" x14ac:dyDescent="0.3">
      <c r="D4" s="1250" t="s">
        <v>753</v>
      </c>
      <c r="F4" s="1310"/>
      <c r="G4" s="1311"/>
      <c r="H4" s="1312"/>
      <c r="I4" s="1312"/>
    </row>
    <row r="5" spans="4:11" ht="26.25" thickBot="1" x14ac:dyDescent="0.3">
      <c r="D5" s="1313" t="s">
        <v>697</v>
      </c>
      <c r="E5" s="1314" t="s">
        <v>103</v>
      </c>
      <c r="F5" s="1315" t="s">
        <v>698</v>
      </c>
      <c r="G5" s="1315" t="s">
        <v>654</v>
      </c>
      <c r="H5" s="1316" t="s">
        <v>699</v>
      </c>
      <c r="I5" s="1317" t="s">
        <v>775</v>
      </c>
    </row>
    <row r="6" spans="4:11" ht="17.25" customHeight="1" x14ac:dyDescent="0.25">
      <c r="D6" s="1318" t="s">
        <v>71</v>
      </c>
      <c r="E6" s="1319" t="s">
        <v>14</v>
      </c>
      <c r="F6" s="1320">
        <v>34952000</v>
      </c>
      <c r="G6" s="1321">
        <f>'September - 2024'!AM9</f>
        <v>24046290</v>
      </c>
      <c r="H6" s="1322">
        <f>G6/F6</f>
        <v>0.68798037308308535</v>
      </c>
      <c r="I6" s="1323"/>
      <c r="J6" s="1324"/>
      <c r="K6" s="1325"/>
    </row>
    <row r="7" spans="4:11" ht="17.25" customHeight="1" x14ac:dyDescent="0.25">
      <c r="D7" s="1326" t="s">
        <v>700</v>
      </c>
      <c r="E7" s="1327" t="s">
        <v>14</v>
      </c>
      <c r="F7" s="1328">
        <v>33124010.399999999</v>
      </c>
      <c r="G7" s="1329">
        <f>'September - 2024'!AM18</f>
        <v>22783491</v>
      </c>
      <c r="H7" s="1537">
        <f>G7/F7</f>
        <v>0.68782405043563211</v>
      </c>
      <c r="I7" s="1330"/>
      <c r="J7" s="1324"/>
      <c r="K7" s="1325"/>
    </row>
    <row r="8" spans="4:11" x14ac:dyDescent="0.25">
      <c r="D8" s="1738" t="s">
        <v>701</v>
      </c>
      <c r="E8" s="1739"/>
      <c r="F8" s="1739"/>
      <c r="G8" s="1739"/>
      <c r="H8" s="1739"/>
      <c r="I8" s="1740"/>
    </row>
    <row r="9" spans="4:11" x14ac:dyDescent="0.25">
      <c r="D9" s="1331" t="s">
        <v>16</v>
      </c>
      <c r="E9" s="1332"/>
      <c r="F9" s="1333"/>
      <c r="G9" s="1334"/>
      <c r="H9" s="1335"/>
      <c r="I9" s="1336"/>
    </row>
    <row r="10" spans="4:11" x14ac:dyDescent="0.25">
      <c r="D10" s="1337" t="s">
        <v>672</v>
      </c>
      <c r="E10" s="1338" t="s">
        <v>14</v>
      </c>
      <c r="F10" s="1339">
        <v>232362</v>
      </c>
      <c r="G10" s="1340">
        <f>'September - 2024'!AM65</f>
        <v>187513</v>
      </c>
      <c r="H10" s="1341">
        <f>F10-G10</f>
        <v>44849</v>
      </c>
      <c r="I10" s="1342"/>
    </row>
    <row r="11" spans="4:11" x14ac:dyDescent="0.25">
      <c r="D11" s="1337" t="s">
        <v>673</v>
      </c>
      <c r="E11" s="1338" t="s">
        <v>14</v>
      </c>
      <c r="F11" s="1339">
        <v>106326</v>
      </c>
      <c r="G11" s="1340">
        <f>'September - 2024'!AM67</f>
        <v>0</v>
      </c>
      <c r="H11" s="1341">
        <f t="shared" ref="H11:H23" si="0">F11-G11</f>
        <v>106326</v>
      </c>
      <c r="I11" s="1343"/>
    </row>
    <row r="12" spans="4:11" x14ac:dyDescent="0.25">
      <c r="D12" s="1337" t="s">
        <v>674</v>
      </c>
      <c r="E12" s="1338" t="s">
        <v>14</v>
      </c>
      <c r="F12" s="1339">
        <v>20971</v>
      </c>
      <c r="G12" s="1340">
        <f>'September - 2024'!AM69</f>
        <v>12499.518</v>
      </c>
      <c r="H12" s="1341">
        <f t="shared" si="0"/>
        <v>8471.482</v>
      </c>
      <c r="I12" s="1343"/>
    </row>
    <row r="13" spans="4:11" x14ac:dyDescent="0.25">
      <c r="D13" s="1337" t="s">
        <v>702</v>
      </c>
      <c r="E13" s="1338" t="s">
        <v>19</v>
      </c>
      <c r="F13" s="1339">
        <v>22143.74</v>
      </c>
      <c r="G13" s="1340">
        <f>'September - 2024'!AM225</f>
        <v>32134.349099999996</v>
      </c>
      <c r="H13" s="1341">
        <f t="shared" si="0"/>
        <v>-9990.6090999999942</v>
      </c>
      <c r="I13" s="1342"/>
    </row>
    <row r="14" spans="4:11" x14ac:dyDescent="0.25">
      <c r="D14" s="1337" t="s">
        <v>702</v>
      </c>
      <c r="E14" s="1338" t="s">
        <v>19</v>
      </c>
      <c r="F14" s="1339">
        <v>3907.73</v>
      </c>
      <c r="G14" s="1340">
        <f>'September - 2024'!AM226</f>
        <v>33097.489999999991</v>
      </c>
      <c r="H14" s="1341">
        <f t="shared" si="0"/>
        <v>-29189.759999999991</v>
      </c>
      <c r="I14" s="1343"/>
    </row>
    <row r="15" spans="4:11" x14ac:dyDescent="0.25">
      <c r="D15" s="1344" t="s">
        <v>703</v>
      </c>
      <c r="E15" s="1345" t="s">
        <v>124</v>
      </c>
      <c r="F15" s="1339">
        <v>1521.33</v>
      </c>
      <c r="G15" s="1340">
        <f>'September - 2024'!AM244</f>
        <v>2699</v>
      </c>
      <c r="H15" s="1341">
        <f t="shared" si="0"/>
        <v>-1177.67</v>
      </c>
      <c r="I15" s="1343"/>
    </row>
    <row r="16" spans="4:11" x14ac:dyDescent="0.25">
      <c r="D16" s="1337" t="s">
        <v>133</v>
      </c>
      <c r="E16" s="1338" t="s">
        <v>14</v>
      </c>
      <c r="F16" s="1339">
        <v>11424000</v>
      </c>
      <c r="G16" s="1340">
        <f>'September - 2024'!AM235</f>
        <v>3927994</v>
      </c>
      <c r="H16" s="1341">
        <f t="shared" si="0"/>
        <v>7496006</v>
      </c>
      <c r="I16" s="1343"/>
    </row>
    <row r="17" spans="4:10" x14ac:dyDescent="0.25">
      <c r="D17" s="1337" t="s">
        <v>704</v>
      </c>
      <c r="E17" s="1338" t="s">
        <v>2</v>
      </c>
      <c r="F17" s="1339">
        <v>102679</v>
      </c>
      <c r="G17" s="1340">
        <f>'September - 2024'!AM259</f>
        <v>98200</v>
      </c>
      <c r="H17" s="1341">
        <f t="shared" si="0"/>
        <v>4479</v>
      </c>
      <c r="I17" s="1343"/>
    </row>
    <row r="18" spans="4:10" x14ac:dyDescent="0.25">
      <c r="D18" s="1337" t="s">
        <v>705</v>
      </c>
      <c r="E18" s="1338" t="s">
        <v>2</v>
      </c>
      <c r="F18" s="1339">
        <v>73158</v>
      </c>
      <c r="G18" s="1340">
        <f>'September - 2024'!AM257</f>
        <v>81760</v>
      </c>
      <c r="H18" s="1341">
        <f t="shared" si="0"/>
        <v>-8602</v>
      </c>
      <c r="I18" s="1343"/>
    </row>
    <row r="19" spans="4:10" x14ac:dyDescent="0.25">
      <c r="D19" s="1346" t="s">
        <v>15</v>
      </c>
      <c r="E19" s="1347"/>
      <c r="F19" s="1348"/>
      <c r="G19" s="1349"/>
      <c r="H19" s="1350"/>
      <c r="I19" s="1351"/>
    </row>
    <row r="20" spans="4:10" x14ac:dyDescent="0.25">
      <c r="D20" s="1344" t="s">
        <v>703</v>
      </c>
      <c r="E20" s="1345" t="s">
        <v>124</v>
      </c>
      <c r="F20" s="1352">
        <v>2622</v>
      </c>
      <c r="G20" s="1353">
        <f>'September - 2024'!AM262</f>
        <v>22645</v>
      </c>
      <c r="H20" s="1341">
        <f t="shared" si="0"/>
        <v>-20023</v>
      </c>
      <c r="I20" s="1354"/>
    </row>
    <row r="21" spans="4:10" x14ac:dyDescent="0.25">
      <c r="D21" s="1344" t="s">
        <v>133</v>
      </c>
      <c r="E21" s="1345" t="s">
        <v>14</v>
      </c>
      <c r="F21" s="1352">
        <v>2318000</v>
      </c>
      <c r="G21" s="1353">
        <f>'September - 2024'!AM237</f>
        <v>1632200</v>
      </c>
      <c r="H21" s="1341">
        <f t="shared" si="0"/>
        <v>685800</v>
      </c>
      <c r="I21" s="1354"/>
    </row>
    <row r="22" spans="4:10" x14ac:dyDescent="0.25">
      <c r="D22" s="1344" t="s">
        <v>704</v>
      </c>
      <c r="E22" s="1345" t="s">
        <v>2</v>
      </c>
      <c r="F22" s="1352">
        <v>109440</v>
      </c>
      <c r="G22" s="1353">
        <f>'September - 2024'!AM264</f>
        <v>94200</v>
      </c>
      <c r="H22" s="1341">
        <f t="shared" si="0"/>
        <v>15240</v>
      </c>
      <c r="I22" s="1354"/>
    </row>
    <row r="23" spans="4:10" x14ac:dyDescent="0.25">
      <c r="D23" s="1326" t="s">
        <v>705</v>
      </c>
      <c r="E23" s="1327" t="s">
        <v>2</v>
      </c>
      <c r="F23" s="1355">
        <v>28747</v>
      </c>
      <c r="G23" s="1356">
        <f>'September - 2024'!AM262</f>
        <v>22645</v>
      </c>
      <c r="H23" s="1341">
        <f t="shared" si="0"/>
        <v>6102</v>
      </c>
      <c r="I23" s="1357"/>
    </row>
    <row r="24" spans="4:10" x14ac:dyDescent="0.25">
      <c r="D24" s="1738" t="s">
        <v>706</v>
      </c>
      <c r="E24" s="1739"/>
      <c r="F24" s="1739"/>
      <c r="G24" s="1739"/>
      <c r="H24" s="1739"/>
      <c r="I24" s="1740"/>
    </row>
    <row r="25" spans="4:10" x14ac:dyDescent="0.25">
      <c r="D25" s="1331" t="s">
        <v>16</v>
      </c>
      <c r="E25" s="1358"/>
      <c r="F25" s="1359"/>
      <c r="G25" s="1532"/>
      <c r="H25" s="1528"/>
      <c r="I25" s="1360"/>
    </row>
    <row r="26" spans="4:10" x14ac:dyDescent="0.25">
      <c r="D26" s="1344" t="s">
        <v>672</v>
      </c>
      <c r="E26" s="1345" t="s">
        <v>332</v>
      </c>
      <c r="F26" s="1361">
        <v>8</v>
      </c>
      <c r="G26" s="1533">
        <f>(G10/$G$6)*1000</f>
        <v>7.798001271713848</v>
      </c>
      <c r="H26" s="1529">
        <f>F26-G26</f>
        <v>0.20199872828615195</v>
      </c>
      <c r="I26" s="1363"/>
    </row>
    <row r="27" spans="4:10" x14ac:dyDescent="0.25">
      <c r="D27" s="1344" t="s">
        <v>673</v>
      </c>
      <c r="E27" s="1345" t="s">
        <v>332</v>
      </c>
      <c r="F27" s="1361">
        <v>16</v>
      </c>
      <c r="G27" s="1533">
        <f t="shared" ref="G27:G39" si="1">(G11/$G$6)*1000</f>
        <v>0</v>
      </c>
      <c r="H27" s="1529">
        <f t="shared" ref="H27:H39" si="2">F27-G27</f>
        <v>16</v>
      </c>
      <c r="I27" s="1364"/>
      <c r="J27" s="1309" t="s">
        <v>221</v>
      </c>
    </row>
    <row r="28" spans="4:10" x14ac:dyDescent="0.25">
      <c r="D28" s="1344" t="s">
        <v>674</v>
      </c>
      <c r="E28" s="1345" t="s">
        <v>332</v>
      </c>
      <c r="F28" s="1361">
        <v>0.55000000000000004</v>
      </c>
      <c r="G28" s="1533">
        <f t="shared" si="1"/>
        <v>0.51981066517953489</v>
      </c>
      <c r="H28" s="1529">
        <f t="shared" si="2"/>
        <v>3.0189334820465152E-2</v>
      </c>
      <c r="I28" s="1365"/>
    </row>
    <row r="29" spans="4:10" x14ac:dyDescent="0.25">
      <c r="D29" s="1344" t="s">
        <v>702</v>
      </c>
      <c r="E29" s="1345" t="s">
        <v>707</v>
      </c>
      <c r="F29" s="1362">
        <v>4.2</v>
      </c>
      <c r="G29" s="1533">
        <f t="shared" si="1"/>
        <v>1.3363537202620444</v>
      </c>
      <c r="H29" s="1529">
        <f t="shared" si="2"/>
        <v>2.8636462797379556</v>
      </c>
      <c r="I29" s="1741" t="s">
        <v>708</v>
      </c>
    </row>
    <row r="30" spans="4:10" x14ac:dyDescent="0.25">
      <c r="D30" s="1344" t="s">
        <v>709</v>
      </c>
      <c r="E30" s="1345" t="s">
        <v>710</v>
      </c>
      <c r="F30" s="1362">
        <v>0.14729399999999998</v>
      </c>
      <c r="G30" s="1533">
        <f t="shared" si="1"/>
        <v>1.3764073376807813</v>
      </c>
      <c r="H30" s="1529">
        <f t="shared" si="2"/>
        <v>-1.2291133376807812</v>
      </c>
      <c r="I30" s="1742"/>
    </row>
    <row r="31" spans="4:10" x14ac:dyDescent="0.25">
      <c r="D31" s="1344" t="s">
        <v>703</v>
      </c>
      <c r="E31" s="1345" t="s">
        <v>711</v>
      </c>
      <c r="F31" s="1362">
        <v>0.55000000000000004</v>
      </c>
      <c r="G31" s="1533">
        <f t="shared" si="1"/>
        <v>0.11224184687118055</v>
      </c>
      <c r="H31" s="1529">
        <f t="shared" si="2"/>
        <v>0.43775815312881949</v>
      </c>
      <c r="I31" s="1367"/>
    </row>
    <row r="32" spans="4:10" x14ac:dyDescent="0.25">
      <c r="D32" s="1344" t="s">
        <v>712</v>
      </c>
      <c r="E32" s="1345" t="s">
        <v>332</v>
      </c>
      <c r="F32" s="1362">
        <v>90</v>
      </c>
      <c r="G32" s="1533">
        <f t="shared" si="1"/>
        <v>163.35135274505964</v>
      </c>
      <c r="H32" s="1529">
        <f t="shared" si="2"/>
        <v>-73.351352745059643</v>
      </c>
      <c r="I32" s="1366" t="s">
        <v>713</v>
      </c>
    </row>
    <row r="33" spans="3:10" x14ac:dyDescent="0.25">
      <c r="D33" s="1344" t="s">
        <v>704</v>
      </c>
      <c r="E33" s="1345" t="s">
        <v>714</v>
      </c>
      <c r="F33" s="1362">
        <v>3.6133333333333302</v>
      </c>
      <c r="G33" s="1533">
        <f t="shared" si="1"/>
        <v>4.0837900565950092</v>
      </c>
      <c r="H33" s="1529">
        <f t="shared" si="2"/>
        <v>-0.47045672326167898</v>
      </c>
      <c r="I33" s="1734" t="s">
        <v>715</v>
      </c>
    </row>
    <row r="34" spans="3:10" x14ac:dyDescent="0.25">
      <c r="D34" s="1344" t="s">
        <v>705</v>
      </c>
      <c r="E34" s="1345" t="s">
        <v>714</v>
      </c>
      <c r="F34" s="1362">
        <v>2.1290444444444501</v>
      </c>
      <c r="G34" s="1533">
        <f t="shared" si="1"/>
        <v>3.400108706998044</v>
      </c>
      <c r="H34" s="1529">
        <f t="shared" si="2"/>
        <v>-1.2710642625535939</v>
      </c>
      <c r="I34" s="1735"/>
    </row>
    <row r="35" spans="3:10" x14ac:dyDescent="0.25">
      <c r="D35" s="1368" t="s">
        <v>15</v>
      </c>
      <c r="E35" s="1369"/>
      <c r="F35" s="1370"/>
      <c r="G35" s="1371"/>
      <c r="H35" s="1530"/>
      <c r="I35" s="1372"/>
    </row>
    <row r="36" spans="3:10" x14ac:dyDescent="0.25">
      <c r="D36" s="1344" t="s">
        <v>703</v>
      </c>
      <c r="E36" s="1345" t="s">
        <v>711</v>
      </c>
      <c r="F36" s="1362">
        <v>0.4</v>
      </c>
      <c r="G36" s="1533">
        <f t="shared" si="1"/>
        <v>0.94172531396735215</v>
      </c>
      <c r="H36" s="1529">
        <f t="shared" si="2"/>
        <v>-0.54172531396735213</v>
      </c>
      <c r="I36" s="1367"/>
    </row>
    <row r="37" spans="3:10" x14ac:dyDescent="0.25">
      <c r="D37" s="1344" t="s">
        <v>712</v>
      </c>
      <c r="E37" s="1345" t="s">
        <v>332</v>
      </c>
      <c r="F37" s="1373">
        <v>61</v>
      </c>
      <c r="G37" s="1533">
        <f t="shared" si="1"/>
        <v>67.877414769596484</v>
      </c>
      <c r="H37" s="1529">
        <f t="shared" si="2"/>
        <v>-6.8774147695964842</v>
      </c>
      <c r="I37" s="1366" t="s">
        <v>716</v>
      </c>
    </row>
    <row r="38" spans="3:10" x14ac:dyDescent="0.25">
      <c r="D38" s="1344" t="s">
        <v>704</v>
      </c>
      <c r="E38" s="1345" t="s">
        <v>714</v>
      </c>
      <c r="F38" s="1362">
        <v>3.6996983113901298</v>
      </c>
      <c r="G38" s="1533">
        <f t="shared" si="1"/>
        <v>3.9174442294424634</v>
      </c>
      <c r="H38" s="1529">
        <f t="shared" si="2"/>
        <v>-0.21774591805233356</v>
      </c>
      <c r="I38" s="1734" t="s">
        <v>715</v>
      </c>
    </row>
    <row r="39" spans="3:10" x14ac:dyDescent="0.25">
      <c r="D39" s="1344" t="s">
        <v>705</v>
      </c>
      <c r="E39" s="1345" t="s">
        <v>714</v>
      </c>
      <c r="F39" s="1362">
        <v>0.98466666666666702</v>
      </c>
      <c r="G39" s="1533">
        <f t="shared" si="1"/>
        <v>0.94172531396735215</v>
      </c>
      <c r="H39" s="1529">
        <f t="shared" si="2"/>
        <v>4.2941352699314872E-2</v>
      </c>
      <c r="I39" s="1735"/>
    </row>
    <row r="40" spans="3:10" ht="15.75" thickBot="1" x14ac:dyDescent="0.3">
      <c r="D40" s="1374"/>
      <c r="E40" s="1375"/>
      <c r="F40" s="1376"/>
      <c r="G40" s="1534"/>
      <c r="H40" s="1531"/>
      <c r="I40" s="1377"/>
    </row>
    <row r="41" spans="3:10" x14ac:dyDescent="0.25">
      <c r="E41" s="1378"/>
      <c r="F41" s="1378"/>
      <c r="H41" s="1379"/>
      <c r="I41" s="1379"/>
    </row>
    <row r="42" spans="3:10" x14ac:dyDescent="0.25">
      <c r="D42" s="1744" t="s">
        <v>757</v>
      </c>
      <c r="E42" s="1744"/>
      <c r="F42" s="1744"/>
      <c r="G42" s="1744"/>
    </row>
    <row r="43" spans="3:10" x14ac:dyDescent="0.25">
      <c r="D43" s="1743" t="s">
        <v>718</v>
      </c>
      <c r="E43" s="1743"/>
      <c r="F43" s="1743"/>
    </row>
    <row r="44" spans="3:10" x14ac:dyDescent="0.25">
      <c r="D44" s="1743" t="s">
        <v>719</v>
      </c>
      <c r="E44" s="1743"/>
      <c r="F44" s="1743"/>
      <c r="H44" s="1379"/>
      <c r="I44" s="1379"/>
    </row>
    <row r="45" spans="3:10" x14ac:dyDescent="0.25">
      <c r="D45" s="1743" t="s">
        <v>717</v>
      </c>
      <c r="E45" s="1743"/>
      <c r="F45" s="1743"/>
      <c r="H45" s="1379"/>
      <c r="I45" s="1379"/>
    </row>
    <row r="46" spans="3:10" x14ac:dyDescent="0.25">
      <c r="H46" s="1379"/>
      <c r="I46" s="1379"/>
    </row>
    <row r="47" spans="3:10" s="1247" customFormat="1" x14ac:dyDescent="0.2">
      <c r="D47" s="1162" t="s">
        <v>678</v>
      </c>
      <c r="E47" s="1162"/>
      <c r="F47" s="1162"/>
      <c r="G47" s="1162" t="s">
        <v>679</v>
      </c>
      <c r="H47" s="1248"/>
      <c r="I47" s="1162" t="s">
        <v>780</v>
      </c>
      <c r="J47" s="1535"/>
    </row>
    <row r="48" spans="3:10" s="1247" customFormat="1" x14ac:dyDescent="0.25">
      <c r="C48" s="1160"/>
      <c r="D48" s="1240"/>
      <c r="E48" s="1240"/>
      <c r="F48" s="1160"/>
      <c r="G48" s="1240"/>
      <c r="H48" s="1248"/>
      <c r="I48" s="1248"/>
      <c r="J48" s="1240"/>
    </row>
    <row r="49" spans="3:10" s="1247" customFormat="1" x14ac:dyDescent="0.25">
      <c r="C49" s="1160"/>
      <c r="D49" s="1160"/>
      <c r="E49" s="1160"/>
      <c r="F49" s="1160"/>
      <c r="G49" s="1160"/>
      <c r="H49" s="1248"/>
      <c r="I49" s="1248"/>
      <c r="J49" s="1160"/>
    </row>
    <row r="50" spans="3:10" s="1247" customFormat="1" x14ac:dyDescent="0.25">
      <c r="C50" s="1160"/>
      <c r="D50" s="1160"/>
      <c r="E50" s="1160"/>
      <c r="F50" s="1160"/>
      <c r="G50" s="1160"/>
      <c r="H50" s="1248"/>
      <c r="I50" s="1248"/>
      <c r="J50" s="1160"/>
    </row>
    <row r="51" spans="3:10" s="1247" customFormat="1" x14ac:dyDescent="0.2">
      <c r="D51" s="1244" t="s">
        <v>759</v>
      </c>
      <c r="E51" s="1244"/>
      <c r="F51" s="1244" t="s">
        <v>777</v>
      </c>
      <c r="H51" s="1244" t="s">
        <v>641</v>
      </c>
      <c r="I51" s="1244" t="s">
        <v>782</v>
      </c>
      <c r="J51" s="1243"/>
    </row>
    <row r="52" spans="3:10" s="1247" customFormat="1" ht="15" customHeight="1" x14ac:dyDescent="0.2">
      <c r="D52" s="1240" t="s">
        <v>760</v>
      </c>
      <c r="E52" s="1240"/>
      <c r="F52" s="1240" t="s">
        <v>776</v>
      </c>
      <c r="H52" s="1240" t="s">
        <v>778</v>
      </c>
      <c r="I52" s="1240" t="s">
        <v>781</v>
      </c>
      <c r="J52" s="1242"/>
    </row>
  </sheetData>
  <mergeCells count="11">
    <mergeCell ref="I38:I39"/>
    <mergeCell ref="D45:F45"/>
    <mergeCell ref="D43:F43"/>
    <mergeCell ref="D44:F44"/>
    <mergeCell ref="D42:G42"/>
    <mergeCell ref="I33:I34"/>
    <mergeCell ref="D2:I2"/>
    <mergeCell ref="D3:I3"/>
    <mergeCell ref="D8:I8"/>
    <mergeCell ref="D24:I24"/>
    <mergeCell ref="I29:I30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BF31-929F-4A8A-971D-A0AE62E1CCFE}">
  <dimension ref="C2:AT52"/>
  <sheetViews>
    <sheetView view="pageBreakPreview" zoomScale="60" zoomScaleNormal="100" workbookViewId="0">
      <selection activeCell="BB39" sqref="BB39"/>
    </sheetView>
  </sheetViews>
  <sheetFormatPr defaultColWidth="9" defaultRowHeight="14.25" x14ac:dyDescent="0.2"/>
  <cols>
    <col min="1" max="4" width="9" style="1"/>
    <col min="5" max="5" width="6.5703125" style="1" customWidth="1"/>
    <col min="6" max="6" width="11.5703125" style="1" customWidth="1"/>
    <col min="7" max="7" width="16.42578125" style="1" customWidth="1"/>
    <col min="8" max="8" width="48.140625" style="1" customWidth="1"/>
    <col min="9" max="12" width="9.42578125" style="1" customWidth="1"/>
    <col min="13" max="13" width="9.42578125" style="1" hidden="1" customWidth="1"/>
    <col min="14" max="14" width="12" style="1" customWidth="1"/>
    <col min="15" max="45" width="9" style="1" hidden="1" customWidth="1"/>
    <col min="46" max="58" width="9" style="1"/>
    <col min="59" max="59" width="12.85546875" style="1" customWidth="1"/>
    <col min="60" max="60" width="119.5703125" style="1" customWidth="1"/>
    <col min="61" max="61" width="6.42578125" style="1" customWidth="1"/>
    <col min="62" max="62" width="5.85546875" style="1" customWidth="1"/>
    <col min="63" max="63" width="13.42578125" style="1" customWidth="1"/>
    <col min="64" max="64" width="10.85546875" style="1" customWidth="1"/>
    <col min="65" max="65" width="9.42578125" style="1" customWidth="1"/>
    <col min="66" max="314" width="9" style="1"/>
    <col min="315" max="315" width="12.85546875" style="1" customWidth="1"/>
    <col min="316" max="316" width="119.5703125" style="1" customWidth="1"/>
    <col min="317" max="317" width="6.42578125" style="1" customWidth="1"/>
    <col min="318" max="318" width="5.85546875" style="1" customWidth="1"/>
    <col min="319" max="319" width="13.42578125" style="1" customWidth="1"/>
    <col min="320" max="320" width="10.85546875" style="1" customWidth="1"/>
    <col min="321" max="321" width="9.42578125" style="1" customWidth="1"/>
    <col min="322" max="570" width="9" style="1"/>
    <col min="571" max="571" width="12.85546875" style="1" customWidth="1"/>
    <col min="572" max="572" width="119.5703125" style="1" customWidth="1"/>
    <col min="573" max="573" width="6.42578125" style="1" customWidth="1"/>
    <col min="574" max="574" width="5.85546875" style="1" customWidth="1"/>
    <col min="575" max="575" width="13.42578125" style="1" customWidth="1"/>
    <col min="576" max="576" width="10.85546875" style="1" customWidth="1"/>
    <col min="577" max="577" width="9.42578125" style="1" customWidth="1"/>
    <col min="578" max="826" width="9" style="1"/>
    <col min="827" max="827" width="12.85546875" style="1" customWidth="1"/>
    <col min="828" max="828" width="119.5703125" style="1" customWidth="1"/>
    <col min="829" max="829" width="6.42578125" style="1" customWidth="1"/>
    <col min="830" max="830" width="5.85546875" style="1" customWidth="1"/>
    <col min="831" max="831" width="13.42578125" style="1" customWidth="1"/>
    <col min="832" max="832" width="10.85546875" style="1" customWidth="1"/>
    <col min="833" max="833" width="9.42578125" style="1" customWidth="1"/>
    <col min="834" max="1082" width="9" style="1"/>
    <col min="1083" max="1083" width="12.85546875" style="1" customWidth="1"/>
    <col min="1084" max="1084" width="119.5703125" style="1" customWidth="1"/>
    <col min="1085" max="1085" width="6.42578125" style="1" customWidth="1"/>
    <col min="1086" max="1086" width="5.85546875" style="1" customWidth="1"/>
    <col min="1087" max="1087" width="13.42578125" style="1" customWidth="1"/>
    <col min="1088" max="1088" width="10.85546875" style="1" customWidth="1"/>
    <col min="1089" max="1089" width="9.42578125" style="1" customWidth="1"/>
    <col min="1090" max="1338" width="9" style="1"/>
    <col min="1339" max="1339" width="12.85546875" style="1" customWidth="1"/>
    <col min="1340" max="1340" width="119.5703125" style="1" customWidth="1"/>
    <col min="1341" max="1341" width="6.42578125" style="1" customWidth="1"/>
    <col min="1342" max="1342" width="5.85546875" style="1" customWidth="1"/>
    <col min="1343" max="1343" width="13.42578125" style="1" customWidth="1"/>
    <col min="1344" max="1344" width="10.85546875" style="1" customWidth="1"/>
    <col min="1345" max="1345" width="9.42578125" style="1" customWidth="1"/>
    <col min="1346" max="1594" width="9" style="1"/>
    <col min="1595" max="1595" width="12.85546875" style="1" customWidth="1"/>
    <col min="1596" max="1596" width="119.5703125" style="1" customWidth="1"/>
    <col min="1597" max="1597" width="6.42578125" style="1" customWidth="1"/>
    <col min="1598" max="1598" width="5.85546875" style="1" customWidth="1"/>
    <col min="1599" max="1599" width="13.42578125" style="1" customWidth="1"/>
    <col min="1600" max="1600" width="10.85546875" style="1" customWidth="1"/>
    <col min="1601" max="1601" width="9.42578125" style="1" customWidth="1"/>
    <col min="1602" max="1850" width="9" style="1"/>
    <col min="1851" max="1851" width="12.85546875" style="1" customWidth="1"/>
    <col min="1852" max="1852" width="119.5703125" style="1" customWidth="1"/>
    <col min="1853" max="1853" width="6.42578125" style="1" customWidth="1"/>
    <col min="1854" max="1854" width="5.85546875" style="1" customWidth="1"/>
    <col min="1855" max="1855" width="13.42578125" style="1" customWidth="1"/>
    <col min="1856" max="1856" width="10.85546875" style="1" customWidth="1"/>
    <col min="1857" max="1857" width="9.42578125" style="1" customWidth="1"/>
    <col min="1858" max="2106" width="9" style="1"/>
    <col min="2107" max="2107" width="12.85546875" style="1" customWidth="1"/>
    <col min="2108" max="2108" width="119.5703125" style="1" customWidth="1"/>
    <col min="2109" max="2109" width="6.42578125" style="1" customWidth="1"/>
    <col min="2110" max="2110" width="5.85546875" style="1" customWidth="1"/>
    <col min="2111" max="2111" width="13.42578125" style="1" customWidth="1"/>
    <col min="2112" max="2112" width="10.85546875" style="1" customWidth="1"/>
    <col min="2113" max="2113" width="9.42578125" style="1" customWidth="1"/>
    <col min="2114" max="2362" width="9" style="1"/>
    <col min="2363" max="2363" width="12.85546875" style="1" customWidth="1"/>
    <col min="2364" max="2364" width="119.5703125" style="1" customWidth="1"/>
    <col min="2365" max="2365" width="6.42578125" style="1" customWidth="1"/>
    <col min="2366" max="2366" width="5.85546875" style="1" customWidth="1"/>
    <col min="2367" max="2367" width="13.42578125" style="1" customWidth="1"/>
    <col min="2368" max="2368" width="10.85546875" style="1" customWidth="1"/>
    <col min="2369" max="2369" width="9.42578125" style="1" customWidth="1"/>
    <col min="2370" max="2618" width="9" style="1"/>
    <col min="2619" max="2619" width="12.85546875" style="1" customWidth="1"/>
    <col min="2620" max="2620" width="119.5703125" style="1" customWidth="1"/>
    <col min="2621" max="2621" width="6.42578125" style="1" customWidth="1"/>
    <col min="2622" max="2622" width="5.85546875" style="1" customWidth="1"/>
    <col min="2623" max="2623" width="13.42578125" style="1" customWidth="1"/>
    <col min="2624" max="2624" width="10.85546875" style="1" customWidth="1"/>
    <col min="2625" max="2625" width="9.42578125" style="1" customWidth="1"/>
    <col min="2626" max="2874" width="9" style="1"/>
    <col min="2875" max="2875" width="12.85546875" style="1" customWidth="1"/>
    <col min="2876" max="2876" width="119.5703125" style="1" customWidth="1"/>
    <col min="2877" max="2877" width="6.42578125" style="1" customWidth="1"/>
    <col min="2878" max="2878" width="5.85546875" style="1" customWidth="1"/>
    <col min="2879" max="2879" width="13.42578125" style="1" customWidth="1"/>
    <col min="2880" max="2880" width="10.85546875" style="1" customWidth="1"/>
    <col min="2881" max="2881" width="9.42578125" style="1" customWidth="1"/>
    <col min="2882" max="3130" width="9" style="1"/>
    <col min="3131" max="3131" width="12.85546875" style="1" customWidth="1"/>
    <col min="3132" max="3132" width="119.5703125" style="1" customWidth="1"/>
    <col min="3133" max="3133" width="6.42578125" style="1" customWidth="1"/>
    <col min="3134" max="3134" width="5.85546875" style="1" customWidth="1"/>
    <col min="3135" max="3135" width="13.42578125" style="1" customWidth="1"/>
    <col min="3136" max="3136" width="10.85546875" style="1" customWidth="1"/>
    <col min="3137" max="3137" width="9.42578125" style="1" customWidth="1"/>
    <col min="3138" max="3386" width="9" style="1"/>
    <col min="3387" max="3387" width="12.85546875" style="1" customWidth="1"/>
    <col min="3388" max="3388" width="119.5703125" style="1" customWidth="1"/>
    <col min="3389" max="3389" width="6.42578125" style="1" customWidth="1"/>
    <col min="3390" max="3390" width="5.85546875" style="1" customWidth="1"/>
    <col min="3391" max="3391" width="13.42578125" style="1" customWidth="1"/>
    <col min="3392" max="3392" width="10.85546875" style="1" customWidth="1"/>
    <col min="3393" max="3393" width="9.42578125" style="1" customWidth="1"/>
    <col min="3394" max="3642" width="9" style="1"/>
    <col min="3643" max="3643" width="12.85546875" style="1" customWidth="1"/>
    <col min="3644" max="3644" width="119.5703125" style="1" customWidth="1"/>
    <col min="3645" max="3645" width="6.42578125" style="1" customWidth="1"/>
    <col min="3646" max="3646" width="5.85546875" style="1" customWidth="1"/>
    <col min="3647" max="3647" width="13.42578125" style="1" customWidth="1"/>
    <col min="3648" max="3648" width="10.85546875" style="1" customWidth="1"/>
    <col min="3649" max="3649" width="9.42578125" style="1" customWidth="1"/>
    <col min="3650" max="3898" width="9" style="1"/>
    <col min="3899" max="3899" width="12.85546875" style="1" customWidth="1"/>
    <col min="3900" max="3900" width="119.5703125" style="1" customWidth="1"/>
    <col min="3901" max="3901" width="6.42578125" style="1" customWidth="1"/>
    <col min="3902" max="3902" width="5.85546875" style="1" customWidth="1"/>
    <col min="3903" max="3903" width="13.42578125" style="1" customWidth="1"/>
    <col min="3904" max="3904" width="10.85546875" style="1" customWidth="1"/>
    <col min="3905" max="3905" width="9.42578125" style="1" customWidth="1"/>
    <col min="3906" max="4154" width="9" style="1"/>
    <col min="4155" max="4155" width="12.85546875" style="1" customWidth="1"/>
    <col min="4156" max="4156" width="119.5703125" style="1" customWidth="1"/>
    <col min="4157" max="4157" width="6.42578125" style="1" customWidth="1"/>
    <col min="4158" max="4158" width="5.85546875" style="1" customWidth="1"/>
    <col min="4159" max="4159" width="13.42578125" style="1" customWidth="1"/>
    <col min="4160" max="4160" width="10.85546875" style="1" customWidth="1"/>
    <col min="4161" max="4161" width="9.42578125" style="1" customWidth="1"/>
    <col min="4162" max="4410" width="9" style="1"/>
    <col min="4411" max="4411" width="12.85546875" style="1" customWidth="1"/>
    <col min="4412" max="4412" width="119.5703125" style="1" customWidth="1"/>
    <col min="4413" max="4413" width="6.42578125" style="1" customWidth="1"/>
    <col min="4414" max="4414" width="5.85546875" style="1" customWidth="1"/>
    <col min="4415" max="4415" width="13.42578125" style="1" customWidth="1"/>
    <col min="4416" max="4416" width="10.85546875" style="1" customWidth="1"/>
    <col min="4417" max="4417" width="9.42578125" style="1" customWidth="1"/>
    <col min="4418" max="4666" width="9" style="1"/>
    <col min="4667" max="4667" width="12.85546875" style="1" customWidth="1"/>
    <col min="4668" max="4668" width="119.5703125" style="1" customWidth="1"/>
    <col min="4669" max="4669" width="6.42578125" style="1" customWidth="1"/>
    <col min="4670" max="4670" width="5.85546875" style="1" customWidth="1"/>
    <col min="4671" max="4671" width="13.42578125" style="1" customWidth="1"/>
    <col min="4672" max="4672" width="10.85546875" style="1" customWidth="1"/>
    <col min="4673" max="4673" width="9.42578125" style="1" customWidth="1"/>
    <col min="4674" max="4922" width="9" style="1"/>
    <col min="4923" max="4923" width="12.85546875" style="1" customWidth="1"/>
    <col min="4924" max="4924" width="119.5703125" style="1" customWidth="1"/>
    <col min="4925" max="4925" width="6.42578125" style="1" customWidth="1"/>
    <col min="4926" max="4926" width="5.85546875" style="1" customWidth="1"/>
    <col min="4927" max="4927" width="13.42578125" style="1" customWidth="1"/>
    <col min="4928" max="4928" width="10.85546875" style="1" customWidth="1"/>
    <col min="4929" max="4929" width="9.42578125" style="1" customWidth="1"/>
    <col min="4930" max="5178" width="9" style="1"/>
    <col min="5179" max="5179" width="12.85546875" style="1" customWidth="1"/>
    <col min="5180" max="5180" width="119.5703125" style="1" customWidth="1"/>
    <col min="5181" max="5181" width="6.42578125" style="1" customWidth="1"/>
    <col min="5182" max="5182" width="5.85546875" style="1" customWidth="1"/>
    <col min="5183" max="5183" width="13.42578125" style="1" customWidth="1"/>
    <col min="5184" max="5184" width="10.85546875" style="1" customWidth="1"/>
    <col min="5185" max="5185" width="9.42578125" style="1" customWidth="1"/>
    <col min="5186" max="5434" width="9" style="1"/>
    <col min="5435" max="5435" width="12.85546875" style="1" customWidth="1"/>
    <col min="5436" max="5436" width="119.5703125" style="1" customWidth="1"/>
    <col min="5437" max="5437" width="6.42578125" style="1" customWidth="1"/>
    <col min="5438" max="5438" width="5.85546875" style="1" customWidth="1"/>
    <col min="5439" max="5439" width="13.42578125" style="1" customWidth="1"/>
    <col min="5440" max="5440" width="10.85546875" style="1" customWidth="1"/>
    <col min="5441" max="5441" width="9.42578125" style="1" customWidth="1"/>
    <col min="5442" max="5690" width="9" style="1"/>
    <col min="5691" max="5691" width="12.85546875" style="1" customWidth="1"/>
    <col min="5692" max="5692" width="119.5703125" style="1" customWidth="1"/>
    <col min="5693" max="5693" width="6.42578125" style="1" customWidth="1"/>
    <col min="5694" max="5694" width="5.85546875" style="1" customWidth="1"/>
    <col min="5695" max="5695" width="13.42578125" style="1" customWidth="1"/>
    <col min="5696" max="5696" width="10.85546875" style="1" customWidth="1"/>
    <col min="5697" max="5697" width="9.42578125" style="1" customWidth="1"/>
    <col min="5698" max="5946" width="9" style="1"/>
    <col min="5947" max="5947" width="12.85546875" style="1" customWidth="1"/>
    <col min="5948" max="5948" width="119.5703125" style="1" customWidth="1"/>
    <col min="5949" max="5949" width="6.42578125" style="1" customWidth="1"/>
    <col min="5950" max="5950" width="5.85546875" style="1" customWidth="1"/>
    <col min="5951" max="5951" width="13.42578125" style="1" customWidth="1"/>
    <col min="5952" max="5952" width="10.85546875" style="1" customWidth="1"/>
    <col min="5953" max="5953" width="9.42578125" style="1" customWidth="1"/>
    <col min="5954" max="6202" width="9" style="1"/>
    <col min="6203" max="6203" width="12.85546875" style="1" customWidth="1"/>
    <col min="6204" max="6204" width="119.5703125" style="1" customWidth="1"/>
    <col min="6205" max="6205" width="6.42578125" style="1" customWidth="1"/>
    <col min="6206" max="6206" width="5.85546875" style="1" customWidth="1"/>
    <col min="6207" max="6207" width="13.42578125" style="1" customWidth="1"/>
    <col min="6208" max="6208" width="10.85546875" style="1" customWidth="1"/>
    <col min="6209" max="6209" width="9.42578125" style="1" customWidth="1"/>
    <col min="6210" max="6458" width="9" style="1"/>
    <col min="6459" max="6459" width="12.85546875" style="1" customWidth="1"/>
    <col min="6460" max="6460" width="119.5703125" style="1" customWidth="1"/>
    <col min="6461" max="6461" width="6.42578125" style="1" customWidth="1"/>
    <col min="6462" max="6462" width="5.85546875" style="1" customWidth="1"/>
    <col min="6463" max="6463" width="13.42578125" style="1" customWidth="1"/>
    <col min="6464" max="6464" width="10.85546875" style="1" customWidth="1"/>
    <col min="6465" max="6465" width="9.42578125" style="1" customWidth="1"/>
    <col min="6466" max="6714" width="9" style="1"/>
    <col min="6715" max="6715" width="12.85546875" style="1" customWidth="1"/>
    <col min="6716" max="6716" width="119.5703125" style="1" customWidth="1"/>
    <col min="6717" max="6717" width="6.42578125" style="1" customWidth="1"/>
    <col min="6718" max="6718" width="5.85546875" style="1" customWidth="1"/>
    <col min="6719" max="6719" width="13.42578125" style="1" customWidth="1"/>
    <col min="6720" max="6720" width="10.85546875" style="1" customWidth="1"/>
    <col min="6721" max="6721" width="9.42578125" style="1" customWidth="1"/>
    <col min="6722" max="6970" width="9" style="1"/>
    <col min="6971" max="6971" width="12.85546875" style="1" customWidth="1"/>
    <col min="6972" max="6972" width="119.5703125" style="1" customWidth="1"/>
    <col min="6973" max="6973" width="6.42578125" style="1" customWidth="1"/>
    <col min="6974" max="6974" width="5.85546875" style="1" customWidth="1"/>
    <col min="6975" max="6975" width="13.42578125" style="1" customWidth="1"/>
    <col min="6976" max="6976" width="10.85546875" style="1" customWidth="1"/>
    <col min="6977" max="6977" width="9.42578125" style="1" customWidth="1"/>
    <col min="6978" max="7226" width="9" style="1"/>
    <col min="7227" max="7227" width="12.85546875" style="1" customWidth="1"/>
    <col min="7228" max="7228" width="119.5703125" style="1" customWidth="1"/>
    <col min="7229" max="7229" width="6.42578125" style="1" customWidth="1"/>
    <col min="7230" max="7230" width="5.85546875" style="1" customWidth="1"/>
    <col min="7231" max="7231" width="13.42578125" style="1" customWidth="1"/>
    <col min="7232" max="7232" width="10.85546875" style="1" customWidth="1"/>
    <col min="7233" max="7233" width="9.42578125" style="1" customWidth="1"/>
    <col min="7234" max="7482" width="9" style="1"/>
    <col min="7483" max="7483" width="12.85546875" style="1" customWidth="1"/>
    <col min="7484" max="7484" width="119.5703125" style="1" customWidth="1"/>
    <col min="7485" max="7485" width="6.42578125" style="1" customWidth="1"/>
    <col min="7486" max="7486" width="5.85546875" style="1" customWidth="1"/>
    <col min="7487" max="7487" width="13.42578125" style="1" customWidth="1"/>
    <col min="7488" max="7488" width="10.85546875" style="1" customWidth="1"/>
    <col min="7489" max="7489" width="9.42578125" style="1" customWidth="1"/>
    <col min="7490" max="7738" width="9" style="1"/>
    <col min="7739" max="7739" width="12.85546875" style="1" customWidth="1"/>
    <col min="7740" max="7740" width="119.5703125" style="1" customWidth="1"/>
    <col min="7741" max="7741" width="6.42578125" style="1" customWidth="1"/>
    <col min="7742" max="7742" width="5.85546875" style="1" customWidth="1"/>
    <col min="7743" max="7743" width="13.42578125" style="1" customWidth="1"/>
    <col min="7744" max="7744" width="10.85546875" style="1" customWidth="1"/>
    <col min="7745" max="7745" width="9.42578125" style="1" customWidth="1"/>
    <col min="7746" max="7994" width="9" style="1"/>
    <col min="7995" max="7995" width="12.85546875" style="1" customWidth="1"/>
    <col min="7996" max="7996" width="119.5703125" style="1" customWidth="1"/>
    <col min="7997" max="7997" width="6.42578125" style="1" customWidth="1"/>
    <col min="7998" max="7998" width="5.85546875" style="1" customWidth="1"/>
    <col min="7999" max="7999" width="13.42578125" style="1" customWidth="1"/>
    <col min="8000" max="8000" width="10.85546875" style="1" customWidth="1"/>
    <col min="8001" max="8001" width="9.42578125" style="1" customWidth="1"/>
    <col min="8002" max="8250" width="9" style="1"/>
    <col min="8251" max="8251" width="12.85546875" style="1" customWidth="1"/>
    <col min="8252" max="8252" width="119.5703125" style="1" customWidth="1"/>
    <col min="8253" max="8253" width="6.42578125" style="1" customWidth="1"/>
    <col min="8254" max="8254" width="5.85546875" style="1" customWidth="1"/>
    <col min="8255" max="8255" width="13.42578125" style="1" customWidth="1"/>
    <col min="8256" max="8256" width="10.85546875" style="1" customWidth="1"/>
    <col min="8257" max="8257" width="9.42578125" style="1" customWidth="1"/>
    <col min="8258" max="8506" width="9" style="1"/>
    <col min="8507" max="8507" width="12.85546875" style="1" customWidth="1"/>
    <col min="8508" max="8508" width="119.5703125" style="1" customWidth="1"/>
    <col min="8509" max="8509" width="6.42578125" style="1" customWidth="1"/>
    <col min="8510" max="8510" width="5.85546875" style="1" customWidth="1"/>
    <col min="8511" max="8511" width="13.42578125" style="1" customWidth="1"/>
    <col min="8512" max="8512" width="10.85546875" style="1" customWidth="1"/>
    <col min="8513" max="8513" width="9.42578125" style="1" customWidth="1"/>
    <col min="8514" max="8762" width="9" style="1"/>
    <col min="8763" max="8763" width="12.85546875" style="1" customWidth="1"/>
    <col min="8764" max="8764" width="119.5703125" style="1" customWidth="1"/>
    <col min="8765" max="8765" width="6.42578125" style="1" customWidth="1"/>
    <col min="8766" max="8766" width="5.85546875" style="1" customWidth="1"/>
    <col min="8767" max="8767" width="13.42578125" style="1" customWidth="1"/>
    <col min="8768" max="8768" width="10.85546875" style="1" customWidth="1"/>
    <col min="8769" max="8769" width="9.42578125" style="1" customWidth="1"/>
    <col min="8770" max="9018" width="9" style="1"/>
    <col min="9019" max="9019" width="12.85546875" style="1" customWidth="1"/>
    <col min="9020" max="9020" width="119.5703125" style="1" customWidth="1"/>
    <col min="9021" max="9021" width="6.42578125" style="1" customWidth="1"/>
    <col min="9022" max="9022" width="5.85546875" style="1" customWidth="1"/>
    <col min="9023" max="9023" width="13.42578125" style="1" customWidth="1"/>
    <col min="9024" max="9024" width="10.85546875" style="1" customWidth="1"/>
    <col min="9025" max="9025" width="9.42578125" style="1" customWidth="1"/>
    <col min="9026" max="9274" width="9" style="1"/>
    <col min="9275" max="9275" width="12.85546875" style="1" customWidth="1"/>
    <col min="9276" max="9276" width="119.5703125" style="1" customWidth="1"/>
    <col min="9277" max="9277" width="6.42578125" style="1" customWidth="1"/>
    <col min="9278" max="9278" width="5.85546875" style="1" customWidth="1"/>
    <col min="9279" max="9279" width="13.42578125" style="1" customWidth="1"/>
    <col min="9280" max="9280" width="10.85546875" style="1" customWidth="1"/>
    <col min="9281" max="9281" width="9.42578125" style="1" customWidth="1"/>
    <col min="9282" max="9530" width="9" style="1"/>
    <col min="9531" max="9531" width="12.85546875" style="1" customWidth="1"/>
    <col min="9532" max="9532" width="119.5703125" style="1" customWidth="1"/>
    <col min="9533" max="9533" width="6.42578125" style="1" customWidth="1"/>
    <col min="9534" max="9534" width="5.85546875" style="1" customWidth="1"/>
    <col min="9535" max="9535" width="13.42578125" style="1" customWidth="1"/>
    <col min="9536" max="9536" width="10.85546875" style="1" customWidth="1"/>
    <col min="9537" max="9537" width="9.42578125" style="1" customWidth="1"/>
    <col min="9538" max="9786" width="9" style="1"/>
    <col min="9787" max="9787" width="12.85546875" style="1" customWidth="1"/>
    <col min="9788" max="9788" width="119.5703125" style="1" customWidth="1"/>
    <col min="9789" max="9789" width="6.42578125" style="1" customWidth="1"/>
    <col min="9790" max="9790" width="5.85546875" style="1" customWidth="1"/>
    <col min="9791" max="9791" width="13.42578125" style="1" customWidth="1"/>
    <col min="9792" max="9792" width="10.85546875" style="1" customWidth="1"/>
    <col min="9793" max="9793" width="9.42578125" style="1" customWidth="1"/>
    <col min="9794" max="10042" width="9" style="1"/>
    <col min="10043" max="10043" width="12.85546875" style="1" customWidth="1"/>
    <col min="10044" max="10044" width="119.5703125" style="1" customWidth="1"/>
    <col min="10045" max="10045" width="6.42578125" style="1" customWidth="1"/>
    <col min="10046" max="10046" width="5.85546875" style="1" customWidth="1"/>
    <col min="10047" max="10047" width="13.42578125" style="1" customWidth="1"/>
    <col min="10048" max="10048" width="10.85546875" style="1" customWidth="1"/>
    <col min="10049" max="10049" width="9.42578125" style="1" customWidth="1"/>
    <col min="10050" max="10298" width="9" style="1"/>
    <col min="10299" max="10299" width="12.85546875" style="1" customWidth="1"/>
    <col min="10300" max="10300" width="119.5703125" style="1" customWidth="1"/>
    <col min="10301" max="10301" width="6.42578125" style="1" customWidth="1"/>
    <col min="10302" max="10302" width="5.85546875" style="1" customWidth="1"/>
    <col min="10303" max="10303" width="13.42578125" style="1" customWidth="1"/>
    <col min="10304" max="10304" width="10.85546875" style="1" customWidth="1"/>
    <col min="10305" max="10305" width="9.42578125" style="1" customWidth="1"/>
    <col min="10306" max="10554" width="9" style="1"/>
    <col min="10555" max="10555" width="12.85546875" style="1" customWidth="1"/>
    <col min="10556" max="10556" width="119.5703125" style="1" customWidth="1"/>
    <col min="10557" max="10557" width="6.42578125" style="1" customWidth="1"/>
    <col min="10558" max="10558" width="5.85546875" style="1" customWidth="1"/>
    <col min="10559" max="10559" width="13.42578125" style="1" customWidth="1"/>
    <col min="10560" max="10560" width="10.85546875" style="1" customWidth="1"/>
    <col min="10561" max="10561" width="9.42578125" style="1" customWidth="1"/>
    <col min="10562" max="10810" width="9" style="1"/>
    <col min="10811" max="10811" width="12.85546875" style="1" customWidth="1"/>
    <col min="10812" max="10812" width="119.5703125" style="1" customWidth="1"/>
    <col min="10813" max="10813" width="6.42578125" style="1" customWidth="1"/>
    <col min="10814" max="10814" width="5.85546875" style="1" customWidth="1"/>
    <col min="10815" max="10815" width="13.42578125" style="1" customWidth="1"/>
    <col min="10816" max="10816" width="10.85546875" style="1" customWidth="1"/>
    <col min="10817" max="10817" width="9.42578125" style="1" customWidth="1"/>
    <col min="10818" max="11066" width="9" style="1"/>
    <col min="11067" max="11067" width="12.85546875" style="1" customWidth="1"/>
    <col min="11068" max="11068" width="119.5703125" style="1" customWidth="1"/>
    <col min="11069" max="11069" width="6.42578125" style="1" customWidth="1"/>
    <col min="11070" max="11070" width="5.85546875" style="1" customWidth="1"/>
    <col min="11071" max="11071" width="13.42578125" style="1" customWidth="1"/>
    <col min="11072" max="11072" width="10.85546875" style="1" customWidth="1"/>
    <col min="11073" max="11073" width="9.42578125" style="1" customWidth="1"/>
    <col min="11074" max="11322" width="9" style="1"/>
    <col min="11323" max="11323" width="12.85546875" style="1" customWidth="1"/>
    <col min="11324" max="11324" width="119.5703125" style="1" customWidth="1"/>
    <col min="11325" max="11325" width="6.42578125" style="1" customWidth="1"/>
    <col min="11326" max="11326" width="5.85546875" style="1" customWidth="1"/>
    <col min="11327" max="11327" width="13.42578125" style="1" customWidth="1"/>
    <col min="11328" max="11328" width="10.85546875" style="1" customWidth="1"/>
    <col min="11329" max="11329" width="9.42578125" style="1" customWidth="1"/>
    <col min="11330" max="11578" width="9" style="1"/>
    <col min="11579" max="11579" width="12.85546875" style="1" customWidth="1"/>
    <col min="11580" max="11580" width="119.5703125" style="1" customWidth="1"/>
    <col min="11581" max="11581" width="6.42578125" style="1" customWidth="1"/>
    <col min="11582" max="11582" width="5.85546875" style="1" customWidth="1"/>
    <col min="11583" max="11583" width="13.42578125" style="1" customWidth="1"/>
    <col min="11584" max="11584" width="10.85546875" style="1" customWidth="1"/>
    <col min="11585" max="11585" width="9.42578125" style="1" customWidth="1"/>
    <col min="11586" max="11834" width="9" style="1"/>
    <col min="11835" max="11835" width="12.85546875" style="1" customWidth="1"/>
    <col min="11836" max="11836" width="119.5703125" style="1" customWidth="1"/>
    <col min="11837" max="11837" width="6.42578125" style="1" customWidth="1"/>
    <col min="11838" max="11838" width="5.85546875" style="1" customWidth="1"/>
    <col min="11839" max="11839" width="13.42578125" style="1" customWidth="1"/>
    <col min="11840" max="11840" width="10.85546875" style="1" customWidth="1"/>
    <col min="11841" max="11841" width="9.42578125" style="1" customWidth="1"/>
    <col min="11842" max="12090" width="9" style="1"/>
    <col min="12091" max="12091" width="12.85546875" style="1" customWidth="1"/>
    <col min="12092" max="12092" width="119.5703125" style="1" customWidth="1"/>
    <col min="12093" max="12093" width="6.42578125" style="1" customWidth="1"/>
    <col min="12094" max="12094" width="5.85546875" style="1" customWidth="1"/>
    <col min="12095" max="12095" width="13.42578125" style="1" customWidth="1"/>
    <col min="12096" max="12096" width="10.85546875" style="1" customWidth="1"/>
    <col min="12097" max="12097" width="9.42578125" style="1" customWidth="1"/>
    <col min="12098" max="12346" width="9" style="1"/>
    <col min="12347" max="12347" width="12.85546875" style="1" customWidth="1"/>
    <col min="12348" max="12348" width="119.5703125" style="1" customWidth="1"/>
    <col min="12349" max="12349" width="6.42578125" style="1" customWidth="1"/>
    <col min="12350" max="12350" width="5.85546875" style="1" customWidth="1"/>
    <col min="12351" max="12351" width="13.42578125" style="1" customWidth="1"/>
    <col min="12352" max="12352" width="10.85546875" style="1" customWidth="1"/>
    <col min="12353" max="12353" width="9.42578125" style="1" customWidth="1"/>
    <col min="12354" max="12602" width="9" style="1"/>
    <col min="12603" max="12603" width="12.85546875" style="1" customWidth="1"/>
    <col min="12604" max="12604" width="119.5703125" style="1" customWidth="1"/>
    <col min="12605" max="12605" width="6.42578125" style="1" customWidth="1"/>
    <col min="12606" max="12606" width="5.85546875" style="1" customWidth="1"/>
    <col min="12607" max="12607" width="13.42578125" style="1" customWidth="1"/>
    <col min="12608" max="12608" width="10.85546875" style="1" customWidth="1"/>
    <col min="12609" max="12609" width="9.42578125" style="1" customWidth="1"/>
    <col min="12610" max="12858" width="9" style="1"/>
    <col min="12859" max="12859" width="12.85546875" style="1" customWidth="1"/>
    <col min="12860" max="12860" width="119.5703125" style="1" customWidth="1"/>
    <col min="12861" max="12861" width="6.42578125" style="1" customWidth="1"/>
    <col min="12862" max="12862" width="5.85546875" style="1" customWidth="1"/>
    <col min="12863" max="12863" width="13.42578125" style="1" customWidth="1"/>
    <col min="12864" max="12864" width="10.85546875" style="1" customWidth="1"/>
    <col min="12865" max="12865" width="9.42578125" style="1" customWidth="1"/>
    <col min="12866" max="13114" width="9" style="1"/>
    <col min="13115" max="13115" width="12.85546875" style="1" customWidth="1"/>
    <col min="13116" max="13116" width="119.5703125" style="1" customWidth="1"/>
    <col min="13117" max="13117" width="6.42578125" style="1" customWidth="1"/>
    <col min="13118" max="13118" width="5.85546875" style="1" customWidth="1"/>
    <col min="13119" max="13119" width="13.42578125" style="1" customWidth="1"/>
    <col min="13120" max="13120" width="10.85546875" style="1" customWidth="1"/>
    <col min="13121" max="13121" width="9.42578125" style="1" customWidth="1"/>
    <col min="13122" max="13370" width="9" style="1"/>
    <col min="13371" max="13371" width="12.85546875" style="1" customWidth="1"/>
    <col min="13372" max="13372" width="119.5703125" style="1" customWidth="1"/>
    <col min="13373" max="13373" width="6.42578125" style="1" customWidth="1"/>
    <col min="13374" max="13374" width="5.85546875" style="1" customWidth="1"/>
    <col min="13375" max="13375" width="13.42578125" style="1" customWidth="1"/>
    <col min="13376" max="13376" width="10.85546875" style="1" customWidth="1"/>
    <col min="13377" max="13377" width="9.42578125" style="1" customWidth="1"/>
    <col min="13378" max="13626" width="9" style="1"/>
    <col min="13627" max="13627" width="12.85546875" style="1" customWidth="1"/>
    <col min="13628" max="13628" width="119.5703125" style="1" customWidth="1"/>
    <col min="13629" max="13629" width="6.42578125" style="1" customWidth="1"/>
    <col min="13630" max="13630" width="5.85546875" style="1" customWidth="1"/>
    <col min="13631" max="13631" width="13.42578125" style="1" customWidth="1"/>
    <col min="13632" max="13632" width="10.85546875" style="1" customWidth="1"/>
    <col min="13633" max="13633" width="9.42578125" style="1" customWidth="1"/>
    <col min="13634" max="13882" width="9" style="1"/>
    <col min="13883" max="13883" width="12.85546875" style="1" customWidth="1"/>
    <col min="13884" max="13884" width="119.5703125" style="1" customWidth="1"/>
    <col min="13885" max="13885" width="6.42578125" style="1" customWidth="1"/>
    <col min="13886" max="13886" width="5.85546875" style="1" customWidth="1"/>
    <col min="13887" max="13887" width="13.42578125" style="1" customWidth="1"/>
    <col min="13888" max="13888" width="10.85546875" style="1" customWidth="1"/>
    <col min="13889" max="13889" width="9.42578125" style="1" customWidth="1"/>
    <col min="13890" max="14138" width="9" style="1"/>
    <col min="14139" max="14139" width="12.85546875" style="1" customWidth="1"/>
    <col min="14140" max="14140" width="119.5703125" style="1" customWidth="1"/>
    <col min="14141" max="14141" width="6.42578125" style="1" customWidth="1"/>
    <col min="14142" max="14142" width="5.85546875" style="1" customWidth="1"/>
    <col min="14143" max="14143" width="13.42578125" style="1" customWidth="1"/>
    <col min="14144" max="14144" width="10.85546875" style="1" customWidth="1"/>
    <col min="14145" max="14145" width="9.42578125" style="1" customWidth="1"/>
    <col min="14146" max="14394" width="9" style="1"/>
    <col min="14395" max="14395" width="12.85546875" style="1" customWidth="1"/>
    <col min="14396" max="14396" width="119.5703125" style="1" customWidth="1"/>
    <col min="14397" max="14397" width="6.42578125" style="1" customWidth="1"/>
    <col min="14398" max="14398" width="5.85546875" style="1" customWidth="1"/>
    <col min="14399" max="14399" width="13.42578125" style="1" customWidth="1"/>
    <col min="14400" max="14400" width="10.85546875" style="1" customWidth="1"/>
    <col min="14401" max="14401" width="9.42578125" style="1" customWidth="1"/>
    <col min="14402" max="14650" width="9" style="1"/>
    <col min="14651" max="14651" width="12.85546875" style="1" customWidth="1"/>
    <col min="14652" max="14652" width="119.5703125" style="1" customWidth="1"/>
    <col min="14653" max="14653" width="6.42578125" style="1" customWidth="1"/>
    <col min="14654" max="14654" width="5.85546875" style="1" customWidth="1"/>
    <col min="14655" max="14655" width="13.42578125" style="1" customWidth="1"/>
    <col min="14656" max="14656" width="10.85546875" style="1" customWidth="1"/>
    <col min="14657" max="14657" width="9.42578125" style="1" customWidth="1"/>
    <col min="14658" max="14906" width="9" style="1"/>
    <col min="14907" max="14907" width="12.85546875" style="1" customWidth="1"/>
    <col min="14908" max="14908" width="119.5703125" style="1" customWidth="1"/>
    <col min="14909" max="14909" width="6.42578125" style="1" customWidth="1"/>
    <col min="14910" max="14910" width="5.85546875" style="1" customWidth="1"/>
    <col min="14911" max="14911" width="13.42578125" style="1" customWidth="1"/>
    <col min="14912" max="14912" width="10.85546875" style="1" customWidth="1"/>
    <col min="14913" max="14913" width="9.42578125" style="1" customWidth="1"/>
    <col min="14914" max="15162" width="9" style="1"/>
    <col min="15163" max="15163" width="12.85546875" style="1" customWidth="1"/>
    <col min="15164" max="15164" width="119.5703125" style="1" customWidth="1"/>
    <col min="15165" max="15165" width="6.42578125" style="1" customWidth="1"/>
    <col min="15166" max="15166" width="5.85546875" style="1" customWidth="1"/>
    <col min="15167" max="15167" width="13.42578125" style="1" customWidth="1"/>
    <col min="15168" max="15168" width="10.85546875" style="1" customWidth="1"/>
    <col min="15169" max="15169" width="9.42578125" style="1" customWidth="1"/>
    <col min="15170" max="15418" width="9" style="1"/>
    <col min="15419" max="15419" width="12.85546875" style="1" customWidth="1"/>
    <col min="15420" max="15420" width="119.5703125" style="1" customWidth="1"/>
    <col min="15421" max="15421" width="6.42578125" style="1" customWidth="1"/>
    <col min="15422" max="15422" width="5.85546875" style="1" customWidth="1"/>
    <col min="15423" max="15423" width="13.42578125" style="1" customWidth="1"/>
    <col min="15424" max="15424" width="10.85546875" style="1" customWidth="1"/>
    <col min="15425" max="15425" width="9.42578125" style="1" customWidth="1"/>
    <col min="15426" max="15674" width="9" style="1"/>
    <col min="15675" max="15675" width="12.85546875" style="1" customWidth="1"/>
    <col min="15676" max="15676" width="119.5703125" style="1" customWidth="1"/>
    <col min="15677" max="15677" width="6.42578125" style="1" customWidth="1"/>
    <col min="15678" max="15678" width="5.85546875" style="1" customWidth="1"/>
    <col min="15679" max="15679" width="13.42578125" style="1" customWidth="1"/>
    <col min="15680" max="15680" width="10.85546875" style="1" customWidth="1"/>
    <col min="15681" max="15681" width="9.42578125" style="1" customWidth="1"/>
    <col min="15682" max="16384" width="9" style="1"/>
  </cols>
  <sheetData>
    <row r="2" spans="3:46" ht="20.25" customHeight="1" x14ac:dyDescent="0.2">
      <c r="F2" s="1746" t="s">
        <v>720</v>
      </c>
      <c r="G2" s="1746"/>
      <c r="H2" s="1746"/>
      <c r="I2" s="1746"/>
      <c r="J2" s="1746"/>
      <c r="K2" s="1746"/>
      <c r="L2" s="1544"/>
      <c r="M2" s="1544"/>
    </row>
    <row r="3" spans="3:46" s="16" customFormat="1" x14ac:dyDescent="0.2">
      <c r="C3" s="1"/>
      <c r="F3" s="1545"/>
      <c r="G3" s="1546"/>
      <c r="H3" s="1547"/>
    </row>
    <row r="4" spans="3:46" s="16" customFormat="1" ht="15" thickBot="1" x14ac:dyDescent="0.3">
      <c r="F4" s="1548" t="s">
        <v>783</v>
      </c>
      <c r="G4" s="1546"/>
      <c r="H4" s="1547"/>
    </row>
    <row r="5" spans="3:46" s="16" customFormat="1" ht="15" customHeight="1" thickTop="1" thickBot="1" x14ac:dyDescent="0.3">
      <c r="F5" s="1747" t="s">
        <v>177</v>
      </c>
      <c r="G5" s="1749" t="s">
        <v>721</v>
      </c>
      <c r="H5" s="1751" t="s">
        <v>722</v>
      </c>
      <c r="I5" s="1753" t="s">
        <v>723</v>
      </c>
      <c r="J5" s="1754"/>
      <c r="K5" s="1755"/>
      <c r="L5" s="1550"/>
      <c r="M5" s="530" t="s">
        <v>724</v>
      </c>
    </row>
    <row r="6" spans="3:46" s="16" customFormat="1" ht="16.5" thickTop="1" thickBot="1" x14ac:dyDescent="0.3">
      <c r="F6" s="1748"/>
      <c r="G6" s="1750"/>
      <c r="H6" s="1752"/>
      <c r="I6" s="1551" t="s">
        <v>725</v>
      </c>
      <c r="J6" s="1552" t="s">
        <v>726</v>
      </c>
      <c r="K6" s="1551" t="s">
        <v>25</v>
      </c>
      <c r="L6" s="1550"/>
      <c r="M6" s="1550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3:46" s="16" customFormat="1" ht="15.75" thickTop="1" x14ac:dyDescent="0.25">
      <c r="F7" s="1553">
        <v>1</v>
      </c>
      <c r="G7" s="1554">
        <v>325264</v>
      </c>
      <c r="H7" s="1555" t="s">
        <v>784</v>
      </c>
      <c r="I7" s="1556"/>
      <c r="J7" s="1556">
        <f t="shared" ref="J7:J36" si="0">(2200-(G7/1000))/91.7</f>
        <v>20.444231188658666</v>
      </c>
      <c r="K7" s="1557">
        <f>G7/2200/1000</f>
        <v>0.14784727272727272</v>
      </c>
      <c r="L7" s="1558"/>
      <c r="M7" s="1559">
        <f>(G7/1000)/24</f>
        <v>13.552666666666667</v>
      </c>
      <c r="O7" s="1560">
        <f>249.262+270.9</f>
        <v>520.16200000000003</v>
      </c>
      <c r="P7" s="1561">
        <f>1356.367+39.742</f>
        <v>1396.1089999999999</v>
      </c>
      <c r="Q7" s="1561">
        <f>1086.521+50.6</f>
        <v>1137.1209999999999</v>
      </c>
      <c r="R7" s="1561">
        <f>1353.558+373.309</f>
        <v>1726.867</v>
      </c>
      <c r="S7" s="1560">
        <v>1942.7460000000001</v>
      </c>
      <c r="T7" s="1560">
        <v>1868.212</v>
      </c>
      <c r="U7" s="1560">
        <v>2057.011</v>
      </c>
      <c r="V7" s="1560">
        <v>1781.8440000000001</v>
      </c>
      <c r="W7" s="1562">
        <v>1250.7639999999999</v>
      </c>
      <c r="X7" s="1562">
        <v>1613.4860000000001</v>
      </c>
      <c r="Y7" s="1562">
        <v>1325.077</v>
      </c>
      <c r="Z7" s="1560">
        <f>66.442+571.568</f>
        <v>638.01</v>
      </c>
      <c r="AA7" s="1560">
        <f>815.429</f>
        <v>815.42899999999997</v>
      </c>
      <c r="AB7" s="1562">
        <f>352.234+731.627</f>
        <v>1083.8609999999999</v>
      </c>
      <c r="AC7" s="1560">
        <f>1626.002+13.213</f>
        <v>1639.2149999999999</v>
      </c>
      <c r="AD7" s="1560">
        <v>2094.7910000000002</v>
      </c>
      <c r="AE7" s="1562">
        <v>2075.375</v>
      </c>
      <c r="AF7" s="1562">
        <v>2008.8040000000001</v>
      </c>
      <c r="AG7" s="1562">
        <v>1946.712</v>
      </c>
      <c r="AH7" s="1562">
        <v>1998.9390000000001</v>
      </c>
      <c r="AI7" s="1560">
        <f>1623.839+281.468</f>
        <v>1905.307</v>
      </c>
      <c r="AJ7" s="1560">
        <v>1610.0239999999999</v>
      </c>
      <c r="AK7" s="1560">
        <f>1135.181+98.368</f>
        <v>1233.549</v>
      </c>
      <c r="AL7" s="1560">
        <f>958.893+543.852</f>
        <v>1502.7449999999999</v>
      </c>
      <c r="AM7" s="1560">
        <v>2043.15</v>
      </c>
      <c r="AN7" s="1560">
        <v>1762.6420000000001</v>
      </c>
      <c r="AO7" s="1560">
        <v>2170.3359999999998</v>
      </c>
      <c r="AP7" s="1560">
        <f>1181.38+463.711</f>
        <v>1645.0910000000001</v>
      </c>
      <c r="AQ7" s="1560">
        <v>219.47399999999999</v>
      </c>
      <c r="AR7" s="1560">
        <f>48.153+1225.968+107.3</f>
        <v>1381.421</v>
      </c>
      <c r="AS7" s="1560"/>
    </row>
    <row r="8" spans="3:46" s="16" customFormat="1" x14ac:dyDescent="0.25">
      <c r="F8" s="1563">
        <v>2</v>
      </c>
      <c r="G8" s="1564">
        <v>244372</v>
      </c>
      <c r="H8" s="1555" t="s">
        <v>784</v>
      </c>
      <c r="I8" s="1565"/>
      <c r="J8" s="1565">
        <f t="shared" si="0"/>
        <v>21.326368593238822</v>
      </c>
      <c r="K8" s="1566">
        <f>G8/2200/1000</f>
        <v>0.11107818181818181</v>
      </c>
      <c r="L8" s="1558"/>
      <c r="M8" s="1559">
        <f t="shared" ref="M8:M36" si="1">(G8/1000)/24</f>
        <v>10.182166666666667</v>
      </c>
    </row>
    <row r="9" spans="3:46" s="16" customFormat="1" x14ac:dyDescent="0.25">
      <c r="F9" s="1567">
        <v>3</v>
      </c>
      <c r="G9" s="1564">
        <v>1130594</v>
      </c>
      <c r="H9" s="1555" t="s">
        <v>784</v>
      </c>
      <c r="I9" s="1565"/>
      <c r="J9" s="1565">
        <f t="shared" si="0"/>
        <v>11.662006543075245</v>
      </c>
      <c r="K9" s="1566">
        <f>G9/2200/1000</f>
        <v>0.51390636363636366</v>
      </c>
      <c r="L9" s="1558"/>
      <c r="M9" s="1559">
        <f t="shared" si="1"/>
        <v>47.108083333333333</v>
      </c>
    </row>
    <row r="10" spans="3:46" s="16" customFormat="1" x14ac:dyDescent="0.25">
      <c r="F10" s="1567">
        <v>4</v>
      </c>
      <c r="G10" s="1564">
        <v>686462</v>
      </c>
      <c r="H10" s="1555" t="s">
        <v>784</v>
      </c>
      <c r="I10" s="1565"/>
      <c r="J10" s="1565">
        <f t="shared" si="0"/>
        <v>16.505321701199563</v>
      </c>
      <c r="K10" s="1566">
        <f>G10/2200/1000</f>
        <v>0.31202818181818182</v>
      </c>
      <c r="L10" s="1558"/>
      <c r="M10" s="1559">
        <f t="shared" si="1"/>
        <v>28.602583333333332</v>
      </c>
    </row>
    <row r="11" spans="3:46" s="16" customFormat="1" x14ac:dyDescent="0.25">
      <c r="F11" s="1567">
        <v>5</v>
      </c>
      <c r="G11" s="1564">
        <v>608618</v>
      </c>
      <c r="H11" s="1555" t="s">
        <v>784</v>
      </c>
      <c r="I11" s="1565"/>
      <c r="J11" s="1565">
        <f t="shared" si="0"/>
        <v>17.354220283533262</v>
      </c>
      <c r="K11" s="1566">
        <f t="shared" ref="K11" si="2">G11/2000/1000</f>
        <v>0.30430900000000005</v>
      </c>
      <c r="L11" s="1558"/>
      <c r="M11" s="1559">
        <f t="shared" si="1"/>
        <v>25.359083333333334</v>
      </c>
    </row>
    <row r="12" spans="3:46" s="16" customFormat="1" x14ac:dyDescent="0.25">
      <c r="F12" s="1567">
        <v>6</v>
      </c>
      <c r="G12" s="1564">
        <v>662414</v>
      </c>
      <c r="H12" s="1555" t="s">
        <v>784</v>
      </c>
      <c r="I12" s="1565"/>
      <c r="J12" s="1565">
        <f t="shared" si="0"/>
        <v>16.767568157033807</v>
      </c>
      <c r="K12" s="1566">
        <f t="shared" ref="K12:K36" si="3">G12/2200/1000</f>
        <v>0.30109727272727277</v>
      </c>
      <c r="L12" s="1558"/>
      <c r="M12" s="1559">
        <f t="shared" si="1"/>
        <v>27.600583333333333</v>
      </c>
      <c r="AT12" s="143"/>
    </row>
    <row r="13" spans="3:46" s="16" customFormat="1" x14ac:dyDescent="0.25">
      <c r="F13" s="1567">
        <v>7</v>
      </c>
      <c r="G13" s="1564">
        <v>612421</v>
      </c>
      <c r="H13" s="1555" t="s">
        <v>784</v>
      </c>
      <c r="I13" s="1565"/>
      <c r="J13" s="1565">
        <f t="shared" si="0"/>
        <v>17.312748091603051</v>
      </c>
      <c r="K13" s="1566">
        <f t="shared" si="3"/>
        <v>0.27837318181818183</v>
      </c>
      <c r="L13" s="1558"/>
      <c r="M13" s="1559">
        <f t="shared" si="1"/>
        <v>25.51754166666667</v>
      </c>
    </row>
    <row r="14" spans="3:46" s="16" customFormat="1" x14ac:dyDescent="0.25">
      <c r="F14" s="1567">
        <v>8</v>
      </c>
      <c r="G14" s="1564">
        <v>386446</v>
      </c>
      <c r="H14" s="1555" t="s">
        <v>784</v>
      </c>
      <c r="I14" s="1565"/>
      <c r="J14" s="1565">
        <f t="shared" si="0"/>
        <v>19.777033805888767</v>
      </c>
      <c r="K14" s="1566">
        <f t="shared" si="3"/>
        <v>0.17565727272727272</v>
      </c>
      <c r="L14" s="1558"/>
      <c r="M14" s="1559">
        <f t="shared" si="1"/>
        <v>16.101916666666668</v>
      </c>
    </row>
    <row r="15" spans="3:46" s="16" customFormat="1" x14ac:dyDescent="0.25">
      <c r="F15" s="1567">
        <v>9</v>
      </c>
      <c r="G15" s="1564">
        <v>1041561</v>
      </c>
      <c r="H15" s="1555" t="s">
        <v>784</v>
      </c>
      <c r="I15" s="1565"/>
      <c r="J15" s="1565">
        <f t="shared" si="0"/>
        <v>12.632922573609598</v>
      </c>
      <c r="K15" s="1566">
        <f t="shared" si="3"/>
        <v>0.47343681818181821</v>
      </c>
      <c r="L15" s="1558"/>
      <c r="M15" s="1559">
        <f t="shared" si="1"/>
        <v>43.398374999999994</v>
      </c>
    </row>
    <row r="16" spans="3:46" s="16" customFormat="1" x14ac:dyDescent="0.25">
      <c r="F16" s="1567">
        <v>10</v>
      </c>
      <c r="G16" s="1564">
        <v>1056809</v>
      </c>
      <c r="H16" s="1555" t="s">
        <v>784</v>
      </c>
      <c r="I16" s="1565"/>
      <c r="J16" s="1565">
        <f t="shared" si="0"/>
        <v>12.466641221374045</v>
      </c>
      <c r="K16" s="1566">
        <f t="shared" si="3"/>
        <v>0.48036772727272725</v>
      </c>
      <c r="L16" s="1558"/>
      <c r="M16" s="1559">
        <f t="shared" si="1"/>
        <v>44.03370833333333</v>
      </c>
    </row>
    <row r="17" spans="6:13" s="16" customFormat="1" x14ac:dyDescent="0.25">
      <c r="F17" s="1567">
        <v>11</v>
      </c>
      <c r="G17" s="1564">
        <v>1067764</v>
      </c>
      <c r="H17" s="1555" t="s">
        <v>784</v>
      </c>
      <c r="I17" s="1565"/>
      <c r="J17" s="1565">
        <f t="shared" si="0"/>
        <v>12.347175572519085</v>
      </c>
      <c r="K17" s="1566">
        <f t="shared" si="3"/>
        <v>0.48534727272727274</v>
      </c>
      <c r="L17" s="1558"/>
      <c r="M17" s="1559">
        <f t="shared" si="1"/>
        <v>44.49016666666666</v>
      </c>
    </row>
    <row r="18" spans="6:13" s="16" customFormat="1" x14ac:dyDescent="0.25">
      <c r="F18" s="1567">
        <v>12</v>
      </c>
      <c r="G18" s="1564">
        <v>701797</v>
      </c>
      <c r="H18" s="1555" t="s">
        <v>784</v>
      </c>
      <c r="I18" s="1565"/>
      <c r="J18" s="1565">
        <f t="shared" si="0"/>
        <v>16.338091603053435</v>
      </c>
      <c r="K18" s="1566">
        <f t="shared" si="3"/>
        <v>0.31899863636363635</v>
      </c>
      <c r="L18" s="1558"/>
      <c r="M18" s="1559">
        <f t="shared" si="1"/>
        <v>29.241541666666667</v>
      </c>
    </row>
    <row r="19" spans="6:13" s="16" customFormat="1" x14ac:dyDescent="0.25">
      <c r="F19" s="1567">
        <v>13</v>
      </c>
      <c r="G19" s="1564">
        <v>563620</v>
      </c>
      <c r="H19" s="1555" t="s">
        <v>784</v>
      </c>
      <c r="I19" s="1565"/>
      <c r="J19" s="1565">
        <f t="shared" si="0"/>
        <v>17.844929116684842</v>
      </c>
      <c r="K19" s="1566">
        <f t="shared" si="3"/>
        <v>0.25619090909090908</v>
      </c>
      <c r="L19" s="1558"/>
      <c r="M19" s="1559">
        <f t="shared" si="1"/>
        <v>23.484166666666667</v>
      </c>
    </row>
    <row r="20" spans="6:13" s="16" customFormat="1" x14ac:dyDescent="0.25">
      <c r="F20" s="1567">
        <v>14</v>
      </c>
      <c r="G20" s="1564">
        <v>605861</v>
      </c>
      <c r="H20" s="1555" t="s">
        <v>784</v>
      </c>
      <c r="I20" s="1565"/>
      <c r="J20" s="1565">
        <f t="shared" si="0"/>
        <v>17.384285714285713</v>
      </c>
      <c r="K20" s="1566">
        <f t="shared" si="3"/>
        <v>0.27539136363636363</v>
      </c>
      <c r="L20" s="1558"/>
      <c r="M20" s="1559">
        <f t="shared" si="1"/>
        <v>25.244208333333333</v>
      </c>
    </row>
    <row r="21" spans="6:13" s="16" customFormat="1" x14ac:dyDescent="0.25">
      <c r="F21" s="1567">
        <v>15</v>
      </c>
      <c r="G21" s="1568">
        <v>1587899</v>
      </c>
      <c r="H21" s="1555" t="s">
        <v>784</v>
      </c>
      <c r="I21" s="1565"/>
      <c r="J21" s="1565">
        <f t="shared" si="0"/>
        <v>6.6750381679389319</v>
      </c>
      <c r="K21" s="1566">
        <f t="shared" si="3"/>
        <v>0.72177227272727273</v>
      </c>
      <c r="L21" s="1558"/>
      <c r="M21" s="1559">
        <f t="shared" si="1"/>
        <v>66.162458333333333</v>
      </c>
    </row>
    <row r="22" spans="6:13" s="16" customFormat="1" x14ac:dyDescent="0.25">
      <c r="F22" s="1567">
        <v>16</v>
      </c>
      <c r="G22" s="1564">
        <v>0</v>
      </c>
      <c r="H22" s="1555" t="s">
        <v>785</v>
      </c>
      <c r="I22" s="1565"/>
      <c r="J22" s="1565">
        <f t="shared" si="0"/>
        <v>23.991275899672846</v>
      </c>
      <c r="K22" s="1566">
        <f t="shared" si="3"/>
        <v>0</v>
      </c>
      <c r="L22" s="1558"/>
      <c r="M22" s="1559">
        <f t="shared" si="1"/>
        <v>0</v>
      </c>
    </row>
    <row r="23" spans="6:13" s="16" customFormat="1" x14ac:dyDescent="0.25">
      <c r="F23" s="1567">
        <v>17</v>
      </c>
      <c r="G23" s="1569">
        <v>430122</v>
      </c>
      <c r="H23" s="1555" t="s">
        <v>784</v>
      </c>
      <c r="I23" s="1565"/>
      <c r="J23" s="1565">
        <f t="shared" si="0"/>
        <v>19.300741548527807</v>
      </c>
      <c r="K23" s="1566">
        <f t="shared" si="3"/>
        <v>0.19550999999999999</v>
      </c>
      <c r="L23" s="1558"/>
      <c r="M23" s="1559">
        <f t="shared" si="1"/>
        <v>17.921749999999999</v>
      </c>
    </row>
    <row r="24" spans="6:13" s="16" customFormat="1" x14ac:dyDescent="0.2">
      <c r="F24" s="1570">
        <v>18</v>
      </c>
      <c r="G24" s="1571">
        <v>1154162</v>
      </c>
      <c r="H24" s="1555" t="s">
        <v>784</v>
      </c>
      <c r="I24" s="1565"/>
      <c r="J24" s="1565">
        <f t="shared" si="0"/>
        <v>11.404994547437294</v>
      </c>
      <c r="K24" s="1566">
        <f t="shared" si="3"/>
        <v>0.52461909090909087</v>
      </c>
      <c r="L24" s="1558"/>
      <c r="M24" s="1559">
        <f t="shared" si="1"/>
        <v>48.090083333333332</v>
      </c>
    </row>
    <row r="25" spans="6:13" s="16" customFormat="1" x14ac:dyDescent="0.2">
      <c r="F25" s="1570">
        <v>19</v>
      </c>
      <c r="G25" s="1571">
        <v>1380669</v>
      </c>
      <c r="H25" s="1555" t="s">
        <v>784</v>
      </c>
      <c r="I25" s="1565"/>
      <c r="J25" s="1565">
        <f t="shared" si="0"/>
        <v>8.9349073064340221</v>
      </c>
      <c r="K25" s="1566">
        <f t="shared" si="3"/>
        <v>0.62757681818181821</v>
      </c>
      <c r="L25" s="1558"/>
      <c r="M25" s="1559">
        <f t="shared" si="1"/>
        <v>57.527875000000002</v>
      </c>
    </row>
    <row r="26" spans="6:13" s="16" customFormat="1" x14ac:dyDescent="0.25">
      <c r="F26" s="1570">
        <v>20</v>
      </c>
      <c r="G26" s="1564">
        <v>938737</v>
      </c>
      <c r="H26" s="1555" t="s">
        <v>784</v>
      </c>
      <c r="I26" s="1565"/>
      <c r="J26" s="1565">
        <f t="shared" si="0"/>
        <v>13.754231188658668</v>
      </c>
      <c r="K26" s="1566">
        <f t="shared" si="3"/>
        <v>0.42669863636363636</v>
      </c>
      <c r="L26" s="1558"/>
      <c r="M26" s="1559">
        <f t="shared" si="1"/>
        <v>39.114041666666665</v>
      </c>
    </row>
    <row r="27" spans="6:13" s="16" customFormat="1" x14ac:dyDescent="0.25">
      <c r="F27" s="1570">
        <v>21</v>
      </c>
      <c r="G27" s="1564">
        <v>875019</v>
      </c>
      <c r="H27" s="1555" t="s">
        <v>784</v>
      </c>
      <c r="I27" s="1565"/>
      <c r="J27" s="1565">
        <f t="shared" si="0"/>
        <v>14.449083969465649</v>
      </c>
      <c r="K27" s="1566">
        <f t="shared" si="3"/>
        <v>0.39773590909090911</v>
      </c>
      <c r="L27" s="1558"/>
      <c r="M27" s="1559">
        <f t="shared" si="1"/>
        <v>36.459125</v>
      </c>
    </row>
    <row r="28" spans="6:13" s="16" customFormat="1" x14ac:dyDescent="0.25">
      <c r="F28" s="1570">
        <v>22</v>
      </c>
      <c r="G28" s="1564">
        <v>412</v>
      </c>
      <c r="H28" s="1555" t="s">
        <v>785</v>
      </c>
      <c r="I28" s="1565"/>
      <c r="J28" s="1565">
        <f t="shared" si="0"/>
        <v>23.986782988004364</v>
      </c>
      <c r="K28" s="1566">
        <f t="shared" si="3"/>
        <v>1.8727272727272728E-4</v>
      </c>
      <c r="L28" s="1558"/>
      <c r="M28" s="1559">
        <f t="shared" si="1"/>
        <v>1.7166666666666667E-2</v>
      </c>
    </row>
    <row r="29" spans="6:13" s="16" customFormat="1" x14ac:dyDescent="0.25">
      <c r="F29" s="1570">
        <v>23</v>
      </c>
      <c r="G29" s="1564">
        <v>0</v>
      </c>
      <c r="H29" s="1555" t="s">
        <v>785</v>
      </c>
      <c r="I29" s="1565"/>
      <c r="J29" s="1565">
        <f t="shared" si="0"/>
        <v>23.991275899672846</v>
      </c>
      <c r="K29" s="1566">
        <f t="shared" si="3"/>
        <v>0</v>
      </c>
      <c r="L29" s="1558"/>
      <c r="M29" s="1559">
        <f t="shared" si="1"/>
        <v>0</v>
      </c>
    </row>
    <row r="30" spans="6:13" s="16" customFormat="1" x14ac:dyDescent="0.25">
      <c r="F30" s="1570">
        <v>24</v>
      </c>
      <c r="G30" s="1564">
        <v>0</v>
      </c>
      <c r="H30" s="1555" t="s">
        <v>785</v>
      </c>
      <c r="I30" s="1565"/>
      <c r="J30" s="1565">
        <f t="shared" si="0"/>
        <v>23.991275899672846</v>
      </c>
      <c r="K30" s="1566">
        <f t="shared" si="3"/>
        <v>0</v>
      </c>
      <c r="L30" s="1558"/>
      <c r="M30" s="1559">
        <f t="shared" si="1"/>
        <v>0</v>
      </c>
    </row>
    <row r="31" spans="6:13" s="16" customFormat="1" x14ac:dyDescent="0.25">
      <c r="F31" s="1570">
        <v>25</v>
      </c>
      <c r="G31" s="1564">
        <v>879838</v>
      </c>
      <c r="H31" s="1555" t="s">
        <v>784</v>
      </c>
      <c r="I31" s="1565"/>
      <c r="J31" s="1565">
        <f t="shared" si="0"/>
        <v>14.396532170119956</v>
      </c>
      <c r="K31" s="1566">
        <f t="shared" si="3"/>
        <v>0.39992636363636364</v>
      </c>
      <c r="L31" s="1558"/>
      <c r="M31" s="1559">
        <f t="shared" si="1"/>
        <v>36.659916666666668</v>
      </c>
    </row>
    <row r="32" spans="6:13" s="16" customFormat="1" x14ac:dyDescent="0.25">
      <c r="F32" s="1570">
        <v>26</v>
      </c>
      <c r="G32" s="1564">
        <v>1623131</v>
      </c>
      <c r="H32" s="1555" t="s">
        <v>784</v>
      </c>
      <c r="I32" s="1565"/>
      <c r="J32" s="1565">
        <f t="shared" si="0"/>
        <v>6.2908287895310782</v>
      </c>
      <c r="K32" s="1566">
        <f t="shared" si="3"/>
        <v>0.73778681818181813</v>
      </c>
      <c r="L32" s="1558"/>
      <c r="M32" s="1559">
        <f t="shared" si="1"/>
        <v>67.630458333333337</v>
      </c>
    </row>
    <row r="33" spans="6:16" s="16" customFormat="1" x14ac:dyDescent="0.25">
      <c r="F33" s="1570">
        <v>27</v>
      </c>
      <c r="G33" s="1564">
        <v>1648997</v>
      </c>
      <c r="H33" s="1555" t="s">
        <v>784</v>
      </c>
      <c r="I33" s="1565"/>
      <c r="J33" s="1565">
        <f t="shared" si="0"/>
        <v>6.0087568157033795</v>
      </c>
      <c r="K33" s="1566">
        <f t="shared" si="3"/>
        <v>0.74954409090909091</v>
      </c>
      <c r="L33" s="1558"/>
      <c r="M33" s="1559">
        <f t="shared" si="1"/>
        <v>68.708208333333332</v>
      </c>
    </row>
    <row r="34" spans="6:16" s="16" customFormat="1" x14ac:dyDescent="0.25">
      <c r="F34" s="1570">
        <v>28</v>
      </c>
      <c r="G34" s="1564">
        <v>1718627</v>
      </c>
      <c r="H34" s="1555" t="s">
        <v>784</v>
      </c>
      <c r="I34" s="1565"/>
      <c r="J34" s="1565">
        <f t="shared" si="0"/>
        <v>5.2494329334787357</v>
      </c>
      <c r="K34" s="1566">
        <f t="shared" si="3"/>
        <v>0.78119409090909098</v>
      </c>
      <c r="L34" s="1558"/>
      <c r="M34" s="1559">
        <f t="shared" si="1"/>
        <v>71.609458333333336</v>
      </c>
    </row>
    <row r="35" spans="6:16" s="16" customFormat="1" x14ac:dyDescent="0.25">
      <c r="F35" s="1570">
        <v>29</v>
      </c>
      <c r="G35" s="1564">
        <v>1528732</v>
      </c>
      <c r="H35" s="1555" t="s">
        <v>786</v>
      </c>
      <c r="I35" s="1565"/>
      <c r="J35" s="1565">
        <f t="shared" si="0"/>
        <v>7.320261723009815</v>
      </c>
      <c r="K35" s="1566">
        <f t="shared" si="3"/>
        <v>0.69487818181818184</v>
      </c>
      <c r="L35" s="1558"/>
      <c r="M35" s="1559">
        <f t="shared" si="1"/>
        <v>63.697166666666668</v>
      </c>
    </row>
    <row r="36" spans="6:16" s="16" customFormat="1" ht="15" thickBot="1" x14ac:dyDescent="0.3">
      <c r="F36" s="1572">
        <v>30</v>
      </c>
      <c r="G36" s="1564">
        <v>545232</v>
      </c>
      <c r="H36" s="1555" t="s">
        <v>784</v>
      </c>
      <c r="I36" s="1573"/>
      <c r="J36" s="1565">
        <f t="shared" si="0"/>
        <v>18.045452562704472</v>
      </c>
      <c r="K36" s="1566">
        <f t="shared" si="3"/>
        <v>0.24783272727272729</v>
      </c>
      <c r="L36" s="1558"/>
      <c r="M36" s="1559">
        <f t="shared" si="1"/>
        <v>22.718</v>
      </c>
    </row>
    <row r="37" spans="6:16" s="16" customFormat="1" ht="18" customHeight="1" thickTop="1" thickBot="1" x14ac:dyDescent="0.3">
      <c r="F37" s="1549" t="s">
        <v>159</v>
      </c>
      <c r="G37" s="1574">
        <f>SUM(G7:G36)</f>
        <v>24005580</v>
      </c>
      <c r="H37" s="1575"/>
      <c r="I37" s="1576">
        <f>SUM(I7:I36)</f>
        <v>0</v>
      </c>
      <c r="J37" s="1577">
        <f>SUM(J7:J36)</f>
        <v>457.95441657579073</v>
      </c>
      <c r="K37" s="1576"/>
      <c r="L37" s="1578"/>
      <c r="M37" s="1579">
        <f>AVERAGE(M7:M36)</f>
        <v>33.34108333333333</v>
      </c>
    </row>
    <row r="38" spans="6:16" customFormat="1" ht="15.75" thickTop="1" x14ac:dyDescent="0.25">
      <c r="F38" s="1580"/>
      <c r="G38" s="1581"/>
      <c r="H38" s="1582"/>
      <c r="I38" s="1"/>
      <c r="J38" s="1"/>
      <c r="K38" s="1"/>
      <c r="L38" s="1"/>
      <c r="M38" s="1"/>
    </row>
    <row r="39" spans="6:16" s="16" customFormat="1" x14ac:dyDescent="0.25">
      <c r="G39" s="1583" t="s">
        <v>736</v>
      </c>
    </row>
    <row r="40" spans="6:16" s="16" customFormat="1" x14ac:dyDescent="0.25">
      <c r="G40" s="16" t="s">
        <v>737</v>
      </c>
      <c r="I40" s="1559">
        <v>0</v>
      </c>
      <c r="J40" s="16" t="s">
        <v>738</v>
      </c>
      <c r="P40" s="1584"/>
    </row>
    <row r="41" spans="6:16" s="16" customFormat="1" x14ac:dyDescent="0.25">
      <c r="G41" s="16" t="s">
        <v>739</v>
      </c>
      <c r="I41" s="1559">
        <v>0</v>
      </c>
      <c r="J41" s="16" t="s">
        <v>738</v>
      </c>
    </row>
    <row r="42" spans="6:16" s="16" customFormat="1" x14ac:dyDescent="0.25">
      <c r="G42" s="16" t="s">
        <v>740</v>
      </c>
      <c r="I42" s="1559">
        <v>0</v>
      </c>
      <c r="J42" s="16" t="s">
        <v>738</v>
      </c>
    </row>
    <row r="43" spans="6:16" s="16" customFormat="1" x14ac:dyDescent="0.25">
      <c r="G43" s="16" t="s">
        <v>787</v>
      </c>
      <c r="I43" s="1559">
        <f>SUM(J7,J8,J9,J10,J11,J12,J13,J14,J15,J16,J17,J18,J19,J20,J21,J23,J24,J25,J26,J27,J31,J32,J33,J34,J35,J36)</f>
        <v>361.99380588876772</v>
      </c>
      <c r="J43" s="16" t="s">
        <v>738</v>
      </c>
    </row>
    <row r="44" spans="6:16" s="16" customFormat="1" x14ac:dyDescent="0.25">
      <c r="G44" s="16" t="s">
        <v>742</v>
      </c>
      <c r="I44" s="1585"/>
      <c r="J44" s="16" t="s">
        <v>738</v>
      </c>
    </row>
    <row r="45" spans="6:16" s="16" customFormat="1" x14ac:dyDescent="0.25">
      <c r="G45" s="16" t="s">
        <v>743</v>
      </c>
      <c r="I45" s="1585">
        <v>0</v>
      </c>
      <c r="J45" s="16" t="s">
        <v>738</v>
      </c>
    </row>
    <row r="46" spans="6:16" s="16" customFormat="1" x14ac:dyDescent="0.25">
      <c r="G46" s="16" t="s">
        <v>744</v>
      </c>
      <c r="I46" s="1585">
        <v>0</v>
      </c>
      <c r="J46" s="16" t="s">
        <v>738</v>
      </c>
    </row>
    <row r="47" spans="6:16" s="16" customFormat="1" x14ac:dyDescent="0.25">
      <c r="G47" s="16" t="s">
        <v>788</v>
      </c>
      <c r="I47" s="1585">
        <v>0</v>
      </c>
      <c r="J47" s="16" t="s">
        <v>738</v>
      </c>
    </row>
    <row r="48" spans="6:16" s="16" customFormat="1" x14ac:dyDescent="0.25">
      <c r="G48" s="16" t="s">
        <v>789</v>
      </c>
      <c r="I48" s="1585">
        <v>0</v>
      </c>
      <c r="J48" s="16" t="s">
        <v>738</v>
      </c>
    </row>
    <row r="49" spans="7:13" s="16" customFormat="1" x14ac:dyDescent="0.25">
      <c r="G49" s="16" t="s">
        <v>790</v>
      </c>
      <c r="I49" s="1585">
        <v>0</v>
      </c>
      <c r="J49" s="16" t="s">
        <v>738</v>
      </c>
    </row>
    <row r="50" spans="7:13" s="16" customFormat="1" x14ac:dyDescent="0.25">
      <c r="G50" s="16" t="s">
        <v>791</v>
      </c>
      <c r="I50" s="1559">
        <f>SUM(J22,J28,J29,J30)</f>
        <v>95.960610687022893</v>
      </c>
      <c r="J50" s="16" t="s">
        <v>738</v>
      </c>
    </row>
    <row r="51" spans="7:13" ht="15" x14ac:dyDescent="0.25">
      <c r="G51" s="1756" t="s">
        <v>1</v>
      </c>
      <c r="H51" s="1756"/>
      <c r="I51" s="1586">
        <f>SUM(I40:I50)</f>
        <v>457.95441657579062</v>
      </c>
      <c r="J51" s="2" t="s">
        <v>738</v>
      </c>
      <c r="K51" s="2"/>
      <c r="L51" s="2"/>
      <c r="M51" s="2"/>
    </row>
    <row r="52" spans="7:13" x14ac:dyDescent="0.2">
      <c r="G52" s="1745" t="s">
        <v>792</v>
      </c>
      <c r="H52" s="1745"/>
    </row>
  </sheetData>
  <mergeCells count="7">
    <mergeCell ref="G52:H52"/>
    <mergeCell ref="F2:K2"/>
    <mergeCell ref="F5:F6"/>
    <mergeCell ref="G5:G6"/>
    <mergeCell ref="H5:H6"/>
    <mergeCell ref="I5:K5"/>
    <mergeCell ref="G51:H51"/>
  </mergeCells>
  <pageMargins left="0.7" right="0.7" top="0.75" bottom="0.75" header="0.3" footer="0.3"/>
  <pageSetup scale="8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2CCB-A497-4EE8-973F-06105273C1AF}">
  <dimension ref="F2:AS55"/>
  <sheetViews>
    <sheetView zoomScaleNormal="100" workbookViewId="0">
      <selection activeCell="BB39" sqref="BB39"/>
    </sheetView>
  </sheetViews>
  <sheetFormatPr defaultColWidth="9" defaultRowHeight="14.25" x14ac:dyDescent="0.2"/>
  <cols>
    <col min="1" max="4" width="9" style="1"/>
    <col min="5" max="5" width="6.5703125" style="1" customWidth="1"/>
    <col min="6" max="6" width="11.5703125" style="1" customWidth="1"/>
    <col min="7" max="7" width="16.42578125" style="1" customWidth="1"/>
    <col min="8" max="8" width="52" style="1" customWidth="1"/>
    <col min="9" max="12" width="9.42578125" style="1" customWidth="1"/>
    <col min="13" max="13" width="9.42578125" style="1" hidden="1" customWidth="1"/>
    <col min="14" max="14" width="12" style="1" customWidth="1"/>
    <col min="15" max="45" width="9" style="1" hidden="1" customWidth="1"/>
    <col min="46" max="58" width="9" style="1"/>
    <col min="59" max="59" width="12.85546875" style="1" customWidth="1"/>
    <col min="60" max="60" width="119.5703125" style="1" customWidth="1"/>
    <col min="61" max="61" width="6.42578125" style="1" customWidth="1"/>
    <col min="62" max="62" width="5.85546875" style="1" customWidth="1"/>
    <col min="63" max="63" width="13.42578125" style="1" customWidth="1"/>
    <col min="64" max="64" width="10.85546875" style="1" customWidth="1"/>
    <col min="65" max="65" width="9.42578125" style="1" customWidth="1"/>
    <col min="66" max="314" width="9" style="1"/>
    <col min="315" max="315" width="12.85546875" style="1" customWidth="1"/>
    <col min="316" max="316" width="119.5703125" style="1" customWidth="1"/>
    <col min="317" max="317" width="6.42578125" style="1" customWidth="1"/>
    <col min="318" max="318" width="5.85546875" style="1" customWidth="1"/>
    <col min="319" max="319" width="13.42578125" style="1" customWidth="1"/>
    <col min="320" max="320" width="10.85546875" style="1" customWidth="1"/>
    <col min="321" max="321" width="9.42578125" style="1" customWidth="1"/>
    <col min="322" max="570" width="9" style="1"/>
    <col min="571" max="571" width="12.85546875" style="1" customWidth="1"/>
    <col min="572" max="572" width="119.5703125" style="1" customWidth="1"/>
    <col min="573" max="573" width="6.42578125" style="1" customWidth="1"/>
    <col min="574" max="574" width="5.85546875" style="1" customWidth="1"/>
    <col min="575" max="575" width="13.42578125" style="1" customWidth="1"/>
    <col min="576" max="576" width="10.85546875" style="1" customWidth="1"/>
    <col min="577" max="577" width="9.42578125" style="1" customWidth="1"/>
    <col min="578" max="826" width="9" style="1"/>
    <col min="827" max="827" width="12.85546875" style="1" customWidth="1"/>
    <col min="828" max="828" width="119.5703125" style="1" customWidth="1"/>
    <col min="829" max="829" width="6.42578125" style="1" customWidth="1"/>
    <col min="830" max="830" width="5.85546875" style="1" customWidth="1"/>
    <col min="831" max="831" width="13.42578125" style="1" customWidth="1"/>
    <col min="832" max="832" width="10.85546875" style="1" customWidth="1"/>
    <col min="833" max="833" width="9.42578125" style="1" customWidth="1"/>
    <col min="834" max="1082" width="9" style="1"/>
    <col min="1083" max="1083" width="12.85546875" style="1" customWidth="1"/>
    <col min="1084" max="1084" width="119.5703125" style="1" customWidth="1"/>
    <col min="1085" max="1085" width="6.42578125" style="1" customWidth="1"/>
    <col min="1086" max="1086" width="5.85546875" style="1" customWidth="1"/>
    <col min="1087" max="1087" width="13.42578125" style="1" customWidth="1"/>
    <col min="1088" max="1088" width="10.85546875" style="1" customWidth="1"/>
    <col min="1089" max="1089" width="9.42578125" style="1" customWidth="1"/>
    <col min="1090" max="1338" width="9" style="1"/>
    <col min="1339" max="1339" width="12.85546875" style="1" customWidth="1"/>
    <col min="1340" max="1340" width="119.5703125" style="1" customWidth="1"/>
    <col min="1341" max="1341" width="6.42578125" style="1" customWidth="1"/>
    <col min="1342" max="1342" width="5.85546875" style="1" customWidth="1"/>
    <col min="1343" max="1343" width="13.42578125" style="1" customWidth="1"/>
    <col min="1344" max="1344" width="10.85546875" style="1" customWidth="1"/>
    <col min="1345" max="1345" width="9.42578125" style="1" customWidth="1"/>
    <col min="1346" max="1594" width="9" style="1"/>
    <col min="1595" max="1595" width="12.85546875" style="1" customWidth="1"/>
    <col min="1596" max="1596" width="119.5703125" style="1" customWidth="1"/>
    <col min="1597" max="1597" width="6.42578125" style="1" customWidth="1"/>
    <col min="1598" max="1598" width="5.85546875" style="1" customWidth="1"/>
    <col min="1599" max="1599" width="13.42578125" style="1" customWidth="1"/>
    <col min="1600" max="1600" width="10.85546875" style="1" customWidth="1"/>
    <col min="1601" max="1601" width="9.42578125" style="1" customWidth="1"/>
    <col min="1602" max="1850" width="9" style="1"/>
    <col min="1851" max="1851" width="12.85546875" style="1" customWidth="1"/>
    <col min="1852" max="1852" width="119.5703125" style="1" customWidth="1"/>
    <col min="1853" max="1853" width="6.42578125" style="1" customWidth="1"/>
    <col min="1854" max="1854" width="5.85546875" style="1" customWidth="1"/>
    <col min="1855" max="1855" width="13.42578125" style="1" customWidth="1"/>
    <col min="1856" max="1856" width="10.85546875" style="1" customWidth="1"/>
    <col min="1857" max="1857" width="9.42578125" style="1" customWidth="1"/>
    <col min="1858" max="2106" width="9" style="1"/>
    <col min="2107" max="2107" width="12.85546875" style="1" customWidth="1"/>
    <col min="2108" max="2108" width="119.5703125" style="1" customWidth="1"/>
    <col min="2109" max="2109" width="6.42578125" style="1" customWidth="1"/>
    <col min="2110" max="2110" width="5.85546875" style="1" customWidth="1"/>
    <col min="2111" max="2111" width="13.42578125" style="1" customWidth="1"/>
    <col min="2112" max="2112" width="10.85546875" style="1" customWidth="1"/>
    <col min="2113" max="2113" width="9.42578125" style="1" customWidth="1"/>
    <col min="2114" max="2362" width="9" style="1"/>
    <col min="2363" max="2363" width="12.85546875" style="1" customWidth="1"/>
    <col min="2364" max="2364" width="119.5703125" style="1" customWidth="1"/>
    <col min="2365" max="2365" width="6.42578125" style="1" customWidth="1"/>
    <col min="2366" max="2366" width="5.85546875" style="1" customWidth="1"/>
    <col min="2367" max="2367" width="13.42578125" style="1" customWidth="1"/>
    <col min="2368" max="2368" width="10.85546875" style="1" customWidth="1"/>
    <col min="2369" max="2369" width="9.42578125" style="1" customWidth="1"/>
    <col min="2370" max="2618" width="9" style="1"/>
    <col min="2619" max="2619" width="12.85546875" style="1" customWidth="1"/>
    <col min="2620" max="2620" width="119.5703125" style="1" customWidth="1"/>
    <col min="2621" max="2621" width="6.42578125" style="1" customWidth="1"/>
    <col min="2622" max="2622" width="5.85546875" style="1" customWidth="1"/>
    <col min="2623" max="2623" width="13.42578125" style="1" customWidth="1"/>
    <col min="2624" max="2624" width="10.85546875" style="1" customWidth="1"/>
    <col min="2625" max="2625" width="9.42578125" style="1" customWidth="1"/>
    <col min="2626" max="2874" width="9" style="1"/>
    <col min="2875" max="2875" width="12.85546875" style="1" customWidth="1"/>
    <col min="2876" max="2876" width="119.5703125" style="1" customWidth="1"/>
    <col min="2877" max="2877" width="6.42578125" style="1" customWidth="1"/>
    <col min="2878" max="2878" width="5.85546875" style="1" customWidth="1"/>
    <col min="2879" max="2879" width="13.42578125" style="1" customWidth="1"/>
    <col min="2880" max="2880" width="10.85546875" style="1" customWidth="1"/>
    <col min="2881" max="2881" width="9.42578125" style="1" customWidth="1"/>
    <col min="2882" max="3130" width="9" style="1"/>
    <col min="3131" max="3131" width="12.85546875" style="1" customWidth="1"/>
    <col min="3132" max="3132" width="119.5703125" style="1" customWidth="1"/>
    <col min="3133" max="3133" width="6.42578125" style="1" customWidth="1"/>
    <col min="3134" max="3134" width="5.85546875" style="1" customWidth="1"/>
    <col min="3135" max="3135" width="13.42578125" style="1" customWidth="1"/>
    <col min="3136" max="3136" width="10.85546875" style="1" customWidth="1"/>
    <col min="3137" max="3137" width="9.42578125" style="1" customWidth="1"/>
    <col min="3138" max="3386" width="9" style="1"/>
    <col min="3387" max="3387" width="12.85546875" style="1" customWidth="1"/>
    <col min="3388" max="3388" width="119.5703125" style="1" customWidth="1"/>
    <col min="3389" max="3389" width="6.42578125" style="1" customWidth="1"/>
    <col min="3390" max="3390" width="5.85546875" style="1" customWidth="1"/>
    <col min="3391" max="3391" width="13.42578125" style="1" customWidth="1"/>
    <col min="3392" max="3392" width="10.85546875" style="1" customWidth="1"/>
    <col min="3393" max="3393" width="9.42578125" style="1" customWidth="1"/>
    <col min="3394" max="3642" width="9" style="1"/>
    <col min="3643" max="3643" width="12.85546875" style="1" customWidth="1"/>
    <col min="3644" max="3644" width="119.5703125" style="1" customWidth="1"/>
    <col min="3645" max="3645" width="6.42578125" style="1" customWidth="1"/>
    <col min="3646" max="3646" width="5.85546875" style="1" customWidth="1"/>
    <col min="3647" max="3647" width="13.42578125" style="1" customWidth="1"/>
    <col min="3648" max="3648" width="10.85546875" style="1" customWidth="1"/>
    <col min="3649" max="3649" width="9.42578125" style="1" customWidth="1"/>
    <col min="3650" max="3898" width="9" style="1"/>
    <col min="3899" max="3899" width="12.85546875" style="1" customWidth="1"/>
    <col min="3900" max="3900" width="119.5703125" style="1" customWidth="1"/>
    <col min="3901" max="3901" width="6.42578125" style="1" customWidth="1"/>
    <col min="3902" max="3902" width="5.85546875" style="1" customWidth="1"/>
    <col min="3903" max="3903" width="13.42578125" style="1" customWidth="1"/>
    <col min="3904" max="3904" width="10.85546875" style="1" customWidth="1"/>
    <col min="3905" max="3905" width="9.42578125" style="1" customWidth="1"/>
    <col min="3906" max="4154" width="9" style="1"/>
    <col min="4155" max="4155" width="12.85546875" style="1" customWidth="1"/>
    <col min="4156" max="4156" width="119.5703125" style="1" customWidth="1"/>
    <col min="4157" max="4157" width="6.42578125" style="1" customWidth="1"/>
    <col min="4158" max="4158" width="5.85546875" style="1" customWidth="1"/>
    <col min="4159" max="4159" width="13.42578125" style="1" customWidth="1"/>
    <col min="4160" max="4160" width="10.85546875" style="1" customWidth="1"/>
    <col min="4161" max="4161" width="9.42578125" style="1" customWidth="1"/>
    <col min="4162" max="4410" width="9" style="1"/>
    <col min="4411" max="4411" width="12.85546875" style="1" customWidth="1"/>
    <col min="4412" max="4412" width="119.5703125" style="1" customWidth="1"/>
    <col min="4413" max="4413" width="6.42578125" style="1" customWidth="1"/>
    <col min="4414" max="4414" width="5.85546875" style="1" customWidth="1"/>
    <col min="4415" max="4415" width="13.42578125" style="1" customWidth="1"/>
    <col min="4416" max="4416" width="10.85546875" style="1" customWidth="1"/>
    <col min="4417" max="4417" width="9.42578125" style="1" customWidth="1"/>
    <col min="4418" max="4666" width="9" style="1"/>
    <col min="4667" max="4667" width="12.85546875" style="1" customWidth="1"/>
    <col min="4668" max="4668" width="119.5703125" style="1" customWidth="1"/>
    <col min="4669" max="4669" width="6.42578125" style="1" customWidth="1"/>
    <col min="4670" max="4670" width="5.85546875" style="1" customWidth="1"/>
    <col min="4671" max="4671" width="13.42578125" style="1" customWidth="1"/>
    <col min="4672" max="4672" width="10.85546875" style="1" customWidth="1"/>
    <col min="4673" max="4673" width="9.42578125" style="1" customWidth="1"/>
    <col min="4674" max="4922" width="9" style="1"/>
    <col min="4923" max="4923" width="12.85546875" style="1" customWidth="1"/>
    <col min="4924" max="4924" width="119.5703125" style="1" customWidth="1"/>
    <col min="4925" max="4925" width="6.42578125" style="1" customWidth="1"/>
    <col min="4926" max="4926" width="5.85546875" style="1" customWidth="1"/>
    <col min="4927" max="4927" width="13.42578125" style="1" customWidth="1"/>
    <col min="4928" max="4928" width="10.85546875" style="1" customWidth="1"/>
    <col min="4929" max="4929" width="9.42578125" style="1" customWidth="1"/>
    <col min="4930" max="5178" width="9" style="1"/>
    <col min="5179" max="5179" width="12.85546875" style="1" customWidth="1"/>
    <col min="5180" max="5180" width="119.5703125" style="1" customWidth="1"/>
    <col min="5181" max="5181" width="6.42578125" style="1" customWidth="1"/>
    <col min="5182" max="5182" width="5.85546875" style="1" customWidth="1"/>
    <col min="5183" max="5183" width="13.42578125" style="1" customWidth="1"/>
    <col min="5184" max="5184" width="10.85546875" style="1" customWidth="1"/>
    <col min="5185" max="5185" width="9.42578125" style="1" customWidth="1"/>
    <col min="5186" max="5434" width="9" style="1"/>
    <col min="5435" max="5435" width="12.85546875" style="1" customWidth="1"/>
    <col min="5436" max="5436" width="119.5703125" style="1" customWidth="1"/>
    <col min="5437" max="5437" width="6.42578125" style="1" customWidth="1"/>
    <col min="5438" max="5438" width="5.85546875" style="1" customWidth="1"/>
    <col min="5439" max="5439" width="13.42578125" style="1" customWidth="1"/>
    <col min="5440" max="5440" width="10.85546875" style="1" customWidth="1"/>
    <col min="5441" max="5441" width="9.42578125" style="1" customWidth="1"/>
    <col min="5442" max="5690" width="9" style="1"/>
    <col min="5691" max="5691" width="12.85546875" style="1" customWidth="1"/>
    <col min="5692" max="5692" width="119.5703125" style="1" customWidth="1"/>
    <col min="5693" max="5693" width="6.42578125" style="1" customWidth="1"/>
    <col min="5694" max="5694" width="5.85546875" style="1" customWidth="1"/>
    <col min="5695" max="5695" width="13.42578125" style="1" customWidth="1"/>
    <col min="5696" max="5696" width="10.85546875" style="1" customWidth="1"/>
    <col min="5697" max="5697" width="9.42578125" style="1" customWidth="1"/>
    <col min="5698" max="5946" width="9" style="1"/>
    <col min="5947" max="5947" width="12.85546875" style="1" customWidth="1"/>
    <col min="5948" max="5948" width="119.5703125" style="1" customWidth="1"/>
    <col min="5949" max="5949" width="6.42578125" style="1" customWidth="1"/>
    <col min="5950" max="5950" width="5.85546875" style="1" customWidth="1"/>
    <col min="5951" max="5951" width="13.42578125" style="1" customWidth="1"/>
    <col min="5952" max="5952" width="10.85546875" style="1" customWidth="1"/>
    <col min="5953" max="5953" width="9.42578125" style="1" customWidth="1"/>
    <col min="5954" max="6202" width="9" style="1"/>
    <col min="6203" max="6203" width="12.85546875" style="1" customWidth="1"/>
    <col min="6204" max="6204" width="119.5703125" style="1" customWidth="1"/>
    <col min="6205" max="6205" width="6.42578125" style="1" customWidth="1"/>
    <col min="6206" max="6206" width="5.85546875" style="1" customWidth="1"/>
    <col min="6207" max="6207" width="13.42578125" style="1" customWidth="1"/>
    <col min="6208" max="6208" width="10.85546875" style="1" customWidth="1"/>
    <col min="6209" max="6209" width="9.42578125" style="1" customWidth="1"/>
    <col min="6210" max="6458" width="9" style="1"/>
    <col min="6459" max="6459" width="12.85546875" style="1" customWidth="1"/>
    <col min="6460" max="6460" width="119.5703125" style="1" customWidth="1"/>
    <col min="6461" max="6461" width="6.42578125" style="1" customWidth="1"/>
    <col min="6462" max="6462" width="5.85546875" style="1" customWidth="1"/>
    <col min="6463" max="6463" width="13.42578125" style="1" customWidth="1"/>
    <col min="6464" max="6464" width="10.85546875" style="1" customWidth="1"/>
    <col min="6465" max="6465" width="9.42578125" style="1" customWidth="1"/>
    <col min="6466" max="6714" width="9" style="1"/>
    <col min="6715" max="6715" width="12.85546875" style="1" customWidth="1"/>
    <col min="6716" max="6716" width="119.5703125" style="1" customWidth="1"/>
    <col min="6717" max="6717" width="6.42578125" style="1" customWidth="1"/>
    <col min="6718" max="6718" width="5.85546875" style="1" customWidth="1"/>
    <col min="6719" max="6719" width="13.42578125" style="1" customWidth="1"/>
    <col min="6720" max="6720" width="10.85546875" style="1" customWidth="1"/>
    <col min="6721" max="6721" width="9.42578125" style="1" customWidth="1"/>
    <col min="6722" max="6970" width="9" style="1"/>
    <col min="6971" max="6971" width="12.85546875" style="1" customWidth="1"/>
    <col min="6972" max="6972" width="119.5703125" style="1" customWidth="1"/>
    <col min="6973" max="6973" width="6.42578125" style="1" customWidth="1"/>
    <col min="6974" max="6974" width="5.85546875" style="1" customWidth="1"/>
    <col min="6975" max="6975" width="13.42578125" style="1" customWidth="1"/>
    <col min="6976" max="6976" width="10.85546875" style="1" customWidth="1"/>
    <col min="6977" max="6977" width="9.42578125" style="1" customWidth="1"/>
    <col min="6978" max="7226" width="9" style="1"/>
    <col min="7227" max="7227" width="12.85546875" style="1" customWidth="1"/>
    <col min="7228" max="7228" width="119.5703125" style="1" customWidth="1"/>
    <col min="7229" max="7229" width="6.42578125" style="1" customWidth="1"/>
    <col min="7230" max="7230" width="5.85546875" style="1" customWidth="1"/>
    <col min="7231" max="7231" width="13.42578125" style="1" customWidth="1"/>
    <col min="7232" max="7232" width="10.85546875" style="1" customWidth="1"/>
    <col min="7233" max="7233" width="9.42578125" style="1" customWidth="1"/>
    <col min="7234" max="7482" width="9" style="1"/>
    <col min="7483" max="7483" width="12.85546875" style="1" customWidth="1"/>
    <col min="7484" max="7484" width="119.5703125" style="1" customWidth="1"/>
    <col min="7485" max="7485" width="6.42578125" style="1" customWidth="1"/>
    <col min="7486" max="7486" width="5.85546875" style="1" customWidth="1"/>
    <col min="7487" max="7487" width="13.42578125" style="1" customWidth="1"/>
    <col min="7488" max="7488" width="10.85546875" style="1" customWidth="1"/>
    <col min="7489" max="7489" width="9.42578125" style="1" customWidth="1"/>
    <col min="7490" max="7738" width="9" style="1"/>
    <col min="7739" max="7739" width="12.85546875" style="1" customWidth="1"/>
    <col min="7740" max="7740" width="119.5703125" style="1" customWidth="1"/>
    <col min="7741" max="7741" width="6.42578125" style="1" customWidth="1"/>
    <col min="7742" max="7742" width="5.85546875" style="1" customWidth="1"/>
    <col min="7743" max="7743" width="13.42578125" style="1" customWidth="1"/>
    <col min="7744" max="7744" width="10.85546875" style="1" customWidth="1"/>
    <col min="7745" max="7745" width="9.42578125" style="1" customWidth="1"/>
    <col min="7746" max="7994" width="9" style="1"/>
    <col min="7995" max="7995" width="12.85546875" style="1" customWidth="1"/>
    <col min="7996" max="7996" width="119.5703125" style="1" customWidth="1"/>
    <col min="7997" max="7997" width="6.42578125" style="1" customWidth="1"/>
    <col min="7998" max="7998" width="5.85546875" style="1" customWidth="1"/>
    <col min="7999" max="7999" width="13.42578125" style="1" customWidth="1"/>
    <col min="8000" max="8000" width="10.85546875" style="1" customWidth="1"/>
    <col min="8001" max="8001" width="9.42578125" style="1" customWidth="1"/>
    <col min="8002" max="8250" width="9" style="1"/>
    <col min="8251" max="8251" width="12.85546875" style="1" customWidth="1"/>
    <col min="8252" max="8252" width="119.5703125" style="1" customWidth="1"/>
    <col min="8253" max="8253" width="6.42578125" style="1" customWidth="1"/>
    <col min="8254" max="8254" width="5.85546875" style="1" customWidth="1"/>
    <col min="8255" max="8255" width="13.42578125" style="1" customWidth="1"/>
    <col min="8256" max="8256" width="10.85546875" style="1" customWidth="1"/>
    <col min="8257" max="8257" width="9.42578125" style="1" customWidth="1"/>
    <col min="8258" max="8506" width="9" style="1"/>
    <col min="8507" max="8507" width="12.85546875" style="1" customWidth="1"/>
    <col min="8508" max="8508" width="119.5703125" style="1" customWidth="1"/>
    <col min="8509" max="8509" width="6.42578125" style="1" customWidth="1"/>
    <col min="8510" max="8510" width="5.85546875" style="1" customWidth="1"/>
    <col min="8511" max="8511" width="13.42578125" style="1" customWidth="1"/>
    <col min="8512" max="8512" width="10.85546875" style="1" customWidth="1"/>
    <col min="8513" max="8513" width="9.42578125" style="1" customWidth="1"/>
    <col min="8514" max="8762" width="9" style="1"/>
    <col min="8763" max="8763" width="12.85546875" style="1" customWidth="1"/>
    <col min="8764" max="8764" width="119.5703125" style="1" customWidth="1"/>
    <col min="8765" max="8765" width="6.42578125" style="1" customWidth="1"/>
    <col min="8766" max="8766" width="5.85546875" style="1" customWidth="1"/>
    <col min="8767" max="8767" width="13.42578125" style="1" customWidth="1"/>
    <col min="8768" max="8768" width="10.85546875" style="1" customWidth="1"/>
    <col min="8769" max="8769" width="9.42578125" style="1" customWidth="1"/>
    <col min="8770" max="9018" width="9" style="1"/>
    <col min="9019" max="9019" width="12.85546875" style="1" customWidth="1"/>
    <col min="9020" max="9020" width="119.5703125" style="1" customWidth="1"/>
    <col min="9021" max="9021" width="6.42578125" style="1" customWidth="1"/>
    <col min="9022" max="9022" width="5.85546875" style="1" customWidth="1"/>
    <col min="9023" max="9023" width="13.42578125" style="1" customWidth="1"/>
    <col min="9024" max="9024" width="10.85546875" style="1" customWidth="1"/>
    <col min="9025" max="9025" width="9.42578125" style="1" customWidth="1"/>
    <col min="9026" max="9274" width="9" style="1"/>
    <col min="9275" max="9275" width="12.85546875" style="1" customWidth="1"/>
    <col min="9276" max="9276" width="119.5703125" style="1" customWidth="1"/>
    <col min="9277" max="9277" width="6.42578125" style="1" customWidth="1"/>
    <col min="9278" max="9278" width="5.85546875" style="1" customWidth="1"/>
    <col min="9279" max="9279" width="13.42578125" style="1" customWidth="1"/>
    <col min="9280" max="9280" width="10.85546875" style="1" customWidth="1"/>
    <col min="9281" max="9281" width="9.42578125" style="1" customWidth="1"/>
    <col min="9282" max="9530" width="9" style="1"/>
    <col min="9531" max="9531" width="12.85546875" style="1" customWidth="1"/>
    <col min="9532" max="9532" width="119.5703125" style="1" customWidth="1"/>
    <col min="9533" max="9533" width="6.42578125" style="1" customWidth="1"/>
    <col min="9534" max="9534" width="5.85546875" style="1" customWidth="1"/>
    <col min="9535" max="9535" width="13.42578125" style="1" customWidth="1"/>
    <col min="9536" max="9536" width="10.85546875" style="1" customWidth="1"/>
    <col min="9537" max="9537" width="9.42578125" style="1" customWidth="1"/>
    <col min="9538" max="9786" width="9" style="1"/>
    <col min="9787" max="9787" width="12.85546875" style="1" customWidth="1"/>
    <col min="9788" max="9788" width="119.5703125" style="1" customWidth="1"/>
    <col min="9789" max="9789" width="6.42578125" style="1" customWidth="1"/>
    <col min="9790" max="9790" width="5.85546875" style="1" customWidth="1"/>
    <col min="9791" max="9791" width="13.42578125" style="1" customWidth="1"/>
    <col min="9792" max="9792" width="10.85546875" style="1" customWidth="1"/>
    <col min="9793" max="9793" width="9.42578125" style="1" customWidth="1"/>
    <col min="9794" max="10042" width="9" style="1"/>
    <col min="10043" max="10043" width="12.85546875" style="1" customWidth="1"/>
    <col min="10044" max="10044" width="119.5703125" style="1" customWidth="1"/>
    <col min="10045" max="10045" width="6.42578125" style="1" customWidth="1"/>
    <col min="10046" max="10046" width="5.85546875" style="1" customWidth="1"/>
    <col min="10047" max="10047" width="13.42578125" style="1" customWidth="1"/>
    <col min="10048" max="10048" width="10.85546875" style="1" customWidth="1"/>
    <col min="10049" max="10049" width="9.42578125" style="1" customWidth="1"/>
    <col min="10050" max="10298" width="9" style="1"/>
    <col min="10299" max="10299" width="12.85546875" style="1" customWidth="1"/>
    <col min="10300" max="10300" width="119.5703125" style="1" customWidth="1"/>
    <col min="10301" max="10301" width="6.42578125" style="1" customWidth="1"/>
    <col min="10302" max="10302" width="5.85546875" style="1" customWidth="1"/>
    <col min="10303" max="10303" width="13.42578125" style="1" customWidth="1"/>
    <col min="10304" max="10304" width="10.85546875" style="1" customWidth="1"/>
    <col min="10305" max="10305" width="9.42578125" style="1" customWidth="1"/>
    <col min="10306" max="10554" width="9" style="1"/>
    <col min="10555" max="10555" width="12.85546875" style="1" customWidth="1"/>
    <col min="10556" max="10556" width="119.5703125" style="1" customWidth="1"/>
    <col min="10557" max="10557" width="6.42578125" style="1" customWidth="1"/>
    <col min="10558" max="10558" width="5.85546875" style="1" customWidth="1"/>
    <col min="10559" max="10559" width="13.42578125" style="1" customWidth="1"/>
    <col min="10560" max="10560" width="10.85546875" style="1" customWidth="1"/>
    <col min="10561" max="10561" width="9.42578125" style="1" customWidth="1"/>
    <col min="10562" max="10810" width="9" style="1"/>
    <col min="10811" max="10811" width="12.85546875" style="1" customWidth="1"/>
    <col min="10812" max="10812" width="119.5703125" style="1" customWidth="1"/>
    <col min="10813" max="10813" width="6.42578125" style="1" customWidth="1"/>
    <col min="10814" max="10814" width="5.85546875" style="1" customWidth="1"/>
    <col min="10815" max="10815" width="13.42578125" style="1" customWidth="1"/>
    <col min="10816" max="10816" width="10.85546875" style="1" customWidth="1"/>
    <col min="10817" max="10817" width="9.42578125" style="1" customWidth="1"/>
    <col min="10818" max="11066" width="9" style="1"/>
    <col min="11067" max="11067" width="12.85546875" style="1" customWidth="1"/>
    <col min="11068" max="11068" width="119.5703125" style="1" customWidth="1"/>
    <col min="11069" max="11069" width="6.42578125" style="1" customWidth="1"/>
    <col min="11070" max="11070" width="5.85546875" style="1" customWidth="1"/>
    <col min="11071" max="11071" width="13.42578125" style="1" customWidth="1"/>
    <col min="11072" max="11072" width="10.85546875" style="1" customWidth="1"/>
    <col min="11073" max="11073" width="9.42578125" style="1" customWidth="1"/>
    <col min="11074" max="11322" width="9" style="1"/>
    <col min="11323" max="11323" width="12.85546875" style="1" customWidth="1"/>
    <col min="11324" max="11324" width="119.5703125" style="1" customWidth="1"/>
    <col min="11325" max="11325" width="6.42578125" style="1" customWidth="1"/>
    <col min="11326" max="11326" width="5.85546875" style="1" customWidth="1"/>
    <col min="11327" max="11327" width="13.42578125" style="1" customWidth="1"/>
    <col min="11328" max="11328" width="10.85546875" style="1" customWidth="1"/>
    <col min="11329" max="11329" width="9.42578125" style="1" customWidth="1"/>
    <col min="11330" max="11578" width="9" style="1"/>
    <col min="11579" max="11579" width="12.85546875" style="1" customWidth="1"/>
    <col min="11580" max="11580" width="119.5703125" style="1" customWidth="1"/>
    <col min="11581" max="11581" width="6.42578125" style="1" customWidth="1"/>
    <col min="11582" max="11582" width="5.85546875" style="1" customWidth="1"/>
    <col min="11583" max="11583" width="13.42578125" style="1" customWidth="1"/>
    <col min="11584" max="11584" width="10.85546875" style="1" customWidth="1"/>
    <col min="11585" max="11585" width="9.42578125" style="1" customWidth="1"/>
    <col min="11586" max="11834" width="9" style="1"/>
    <col min="11835" max="11835" width="12.85546875" style="1" customWidth="1"/>
    <col min="11836" max="11836" width="119.5703125" style="1" customWidth="1"/>
    <col min="11837" max="11837" width="6.42578125" style="1" customWidth="1"/>
    <col min="11838" max="11838" width="5.85546875" style="1" customWidth="1"/>
    <col min="11839" max="11839" width="13.42578125" style="1" customWidth="1"/>
    <col min="11840" max="11840" width="10.85546875" style="1" customWidth="1"/>
    <col min="11841" max="11841" width="9.42578125" style="1" customWidth="1"/>
    <col min="11842" max="12090" width="9" style="1"/>
    <col min="12091" max="12091" width="12.85546875" style="1" customWidth="1"/>
    <col min="12092" max="12092" width="119.5703125" style="1" customWidth="1"/>
    <col min="12093" max="12093" width="6.42578125" style="1" customWidth="1"/>
    <col min="12094" max="12094" width="5.85546875" style="1" customWidth="1"/>
    <col min="12095" max="12095" width="13.42578125" style="1" customWidth="1"/>
    <col min="12096" max="12096" width="10.85546875" style="1" customWidth="1"/>
    <col min="12097" max="12097" width="9.42578125" style="1" customWidth="1"/>
    <col min="12098" max="12346" width="9" style="1"/>
    <col min="12347" max="12347" width="12.85546875" style="1" customWidth="1"/>
    <col min="12348" max="12348" width="119.5703125" style="1" customWidth="1"/>
    <col min="12349" max="12349" width="6.42578125" style="1" customWidth="1"/>
    <col min="12350" max="12350" width="5.85546875" style="1" customWidth="1"/>
    <col min="12351" max="12351" width="13.42578125" style="1" customWidth="1"/>
    <col min="12352" max="12352" width="10.85546875" style="1" customWidth="1"/>
    <col min="12353" max="12353" width="9.42578125" style="1" customWidth="1"/>
    <col min="12354" max="12602" width="9" style="1"/>
    <col min="12603" max="12603" width="12.85546875" style="1" customWidth="1"/>
    <col min="12604" max="12604" width="119.5703125" style="1" customWidth="1"/>
    <col min="12605" max="12605" width="6.42578125" style="1" customWidth="1"/>
    <col min="12606" max="12606" width="5.85546875" style="1" customWidth="1"/>
    <col min="12607" max="12607" width="13.42578125" style="1" customWidth="1"/>
    <col min="12608" max="12608" width="10.85546875" style="1" customWidth="1"/>
    <col min="12609" max="12609" width="9.42578125" style="1" customWidth="1"/>
    <col min="12610" max="12858" width="9" style="1"/>
    <col min="12859" max="12859" width="12.85546875" style="1" customWidth="1"/>
    <col min="12860" max="12860" width="119.5703125" style="1" customWidth="1"/>
    <col min="12861" max="12861" width="6.42578125" style="1" customWidth="1"/>
    <col min="12862" max="12862" width="5.85546875" style="1" customWidth="1"/>
    <col min="12863" max="12863" width="13.42578125" style="1" customWidth="1"/>
    <col min="12864" max="12864" width="10.85546875" style="1" customWidth="1"/>
    <col min="12865" max="12865" width="9.42578125" style="1" customWidth="1"/>
    <col min="12866" max="13114" width="9" style="1"/>
    <col min="13115" max="13115" width="12.85546875" style="1" customWidth="1"/>
    <col min="13116" max="13116" width="119.5703125" style="1" customWidth="1"/>
    <col min="13117" max="13117" width="6.42578125" style="1" customWidth="1"/>
    <col min="13118" max="13118" width="5.85546875" style="1" customWidth="1"/>
    <col min="13119" max="13119" width="13.42578125" style="1" customWidth="1"/>
    <col min="13120" max="13120" width="10.85546875" style="1" customWidth="1"/>
    <col min="13121" max="13121" width="9.42578125" style="1" customWidth="1"/>
    <col min="13122" max="13370" width="9" style="1"/>
    <col min="13371" max="13371" width="12.85546875" style="1" customWidth="1"/>
    <col min="13372" max="13372" width="119.5703125" style="1" customWidth="1"/>
    <col min="13373" max="13373" width="6.42578125" style="1" customWidth="1"/>
    <col min="13374" max="13374" width="5.85546875" style="1" customWidth="1"/>
    <col min="13375" max="13375" width="13.42578125" style="1" customWidth="1"/>
    <col min="13376" max="13376" width="10.85546875" style="1" customWidth="1"/>
    <col min="13377" max="13377" width="9.42578125" style="1" customWidth="1"/>
    <col min="13378" max="13626" width="9" style="1"/>
    <col min="13627" max="13627" width="12.85546875" style="1" customWidth="1"/>
    <col min="13628" max="13628" width="119.5703125" style="1" customWidth="1"/>
    <col min="13629" max="13629" width="6.42578125" style="1" customWidth="1"/>
    <col min="13630" max="13630" width="5.85546875" style="1" customWidth="1"/>
    <col min="13631" max="13631" width="13.42578125" style="1" customWidth="1"/>
    <col min="13632" max="13632" width="10.85546875" style="1" customWidth="1"/>
    <col min="13633" max="13633" width="9.42578125" style="1" customWidth="1"/>
    <col min="13634" max="13882" width="9" style="1"/>
    <col min="13883" max="13883" width="12.85546875" style="1" customWidth="1"/>
    <col min="13884" max="13884" width="119.5703125" style="1" customWidth="1"/>
    <col min="13885" max="13885" width="6.42578125" style="1" customWidth="1"/>
    <col min="13886" max="13886" width="5.85546875" style="1" customWidth="1"/>
    <col min="13887" max="13887" width="13.42578125" style="1" customWidth="1"/>
    <col min="13888" max="13888" width="10.85546875" style="1" customWidth="1"/>
    <col min="13889" max="13889" width="9.42578125" style="1" customWidth="1"/>
    <col min="13890" max="14138" width="9" style="1"/>
    <col min="14139" max="14139" width="12.85546875" style="1" customWidth="1"/>
    <col min="14140" max="14140" width="119.5703125" style="1" customWidth="1"/>
    <col min="14141" max="14141" width="6.42578125" style="1" customWidth="1"/>
    <col min="14142" max="14142" width="5.85546875" style="1" customWidth="1"/>
    <col min="14143" max="14143" width="13.42578125" style="1" customWidth="1"/>
    <col min="14144" max="14144" width="10.85546875" style="1" customWidth="1"/>
    <col min="14145" max="14145" width="9.42578125" style="1" customWidth="1"/>
    <col min="14146" max="14394" width="9" style="1"/>
    <col min="14395" max="14395" width="12.85546875" style="1" customWidth="1"/>
    <col min="14396" max="14396" width="119.5703125" style="1" customWidth="1"/>
    <col min="14397" max="14397" width="6.42578125" style="1" customWidth="1"/>
    <col min="14398" max="14398" width="5.85546875" style="1" customWidth="1"/>
    <col min="14399" max="14399" width="13.42578125" style="1" customWidth="1"/>
    <col min="14400" max="14400" width="10.85546875" style="1" customWidth="1"/>
    <col min="14401" max="14401" width="9.42578125" style="1" customWidth="1"/>
    <col min="14402" max="14650" width="9" style="1"/>
    <col min="14651" max="14651" width="12.85546875" style="1" customWidth="1"/>
    <col min="14652" max="14652" width="119.5703125" style="1" customWidth="1"/>
    <col min="14653" max="14653" width="6.42578125" style="1" customWidth="1"/>
    <col min="14654" max="14654" width="5.85546875" style="1" customWidth="1"/>
    <col min="14655" max="14655" width="13.42578125" style="1" customWidth="1"/>
    <col min="14656" max="14656" width="10.85546875" style="1" customWidth="1"/>
    <col min="14657" max="14657" width="9.42578125" style="1" customWidth="1"/>
    <col min="14658" max="14906" width="9" style="1"/>
    <col min="14907" max="14907" width="12.85546875" style="1" customWidth="1"/>
    <col min="14908" max="14908" width="119.5703125" style="1" customWidth="1"/>
    <col min="14909" max="14909" width="6.42578125" style="1" customWidth="1"/>
    <col min="14910" max="14910" width="5.85546875" style="1" customWidth="1"/>
    <col min="14911" max="14911" width="13.42578125" style="1" customWidth="1"/>
    <col min="14912" max="14912" width="10.85546875" style="1" customWidth="1"/>
    <col min="14913" max="14913" width="9.42578125" style="1" customWidth="1"/>
    <col min="14914" max="15162" width="9" style="1"/>
    <col min="15163" max="15163" width="12.85546875" style="1" customWidth="1"/>
    <col min="15164" max="15164" width="119.5703125" style="1" customWidth="1"/>
    <col min="15165" max="15165" width="6.42578125" style="1" customWidth="1"/>
    <col min="15166" max="15166" width="5.85546875" style="1" customWidth="1"/>
    <col min="15167" max="15167" width="13.42578125" style="1" customWidth="1"/>
    <col min="15168" max="15168" width="10.85546875" style="1" customWidth="1"/>
    <col min="15169" max="15169" width="9.42578125" style="1" customWidth="1"/>
    <col min="15170" max="15418" width="9" style="1"/>
    <col min="15419" max="15419" width="12.85546875" style="1" customWidth="1"/>
    <col min="15420" max="15420" width="119.5703125" style="1" customWidth="1"/>
    <col min="15421" max="15421" width="6.42578125" style="1" customWidth="1"/>
    <col min="15422" max="15422" width="5.85546875" style="1" customWidth="1"/>
    <col min="15423" max="15423" width="13.42578125" style="1" customWidth="1"/>
    <col min="15424" max="15424" width="10.85546875" style="1" customWidth="1"/>
    <col min="15425" max="15425" width="9.42578125" style="1" customWidth="1"/>
    <col min="15426" max="15674" width="9" style="1"/>
    <col min="15675" max="15675" width="12.85546875" style="1" customWidth="1"/>
    <col min="15676" max="15676" width="119.5703125" style="1" customWidth="1"/>
    <col min="15677" max="15677" width="6.42578125" style="1" customWidth="1"/>
    <col min="15678" max="15678" width="5.85546875" style="1" customWidth="1"/>
    <col min="15679" max="15679" width="13.42578125" style="1" customWidth="1"/>
    <col min="15680" max="15680" width="10.85546875" style="1" customWidth="1"/>
    <col min="15681" max="15681" width="9.42578125" style="1" customWidth="1"/>
    <col min="15682" max="16384" width="9" style="1"/>
  </cols>
  <sheetData>
    <row r="2" spans="6:45" ht="20.25" customHeight="1" x14ac:dyDescent="0.2">
      <c r="F2" s="1746" t="s">
        <v>793</v>
      </c>
      <c r="G2" s="1746"/>
      <c r="H2" s="1746"/>
      <c r="I2" s="1746"/>
      <c r="J2" s="1746"/>
      <c r="K2" s="1746"/>
      <c r="L2" s="1544"/>
      <c r="M2" s="1544"/>
    </row>
    <row r="3" spans="6:45" s="16" customFormat="1" x14ac:dyDescent="0.25">
      <c r="F3" s="1545"/>
      <c r="G3" s="1546"/>
      <c r="H3" s="1547"/>
    </row>
    <row r="4" spans="6:45" s="16" customFormat="1" ht="15" thickBot="1" x14ac:dyDescent="0.3">
      <c r="F4" s="1548" t="s">
        <v>783</v>
      </c>
      <c r="G4" s="1546"/>
      <c r="H4" s="1547"/>
    </row>
    <row r="5" spans="6:45" s="16" customFormat="1" ht="15" customHeight="1" thickTop="1" thickBot="1" x14ac:dyDescent="0.3">
      <c r="F5" s="1747" t="s">
        <v>177</v>
      </c>
      <c r="G5" s="1749" t="s">
        <v>721</v>
      </c>
      <c r="H5" s="1751" t="s">
        <v>722</v>
      </c>
      <c r="I5" s="1753" t="s">
        <v>723</v>
      </c>
      <c r="J5" s="1754"/>
      <c r="K5" s="1755"/>
      <c r="L5" s="1550"/>
      <c r="M5" s="530" t="s">
        <v>724</v>
      </c>
    </row>
    <row r="6" spans="6:45" s="16" customFormat="1" ht="16.5" thickTop="1" thickBot="1" x14ac:dyDescent="0.3">
      <c r="F6" s="1748"/>
      <c r="G6" s="1750"/>
      <c r="H6" s="1752"/>
      <c r="I6" s="1551" t="s">
        <v>725</v>
      </c>
      <c r="J6" s="1552" t="s">
        <v>726</v>
      </c>
      <c r="K6" s="1551" t="s">
        <v>25</v>
      </c>
      <c r="L6" s="1550"/>
      <c r="M6" s="1550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6:45" s="16" customFormat="1" ht="15.75" thickTop="1" x14ac:dyDescent="0.25">
      <c r="F7" s="1553">
        <v>1</v>
      </c>
      <c r="G7" s="33">
        <v>921143</v>
      </c>
      <c r="H7" s="1555" t="s">
        <v>794</v>
      </c>
      <c r="I7" s="1556"/>
      <c r="J7" s="1556">
        <f>(2000-(G7/1000))/83.33</f>
        <v>12.946801872074882</v>
      </c>
      <c r="K7" s="1557">
        <f>G7/2000/1000</f>
        <v>0.46057150000000002</v>
      </c>
      <c r="L7" s="1558"/>
      <c r="M7" s="1559">
        <f>(G7/1000)/24</f>
        <v>38.380958333333332</v>
      </c>
      <c r="O7" s="1560">
        <f>249.262+270.9</f>
        <v>520.16200000000003</v>
      </c>
      <c r="P7" s="1561">
        <f>1356.367+39.742</f>
        <v>1396.1089999999999</v>
      </c>
      <c r="Q7" s="1561">
        <f>1086.521+50.6</f>
        <v>1137.1209999999999</v>
      </c>
      <c r="R7" s="1561">
        <f>1353.558+373.309</f>
        <v>1726.867</v>
      </c>
      <c r="S7" s="1560">
        <v>1942.7460000000001</v>
      </c>
      <c r="T7" s="1560">
        <v>1868.212</v>
      </c>
      <c r="U7" s="1560">
        <v>2057.011</v>
      </c>
      <c r="V7" s="1560">
        <v>1781.8440000000001</v>
      </c>
      <c r="W7" s="1562">
        <v>1250.7639999999999</v>
      </c>
      <c r="X7" s="1562">
        <v>1613.4860000000001</v>
      </c>
      <c r="Y7" s="1562">
        <v>1325.077</v>
      </c>
      <c r="Z7" s="1560">
        <f>66.442+571.568</f>
        <v>638.01</v>
      </c>
      <c r="AA7" s="1560">
        <f>815.429</f>
        <v>815.42899999999997</v>
      </c>
      <c r="AB7" s="1562">
        <f>352.234+731.627</f>
        <v>1083.8609999999999</v>
      </c>
      <c r="AC7" s="1560">
        <f>1626.002+13.213</f>
        <v>1639.2149999999999</v>
      </c>
      <c r="AD7" s="1560">
        <v>2094.7910000000002</v>
      </c>
      <c r="AE7" s="1562">
        <v>2075.375</v>
      </c>
      <c r="AF7" s="1562">
        <v>2008.8040000000001</v>
      </c>
      <c r="AG7" s="1562">
        <v>1946.712</v>
      </c>
      <c r="AH7" s="1562">
        <v>1998.9390000000001</v>
      </c>
      <c r="AI7" s="1560">
        <f>1623.839+281.468</f>
        <v>1905.307</v>
      </c>
      <c r="AJ7" s="1560">
        <v>1610.0239999999999</v>
      </c>
      <c r="AK7" s="1560">
        <f>1135.181+98.368</f>
        <v>1233.549</v>
      </c>
      <c r="AL7" s="1560">
        <f>958.893+543.852</f>
        <v>1502.7449999999999</v>
      </c>
      <c r="AM7" s="1560">
        <v>2043.15</v>
      </c>
      <c r="AN7" s="1560">
        <v>1762.6420000000001</v>
      </c>
      <c r="AO7" s="1560">
        <v>2170.3359999999998</v>
      </c>
      <c r="AP7" s="1560">
        <f>1181.38+463.711</f>
        <v>1645.0910000000001</v>
      </c>
      <c r="AQ7" s="1560">
        <v>219.47399999999999</v>
      </c>
      <c r="AR7" s="1560">
        <f>48.153+1225.968+107.3</f>
        <v>1381.421</v>
      </c>
      <c r="AS7" s="1560"/>
    </row>
    <row r="8" spans="6:45" s="16" customFormat="1" x14ac:dyDescent="0.2">
      <c r="F8" s="1563">
        <v>2</v>
      </c>
      <c r="G8" s="1571">
        <v>250811</v>
      </c>
      <c r="H8" s="1555" t="s">
        <v>794</v>
      </c>
      <c r="I8" s="1565"/>
      <c r="J8" s="1565">
        <f t="shared" ref="J8:J36" si="0">(2000-(G8/1000))/83.33</f>
        <v>20.991107644305774</v>
      </c>
      <c r="K8" s="1566">
        <f t="shared" ref="K8:K36" si="1">G8/2000/1000</f>
        <v>0.1254055</v>
      </c>
      <c r="L8" s="1558"/>
      <c r="M8" s="1559">
        <f t="shared" ref="M8:M36" si="2">(G8/1000)/24</f>
        <v>10.450458333333334</v>
      </c>
    </row>
    <row r="9" spans="6:45" s="16" customFormat="1" x14ac:dyDescent="0.2">
      <c r="F9" s="1567">
        <v>3</v>
      </c>
      <c r="G9" s="1571">
        <v>519670</v>
      </c>
      <c r="H9" s="1555" t="s">
        <v>794</v>
      </c>
      <c r="I9" s="1565"/>
      <c r="J9" s="1565">
        <f t="shared" si="0"/>
        <v>17.764670586823474</v>
      </c>
      <c r="K9" s="1566">
        <f t="shared" si="1"/>
        <v>0.25983499999999998</v>
      </c>
      <c r="L9" s="1558"/>
      <c r="M9" s="1559">
        <f t="shared" si="2"/>
        <v>21.652916666666666</v>
      </c>
    </row>
    <row r="10" spans="6:45" s="832" customFormat="1" x14ac:dyDescent="0.2">
      <c r="F10" s="1587">
        <v>4</v>
      </c>
      <c r="G10" s="1571">
        <v>738041</v>
      </c>
      <c r="H10" s="1555" t="s">
        <v>794</v>
      </c>
      <c r="I10" s="1588"/>
      <c r="J10" s="1588">
        <f t="shared" si="0"/>
        <v>15.14411376455058</v>
      </c>
      <c r="K10" s="1589">
        <f t="shared" si="1"/>
        <v>0.36902050000000003</v>
      </c>
      <c r="L10" s="1590"/>
      <c r="M10" s="1591">
        <f t="shared" si="2"/>
        <v>30.751708333333337</v>
      </c>
    </row>
    <row r="11" spans="6:45" s="16" customFormat="1" ht="28.5" x14ac:dyDescent="0.2">
      <c r="F11" s="1567">
        <v>5</v>
      </c>
      <c r="G11" s="1571">
        <v>756126</v>
      </c>
      <c r="H11" s="1555" t="s">
        <v>795</v>
      </c>
      <c r="I11" s="1565"/>
      <c r="J11" s="1565">
        <f t="shared" si="0"/>
        <v>14.927085083403338</v>
      </c>
      <c r="K11" s="1566">
        <f t="shared" si="1"/>
        <v>0.37806299999999998</v>
      </c>
      <c r="L11" s="1558"/>
      <c r="M11" s="1559">
        <f t="shared" si="2"/>
        <v>31.50525</v>
      </c>
    </row>
    <row r="12" spans="6:45" s="16" customFormat="1" x14ac:dyDescent="0.2">
      <c r="F12" s="1567">
        <v>6</v>
      </c>
      <c r="G12" s="1571">
        <v>570133</v>
      </c>
      <c r="H12" s="1555" t="s">
        <v>794</v>
      </c>
      <c r="I12" s="1565"/>
      <c r="J12" s="1565">
        <f t="shared" si="0"/>
        <v>17.159090363614546</v>
      </c>
      <c r="K12" s="1566">
        <f t="shared" si="1"/>
        <v>0.2850665</v>
      </c>
      <c r="L12" s="1558"/>
      <c r="M12" s="1559">
        <f t="shared" si="2"/>
        <v>23.755541666666669</v>
      </c>
    </row>
    <row r="13" spans="6:45" s="16" customFormat="1" x14ac:dyDescent="0.25">
      <c r="F13" s="1567">
        <v>7</v>
      </c>
      <c r="G13" s="1592">
        <v>638607</v>
      </c>
      <c r="H13" s="1555" t="s">
        <v>794</v>
      </c>
      <c r="I13" s="1565"/>
      <c r="J13" s="1565">
        <f t="shared" si="0"/>
        <v>16.337369494779793</v>
      </c>
      <c r="K13" s="1566">
        <f t="shared" si="1"/>
        <v>0.31930349999999996</v>
      </c>
      <c r="L13" s="1558"/>
      <c r="M13" s="1559">
        <f t="shared" si="2"/>
        <v>26.608625</v>
      </c>
    </row>
    <row r="14" spans="6:45" s="16" customFormat="1" x14ac:dyDescent="0.25">
      <c r="F14" s="1567">
        <v>8</v>
      </c>
      <c r="G14" s="1592">
        <v>813834</v>
      </c>
      <c r="H14" s="1555" t="s">
        <v>794</v>
      </c>
      <c r="I14" s="1565"/>
      <c r="J14" s="1565">
        <f t="shared" si="0"/>
        <v>14.234561382455301</v>
      </c>
      <c r="K14" s="1566">
        <f t="shared" si="1"/>
        <v>0.40691699999999997</v>
      </c>
      <c r="L14" s="1558"/>
      <c r="M14" s="1559">
        <f t="shared" si="2"/>
        <v>33.909749999999995</v>
      </c>
    </row>
    <row r="15" spans="6:45" s="16" customFormat="1" ht="28.5" x14ac:dyDescent="0.25">
      <c r="F15" s="1567">
        <v>9</v>
      </c>
      <c r="G15" s="1592">
        <v>268538</v>
      </c>
      <c r="H15" s="1555" t="s">
        <v>795</v>
      </c>
      <c r="I15" s="1565"/>
      <c r="J15" s="1565">
        <f t="shared" si="0"/>
        <v>20.778375135005401</v>
      </c>
      <c r="K15" s="1566">
        <f t="shared" si="1"/>
        <v>0.134269</v>
      </c>
      <c r="L15" s="1558"/>
      <c r="M15" s="1559">
        <f t="shared" si="2"/>
        <v>11.189083333333334</v>
      </c>
    </row>
    <row r="16" spans="6:45" s="16" customFormat="1" x14ac:dyDescent="0.2">
      <c r="F16" s="1567">
        <v>10</v>
      </c>
      <c r="G16" s="1571">
        <v>945852</v>
      </c>
      <c r="H16" s="1555" t="s">
        <v>796</v>
      </c>
      <c r="I16" s="1565"/>
      <c r="J16" s="1565">
        <f t="shared" si="0"/>
        <v>12.650282011280453</v>
      </c>
      <c r="K16" s="1566">
        <f t="shared" si="1"/>
        <v>0.47292600000000001</v>
      </c>
      <c r="L16" s="1558"/>
      <c r="M16" s="1559">
        <f t="shared" si="2"/>
        <v>39.410499999999999</v>
      </c>
    </row>
    <row r="17" spans="6:13" s="16" customFormat="1" x14ac:dyDescent="0.2">
      <c r="F17" s="1567">
        <v>11</v>
      </c>
      <c r="G17" s="1571">
        <v>1154402</v>
      </c>
      <c r="H17" s="1555" t="s">
        <v>796</v>
      </c>
      <c r="I17" s="1565"/>
      <c r="J17" s="1565">
        <f t="shared" si="0"/>
        <v>10.14758190327613</v>
      </c>
      <c r="K17" s="1566">
        <f t="shared" si="1"/>
        <v>0.57720100000000008</v>
      </c>
      <c r="L17" s="1558"/>
      <c r="M17" s="1559">
        <f t="shared" si="2"/>
        <v>48.100083333333338</v>
      </c>
    </row>
    <row r="18" spans="6:13" s="16" customFormat="1" x14ac:dyDescent="0.2">
      <c r="F18" s="1567">
        <v>12</v>
      </c>
      <c r="G18" s="1571">
        <v>656932</v>
      </c>
      <c r="H18" s="1555" t="s">
        <v>796</v>
      </c>
      <c r="I18" s="1565"/>
      <c r="J18" s="1565">
        <f t="shared" si="0"/>
        <v>16.117460698427937</v>
      </c>
      <c r="K18" s="1566">
        <f t="shared" si="1"/>
        <v>0.32846600000000004</v>
      </c>
      <c r="L18" s="1558"/>
      <c r="M18" s="1559">
        <f t="shared" si="2"/>
        <v>27.372166666666669</v>
      </c>
    </row>
    <row r="19" spans="6:13" s="16" customFormat="1" x14ac:dyDescent="0.2">
      <c r="F19" s="1567">
        <v>13</v>
      </c>
      <c r="G19" s="1571">
        <v>697311</v>
      </c>
      <c r="H19" s="1555" t="s">
        <v>796</v>
      </c>
      <c r="I19" s="1565"/>
      <c r="J19" s="1565">
        <f t="shared" si="0"/>
        <v>15.632893315732629</v>
      </c>
      <c r="K19" s="1566">
        <f t="shared" si="1"/>
        <v>0.34865550000000001</v>
      </c>
      <c r="L19" s="1558"/>
      <c r="M19" s="1559">
        <f t="shared" si="2"/>
        <v>29.054625000000001</v>
      </c>
    </row>
    <row r="20" spans="6:13" s="16" customFormat="1" x14ac:dyDescent="0.2">
      <c r="F20" s="1567">
        <v>14</v>
      </c>
      <c r="G20" s="1571">
        <v>565858</v>
      </c>
      <c r="H20" s="1555" t="s">
        <v>796</v>
      </c>
      <c r="I20" s="1565"/>
      <c r="J20" s="1565">
        <f t="shared" si="0"/>
        <v>17.210392415696628</v>
      </c>
      <c r="K20" s="1566">
        <f t="shared" si="1"/>
        <v>0.28292899999999999</v>
      </c>
      <c r="L20" s="1558"/>
      <c r="M20" s="1559">
        <f t="shared" si="2"/>
        <v>23.577416666666664</v>
      </c>
    </row>
    <row r="21" spans="6:13" s="16" customFormat="1" x14ac:dyDescent="0.2">
      <c r="F21" s="1567">
        <v>15</v>
      </c>
      <c r="G21" s="1571">
        <v>970101</v>
      </c>
      <c r="H21" s="1555" t="s">
        <v>796</v>
      </c>
      <c r="I21" s="1565"/>
      <c r="J21" s="1565">
        <f t="shared" si="0"/>
        <v>12.359282371294851</v>
      </c>
      <c r="K21" s="1566">
        <f t="shared" si="1"/>
        <v>0.4850505</v>
      </c>
      <c r="L21" s="1558"/>
      <c r="M21" s="1559">
        <f t="shared" si="2"/>
        <v>40.420875000000002</v>
      </c>
    </row>
    <row r="22" spans="6:13" s="16" customFormat="1" x14ac:dyDescent="0.2">
      <c r="F22" s="1567">
        <v>16</v>
      </c>
      <c r="G22" s="1571">
        <v>1172959</v>
      </c>
      <c r="H22" s="1555" t="s">
        <v>796</v>
      </c>
      <c r="I22" s="1565"/>
      <c r="J22" s="1565">
        <f t="shared" si="0"/>
        <v>9.9248889955598223</v>
      </c>
      <c r="K22" s="1566">
        <f t="shared" si="1"/>
        <v>0.58647950000000004</v>
      </c>
      <c r="L22" s="1558"/>
      <c r="M22" s="1559">
        <f t="shared" si="2"/>
        <v>48.873291666666667</v>
      </c>
    </row>
    <row r="23" spans="6:13" s="16" customFormat="1" x14ac:dyDescent="0.2">
      <c r="F23" s="1567">
        <v>17</v>
      </c>
      <c r="G23" s="1571">
        <v>5569</v>
      </c>
      <c r="H23" s="1555" t="s">
        <v>797</v>
      </c>
      <c r="I23" s="1565"/>
      <c r="J23" s="1565">
        <f t="shared" si="0"/>
        <v>23.934129365174609</v>
      </c>
      <c r="K23" s="1566">
        <f t="shared" si="1"/>
        <v>2.7845000000000001E-3</v>
      </c>
      <c r="L23" s="1558"/>
      <c r="M23" s="1559">
        <f t="shared" si="2"/>
        <v>0.23204166666666667</v>
      </c>
    </row>
    <row r="24" spans="6:13" s="16" customFormat="1" x14ac:dyDescent="0.2">
      <c r="F24" s="1570">
        <v>18</v>
      </c>
      <c r="G24" s="1571">
        <v>626593</v>
      </c>
      <c r="H24" s="1555" t="s">
        <v>796</v>
      </c>
      <c r="I24" s="1565"/>
      <c r="J24" s="1565">
        <f t="shared" si="0"/>
        <v>16.481543261730472</v>
      </c>
      <c r="K24" s="1566">
        <f t="shared" si="1"/>
        <v>0.31329649999999998</v>
      </c>
      <c r="L24" s="1558"/>
      <c r="M24" s="1559">
        <f t="shared" si="2"/>
        <v>26.108041666666665</v>
      </c>
    </row>
    <row r="25" spans="6:13" s="16" customFormat="1" ht="28.5" x14ac:dyDescent="0.2">
      <c r="F25" s="1570">
        <v>19</v>
      </c>
      <c r="G25" s="1571">
        <v>1049970</v>
      </c>
      <c r="H25" s="1555" t="s">
        <v>798</v>
      </c>
      <c r="I25" s="1565"/>
      <c r="J25" s="1565">
        <f t="shared" si="0"/>
        <v>11.400816032641305</v>
      </c>
      <c r="K25" s="1566">
        <f t="shared" si="1"/>
        <v>0.52498500000000003</v>
      </c>
      <c r="L25" s="1558"/>
      <c r="M25" s="1559">
        <f t="shared" si="2"/>
        <v>43.748750000000001</v>
      </c>
    </row>
    <row r="26" spans="6:13" s="16" customFormat="1" x14ac:dyDescent="0.2">
      <c r="F26" s="1570">
        <v>20</v>
      </c>
      <c r="G26" s="1571">
        <v>1162814</v>
      </c>
      <c r="H26" s="1555" t="s">
        <v>796</v>
      </c>
      <c r="I26" s="1565"/>
      <c r="J26" s="1565">
        <f t="shared" si="0"/>
        <v>10.046633865354613</v>
      </c>
      <c r="K26" s="1566">
        <f t="shared" si="1"/>
        <v>0.58140700000000001</v>
      </c>
      <c r="L26" s="1558"/>
      <c r="M26" s="1559">
        <f t="shared" si="2"/>
        <v>48.450583333333334</v>
      </c>
    </row>
    <row r="27" spans="6:13" s="16" customFormat="1" x14ac:dyDescent="0.2">
      <c r="F27" s="1570">
        <v>21</v>
      </c>
      <c r="G27" s="1571">
        <v>1101723</v>
      </c>
      <c r="H27" s="1555" t="s">
        <v>796</v>
      </c>
      <c r="I27" s="1565"/>
      <c r="J27" s="1565">
        <f t="shared" si="0"/>
        <v>10.779755190207609</v>
      </c>
      <c r="K27" s="1566">
        <f t="shared" si="1"/>
        <v>0.5508615</v>
      </c>
      <c r="L27" s="1558"/>
      <c r="M27" s="1559">
        <f t="shared" si="2"/>
        <v>45.905124999999998</v>
      </c>
    </row>
    <row r="28" spans="6:13" s="16" customFormat="1" x14ac:dyDescent="0.2">
      <c r="F28" s="1570">
        <v>22</v>
      </c>
      <c r="G28" s="1571">
        <v>431518</v>
      </c>
      <c r="H28" s="1555" t="s">
        <v>796</v>
      </c>
      <c r="I28" s="1565"/>
      <c r="J28" s="1565">
        <f t="shared" si="0"/>
        <v>18.82253690147606</v>
      </c>
      <c r="K28" s="1566">
        <f t="shared" si="1"/>
        <v>0.21575899999999998</v>
      </c>
      <c r="L28" s="1558"/>
      <c r="M28" s="1559">
        <f t="shared" si="2"/>
        <v>17.979916666666664</v>
      </c>
    </row>
    <row r="29" spans="6:13" s="16" customFormat="1" x14ac:dyDescent="0.2">
      <c r="F29" s="1570">
        <v>23</v>
      </c>
      <c r="G29" s="1571">
        <v>0</v>
      </c>
      <c r="H29" s="1555" t="s">
        <v>797</v>
      </c>
      <c r="I29" s="1565"/>
      <c r="J29" s="1565">
        <f t="shared" si="0"/>
        <v>24.000960038401537</v>
      </c>
      <c r="K29" s="1566">
        <f t="shared" si="1"/>
        <v>0</v>
      </c>
      <c r="L29" s="1558"/>
      <c r="M29" s="1559">
        <f t="shared" si="2"/>
        <v>0</v>
      </c>
    </row>
    <row r="30" spans="6:13" s="16" customFormat="1" x14ac:dyDescent="0.2">
      <c r="F30" s="1570">
        <v>24</v>
      </c>
      <c r="G30" s="1571">
        <v>0</v>
      </c>
      <c r="H30" s="1555" t="s">
        <v>797</v>
      </c>
      <c r="I30" s="1565"/>
      <c r="J30" s="1565">
        <f t="shared" si="0"/>
        <v>24.000960038401537</v>
      </c>
      <c r="K30" s="1566">
        <f t="shared" si="1"/>
        <v>0</v>
      </c>
      <c r="L30" s="1558"/>
      <c r="M30" s="1559">
        <f t="shared" si="2"/>
        <v>0</v>
      </c>
    </row>
    <row r="31" spans="6:13" s="16" customFormat="1" x14ac:dyDescent="0.2">
      <c r="F31" s="1570">
        <v>25</v>
      </c>
      <c r="G31" s="1571">
        <v>245060</v>
      </c>
      <c r="H31" s="1555" t="s">
        <v>796</v>
      </c>
      <c r="I31" s="1565"/>
      <c r="J31" s="1565">
        <f t="shared" si="0"/>
        <v>21.060122404896198</v>
      </c>
      <c r="K31" s="1566">
        <f t="shared" si="1"/>
        <v>0.12253</v>
      </c>
      <c r="L31" s="1558"/>
      <c r="M31" s="1559">
        <f t="shared" si="2"/>
        <v>10.210833333333333</v>
      </c>
    </row>
    <row r="32" spans="6:13" s="16" customFormat="1" x14ac:dyDescent="0.2">
      <c r="F32" s="1570">
        <v>26</v>
      </c>
      <c r="G32" s="1571">
        <v>1331945</v>
      </c>
      <c r="H32" s="1555" t="s">
        <v>796</v>
      </c>
      <c r="I32" s="1565"/>
      <c r="J32" s="1565">
        <f t="shared" si="0"/>
        <v>8.0169806792271707</v>
      </c>
      <c r="K32" s="1566">
        <f t="shared" si="1"/>
        <v>0.66597249999999997</v>
      </c>
      <c r="L32" s="1558"/>
      <c r="M32" s="1559">
        <f t="shared" si="2"/>
        <v>55.497708333333328</v>
      </c>
    </row>
    <row r="33" spans="6:16" s="16" customFormat="1" x14ac:dyDescent="0.2">
      <c r="F33" s="1570">
        <v>27</v>
      </c>
      <c r="G33" s="1571">
        <v>1525137</v>
      </c>
      <c r="H33" s="1555" t="s">
        <v>796</v>
      </c>
      <c r="I33" s="1565"/>
      <c r="J33" s="1565">
        <f t="shared" si="0"/>
        <v>5.6985839433577352</v>
      </c>
      <c r="K33" s="1566">
        <f t="shared" si="1"/>
        <v>0.76256849999999998</v>
      </c>
      <c r="L33" s="1558"/>
      <c r="M33" s="1559">
        <f t="shared" si="2"/>
        <v>63.547374999999995</v>
      </c>
    </row>
    <row r="34" spans="6:16" s="16" customFormat="1" x14ac:dyDescent="0.2">
      <c r="F34" s="1570">
        <v>28</v>
      </c>
      <c r="G34" s="1571">
        <v>1704373</v>
      </c>
      <c r="H34" s="1555" t="s">
        <v>796</v>
      </c>
      <c r="I34" s="1565"/>
      <c r="J34" s="1565">
        <f t="shared" si="0"/>
        <v>3.547665906636265</v>
      </c>
      <c r="K34" s="1566">
        <f t="shared" si="1"/>
        <v>0.85218650000000007</v>
      </c>
      <c r="L34" s="1558"/>
      <c r="M34" s="1559">
        <f t="shared" si="2"/>
        <v>71.015541666666664</v>
      </c>
    </row>
    <row r="35" spans="6:16" s="16" customFormat="1" ht="28.5" x14ac:dyDescent="0.2">
      <c r="F35" s="1570">
        <v>29</v>
      </c>
      <c r="G35" s="1571">
        <v>1210513</v>
      </c>
      <c r="H35" s="1555" t="s">
        <v>795</v>
      </c>
      <c r="I35" s="1593"/>
      <c r="J35" s="1565">
        <f t="shared" si="0"/>
        <v>9.4742229689187578</v>
      </c>
      <c r="K35" s="1566">
        <f t="shared" si="1"/>
        <v>0.60525649999999998</v>
      </c>
      <c r="L35" s="1558"/>
      <c r="M35" s="1559">
        <f t="shared" si="2"/>
        <v>50.438041666666663</v>
      </c>
    </row>
    <row r="36" spans="6:16" s="16" customFormat="1" ht="15" thickBot="1" x14ac:dyDescent="0.25">
      <c r="F36" s="1572">
        <v>30</v>
      </c>
      <c r="G36" s="1594">
        <v>1153492</v>
      </c>
      <c r="H36" s="1555" t="s">
        <v>794</v>
      </c>
      <c r="I36" s="1595"/>
      <c r="J36" s="1565">
        <f t="shared" si="0"/>
        <v>10.158502340093605</v>
      </c>
      <c r="K36" s="1566">
        <f t="shared" si="1"/>
        <v>0.57674599999999998</v>
      </c>
      <c r="L36" s="1558"/>
      <c r="M36" s="1559">
        <f t="shared" si="2"/>
        <v>48.062166666666663</v>
      </c>
    </row>
    <row r="37" spans="6:16" s="16" customFormat="1" ht="18" customHeight="1" thickTop="1" thickBot="1" x14ac:dyDescent="0.3">
      <c r="F37" s="1549" t="s">
        <v>159</v>
      </c>
      <c r="G37" s="1596">
        <f>SUM(G7:G36)</f>
        <v>23189025</v>
      </c>
      <c r="H37" s="1597"/>
      <c r="I37" s="1576">
        <f>SUM(I7:I36)</f>
        <v>0</v>
      </c>
      <c r="J37" s="1577">
        <f>SUM(J7:J36)</f>
        <v>441.74936997479909</v>
      </c>
      <c r="K37" s="1576"/>
      <c r="L37" s="1578"/>
      <c r="M37" s="1579">
        <f>AVERAGE(M7:M36)</f>
        <v>32.20697916666667</v>
      </c>
    </row>
    <row r="38" spans="6:16" customFormat="1" ht="15.75" thickTop="1" x14ac:dyDescent="0.25">
      <c r="F38" s="1580"/>
      <c r="G38" s="1581"/>
      <c r="H38" s="1582"/>
      <c r="I38" s="1"/>
      <c r="J38" s="1"/>
      <c r="K38" s="1"/>
      <c r="L38" s="1"/>
      <c r="M38" s="1"/>
    </row>
    <row r="39" spans="6:16" s="16" customFormat="1" x14ac:dyDescent="0.25">
      <c r="G39" s="1583" t="s">
        <v>736</v>
      </c>
    </row>
    <row r="40" spans="6:16" s="16" customFormat="1" x14ac:dyDescent="0.25">
      <c r="G40" s="16" t="s">
        <v>737</v>
      </c>
      <c r="I40" s="1559">
        <v>0</v>
      </c>
      <c r="J40" s="16" t="s">
        <v>738</v>
      </c>
      <c r="P40" s="1584"/>
    </row>
    <row r="41" spans="6:16" s="16" customFormat="1" x14ac:dyDescent="0.25">
      <c r="G41" s="16" t="s">
        <v>739</v>
      </c>
      <c r="I41" s="1559">
        <v>0</v>
      </c>
      <c r="J41" s="16" t="s">
        <v>738</v>
      </c>
    </row>
    <row r="42" spans="6:16" s="16" customFormat="1" x14ac:dyDescent="0.25">
      <c r="G42" s="16" t="s">
        <v>799</v>
      </c>
      <c r="I42" s="1559">
        <v>0</v>
      </c>
      <c r="J42" s="16" t="s">
        <v>738</v>
      </c>
    </row>
    <row r="43" spans="6:16" s="16" customFormat="1" x14ac:dyDescent="0.25">
      <c r="G43" s="16" t="s">
        <v>800</v>
      </c>
      <c r="I43" s="1585">
        <v>0</v>
      </c>
      <c r="J43" s="16" t="s">
        <v>738</v>
      </c>
    </row>
    <row r="44" spans="6:16" s="16" customFormat="1" x14ac:dyDescent="0.25">
      <c r="G44" s="16" t="s">
        <v>801</v>
      </c>
      <c r="I44" s="1585">
        <v>0</v>
      </c>
      <c r="J44" s="16" t="s">
        <v>738</v>
      </c>
    </row>
    <row r="45" spans="6:16" s="16" customFormat="1" x14ac:dyDescent="0.25">
      <c r="G45" s="16" t="s">
        <v>743</v>
      </c>
      <c r="I45" s="1585">
        <v>0</v>
      </c>
      <c r="J45" s="16" t="s">
        <v>738</v>
      </c>
    </row>
    <row r="46" spans="6:16" s="16" customFormat="1" x14ac:dyDescent="0.25">
      <c r="G46" s="16" t="s">
        <v>744</v>
      </c>
      <c r="I46" s="1585">
        <v>0</v>
      </c>
      <c r="J46" s="16" t="s">
        <v>738</v>
      </c>
    </row>
    <row r="47" spans="6:16" s="16" customFormat="1" x14ac:dyDescent="0.25">
      <c r="G47" s="16" t="s">
        <v>788</v>
      </c>
      <c r="I47" s="1585">
        <v>0</v>
      </c>
      <c r="J47" s="16" t="s">
        <v>738</v>
      </c>
    </row>
    <row r="48" spans="6:16" s="16" customFormat="1" x14ac:dyDescent="0.25">
      <c r="G48" s="16" t="s">
        <v>789</v>
      </c>
      <c r="I48" s="1585">
        <v>0</v>
      </c>
      <c r="J48" s="16" t="s">
        <v>738</v>
      </c>
    </row>
    <row r="49" spans="7:13" s="16" customFormat="1" x14ac:dyDescent="0.25">
      <c r="G49" s="1547" t="s">
        <v>802</v>
      </c>
      <c r="I49" s="1585">
        <f>SUM(J7,J8,J9,J10,J12,J13,J14,J36)</f>
        <v>124.73621744869796</v>
      </c>
      <c r="J49" s="16" t="s">
        <v>738</v>
      </c>
    </row>
    <row r="50" spans="7:13" s="16" customFormat="1" x14ac:dyDescent="0.25">
      <c r="G50" s="1547" t="s">
        <v>803</v>
      </c>
      <c r="I50" s="1585">
        <f>SUM(J23,J29,J30)</f>
        <v>71.936049441977673</v>
      </c>
      <c r="J50" s="16" t="s">
        <v>738</v>
      </c>
    </row>
    <row r="51" spans="7:13" s="16" customFormat="1" x14ac:dyDescent="0.25">
      <c r="G51" s="1547" t="s">
        <v>804</v>
      </c>
      <c r="I51" s="1585">
        <f>SUM(J16,J17,J18,J19,J20,J21,J22,J24,J26,J27,J28,J31,J32,J33,J34)</f>
        <v>188.49660386415457</v>
      </c>
      <c r="J51" s="16" t="s">
        <v>738</v>
      </c>
    </row>
    <row r="52" spans="7:13" s="16" customFormat="1" x14ac:dyDescent="0.25">
      <c r="G52" s="1547" t="s">
        <v>805</v>
      </c>
      <c r="I52" s="1585">
        <f>SUM(J25)</f>
        <v>11.400816032641305</v>
      </c>
      <c r="J52" s="16" t="s">
        <v>738</v>
      </c>
    </row>
    <row r="53" spans="7:13" s="16" customFormat="1" x14ac:dyDescent="0.25">
      <c r="G53" s="1547" t="s">
        <v>806</v>
      </c>
      <c r="I53" s="1585">
        <f>SUM(J35,J15,J11)</f>
        <v>45.179683187327498</v>
      </c>
      <c r="J53" s="16" t="s">
        <v>738</v>
      </c>
    </row>
    <row r="54" spans="7:13" ht="15" x14ac:dyDescent="0.25">
      <c r="G54" s="1756" t="s">
        <v>1</v>
      </c>
      <c r="H54" s="1756"/>
      <c r="I54" s="1586">
        <f>SUM(I40:I53)</f>
        <v>441.74936997479904</v>
      </c>
      <c r="J54" s="2" t="s">
        <v>738</v>
      </c>
      <c r="K54" s="2"/>
      <c r="L54" s="2"/>
      <c r="M54" s="2"/>
    </row>
    <row r="55" spans="7:13" x14ac:dyDescent="0.2">
      <c r="G55" s="1745" t="s">
        <v>807</v>
      </c>
      <c r="H55" s="1745"/>
    </row>
  </sheetData>
  <mergeCells count="7">
    <mergeCell ref="G55:H55"/>
    <mergeCell ref="F2:K2"/>
    <mergeCell ref="F5:F6"/>
    <mergeCell ref="G5:G6"/>
    <mergeCell ref="H5:H6"/>
    <mergeCell ref="I5:K5"/>
    <mergeCell ref="G54:H54"/>
  </mergeCells>
  <pageMargins left="0.7" right="0.7" top="0.75" bottom="0.75" header="0.3" footer="0.3"/>
  <pageSetup paperSize="9" scale="81" orientation="portrait" horizontalDpi="0" verticalDpi="0" r:id="rId1"/>
  <colBreaks count="2" manualBreakCount="2">
    <brk id="5" max="1048575" man="1"/>
    <brk id="11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966B-3CF4-4E6E-B2B8-B0F6A47AF67B}">
  <dimension ref="F2:P56"/>
  <sheetViews>
    <sheetView showGridLines="0" zoomScaleNormal="100" workbookViewId="0">
      <selection activeCell="P11" sqref="P11"/>
    </sheetView>
  </sheetViews>
  <sheetFormatPr defaultColWidth="9" defaultRowHeight="14.25" x14ac:dyDescent="0.2"/>
  <cols>
    <col min="1" max="4" width="9" style="1247"/>
    <col min="5" max="5" width="6.5703125" style="1247" customWidth="1"/>
    <col min="6" max="6" width="11.7109375" style="1247" customWidth="1"/>
    <col min="7" max="7" width="16.42578125" style="1247" customWidth="1"/>
    <col min="8" max="8" width="57.7109375" style="1247" customWidth="1"/>
    <col min="9" max="10" width="9.42578125" style="1247" customWidth="1"/>
    <col min="11" max="11" width="14.5703125" style="1247" bestFit="1" customWidth="1"/>
    <col min="12" max="12" width="14.5703125" style="1247" customWidth="1"/>
    <col min="13" max="13" width="9.42578125" style="1247" customWidth="1"/>
    <col min="14" max="14" width="12" style="1247" customWidth="1"/>
    <col min="15" max="58" width="9" style="1247"/>
    <col min="59" max="59" width="12.85546875" style="1247" customWidth="1"/>
    <col min="60" max="60" width="119.7109375" style="1247" customWidth="1"/>
    <col min="61" max="61" width="6.42578125" style="1247" customWidth="1"/>
    <col min="62" max="62" width="5.85546875" style="1247" customWidth="1"/>
    <col min="63" max="63" width="13.28515625" style="1247" customWidth="1"/>
    <col min="64" max="64" width="10.85546875" style="1247" customWidth="1"/>
    <col min="65" max="65" width="9.28515625" style="1247" customWidth="1"/>
    <col min="66" max="314" width="9" style="1247"/>
    <col min="315" max="315" width="12.85546875" style="1247" customWidth="1"/>
    <col min="316" max="316" width="119.7109375" style="1247" customWidth="1"/>
    <col min="317" max="317" width="6.42578125" style="1247" customWidth="1"/>
    <col min="318" max="318" width="5.85546875" style="1247" customWidth="1"/>
    <col min="319" max="319" width="13.28515625" style="1247" customWidth="1"/>
    <col min="320" max="320" width="10.85546875" style="1247" customWidth="1"/>
    <col min="321" max="321" width="9.28515625" style="1247" customWidth="1"/>
    <col min="322" max="570" width="9" style="1247"/>
    <col min="571" max="571" width="12.85546875" style="1247" customWidth="1"/>
    <col min="572" max="572" width="119.7109375" style="1247" customWidth="1"/>
    <col min="573" max="573" width="6.42578125" style="1247" customWidth="1"/>
    <col min="574" max="574" width="5.85546875" style="1247" customWidth="1"/>
    <col min="575" max="575" width="13.28515625" style="1247" customWidth="1"/>
    <col min="576" max="576" width="10.85546875" style="1247" customWidth="1"/>
    <col min="577" max="577" width="9.28515625" style="1247" customWidth="1"/>
    <col min="578" max="826" width="9" style="1247"/>
    <col min="827" max="827" width="12.85546875" style="1247" customWidth="1"/>
    <col min="828" max="828" width="119.7109375" style="1247" customWidth="1"/>
    <col min="829" max="829" width="6.42578125" style="1247" customWidth="1"/>
    <col min="830" max="830" width="5.85546875" style="1247" customWidth="1"/>
    <col min="831" max="831" width="13.28515625" style="1247" customWidth="1"/>
    <col min="832" max="832" width="10.85546875" style="1247" customWidth="1"/>
    <col min="833" max="833" width="9.28515625" style="1247" customWidth="1"/>
    <col min="834" max="1082" width="9" style="1247"/>
    <col min="1083" max="1083" width="12.85546875" style="1247" customWidth="1"/>
    <col min="1084" max="1084" width="119.7109375" style="1247" customWidth="1"/>
    <col min="1085" max="1085" width="6.42578125" style="1247" customWidth="1"/>
    <col min="1086" max="1086" width="5.85546875" style="1247" customWidth="1"/>
    <col min="1087" max="1087" width="13.28515625" style="1247" customWidth="1"/>
    <col min="1088" max="1088" width="10.85546875" style="1247" customWidth="1"/>
    <col min="1089" max="1089" width="9.28515625" style="1247" customWidth="1"/>
    <col min="1090" max="1338" width="9" style="1247"/>
    <col min="1339" max="1339" width="12.85546875" style="1247" customWidth="1"/>
    <col min="1340" max="1340" width="119.7109375" style="1247" customWidth="1"/>
    <col min="1341" max="1341" width="6.42578125" style="1247" customWidth="1"/>
    <col min="1342" max="1342" width="5.85546875" style="1247" customWidth="1"/>
    <col min="1343" max="1343" width="13.28515625" style="1247" customWidth="1"/>
    <col min="1344" max="1344" width="10.85546875" style="1247" customWidth="1"/>
    <col min="1345" max="1345" width="9.28515625" style="1247" customWidth="1"/>
    <col min="1346" max="1594" width="9" style="1247"/>
    <col min="1595" max="1595" width="12.85546875" style="1247" customWidth="1"/>
    <col min="1596" max="1596" width="119.7109375" style="1247" customWidth="1"/>
    <col min="1597" max="1597" width="6.42578125" style="1247" customWidth="1"/>
    <col min="1598" max="1598" width="5.85546875" style="1247" customWidth="1"/>
    <col min="1599" max="1599" width="13.28515625" style="1247" customWidth="1"/>
    <col min="1600" max="1600" width="10.85546875" style="1247" customWidth="1"/>
    <col min="1601" max="1601" width="9.28515625" style="1247" customWidth="1"/>
    <col min="1602" max="1850" width="9" style="1247"/>
    <col min="1851" max="1851" width="12.85546875" style="1247" customWidth="1"/>
    <col min="1852" max="1852" width="119.7109375" style="1247" customWidth="1"/>
    <col min="1853" max="1853" width="6.42578125" style="1247" customWidth="1"/>
    <col min="1854" max="1854" width="5.85546875" style="1247" customWidth="1"/>
    <col min="1855" max="1855" width="13.28515625" style="1247" customWidth="1"/>
    <col min="1856" max="1856" width="10.85546875" style="1247" customWidth="1"/>
    <col min="1857" max="1857" width="9.28515625" style="1247" customWidth="1"/>
    <col min="1858" max="2106" width="9" style="1247"/>
    <col min="2107" max="2107" width="12.85546875" style="1247" customWidth="1"/>
    <col min="2108" max="2108" width="119.7109375" style="1247" customWidth="1"/>
    <col min="2109" max="2109" width="6.42578125" style="1247" customWidth="1"/>
    <col min="2110" max="2110" width="5.85546875" style="1247" customWidth="1"/>
    <col min="2111" max="2111" width="13.28515625" style="1247" customWidth="1"/>
    <col min="2112" max="2112" width="10.85546875" style="1247" customWidth="1"/>
    <col min="2113" max="2113" width="9.28515625" style="1247" customWidth="1"/>
    <col min="2114" max="2362" width="9" style="1247"/>
    <col min="2363" max="2363" width="12.85546875" style="1247" customWidth="1"/>
    <col min="2364" max="2364" width="119.7109375" style="1247" customWidth="1"/>
    <col min="2365" max="2365" width="6.42578125" style="1247" customWidth="1"/>
    <col min="2366" max="2366" width="5.85546875" style="1247" customWidth="1"/>
    <col min="2367" max="2367" width="13.28515625" style="1247" customWidth="1"/>
    <col min="2368" max="2368" width="10.85546875" style="1247" customWidth="1"/>
    <col min="2369" max="2369" width="9.28515625" style="1247" customWidth="1"/>
    <col min="2370" max="2618" width="9" style="1247"/>
    <col min="2619" max="2619" width="12.85546875" style="1247" customWidth="1"/>
    <col min="2620" max="2620" width="119.7109375" style="1247" customWidth="1"/>
    <col min="2621" max="2621" width="6.42578125" style="1247" customWidth="1"/>
    <col min="2622" max="2622" width="5.85546875" style="1247" customWidth="1"/>
    <col min="2623" max="2623" width="13.28515625" style="1247" customWidth="1"/>
    <col min="2624" max="2624" width="10.85546875" style="1247" customWidth="1"/>
    <col min="2625" max="2625" width="9.28515625" style="1247" customWidth="1"/>
    <col min="2626" max="2874" width="9" style="1247"/>
    <col min="2875" max="2875" width="12.85546875" style="1247" customWidth="1"/>
    <col min="2876" max="2876" width="119.7109375" style="1247" customWidth="1"/>
    <col min="2877" max="2877" width="6.42578125" style="1247" customWidth="1"/>
    <col min="2878" max="2878" width="5.85546875" style="1247" customWidth="1"/>
    <col min="2879" max="2879" width="13.28515625" style="1247" customWidth="1"/>
    <col min="2880" max="2880" width="10.85546875" style="1247" customWidth="1"/>
    <col min="2881" max="2881" width="9.28515625" style="1247" customWidth="1"/>
    <col min="2882" max="3130" width="9" style="1247"/>
    <col min="3131" max="3131" width="12.85546875" style="1247" customWidth="1"/>
    <col min="3132" max="3132" width="119.7109375" style="1247" customWidth="1"/>
    <col min="3133" max="3133" width="6.42578125" style="1247" customWidth="1"/>
    <col min="3134" max="3134" width="5.85546875" style="1247" customWidth="1"/>
    <col min="3135" max="3135" width="13.28515625" style="1247" customWidth="1"/>
    <col min="3136" max="3136" width="10.85546875" style="1247" customWidth="1"/>
    <col min="3137" max="3137" width="9.28515625" style="1247" customWidth="1"/>
    <col min="3138" max="3386" width="9" style="1247"/>
    <col min="3387" max="3387" width="12.85546875" style="1247" customWidth="1"/>
    <col min="3388" max="3388" width="119.7109375" style="1247" customWidth="1"/>
    <col min="3389" max="3389" width="6.42578125" style="1247" customWidth="1"/>
    <col min="3390" max="3390" width="5.85546875" style="1247" customWidth="1"/>
    <col min="3391" max="3391" width="13.28515625" style="1247" customWidth="1"/>
    <col min="3392" max="3392" width="10.85546875" style="1247" customWidth="1"/>
    <col min="3393" max="3393" width="9.28515625" style="1247" customWidth="1"/>
    <col min="3394" max="3642" width="9" style="1247"/>
    <col min="3643" max="3643" width="12.85546875" style="1247" customWidth="1"/>
    <col min="3644" max="3644" width="119.7109375" style="1247" customWidth="1"/>
    <col min="3645" max="3645" width="6.42578125" style="1247" customWidth="1"/>
    <col min="3646" max="3646" width="5.85546875" style="1247" customWidth="1"/>
    <col min="3647" max="3647" width="13.28515625" style="1247" customWidth="1"/>
    <col min="3648" max="3648" width="10.85546875" style="1247" customWidth="1"/>
    <col min="3649" max="3649" width="9.28515625" style="1247" customWidth="1"/>
    <col min="3650" max="3898" width="9" style="1247"/>
    <col min="3899" max="3899" width="12.85546875" style="1247" customWidth="1"/>
    <col min="3900" max="3900" width="119.7109375" style="1247" customWidth="1"/>
    <col min="3901" max="3901" width="6.42578125" style="1247" customWidth="1"/>
    <col min="3902" max="3902" width="5.85546875" style="1247" customWidth="1"/>
    <col min="3903" max="3903" width="13.28515625" style="1247" customWidth="1"/>
    <col min="3904" max="3904" width="10.85546875" style="1247" customWidth="1"/>
    <col min="3905" max="3905" width="9.28515625" style="1247" customWidth="1"/>
    <col min="3906" max="4154" width="9" style="1247"/>
    <col min="4155" max="4155" width="12.85546875" style="1247" customWidth="1"/>
    <col min="4156" max="4156" width="119.7109375" style="1247" customWidth="1"/>
    <col min="4157" max="4157" width="6.42578125" style="1247" customWidth="1"/>
    <col min="4158" max="4158" width="5.85546875" style="1247" customWidth="1"/>
    <col min="4159" max="4159" width="13.28515625" style="1247" customWidth="1"/>
    <col min="4160" max="4160" width="10.85546875" style="1247" customWidth="1"/>
    <col min="4161" max="4161" width="9.28515625" style="1247" customWidth="1"/>
    <col min="4162" max="4410" width="9" style="1247"/>
    <col min="4411" max="4411" width="12.85546875" style="1247" customWidth="1"/>
    <col min="4412" max="4412" width="119.7109375" style="1247" customWidth="1"/>
    <col min="4413" max="4413" width="6.42578125" style="1247" customWidth="1"/>
    <col min="4414" max="4414" width="5.85546875" style="1247" customWidth="1"/>
    <col min="4415" max="4415" width="13.28515625" style="1247" customWidth="1"/>
    <col min="4416" max="4416" width="10.85546875" style="1247" customWidth="1"/>
    <col min="4417" max="4417" width="9.28515625" style="1247" customWidth="1"/>
    <col min="4418" max="4666" width="9" style="1247"/>
    <col min="4667" max="4667" width="12.85546875" style="1247" customWidth="1"/>
    <col min="4668" max="4668" width="119.7109375" style="1247" customWidth="1"/>
    <col min="4669" max="4669" width="6.42578125" style="1247" customWidth="1"/>
    <col min="4670" max="4670" width="5.85546875" style="1247" customWidth="1"/>
    <col min="4671" max="4671" width="13.28515625" style="1247" customWidth="1"/>
    <col min="4672" max="4672" width="10.85546875" style="1247" customWidth="1"/>
    <col min="4673" max="4673" width="9.28515625" style="1247" customWidth="1"/>
    <col min="4674" max="4922" width="9" style="1247"/>
    <col min="4923" max="4923" width="12.85546875" style="1247" customWidth="1"/>
    <col min="4924" max="4924" width="119.7109375" style="1247" customWidth="1"/>
    <col min="4925" max="4925" width="6.42578125" style="1247" customWidth="1"/>
    <col min="4926" max="4926" width="5.85546875" style="1247" customWidth="1"/>
    <col min="4927" max="4927" width="13.28515625" style="1247" customWidth="1"/>
    <col min="4928" max="4928" width="10.85546875" style="1247" customWidth="1"/>
    <col min="4929" max="4929" width="9.28515625" style="1247" customWidth="1"/>
    <col min="4930" max="5178" width="9" style="1247"/>
    <col min="5179" max="5179" width="12.85546875" style="1247" customWidth="1"/>
    <col min="5180" max="5180" width="119.7109375" style="1247" customWidth="1"/>
    <col min="5181" max="5181" width="6.42578125" style="1247" customWidth="1"/>
    <col min="5182" max="5182" width="5.85546875" style="1247" customWidth="1"/>
    <col min="5183" max="5183" width="13.28515625" style="1247" customWidth="1"/>
    <col min="5184" max="5184" width="10.85546875" style="1247" customWidth="1"/>
    <col min="5185" max="5185" width="9.28515625" style="1247" customWidth="1"/>
    <col min="5186" max="5434" width="9" style="1247"/>
    <col min="5435" max="5435" width="12.85546875" style="1247" customWidth="1"/>
    <col min="5436" max="5436" width="119.7109375" style="1247" customWidth="1"/>
    <col min="5437" max="5437" width="6.42578125" style="1247" customWidth="1"/>
    <col min="5438" max="5438" width="5.85546875" style="1247" customWidth="1"/>
    <col min="5439" max="5439" width="13.28515625" style="1247" customWidth="1"/>
    <col min="5440" max="5440" width="10.85546875" style="1247" customWidth="1"/>
    <col min="5441" max="5441" width="9.28515625" style="1247" customWidth="1"/>
    <col min="5442" max="5690" width="9" style="1247"/>
    <col min="5691" max="5691" width="12.85546875" style="1247" customWidth="1"/>
    <col min="5692" max="5692" width="119.7109375" style="1247" customWidth="1"/>
    <col min="5693" max="5693" width="6.42578125" style="1247" customWidth="1"/>
    <col min="5694" max="5694" width="5.85546875" style="1247" customWidth="1"/>
    <col min="5695" max="5695" width="13.28515625" style="1247" customWidth="1"/>
    <col min="5696" max="5696" width="10.85546875" style="1247" customWidth="1"/>
    <col min="5697" max="5697" width="9.28515625" style="1247" customWidth="1"/>
    <col min="5698" max="5946" width="9" style="1247"/>
    <col min="5947" max="5947" width="12.85546875" style="1247" customWidth="1"/>
    <col min="5948" max="5948" width="119.7109375" style="1247" customWidth="1"/>
    <col min="5949" max="5949" width="6.42578125" style="1247" customWidth="1"/>
    <col min="5950" max="5950" width="5.85546875" style="1247" customWidth="1"/>
    <col min="5951" max="5951" width="13.28515625" style="1247" customWidth="1"/>
    <col min="5952" max="5952" width="10.85546875" style="1247" customWidth="1"/>
    <col min="5953" max="5953" width="9.28515625" style="1247" customWidth="1"/>
    <col min="5954" max="6202" width="9" style="1247"/>
    <col min="6203" max="6203" width="12.85546875" style="1247" customWidth="1"/>
    <col min="6204" max="6204" width="119.7109375" style="1247" customWidth="1"/>
    <col min="6205" max="6205" width="6.42578125" style="1247" customWidth="1"/>
    <col min="6206" max="6206" width="5.85546875" style="1247" customWidth="1"/>
    <col min="6207" max="6207" width="13.28515625" style="1247" customWidth="1"/>
    <col min="6208" max="6208" width="10.85546875" style="1247" customWidth="1"/>
    <col min="6209" max="6209" width="9.28515625" style="1247" customWidth="1"/>
    <col min="6210" max="6458" width="9" style="1247"/>
    <col min="6459" max="6459" width="12.85546875" style="1247" customWidth="1"/>
    <col min="6460" max="6460" width="119.7109375" style="1247" customWidth="1"/>
    <col min="6461" max="6461" width="6.42578125" style="1247" customWidth="1"/>
    <col min="6462" max="6462" width="5.85546875" style="1247" customWidth="1"/>
    <col min="6463" max="6463" width="13.28515625" style="1247" customWidth="1"/>
    <col min="6464" max="6464" width="10.85546875" style="1247" customWidth="1"/>
    <col min="6465" max="6465" width="9.28515625" style="1247" customWidth="1"/>
    <col min="6466" max="6714" width="9" style="1247"/>
    <col min="6715" max="6715" width="12.85546875" style="1247" customWidth="1"/>
    <col min="6716" max="6716" width="119.7109375" style="1247" customWidth="1"/>
    <col min="6717" max="6717" width="6.42578125" style="1247" customWidth="1"/>
    <col min="6718" max="6718" width="5.85546875" style="1247" customWidth="1"/>
    <col min="6719" max="6719" width="13.28515625" style="1247" customWidth="1"/>
    <col min="6720" max="6720" width="10.85546875" style="1247" customWidth="1"/>
    <col min="6721" max="6721" width="9.28515625" style="1247" customWidth="1"/>
    <col min="6722" max="6970" width="9" style="1247"/>
    <col min="6971" max="6971" width="12.85546875" style="1247" customWidth="1"/>
    <col min="6972" max="6972" width="119.7109375" style="1247" customWidth="1"/>
    <col min="6973" max="6973" width="6.42578125" style="1247" customWidth="1"/>
    <col min="6974" max="6974" width="5.85546875" style="1247" customWidth="1"/>
    <col min="6975" max="6975" width="13.28515625" style="1247" customWidth="1"/>
    <col min="6976" max="6976" width="10.85546875" style="1247" customWidth="1"/>
    <col min="6977" max="6977" width="9.28515625" style="1247" customWidth="1"/>
    <col min="6978" max="7226" width="9" style="1247"/>
    <col min="7227" max="7227" width="12.85546875" style="1247" customWidth="1"/>
    <col min="7228" max="7228" width="119.7109375" style="1247" customWidth="1"/>
    <col min="7229" max="7229" width="6.42578125" style="1247" customWidth="1"/>
    <col min="7230" max="7230" width="5.85546875" style="1247" customWidth="1"/>
    <col min="7231" max="7231" width="13.28515625" style="1247" customWidth="1"/>
    <col min="7232" max="7232" width="10.85546875" style="1247" customWidth="1"/>
    <col min="7233" max="7233" width="9.28515625" style="1247" customWidth="1"/>
    <col min="7234" max="7482" width="9" style="1247"/>
    <col min="7483" max="7483" width="12.85546875" style="1247" customWidth="1"/>
    <col min="7484" max="7484" width="119.7109375" style="1247" customWidth="1"/>
    <col min="7485" max="7485" width="6.42578125" style="1247" customWidth="1"/>
    <col min="7486" max="7486" width="5.85546875" style="1247" customWidth="1"/>
    <col min="7487" max="7487" width="13.28515625" style="1247" customWidth="1"/>
    <col min="7488" max="7488" width="10.85546875" style="1247" customWidth="1"/>
    <col min="7489" max="7489" width="9.28515625" style="1247" customWidth="1"/>
    <col min="7490" max="7738" width="9" style="1247"/>
    <col min="7739" max="7739" width="12.85546875" style="1247" customWidth="1"/>
    <col min="7740" max="7740" width="119.7109375" style="1247" customWidth="1"/>
    <col min="7741" max="7741" width="6.42578125" style="1247" customWidth="1"/>
    <col min="7742" max="7742" width="5.85546875" style="1247" customWidth="1"/>
    <col min="7743" max="7743" width="13.28515625" style="1247" customWidth="1"/>
    <col min="7744" max="7744" width="10.85546875" style="1247" customWidth="1"/>
    <col min="7745" max="7745" width="9.28515625" style="1247" customWidth="1"/>
    <col min="7746" max="7994" width="9" style="1247"/>
    <col min="7995" max="7995" width="12.85546875" style="1247" customWidth="1"/>
    <col min="7996" max="7996" width="119.7109375" style="1247" customWidth="1"/>
    <col min="7997" max="7997" width="6.42578125" style="1247" customWidth="1"/>
    <col min="7998" max="7998" width="5.85546875" style="1247" customWidth="1"/>
    <col min="7999" max="7999" width="13.28515625" style="1247" customWidth="1"/>
    <col min="8000" max="8000" width="10.85546875" style="1247" customWidth="1"/>
    <col min="8001" max="8001" width="9.28515625" style="1247" customWidth="1"/>
    <col min="8002" max="8250" width="9" style="1247"/>
    <col min="8251" max="8251" width="12.85546875" style="1247" customWidth="1"/>
    <col min="8252" max="8252" width="119.7109375" style="1247" customWidth="1"/>
    <col min="8253" max="8253" width="6.42578125" style="1247" customWidth="1"/>
    <col min="8254" max="8254" width="5.85546875" style="1247" customWidth="1"/>
    <col min="8255" max="8255" width="13.28515625" style="1247" customWidth="1"/>
    <col min="8256" max="8256" width="10.85546875" style="1247" customWidth="1"/>
    <col min="8257" max="8257" width="9.28515625" style="1247" customWidth="1"/>
    <col min="8258" max="8506" width="9" style="1247"/>
    <col min="8507" max="8507" width="12.85546875" style="1247" customWidth="1"/>
    <col min="8508" max="8508" width="119.7109375" style="1247" customWidth="1"/>
    <col min="8509" max="8509" width="6.42578125" style="1247" customWidth="1"/>
    <col min="8510" max="8510" width="5.85546875" style="1247" customWidth="1"/>
    <col min="8511" max="8511" width="13.28515625" style="1247" customWidth="1"/>
    <col min="8512" max="8512" width="10.85546875" style="1247" customWidth="1"/>
    <col min="8513" max="8513" width="9.28515625" style="1247" customWidth="1"/>
    <col min="8514" max="8762" width="9" style="1247"/>
    <col min="8763" max="8763" width="12.85546875" style="1247" customWidth="1"/>
    <col min="8764" max="8764" width="119.7109375" style="1247" customWidth="1"/>
    <col min="8765" max="8765" width="6.42578125" style="1247" customWidth="1"/>
    <col min="8766" max="8766" width="5.85546875" style="1247" customWidth="1"/>
    <col min="8767" max="8767" width="13.28515625" style="1247" customWidth="1"/>
    <col min="8768" max="8768" width="10.85546875" style="1247" customWidth="1"/>
    <col min="8769" max="8769" width="9.28515625" style="1247" customWidth="1"/>
    <col min="8770" max="9018" width="9" style="1247"/>
    <col min="9019" max="9019" width="12.85546875" style="1247" customWidth="1"/>
    <col min="9020" max="9020" width="119.7109375" style="1247" customWidth="1"/>
    <col min="9021" max="9021" width="6.42578125" style="1247" customWidth="1"/>
    <col min="9022" max="9022" width="5.85546875" style="1247" customWidth="1"/>
    <col min="9023" max="9023" width="13.28515625" style="1247" customWidth="1"/>
    <col min="9024" max="9024" width="10.85546875" style="1247" customWidth="1"/>
    <col min="9025" max="9025" width="9.28515625" style="1247" customWidth="1"/>
    <col min="9026" max="9274" width="9" style="1247"/>
    <col min="9275" max="9275" width="12.85546875" style="1247" customWidth="1"/>
    <col min="9276" max="9276" width="119.7109375" style="1247" customWidth="1"/>
    <col min="9277" max="9277" width="6.42578125" style="1247" customWidth="1"/>
    <col min="9278" max="9278" width="5.85546875" style="1247" customWidth="1"/>
    <col min="9279" max="9279" width="13.28515625" style="1247" customWidth="1"/>
    <col min="9280" max="9280" width="10.85546875" style="1247" customWidth="1"/>
    <col min="9281" max="9281" width="9.28515625" style="1247" customWidth="1"/>
    <col min="9282" max="9530" width="9" style="1247"/>
    <col min="9531" max="9531" width="12.85546875" style="1247" customWidth="1"/>
    <col min="9532" max="9532" width="119.7109375" style="1247" customWidth="1"/>
    <col min="9533" max="9533" width="6.42578125" style="1247" customWidth="1"/>
    <col min="9534" max="9534" width="5.85546875" style="1247" customWidth="1"/>
    <col min="9535" max="9535" width="13.28515625" style="1247" customWidth="1"/>
    <col min="9536" max="9536" width="10.85546875" style="1247" customWidth="1"/>
    <col min="9537" max="9537" width="9.28515625" style="1247" customWidth="1"/>
    <col min="9538" max="9786" width="9" style="1247"/>
    <col min="9787" max="9787" width="12.85546875" style="1247" customWidth="1"/>
    <col min="9788" max="9788" width="119.7109375" style="1247" customWidth="1"/>
    <col min="9789" max="9789" width="6.42578125" style="1247" customWidth="1"/>
    <col min="9790" max="9790" width="5.85546875" style="1247" customWidth="1"/>
    <col min="9791" max="9791" width="13.28515625" style="1247" customWidth="1"/>
    <col min="9792" max="9792" width="10.85546875" style="1247" customWidth="1"/>
    <col min="9793" max="9793" width="9.28515625" style="1247" customWidth="1"/>
    <col min="9794" max="10042" width="9" style="1247"/>
    <col min="10043" max="10043" width="12.85546875" style="1247" customWidth="1"/>
    <col min="10044" max="10044" width="119.7109375" style="1247" customWidth="1"/>
    <col min="10045" max="10045" width="6.42578125" style="1247" customWidth="1"/>
    <col min="10046" max="10046" width="5.85546875" style="1247" customWidth="1"/>
    <col min="10047" max="10047" width="13.28515625" style="1247" customWidth="1"/>
    <col min="10048" max="10048" width="10.85546875" style="1247" customWidth="1"/>
    <col min="10049" max="10049" width="9.28515625" style="1247" customWidth="1"/>
    <col min="10050" max="10298" width="9" style="1247"/>
    <col min="10299" max="10299" width="12.85546875" style="1247" customWidth="1"/>
    <col min="10300" max="10300" width="119.7109375" style="1247" customWidth="1"/>
    <col min="10301" max="10301" width="6.42578125" style="1247" customWidth="1"/>
    <col min="10302" max="10302" width="5.85546875" style="1247" customWidth="1"/>
    <col min="10303" max="10303" width="13.28515625" style="1247" customWidth="1"/>
    <col min="10304" max="10304" width="10.85546875" style="1247" customWidth="1"/>
    <col min="10305" max="10305" width="9.28515625" style="1247" customWidth="1"/>
    <col min="10306" max="10554" width="9" style="1247"/>
    <col min="10555" max="10555" width="12.85546875" style="1247" customWidth="1"/>
    <col min="10556" max="10556" width="119.7109375" style="1247" customWidth="1"/>
    <col min="10557" max="10557" width="6.42578125" style="1247" customWidth="1"/>
    <col min="10558" max="10558" width="5.85546875" style="1247" customWidth="1"/>
    <col min="10559" max="10559" width="13.28515625" style="1247" customWidth="1"/>
    <col min="10560" max="10560" width="10.85546875" style="1247" customWidth="1"/>
    <col min="10561" max="10561" width="9.28515625" style="1247" customWidth="1"/>
    <col min="10562" max="10810" width="9" style="1247"/>
    <col min="10811" max="10811" width="12.85546875" style="1247" customWidth="1"/>
    <col min="10812" max="10812" width="119.7109375" style="1247" customWidth="1"/>
    <col min="10813" max="10813" width="6.42578125" style="1247" customWidth="1"/>
    <col min="10814" max="10814" width="5.85546875" style="1247" customWidth="1"/>
    <col min="10815" max="10815" width="13.28515625" style="1247" customWidth="1"/>
    <col min="10816" max="10816" width="10.85546875" style="1247" customWidth="1"/>
    <col min="10817" max="10817" width="9.28515625" style="1247" customWidth="1"/>
    <col min="10818" max="11066" width="9" style="1247"/>
    <col min="11067" max="11067" width="12.85546875" style="1247" customWidth="1"/>
    <col min="11068" max="11068" width="119.7109375" style="1247" customWidth="1"/>
    <col min="11069" max="11069" width="6.42578125" style="1247" customWidth="1"/>
    <col min="11070" max="11070" width="5.85546875" style="1247" customWidth="1"/>
    <col min="11071" max="11071" width="13.28515625" style="1247" customWidth="1"/>
    <col min="11072" max="11072" width="10.85546875" style="1247" customWidth="1"/>
    <col min="11073" max="11073" width="9.28515625" style="1247" customWidth="1"/>
    <col min="11074" max="11322" width="9" style="1247"/>
    <col min="11323" max="11323" width="12.85546875" style="1247" customWidth="1"/>
    <col min="11324" max="11324" width="119.7109375" style="1247" customWidth="1"/>
    <col min="11325" max="11325" width="6.42578125" style="1247" customWidth="1"/>
    <col min="11326" max="11326" width="5.85546875" style="1247" customWidth="1"/>
    <col min="11327" max="11327" width="13.28515625" style="1247" customWidth="1"/>
    <col min="11328" max="11328" width="10.85546875" style="1247" customWidth="1"/>
    <col min="11329" max="11329" width="9.28515625" style="1247" customWidth="1"/>
    <col min="11330" max="11578" width="9" style="1247"/>
    <col min="11579" max="11579" width="12.85546875" style="1247" customWidth="1"/>
    <col min="11580" max="11580" width="119.7109375" style="1247" customWidth="1"/>
    <col min="11581" max="11581" width="6.42578125" style="1247" customWidth="1"/>
    <col min="11582" max="11582" width="5.85546875" style="1247" customWidth="1"/>
    <col min="11583" max="11583" width="13.28515625" style="1247" customWidth="1"/>
    <col min="11584" max="11584" width="10.85546875" style="1247" customWidth="1"/>
    <col min="11585" max="11585" width="9.28515625" style="1247" customWidth="1"/>
    <col min="11586" max="11834" width="9" style="1247"/>
    <col min="11835" max="11835" width="12.85546875" style="1247" customWidth="1"/>
    <col min="11836" max="11836" width="119.7109375" style="1247" customWidth="1"/>
    <col min="11837" max="11837" width="6.42578125" style="1247" customWidth="1"/>
    <col min="11838" max="11838" width="5.85546875" style="1247" customWidth="1"/>
    <col min="11839" max="11839" width="13.28515625" style="1247" customWidth="1"/>
    <col min="11840" max="11840" width="10.85546875" style="1247" customWidth="1"/>
    <col min="11841" max="11841" width="9.28515625" style="1247" customWidth="1"/>
    <col min="11842" max="12090" width="9" style="1247"/>
    <col min="12091" max="12091" width="12.85546875" style="1247" customWidth="1"/>
    <col min="12092" max="12092" width="119.7109375" style="1247" customWidth="1"/>
    <col min="12093" max="12093" width="6.42578125" style="1247" customWidth="1"/>
    <col min="12094" max="12094" width="5.85546875" style="1247" customWidth="1"/>
    <col min="12095" max="12095" width="13.28515625" style="1247" customWidth="1"/>
    <col min="12096" max="12096" width="10.85546875" style="1247" customWidth="1"/>
    <col min="12097" max="12097" width="9.28515625" style="1247" customWidth="1"/>
    <col min="12098" max="12346" width="9" style="1247"/>
    <col min="12347" max="12347" width="12.85546875" style="1247" customWidth="1"/>
    <col min="12348" max="12348" width="119.7109375" style="1247" customWidth="1"/>
    <col min="12349" max="12349" width="6.42578125" style="1247" customWidth="1"/>
    <col min="12350" max="12350" width="5.85546875" style="1247" customWidth="1"/>
    <col min="12351" max="12351" width="13.28515625" style="1247" customWidth="1"/>
    <col min="12352" max="12352" width="10.85546875" style="1247" customWidth="1"/>
    <col min="12353" max="12353" width="9.28515625" style="1247" customWidth="1"/>
    <col min="12354" max="12602" width="9" style="1247"/>
    <col min="12603" max="12603" width="12.85546875" style="1247" customWidth="1"/>
    <col min="12604" max="12604" width="119.7109375" style="1247" customWidth="1"/>
    <col min="12605" max="12605" width="6.42578125" style="1247" customWidth="1"/>
    <col min="12606" max="12606" width="5.85546875" style="1247" customWidth="1"/>
    <col min="12607" max="12607" width="13.28515625" style="1247" customWidth="1"/>
    <col min="12608" max="12608" width="10.85546875" style="1247" customWidth="1"/>
    <col min="12609" max="12609" width="9.28515625" style="1247" customWidth="1"/>
    <col min="12610" max="12858" width="9" style="1247"/>
    <col min="12859" max="12859" width="12.85546875" style="1247" customWidth="1"/>
    <col min="12860" max="12860" width="119.7109375" style="1247" customWidth="1"/>
    <col min="12861" max="12861" width="6.42578125" style="1247" customWidth="1"/>
    <col min="12862" max="12862" width="5.85546875" style="1247" customWidth="1"/>
    <col min="12863" max="12863" width="13.28515625" style="1247" customWidth="1"/>
    <col min="12864" max="12864" width="10.85546875" style="1247" customWidth="1"/>
    <col min="12865" max="12865" width="9.28515625" style="1247" customWidth="1"/>
    <col min="12866" max="13114" width="9" style="1247"/>
    <col min="13115" max="13115" width="12.85546875" style="1247" customWidth="1"/>
    <col min="13116" max="13116" width="119.7109375" style="1247" customWidth="1"/>
    <col min="13117" max="13117" width="6.42578125" style="1247" customWidth="1"/>
    <col min="13118" max="13118" width="5.85546875" style="1247" customWidth="1"/>
    <col min="13119" max="13119" width="13.28515625" style="1247" customWidth="1"/>
    <col min="13120" max="13120" width="10.85546875" style="1247" customWidth="1"/>
    <col min="13121" max="13121" width="9.28515625" style="1247" customWidth="1"/>
    <col min="13122" max="13370" width="9" style="1247"/>
    <col min="13371" max="13371" width="12.85546875" style="1247" customWidth="1"/>
    <col min="13372" max="13372" width="119.7109375" style="1247" customWidth="1"/>
    <col min="13373" max="13373" width="6.42578125" style="1247" customWidth="1"/>
    <col min="13374" max="13374" width="5.85546875" style="1247" customWidth="1"/>
    <col min="13375" max="13375" width="13.28515625" style="1247" customWidth="1"/>
    <col min="13376" max="13376" width="10.85546875" style="1247" customWidth="1"/>
    <col min="13377" max="13377" width="9.28515625" style="1247" customWidth="1"/>
    <col min="13378" max="13626" width="9" style="1247"/>
    <col min="13627" max="13627" width="12.85546875" style="1247" customWidth="1"/>
    <col min="13628" max="13628" width="119.7109375" style="1247" customWidth="1"/>
    <col min="13629" max="13629" width="6.42578125" style="1247" customWidth="1"/>
    <col min="13630" max="13630" width="5.85546875" style="1247" customWidth="1"/>
    <col min="13631" max="13631" width="13.28515625" style="1247" customWidth="1"/>
    <col min="13632" max="13632" width="10.85546875" style="1247" customWidth="1"/>
    <col min="13633" max="13633" width="9.28515625" style="1247" customWidth="1"/>
    <col min="13634" max="13882" width="9" style="1247"/>
    <col min="13883" max="13883" width="12.85546875" style="1247" customWidth="1"/>
    <col min="13884" max="13884" width="119.7109375" style="1247" customWidth="1"/>
    <col min="13885" max="13885" width="6.42578125" style="1247" customWidth="1"/>
    <col min="13886" max="13886" width="5.85546875" style="1247" customWidth="1"/>
    <col min="13887" max="13887" width="13.28515625" style="1247" customWidth="1"/>
    <col min="13888" max="13888" width="10.85546875" style="1247" customWidth="1"/>
    <col min="13889" max="13889" width="9.28515625" style="1247" customWidth="1"/>
    <col min="13890" max="14138" width="9" style="1247"/>
    <col min="14139" max="14139" width="12.85546875" style="1247" customWidth="1"/>
    <col min="14140" max="14140" width="119.7109375" style="1247" customWidth="1"/>
    <col min="14141" max="14141" width="6.42578125" style="1247" customWidth="1"/>
    <col min="14142" max="14142" width="5.85546875" style="1247" customWidth="1"/>
    <col min="14143" max="14143" width="13.28515625" style="1247" customWidth="1"/>
    <col min="14144" max="14144" width="10.85546875" style="1247" customWidth="1"/>
    <col min="14145" max="14145" width="9.28515625" style="1247" customWidth="1"/>
    <col min="14146" max="14394" width="9" style="1247"/>
    <col min="14395" max="14395" width="12.85546875" style="1247" customWidth="1"/>
    <col min="14396" max="14396" width="119.7109375" style="1247" customWidth="1"/>
    <col min="14397" max="14397" width="6.42578125" style="1247" customWidth="1"/>
    <col min="14398" max="14398" width="5.85546875" style="1247" customWidth="1"/>
    <col min="14399" max="14399" width="13.28515625" style="1247" customWidth="1"/>
    <col min="14400" max="14400" width="10.85546875" style="1247" customWidth="1"/>
    <col min="14401" max="14401" width="9.28515625" style="1247" customWidth="1"/>
    <col min="14402" max="14650" width="9" style="1247"/>
    <col min="14651" max="14651" width="12.85546875" style="1247" customWidth="1"/>
    <col min="14652" max="14652" width="119.7109375" style="1247" customWidth="1"/>
    <col min="14653" max="14653" width="6.42578125" style="1247" customWidth="1"/>
    <col min="14654" max="14654" width="5.85546875" style="1247" customWidth="1"/>
    <col min="14655" max="14655" width="13.28515625" style="1247" customWidth="1"/>
    <col min="14656" max="14656" width="10.85546875" style="1247" customWidth="1"/>
    <col min="14657" max="14657" width="9.28515625" style="1247" customWidth="1"/>
    <col min="14658" max="14906" width="9" style="1247"/>
    <col min="14907" max="14907" width="12.85546875" style="1247" customWidth="1"/>
    <col min="14908" max="14908" width="119.7109375" style="1247" customWidth="1"/>
    <col min="14909" max="14909" width="6.42578125" style="1247" customWidth="1"/>
    <col min="14910" max="14910" width="5.85546875" style="1247" customWidth="1"/>
    <col min="14911" max="14911" width="13.28515625" style="1247" customWidth="1"/>
    <col min="14912" max="14912" width="10.85546875" style="1247" customWidth="1"/>
    <col min="14913" max="14913" width="9.28515625" style="1247" customWidth="1"/>
    <col min="14914" max="15162" width="9" style="1247"/>
    <col min="15163" max="15163" width="12.85546875" style="1247" customWidth="1"/>
    <col min="15164" max="15164" width="119.7109375" style="1247" customWidth="1"/>
    <col min="15165" max="15165" width="6.42578125" style="1247" customWidth="1"/>
    <col min="15166" max="15166" width="5.85546875" style="1247" customWidth="1"/>
    <col min="15167" max="15167" width="13.28515625" style="1247" customWidth="1"/>
    <col min="15168" max="15168" width="10.85546875" style="1247" customWidth="1"/>
    <col min="15169" max="15169" width="9.28515625" style="1247" customWidth="1"/>
    <col min="15170" max="15418" width="9" style="1247"/>
    <col min="15419" max="15419" width="12.85546875" style="1247" customWidth="1"/>
    <col min="15420" max="15420" width="119.7109375" style="1247" customWidth="1"/>
    <col min="15421" max="15421" width="6.42578125" style="1247" customWidth="1"/>
    <col min="15422" max="15422" width="5.85546875" style="1247" customWidth="1"/>
    <col min="15423" max="15423" width="13.28515625" style="1247" customWidth="1"/>
    <col min="15424" max="15424" width="10.85546875" style="1247" customWidth="1"/>
    <col min="15425" max="15425" width="9.28515625" style="1247" customWidth="1"/>
    <col min="15426" max="15674" width="9" style="1247"/>
    <col min="15675" max="15675" width="12.85546875" style="1247" customWidth="1"/>
    <col min="15676" max="15676" width="119.7109375" style="1247" customWidth="1"/>
    <col min="15677" max="15677" width="6.42578125" style="1247" customWidth="1"/>
    <col min="15678" max="15678" width="5.85546875" style="1247" customWidth="1"/>
    <col min="15679" max="15679" width="13.28515625" style="1247" customWidth="1"/>
    <col min="15680" max="15680" width="10.85546875" style="1247" customWidth="1"/>
    <col min="15681" max="15681" width="9.28515625" style="1247" customWidth="1"/>
    <col min="15682" max="16384" width="9" style="1247"/>
  </cols>
  <sheetData>
    <row r="2" spans="6:13" ht="20.25" customHeight="1" x14ac:dyDescent="0.2">
      <c r="F2" s="1758" t="s">
        <v>720</v>
      </c>
      <c r="G2" s="1758"/>
      <c r="H2" s="1758"/>
      <c r="I2" s="1758"/>
      <c r="J2" s="1758"/>
      <c r="K2" s="1758"/>
      <c r="L2" s="1380"/>
      <c r="M2" s="1380"/>
    </row>
    <row r="3" spans="6:13" s="1383" customFormat="1" hidden="1" x14ac:dyDescent="0.25">
      <c r="F3" s="1242"/>
      <c r="G3" s="1381"/>
      <c r="H3" s="1382"/>
    </row>
    <row r="4" spans="6:13" s="1383" customFormat="1" ht="15" thickBot="1" x14ac:dyDescent="0.3">
      <c r="F4" s="1384" t="str">
        <f>Prod!B4</f>
        <v>Periode 01 s/d 30 September 2024</v>
      </c>
      <c r="G4" s="1381"/>
      <c r="H4" s="1382"/>
    </row>
    <row r="5" spans="6:13" s="1383" customFormat="1" ht="15" customHeight="1" thickTop="1" thickBot="1" x14ac:dyDescent="0.3">
      <c r="F5" s="1759" t="s">
        <v>177</v>
      </c>
      <c r="G5" s="1761" t="s">
        <v>721</v>
      </c>
      <c r="H5" s="1763" t="s">
        <v>722</v>
      </c>
      <c r="I5" s="1765" t="s">
        <v>723</v>
      </c>
      <c r="J5" s="1766"/>
      <c r="K5" s="1767"/>
      <c r="L5" s="1162"/>
      <c r="M5" s="1386" t="s">
        <v>724</v>
      </c>
    </row>
    <row r="6" spans="6:13" s="1383" customFormat="1" ht="16.5" thickTop="1" thickBot="1" x14ac:dyDescent="0.3">
      <c r="F6" s="1760"/>
      <c r="G6" s="1762"/>
      <c r="H6" s="1764"/>
      <c r="I6" s="1387" t="s">
        <v>725</v>
      </c>
      <c r="J6" s="1387" t="s">
        <v>726</v>
      </c>
      <c r="K6" s="1388" t="s">
        <v>25</v>
      </c>
      <c r="L6" s="1162"/>
      <c r="M6" s="1162"/>
    </row>
    <row r="7" spans="6:13" s="1383" customFormat="1" ht="14.45" customHeight="1" thickTop="1" x14ac:dyDescent="0.25">
      <c r="F7" s="1389">
        <v>1</v>
      </c>
      <c r="G7" s="1390">
        <f>'[31]LAPORAN PRODUKSI'!F11</f>
        <v>0</v>
      </c>
      <c r="H7" s="1391" t="s">
        <v>727</v>
      </c>
      <c r="I7" s="1392"/>
      <c r="J7" s="1392">
        <f>(2200-(G7/1000))/91.66</f>
        <v>24.001745581496838</v>
      </c>
      <c r="K7" s="1393">
        <f>G7/2200/1000</f>
        <v>0</v>
      </c>
      <c r="L7" s="1394"/>
      <c r="M7" s="1395">
        <f>(G7/1000)/24</f>
        <v>0</v>
      </c>
    </row>
    <row r="8" spans="6:13" s="1383" customFormat="1" ht="15.6" customHeight="1" x14ac:dyDescent="0.25">
      <c r="F8" s="1396">
        <v>2</v>
      </c>
      <c r="G8" s="1397">
        <f>'[31]LAPORAN PRODUKSI'!G11</f>
        <v>11.231454545454547</v>
      </c>
      <c r="H8" s="1391" t="s">
        <v>727</v>
      </c>
      <c r="I8" s="1398"/>
      <c r="J8" s="1398">
        <f t="shared" ref="J8:J23" si="0">(2200-(G8/1000))/91.66</f>
        <v>24.001623047626605</v>
      </c>
      <c r="K8" s="1393">
        <f t="shared" ref="K8:K37" si="1">G8/2200/1000</f>
        <v>5.1052066115702482E-6</v>
      </c>
      <c r="L8" s="1394"/>
      <c r="M8" s="1395">
        <f t="shared" ref="M8:M35" si="2">(G8/1000)/24</f>
        <v>4.6797727272727274E-4</v>
      </c>
    </row>
    <row r="9" spans="6:13" s="1383" customFormat="1" x14ac:dyDescent="0.25">
      <c r="F9" s="1399">
        <v>3</v>
      </c>
      <c r="G9" s="1397">
        <f>'[31]LAPORAN PRODUKSI'!H11</f>
        <v>22.42490909090909</v>
      </c>
      <c r="H9" s="1391" t="s">
        <v>728</v>
      </c>
      <c r="I9" s="1398"/>
      <c r="J9" s="1398">
        <f t="shared" si="0"/>
        <v>24.001500928331975</v>
      </c>
      <c r="K9" s="1393">
        <f t="shared" si="1"/>
        <v>1.0193140495867768E-5</v>
      </c>
      <c r="L9" s="1394"/>
      <c r="M9" s="1395">
        <f t="shared" si="2"/>
        <v>9.3437121212121201E-4</v>
      </c>
    </row>
    <row r="10" spans="6:13" s="1383" customFormat="1" x14ac:dyDescent="0.25">
      <c r="F10" s="1399">
        <v>4</v>
      </c>
      <c r="G10" s="1397">
        <f>'[31]LAPORAN PRODUKSI'!I11</f>
        <v>7.7860454545454534</v>
      </c>
      <c r="H10" s="1391" t="s">
        <v>728</v>
      </c>
      <c r="I10" s="1398"/>
      <c r="J10" s="1398">
        <f t="shared" si="0"/>
        <v>24.001660636641343</v>
      </c>
      <c r="K10" s="1393">
        <f t="shared" si="1"/>
        <v>3.5391115702479333E-6</v>
      </c>
      <c r="L10" s="1394"/>
      <c r="M10" s="1395">
        <f t="shared" si="2"/>
        <v>3.2441856060606058E-4</v>
      </c>
    </row>
    <row r="11" spans="6:13" s="1383" customFormat="1" x14ac:dyDescent="0.25">
      <c r="F11" s="1399">
        <v>5</v>
      </c>
      <c r="G11" s="1397">
        <f>'[31]LAPORAN PRODUKSI'!J11</f>
        <v>11.154136363636365</v>
      </c>
      <c r="H11" s="1391" t="s">
        <v>728</v>
      </c>
      <c r="I11" s="1398"/>
      <c r="J11" s="1398">
        <f t="shared" si="0"/>
        <v>24.001623891159028</v>
      </c>
      <c r="K11" s="1393">
        <f t="shared" si="1"/>
        <v>5.0700619834710755E-6</v>
      </c>
      <c r="L11" s="1394"/>
      <c r="M11" s="1395">
        <f t="shared" si="2"/>
        <v>4.6475568181818185E-4</v>
      </c>
    </row>
    <row r="12" spans="6:13" s="1383" customFormat="1" x14ac:dyDescent="0.25">
      <c r="F12" s="1399">
        <v>6</v>
      </c>
      <c r="G12" s="1397">
        <f>'[31]LAPORAN PRODUKSI'!K11</f>
        <v>0</v>
      </c>
      <c r="H12" s="1391" t="s">
        <v>728</v>
      </c>
      <c r="I12" s="1398"/>
      <c r="J12" s="1398">
        <f t="shared" si="0"/>
        <v>24.001745581496838</v>
      </c>
      <c r="K12" s="1393">
        <f t="shared" si="1"/>
        <v>0</v>
      </c>
      <c r="L12" s="1394"/>
      <c r="M12" s="1395">
        <f t="shared" si="2"/>
        <v>0</v>
      </c>
    </row>
    <row r="13" spans="6:13" s="1383" customFormat="1" x14ac:dyDescent="0.25">
      <c r="F13" s="1399">
        <v>7</v>
      </c>
      <c r="G13" s="1397">
        <f>'[31]LAPORAN PRODUKSI'!L11</f>
        <v>0</v>
      </c>
      <c r="H13" s="1391" t="s">
        <v>728</v>
      </c>
      <c r="I13" s="1398"/>
      <c r="J13" s="1398">
        <f t="shared" si="0"/>
        <v>24.001745581496838</v>
      </c>
      <c r="K13" s="1393">
        <f t="shared" si="1"/>
        <v>0</v>
      </c>
      <c r="L13" s="1394"/>
      <c r="M13" s="1395">
        <f t="shared" si="2"/>
        <v>0</v>
      </c>
    </row>
    <row r="14" spans="6:13" s="1383" customFormat="1" x14ac:dyDescent="0.25">
      <c r="F14" s="1399">
        <v>8</v>
      </c>
      <c r="G14" s="1397">
        <f>'[31]LAPORAN PRODUKSI'!M11</f>
        <v>0</v>
      </c>
      <c r="H14" s="1391" t="s">
        <v>728</v>
      </c>
      <c r="I14" s="1398"/>
      <c r="J14" s="1398">
        <f t="shared" si="0"/>
        <v>24.001745581496838</v>
      </c>
      <c r="K14" s="1393">
        <f t="shared" si="1"/>
        <v>0</v>
      </c>
      <c r="L14" s="1394"/>
      <c r="M14" s="1395">
        <f t="shared" si="2"/>
        <v>0</v>
      </c>
    </row>
    <row r="15" spans="6:13" s="1383" customFormat="1" x14ac:dyDescent="0.25">
      <c r="F15" s="1399">
        <v>9</v>
      </c>
      <c r="G15" s="1397">
        <f>'[31]LAPORAN PRODUKSI'!N11</f>
        <v>0</v>
      </c>
      <c r="H15" s="1391" t="s">
        <v>729</v>
      </c>
      <c r="I15" s="1398"/>
      <c r="J15" s="1398">
        <f t="shared" si="0"/>
        <v>24.001745581496838</v>
      </c>
      <c r="K15" s="1393">
        <f t="shared" si="1"/>
        <v>0</v>
      </c>
      <c r="L15" s="1394"/>
      <c r="M15" s="1395">
        <f t="shared" si="2"/>
        <v>0</v>
      </c>
    </row>
    <row r="16" spans="6:13" s="1383" customFormat="1" x14ac:dyDescent="0.2">
      <c r="F16" s="1399">
        <v>10</v>
      </c>
      <c r="G16" s="1400">
        <f>'[31]LAPORAN PRODUKSI'!O11</f>
        <v>0</v>
      </c>
      <c r="H16" s="1391" t="s">
        <v>730</v>
      </c>
      <c r="I16" s="1398"/>
      <c r="J16" s="1398">
        <f t="shared" si="0"/>
        <v>24.001745581496838</v>
      </c>
      <c r="K16" s="1393">
        <f t="shared" si="1"/>
        <v>0</v>
      </c>
      <c r="L16" s="1394"/>
      <c r="M16" s="1395">
        <f t="shared" si="2"/>
        <v>0</v>
      </c>
    </row>
    <row r="17" spans="6:13" s="1383" customFormat="1" x14ac:dyDescent="0.25">
      <c r="F17" s="1399">
        <v>11</v>
      </c>
      <c r="G17" s="1397">
        <f>'[31]LAPORAN PRODUKSI'!P11</f>
        <v>0</v>
      </c>
      <c r="H17" s="1391" t="s">
        <v>728</v>
      </c>
      <c r="I17" s="1398"/>
      <c r="J17" s="1398">
        <f t="shared" si="0"/>
        <v>24.001745581496838</v>
      </c>
      <c r="K17" s="1393">
        <f t="shared" si="1"/>
        <v>0</v>
      </c>
      <c r="L17" s="1394"/>
      <c r="M17" s="1395">
        <f t="shared" si="2"/>
        <v>0</v>
      </c>
    </row>
    <row r="18" spans="6:13" s="1383" customFormat="1" x14ac:dyDescent="0.25">
      <c r="F18" s="1399">
        <v>12</v>
      </c>
      <c r="G18" s="1397">
        <f>'[31]LAPORAN PRODUKSI'!Q11</f>
        <v>0</v>
      </c>
      <c r="H18" s="1391" t="s">
        <v>728</v>
      </c>
      <c r="I18" s="1398"/>
      <c r="J18" s="1398">
        <f t="shared" si="0"/>
        <v>24.001745581496838</v>
      </c>
      <c r="K18" s="1393">
        <f t="shared" si="1"/>
        <v>0</v>
      </c>
      <c r="L18" s="1394"/>
      <c r="M18" s="1395">
        <f t="shared" si="2"/>
        <v>0</v>
      </c>
    </row>
    <row r="19" spans="6:13" s="1383" customFormat="1" x14ac:dyDescent="0.25">
      <c r="F19" s="1399">
        <v>13</v>
      </c>
      <c r="G19" s="1397">
        <f>'[31]LAPORAN PRODUKSI'!R11</f>
        <v>0</v>
      </c>
      <c r="H19" s="1391" t="s">
        <v>731</v>
      </c>
      <c r="I19" s="1398"/>
      <c r="J19" s="1398">
        <f t="shared" si="0"/>
        <v>24.001745581496838</v>
      </c>
      <c r="K19" s="1393">
        <f t="shared" si="1"/>
        <v>0</v>
      </c>
      <c r="L19" s="1394"/>
      <c r="M19" s="1395">
        <f t="shared" si="2"/>
        <v>0</v>
      </c>
    </row>
    <row r="20" spans="6:13" s="1383" customFormat="1" x14ac:dyDescent="0.25">
      <c r="F20" s="1399">
        <v>14</v>
      </c>
      <c r="G20" s="1397">
        <f>'[31]LAPORAN PRODUKSI'!S11</f>
        <v>0</v>
      </c>
      <c r="H20" s="1391" t="s">
        <v>730</v>
      </c>
      <c r="I20" s="1398"/>
      <c r="J20" s="1398">
        <f t="shared" si="0"/>
        <v>24.001745581496838</v>
      </c>
      <c r="K20" s="1393">
        <f t="shared" si="1"/>
        <v>0</v>
      </c>
      <c r="L20" s="1394"/>
      <c r="M20" s="1395">
        <f t="shared" si="2"/>
        <v>0</v>
      </c>
    </row>
    <row r="21" spans="6:13" s="1383" customFormat="1" x14ac:dyDescent="0.25">
      <c r="F21" s="1399">
        <v>15</v>
      </c>
      <c r="G21" s="1397">
        <f>'[31]LAPORAN PRODUKSI'!T11</f>
        <v>0</v>
      </c>
      <c r="H21" s="1391" t="s">
        <v>730</v>
      </c>
      <c r="I21" s="1398"/>
      <c r="J21" s="1398">
        <f t="shared" si="0"/>
        <v>24.001745581496838</v>
      </c>
      <c r="K21" s="1393">
        <f t="shared" si="1"/>
        <v>0</v>
      </c>
      <c r="L21" s="1394"/>
      <c r="M21" s="1395">
        <f t="shared" si="2"/>
        <v>0</v>
      </c>
    </row>
    <row r="22" spans="6:13" s="1383" customFormat="1" x14ac:dyDescent="0.25">
      <c r="F22" s="1399">
        <v>16</v>
      </c>
      <c r="G22" s="1397">
        <f>'[31]LAPORAN PRODUKSI'!U11</f>
        <v>0</v>
      </c>
      <c r="H22" s="1391" t="s">
        <v>731</v>
      </c>
      <c r="I22" s="1398"/>
      <c r="J22" s="1398">
        <f t="shared" si="0"/>
        <v>24.001745581496838</v>
      </c>
      <c r="K22" s="1393">
        <f t="shared" si="1"/>
        <v>0</v>
      </c>
      <c r="L22" s="1394"/>
      <c r="M22" s="1395">
        <f t="shared" si="2"/>
        <v>0</v>
      </c>
    </row>
    <row r="23" spans="6:13" s="1383" customFormat="1" x14ac:dyDescent="0.25">
      <c r="F23" s="1399">
        <v>17</v>
      </c>
      <c r="G23" s="1397">
        <f>'[31]LAPORAN PRODUKSI'!V11</f>
        <v>0</v>
      </c>
      <c r="H23" s="1391" t="s">
        <v>731</v>
      </c>
      <c r="I23" s="1398"/>
      <c r="J23" s="1398">
        <f t="shared" si="0"/>
        <v>24.001745581496838</v>
      </c>
      <c r="K23" s="1393">
        <f t="shared" si="1"/>
        <v>0</v>
      </c>
      <c r="L23" s="1394"/>
      <c r="M23" s="1395">
        <f t="shared" si="2"/>
        <v>0</v>
      </c>
    </row>
    <row r="24" spans="6:13" s="1383" customFormat="1" x14ac:dyDescent="0.25">
      <c r="F24" s="1401">
        <v>18</v>
      </c>
      <c r="G24" s="1397">
        <f>'[31]LAPORAN PRODUKSI'!W11</f>
        <v>0</v>
      </c>
      <c r="H24" s="1391" t="s">
        <v>731</v>
      </c>
      <c r="I24" s="1398"/>
      <c r="J24" s="1398">
        <f>(2200-(G24/1000))/91.66</f>
        <v>24.001745581496838</v>
      </c>
      <c r="K24" s="1393">
        <f t="shared" si="1"/>
        <v>0</v>
      </c>
      <c r="L24" s="1394"/>
      <c r="M24" s="1395">
        <f t="shared" si="2"/>
        <v>0</v>
      </c>
    </row>
    <row r="25" spans="6:13" s="1383" customFormat="1" x14ac:dyDescent="0.25">
      <c r="F25" s="1401">
        <v>19</v>
      </c>
      <c r="G25" s="1397">
        <f>'[31]LAPORAN PRODUKSI'!X11</f>
        <v>27.729227272727275</v>
      </c>
      <c r="H25" s="1391" t="s">
        <v>731</v>
      </c>
      <c r="I25" s="1398"/>
      <c r="J25" s="1398">
        <f t="shared" ref="J25:J37" si="3">(2200-(G25/1000))/91.66</f>
        <v>24.001443058834035</v>
      </c>
      <c r="K25" s="1393">
        <f t="shared" si="1"/>
        <v>1.2604194214876035E-5</v>
      </c>
      <c r="L25" s="1394"/>
      <c r="M25" s="1395">
        <f t="shared" si="2"/>
        <v>1.1553844696969699E-3</v>
      </c>
    </row>
    <row r="26" spans="6:13" s="1383" customFormat="1" x14ac:dyDescent="0.25">
      <c r="F26" s="1401">
        <v>20</v>
      </c>
      <c r="G26" s="1397">
        <f>'[31]LAPORAN PRODUKSI'!Y11</f>
        <v>56.458727272727273</v>
      </c>
      <c r="H26" s="1391" t="s">
        <v>732</v>
      </c>
      <c r="I26" s="1398"/>
      <c r="J26" s="1398">
        <f t="shared" si="3"/>
        <v>24.001129623311446</v>
      </c>
      <c r="K26" s="1393">
        <f t="shared" si="1"/>
        <v>2.5663057851239669E-5</v>
      </c>
      <c r="L26" s="1394"/>
      <c r="M26" s="1395">
        <f t="shared" si="2"/>
        <v>2.3524469696969696E-3</v>
      </c>
    </row>
    <row r="27" spans="6:13" s="1383" customFormat="1" x14ac:dyDescent="0.25">
      <c r="F27" s="1401">
        <v>21</v>
      </c>
      <c r="G27" s="1397">
        <f>'[31]LAPORAN PRODUKSI'!Z11</f>
        <v>62.590545454545456</v>
      </c>
      <c r="H27" s="1391" t="s">
        <v>733</v>
      </c>
      <c r="I27" s="1398"/>
      <c r="J27" s="1398">
        <f t="shared" si="3"/>
        <v>24.0010627258842</v>
      </c>
      <c r="K27" s="1393">
        <f t="shared" si="1"/>
        <v>2.8450247933884297E-5</v>
      </c>
      <c r="L27" s="1394"/>
      <c r="M27" s="1395">
        <f t="shared" si="2"/>
        <v>2.6079393939393938E-3</v>
      </c>
    </row>
    <row r="28" spans="6:13" s="1383" customFormat="1" x14ac:dyDescent="0.25">
      <c r="F28" s="1401">
        <v>22</v>
      </c>
      <c r="G28" s="1397">
        <f>'[31]LAPORAN PRODUKSI'!AA11</f>
        <v>25.77509090909091</v>
      </c>
      <c r="H28" s="1391" t="s">
        <v>730</v>
      </c>
      <c r="I28" s="1398"/>
      <c r="J28" s="1398">
        <f t="shared" si="3"/>
        <v>24.001464378235774</v>
      </c>
      <c r="K28" s="1393">
        <f t="shared" si="1"/>
        <v>1.171595041322314E-5</v>
      </c>
      <c r="L28" s="1394"/>
      <c r="M28" s="1395">
        <f t="shared" si="2"/>
        <v>1.0739621212121212E-3</v>
      </c>
    </row>
    <row r="29" spans="6:13" s="1383" customFormat="1" x14ac:dyDescent="0.25">
      <c r="F29" s="1401">
        <v>23</v>
      </c>
      <c r="G29" s="1397">
        <f>'[31]LAPORAN PRODUKSI'!AB11</f>
        <v>37.957045454545451</v>
      </c>
      <c r="H29" s="1391" t="s">
        <v>730</v>
      </c>
      <c r="I29" s="1398"/>
      <c r="J29" s="1398">
        <f t="shared" si="3"/>
        <v>24.001331474520459</v>
      </c>
      <c r="K29" s="1393">
        <f t="shared" si="1"/>
        <v>1.7253202479338843E-5</v>
      </c>
      <c r="L29" s="1394"/>
      <c r="M29" s="1395">
        <f t="shared" si="2"/>
        <v>1.5815435606060604E-3</v>
      </c>
    </row>
    <row r="30" spans="6:13" s="1383" customFormat="1" x14ac:dyDescent="0.25">
      <c r="F30" s="1401">
        <v>24</v>
      </c>
      <c r="G30" s="1397">
        <f>'[31]LAPORAN PRODUKSI'!AC11</f>
        <v>30.107454545454544</v>
      </c>
      <c r="H30" s="1391" t="s">
        <v>730</v>
      </c>
      <c r="I30" s="1398"/>
      <c r="J30" s="1398">
        <f t="shared" si="3"/>
        <v>24.001417112649516</v>
      </c>
      <c r="K30" s="1393">
        <f t="shared" si="1"/>
        <v>1.3685206611570248E-5</v>
      </c>
      <c r="L30" s="1394"/>
      <c r="M30" s="1395">
        <f t="shared" si="2"/>
        <v>1.2544772727272728E-3</v>
      </c>
    </row>
    <row r="31" spans="6:13" s="1383" customFormat="1" x14ac:dyDescent="0.25">
      <c r="F31" s="1401">
        <v>25</v>
      </c>
      <c r="G31" s="1397">
        <f>'[31]LAPORAN PRODUKSI'!AD11</f>
        <v>10.408954545454547</v>
      </c>
      <c r="H31" s="1391" t="s">
        <v>730</v>
      </c>
      <c r="I31" s="1398"/>
      <c r="J31" s="1398">
        <f t="shared" si="3"/>
        <v>24.00163202100649</v>
      </c>
      <c r="K31" s="1393">
        <f t="shared" si="1"/>
        <v>4.7313429752066121E-6</v>
      </c>
      <c r="L31" s="1394"/>
      <c r="M31" s="1395">
        <f t="shared" si="2"/>
        <v>4.3370643939393948E-4</v>
      </c>
    </row>
    <row r="32" spans="6:13" s="1383" customFormat="1" x14ac:dyDescent="0.25">
      <c r="F32" s="1401">
        <v>26</v>
      </c>
      <c r="G32" s="1397">
        <f>'[31]LAPORAN PRODUKSI'!AE11</f>
        <v>28.632636363636362</v>
      </c>
      <c r="H32" s="1391" t="s">
        <v>734</v>
      </c>
      <c r="I32" s="1398"/>
      <c r="J32" s="1398">
        <f t="shared" si="3"/>
        <v>24.001433202745325</v>
      </c>
      <c r="K32" s="1393">
        <f t="shared" si="1"/>
        <v>1.30148347107438E-5</v>
      </c>
      <c r="L32" s="1394"/>
      <c r="M32" s="1395">
        <f t="shared" si="2"/>
        <v>1.193026515151515E-3</v>
      </c>
    </row>
    <row r="33" spans="6:16" s="1383" customFormat="1" x14ac:dyDescent="0.25">
      <c r="F33" s="1401">
        <v>27</v>
      </c>
      <c r="G33" s="1397">
        <f>'[31]LAPORAN PRODUKSI'!AF11</f>
        <v>22.617954545454548</v>
      </c>
      <c r="H33" s="1391" t="s">
        <v>735</v>
      </c>
      <c r="I33" s="1398"/>
      <c r="J33" s="1398">
        <f t="shared" si="3"/>
        <v>24.001498822228395</v>
      </c>
      <c r="K33" s="1393">
        <f t="shared" si="1"/>
        <v>1.0280888429752068E-5</v>
      </c>
      <c r="L33" s="1394"/>
      <c r="M33" s="1395">
        <f t="shared" si="2"/>
        <v>9.4241477272727283E-4</v>
      </c>
    </row>
    <row r="34" spans="6:16" s="1383" customFormat="1" x14ac:dyDescent="0.25">
      <c r="F34" s="1401">
        <v>28</v>
      </c>
      <c r="G34" s="1397">
        <f>'[31]LAPORAN PRODUKSI'!AG11</f>
        <v>14.704818181818183</v>
      </c>
      <c r="H34" s="1391" t="s">
        <v>731</v>
      </c>
      <c r="I34" s="1398"/>
      <c r="J34" s="1398">
        <f t="shared" si="3"/>
        <v>24.001585153631012</v>
      </c>
      <c r="K34" s="1393">
        <f t="shared" si="1"/>
        <v>6.6840082644628105E-6</v>
      </c>
      <c r="L34" s="1394"/>
      <c r="M34" s="1395"/>
    </row>
    <row r="35" spans="6:16" s="1383" customFormat="1" x14ac:dyDescent="0.25">
      <c r="F35" s="1401">
        <v>29</v>
      </c>
      <c r="G35" s="1397">
        <f>'[31]LAPORAN PRODUKSI'!AH11</f>
        <v>7.4209090909090909</v>
      </c>
      <c r="H35" s="1391" t="s">
        <v>731</v>
      </c>
      <c r="I35" s="1398"/>
      <c r="J35" s="1398">
        <f t="shared" si="3"/>
        <v>24.001664620236845</v>
      </c>
      <c r="K35" s="1393">
        <f t="shared" si="1"/>
        <v>3.3731404958677683E-6</v>
      </c>
      <c r="L35" s="1394"/>
      <c r="M35" s="1395">
        <f t="shared" si="2"/>
        <v>3.0920454545454545E-4</v>
      </c>
    </row>
    <row r="36" spans="6:16" s="1383" customFormat="1" x14ac:dyDescent="0.25">
      <c r="F36" s="1401">
        <v>30</v>
      </c>
      <c r="G36" s="1397">
        <f>'[31]LAPORAN PRODUKSI'!AI11</f>
        <v>28.419181818181816</v>
      </c>
      <c r="H36" s="1391" t="s">
        <v>732</v>
      </c>
      <c r="I36" s="1398"/>
      <c r="J36" s="1398">
        <f t="shared" si="3"/>
        <v>24.001435531509731</v>
      </c>
      <c r="K36" s="1393">
        <f t="shared" si="1"/>
        <v>1.2917809917355371E-5</v>
      </c>
      <c r="L36" s="1394"/>
      <c r="M36" s="1395"/>
    </row>
    <row r="37" spans="6:16" s="1383" customFormat="1" ht="15" thickBot="1" x14ac:dyDescent="0.3">
      <c r="F37" s="1402">
        <v>31</v>
      </c>
      <c r="G37" s="1403">
        <f>'[31]LAPORAN PRODUKSI'!AJ11</f>
        <v>0</v>
      </c>
      <c r="H37" s="1391" t="s">
        <v>730</v>
      </c>
      <c r="I37" s="1404"/>
      <c r="J37" s="1398">
        <f t="shared" si="3"/>
        <v>24.001745581496838</v>
      </c>
      <c r="K37" s="1393">
        <f t="shared" si="1"/>
        <v>0</v>
      </c>
      <c r="L37" s="1394"/>
      <c r="M37" s="1395"/>
    </row>
    <row r="38" spans="6:16" s="1383" customFormat="1" ht="18" customHeight="1" thickTop="1" thickBot="1" x14ac:dyDescent="0.3">
      <c r="F38" s="1385" t="s">
        <v>159</v>
      </c>
      <c r="G38" s="1405">
        <f>SUM(G7:G37)</f>
        <v>405.41909090909098</v>
      </c>
      <c r="H38" s="1406"/>
      <c r="I38" s="1407">
        <f>SUM(I7:I36)</f>
        <v>0</v>
      </c>
      <c r="J38" s="1408">
        <f>SUM(J7:J36)</f>
        <v>720.04794436950795</v>
      </c>
      <c r="K38" s="1409"/>
      <c r="L38" s="1410"/>
      <c r="M38" s="1411" t="e">
        <f ca="1">AVERERAGE(M7:M36)</f>
        <v>#NAME?</v>
      </c>
    </row>
    <row r="39" spans="6:16" s="1309" customFormat="1" ht="15.75" thickTop="1" x14ac:dyDescent="0.25">
      <c r="F39" s="1412"/>
      <c r="G39" s="1413"/>
      <c r="H39" s="1414"/>
      <c r="I39" s="1247"/>
      <c r="J39" s="1247"/>
      <c r="K39" s="1247"/>
      <c r="L39" s="1247"/>
      <c r="M39" s="1247"/>
    </row>
    <row r="40" spans="6:16" s="1383" customFormat="1" x14ac:dyDescent="0.25">
      <c r="G40" s="1415" t="s">
        <v>736</v>
      </c>
    </row>
    <row r="41" spans="6:16" s="1383" customFormat="1" x14ac:dyDescent="0.25">
      <c r="G41" s="1383" t="s">
        <v>737</v>
      </c>
      <c r="I41" s="1395">
        <v>0</v>
      </c>
      <c r="J41" s="1383" t="s">
        <v>738</v>
      </c>
      <c r="P41" s="1416"/>
    </row>
    <row r="42" spans="6:16" s="1383" customFormat="1" x14ac:dyDescent="0.25">
      <c r="G42" s="1383" t="s">
        <v>739</v>
      </c>
      <c r="I42" s="1395">
        <v>0</v>
      </c>
      <c r="J42" s="1383" t="s">
        <v>738</v>
      </c>
    </row>
    <row r="43" spans="6:16" s="1383" customFormat="1" x14ac:dyDescent="0.25">
      <c r="G43" s="1383" t="s">
        <v>740</v>
      </c>
      <c r="I43" s="1395">
        <v>0</v>
      </c>
      <c r="J43" s="1383" t="s">
        <v>738</v>
      </c>
    </row>
    <row r="44" spans="6:16" s="1383" customFormat="1" x14ac:dyDescent="0.25">
      <c r="G44" s="1383" t="s">
        <v>741</v>
      </c>
      <c r="I44" s="1395">
        <f>SUM((J7:J36))</f>
        <v>720.04794436950795</v>
      </c>
      <c r="J44" s="1383" t="s">
        <v>738</v>
      </c>
    </row>
    <row r="45" spans="6:16" s="1383" customFormat="1" x14ac:dyDescent="0.25">
      <c r="G45" s="1383" t="s">
        <v>742</v>
      </c>
      <c r="I45" s="1417">
        <v>0</v>
      </c>
      <c r="J45" s="1383" t="s">
        <v>738</v>
      </c>
    </row>
    <row r="46" spans="6:16" s="1383" customFormat="1" x14ac:dyDescent="0.25">
      <c r="G46" s="1383" t="s">
        <v>743</v>
      </c>
      <c r="I46" s="1395">
        <v>0</v>
      </c>
      <c r="J46" s="1383" t="s">
        <v>738</v>
      </c>
    </row>
    <row r="47" spans="6:16" s="1383" customFormat="1" x14ac:dyDescent="0.25">
      <c r="G47" s="1757" t="s">
        <v>744</v>
      </c>
      <c r="H47" s="1757"/>
      <c r="I47" s="1417">
        <f>SUM(I24:I33)</f>
        <v>0</v>
      </c>
      <c r="J47" s="1383" t="s">
        <v>738</v>
      </c>
    </row>
    <row r="48" spans="6:16" ht="15" x14ac:dyDescent="0.25">
      <c r="G48" s="1770" t="s">
        <v>1</v>
      </c>
      <c r="H48" s="1770"/>
      <c r="I48" s="1418">
        <f>SUM(I41:I47)</f>
        <v>720.04794436950795</v>
      </c>
      <c r="J48" s="1278" t="s">
        <v>738</v>
      </c>
      <c r="K48" s="1278"/>
      <c r="L48" s="1278"/>
      <c r="M48" s="1278"/>
    </row>
    <row r="49" spans="7:9" x14ac:dyDescent="0.2">
      <c r="G49" s="1769" t="s">
        <v>745</v>
      </c>
      <c r="H49" s="1769"/>
    </row>
    <row r="50" spans="7:9" x14ac:dyDescent="0.2">
      <c r="G50" s="1769" t="s">
        <v>746</v>
      </c>
      <c r="H50" s="1769"/>
    </row>
    <row r="51" spans="7:9" x14ac:dyDescent="0.2">
      <c r="G51" s="1769" t="s">
        <v>747</v>
      </c>
      <c r="H51" s="1769"/>
    </row>
    <row r="53" spans="7:9" ht="15" x14ac:dyDescent="0.25">
      <c r="G53" s="1768" t="s">
        <v>748</v>
      </c>
      <c r="H53" s="1768"/>
      <c r="I53" s="1419"/>
    </row>
    <row r="54" spans="7:9" x14ac:dyDescent="0.2">
      <c r="G54" s="1768" t="s">
        <v>749</v>
      </c>
      <c r="H54" s="1769"/>
    </row>
    <row r="55" spans="7:9" x14ac:dyDescent="0.2">
      <c r="G55" s="1768" t="s">
        <v>750</v>
      </c>
      <c r="H55" s="1769"/>
    </row>
    <row r="56" spans="7:9" x14ac:dyDescent="0.2">
      <c r="G56" s="1768" t="s">
        <v>751</v>
      </c>
      <c r="H56" s="1769"/>
    </row>
  </sheetData>
  <mergeCells count="14">
    <mergeCell ref="G55:H55"/>
    <mergeCell ref="G56:H56"/>
    <mergeCell ref="G48:H48"/>
    <mergeCell ref="G49:H49"/>
    <mergeCell ref="G50:H50"/>
    <mergeCell ref="G51:H51"/>
    <mergeCell ref="G53:H53"/>
    <mergeCell ref="G54:H54"/>
    <mergeCell ref="G47:H47"/>
    <mergeCell ref="F2:K2"/>
    <mergeCell ref="F5:F6"/>
    <mergeCell ref="G5:G6"/>
    <mergeCell ref="H5:H6"/>
    <mergeCell ref="I5:K5"/>
  </mergeCells>
  <printOptions horizontalCentered="1"/>
  <pageMargins left="0" right="0" top="0.31496062992125984" bottom="0" header="0" footer="0"/>
  <pageSetup paperSize="9" scale="8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7109375" customWidth="1"/>
    <col min="17" max="17" width="13.28515625" customWidth="1"/>
    <col min="18" max="19" width="12.85546875" bestFit="1" customWidth="1"/>
    <col min="20" max="20" width="10.7109375" customWidth="1"/>
    <col min="23" max="23" width="10.5703125" hidden="1" customWidth="1"/>
  </cols>
  <sheetData>
    <row r="2" spans="1:23" ht="19.5" x14ac:dyDescent="0.3">
      <c r="A2" s="1772" t="s">
        <v>175</v>
      </c>
      <c r="B2" s="1772"/>
      <c r="C2" s="1772"/>
      <c r="D2" s="1772"/>
      <c r="E2" s="1772"/>
      <c r="F2" s="1772"/>
      <c r="G2" s="1772"/>
      <c r="H2" s="1772"/>
      <c r="I2" s="1772"/>
      <c r="J2" s="1772"/>
      <c r="K2" s="1772"/>
      <c r="L2" s="1772"/>
      <c r="M2" s="1772"/>
      <c r="N2" s="1772"/>
      <c r="O2" s="1772"/>
      <c r="P2" s="1772"/>
      <c r="Q2" s="1772"/>
      <c r="R2" s="1772"/>
      <c r="S2" s="1772"/>
      <c r="T2" s="1772"/>
    </row>
    <row r="3" spans="1:23" ht="19.5" x14ac:dyDescent="0.3">
      <c r="A3" s="1772" t="s">
        <v>176</v>
      </c>
      <c r="B3" s="1772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</row>
    <row r="4" spans="1:23" x14ac:dyDescent="0.25">
      <c r="A4" s="360"/>
      <c r="B4" s="361"/>
      <c r="C4" s="362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4"/>
      <c r="S4" s="365"/>
      <c r="T4" s="366"/>
      <c r="U4" s="366"/>
    </row>
    <row r="5" spans="1:23" ht="15.75" x14ac:dyDescent="0.25">
      <c r="A5" s="1773" t="s">
        <v>215</v>
      </c>
      <c r="B5" s="1774"/>
      <c r="C5" s="1774"/>
      <c r="D5" s="1774"/>
      <c r="E5" s="1774"/>
      <c r="F5" s="1774"/>
      <c r="G5" s="1774"/>
      <c r="H5" s="1774"/>
      <c r="I5" s="1774"/>
      <c r="J5" s="1774"/>
      <c r="K5" s="1774"/>
      <c r="L5" s="1774"/>
      <c r="M5" s="1774"/>
      <c r="N5" s="1774"/>
      <c r="O5" s="1774"/>
      <c r="P5" s="1774"/>
      <c r="Q5" s="1774"/>
      <c r="R5" s="1774"/>
      <c r="S5" s="1774"/>
      <c r="T5" s="1774"/>
      <c r="U5" s="1774"/>
    </row>
    <row r="6" spans="1:23" s="328" customFormat="1" ht="38.450000000000003" customHeight="1" x14ac:dyDescent="0.25">
      <c r="A6" s="326" t="s">
        <v>178</v>
      </c>
      <c r="B6" s="326" t="s">
        <v>179</v>
      </c>
      <c r="C6" s="326" t="s">
        <v>180</v>
      </c>
      <c r="D6" s="326" t="s">
        <v>181</v>
      </c>
      <c r="E6" s="326" t="s">
        <v>182</v>
      </c>
      <c r="F6" s="326" t="s">
        <v>183</v>
      </c>
      <c r="G6" s="326" t="s">
        <v>184</v>
      </c>
      <c r="H6" s="326" t="s">
        <v>185</v>
      </c>
      <c r="I6" s="326" t="s">
        <v>186</v>
      </c>
      <c r="J6" s="326" t="s">
        <v>187</v>
      </c>
      <c r="K6" s="326" t="s">
        <v>188</v>
      </c>
      <c r="L6" s="326" t="s">
        <v>189</v>
      </c>
      <c r="M6" s="326" t="s">
        <v>190</v>
      </c>
      <c r="N6" s="349" t="s">
        <v>200</v>
      </c>
      <c r="O6" s="349" t="s">
        <v>201</v>
      </c>
      <c r="P6" s="349" t="s">
        <v>202</v>
      </c>
      <c r="Q6" s="326" t="s">
        <v>203</v>
      </c>
      <c r="R6" s="327" t="s">
        <v>191</v>
      </c>
      <c r="S6" s="326" t="s">
        <v>192</v>
      </c>
      <c r="T6" s="326" t="s">
        <v>193</v>
      </c>
      <c r="U6" s="326" t="s">
        <v>194</v>
      </c>
    </row>
    <row r="7" spans="1:23" x14ac:dyDescent="0.25">
      <c r="A7" s="329">
        <v>1</v>
      </c>
      <c r="B7" s="329" t="s">
        <v>195</v>
      </c>
      <c r="C7" s="330">
        <f>'[32]01 '!$Q$14</f>
        <v>744924</v>
      </c>
      <c r="D7" s="331">
        <f>'[32]02'!$Q$14</f>
        <v>743972</v>
      </c>
      <c r="E7" s="331">
        <f>'[32]03'!$Q$14</f>
        <v>1048435</v>
      </c>
      <c r="F7" s="331">
        <f>'[32]04'!$Q$14</f>
        <v>1114821</v>
      </c>
      <c r="G7" s="331">
        <v>248126</v>
      </c>
      <c r="H7" s="359">
        <v>389481</v>
      </c>
      <c r="I7" s="359">
        <v>104168</v>
      </c>
      <c r="J7" s="359">
        <v>320907</v>
      </c>
      <c r="K7" s="359">
        <v>100743</v>
      </c>
      <c r="L7" s="331">
        <v>512647</v>
      </c>
      <c r="M7" s="359">
        <v>441064</v>
      </c>
      <c r="N7" s="367">
        <v>524002</v>
      </c>
      <c r="O7" s="331">
        <v>568358</v>
      </c>
      <c r="P7" s="331">
        <v>430750</v>
      </c>
      <c r="Q7" s="331"/>
      <c r="R7" s="332">
        <f>SUM(C7:Q7)</f>
        <v>7292398</v>
      </c>
      <c r="S7" s="358"/>
      <c r="T7" s="1771"/>
      <c r="U7" s="1771"/>
    </row>
    <row r="8" spans="1:23" x14ac:dyDescent="0.25">
      <c r="A8" s="329">
        <v>2</v>
      </c>
      <c r="B8" s="329" t="s">
        <v>196</v>
      </c>
      <c r="C8" s="368">
        <v>713300</v>
      </c>
      <c r="D8" s="359">
        <v>708000</v>
      </c>
      <c r="E8" s="359">
        <v>993100</v>
      </c>
      <c r="F8" s="331">
        <v>1056000</v>
      </c>
      <c r="G8" s="359">
        <v>237021</v>
      </c>
      <c r="H8" s="359">
        <v>365100</v>
      </c>
      <c r="I8" s="359">
        <v>44001</v>
      </c>
      <c r="J8" s="359">
        <v>300010</v>
      </c>
      <c r="K8" s="369">
        <v>94507</v>
      </c>
      <c r="L8" s="370">
        <v>488153</v>
      </c>
      <c r="M8" s="369">
        <v>414337</v>
      </c>
      <c r="N8" s="331">
        <v>492952</v>
      </c>
      <c r="O8" s="331">
        <v>532902</v>
      </c>
      <c r="P8" s="331">
        <v>497845</v>
      </c>
      <c r="Q8" s="331"/>
      <c r="R8" s="332">
        <f>SUM(C8:Q8)</f>
        <v>6937228</v>
      </c>
      <c r="S8" s="359"/>
      <c r="T8" s="333">
        <f>R8/R7</f>
        <v>0.95129585631502833</v>
      </c>
      <c r="U8" s="333" t="e">
        <f>S8/S7</f>
        <v>#DIV/0!</v>
      </c>
      <c r="W8" s="331" t="e">
        <f>4984655+#REF!</f>
        <v>#REF!</v>
      </c>
    </row>
    <row r="9" spans="1:23" x14ac:dyDescent="0.25">
      <c r="A9" s="329">
        <v>3</v>
      </c>
      <c r="B9" s="329" t="s">
        <v>64</v>
      </c>
      <c r="C9" s="330">
        <f>'[32]01 '!$P$25</f>
        <v>25659</v>
      </c>
      <c r="D9" s="359">
        <v>28786</v>
      </c>
      <c r="E9" s="331">
        <f>'[32]03'!$P$25</f>
        <v>46938</v>
      </c>
      <c r="F9" s="331">
        <f>'[32]04'!$P$24</f>
        <v>48667</v>
      </c>
      <c r="G9" s="359">
        <v>8070</v>
      </c>
      <c r="H9" s="359">
        <v>19280</v>
      </c>
      <c r="I9" s="359">
        <v>3234</v>
      </c>
      <c r="J9" s="359">
        <v>18283</v>
      </c>
      <c r="K9" s="359">
        <v>5131</v>
      </c>
      <c r="L9" s="331">
        <v>20426</v>
      </c>
      <c r="M9" s="331">
        <v>23275</v>
      </c>
      <c r="N9" s="331">
        <v>27655</v>
      </c>
      <c r="O9" s="331">
        <v>25803</v>
      </c>
      <c r="P9" s="331">
        <v>20173</v>
      </c>
      <c r="Q9" s="331"/>
      <c r="R9" s="332">
        <f>SUM(C9:Q9)</f>
        <v>321380</v>
      </c>
      <c r="S9" s="359"/>
      <c r="T9" s="333">
        <f>R9/R7</f>
        <v>4.4070551278194085E-2</v>
      </c>
      <c r="U9" s="333" t="e">
        <f>S9/S7</f>
        <v>#DIV/0!</v>
      </c>
    </row>
    <row r="10" spans="1:23" x14ac:dyDescent="0.25">
      <c r="A10" s="360"/>
      <c r="B10" s="361"/>
      <c r="C10" s="357">
        <f>C8/C7</f>
        <v>0.95754734711192013</v>
      </c>
      <c r="D10" s="357">
        <f t="shared" ref="D10:P10" si="0">D8/D7</f>
        <v>0.95164871796250394</v>
      </c>
      <c r="E10" s="357">
        <f t="shared" si="0"/>
        <v>0.94722133465593961</v>
      </c>
      <c r="F10" s="357">
        <f t="shared" si="0"/>
        <v>0.94723726948093012</v>
      </c>
      <c r="G10" s="357">
        <f t="shared" si="0"/>
        <v>0.95524451286846201</v>
      </c>
      <c r="H10" s="357">
        <f t="shared" si="0"/>
        <v>0.93740131097537494</v>
      </c>
      <c r="I10" s="357">
        <f t="shared" si="0"/>
        <v>0.42240419322632672</v>
      </c>
      <c r="J10" s="357">
        <f t="shared" si="0"/>
        <v>0.9348814454031853</v>
      </c>
      <c r="K10" s="357">
        <f t="shared" si="0"/>
        <v>0.93809991761214173</v>
      </c>
      <c r="L10" s="357">
        <f t="shared" si="0"/>
        <v>0.95222053381761718</v>
      </c>
      <c r="M10" s="357">
        <f t="shared" si="0"/>
        <v>0.93940335189450963</v>
      </c>
      <c r="N10" s="357">
        <f t="shared" si="0"/>
        <v>0.94074450097518714</v>
      </c>
      <c r="O10" s="357">
        <f t="shared" si="0"/>
        <v>0.93761678378768309</v>
      </c>
      <c r="P10" s="357">
        <f t="shared" si="0"/>
        <v>1.1557632037144516</v>
      </c>
      <c r="Q10" s="363"/>
      <c r="R10" s="364"/>
      <c r="S10" s="365"/>
      <c r="T10" s="366"/>
      <c r="U10" s="366"/>
    </row>
    <row r="11" spans="1:23" x14ac:dyDescent="0.25">
      <c r="A11" s="360"/>
      <c r="B11" s="361"/>
      <c r="C11" s="357">
        <f>C9/C7*1</f>
        <v>3.4445124603315239E-2</v>
      </c>
      <c r="D11" s="357">
        <f t="shared" ref="D11:P11" si="1">D9/D7*1</f>
        <v>3.8692316377498079E-2</v>
      </c>
      <c r="E11" s="357">
        <f t="shared" si="1"/>
        <v>4.4769585143571135E-2</v>
      </c>
      <c r="F11" s="357">
        <f t="shared" si="1"/>
        <v>4.3654541850216312E-2</v>
      </c>
      <c r="G11" s="357">
        <f t="shared" si="1"/>
        <v>3.2523798392752067E-2</v>
      </c>
      <c r="H11" s="357">
        <f t="shared" si="1"/>
        <v>4.9501772872104159E-2</v>
      </c>
      <c r="I11" s="357">
        <f t="shared" si="1"/>
        <v>3.1046002611166579E-2</v>
      </c>
      <c r="J11" s="357">
        <f t="shared" si="1"/>
        <v>5.6972892457939531E-2</v>
      </c>
      <c r="K11" s="357">
        <f t="shared" si="1"/>
        <v>5.0931578372690904E-2</v>
      </c>
      <c r="L11" s="357">
        <f t="shared" si="1"/>
        <v>3.9844181278735659E-2</v>
      </c>
      <c r="M11" s="357">
        <f t="shared" si="1"/>
        <v>5.2770119529138626E-2</v>
      </c>
      <c r="N11" s="357">
        <f t="shared" si="1"/>
        <v>5.2776516120167483E-2</v>
      </c>
      <c r="O11" s="357">
        <f t="shared" si="1"/>
        <v>4.5399202615253063E-2</v>
      </c>
      <c r="P11" s="357">
        <f t="shared" si="1"/>
        <v>4.6832269297736505E-2</v>
      </c>
      <c r="Q11" s="363"/>
      <c r="R11" s="364"/>
      <c r="S11" s="365"/>
      <c r="T11" s="366"/>
      <c r="U11" s="366"/>
    </row>
    <row r="12" spans="1:23" x14ac:dyDescent="0.25">
      <c r="A12" s="360"/>
      <c r="B12" s="361" t="s">
        <v>216</v>
      </c>
      <c r="C12" s="357">
        <f>(C7-C8-C9)/C7</f>
        <v>8.0075282847646197E-3</v>
      </c>
      <c r="D12" s="357">
        <f t="shared" ref="D12:P12" si="2">(D7-D8-D9)/D7</f>
        <v>9.6589656599979576E-3</v>
      </c>
      <c r="E12" s="357">
        <f t="shared" si="2"/>
        <v>8.0090802004893005E-3</v>
      </c>
      <c r="F12" s="357">
        <f t="shared" si="2"/>
        <v>9.1081886688535642E-3</v>
      </c>
      <c r="G12" s="357">
        <f t="shared" si="2"/>
        <v>1.223168873878594E-2</v>
      </c>
      <c r="H12" s="357">
        <f t="shared" si="2"/>
        <v>1.309691615252092E-2</v>
      </c>
      <c r="I12" s="357">
        <f>(I7-I8-I9)/I7</f>
        <v>0.54654980416250676</v>
      </c>
      <c r="J12" s="357">
        <f t="shared" si="2"/>
        <v>8.1456621388751264E-3</v>
      </c>
      <c r="K12" s="357">
        <f t="shared" si="2"/>
        <v>1.0968504015167307E-2</v>
      </c>
      <c r="L12" s="357">
        <f t="shared" si="2"/>
        <v>7.9352849036471492E-3</v>
      </c>
      <c r="M12" s="357">
        <f t="shared" si="2"/>
        <v>7.8265285763517312E-3</v>
      </c>
      <c r="N12" s="357">
        <f t="shared" si="2"/>
        <v>6.4789829046454023E-3</v>
      </c>
      <c r="O12" s="357">
        <f t="shared" si="2"/>
        <v>1.6984013597063821E-2</v>
      </c>
      <c r="P12" s="357">
        <f t="shared" si="2"/>
        <v>-0.20259547301218805</v>
      </c>
      <c r="Q12" s="363"/>
      <c r="R12" s="364"/>
      <c r="S12" s="365"/>
      <c r="T12" s="366"/>
      <c r="U12" s="366"/>
    </row>
    <row r="13" spans="1:23" x14ac:dyDescent="0.25">
      <c r="A13" s="360"/>
      <c r="B13" s="361"/>
      <c r="C13" s="357"/>
      <c r="D13" s="357"/>
      <c r="E13" s="357"/>
      <c r="F13" s="357"/>
      <c r="G13" s="357"/>
      <c r="H13" s="357"/>
      <c r="I13" s="357"/>
      <c r="J13" s="357"/>
      <c r="K13" s="357"/>
      <c r="L13" s="357"/>
      <c r="M13" s="357"/>
      <c r="N13" s="357"/>
      <c r="O13" s="357"/>
      <c r="P13" s="357"/>
      <c r="Q13" s="363"/>
      <c r="R13" s="364"/>
      <c r="S13" s="365"/>
      <c r="T13" s="366"/>
      <c r="U13" s="366"/>
    </row>
    <row r="14" spans="1:23" ht="15.75" x14ac:dyDescent="0.25">
      <c r="A14" s="1773" t="s">
        <v>217</v>
      </c>
      <c r="B14" s="1774"/>
      <c r="C14" s="1774"/>
      <c r="D14" s="1774"/>
      <c r="E14" s="1774"/>
      <c r="F14" s="1774"/>
      <c r="G14" s="1774"/>
      <c r="H14" s="1774"/>
      <c r="I14" s="1774"/>
      <c r="J14" s="1774"/>
      <c r="K14" s="1774"/>
      <c r="L14" s="1774"/>
      <c r="M14" s="1774"/>
      <c r="N14" s="1774"/>
      <c r="O14" s="1774"/>
      <c r="P14" s="1774"/>
      <c r="Q14" s="1774"/>
      <c r="R14" s="1774"/>
      <c r="S14" s="1774"/>
      <c r="T14" s="1774"/>
      <c r="U14" s="1774"/>
    </row>
    <row r="15" spans="1:23" s="328" customFormat="1" ht="38.450000000000003" customHeight="1" x14ac:dyDescent="0.25">
      <c r="A15" s="326" t="s">
        <v>178</v>
      </c>
      <c r="B15" s="326" t="s">
        <v>179</v>
      </c>
      <c r="C15" s="326" t="s">
        <v>180</v>
      </c>
      <c r="D15" s="326" t="s">
        <v>181</v>
      </c>
      <c r="E15" s="326" t="s">
        <v>182</v>
      </c>
      <c r="F15" s="326" t="s">
        <v>183</v>
      </c>
      <c r="G15" s="326" t="s">
        <v>184</v>
      </c>
      <c r="H15" s="326" t="s">
        <v>185</v>
      </c>
      <c r="I15" s="326" t="s">
        <v>186</v>
      </c>
      <c r="J15" s="326" t="s">
        <v>187</v>
      </c>
      <c r="K15" s="326" t="s">
        <v>188</v>
      </c>
      <c r="L15" s="326" t="s">
        <v>189</v>
      </c>
      <c r="M15" s="326" t="s">
        <v>190</v>
      </c>
      <c r="N15" s="349" t="s">
        <v>200</v>
      </c>
      <c r="O15" s="349" t="s">
        <v>201</v>
      </c>
      <c r="P15" s="349" t="s">
        <v>202</v>
      </c>
      <c r="Q15" s="326" t="s">
        <v>203</v>
      </c>
      <c r="R15" s="327" t="s">
        <v>191</v>
      </c>
      <c r="S15" s="326" t="s">
        <v>192</v>
      </c>
      <c r="T15" s="326" t="s">
        <v>193</v>
      </c>
      <c r="U15" s="326" t="s">
        <v>194</v>
      </c>
    </row>
    <row r="16" spans="1:23" x14ac:dyDescent="0.25">
      <c r="A16" s="329">
        <v>1</v>
      </c>
      <c r="B16" s="329" t="s">
        <v>195</v>
      </c>
      <c r="C16" s="330">
        <v>680800</v>
      </c>
      <c r="D16" s="331">
        <v>806400</v>
      </c>
      <c r="E16" s="331">
        <v>858600</v>
      </c>
      <c r="F16" s="331">
        <v>898100</v>
      </c>
      <c r="G16" s="331">
        <v>26100</v>
      </c>
      <c r="H16" s="331">
        <v>513200</v>
      </c>
      <c r="I16" s="331">
        <v>119200</v>
      </c>
      <c r="J16" s="331">
        <v>208900</v>
      </c>
      <c r="K16" s="331">
        <v>147700</v>
      </c>
      <c r="L16" s="331">
        <v>425800</v>
      </c>
      <c r="M16" s="331">
        <v>347900</v>
      </c>
      <c r="N16" s="331">
        <v>459100</v>
      </c>
      <c r="O16" s="331">
        <v>509200</v>
      </c>
      <c r="P16" s="331">
        <v>396700</v>
      </c>
      <c r="Q16" s="331">
        <v>20200</v>
      </c>
      <c r="R16" s="332">
        <f>SUM(C16:Q16)</f>
        <v>6417900</v>
      </c>
      <c r="S16" s="358">
        <f>5745000+14073+R19</f>
        <v>7292813</v>
      </c>
      <c r="T16" s="1771"/>
      <c r="U16" s="1771"/>
    </row>
    <row r="17" spans="1:23" x14ac:dyDescent="0.25">
      <c r="A17" s="329">
        <v>2</v>
      </c>
      <c r="B17" s="329" t="s">
        <v>196</v>
      </c>
      <c r="C17" s="330">
        <v>722400</v>
      </c>
      <c r="D17" s="331">
        <v>826700</v>
      </c>
      <c r="E17" s="331">
        <v>980700</v>
      </c>
      <c r="F17" s="331">
        <v>980600</v>
      </c>
      <c r="G17" s="331">
        <v>19900</v>
      </c>
      <c r="H17" s="331">
        <v>582000</v>
      </c>
      <c r="I17" s="331">
        <v>150500</v>
      </c>
      <c r="J17" s="331">
        <v>215300</v>
      </c>
      <c r="K17" s="354">
        <v>70837</v>
      </c>
      <c r="L17" s="354">
        <v>488153</v>
      </c>
      <c r="M17" s="354">
        <v>379337</v>
      </c>
      <c r="N17" s="331">
        <v>502200</v>
      </c>
      <c r="O17" s="331">
        <v>535800</v>
      </c>
      <c r="P17" s="331">
        <v>412600</v>
      </c>
      <c r="Q17" s="331">
        <v>92100</v>
      </c>
      <c r="R17" s="332">
        <f>SUM(C17:Q17)</f>
        <v>6959127</v>
      </c>
      <c r="S17" s="359">
        <f>SUM(C17:M17)+R20</f>
        <v>6940126</v>
      </c>
      <c r="T17" s="333">
        <f>R17/R16</f>
        <v>1.0843308558874398</v>
      </c>
      <c r="U17" s="333">
        <f>S17/S16</f>
        <v>0.95163910002902863</v>
      </c>
      <c r="W17" s="331">
        <f>4984655+R20</f>
        <v>6508354</v>
      </c>
    </row>
    <row r="18" spans="1:23" x14ac:dyDescent="0.25">
      <c r="A18" s="329">
        <v>3</v>
      </c>
      <c r="B18" s="329" t="s">
        <v>64</v>
      </c>
      <c r="C18" s="330">
        <v>37300</v>
      </c>
      <c r="D18" s="331">
        <v>38700</v>
      </c>
      <c r="E18" s="331">
        <v>49500</v>
      </c>
      <c r="F18" s="331">
        <v>47100</v>
      </c>
      <c r="G18" s="331">
        <v>3800</v>
      </c>
      <c r="H18" s="331">
        <v>30300</v>
      </c>
      <c r="I18" s="331">
        <v>9300</v>
      </c>
      <c r="J18" s="331">
        <v>14000</v>
      </c>
      <c r="K18" s="331">
        <v>14800</v>
      </c>
      <c r="L18" s="331">
        <v>25100</v>
      </c>
      <c r="M18" s="331">
        <v>23400</v>
      </c>
      <c r="N18" s="331">
        <v>23900</v>
      </c>
      <c r="O18" s="331">
        <v>26800</v>
      </c>
      <c r="P18" s="331">
        <v>22200</v>
      </c>
      <c r="Q18" s="331">
        <v>5900</v>
      </c>
      <c r="R18" s="332">
        <f>SUM(C18:Q18)</f>
        <v>372100</v>
      </c>
      <c r="S18" s="359">
        <f>248746+R21</f>
        <v>322377</v>
      </c>
      <c r="T18" s="333">
        <f>R18/R16</f>
        <v>5.7978466476573336E-2</v>
      </c>
      <c r="U18" s="333">
        <f>S18/S16</f>
        <v>4.4204753364716742E-2</v>
      </c>
    </row>
    <row r="19" spans="1:23" x14ac:dyDescent="0.25">
      <c r="A19" s="334"/>
      <c r="B19" s="334"/>
      <c r="C19" s="357">
        <f>C17/C16</f>
        <v>1.0611045828437133</v>
      </c>
      <c r="D19" s="357">
        <f t="shared" ref="D19:K19" si="3">D17/D16</f>
        <v>1.0251736111111112</v>
      </c>
      <c r="E19" s="357">
        <f t="shared" si="3"/>
        <v>1.1422082459818308</v>
      </c>
      <c r="F19" s="357">
        <f t="shared" si="3"/>
        <v>1.091860594588576</v>
      </c>
      <c r="G19" s="357">
        <f t="shared" si="3"/>
        <v>0.76245210727969348</v>
      </c>
      <c r="H19" s="357">
        <f t="shared" si="3"/>
        <v>1.1340607950116914</v>
      </c>
      <c r="I19" s="357">
        <f t="shared" si="3"/>
        <v>1.2625838926174497</v>
      </c>
      <c r="J19" s="357">
        <f t="shared" si="3"/>
        <v>1.0306366682623265</v>
      </c>
      <c r="K19" s="357">
        <f t="shared" si="3"/>
        <v>0.47960054163845633</v>
      </c>
      <c r="L19" s="345">
        <v>269515</v>
      </c>
      <c r="M19" s="335" t="s">
        <v>204</v>
      </c>
      <c r="N19" s="346">
        <v>534002</v>
      </c>
      <c r="O19" s="347">
        <v>568773</v>
      </c>
      <c r="P19" s="347">
        <v>430750</v>
      </c>
      <c r="Q19" s="347">
        <v>269300</v>
      </c>
      <c r="R19" s="336">
        <f>L19+N19+O19+P19-Q19</f>
        <v>1533740</v>
      </c>
      <c r="S19" s="336"/>
      <c r="U19" s="337">
        <f>100%-U17-U18</f>
        <v>4.1561466062546293E-3</v>
      </c>
      <c r="V19" t="s">
        <v>197</v>
      </c>
    </row>
    <row r="20" spans="1:23" x14ac:dyDescent="0.25">
      <c r="A20" s="334"/>
      <c r="B20" s="334"/>
      <c r="C20" s="335"/>
      <c r="M20" s="335" t="s">
        <v>196</v>
      </c>
      <c r="N20" s="346">
        <v>492952</v>
      </c>
      <c r="O20" s="347">
        <v>532902</v>
      </c>
      <c r="P20" s="347">
        <v>497845</v>
      </c>
      <c r="Q20" s="347"/>
      <c r="R20" s="336">
        <f>SUM(N20:P20)</f>
        <v>1523699</v>
      </c>
    </row>
    <row r="21" spans="1:23" x14ac:dyDescent="0.25">
      <c r="A21" s="334"/>
      <c r="B21" s="334"/>
      <c r="C21" s="335"/>
      <c r="M21" s="335"/>
      <c r="N21" s="373">
        <v>27655</v>
      </c>
      <c r="O21" s="347">
        <v>25803</v>
      </c>
      <c r="P21" s="347">
        <v>20173</v>
      </c>
      <c r="Q21" s="347"/>
      <c r="R21" s="336">
        <f>SUM(N21:P21)</f>
        <v>73631</v>
      </c>
    </row>
    <row r="22" spans="1:23" ht="19.5" x14ac:dyDescent="0.3">
      <c r="A22" s="324"/>
      <c r="B22" s="356" t="s">
        <v>211</v>
      </c>
      <c r="C22" s="1775" t="s">
        <v>212</v>
      </c>
      <c r="D22" s="1775"/>
      <c r="E22" s="1775"/>
      <c r="F22" s="1775"/>
      <c r="G22" s="1775"/>
      <c r="H22" s="1775"/>
      <c r="I22" s="1775"/>
      <c r="J22" s="1775"/>
      <c r="K22" s="1775"/>
      <c r="L22" s="1775"/>
      <c r="M22" s="335"/>
      <c r="N22" s="355"/>
      <c r="O22" s="355"/>
      <c r="P22" s="348"/>
      <c r="Q22" s="348"/>
      <c r="R22" s="336"/>
    </row>
    <row r="23" spans="1:23" ht="19.5" x14ac:dyDescent="0.3">
      <c r="A23" s="324"/>
      <c r="B23" s="324"/>
      <c r="C23" s="1776" t="s">
        <v>213</v>
      </c>
      <c r="D23" s="1776"/>
      <c r="E23" s="1776"/>
      <c r="F23" s="1776"/>
      <c r="G23" s="1776"/>
      <c r="H23" s="1776"/>
      <c r="I23" s="1776"/>
      <c r="J23" s="1776"/>
      <c r="K23" s="1776"/>
      <c r="L23" s="1776"/>
      <c r="M23" s="335"/>
      <c r="N23" s="355"/>
      <c r="O23" s="355"/>
      <c r="P23" s="348"/>
      <c r="Q23" s="348"/>
      <c r="R23" s="336"/>
    </row>
    <row r="24" spans="1:23" ht="19.5" x14ac:dyDescent="0.3">
      <c r="A24" s="324"/>
      <c r="B24" s="324"/>
      <c r="C24" s="1776" t="s">
        <v>214</v>
      </c>
      <c r="D24" s="1776"/>
      <c r="E24" s="1776"/>
      <c r="F24" s="1776"/>
      <c r="G24" s="1776"/>
      <c r="H24" s="1776"/>
      <c r="I24" s="1776"/>
      <c r="J24" s="1776"/>
      <c r="K24" s="334"/>
      <c r="L24" s="334"/>
      <c r="M24" s="335"/>
      <c r="N24" s="355"/>
      <c r="O24" s="355"/>
      <c r="P24" s="348"/>
      <c r="Q24" s="348"/>
      <c r="R24" s="336"/>
    </row>
    <row r="25" spans="1:23" ht="19.5" x14ac:dyDescent="0.3">
      <c r="A25" s="1772" t="s">
        <v>198</v>
      </c>
      <c r="B25" s="1772"/>
      <c r="C25" s="325"/>
      <c r="D25" s="325"/>
      <c r="E25" s="325"/>
      <c r="F25" s="325"/>
      <c r="G25" s="325"/>
      <c r="H25" s="324"/>
      <c r="I25" s="325"/>
      <c r="J25" s="325"/>
      <c r="K25" s="325"/>
      <c r="L25" s="325"/>
      <c r="M25" s="335"/>
      <c r="N25" s="348"/>
      <c r="O25" s="348"/>
      <c r="P25" s="348"/>
      <c r="Q25" s="348"/>
      <c r="R25" s="336"/>
    </row>
    <row r="26" spans="1:23" ht="15.75" x14ac:dyDescent="0.25">
      <c r="A26" s="1777" t="s">
        <v>177</v>
      </c>
      <c r="B26" s="1777"/>
      <c r="C26" s="1777"/>
      <c r="D26" s="1777"/>
      <c r="E26" s="1777"/>
      <c r="F26" s="1777"/>
      <c r="G26" s="1777"/>
      <c r="H26" s="1777"/>
      <c r="I26" s="1777"/>
      <c r="J26" s="1777"/>
      <c r="K26" s="1777"/>
      <c r="L26" s="1777"/>
      <c r="M26" s="1777"/>
      <c r="N26" s="1777"/>
      <c r="O26" s="1777"/>
      <c r="P26" s="1777"/>
      <c r="Q26" s="1777"/>
      <c r="R26" s="1777"/>
      <c r="S26" s="1777"/>
      <c r="T26" s="1777"/>
    </row>
    <row r="27" spans="1:23" s="328" customFormat="1" ht="38.450000000000003" customHeight="1" x14ac:dyDescent="0.25">
      <c r="A27" s="326" t="s">
        <v>178</v>
      </c>
      <c r="B27" s="326" t="s">
        <v>179</v>
      </c>
      <c r="C27" s="326" t="s">
        <v>180</v>
      </c>
      <c r="D27" s="326" t="s">
        <v>181</v>
      </c>
      <c r="E27" s="326" t="s">
        <v>182</v>
      </c>
      <c r="F27" s="326" t="s">
        <v>183</v>
      </c>
      <c r="G27" s="326" t="s">
        <v>184</v>
      </c>
      <c r="H27" s="326" t="s">
        <v>185</v>
      </c>
      <c r="I27" s="326" t="s">
        <v>186</v>
      </c>
      <c r="J27" s="326" t="s">
        <v>187</v>
      </c>
      <c r="K27" s="326" t="s">
        <v>188</v>
      </c>
      <c r="L27" s="326" t="s">
        <v>189</v>
      </c>
      <c r="M27" s="326" t="s">
        <v>190</v>
      </c>
      <c r="N27" s="326" t="s">
        <v>200</v>
      </c>
      <c r="O27" s="326" t="s">
        <v>201</v>
      </c>
      <c r="P27" s="326" t="s">
        <v>202</v>
      </c>
      <c r="Q27" s="326" t="s">
        <v>203</v>
      </c>
      <c r="R27" s="327" t="s">
        <v>191</v>
      </c>
      <c r="S27" s="326" t="s">
        <v>192</v>
      </c>
      <c r="T27" s="326" t="s">
        <v>128</v>
      </c>
    </row>
    <row r="28" spans="1:23" s="342" customFormat="1" ht="15" customHeight="1" x14ac:dyDescent="0.25">
      <c r="A28" s="326">
        <v>1</v>
      </c>
      <c r="B28" s="338" t="s">
        <v>196</v>
      </c>
      <c r="C28" s="339">
        <v>667300</v>
      </c>
      <c r="D28" s="339">
        <v>695000</v>
      </c>
      <c r="E28" s="339">
        <v>814100</v>
      </c>
      <c r="F28" s="339">
        <v>760000</v>
      </c>
      <c r="G28" s="339">
        <v>620300</v>
      </c>
      <c r="H28" s="339">
        <v>587100</v>
      </c>
      <c r="I28" s="339">
        <v>118500</v>
      </c>
      <c r="J28" s="339">
        <v>0</v>
      </c>
      <c r="K28" s="339">
        <v>253000</v>
      </c>
      <c r="L28" s="339">
        <v>0</v>
      </c>
      <c r="M28" s="339">
        <v>466900</v>
      </c>
      <c r="N28" s="339">
        <v>258400</v>
      </c>
      <c r="O28" s="339">
        <v>584400</v>
      </c>
      <c r="P28" s="339">
        <v>680200</v>
      </c>
      <c r="Q28" s="339"/>
      <c r="R28" s="340">
        <f>SUM(C28:Q28)</f>
        <v>6505200</v>
      </c>
      <c r="S28" s="340"/>
      <c r="T28" s="341"/>
    </row>
    <row r="29" spans="1:23" x14ac:dyDescent="0.25">
      <c r="A29" s="326">
        <v>2</v>
      </c>
      <c r="B29" s="329" t="s">
        <v>199</v>
      </c>
      <c r="C29" s="330">
        <v>518400</v>
      </c>
      <c r="D29" s="343">
        <v>487200</v>
      </c>
      <c r="E29" s="343">
        <v>539100</v>
      </c>
      <c r="F29" s="343">
        <v>571900</v>
      </c>
      <c r="G29" s="343">
        <v>554300</v>
      </c>
      <c r="H29" s="343">
        <v>449900</v>
      </c>
      <c r="I29" s="343">
        <v>209900</v>
      </c>
      <c r="J29" s="343">
        <v>0</v>
      </c>
      <c r="K29" s="343">
        <v>297100</v>
      </c>
      <c r="L29" s="343">
        <v>0</v>
      </c>
      <c r="M29" s="330">
        <v>472500</v>
      </c>
      <c r="N29" s="330">
        <v>207400</v>
      </c>
      <c r="O29" s="330">
        <v>239100</v>
      </c>
      <c r="P29" s="330">
        <v>414100</v>
      </c>
      <c r="Q29" s="330"/>
      <c r="R29" s="340">
        <f>SUM(C29:Q29)</f>
        <v>4960900</v>
      </c>
      <c r="S29" s="344"/>
      <c r="T29" s="344"/>
    </row>
    <row r="30" spans="1:23" x14ac:dyDescent="0.25">
      <c r="A30" s="326">
        <v>3</v>
      </c>
      <c r="B30" s="329" t="s">
        <v>73</v>
      </c>
      <c r="C30" s="330">
        <v>207500</v>
      </c>
      <c r="D30" s="343">
        <v>202900</v>
      </c>
      <c r="E30" s="343">
        <v>215500</v>
      </c>
      <c r="F30" s="343">
        <f>27400+151100+55600</f>
        <v>234100</v>
      </c>
      <c r="G30" s="343">
        <v>213300</v>
      </c>
      <c r="H30" s="343">
        <v>183700</v>
      </c>
      <c r="I30" s="343">
        <v>104800</v>
      </c>
      <c r="J30" s="343">
        <v>0</v>
      </c>
      <c r="K30" s="343">
        <v>93900</v>
      </c>
      <c r="L30" s="343">
        <v>0</v>
      </c>
      <c r="M30" s="330">
        <v>172400</v>
      </c>
      <c r="N30" s="330">
        <v>111100</v>
      </c>
      <c r="O30" s="330">
        <v>81200</v>
      </c>
      <c r="P30" s="330">
        <v>193200</v>
      </c>
      <c r="Q30" s="330"/>
      <c r="R30" s="340">
        <f>SUM(C30:Q30)</f>
        <v>2013600</v>
      </c>
      <c r="S30" s="344"/>
      <c r="T30" s="344"/>
    </row>
    <row r="31" spans="1:23" x14ac:dyDescent="0.25">
      <c r="A31" s="328"/>
      <c r="B31" s="334"/>
      <c r="C31" s="350"/>
      <c r="D31" s="351"/>
      <c r="E31" s="351"/>
      <c r="F31" s="351"/>
      <c r="G31" s="351"/>
      <c r="H31" s="351"/>
      <c r="I31" s="351"/>
      <c r="J31" s="351"/>
      <c r="K31" s="351"/>
      <c r="L31" s="351"/>
      <c r="M31" s="350"/>
      <c r="N31" s="350"/>
      <c r="O31" s="350"/>
      <c r="P31" s="350"/>
      <c r="Q31" s="350"/>
      <c r="R31" s="352"/>
      <c r="S31" s="353"/>
      <c r="T31" s="353"/>
    </row>
    <row r="32" spans="1:23" x14ac:dyDescent="0.25">
      <c r="O32" s="1778" t="s">
        <v>205</v>
      </c>
      <c r="P32" s="1778"/>
      <c r="Q32" s="1778"/>
      <c r="R32" s="345">
        <f>1311190</f>
        <v>1311190</v>
      </c>
      <c r="S32" s="345"/>
    </row>
    <row r="33" spans="2:19" x14ac:dyDescent="0.25">
      <c r="B33" s="329"/>
      <c r="O33" s="1778" t="s">
        <v>206</v>
      </c>
      <c r="P33" s="1778"/>
      <c r="Q33" s="1778"/>
      <c r="R33" s="345">
        <v>3865830</v>
      </c>
      <c r="S33" s="345"/>
    </row>
    <row r="34" spans="2:19" x14ac:dyDescent="0.25">
      <c r="O34" s="1778" t="s">
        <v>207</v>
      </c>
      <c r="P34" s="1778"/>
      <c r="Q34" s="1778"/>
      <c r="R34" s="345">
        <v>1888995</v>
      </c>
      <c r="S34" s="345"/>
    </row>
    <row r="35" spans="2:19" x14ac:dyDescent="0.25">
      <c r="O35" s="1778" t="s">
        <v>208</v>
      </c>
      <c r="P35" s="1778"/>
      <c r="Q35" s="1778"/>
      <c r="R35" s="345">
        <v>1320540.5602713902</v>
      </c>
      <c r="S35" s="345"/>
    </row>
    <row r="36" spans="2:19" x14ac:dyDescent="0.25">
      <c r="O36" s="371"/>
      <c r="P36" s="371"/>
      <c r="Q36" s="371"/>
      <c r="R36" s="345">
        <f>R32+R33+R34-R35</f>
        <v>5745474.4397286102</v>
      </c>
      <c r="S36" s="345"/>
    </row>
    <row r="37" spans="2:19" x14ac:dyDescent="0.25">
      <c r="O37" s="371"/>
      <c r="P37" s="371"/>
      <c r="Q37" s="371"/>
      <c r="R37" s="345"/>
      <c r="S37" s="345"/>
    </row>
    <row r="38" spans="2:19" x14ac:dyDescent="0.25">
      <c r="O38" s="1776" t="s">
        <v>209</v>
      </c>
      <c r="P38" s="1776"/>
      <c r="Q38" s="1776"/>
      <c r="R38" s="345">
        <v>178489.21760545607</v>
      </c>
      <c r="S38" s="345"/>
    </row>
    <row r="39" spans="2:19" x14ac:dyDescent="0.25">
      <c r="O39" s="1776" t="s">
        <v>210</v>
      </c>
      <c r="P39" s="1776"/>
      <c r="Q39" s="1776"/>
      <c r="R39" s="345">
        <f>SUM(C28:M28)</f>
        <v>4982200</v>
      </c>
      <c r="S39" s="345"/>
    </row>
    <row r="40" spans="2:19" x14ac:dyDescent="0.25">
      <c r="O40" s="1776" t="s">
        <v>208</v>
      </c>
      <c r="P40" s="1776"/>
      <c r="Q40" s="1776"/>
      <c r="R40" s="345"/>
      <c r="S40" s="345"/>
    </row>
    <row r="41" spans="2:19" x14ac:dyDescent="0.25">
      <c r="R41" s="345"/>
      <c r="S41" s="345"/>
    </row>
    <row r="42" spans="2:19" x14ac:dyDescent="0.25">
      <c r="R42" s="345"/>
      <c r="S42" s="345"/>
    </row>
  </sheetData>
  <mergeCells count="18">
    <mergeCell ref="O38:Q38"/>
    <mergeCell ref="O39:Q39"/>
    <mergeCell ref="O40:Q40"/>
    <mergeCell ref="O33:Q33"/>
    <mergeCell ref="O32:Q32"/>
    <mergeCell ref="O34:Q34"/>
    <mergeCell ref="O35:Q35"/>
    <mergeCell ref="C22:L22"/>
    <mergeCell ref="C23:L23"/>
    <mergeCell ref="C24:J24"/>
    <mergeCell ref="A25:B25"/>
    <mergeCell ref="A26:T26"/>
    <mergeCell ref="T16:U16"/>
    <mergeCell ref="A2:T2"/>
    <mergeCell ref="A3:B3"/>
    <mergeCell ref="A5:U5"/>
    <mergeCell ref="T7:U7"/>
    <mergeCell ref="A14:U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22</vt:i4>
      </vt:variant>
      <vt:variant>
        <vt:lpstr>Rentang Bernama</vt:lpstr>
      </vt:variant>
      <vt:variant>
        <vt:i4>8</vt:i4>
      </vt:variant>
    </vt:vector>
  </HeadingPairs>
  <TitlesOfParts>
    <vt:vector size="30" baseType="lpstr">
      <vt:lpstr>September - 2024</vt:lpstr>
      <vt:lpstr>SUMMARY HPP </vt:lpstr>
      <vt:lpstr>HPP REF </vt:lpstr>
      <vt:lpstr>HPP FRACT</vt:lpstr>
      <vt:lpstr>AMOR</vt:lpstr>
      <vt:lpstr>DEP</vt:lpstr>
      <vt:lpstr>MTC</vt:lpstr>
      <vt:lpstr>LOG</vt:lpstr>
      <vt:lpstr>OH</vt:lpstr>
      <vt:lpstr>Convert Gas</vt:lpstr>
      <vt:lpstr>OIP Refinery</vt:lpstr>
      <vt:lpstr>OIP Fract</vt:lpstr>
      <vt:lpstr>Time Sheet Bulanan</vt:lpstr>
      <vt:lpstr>2024</vt:lpstr>
      <vt:lpstr>Detail Septembe OIP Akhir Plant</vt:lpstr>
      <vt:lpstr>Prod</vt:lpstr>
      <vt:lpstr>Utility</vt:lpstr>
      <vt:lpstr>Qty cons analysis</vt:lpstr>
      <vt:lpstr>Downtime Ref September</vt:lpstr>
      <vt:lpstr>Downtime Fract September</vt:lpstr>
      <vt:lpstr>Downtime Ref</vt:lpstr>
      <vt:lpstr>Flow Meter</vt:lpstr>
      <vt:lpstr>'Detail Septembe OIP Akhir Plant'!Print_Area</vt:lpstr>
      <vt:lpstr>'Downtime Fract September'!Print_Area</vt:lpstr>
      <vt:lpstr>'Downtime Ref'!Print_Area</vt:lpstr>
      <vt:lpstr>'Downtime Ref September'!Print_Area</vt:lpstr>
      <vt:lpstr>Prod!Print_Area</vt:lpstr>
      <vt:lpstr>'Qty cons analysis'!Print_Area</vt:lpstr>
      <vt:lpstr>'September - 2024'!Print_Area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2024-10-10T02:45:56Z</cp:lastPrinted>
  <dcterms:created xsi:type="dcterms:W3CDTF">2022-09-06T08:59:53Z</dcterms:created>
  <dcterms:modified xsi:type="dcterms:W3CDTF">2025-04-14T09:52:32Z</dcterms:modified>
</cp:coreProperties>
</file>