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D:\02. PROCESS ENGINEERING\NISA -REPORT PRODUKSI\2021\YEARLY\Yearly\"/>
    </mc:Choice>
  </mc:AlternateContent>
  <xr:revisionPtr revIDLastSave="0" documentId="13_ncr:1_{69F61EDF-4546-4034-8958-7349CB9E92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-in MT" sheetId="46" r:id="rId1"/>
    <sheet name="Prod -in Kg" sheetId="42" state="hidden" r:id="rId2"/>
  </sheets>
  <definedNames>
    <definedName name="_xlnm.Print_Area" localSheetId="1">'Prod -in Kg'!$B$2:$S$52</definedName>
    <definedName name="_xlnm.Print_Area" localSheetId="0">'Prod-in MT'!$B$115:$S$146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7" i="46" l="1"/>
  <c r="C69" i="46" l="1"/>
  <c r="F69" i="46"/>
  <c r="G69" i="46"/>
  <c r="H69" i="46"/>
  <c r="I69" i="46"/>
  <c r="J69" i="46"/>
  <c r="K69" i="46"/>
  <c r="L69" i="46"/>
  <c r="M69" i="46"/>
  <c r="N69" i="46"/>
  <c r="O69" i="46"/>
  <c r="P69" i="46"/>
  <c r="Q69" i="46"/>
  <c r="S70" i="46"/>
  <c r="S71" i="46"/>
  <c r="S74" i="46"/>
  <c r="S75" i="46"/>
  <c r="S76" i="46"/>
  <c r="F77" i="46"/>
  <c r="G77" i="46"/>
  <c r="H77" i="46"/>
  <c r="I77" i="46"/>
  <c r="J77" i="46"/>
  <c r="K77" i="46"/>
  <c r="L77" i="46"/>
  <c r="M77" i="46"/>
  <c r="N77" i="46"/>
  <c r="O77" i="46"/>
  <c r="P77" i="46"/>
  <c r="Q77" i="46"/>
  <c r="C80" i="46"/>
  <c r="S80" i="46"/>
  <c r="S81" i="46"/>
  <c r="S82" i="46"/>
  <c r="S83" i="46"/>
  <c r="F84" i="46"/>
  <c r="F85" i="46" s="1"/>
  <c r="G84" i="46"/>
  <c r="G85" i="46" s="1"/>
  <c r="H84" i="46"/>
  <c r="H85" i="46" s="1"/>
  <c r="I84" i="46"/>
  <c r="I85" i="46" s="1"/>
  <c r="J84" i="46"/>
  <c r="K84" i="46"/>
  <c r="K85" i="46" s="1"/>
  <c r="L84" i="46"/>
  <c r="M84" i="46"/>
  <c r="M85" i="46" s="1"/>
  <c r="N84" i="46"/>
  <c r="N85" i="46" s="1"/>
  <c r="O84" i="46"/>
  <c r="O85" i="46" s="1"/>
  <c r="P84" i="46"/>
  <c r="P85" i="46" s="1"/>
  <c r="Q84" i="46"/>
  <c r="Q85" i="46" s="1"/>
  <c r="J85" i="46"/>
  <c r="L85" i="46"/>
  <c r="S6" i="46"/>
  <c r="F9" i="46"/>
  <c r="G9" i="46"/>
  <c r="H9" i="46"/>
  <c r="I9" i="46"/>
  <c r="J9" i="46"/>
  <c r="K9" i="46"/>
  <c r="L9" i="46"/>
  <c r="M9" i="46"/>
  <c r="N9" i="46"/>
  <c r="O9" i="46"/>
  <c r="P9" i="46"/>
  <c r="Q9" i="46"/>
  <c r="F10" i="46"/>
  <c r="G10" i="46"/>
  <c r="H10" i="46"/>
  <c r="I10" i="46"/>
  <c r="J10" i="46"/>
  <c r="K10" i="46"/>
  <c r="L10" i="46"/>
  <c r="M10" i="46"/>
  <c r="N10" i="46"/>
  <c r="O10" i="46"/>
  <c r="P10" i="46"/>
  <c r="Q10" i="46"/>
  <c r="F13" i="46"/>
  <c r="G13" i="46"/>
  <c r="H13" i="46"/>
  <c r="I13" i="46"/>
  <c r="J13" i="46"/>
  <c r="K13" i="46"/>
  <c r="L13" i="46"/>
  <c r="M13" i="46"/>
  <c r="N13" i="46"/>
  <c r="O13" i="46"/>
  <c r="P13" i="46"/>
  <c r="Q13" i="46"/>
  <c r="F17" i="46"/>
  <c r="G17" i="46"/>
  <c r="H17" i="46"/>
  <c r="F21" i="46"/>
  <c r="G21" i="46"/>
  <c r="H21" i="46"/>
  <c r="I21" i="46"/>
  <c r="J21" i="46"/>
  <c r="K21" i="46"/>
  <c r="L21" i="46"/>
  <c r="M21" i="46"/>
  <c r="N21" i="46"/>
  <c r="O21" i="46"/>
  <c r="P21" i="46"/>
  <c r="Q21" i="46"/>
  <c r="I22" i="46"/>
  <c r="J22" i="46"/>
  <c r="K22" i="46"/>
  <c r="L22" i="46"/>
  <c r="M22" i="46"/>
  <c r="N22" i="46"/>
  <c r="O22" i="46"/>
  <c r="P22" i="46"/>
  <c r="Q22" i="46"/>
  <c r="F23" i="46"/>
  <c r="G23" i="46"/>
  <c r="H23" i="46"/>
  <c r="I23" i="46"/>
  <c r="J23" i="46"/>
  <c r="K23" i="46"/>
  <c r="L23" i="46"/>
  <c r="M23" i="46"/>
  <c r="N23" i="46"/>
  <c r="O23" i="46"/>
  <c r="P23" i="46"/>
  <c r="Q23" i="46"/>
  <c r="F26" i="46"/>
  <c r="G26" i="46"/>
  <c r="H26" i="46"/>
  <c r="I26" i="46"/>
  <c r="J26" i="46"/>
  <c r="K26" i="46"/>
  <c r="L26" i="46"/>
  <c r="M26" i="46"/>
  <c r="N26" i="46"/>
  <c r="O26" i="46"/>
  <c r="P26" i="46"/>
  <c r="Q26" i="46"/>
  <c r="I27" i="46"/>
  <c r="J27" i="46"/>
  <c r="K27" i="46"/>
  <c r="L27" i="46"/>
  <c r="M27" i="46"/>
  <c r="N27" i="46"/>
  <c r="O27" i="46"/>
  <c r="P27" i="46"/>
  <c r="Q27" i="46"/>
  <c r="F28" i="46"/>
  <c r="G28" i="46"/>
  <c r="H28" i="46"/>
  <c r="I28" i="46"/>
  <c r="J28" i="46"/>
  <c r="K28" i="46"/>
  <c r="L28" i="46"/>
  <c r="M28" i="46"/>
  <c r="N28" i="46"/>
  <c r="O28" i="46"/>
  <c r="P28" i="46"/>
  <c r="Q28" i="46"/>
  <c r="F29" i="46"/>
  <c r="G29" i="46"/>
  <c r="H29" i="46"/>
  <c r="I29" i="46"/>
  <c r="J29" i="46"/>
  <c r="K29" i="46"/>
  <c r="L29" i="46"/>
  <c r="M29" i="46"/>
  <c r="N29" i="46"/>
  <c r="O29" i="46"/>
  <c r="P29" i="46"/>
  <c r="Q29" i="46"/>
  <c r="F37" i="46"/>
  <c r="G37" i="46"/>
  <c r="H37" i="46"/>
  <c r="I37" i="46"/>
  <c r="J37" i="46"/>
  <c r="K37" i="46"/>
  <c r="L37" i="46"/>
  <c r="M37" i="46"/>
  <c r="N37" i="46"/>
  <c r="O37" i="46"/>
  <c r="P37" i="46"/>
  <c r="Q37" i="46"/>
  <c r="D40" i="46"/>
  <c r="S40" i="46"/>
  <c r="D43" i="46"/>
  <c r="S43" i="46"/>
  <c r="S46" i="46"/>
  <c r="F52" i="46"/>
  <c r="G52" i="46"/>
  <c r="H52" i="46"/>
  <c r="I52" i="46"/>
  <c r="J52" i="46"/>
  <c r="K52" i="46"/>
  <c r="L52" i="46"/>
  <c r="M52" i="46"/>
  <c r="N52" i="46"/>
  <c r="O52" i="46"/>
  <c r="P52" i="46"/>
  <c r="Q52" i="46"/>
  <c r="S55" i="46"/>
  <c r="D55" i="46" s="1"/>
  <c r="F56" i="46"/>
  <c r="G56" i="46"/>
  <c r="H56" i="46"/>
  <c r="I56" i="46"/>
  <c r="J56" i="46"/>
  <c r="K56" i="46"/>
  <c r="L56" i="46"/>
  <c r="M56" i="46"/>
  <c r="N56" i="46"/>
  <c r="O56" i="46"/>
  <c r="P56" i="46"/>
  <c r="Q56" i="46"/>
  <c r="S58" i="46"/>
  <c r="D58" i="46" s="1"/>
  <c r="M135" i="46"/>
  <c r="L135" i="46"/>
  <c r="K135" i="46"/>
  <c r="J135" i="46"/>
  <c r="H135" i="46"/>
  <c r="Q134" i="46"/>
  <c r="P134" i="46"/>
  <c r="P135" i="46" s="1"/>
  <c r="O134" i="46"/>
  <c r="O135" i="46" s="1"/>
  <c r="N134" i="46"/>
  <c r="N135" i="46" s="1"/>
  <c r="I134" i="46"/>
  <c r="F134" i="46"/>
  <c r="F135" i="46" s="1"/>
  <c r="S133" i="46"/>
  <c r="S132" i="46"/>
  <c r="I131" i="46"/>
  <c r="S131" i="46" s="1"/>
  <c r="Q130" i="46"/>
  <c r="G130" i="46"/>
  <c r="G135" i="46" s="1"/>
  <c r="S129" i="46"/>
  <c r="S127" i="46"/>
  <c r="Q123" i="46"/>
  <c r="P123" i="46"/>
  <c r="O123" i="46"/>
  <c r="N123" i="46"/>
  <c r="M123" i="46"/>
  <c r="L123" i="46"/>
  <c r="K123" i="46"/>
  <c r="J123" i="46"/>
  <c r="I123" i="46"/>
  <c r="H123" i="46"/>
  <c r="G123" i="46"/>
  <c r="F123" i="46"/>
  <c r="S122" i="46"/>
  <c r="S121" i="46"/>
  <c r="S120" i="46"/>
  <c r="S118" i="46"/>
  <c r="S112" i="46"/>
  <c r="S111" i="46"/>
  <c r="S110" i="46"/>
  <c r="S109" i="46"/>
  <c r="S108" i="46"/>
  <c r="S107" i="46"/>
  <c r="S106" i="46"/>
  <c r="S105" i="46"/>
  <c r="S104" i="46"/>
  <c r="S103" i="46"/>
  <c r="S102" i="46"/>
  <c r="S101" i="46"/>
  <c r="S100" i="46"/>
  <c r="S99" i="46"/>
  <c r="S98" i="46"/>
  <c r="S97" i="46"/>
  <c r="S96" i="46"/>
  <c r="S95" i="46"/>
  <c r="S94" i="46"/>
  <c r="S93" i="46"/>
  <c r="S92" i="46"/>
  <c r="S91" i="46"/>
  <c r="S90" i="46"/>
  <c r="S89" i="46"/>
  <c r="S88" i="46"/>
  <c r="C88" i="46"/>
  <c r="Q66" i="46"/>
  <c r="P66" i="46"/>
  <c r="O66" i="46"/>
  <c r="N66" i="46"/>
  <c r="M66" i="46"/>
  <c r="L66" i="46"/>
  <c r="K66" i="46"/>
  <c r="J66" i="46"/>
  <c r="I66" i="46"/>
  <c r="H66" i="46"/>
  <c r="G66" i="46"/>
  <c r="F66" i="46"/>
  <c r="S15" i="42"/>
  <c r="S22" i="42"/>
  <c r="S19" i="42"/>
  <c r="E19" i="42" s="1"/>
  <c r="S33" i="42"/>
  <c r="F44" i="42"/>
  <c r="F29" i="42"/>
  <c r="S6" i="42"/>
  <c r="F8" i="42"/>
  <c r="F123" i="42"/>
  <c r="Q139" i="42"/>
  <c r="P139" i="42"/>
  <c r="O139" i="42"/>
  <c r="N139" i="42"/>
  <c r="M139" i="42"/>
  <c r="L139" i="42"/>
  <c r="K139" i="42"/>
  <c r="J139" i="42"/>
  <c r="I139" i="42"/>
  <c r="H139" i="42"/>
  <c r="G139" i="42"/>
  <c r="F139" i="42"/>
  <c r="S139" i="42" s="1"/>
  <c r="S138" i="42"/>
  <c r="S137" i="42"/>
  <c r="S136" i="42"/>
  <c r="S135" i="42"/>
  <c r="S134" i="42"/>
  <c r="S133" i="42"/>
  <c r="S131" i="42"/>
  <c r="Q127" i="42"/>
  <c r="P127" i="42"/>
  <c r="O127" i="42"/>
  <c r="N127" i="42"/>
  <c r="M127" i="42"/>
  <c r="L127" i="42"/>
  <c r="K127" i="42"/>
  <c r="J127" i="42"/>
  <c r="I127" i="42"/>
  <c r="S127" i="42" s="1"/>
  <c r="H127" i="42"/>
  <c r="G127" i="42"/>
  <c r="F127" i="42"/>
  <c r="S126" i="42"/>
  <c r="S125" i="42"/>
  <c r="S124" i="42"/>
  <c r="S121" i="42"/>
  <c r="Q110" i="42"/>
  <c r="P110" i="42"/>
  <c r="O110" i="42"/>
  <c r="N110" i="42"/>
  <c r="M110" i="42"/>
  <c r="L110" i="42"/>
  <c r="K110" i="42"/>
  <c r="J110" i="42"/>
  <c r="I110" i="42"/>
  <c r="H110" i="42"/>
  <c r="G110" i="42"/>
  <c r="F110" i="42"/>
  <c r="S110" i="42" s="1"/>
  <c r="Q109" i="42"/>
  <c r="P109" i="42"/>
  <c r="O109" i="42"/>
  <c r="N109" i="42"/>
  <c r="M109" i="42"/>
  <c r="L109" i="42"/>
  <c r="K109" i="42"/>
  <c r="J109" i="42"/>
  <c r="I109" i="42"/>
  <c r="H109" i="42"/>
  <c r="G109" i="42"/>
  <c r="F109" i="42"/>
  <c r="S109" i="42" s="1"/>
  <c r="D109" i="42" s="1"/>
  <c r="Q108" i="42"/>
  <c r="Q111" i="42" s="1"/>
  <c r="P108" i="42"/>
  <c r="P111" i="42"/>
  <c r="O108" i="42"/>
  <c r="O111" i="42" s="1"/>
  <c r="N108" i="42"/>
  <c r="N111" i="42"/>
  <c r="M108" i="42"/>
  <c r="M111" i="42" s="1"/>
  <c r="L108" i="42"/>
  <c r="L111" i="42" s="1"/>
  <c r="K108" i="42"/>
  <c r="K111" i="42" s="1"/>
  <c r="J108" i="42"/>
  <c r="J111" i="42"/>
  <c r="I108" i="42"/>
  <c r="I111" i="42" s="1"/>
  <c r="H108" i="42"/>
  <c r="H111" i="42" s="1"/>
  <c r="G108" i="42"/>
  <c r="G111" i="42" s="1"/>
  <c r="F108" i="42"/>
  <c r="S107" i="42"/>
  <c r="Q104" i="42"/>
  <c r="P104" i="42"/>
  <c r="O104" i="42"/>
  <c r="N104" i="42"/>
  <c r="M104" i="42"/>
  <c r="L104" i="42"/>
  <c r="K104" i="42"/>
  <c r="J104" i="42"/>
  <c r="I104" i="42"/>
  <c r="S104" i="42" s="1"/>
  <c r="H104" i="42"/>
  <c r="G104" i="42"/>
  <c r="F104" i="42"/>
  <c r="S103" i="42"/>
  <c r="S102" i="42"/>
  <c r="S101" i="42"/>
  <c r="Q98" i="42"/>
  <c r="P98" i="42"/>
  <c r="O98" i="42"/>
  <c r="N98" i="42"/>
  <c r="M98" i="42"/>
  <c r="L98" i="42"/>
  <c r="K98" i="42"/>
  <c r="J98" i="42"/>
  <c r="I98" i="42"/>
  <c r="H98" i="42"/>
  <c r="S98" i="42" s="1"/>
  <c r="G98" i="42"/>
  <c r="F98" i="42"/>
  <c r="S97" i="42"/>
  <c r="S96" i="42"/>
  <c r="S95" i="42"/>
  <c r="M93" i="42"/>
  <c r="S92" i="42"/>
  <c r="S91" i="42"/>
  <c r="S90" i="42"/>
  <c r="S87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Q80" i="42"/>
  <c r="Q83" i="42" s="1"/>
  <c r="P80" i="42"/>
  <c r="P83" i="42" s="1"/>
  <c r="O80" i="42"/>
  <c r="N80" i="42"/>
  <c r="N83" i="42" s="1"/>
  <c r="M80" i="42"/>
  <c r="L80" i="42"/>
  <c r="L83" i="42" s="1"/>
  <c r="K80" i="42"/>
  <c r="J80" i="42"/>
  <c r="J83" i="42" s="1"/>
  <c r="I80" i="42"/>
  <c r="H80" i="42"/>
  <c r="H83" i="42" s="1"/>
  <c r="G80" i="42"/>
  <c r="F80" i="42"/>
  <c r="F83" i="42" s="1"/>
  <c r="S83" i="42" s="1"/>
  <c r="S79" i="42"/>
  <c r="Q76" i="42"/>
  <c r="P76" i="42"/>
  <c r="O76" i="42"/>
  <c r="N76" i="42"/>
  <c r="M76" i="42"/>
  <c r="L76" i="42"/>
  <c r="K76" i="42"/>
  <c r="J76" i="42"/>
  <c r="I76" i="42"/>
  <c r="H76" i="42"/>
  <c r="G76" i="42"/>
  <c r="S76" i="42" s="1"/>
  <c r="F76" i="42"/>
  <c r="S75" i="42"/>
  <c r="S74" i="42"/>
  <c r="S73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S70" i="42" s="1"/>
  <c r="S69" i="42"/>
  <c r="S68" i="42"/>
  <c r="S67" i="42"/>
  <c r="S64" i="42"/>
  <c r="S63" i="42"/>
  <c r="S62" i="42"/>
  <c r="S59" i="42"/>
  <c r="D62" i="42" s="1"/>
  <c r="D74" i="42"/>
  <c r="S51" i="42"/>
  <c r="Q49" i="42"/>
  <c r="P49" i="42"/>
  <c r="O49" i="42"/>
  <c r="N49" i="42"/>
  <c r="M49" i="42"/>
  <c r="L49" i="42"/>
  <c r="K49" i="42"/>
  <c r="S49" i="42" s="1"/>
  <c r="J49" i="42"/>
  <c r="I49" i="42"/>
  <c r="H49" i="42"/>
  <c r="G49" i="42"/>
  <c r="F49" i="42"/>
  <c r="S45" i="42"/>
  <c r="S39" i="42"/>
  <c r="S36" i="42"/>
  <c r="S30" i="42"/>
  <c r="M8" i="42"/>
  <c r="O8" i="42"/>
  <c r="O123" i="42"/>
  <c r="K8" i="42"/>
  <c r="K123" i="42"/>
  <c r="H8" i="42"/>
  <c r="H123" i="42" s="1"/>
  <c r="G8" i="42"/>
  <c r="P8" i="42"/>
  <c r="N8" i="42"/>
  <c r="N123" i="42"/>
  <c r="L8" i="42"/>
  <c r="J8" i="42"/>
  <c r="J123" i="42"/>
  <c r="I8" i="42"/>
  <c r="M83" i="42"/>
  <c r="I83" i="42"/>
  <c r="S108" i="42"/>
  <c r="D51" i="42"/>
  <c r="J26" i="42"/>
  <c r="N26" i="42"/>
  <c r="S12" i="42"/>
  <c r="S20" i="42"/>
  <c r="S14" i="42"/>
  <c r="E22" i="42" s="1"/>
  <c r="S23" i="42"/>
  <c r="E23" i="42" s="1"/>
  <c r="Q8" i="42"/>
  <c r="Q26" i="42"/>
  <c r="S18" i="42"/>
  <c r="E18" i="42" s="1"/>
  <c r="M123" i="42"/>
  <c r="M26" i="42"/>
  <c r="H26" i="42"/>
  <c r="S9" i="42"/>
  <c r="K26" i="42"/>
  <c r="S25" i="42"/>
  <c r="F26" i="42"/>
  <c r="S80" i="42"/>
  <c r="D80" i="42"/>
  <c r="L26" i="42"/>
  <c r="L123" i="42"/>
  <c r="S48" i="42"/>
  <c r="D48" i="42"/>
  <c r="P26" i="42"/>
  <c r="P123" i="42"/>
  <c r="O26" i="42"/>
  <c r="G83" i="42"/>
  <c r="K83" i="42"/>
  <c r="O83" i="42"/>
  <c r="S81" i="42"/>
  <c r="D81" i="42" s="1"/>
  <c r="S82" i="42"/>
  <c r="D82" i="42" s="1"/>
  <c r="F111" i="42"/>
  <c r="S111" i="42" s="1"/>
  <c r="D64" i="42"/>
  <c r="D68" i="42"/>
  <c r="D138" i="42"/>
  <c r="S24" i="42"/>
  <c r="S16" i="42"/>
  <c r="D103" i="42"/>
  <c r="Q123" i="42"/>
  <c r="S10" i="42"/>
  <c r="D97" i="42"/>
  <c r="E24" i="42"/>
  <c r="D110" i="42" l="1"/>
  <c r="L18" i="46"/>
  <c r="H8" i="46"/>
  <c r="Q18" i="46"/>
  <c r="Q8" i="46"/>
  <c r="Q30" i="46" s="1"/>
  <c r="K8" i="46"/>
  <c r="K30" i="46" s="1"/>
  <c r="O8" i="46"/>
  <c r="O30" i="46" s="1"/>
  <c r="I8" i="46"/>
  <c r="I30" i="46" s="1"/>
  <c r="J18" i="46"/>
  <c r="N17" i="46"/>
  <c r="O16" i="46"/>
  <c r="G16" i="46"/>
  <c r="P8" i="46"/>
  <c r="P30" i="46" s="1"/>
  <c r="H30" i="46"/>
  <c r="S77" i="46"/>
  <c r="I18" i="46"/>
  <c r="S85" i="46"/>
  <c r="S69" i="46"/>
  <c r="P18" i="46"/>
  <c r="H18" i="46"/>
  <c r="L17" i="46"/>
  <c r="M16" i="46"/>
  <c r="L8" i="46"/>
  <c r="L30" i="46" s="1"/>
  <c r="Q17" i="46"/>
  <c r="I17" i="46"/>
  <c r="S10" i="46"/>
  <c r="J8" i="46"/>
  <c r="J47" i="46" s="1"/>
  <c r="S130" i="46"/>
  <c r="M17" i="46"/>
  <c r="N16" i="46"/>
  <c r="S21" i="46"/>
  <c r="S84" i="46"/>
  <c r="S52" i="46"/>
  <c r="S28" i="46"/>
  <c r="O18" i="46"/>
  <c r="G18" i="46"/>
  <c r="K17" i="46"/>
  <c r="L16" i="46"/>
  <c r="S37" i="46"/>
  <c r="S27" i="46"/>
  <c r="N18" i="46"/>
  <c r="F18" i="46"/>
  <c r="J17" i="46"/>
  <c r="K16" i="46"/>
  <c r="S13" i="46"/>
  <c r="S56" i="46"/>
  <c r="S29" i="46"/>
  <c r="M18" i="46"/>
  <c r="J16" i="46"/>
  <c r="G8" i="46"/>
  <c r="G30" i="46" s="1"/>
  <c r="P17" i="46"/>
  <c r="Q16" i="46"/>
  <c r="I16" i="46"/>
  <c r="N8" i="46"/>
  <c r="N47" i="46" s="1"/>
  <c r="F8" i="46"/>
  <c r="F47" i="46" s="1"/>
  <c r="S26" i="46"/>
  <c r="K18" i="46"/>
  <c r="O17" i="46"/>
  <c r="P16" i="46"/>
  <c r="H16" i="46"/>
  <c r="M8" i="46"/>
  <c r="M30" i="46" s="1"/>
  <c r="I47" i="46"/>
  <c r="F16" i="46"/>
  <c r="S22" i="46"/>
  <c r="P47" i="46"/>
  <c r="H47" i="46"/>
  <c r="S23" i="46"/>
  <c r="S9" i="46"/>
  <c r="K47" i="46"/>
  <c r="S123" i="46"/>
  <c r="D122" i="46" s="1"/>
  <c r="Q135" i="46"/>
  <c r="I135" i="46"/>
  <c r="S66" i="46"/>
  <c r="S134" i="46"/>
  <c r="D125" i="42"/>
  <c r="D126" i="42"/>
  <c r="D124" i="42"/>
  <c r="D127" i="42" s="1"/>
  <c r="D133" i="42"/>
  <c r="D139" i="42" s="1"/>
  <c r="D136" i="42"/>
  <c r="D137" i="42"/>
  <c r="D134" i="42"/>
  <c r="D135" i="42"/>
  <c r="E20" i="42"/>
  <c r="G123" i="42"/>
  <c r="G26" i="42"/>
  <c r="S26" i="42" s="1"/>
  <c r="S8" i="42"/>
  <c r="I123" i="42"/>
  <c r="I26" i="42"/>
  <c r="D39" i="42"/>
  <c r="D36" i="42"/>
  <c r="D91" i="42"/>
  <c r="D69" i="42"/>
  <c r="D67" i="42"/>
  <c r="D79" i="42"/>
  <c r="D83" i="42" s="1"/>
  <c r="D63" i="42"/>
  <c r="D73" i="42"/>
  <c r="D75" i="42"/>
  <c r="J30" i="46" l="1"/>
  <c r="D69" i="46"/>
  <c r="O47" i="46"/>
  <c r="L47" i="46"/>
  <c r="Q47" i="46"/>
  <c r="S16" i="46"/>
  <c r="E21" i="46" s="1"/>
  <c r="S8" i="46"/>
  <c r="S47" i="46" s="1"/>
  <c r="M47" i="46"/>
  <c r="N30" i="46"/>
  <c r="S17" i="46"/>
  <c r="E27" i="46" s="1"/>
  <c r="S135" i="46"/>
  <c r="D130" i="46" s="1"/>
  <c r="F30" i="46"/>
  <c r="S30" i="46" s="1"/>
  <c r="D120" i="46"/>
  <c r="S18" i="46"/>
  <c r="E23" i="46" s="1"/>
  <c r="D74" i="46"/>
  <c r="D80" i="46"/>
  <c r="D84" i="46"/>
  <c r="D75" i="46"/>
  <c r="D81" i="46"/>
  <c r="D76" i="46"/>
  <c r="G47" i="46"/>
  <c r="D77" i="46"/>
  <c r="D121" i="46"/>
  <c r="D91" i="46"/>
  <c r="D71" i="46"/>
  <c r="D82" i="46"/>
  <c r="D70" i="46"/>
  <c r="D83" i="46"/>
  <c r="D85" i="46"/>
  <c r="D134" i="46"/>
  <c r="D90" i="46"/>
  <c r="D112" i="46"/>
  <c r="D89" i="46"/>
  <c r="D99" i="46"/>
  <c r="D93" i="46"/>
  <c r="D88" i="46"/>
  <c r="D109" i="46"/>
  <c r="D103" i="46"/>
  <c r="D102" i="46"/>
  <c r="D92" i="46"/>
  <c r="D105" i="46"/>
  <c r="D107" i="46"/>
  <c r="D94" i="46"/>
  <c r="D129" i="46"/>
  <c r="D96" i="46"/>
  <c r="D110" i="46"/>
  <c r="D111" i="46"/>
  <c r="D100" i="46"/>
  <c r="D101" i="46"/>
  <c r="D106" i="46"/>
  <c r="D104" i="46"/>
  <c r="D97" i="46"/>
  <c r="D95" i="46"/>
  <c r="D98" i="46"/>
  <c r="D108" i="46"/>
  <c r="D102" i="42"/>
  <c r="D95" i="42"/>
  <c r="D101" i="42"/>
  <c r="D104" i="42" s="1"/>
  <c r="D96" i="42"/>
  <c r="E25" i="42"/>
  <c r="D90" i="42"/>
  <c r="D92" i="42" s="1"/>
  <c r="D108" i="42"/>
  <c r="D107" i="42"/>
  <c r="D111" i="42" s="1"/>
  <c r="E26" i="42"/>
  <c r="D76" i="42"/>
  <c r="S123" i="42"/>
  <c r="D70" i="42"/>
  <c r="E12" i="42"/>
  <c r="E30" i="46" l="1"/>
  <c r="E22" i="46"/>
  <c r="D132" i="46"/>
  <c r="E13" i="46"/>
  <c r="D131" i="46"/>
  <c r="D135" i="46" s="1"/>
  <c r="D133" i="46"/>
  <c r="E29" i="46"/>
  <c r="E28" i="46"/>
  <c r="D123" i="46"/>
  <c r="E26" i="46"/>
  <c r="D46" i="46"/>
  <c r="D98" i="42"/>
</calcChain>
</file>

<file path=xl/sharedStrings.xml><?xml version="1.0" encoding="utf-8"?>
<sst xmlns="http://schemas.openxmlformats.org/spreadsheetml/2006/main" count="478" uniqueCount="139">
  <si>
    <t>Grand Total</t>
  </si>
  <si>
    <t>ACTUAL PRODUCTION</t>
  </si>
  <si>
    <t>Product</t>
  </si>
  <si>
    <t>Budget</t>
  </si>
  <si>
    <t>Actual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</si>
  <si>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</si>
  <si>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</si>
  <si>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</si>
  <si>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</si>
  <si>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</si>
  <si>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</si>
  <si>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</si>
  <si>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</si>
  <si>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</si>
  <si>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</si>
  <si>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</si>
  <si>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</si>
  <si>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Total CPO &amp; COL Consume</t>
  </si>
  <si>
    <t>- CPO Consume</t>
  </si>
  <si>
    <t>- COL Consume</t>
  </si>
  <si>
    <t>Total RBDPO Refinery</t>
  </si>
  <si>
    <r>
      <rPr>
        <sz val="12"/>
        <color theme="1"/>
        <rFont val="Arial"/>
        <family val="2"/>
      </rPr>
      <t xml:space="preserve">- </t>
    </r>
    <r>
      <rPr>
        <i/>
        <sz val="12"/>
        <color theme="1"/>
        <rFont val="Arial"/>
        <family val="2"/>
      </rPr>
      <t>Poram &amp; Branded Spec</t>
    </r>
  </si>
  <si>
    <t>Total RBDPO Consume to Fractionation</t>
  </si>
  <si>
    <t>- Poram Spec (IV 56)</t>
  </si>
  <si>
    <t>- Branded Spec (IV 60)</t>
  </si>
  <si>
    <t>Total Olein</t>
  </si>
  <si>
    <t>Total Stearin</t>
  </si>
  <si>
    <t>- Stearin</t>
  </si>
  <si>
    <t>- Soft Stearin (IV 38)</t>
  </si>
  <si>
    <t>PFAD - by Product</t>
  </si>
  <si>
    <t>Loss / Waste</t>
  </si>
  <si>
    <t>CHEMICAL CONSUMPTION</t>
  </si>
  <si>
    <t>Bleaching Earth</t>
  </si>
  <si>
    <t>Kg/MT</t>
  </si>
  <si>
    <t>Phosporic Acid</t>
  </si>
  <si>
    <t>WASTE</t>
  </si>
  <si>
    <t>Spent Bleaching Earth</t>
  </si>
  <si>
    <t>OC</t>
  </si>
  <si>
    <t>Effluent</t>
  </si>
  <si>
    <t>Raw Water</t>
  </si>
  <si>
    <t>YEARLY UTILITY CONSUMPTION DETAILS - Tahun 2020</t>
  </si>
  <si>
    <t>UTILITY CONSUMPTION PER DAY</t>
  </si>
  <si>
    <t>Gas Consumption</t>
  </si>
  <si>
    <t xml:space="preserve">Total </t>
  </si>
  <si>
    <t>mmbtu/day</t>
  </si>
  <si>
    <t>- to HP Boiler Refinery</t>
  </si>
  <si>
    <t>- to MP Boiler &amp; Frac</t>
  </si>
  <si>
    <t>Steam Consumption</t>
  </si>
  <si>
    <t>Total</t>
  </si>
  <si>
    <t>Kg/day</t>
  </si>
  <si>
    <t>- Refinery</t>
  </si>
  <si>
    <t>- Fractionation</t>
  </si>
  <si>
    <t>- Others</t>
  </si>
  <si>
    <t>Water Consumption</t>
  </si>
  <si>
    <r>
      <rPr>
        <b/>
        <i/>
        <sz val="12"/>
        <color theme="1"/>
        <rFont val="Arial"/>
        <family val="2"/>
      </rPr>
      <t>m</t>
    </r>
    <r>
      <rPr>
        <b/>
        <i/>
        <vertAlign val="superscript"/>
        <sz val="12"/>
        <color theme="1"/>
        <rFont val="Arial"/>
        <family val="2"/>
      </rPr>
      <t>3</t>
    </r>
    <r>
      <rPr>
        <b/>
        <i/>
        <sz val="12"/>
        <color theme="1"/>
        <rFont val="Arial"/>
        <family val="2"/>
      </rPr>
      <t>/day</t>
    </r>
  </si>
  <si>
    <t>- Softener Product to Refinery</t>
  </si>
  <si>
    <r>
      <rPr>
        <sz val="12"/>
        <color theme="1"/>
        <rFont val="Arial"/>
        <family val="2"/>
      </rPr>
      <t>m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/day</t>
    </r>
  </si>
  <si>
    <t>- Softener Product to Frac</t>
  </si>
  <si>
    <t>Power Consumption</t>
  </si>
  <si>
    <t>Kwh/day</t>
  </si>
  <si>
    <t>- Refinery (Process &amp; Utilities)</t>
  </si>
  <si>
    <t>- Fractionation (Process &amp; Utilities)</t>
  </si>
  <si>
    <t>- Filling Packaging</t>
  </si>
  <si>
    <t>UTILITY CONSUMPTION PER MT CPO</t>
  </si>
  <si>
    <t>mmbtu/MT</t>
  </si>
  <si>
    <t>- to MP Boiler &amp; Fractionation</t>
  </si>
  <si>
    <r>
      <rPr>
        <b/>
        <i/>
        <sz val="12"/>
        <color theme="1"/>
        <rFont val="Arial"/>
        <family val="2"/>
      </rPr>
      <t>m</t>
    </r>
    <r>
      <rPr>
        <b/>
        <i/>
        <vertAlign val="superscript"/>
        <sz val="12"/>
        <color theme="1"/>
        <rFont val="Arial"/>
        <family val="2"/>
      </rPr>
      <t>3</t>
    </r>
    <r>
      <rPr>
        <b/>
        <i/>
        <sz val="12"/>
        <color theme="1"/>
        <rFont val="Arial"/>
        <family val="2"/>
      </rPr>
      <t>/MT</t>
    </r>
  </si>
  <si>
    <r>
      <rPr>
        <sz val="12"/>
        <color theme="1"/>
        <rFont val="Arial"/>
        <family val="2"/>
      </rPr>
      <t>m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/MT</t>
    </r>
  </si>
  <si>
    <t>Kwh/MT</t>
  </si>
  <si>
    <t>Note</t>
  </si>
  <si>
    <t>Utility consume per MT CPO pada kondisi lower throughput (slow flow rate) dengan average CPO consume 1.490 MT/day</t>
  </si>
  <si>
    <t>YEARLY DOWNTIME PRODUCTION -TAHUN 2020</t>
  </si>
  <si>
    <t>DOWNTIME PRODUCTION</t>
  </si>
  <si>
    <t>THROUGHPUT (MT)</t>
  </si>
  <si>
    <t>Stop Plant (hours)</t>
  </si>
  <si>
    <t>%</t>
  </si>
  <si>
    <t>Plant Hold (hours)</t>
  </si>
  <si>
    <t>Slow Flow Rate (hours)</t>
  </si>
  <si>
    <t xml:space="preserve">TOTAL </t>
  </si>
  <si>
    <t>Details Downtime in hours</t>
  </si>
  <si>
    <t>DETAILS DOWNTIME PRODUCTION</t>
  </si>
  <si>
    <t>Preventice Maintenance Pertagas</t>
  </si>
  <si>
    <t>Yearly Shutdown</t>
  </si>
  <si>
    <t>Corrective Maintenance</t>
  </si>
  <si>
    <t>Preventive Maintenance</t>
  </si>
  <si>
    <t>Unavailable Space Tank</t>
  </si>
  <si>
    <t>Shortage Feedstock CPO</t>
  </si>
  <si>
    <t>TOTAL</t>
  </si>
  <si>
    <t>- RO Product</t>
  </si>
  <si>
    <t>- Sanitary &amp; Service Equipment</t>
  </si>
  <si>
    <t>Refinery -Cooling Water System</t>
  </si>
  <si>
    <t xml:space="preserve">Refinery -Utilities </t>
  </si>
  <si>
    <t>Physical Refinery Plant</t>
  </si>
  <si>
    <t>in Kg</t>
  </si>
  <si>
    <t>YEARLY PRODUCTION SUMMARY -TAHUN 2021</t>
  </si>
  <si>
    <t>- BE to Poram Spec</t>
  </si>
  <si>
    <t>- BE to Branded Spec</t>
  </si>
  <si>
    <t>- Branded Spec (IV 58)</t>
  </si>
  <si>
    <t xml:space="preserve">- Reject Water RO </t>
  </si>
  <si>
    <t>MHG Tank Farm</t>
  </si>
  <si>
    <t>MHG Pumphouse-Un/Loading</t>
  </si>
  <si>
    <t>Dry Fractionation Plant</t>
  </si>
  <si>
    <t>Dry Fractionation CW System</t>
  </si>
  <si>
    <t>Filing &amp; Packaging Plant</t>
  </si>
  <si>
    <t xml:space="preserve">Utility MP Boiler </t>
  </si>
  <si>
    <t>Utility WTP &amp; WWTP</t>
  </si>
  <si>
    <t>Utility Air Compressor, Fuel Pump</t>
  </si>
  <si>
    <t>Lighting - Main Distribution Panel</t>
  </si>
  <si>
    <t xml:space="preserve">Lighting - MO, Custom, &amp; Street </t>
  </si>
  <si>
    <t>Lighting - Front Office</t>
  </si>
  <si>
    <t>Lighting - Weightbridge Office</t>
  </si>
  <si>
    <t>Lighting - Security Office</t>
  </si>
  <si>
    <t xml:space="preserve">Lighting - TF, PH, Loading-Unloading  </t>
  </si>
  <si>
    <t xml:space="preserve">Lighting - Main Laboratorium </t>
  </si>
  <si>
    <t xml:space="preserve">Lighting - Workshop, Store Utility </t>
  </si>
  <si>
    <t xml:space="preserve">Lighting - WTP &amp; WWTP </t>
  </si>
  <si>
    <t xml:space="preserve">Lighting - Filing &amp; Packaging  </t>
  </si>
  <si>
    <t>Lighting - Power House</t>
  </si>
  <si>
    <t xml:space="preserve">Lighting - Panel Gas Metering </t>
  </si>
  <si>
    <t xml:space="preserve">Lighting - Refinery &amp; Dry Fractionation  </t>
  </si>
  <si>
    <t>Prepared by,</t>
  </si>
  <si>
    <t>Khairatun Nisa</t>
  </si>
  <si>
    <t>Process Engineer</t>
  </si>
  <si>
    <t>Checked by,</t>
  </si>
  <si>
    <t>Eben Jaya Ginting</t>
  </si>
  <si>
    <t>Production Manager</t>
  </si>
  <si>
    <t>Approved by,</t>
  </si>
  <si>
    <t>Raja Marthin V. Girsang</t>
  </si>
  <si>
    <t>Kabag. Produksi</t>
  </si>
  <si>
    <t>Power Blackout</t>
  </si>
  <si>
    <t>Preventive/Corrective Maintenance</t>
  </si>
  <si>
    <t>Process CPO High FFA</t>
  </si>
  <si>
    <t>YEARLY DOWNTIME PRODUCTION -TAHUN 2021</t>
  </si>
  <si>
    <t>in MT</t>
  </si>
  <si>
    <t>raw water</t>
  </si>
  <si>
    <t>YEARLY UTILITY CONSUMPTION DETAILS - TAHUN 2021</t>
  </si>
  <si>
    <r>
      <t xml:space="preserve">- </t>
    </r>
    <r>
      <rPr>
        <i/>
        <sz val="12"/>
        <color theme="1"/>
        <rFont val="Arial"/>
        <family val="2"/>
      </rPr>
      <t>Poram &amp; Branded Spec</t>
    </r>
  </si>
  <si>
    <r>
      <t>m</t>
    </r>
    <r>
      <rPr>
        <b/>
        <i/>
        <vertAlign val="superscript"/>
        <sz val="12"/>
        <color theme="1"/>
        <rFont val="Arial"/>
        <family val="2"/>
      </rPr>
      <t>3</t>
    </r>
    <r>
      <rPr>
        <b/>
        <i/>
        <sz val="12"/>
        <color theme="1"/>
        <rFont val="Arial"/>
        <family val="2"/>
      </rPr>
      <t>/day</t>
    </r>
  </si>
  <si>
    <r>
      <t>m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>/day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</si>
</sst>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-* #,##0_-;\-* #,##0_-;_-* &quot;-&quot;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* #,##0.00_);_(* \(#,##0.00\);_(* &quot;-&quot;??.0_);_(@_)"/>
    <numFmt numFmtId="168" formatCode="0.0_ "/>
    <numFmt numFmtId="169" formatCode="_-[$Rp-421]* #,##0_-;\-[$Rp-421]* #,##0_-;_-[$Rp-421]* &quot;-&quot;??_-;_-@_-"/>
    <numFmt numFmtId="170" formatCode="0.00_ "/>
    <numFmt numFmtId="171" formatCode="_(* #,##0.000_);_(* \(#,##0.000\);_(* &quot;-&quot;??.0_);_(@_)"/>
    <numFmt numFmtId="172" formatCode="_(* #.##0_);_(* \(#.##0\);_(* &quot;-&quot;??_);_(@_)"/>
    <numFmt numFmtId="173" formatCode="_(* #,##0.00_);_(* \(#,##0.00\);_(* &quot;-&quot;??.00_);_(@_)"/>
    <numFmt numFmtId="174" formatCode="_(* #,###.##000_);_(* \(#,###.##000\);_(* &quot;-&quot;??_);_(@_)"/>
    <numFmt numFmtId="175" formatCode="_(* #,##0.00_);_(* \(#,##0.00\);_(* &quot;-&quot;_);_(@_)"/>
  </numFmts>
  <fonts count="19">
    <font>
      <sz val="11"/>
      <color theme="1"/>
      <name val="Calibri"/>
      <charset val="134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i/>
      <sz val="12"/>
      <color theme="1"/>
      <name val="Arial"/>
      <family val="2"/>
    </font>
    <font>
      <b/>
      <sz val="14"/>
      <color theme="1"/>
      <name val="Arial"/>
      <family val="2"/>
    </font>
    <font>
      <i/>
      <sz val="12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vertAlign val="superscript"/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2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45">
    <xf numFmtId="0" fontId="0" fillId="0" borderId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41" fontId="9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41" fontId="9" fillId="0" borderId="0" applyFont="0" applyFill="0" applyBorder="0" applyAlignment="0" applyProtection="0"/>
    <xf numFmtId="164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0" fillId="0" borderId="0"/>
    <xf numFmtId="0" fontId="13" fillId="0" borderId="0"/>
    <xf numFmtId="0" fontId="13" fillId="0" borderId="0"/>
    <xf numFmtId="0" fontId="13" fillId="0" borderId="0"/>
    <xf numFmtId="0" fontId="9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</cellStyleXfs>
  <cellXfs count="292">
    <xf numFmtId="0" fontId="0" fillId="0" borderId="0" xfId="0"/>
    <xf numFmtId="0" fontId="1" fillId="0" borderId="0" xfId="0" applyFont="1" applyFill="1" applyAlignment="1">
      <alignment vertical="center"/>
    </xf>
    <xf numFmtId="0" fontId="3" fillId="0" borderId="0" xfId="0" applyFont="1" applyFill="1" applyAlignment="1"/>
    <xf numFmtId="0" fontId="4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1" fillId="0" borderId="9" xfId="0" applyFont="1" applyFill="1" applyBorder="1" applyAlignment="1">
      <alignment horizontal="center" vertical="center"/>
    </xf>
    <xf numFmtId="17" fontId="1" fillId="0" borderId="10" xfId="0" applyNumberFormat="1" applyFont="1" applyFill="1" applyBorder="1" applyAlignment="1">
      <alignment horizontal="right" vertical="center"/>
    </xf>
    <xf numFmtId="17" fontId="1" fillId="0" borderId="11" xfId="0" applyNumberFormat="1" applyFont="1" applyFill="1" applyBorder="1" applyAlignment="1">
      <alignment horizontal="right" vertical="center"/>
    </xf>
    <xf numFmtId="0" fontId="2" fillId="0" borderId="12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0" fontId="1" fillId="0" borderId="0" xfId="4" applyNumberFormat="1" applyFont="1" applyBorder="1" applyAlignment="1">
      <alignment vertical="center"/>
    </xf>
    <xf numFmtId="166" fontId="2" fillId="0" borderId="0" xfId="1" applyNumberFormat="1" applyFont="1" applyBorder="1" applyAlignment="1">
      <alignment vertical="center"/>
    </xf>
    <xf numFmtId="0" fontId="1" fillId="0" borderId="1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166" fontId="1" fillId="0" borderId="12" xfId="1" applyNumberFormat="1" applyFont="1" applyBorder="1" applyAlignment="1">
      <alignment vertical="center"/>
    </xf>
    <xf numFmtId="166" fontId="1" fillId="0" borderId="0" xfId="1" applyNumberFormat="1" applyFont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11" xfId="0" applyFont="1" applyFill="1" applyBorder="1" applyAlignment="1">
      <alignment vertical="center"/>
    </xf>
    <xf numFmtId="10" fontId="1" fillId="0" borderId="11" xfId="4" applyNumberFormat="1" applyFont="1" applyBorder="1" applyAlignment="1">
      <alignment vertical="center"/>
    </xf>
    <xf numFmtId="166" fontId="1" fillId="0" borderId="10" xfId="1" applyNumberFormat="1" applyFont="1" applyBorder="1" applyAlignment="1">
      <alignment vertical="center"/>
    </xf>
    <xf numFmtId="166" fontId="1" fillId="0" borderId="11" xfId="1" applyNumberFormat="1" applyFont="1" applyBorder="1" applyAlignment="1">
      <alignment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right" vertical="center"/>
    </xf>
    <xf numFmtId="168" fontId="1" fillId="0" borderId="0" xfId="0" applyNumberFormat="1" applyFont="1" applyFill="1" applyBorder="1" applyAlignment="1">
      <alignment vertical="center"/>
    </xf>
    <xf numFmtId="165" fontId="1" fillId="0" borderId="0" xfId="1" applyFont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170" fontId="1" fillId="0" borderId="0" xfId="0" applyNumberFormat="1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right" vertical="center"/>
    </xf>
    <xf numFmtId="0" fontId="1" fillId="0" borderId="7" xfId="0" applyFont="1" applyFill="1" applyBorder="1" applyAlignment="1">
      <alignment horizontal="right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" fontId="1" fillId="0" borderId="12" xfId="0" applyNumberFormat="1" applyFont="1" applyFill="1" applyBorder="1" applyAlignment="1">
      <alignment horizontal="right" vertical="center"/>
    </xf>
    <xf numFmtId="17" fontId="1" fillId="0" borderId="0" xfId="0" applyNumberFormat="1" applyFont="1" applyFill="1" applyBorder="1" applyAlignment="1">
      <alignment horizontal="right" vertical="center"/>
    </xf>
    <xf numFmtId="10" fontId="1" fillId="0" borderId="0" xfId="0" applyNumberFormat="1" applyFont="1" applyFill="1" applyBorder="1" applyAlignment="1">
      <alignment vertical="center"/>
    </xf>
    <xf numFmtId="0" fontId="2" fillId="2" borderId="12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166" fontId="1" fillId="2" borderId="12" xfId="1" applyNumberFormat="1" applyFont="1" applyFill="1" applyBorder="1" applyAlignment="1">
      <alignment vertical="center"/>
    </xf>
    <xf numFmtId="166" fontId="1" fillId="2" borderId="0" xfId="1" applyNumberFormat="1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171" fontId="4" fillId="2" borderId="0" xfId="1" applyNumberFormat="1" applyFont="1" applyFill="1" applyBorder="1" applyAlignment="1">
      <alignment vertical="center"/>
    </xf>
    <xf numFmtId="10" fontId="4" fillId="2" borderId="0" xfId="4" applyNumberFormat="1" applyFont="1" applyFill="1" applyBorder="1" applyAlignment="1">
      <alignment vertical="center"/>
    </xf>
    <xf numFmtId="165" fontId="4" fillId="2" borderId="12" xfId="1" applyFont="1" applyFill="1" applyBorder="1" applyAlignment="1">
      <alignment vertical="center"/>
    </xf>
    <xf numFmtId="165" fontId="4" fillId="2" borderId="0" xfId="1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171" fontId="1" fillId="2" borderId="0" xfId="1" applyNumberFormat="1" applyFont="1" applyFill="1" applyBorder="1" applyAlignment="1">
      <alignment vertical="center"/>
    </xf>
    <xf numFmtId="10" fontId="1" fillId="2" borderId="0" xfId="4" applyNumberFormat="1" applyFont="1" applyFill="1" applyBorder="1" applyAlignment="1">
      <alignment vertical="center"/>
    </xf>
    <xf numFmtId="165" fontId="1" fillId="2" borderId="12" xfId="1" applyFont="1" applyFill="1" applyBorder="1" applyAlignment="1">
      <alignment vertical="center"/>
    </xf>
    <xf numFmtId="165" fontId="1" fillId="2" borderId="0" xfId="1" applyFont="1" applyFill="1" applyBorder="1" applyAlignment="1">
      <alignment vertical="center"/>
    </xf>
    <xf numFmtId="171" fontId="1" fillId="2" borderId="0" xfId="1" applyNumberFormat="1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166" fontId="4" fillId="2" borderId="0" xfId="1" applyNumberFormat="1" applyFont="1" applyFill="1" applyBorder="1" applyAlignment="1">
      <alignment vertical="center"/>
    </xf>
    <xf numFmtId="166" fontId="4" fillId="2" borderId="12" xfId="1" applyNumberFormat="1" applyFont="1" applyFill="1" applyBorder="1" applyAlignment="1">
      <alignment vertical="center"/>
    </xf>
    <xf numFmtId="0" fontId="1" fillId="0" borderId="0" xfId="0" applyNumberFormat="1" applyFont="1" applyFill="1" applyAlignment="1">
      <alignment vertical="center"/>
    </xf>
    <xf numFmtId="0" fontId="0" fillId="0" borderId="0" xfId="1" applyNumberFormat="1" applyFont="1"/>
    <xf numFmtId="0" fontId="2" fillId="3" borderId="3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vertical="center"/>
    </xf>
    <xf numFmtId="17" fontId="1" fillId="0" borderId="19" xfId="0" applyNumberFormat="1" applyFont="1" applyFill="1" applyBorder="1" applyAlignment="1">
      <alignment horizontal="right" vertical="center"/>
    </xf>
    <xf numFmtId="166" fontId="2" fillId="0" borderId="1" xfId="1" applyNumberFormat="1" applyFont="1" applyBorder="1" applyAlignment="1">
      <alignment vertical="center"/>
    </xf>
    <xf numFmtId="166" fontId="1" fillId="0" borderId="0" xfId="1" applyNumberFormat="1" applyFont="1" applyFill="1" applyAlignment="1">
      <alignment vertical="center"/>
    </xf>
    <xf numFmtId="166" fontId="1" fillId="0" borderId="20" xfId="1" applyNumberFormat="1" applyFont="1" applyBorder="1" applyAlignment="1">
      <alignment vertical="center"/>
    </xf>
    <xf numFmtId="166" fontId="1" fillId="0" borderId="1" xfId="1" applyNumberFormat="1" applyFont="1" applyBorder="1" applyAlignment="1">
      <alignment vertical="center"/>
    </xf>
    <xf numFmtId="166" fontId="1" fillId="0" borderId="19" xfId="1" applyNumberFormat="1" applyFont="1" applyBorder="1" applyAlignment="1">
      <alignment vertical="center"/>
    </xf>
    <xf numFmtId="166" fontId="1" fillId="0" borderId="2" xfId="1" applyNumberFormat="1" applyFont="1" applyBorder="1" applyAlignment="1">
      <alignment vertical="center"/>
    </xf>
    <xf numFmtId="0" fontId="2" fillId="3" borderId="3" xfId="0" applyFont="1" applyFill="1" applyBorder="1" applyAlignment="1">
      <alignment vertical="center" wrapText="1"/>
    </xf>
    <xf numFmtId="166" fontId="2" fillId="3" borderId="1" xfId="1" applyNumberFormat="1" applyFont="1" applyFill="1" applyBorder="1" applyAlignment="1">
      <alignment vertical="center" wrapText="1"/>
    </xf>
    <xf numFmtId="166" fontId="2" fillId="3" borderId="2" xfId="1" applyNumberFormat="1" applyFont="1" applyFill="1" applyBorder="1" applyAlignment="1">
      <alignment vertical="center" wrapText="1"/>
    </xf>
    <xf numFmtId="0" fontId="1" fillId="0" borderId="18" xfId="0" applyFont="1" applyFill="1" applyBorder="1" applyAlignment="1">
      <alignment horizontal="right" vertical="center"/>
    </xf>
    <xf numFmtId="17" fontId="1" fillId="0" borderId="20" xfId="0" applyNumberFormat="1" applyFont="1" applyFill="1" applyBorder="1" applyAlignment="1">
      <alignment horizontal="right" vertical="center"/>
    </xf>
    <xf numFmtId="166" fontId="2" fillId="2" borderId="1" xfId="1" applyNumberFormat="1" applyFont="1" applyFill="1" applyBorder="1" applyAlignment="1">
      <alignment horizontal="center" vertical="center" wrapText="1"/>
    </xf>
    <xf numFmtId="10" fontId="1" fillId="0" borderId="1" xfId="1" applyNumberFormat="1" applyFont="1" applyBorder="1" applyAlignment="1">
      <alignment vertical="center"/>
    </xf>
    <xf numFmtId="166" fontId="1" fillId="2" borderId="20" xfId="1" applyNumberFormat="1" applyFont="1" applyFill="1" applyBorder="1" applyAlignment="1">
      <alignment vertical="center"/>
    </xf>
    <xf numFmtId="165" fontId="4" fillId="2" borderId="20" xfId="1" applyFont="1" applyFill="1" applyBorder="1" applyAlignment="1">
      <alignment vertical="center"/>
    </xf>
    <xf numFmtId="165" fontId="4" fillId="0" borderId="1" xfId="1" applyFont="1" applyBorder="1" applyAlignment="1">
      <alignment vertical="center"/>
    </xf>
    <xf numFmtId="165" fontId="1" fillId="2" borderId="20" xfId="1" applyFont="1" applyFill="1" applyBorder="1" applyAlignment="1">
      <alignment vertical="center"/>
    </xf>
    <xf numFmtId="165" fontId="1" fillId="0" borderId="1" xfId="1" applyFont="1" applyBorder="1" applyAlignment="1">
      <alignment vertical="center"/>
    </xf>
    <xf numFmtId="166" fontId="4" fillId="0" borderId="0" xfId="1" applyNumberFormat="1" applyFont="1" applyBorder="1" applyAlignment="1">
      <alignment vertical="center"/>
    </xf>
    <xf numFmtId="166" fontId="4" fillId="2" borderId="20" xfId="1" applyNumberFormat="1" applyFont="1" applyFill="1" applyBorder="1" applyAlignment="1">
      <alignment vertical="center"/>
    </xf>
    <xf numFmtId="166" fontId="4" fillId="0" borderId="1" xfId="1" applyNumberFormat="1" applyFont="1" applyBorder="1" applyAlignment="1">
      <alignment vertical="center"/>
    </xf>
    <xf numFmtId="173" fontId="4" fillId="2" borderId="0" xfId="1" applyNumberFormat="1" applyFont="1" applyFill="1" applyBorder="1" applyAlignment="1">
      <alignment vertical="center"/>
    </xf>
    <xf numFmtId="166" fontId="8" fillId="2" borderId="12" xfId="1" applyNumberFormat="1" applyFont="1" applyFill="1" applyBorder="1" applyAlignment="1">
      <alignment vertical="center"/>
    </xf>
    <xf numFmtId="166" fontId="8" fillId="2" borderId="0" xfId="1" applyNumberFormat="1" applyFont="1" applyFill="1" applyBorder="1" applyAlignment="1">
      <alignment vertical="center"/>
    </xf>
    <xf numFmtId="169" fontId="1" fillId="2" borderId="0" xfId="0" applyNumberFormat="1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10" fontId="1" fillId="2" borderId="11" xfId="4" applyNumberFormat="1" applyFont="1" applyFill="1" applyBorder="1" applyAlignment="1">
      <alignment vertical="center"/>
    </xf>
    <xf numFmtId="166" fontId="1" fillId="2" borderId="10" xfId="1" applyNumberFormat="1" applyFont="1" applyFill="1" applyBorder="1" applyAlignment="1">
      <alignment vertical="center"/>
    </xf>
    <xf numFmtId="166" fontId="1" fillId="2" borderId="11" xfId="1" applyNumberFormat="1" applyFont="1" applyFill="1" applyBorder="1" applyAlignment="1">
      <alignment vertical="center"/>
    </xf>
    <xf numFmtId="10" fontId="1" fillId="2" borderId="0" xfId="4" applyNumberFormat="1" applyFont="1" applyFill="1" applyAlignment="1">
      <alignment vertical="center"/>
    </xf>
    <xf numFmtId="166" fontId="1" fillId="2" borderId="0" xfId="1" applyNumberFormat="1" applyFont="1" applyFill="1" applyAlignment="1">
      <alignment vertical="center"/>
    </xf>
    <xf numFmtId="165" fontId="1" fillId="2" borderId="0" xfId="1" applyFont="1" applyFill="1" applyAlignment="1">
      <alignment vertical="center"/>
    </xf>
    <xf numFmtId="170" fontId="1" fillId="2" borderId="0" xfId="0" applyNumberFormat="1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165" fontId="2" fillId="0" borderId="0" xfId="1" applyFont="1" applyFill="1" applyBorder="1" applyAlignment="1">
      <alignment vertical="center"/>
    </xf>
    <xf numFmtId="10" fontId="2" fillId="0" borderId="0" xfId="4" applyNumberFormat="1" applyFont="1" applyBorder="1" applyAlignment="1">
      <alignment vertical="center"/>
    </xf>
    <xf numFmtId="173" fontId="2" fillId="0" borderId="12" xfId="1" applyNumberFormat="1" applyFont="1" applyBorder="1" applyAlignment="1">
      <alignment vertical="center"/>
    </xf>
    <xf numFmtId="173" fontId="2" fillId="0" borderId="0" xfId="1" applyNumberFormat="1" applyFont="1" applyBorder="1" applyAlignment="1">
      <alignment vertical="center"/>
    </xf>
    <xf numFmtId="165" fontId="1" fillId="0" borderId="0" xfId="1" applyFont="1" applyFill="1" applyBorder="1" applyAlignment="1">
      <alignment vertical="center"/>
    </xf>
    <xf numFmtId="165" fontId="1" fillId="0" borderId="12" xfId="1" applyFont="1" applyBorder="1" applyAlignment="1">
      <alignment vertical="center"/>
    </xf>
    <xf numFmtId="167" fontId="1" fillId="0" borderId="0" xfId="1" applyNumberFormat="1" applyFont="1" applyFill="1" applyBorder="1" applyAlignment="1">
      <alignment vertical="center"/>
    </xf>
    <xf numFmtId="167" fontId="2" fillId="0" borderId="11" xfId="0" applyNumberFormat="1" applyFont="1" applyFill="1" applyBorder="1" applyAlignment="1">
      <alignment vertical="center"/>
    </xf>
    <xf numFmtId="0" fontId="2" fillId="0" borderId="11" xfId="0" applyFont="1" applyFill="1" applyBorder="1" applyAlignment="1">
      <alignment vertical="center"/>
    </xf>
    <xf numFmtId="165" fontId="2" fillId="0" borderId="10" xfId="1" applyFont="1" applyBorder="1" applyAlignment="1">
      <alignment vertical="center"/>
    </xf>
    <xf numFmtId="165" fontId="2" fillId="0" borderId="11" xfId="1" applyFont="1" applyBorder="1" applyAlignment="1">
      <alignment vertical="center"/>
    </xf>
    <xf numFmtId="172" fontId="1" fillId="2" borderId="0" xfId="1" applyNumberFormat="1" applyFont="1" applyFill="1" applyBorder="1" applyAlignment="1">
      <alignment vertical="center"/>
    </xf>
    <xf numFmtId="166" fontId="1" fillId="2" borderId="1" xfId="1" applyNumberFormat="1" applyFont="1" applyFill="1" applyBorder="1" applyAlignment="1">
      <alignment vertical="center"/>
    </xf>
    <xf numFmtId="166" fontId="8" fillId="2" borderId="20" xfId="1" applyNumberFormat="1" applyFont="1" applyFill="1" applyBorder="1" applyAlignment="1">
      <alignment vertical="center"/>
    </xf>
    <xf numFmtId="166" fontId="8" fillId="0" borderId="1" xfId="1" applyNumberFormat="1" applyFont="1" applyBorder="1" applyAlignment="1">
      <alignment vertical="center"/>
    </xf>
    <xf numFmtId="166" fontId="1" fillId="2" borderId="19" xfId="1" applyNumberFormat="1" applyFont="1" applyFill="1" applyBorder="1" applyAlignment="1">
      <alignment vertical="center"/>
    </xf>
    <xf numFmtId="166" fontId="1" fillId="0" borderId="0" xfId="1" applyNumberFormat="1" applyFont="1" applyAlignment="1">
      <alignment vertical="center"/>
    </xf>
    <xf numFmtId="172" fontId="1" fillId="0" borderId="0" xfId="0" applyNumberFormat="1" applyFont="1" applyFill="1" applyAlignment="1">
      <alignment vertical="center"/>
    </xf>
    <xf numFmtId="173" fontId="2" fillId="0" borderId="20" xfId="1" applyNumberFormat="1" applyFont="1" applyBorder="1" applyAlignment="1">
      <alignment vertical="center"/>
    </xf>
    <xf numFmtId="165" fontId="2" fillId="0" borderId="1" xfId="1" applyFont="1" applyBorder="1" applyAlignment="1">
      <alignment vertical="center"/>
    </xf>
    <xf numFmtId="165" fontId="1" fillId="0" borderId="20" xfId="1" applyFont="1" applyBorder="1" applyAlignment="1">
      <alignment vertical="center"/>
    </xf>
    <xf numFmtId="165" fontId="2" fillId="0" borderId="19" xfId="1" applyFont="1" applyBorder="1" applyAlignment="1">
      <alignment vertical="center"/>
    </xf>
    <xf numFmtId="165" fontId="2" fillId="0" borderId="2" xfId="1" applyFont="1" applyBorder="1" applyAlignment="1">
      <alignment vertical="center"/>
    </xf>
    <xf numFmtId="174" fontId="1" fillId="0" borderId="0" xfId="0" applyNumberFormat="1" applyFont="1" applyFill="1" applyAlignment="1">
      <alignment vertical="center"/>
    </xf>
    <xf numFmtId="165" fontId="1" fillId="0" borderId="0" xfId="1" applyFont="1" applyFill="1" applyAlignment="1">
      <alignment vertical="center"/>
    </xf>
    <xf numFmtId="0" fontId="1" fillId="2" borderId="12" xfId="0" quotePrefix="1" applyFont="1" applyFill="1" applyBorder="1" applyAlignment="1">
      <alignment vertical="center"/>
    </xf>
    <xf numFmtId="10" fontId="6" fillId="2" borderId="0" xfId="0" applyNumberFormat="1" applyFont="1" applyFill="1" applyBorder="1" applyAlignment="1">
      <alignment vertical="center"/>
    </xf>
    <xf numFmtId="0" fontId="6" fillId="2" borderId="12" xfId="0" quotePrefix="1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0" fontId="1" fillId="2" borderId="0" xfId="1" applyNumberFormat="1" applyFont="1" applyFill="1" applyBorder="1" applyAlignment="1">
      <alignment vertical="center"/>
    </xf>
    <xf numFmtId="0" fontId="6" fillId="2" borderId="16" xfId="0" applyFont="1" applyFill="1" applyBorder="1" applyAlignment="1">
      <alignment vertical="center"/>
    </xf>
    <xf numFmtId="10" fontId="6" fillId="2" borderId="16" xfId="0" applyNumberFormat="1" applyFont="1" applyFill="1" applyBorder="1" applyAlignment="1">
      <alignment vertical="center"/>
    </xf>
    <xf numFmtId="10" fontId="1" fillId="2" borderId="16" xfId="4" applyNumberFormat="1" applyFont="1" applyFill="1" applyBorder="1" applyAlignment="1">
      <alignment vertical="center"/>
    </xf>
    <xf numFmtId="166" fontId="1" fillId="2" borderId="15" xfId="1" applyNumberFormat="1" applyFont="1" applyFill="1" applyBorder="1" applyAlignment="1">
      <alignment vertical="center"/>
    </xf>
    <xf numFmtId="166" fontId="1" fillId="2" borderId="16" xfId="1" applyNumberFormat="1" applyFont="1" applyFill="1" applyBorder="1" applyAlignment="1">
      <alignment vertical="center"/>
    </xf>
    <xf numFmtId="166" fontId="1" fillId="2" borderId="23" xfId="1" applyNumberFormat="1" applyFont="1" applyFill="1" applyBorder="1" applyAlignment="1">
      <alignment vertical="center"/>
    </xf>
    <xf numFmtId="166" fontId="1" fillId="2" borderId="24" xfId="1" applyNumberFormat="1" applyFont="1" applyFill="1" applyBorder="1" applyAlignment="1">
      <alignment vertical="center"/>
    </xf>
    <xf numFmtId="164" fontId="1" fillId="2" borderId="0" xfId="2" applyFont="1" applyFill="1" applyAlignment="1">
      <alignment vertical="center"/>
    </xf>
    <xf numFmtId="164" fontId="14" fillId="2" borderId="0" xfId="2" applyFont="1" applyFill="1" applyAlignment="1">
      <alignment vertical="center"/>
    </xf>
    <xf numFmtId="166" fontId="2" fillId="2" borderId="12" xfId="1" applyNumberFormat="1" applyFont="1" applyFill="1" applyBorder="1" applyAlignment="1">
      <alignment vertical="center"/>
    </xf>
    <xf numFmtId="166" fontId="2" fillId="2" borderId="0" xfId="1" applyNumberFormat="1" applyFont="1" applyFill="1" applyBorder="1" applyAlignment="1">
      <alignment vertical="center"/>
    </xf>
    <xf numFmtId="166" fontId="2" fillId="2" borderId="20" xfId="1" applyNumberFormat="1" applyFont="1" applyFill="1" applyBorder="1" applyAlignment="1">
      <alignment vertical="center"/>
    </xf>
    <xf numFmtId="166" fontId="2" fillId="2" borderId="1" xfId="1" applyNumberFormat="1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10" fontId="1" fillId="2" borderId="14" xfId="4" applyNumberFormat="1" applyFont="1" applyFill="1" applyBorder="1" applyAlignment="1">
      <alignment vertical="center"/>
    </xf>
    <xf numFmtId="166" fontId="1" fillId="2" borderId="13" xfId="1" applyNumberFormat="1" applyFont="1" applyFill="1" applyBorder="1" applyAlignment="1">
      <alignment vertical="center"/>
    </xf>
    <xf numFmtId="166" fontId="1" fillId="2" borderId="14" xfId="1" applyNumberFormat="1" applyFont="1" applyFill="1" applyBorder="1" applyAlignment="1">
      <alignment vertical="center"/>
    </xf>
    <xf numFmtId="166" fontId="1" fillId="2" borderId="21" xfId="1" applyNumberFormat="1" applyFont="1" applyFill="1" applyBorder="1" applyAlignment="1">
      <alignment vertical="center"/>
    </xf>
    <xf numFmtId="166" fontId="1" fillId="2" borderId="22" xfId="1" applyNumberFormat="1" applyFont="1" applyFill="1" applyBorder="1" applyAlignment="1">
      <alignment vertical="center"/>
    </xf>
    <xf numFmtId="164" fontId="1" fillId="2" borderId="0" xfId="0" applyNumberFormat="1" applyFont="1" applyFill="1" applyAlignment="1">
      <alignment vertical="center"/>
    </xf>
    <xf numFmtId="10" fontId="6" fillId="2" borderId="11" xfId="0" applyNumberFormat="1" applyFont="1" applyFill="1" applyBorder="1" applyAlignment="1">
      <alignment vertical="center"/>
    </xf>
    <xf numFmtId="166" fontId="1" fillId="2" borderId="2" xfId="1" applyNumberFormat="1" applyFont="1" applyFill="1" applyBorder="1" applyAlignment="1">
      <alignment vertical="center"/>
    </xf>
    <xf numFmtId="0" fontId="16" fillId="0" borderId="12" xfId="0" quotePrefix="1" applyFont="1" applyFill="1" applyBorder="1" applyAlignment="1">
      <alignment vertical="center"/>
    </xf>
    <xf numFmtId="1" fontId="1" fillId="0" borderId="12" xfId="1" applyNumberFormat="1" applyFont="1" applyBorder="1" applyAlignment="1">
      <alignment vertical="center"/>
    </xf>
    <xf numFmtId="1" fontId="1" fillId="0" borderId="0" xfId="1" applyNumberFormat="1" applyFont="1" applyBorder="1" applyAlignment="1">
      <alignment vertical="center"/>
    </xf>
    <xf numFmtId="1" fontId="1" fillId="0" borderId="20" xfId="1" applyNumberFormat="1" applyFont="1" applyBorder="1" applyAlignment="1">
      <alignment vertical="center"/>
    </xf>
    <xf numFmtId="0" fontId="16" fillId="2" borderId="12" xfId="0" quotePrefix="1" applyFont="1" applyFill="1" applyBorder="1" applyAlignment="1">
      <alignment vertical="center"/>
    </xf>
    <xf numFmtId="0" fontId="16" fillId="2" borderId="15" xfId="0" quotePrefix="1" applyFont="1" applyFill="1" applyBorder="1" applyAlignment="1">
      <alignment vertical="center"/>
    </xf>
    <xf numFmtId="0" fontId="3" fillId="0" borderId="0" xfId="0" applyFont="1" applyFill="1" applyAlignment="1">
      <alignment vertical="center"/>
    </xf>
    <xf numFmtId="164" fontId="1" fillId="0" borderId="0" xfId="2" applyFont="1" applyFill="1" applyBorder="1" applyAlignment="1">
      <alignment vertical="center"/>
    </xf>
    <xf numFmtId="0" fontId="1" fillId="0" borderId="12" xfId="0" quotePrefix="1" applyFont="1" applyFill="1" applyBorder="1" applyAlignment="1">
      <alignment vertical="center"/>
    </xf>
    <xf numFmtId="0" fontId="6" fillId="0" borderId="12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 wrapText="1"/>
    </xf>
    <xf numFmtId="10" fontId="6" fillId="0" borderId="0" xfId="0" applyNumberFormat="1" applyFont="1" applyFill="1" applyBorder="1" applyAlignment="1">
      <alignment vertical="center"/>
    </xf>
    <xf numFmtId="10" fontId="1" fillId="0" borderId="0" xfId="4" applyNumberFormat="1" applyFont="1" applyFill="1" applyBorder="1" applyAlignment="1">
      <alignment vertical="center"/>
    </xf>
    <xf numFmtId="166" fontId="2" fillId="0" borderId="12" xfId="1" applyNumberFormat="1" applyFont="1" applyFill="1" applyBorder="1" applyAlignment="1">
      <alignment vertical="center"/>
    </xf>
    <xf numFmtId="166" fontId="2" fillId="0" borderId="0" xfId="1" applyNumberFormat="1" applyFont="1" applyFill="1" applyBorder="1" applyAlignment="1">
      <alignment vertical="center"/>
    </xf>
    <xf numFmtId="166" fontId="2" fillId="0" borderId="20" xfId="1" applyNumberFormat="1" applyFont="1" applyFill="1" applyBorder="1" applyAlignment="1">
      <alignment vertical="center"/>
    </xf>
    <xf numFmtId="166" fontId="2" fillId="0" borderId="1" xfId="1" applyNumberFormat="1" applyFont="1" applyFill="1" applyBorder="1" applyAlignment="1">
      <alignment vertical="center"/>
    </xf>
    <xf numFmtId="164" fontId="1" fillId="0" borderId="0" xfId="2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166" fontId="1" fillId="0" borderId="12" xfId="1" applyNumberFormat="1" applyFont="1" applyFill="1" applyBorder="1" applyAlignment="1">
      <alignment vertical="center"/>
    </xf>
    <xf numFmtId="166" fontId="1" fillId="0" borderId="0" xfId="1" applyNumberFormat="1" applyFont="1" applyFill="1" applyBorder="1" applyAlignment="1">
      <alignment vertical="center"/>
    </xf>
    <xf numFmtId="166" fontId="1" fillId="0" borderId="20" xfId="1" applyNumberFormat="1" applyFont="1" applyFill="1" applyBorder="1" applyAlignment="1">
      <alignment vertical="center"/>
    </xf>
    <xf numFmtId="166" fontId="1" fillId="0" borderId="1" xfId="1" applyNumberFormat="1" applyFont="1" applyFill="1" applyBorder="1" applyAlignment="1">
      <alignment vertical="center"/>
    </xf>
    <xf numFmtId="0" fontId="6" fillId="0" borderId="12" xfId="0" quotePrefix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3" xfId="0" applyFont="1" applyFill="1" applyBorder="1" applyAlignment="1">
      <alignment vertical="center"/>
    </xf>
    <xf numFmtId="0" fontId="2" fillId="0" borderId="14" xfId="0" applyFont="1" applyFill="1" applyBorder="1" applyAlignment="1">
      <alignment vertical="center"/>
    </xf>
    <xf numFmtId="0" fontId="1" fillId="0" borderId="14" xfId="0" applyFont="1" applyFill="1" applyBorder="1" applyAlignment="1">
      <alignment vertical="center"/>
    </xf>
    <xf numFmtId="10" fontId="1" fillId="0" borderId="14" xfId="4" applyNumberFormat="1" applyFont="1" applyFill="1" applyBorder="1" applyAlignment="1">
      <alignment vertical="center"/>
    </xf>
    <xf numFmtId="166" fontId="1" fillId="0" borderId="13" xfId="1" applyNumberFormat="1" applyFont="1" applyFill="1" applyBorder="1" applyAlignment="1">
      <alignment vertical="center"/>
    </xf>
    <xf numFmtId="166" fontId="1" fillId="0" borderId="14" xfId="1" applyNumberFormat="1" applyFont="1" applyFill="1" applyBorder="1" applyAlignment="1">
      <alignment vertical="center"/>
    </xf>
    <xf numFmtId="166" fontId="1" fillId="0" borderId="21" xfId="1" applyNumberFormat="1" applyFont="1" applyFill="1" applyBorder="1" applyAlignment="1">
      <alignment vertical="center"/>
    </xf>
    <xf numFmtId="166" fontId="1" fillId="0" borderId="22" xfId="1" applyNumberFormat="1" applyFont="1" applyFill="1" applyBorder="1" applyAlignment="1">
      <alignment vertical="center"/>
    </xf>
    <xf numFmtId="164" fontId="1" fillId="0" borderId="0" xfId="0" applyNumberFormat="1" applyFont="1" applyFill="1" applyAlignment="1">
      <alignment vertical="center"/>
    </xf>
    <xf numFmtId="10" fontId="18" fillId="0" borderId="0" xfId="4" applyNumberFormat="1" applyFont="1" applyFill="1" applyBorder="1" applyAlignment="1">
      <alignment vertical="center"/>
    </xf>
    <xf numFmtId="10" fontId="1" fillId="0" borderId="0" xfId="1" applyNumberFormat="1" applyFont="1" applyFill="1" applyBorder="1" applyAlignment="1">
      <alignment vertical="center"/>
    </xf>
    <xf numFmtId="0" fontId="1" fillId="0" borderId="15" xfId="0" quotePrefix="1" applyFont="1" applyFill="1" applyBorder="1" applyAlignment="1">
      <alignment vertical="center"/>
    </xf>
    <xf numFmtId="0" fontId="6" fillId="0" borderId="16" xfId="0" applyFont="1" applyFill="1" applyBorder="1" applyAlignment="1">
      <alignment vertical="center"/>
    </xf>
    <xf numFmtId="10" fontId="6" fillId="0" borderId="16" xfId="0" applyNumberFormat="1" applyFont="1" applyFill="1" applyBorder="1" applyAlignment="1">
      <alignment vertical="center"/>
    </xf>
    <xf numFmtId="10" fontId="1" fillId="0" borderId="16" xfId="4" applyNumberFormat="1" applyFont="1" applyFill="1" applyBorder="1" applyAlignment="1">
      <alignment vertical="center"/>
    </xf>
    <xf numFmtId="166" fontId="1" fillId="0" borderId="15" xfId="1" applyNumberFormat="1" applyFont="1" applyFill="1" applyBorder="1" applyAlignment="1">
      <alignment vertical="center"/>
    </xf>
    <xf numFmtId="166" fontId="1" fillId="0" borderId="16" xfId="1" applyNumberFormat="1" applyFont="1" applyFill="1" applyBorder="1" applyAlignment="1">
      <alignment vertical="center"/>
    </xf>
    <xf numFmtId="166" fontId="1" fillId="0" borderId="23" xfId="1" applyNumberFormat="1" applyFont="1" applyFill="1" applyBorder="1" applyAlignment="1">
      <alignment vertical="center"/>
    </xf>
    <xf numFmtId="166" fontId="1" fillId="0" borderId="24" xfId="1" applyNumberFormat="1" applyFont="1" applyFill="1" applyBorder="1" applyAlignment="1">
      <alignment vertical="center"/>
    </xf>
    <xf numFmtId="10" fontId="6" fillId="0" borderId="11" xfId="0" applyNumberFormat="1" applyFont="1" applyFill="1" applyBorder="1" applyAlignment="1">
      <alignment vertical="center"/>
    </xf>
    <xf numFmtId="10" fontId="1" fillId="0" borderId="11" xfId="4" applyNumberFormat="1" applyFont="1" applyFill="1" applyBorder="1" applyAlignment="1">
      <alignment vertical="center"/>
    </xf>
    <xf numFmtId="166" fontId="1" fillId="0" borderId="10" xfId="1" applyNumberFormat="1" applyFont="1" applyFill="1" applyBorder="1" applyAlignment="1">
      <alignment vertical="center"/>
    </xf>
    <xf numFmtId="166" fontId="1" fillId="0" borderId="11" xfId="1" applyNumberFormat="1" applyFont="1" applyFill="1" applyBorder="1" applyAlignment="1">
      <alignment vertical="center"/>
    </xf>
    <xf numFmtId="166" fontId="1" fillId="0" borderId="19" xfId="1" applyNumberFormat="1" applyFont="1" applyFill="1" applyBorder="1" applyAlignment="1">
      <alignment vertical="center"/>
    </xf>
    <xf numFmtId="166" fontId="1" fillId="0" borderId="2" xfId="1" applyNumberFormat="1" applyFont="1" applyFill="1" applyBorder="1" applyAlignment="1">
      <alignment vertical="center"/>
    </xf>
    <xf numFmtId="0" fontId="2" fillId="0" borderId="3" xfId="0" applyFont="1" applyFill="1" applyBorder="1" applyAlignment="1">
      <alignment vertical="center" wrapText="1"/>
    </xf>
    <xf numFmtId="166" fontId="2" fillId="0" borderId="1" xfId="1" applyNumberFormat="1" applyFont="1" applyFill="1" applyBorder="1" applyAlignment="1">
      <alignment vertical="center" wrapText="1"/>
    </xf>
    <xf numFmtId="166" fontId="2" fillId="0" borderId="2" xfId="1" applyNumberFormat="1" applyFont="1" applyFill="1" applyBorder="1" applyAlignment="1">
      <alignment vertical="center" wrapText="1"/>
    </xf>
    <xf numFmtId="165" fontId="18" fillId="0" borderId="0" xfId="1" applyFont="1" applyFill="1" applyBorder="1" applyAlignment="1">
      <alignment vertical="center"/>
    </xf>
    <xf numFmtId="165" fontId="1" fillId="0" borderId="12" xfId="1" applyNumberFormat="1" applyFont="1" applyFill="1" applyBorder="1" applyAlignment="1">
      <alignment vertical="center"/>
    </xf>
    <xf numFmtId="165" fontId="1" fillId="0" borderId="0" xfId="1" applyNumberFormat="1" applyFont="1" applyFill="1" applyBorder="1" applyAlignment="1">
      <alignment vertical="center"/>
    </xf>
    <xf numFmtId="165" fontId="1" fillId="0" borderId="20" xfId="1" applyNumberFormat="1" applyFont="1" applyFill="1" applyBorder="1" applyAlignment="1">
      <alignment vertical="center"/>
    </xf>
    <xf numFmtId="165" fontId="1" fillId="0" borderId="1" xfId="1" applyNumberFormat="1" applyFont="1" applyFill="1" applyBorder="1" applyAlignment="1">
      <alignment vertical="center"/>
    </xf>
    <xf numFmtId="175" fontId="1" fillId="0" borderId="12" xfId="2" applyNumberFormat="1" applyFont="1" applyFill="1" applyBorder="1" applyAlignment="1">
      <alignment vertical="center"/>
    </xf>
    <xf numFmtId="175" fontId="1" fillId="0" borderId="0" xfId="2" applyNumberFormat="1" applyFont="1" applyFill="1" applyBorder="1" applyAlignment="1">
      <alignment vertical="center"/>
    </xf>
    <xf numFmtId="175" fontId="1" fillId="0" borderId="20" xfId="2" applyNumberFormat="1" applyFont="1" applyFill="1" applyBorder="1" applyAlignment="1">
      <alignment vertical="center"/>
    </xf>
    <xf numFmtId="175" fontId="1" fillId="0" borderId="1" xfId="2" applyNumberFormat="1" applyFont="1" applyFill="1" applyBorder="1" applyAlignment="1">
      <alignment vertical="center"/>
    </xf>
    <xf numFmtId="175" fontId="1" fillId="0" borderId="1" xfId="1" applyNumberFormat="1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166" fontId="1" fillId="0" borderId="6" xfId="1" applyNumberFormat="1" applyFont="1" applyFill="1" applyBorder="1" applyAlignment="1">
      <alignment vertical="center"/>
    </xf>
    <xf numFmtId="166" fontId="1" fillId="0" borderId="7" xfId="1" applyNumberFormat="1" applyFont="1" applyFill="1" applyBorder="1" applyAlignment="1">
      <alignment vertical="center"/>
    </xf>
    <xf numFmtId="166" fontId="1" fillId="0" borderId="18" xfId="1" applyNumberFormat="1" applyFont="1" applyFill="1" applyBorder="1" applyAlignment="1">
      <alignment vertical="center"/>
    </xf>
    <xf numFmtId="0" fontId="4" fillId="0" borderId="12" xfId="0" applyFont="1" applyFill="1" applyBorder="1" applyAlignment="1">
      <alignment vertical="center"/>
    </xf>
    <xf numFmtId="175" fontId="4" fillId="0" borderId="0" xfId="2" applyNumberFormat="1" applyFont="1" applyFill="1" applyBorder="1" applyAlignment="1">
      <alignment vertical="center"/>
    </xf>
    <xf numFmtId="165" fontId="4" fillId="0" borderId="0" xfId="1" applyNumberFormat="1" applyFont="1" applyFill="1" applyBorder="1" applyAlignment="1">
      <alignment vertical="center"/>
    </xf>
    <xf numFmtId="10" fontId="4" fillId="0" borderId="0" xfId="4" applyNumberFormat="1" applyFont="1" applyFill="1" applyBorder="1" applyAlignment="1">
      <alignment vertical="center"/>
    </xf>
    <xf numFmtId="165" fontId="4" fillId="0" borderId="12" xfId="1" applyFont="1" applyFill="1" applyBorder="1" applyAlignment="1">
      <alignment vertical="center"/>
    </xf>
    <xf numFmtId="165" fontId="4" fillId="0" borderId="0" xfId="1" applyFont="1" applyFill="1" applyBorder="1" applyAlignment="1">
      <alignment vertical="center"/>
    </xf>
    <xf numFmtId="165" fontId="4" fillId="0" borderId="20" xfId="1" applyFont="1" applyFill="1" applyBorder="1" applyAlignment="1">
      <alignment vertical="center"/>
    </xf>
    <xf numFmtId="165" fontId="4" fillId="0" borderId="1" xfId="1" applyFont="1" applyFill="1" applyBorder="1" applyAlignment="1">
      <alignment vertical="center"/>
    </xf>
    <xf numFmtId="165" fontId="1" fillId="0" borderId="12" xfId="1" applyFont="1" applyFill="1" applyBorder="1" applyAlignment="1">
      <alignment vertical="center"/>
    </xf>
    <xf numFmtId="165" fontId="1" fillId="0" borderId="20" xfId="1" applyFont="1" applyFill="1" applyBorder="1" applyAlignment="1">
      <alignment vertical="center"/>
    </xf>
    <xf numFmtId="165" fontId="1" fillId="0" borderId="1" xfId="1" applyFont="1" applyFill="1" applyBorder="1" applyAlignment="1">
      <alignment vertical="center"/>
    </xf>
    <xf numFmtId="166" fontId="4" fillId="0" borderId="0" xfId="1" applyNumberFormat="1" applyFont="1" applyFill="1" applyBorder="1" applyAlignment="1">
      <alignment vertical="center"/>
    </xf>
    <xf numFmtId="166" fontId="4" fillId="0" borderId="12" xfId="1" applyNumberFormat="1" applyFont="1" applyFill="1" applyBorder="1" applyAlignment="1">
      <alignment vertical="center"/>
    </xf>
    <xf numFmtId="166" fontId="4" fillId="0" borderId="20" xfId="1" applyNumberFormat="1" applyFont="1" applyFill="1" applyBorder="1" applyAlignment="1">
      <alignment vertical="center"/>
    </xf>
    <xf numFmtId="166" fontId="4" fillId="0" borderId="1" xfId="1" applyNumberFormat="1" applyFont="1" applyFill="1" applyBorder="1" applyAlignment="1">
      <alignment vertical="center"/>
    </xf>
    <xf numFmtId="173" fontId="4" fillId="0" borderId="0" xfId="1" applyNumberFormat="1" applyFont="1" applyFill="1" applyBorder="1" applyAlignment="1">
      <alignment vertical="center"/>
    </xf>
    <xf numFmtId="173" fontId="1" fillId="0" borderId="0" xfId="1" applyNumberFormat="1" applyFont="1" applyFill="1" applyBorder="1" applyAlignment="1">
      <alignment vertical="center"/>
    </xf>
    <xf numFmtId="169" fontId="1" fillId="0" borderId="0" xfId="0" applyNumberFormat="1" applyFont="1" applyFill="1" applyBorder="1" applyAlignment="1">
      <alignment vertical="center"/>
    </xf>
    <xf numFmtId="173" fontId="18" fillId="0" borderId="0" xfId="1" applyNumberFormat="1" applyFont="1" applyFill="1" applyBorder="1" applyAlignment="1">
      <alignment vertical="center"/>
    </xf>
    <xf numFmtId="10" fontId="1" fillId="0" borderId="0" xfId="4" applyNumberFormat="1" applyFont="1" applyFill="1" applyAlignment="1">
      <alignment vertical="center"/>
    </xf>
    <xf numFmtId="165" fontId="2" fillId="0" borderId="10" xfId="1" applyFont="1" applyFill="1" applyBorder="1" applyAlignment="1">
      <alignment vertical="center"/>
    </xf>
    <xf numFmtId="165" fontId="2" fillId="0" borderId="11" xfId="1" applyFont="1" applyFill="1" applyBorder="1" applyAlignment="1">
      <alignment vertical="center"/>
    </xf>
    <xf numFmtId="165" fontId="2" fillId="0" borderId="19" xfId="1" applyFont="1" applyFill="1" applyBorder="1" applyAlignment="1">
      <alignment vertical="center"/>
    </xf>
    <xf numFmtId="165" fontId="2" fillId="0" borderId="2" xfId="1" applyFont="1" applyFill="1" applyBorder="1" applyAlignment="1">
      <alignment vertical="center"/>
    </xf>
    <xf numFmtId="164" fontId="4" fillId="0" borderId="0" xfId="2" applyNumberFormat="1" applyFont="1" applyFill="1" applyBorder="1" applyAlignment="1">
      <alignment vertical="center"/>
    </xf>
    <xf numFmtId="164" fontId="1" fillId="0" borderId="0" xfId="2" applyNumberFormat="1" applyFont="1" applyFill="1" applyBorder="1" applyAlignment="1">
      <alignment vertical="center"/>
    </xf>
    <xf numFmtId="10" fontId="1" fillId="0" borderId="20" xfId="4" applyNumberFormat="1" applyFont="1" applyFill="1" applyBorder="1" applyAlignment="1">
      <alignment vertical="center"/>
    </xf>
    <xf numFmtId="10" fontId="1" fillId="0" borderId="19" xfId="4" applyNumberFormat="1" applyFont="1" applyFill="1" applyBorder="1" applyAlignment="1">
      <alignment vertical="center"/>
    </xf>
    <xf numFmtId="166" fontId="1" fillId="0" borderId="0" xfId="0" applyNumberFormat="1" applyFont="1" applyFill="1" applyAlignment="1">
      <alignment vertical="center"/>
    </xf>
    <xf numFmtId="0" fontId="1" fillId="0" borderId="7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166" fontId="2" fillId="0" borderId="1" xfId="1" applyNumberFormat="1" applyFont="1" applyFill="1" applyBorder="1" applyAlignment="1">
      <alignment horizontal="center" vertical="center" wrapText="1"/>
    </xf>
    <xf numFmtId="0" fontId="1" fillId="0" borderId="4" xfId="1" applyNumberFormat="1" applyFont="1" applyFill="1" applyBorder="1" applyAlignment="1">
      <alignment horizontal="center" vertical="center"/>
    </xf>
    <xf numFmtId="0" fontId="1" fillId="0" borderId="5" xfId="1" applyNumberFormat="1" applyFont="1" applyFill="1" applyBorder="1" applyAlignment="1">
      <alignment horizontal="center" vertical="center"/>
    </xf>
    <xf numFmtId="0" fontId="1" fillId="0" borderId="17" xfId="1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26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166" fontId="2" fillId="0" borderId="1" xfId="1" applyNumberFormat="1" applyFont="1" applyFill="1" applyBorder="1" applyAlignment="1">
      <alignment horizontal="center" vertical="center" wrapText="1"/>
    </xf>
    <xf numFmtId="166" fontId="2" fillId="0" borderId="2" xfId="1" applyNumberFormat="1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166" fontId="2" fillId="0" borderId="3" xfId="1" applyNumberFormat="1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10" xfId="0" applyFont="1" applyFill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center" vertical="center"/>
    </xf>
    <xf numFmtId="0" fontId="1" fillId="3" borderId="4" xfId="1" applyNumberFormat="1" applyFont="1" applyFill="1" applyBorder="1" applyAlignment="1">
      <alignment horizontal="center" vertical="center"/>
    </xf>
    <xf numFmtId="0" fontId="1" fillId="3" borderId="5" xfId="1" applyNumberFormat="1" applyFont="1" applyFill="1" applyBorder="1" applyAlignment="1">
      <alignment horizontal="center" vertical="center"/>
    </xf>
    <xf numFmtId="0" fontId="1" fillId="3" borderId="17" xfId="1" applyNumberFormat="1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6" fontId="2" fillId="3" borderId="1" xfId="1" applyNumberFormat="1" applyFont="1" applyFill="1" applyBorder="1" applyAlignment="1">
      <alignment horizontal="center" vertical="center" wrapText="1"/>
    </xf>
    <xf numFmtId="166" fontId="2" fillId="3" borderId="2" xfId="1" applyNumberFormat="1" applyFont="1" applyFill="1" applyBorder="1" applyAlignment="1">
      <alignment horizontal="center" vertical="center" wrapText="1"/>
    </xf>
    <xf numFmtId="164" fontId="14" fillId="2" borderId="0" xfId="2" applyFont="1" applyFill="1" applyAlignment="1">
      <alignment horizontal="center" vertical="center"/>
    </xf>
    <xf numFmtId="166" fontId="2" fillId="3" borderId="3" xfId="1" applyNumberFormat="1" applyFont="1" applyFill="1" applyBorder="1" applyAlignment="1">
      <alignment horizontal="center" vertical="center" wrapText="1"/>
    </xf>
  </cellXfs>
  <cellStyles count="45">
    <cellStyle name="Comma" xfId="1" builtinId="3"/>
    <cellStyle name="Comma [0]" xfId="2" builtinId="6"/>
    <cellStyle name="Comma [0] 10" xfId="15" xr:uid="{00000000-0005-0000-0000-00003C000000}"/>
    <cellStyle name="Comma [0] 11" xfId="9" xr:uid="{00000000-0005-0000-0000-000025000000}"/>
    <cellStyle name="Comma [0] 12" xfId="10" xr:uid="{00000000-0005-0000-0000-000029000000}"/>
    <cellStyle name="Comma [0] 14" xfId="12" xr:uid="{00000000-0005-0000-0000-000031000000}"/>
    <cellStyle name="Comma [0] 16" xfId="14" xr:uid="{00000000-0005-0000-0000-000039000000}"/>
    <cellStyle name="Comma [0] 2" xfId="16" xr:uid="{00000000-0005-0000-0000-00003D000000}"/>
    <cellStyle name="Comma [0] 2 2" xfId="13" xr:uid="{00000000-0005-0000-0000-000035000000}"/>
    <cellStyle name="Comma [0] 3" xfId="18" xr:uid="{00000000-0005-0000-0000-00003F000000}"/>
    <cellStyle name="Comma [0] 3 2" xfId="20" xr:uid="{00000000-0005-0000-0000-000041000000}"/>
    <cellStyle name="Comma [0] 4" xfId="21" xr:uid="{00000000-0005-0000-0000-000042000000}"/>
    <cellStyle name="Comma [0] 6" xfId="8" xr:uid="{00000000-0005-0000-0000-000021000000}"/>
    <cellStyle name="Comma [0] 6 2" xfId="7" xr:uid="{00000000-0005-0000-0000-000015000000}"/>
    <cellStyle name="Comma [0] 6 3" xfId="5" xr:uid="{00000000-0005-0000-0000-00000B000000}"/>
    <cellStyle name="Comma [0] 6 3 2" xfId="17" xr:uid="{00000000-0005-0000-0000-00003E000000}"/>
    <cellStyle name="Comma [0] 6 3 2 2" xfId="19" xr:uid="{00000000-0005-0000-0000-000040000000}"/>
    <cellStyle name="Comma [0] 6 3 2 3" xfId="40" xr:uid="{00000000-0005-0000-0000-000055000000}"/>
    <cellStyle name="Comma [0] 7" xfId="22" xr:uid="{00000000-0005-0000-0000-000043000000}"/>
    <cellStyle name="Comma [0] 8" xfId="23" xr:uid="{00000000-0005-0000-0000-000044000000}"/>
    <cellStyle name="Comma [0] 8 2" xfId="3" xr:uid="{00000000-0005-0000-0000-000005000000}"/>
    <cellStyle name="Comma [0] 8 2 2" xfId="24" xr:uid="{00000000-0005-0000-0000-000045000000}"/>
    <cellStyle name="Comma [0] 8 2 3" xfId="39" xr:uid="{00000000-0005-0000-0000-000054000000}"/>
    <cellStyle name="Excel Built-in Normal" xfId="25" xr:uid="{00000000-0005-0000-0000-000046000000}"/>
    <cellStyle name="Normal" xfId="0" builtinId="0"/>
    <cellStyle name="Normal 10" xfId="26" xr:uid="{00000000-0005-0000-0000-000047000000}"/>
    <cellStyle name="Normal 11" xfId="27" xr:uid="{00000000-0005-0000-0000-000048000000}"/>
    <cellStyle name="Normal 12" xfId="28" xr:uid="{00000000-0005-0000-0000-000049000000}"/>
    <cellStyle name="Normal 14" xfId="43" xr:uid="{00000000-0005-0000-0000-000058000000}"/>
    <cellStyle name="Normal 16" xfId="44" xr:uid="{00000000-0005-0000-0000-000059000000}"/>
    <cellStyle name="Normal 2" xfId="29" xr:uid="{00000000-0005-0000-0000-00004A000000}"/>
    <cellStyle name="Normal 3" xfId="30" xr:uid="{00000000-0005-0000-0000-00004B000000}"/>
    <cellStyle name="Normal 4" xfId="31" xr:uid="{00000000-0005-0000-0000-00004C000000}"/>
    <cellStyle name="Normal 6" xfId="32" xr:uid="{00000000-0005-0000-0000-00004D000000}"/>
    <cellStyle name="Normal 6 2" xfId="33" xr:uid="{00000000-0005-0000-0000-00004E000000}"/>
    <cellStyle name="Normal 6 3" xfId="6" xr:uid="{00000000-0005-0000-0000-000012000000}"/>
    <cellStyle name="Normal 6 3 2" xfId="11" xr:uid="{00000000-0005-0000-0000-00002C000000}"/>
    <cellStyle name="Normal 6 3 2 2" xfId="34" xr:uid="{00000000-0005-0000-0000-00004F000000}"/>
    <cellStyle name="Normal 6 3 2 3" xfId="41" xr:uid="{00000000-0005-0000-0000-000056000000}"/>
    <cellStyle name="Normal 7" xfId="35" xr:uid="{00000000-0005-0000-0000-000050000000}"/>
    <cellStyle name="Normal 8" xfId="36" xr:uid="{00000000-0005-0000-0000-000051000000}"/>
    <cellStyle name="Normal 8 2" xfId="37" xr:uid="{00000000-0005-0000-0000-000052000000}"/>
    <cellStyle name="Normal 8 2 2" xfId="38" xr:uid="{00000000-0005-0000-0000-000053000000}"/>
    <cellStyle name="Normal 8 2 3" xfId="42" xr:uid="{00000000-0005-0000-0000-000057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2F64E-0F4C-4B1A-A104-FE2E8AE79B05}">
  <dimension ref="B1:V152"/>
  <sheetViews>
    <sheetView showGridLines="0" tabSelected="1" topLeftCell="E59" zoomScale="80" zoomScaleNormal="80" workbookViewId="0">
      <selection activeCell="O78" sqref="O78"/>
    </sheetView>
  </sheetViews>
  <sheetFormatPr defaultColWidth="12.5703125" defaultRowHeight="15"/>
  <cols>
    <col min="1" max="1" width="13.5703125" style="1" customWidth="1"/>
    <col min="2" max="2" width="40.5703125" style="1" customWidth="1"/>
    <col min="3" max="3" width="13.28515625" style="1" customWidth="1"/>
    <col min="4" max="4" width="12.85546875" style="1" customWidth="1"/>
    <col min="5" max="5" width="14.5703125" style="1" customWidth="1"/>
    <col min="6" max="6" width="14.28515625" style="1" bestFit="1" customWidth="1"/>
    <col min="7" max="9" width="14" style="1" bestFit="1" customWidth="1"/>
    <col min="10" max="10" width="15.28515625" style="1" bestFit="1" customWidth="1"/>
    <col min="11" max="17" width="14" style="1" bestFit="1" customWidth="1"/>
    <col min="18" max="18" width="2.42578125" style="1" hidden="1" customWidth="1"/>
    <col min="19" max="19" width="16.5703125" style="1" bestFit="1" customWidth="1"/>
    <col min="20" max="20" width="15.5703125" style="1" customWidth="1"/>
    <col min="21" max="16384" width="12.5703125" style="1"/>
  </cols>
  <sheetData>
    <row r="1" spans="2:22" ht="12.95" customHeight="1"/>
    <row r="2" spans="2:22" ht="24.95" customHeight="1">
      <c r="B2" s="260" t="s">
        <v>94</v>
      </c>
      <c r="C2" s="260"/>
      <c r="D2" s="260"/>
      <c r="E2" s="260"/>
      <c r="F2" s="260"/>
      <c r="G2" s="260"/>
      <c r="H2" s="260"/>
      <c r="I2" s="260"/>
      <c r="J2" s="260"/>
      <c r="K2" s="260"/>
      <c r="L2" s="260"/>
      <c r="M2" s="260"/>
      <c r="N2" s="260"/>
      <c r="O2" s="260"/>
      <c r="P2" s="260"/>
      <c r="Q2" s="260"/>
      <c r="R2" s="260"/>
      <c r="S2" s="260"/>
    </row>
    <row r="3" spans="2:22">
      <c r="F3" s="252"/>
      <c r="M3" s="62"/>
    </row>
    <row r="4" spans="2:22" s="162" customFormat="1" ht="16.5" thickBot="1">
      <c r="B4" s="1"/>
      <c r="C4" s="1"/>
      <c r="F4" s="1"/>
      <c r="G4" s="1"/>
      <c r="H4" s="1"/>
      <c r="I4" s="1"/>
      <c r="J4" s="1"/>
      <c r="K4" s="1"/>
      <c r="L4" s="1"/>
      <c r="M4" s="62"/>
      <c r="N4" s="1"/>
      <c r="O4" s="1"/>
      <c r="P4" s="1"/>
      <c r="Q4" s="1"/>
      <c r="S4" s="1"/>
    </row>
    <row r="5" spans="2:22" ht="18" customHeight="1" thickBot="1">
      <c r="B5" s="3" t="s">
        <v>133</v>
      </c>
      <c r="C5" s="3"/>
      <c r="F5" s="257">
        <v>2021</v>
      </c>
      <c r="G5" s="258"/>
      <c r="H5" s="258"/>
      <c r="I5" s="258"/>
      <c r="J5" s="258"/>
      <c r="K5" s="258"/>
      <c r="L5" s="258"/>
      <c r="M5" s="258"/>
      <c r="N5" s="258"/>
      <c r="O5" s="258"/>
      <c r="P5" s="258"/>
      <c r="Q5" s="259"/>
      <c r="S5" s="166" t="s">
        <v>0</v>
      </c>
    </row>
    <row r="6" spans="2:22" ht="18" customHeight="1">
      <c r="B6" s="261" t="s">
        <v>1</v>
      </c>
      <c r="C6" s="262"/>
      <c r="D6" s="262"/>
      <c r="E6" s="263"/>
      <c r="F6" s="5">
        <v>31</v>
      </c>
      <c r="G6" s="6">
        <v>18</v>
      </c>
      <c r="H6" s="6">
        <v>31</v>
      </c>
      <c r="I6" s="6">
        <v>30</v>
      </c>
      <c r="J6" s="6">
        <v>31</v>
      </c>
      <c r="K6" s="6">
        <v>30</v>
      </c>
      <c r="L6" s="6">
        <v>31</v>
      </c>
      <c r="M6" s="6">
        <v>31</v>
      </c>
      <c r="N6" s="6">
        <v>30</v>
      </c>
      <c r="O6" s="6">
        <v>31</v>
      </c>
      <c r="P6" s="6">
        <v>30</v>
      </c>
      <c r="Q6" s="65">
        <v>20</v>
      </c>
      <c r="S6" s="264">
        <f>SUM(F6:Q6)</f>
        <v>344</v>
      </c>
    </row>
    <row r="7" spans="2:22" ht="18" customHeight="1" thickBot="1">
      <c r="B7" s="7" t="s">
        <v>2</v>
      </c>
      <c r="C7" s="8"/>
      <c r="D7" s="9" t="s">
        <v>3</v>
      </c>
      <c r="E7" s="9" t="s">
        <v>4</v>
      </c>
      <c r="F7" s="10" t="s">
        <v>5</v>
      </c>
      <c r="G7" s="11" t="s">
        <v>6</v>
      </c>
      <c r="H7" s="11" t="s">
        <v>7</v>
      </c>
      <c r="I7" s="11" t="s">
        <v>8</v>
      </c>
      <c r="J7" s="11" t="s">
        <v>9</v>
      </c>
      <c r="K7" s="11" t="s">
        <v>10</v>
      </c>
      <c r="L7" s="11" t="s">
        <v>11</v>
      </c>
      <c r="M7" s="11" t="s">
        <v>12</v>
      </c>
      <c r="N7" s="11" t="s">
        <v>13</v>
      </c>
      <c r="O7" s="11" t="s">
        <v>14</v>
      </c>
      <c r="P7" s="11" t="s">
        <v>15</v>
      </c>
      <c r="Q7" s="66" t="s">
        <v>16</v>
      </c>
      <c r="S7" s="265"/>
    </row>
    <row r="8" spans="2:22" ht="15.75">
      <c r="B8" s="12" t="s">
        <v>17</v>
      </c>
      <c r="C8" s="13"/>
      <c r="D8" s="167">
        <v>1</v>
      </c>
      <c r="E8" s="168">
        <v>1</v>
      </c>
      <c r="F8" s="169">
        <f t="shared" ref="F8:Q8" si="0">SUM(F9:F10)</f>
        <v>43483.127</v>
      </c>
      <c r="G8" s="170">
        <f t="shared" si="0"/>
        <v>29035.670000000006</v>
      </c>
      <c r="H8" s="170">
        <f t="shared" si="0"/>
        <v>51822.527000000002</v>
      </c>
      <c r="I8" s="170">
        <f t="shared" si="0"/>
        <v>45758.36</v>
      </c>
      <c r="J8" s="170">
        <f t="shared" si="0"/>
        <v>48290.546999999999</v>
      </c>
      <c r="K8" s="170">
        <f t="shared" si="0"/>
        <v>49740.938999999998</v>
      </c>
      <c r="L8" s="170">
        <f t="shared" si="0"/>
        <v>48669.135999999999</v>
      </c>
      <c r="M8" s="170">
        <f t="shared" si="0"/>
        <v>54214.019</v>
      </c>
      <c r="N8" s="170">
        <f t="shared" si="0"/>
        <v>50949.553999999996</v>
      </c>
      <c r="O8" s="170">
        <f t="shared" si="0"/>
        <v>54292.828000000001</v>
      </c>
      <c r="P8" s="170">
        <f t="shared" si="0"/>
        <v>49733.807000000001</v>
      </c>
      <c r="Q8" s="171">
        <f t="shared" si="0"/>
        <v>29768.361000000001</v>
      </c>
      <c r="S8" s="172">
        <f>SUM(F8:Q8)</f>
        <v>555758.875</v>
      </c>
      <c r="T8" s="173"/>
    </row>
    <row r="9" spans="2:22">
      <c r="B9" s="164" t="s">
        <v>18</v>
      </c>
      <c r="C9" s="17"/>
      <c r="D9" s="174"/>
      <c r="E9" s="168"/>
      <c r="F9" s="175">
        <f>'Prod -in Kg'!F9/1000</f>
        <v>41605.447</v>
      </c>
      <c r="G9" s="176">
        <f>'Prod -in Kg'!G9/1000</f>
        <v>28905.898332379598</v>
      </c>
      <c r="H9" s="176">
        <f>'Prod -in Kg'!H9/1000</f>
        <v>51487.425000000003</v>
      </c>
      <c r="I9" s="176">
        <f>'Prod -in Kg'!I9/1000</f>
        <v>45758.36</v>
      </c>
      <c r="J9" s="176">
        <f>'Prod -in Kg'!J9/1000</f>
        <v>48290.546999999999</v>
      </c>
      <c r="K9" s="176">
        <f>'Prod -in Kg'!K9/1000</f>
        <v>49740.938999999998</v>
      </c>
      <c r="L9" s="176">
        <f>'Prod -in Kg'!L9/1000</f>
        <v>48669.135999999999</v>
      </c>
      <c r="M9" s="176">
        <f>'Prod -in Kg'!M9/1000</f>
        <v>54214.019</v>
      </c>
      <c r="N9" s="176">
        <f>'Prod -in Kg'!N9/1000</f>
        <v>50949.553999999996</v>
      </c>
      <c r="O9" s="176">
        <f>'Prod -in Kg'!O9/1000</f>
        <v>54292.828000000001</v>
      </c>
      <c r="P9" s="176">
        <f>'Prod -in Kg'!P9/1000</f>
        <v>49733.807000000001</v>
      </c>
      <c r="Q9" s="177">
        <f>'Prod -in Kg'!Q9/1000</f>
        <v>29768.361000000001</v>
      </c>
      <c r="S9" s="178">
        <f t="shared" ref="S9:S18" si="1">SUM(F9:Q9)</f>
        <v>553416.32133237959</v>
      </c>
      <c r="T9" s="173"/>
    </row>
    <row r="10" spans="2:22">
      <c r="B10" s="179" t="s">
        <v>19</v>
      </c>
      <c r="C10" s="174"/>
      <c r="D10" s="174"/>
      <c r="E10" s="168"/>
      <c r="F10" s="175">
        <f>'Prod -in Kg'!F10/1000</f>
        <v>1877.68</v>
      </c>
      <c r="G10" s="176">
        <f>'Prod -in Kg'!G10/1000</f>
        <v>129.77166762040699</v>
      </c>
      <c r="H10" s="176">
        <f>'Prod -in Kg'!H10/1000</f>
        <v>335.10199999999998</v>
      </c>
      <c r="I10" s="176">
        <f>'Prod -in Kg'!I10/1000</f>
        <v>0</v>
      </c>
      <c r="J10" s="176">
        <f>'Prod -in Kg'!J10/1000</f>
        <v>0</v>
      </c>
      <c r="K10" s="176">
        <f>'Prod -in Kg'!K10/1000</f>
        <v>0</v>
      </c>
      <c r="L10" s="176">
        <f>'Prod -in Kg'!L10/1000</f>
        <v>0</v>
      </c>
      <c r="M10" s="176">
        <f>'Prod -in Kg'!M10/1000</f>
        <v>0</v>
      </c>
      <c r="N10" s="176">
        <f>'Prod -in Kg'!N10/1000</f>
        <v>0</v>
      </c>
      <c r="O10" s="176">
        <f>'Prod -in Kg'!O10/1000</f>
        <v>0</v>
      </c>
      <c r="P10" s="176">
        <f>'Prod -in Kg'!P10/1000</f>
        <v>0</v>
      </c>
      <c r="Q10" s="177">
        <f>'Prod -in Kg'!Q10/1000</f>
        <v>0</v>
      </c>
      <c r="S10" s="178">
        <f t="shared" si="1"/>
        <v>2342.5536676204069</v>
      </c>
      <c r="T10" s="173"/>
    </row>
    <row r="11" spans="2:22">
      <c r="B11" s="179"/>
      <c r="C11" s="174"/>
      <c r="D11" s="174"/>
      <c r="E11" s="168"/>
      <c r="F11" s="175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7"/>
      <c r="S11" s="178"/>
      <c r="T11" s="173"/>
    </row>
    <row r="12" spans="2:22" ht="15.75">
      <c r="B12" s="12" t="s">
        <v>20</v>
      </c>
      <c r="C12" s="13"/>
      <c r="D12" s="180"/>
      <c r="E12" s="168"/>
      <c r="F12" s="175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7"/>
      <c r="R12" s="176"/>
      <c r="S12" s="181"/>
      <c r="T12" s="173"/>
    </row>
    <row r="13" spans="2:22">
      <c r="B13" s="164" t="s">
        <v>136</v>
      </c>
      <c r="C13" s="17"/>
      <c r="D13" s="167">
        <v>0.94199999999999995</v>
      </c>
      <c r="E13" s="168">
        <f>S13/S8</f>
        <v>0.94832594413464122</v>
      </c>
      <c r="F13" s="175">
        <f>'Prod -in Kg'!F12/1000</f>
        <v>40858.999994947699</v>
      </c>
      <c r="G13" s="176">
        <f>'Prod -in Kg'!G12/1000</f>
        <v>27410.3</v>
      </c>
      <c r="H13" s="176">
        <f>'Prod -in Kg'!H12/1000</f>
        <v>49037.21</v>
      </c>
      <c r="I13" s="176">
        <f>'Prod -in Kg'!I12/1000</f>
        <v>43431.9</v>
      </c>
      <c r="J13" s="176">
        <f>'Prod -in Kg'!J12/1000</f>
        <v>45808.499850633394</v>
      </c>
      <c r="K13" s="176">
        <f>'Prod -in Kg'!K12/1000</f>
        <v>47176.2</v>
      </c>
      <c r="L13" s="176">
        <f>'Prod -in Kg'!L12/1000</f>
        <v>46057.599999999999</v>
      </c>
      <c r="M13" s="176">
        <f>'Prod -in Kg'!M12/1000</f>
        <v>51529.3</v>
      </c>
      <c r="N13" s="176">
        <f>'Prod -in Kg'!N12/1000</f>
        <v>48364.7</v>
      </c>
      <c r="O13" s="176">
        <f>'Prod -in Kg'!O12/1000</f>
        <v>51703.8</v>
      </c>
      <c r="P13" s="176">
        <f>'Prod -in Kg'!P12/1000</f>
        <v>47408.4</v>
      </c>
      <c r="Q13" s="177">
        <f>'Prod -in Kg'!Q12/1000</f>
        <v>28253.65</v>
      </c>
      <c r="R13" s="176"/>
      <c r="S13" s="178">
        <f t="shared" si="1"/>
        <v>527040.55984558107</v>
      </c>
      <c r="T13" s="173"/>
    </row>
    <row r="14" spans="2:22">
      <c r="B14" s="164"/>
      <c r="C14" s="17"/>
      <c r="D14" s="167"/>
      <c r="E14" s="168"/>
      <c r="F14" s="175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7"/>
      <c r="R14" s="176"/>
      <c r="S14" s="178"/>
      <c r="T14" s="173"/>
    </row>
    <row r="15" spans="2:22" ht="15.75">
      <c r="B15" s="182" t="s">
        <v>22</v>
      </c>
      <c r="C15" s="183"/>
      <c r="D15" s="184"/>
      <c r="E15" s="185"/>
      <c r="F15" s="186"/>
      <c r="G15" s="187"/>
      <c r="H15" s="187"/>
      <c r="I15" s="187"/>
      <c r="J15" s="187"/>
      <c r="K15" s="187"/>
      <c r="L15" s="187"/>
      <c r="M15" s="187"/>
      <c r="N15" s="187"/>
      <c r="O15" s="187"/>
      <c r="P15" s="187"/>
      <c r="Q15" s="188"/>
      <c r="R15" s="176"/>
      <c r="S15" s="189"/>
      <c r="T15" s="173"/>
    </row>
    <row r="16" spans="2:22">
      <c r="B16" s="164" t="s">
        <v>23</v>
      </c>
      <c r="C16" s="17"/>
      <c r="D16" s="17"/>
      <c r="E16" s="168"/>
      <c r="F16" s="175">
        <f>SUM(F21,F26)</f>
        <v>33037.203652552198</v>
      </c>
      <c r="G16" s="176">
        <f t="shared" ref="G16:Q18" si="2">SUM(G21,G26)</f>
        <v>23726.090781502331</v>
      </c>
      <c r="H16" s="176">
        <f t="shared" si="2"/>
        <v>42518.062286195287</v>
      </c>
      <c r="I16" s="176">
        <f t="shared" si="2"/>
        <v>38051.96764209486</v>
      </c>
      <c r="J16" s="176">
        <f t="shared" si="2"/>
        <v>31497.783937805951</v>
      </c>
      <c r="K16" s="176">
        <f t="shared" si="2"/>
        <v>40664.073999999993</v>
      </c>
      <c r="L16" s="176">
        <f t="shared" si="2"/>
        <v>40068.634999999995</v>
      </c>
      <c r="M16" s="176">
        <f t="shared" si="2"/>
        <v>45890.756000000001</v>
      </c>
      <c r="N16" s="176">
        <f t="shared" si="2"/>
        <v>41535.01</v>
      </c>
      <c r="O16" s="176">
        <f t="shared" si="2"/>
        <v>33791.703999999998</v>
      </c>
      <c r="P16" s="176">
        <f t="shared" si="2"/>
        <v>40370.895000000004</v>
      </c>
      <c r="Q16" s="177">
        <f t="shared" si="2"/>
        <v>12603.528</v>
      </c>
      <c r="R16" s="176"/>
      <c r="S16" s="178">
        <f t="shared" si="1"/>
        <v>423755.71030015062</v>
      </c>
      <c r="T16" s="173"/>
      <c r="U16" s="190"/>
      <c r="V16" s="190"/>
    </row>
    <row r="17" spans="2:20">
      <c r="B17" s="164" t="s">
        <v>97</v>
      </c>
      <c r="C17" s="17"/>
      <c r="D17" s="17"/>
      <c r="E17" s="168"/>
      <c r="F17" s="175">
        <f>SUM(F22,F27)</f>
        <v>0</v>
      </c>
      <c r="G17" s="176">
        <f t="shared" si="2"/>
        <v>0</v>
      </c>
      <c r="H17" s="176">
        <f t="shared" si="2"/>
        <v>0</v>
      </c>
      <c r="I17" s="176">
        <f t="shared" si="2"/>
        <v>1147.027</v>
      </c>
      <c r="J17" s="176">
        <f t="shared" si="2"/>
        <v>447.31799999999998</v>
      </c>
      <c r="K17" s="176">
        <f t="shared" si="2"/>
        <v>304.053</v>
      </c>
      <c r="L17" s="176">
        <f t="shared" si="2"/>
        <v>0</v>
      </c>
      <c r="M17" s="176">
        <f t="shared" si="2"/>
        <v>0</v>
      </c>
      <c r="N17" s="176">
        <f t="shared" si="2"/>
        <v>0</v>
      </c>
      <c r="O17" s="176">
        <f t="shared" si="2"/>
        <v>0</v>
      </c>
      <c r="P17" s="176">
        <f t="shared" si="2"/>
        <v>401.70799999999997</v>
      </c>
      <c r="Q17" s="177">
        <f t="shared" si="2"/>
        <v>0</v>
      </c>
      <c r="R17" s="176"/>
      <c r="S17" s="178">
        <f>SUM(F17:Q17)</f>
        <v>2300.1060000000002</v>
      </c>
      <c r="T17" s="173"/>
    </row>
    <row r="18" spans="2:20">
      <c r="B18" s="164" t="s">
        <v>24</v>
      </c>
      <c r="C18" s="17"/>
      <c r="D18" s="17"/>
      <c r="E18" s="168"/>
      <c r="F18" s="175">
        <f>SUM(F23,F28)</f>
        <v>2141.9969999999998</v>
      </c>
      <c r="G18" s="176">
        <f t="shared" si="2"/>
        <v>2919.3902184976696</v>
      </c>
      <c r="H18" s="176">
        <f t="shared" si="2"/>
        <v>893.82671380471402</v>
      </c>
      <c r="I18" s="176">
        <f t="shared" si="2"/>
        <v>2402.7309999999998</v>
      </c>
      <c r="J18" s="176">
        <f t="shared" si="2"/>
        <v>2392.3000000000002</v>
      </c>
      <c r="K18" s="176">
        <f t="shared" si="2"/>
        <v>2533.9499999999998</v>
      </c>
      <c r="L18" s="176">
        <f t="shared" si="2"/>
        <v>2676.5</v>
      </c>
      <c r="M18" s="176">
        <f t="shared" si="2"/>
        <v>3856.6080000000002</v>
      </c>
      <c r="N18" s="176">
        <f t="shared" si="2"/>
        <v>4999.5779999999995</v>
      </c>
      <c r="O18" s="176">
        <f t="shared" si="2"/>
        <v>6622.7479999999996</v>
      </c>
      <c r="P18" s="176">
        <f t="shared" si="2"/>
        <v>5691.1810000000005</v>
      </c>
      <c r="Q18" s="177">
        <f t="shared" si="2"/>
        <v>5097.3019999999997</v>
      </c>
      <c r="R18" s="176"/>
      <c r="S18" s="178">
        <f t="shared" si="1"/>
        <v>42228.111932302374</v>
      </c>
      <c r="T18" s="173"/>
    </row>
    <row r="19" spans="2:20">
      <c r="B19" s="164"/>
      <c r="C19" s="17"/>
      <c r="D19" s="17"/>
      <c r="E19" s="168"/>
      <c r="F19" s="175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7"/>
      <c r="R19" s="176"/>
      <c r="S19" s="178"/>
      <c r="T19" s="173"/>
    </row>
    <row r="20" spans="2:20" ht="15.75">
      <c r="B20" s="12" t="s">
        <v>25</v>
      </c>
      <c r="C20" s="13"/>
      <c r="D20" s="180"/>
      <c r="E20" s="168"/>
      <c r="F20" s="175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7"/>
      <c r="R20" s="176"/>
      <c r="S20" s="181"/>
      <c r="T20" s="173"/>
    </row>
    <row r="21" spans="2:20">
      <c r="B21" s="164" t="s">
        <v>23</v>
      </c>
      <c r="C21" s="17"/>
      <c r="D21" s="167">
        <v>0.82</v>
      </c>
      <c r="E21" s="168">
        <f>S21/S16</f>
        <v>0.82663633982006657</v>
      </c>
      <c r="F21" s="175">
        <f>'Prod -in Kg'!F18/1000</f>
        <v>27617.725652552199</v>
      </c>
      <c r="G21" s="176">
        <f>'Prod -in Kg'!G18/1000</f>
        <v>19562.21</v>
      </c>
      <c r="H21" s="176">
        <f>'Prod -in Kg'!H18/1000</f>
        <v>35211.165999999997</v>
      </c>
      <c r="I21" s="176">
        <f>'Prod -in Kg'!I18/1000</f>
        <v>31293.782714142199</v>
      </c>
      <c r="J21" s="176">
        <f>'Prod -in Kg'!J18/1000</f>
        <v>25924.820973674599</v>
      </c>
      <c r="K21" s="176">
        <f>'Prod -in Kg'!K18/1000</f>
        <v>33552.678999999996</v>
      </c>
      <c r="L21" s="176">
        <f>'Prod -in Kg'!L18/1000</f>
        <v>33026.741999999998</v>
      </c>
      <c r="M21" s="176">
        <f>'Prod -in Kg'!M18/1000</f>
        <v>37906.527999999998</v>
      </c>
      <c r="N21" s="176">
        <f>'Prod -in Kg'!N18/1000</f>
        <v>34164.148000000001</v>
      </c>
      <c r="O21" s="176">
        <f>'Prod -in Kg'!O18/1000</f>
        <v>28141.51</v>
      </c>
      <c r="P21" s="176">
        <f>'Prod -in Kg'!P18/1000</f>
        <v>33412.705000000002</v>
      </c>
      <c r="Q21" s="177">
        <f>'Prod -in Kg'!Q18/1000</f>
        <v>10477.852000000001</v>
      </c>
      <c r="R21" s="176"/>
      <c r="S21" s="178">
        <f>SUM(F21:Q21)</f>
        <v>350291.86934036901</v>
      </c>
    </row>
    <row r="22" spans="2:20">
      <c r="B22" s="164" t="s">
        <v>97</v>
      </c>
      <c r="C22" s="174"/>
      <c r="D22" s="167">
        <v>0.7</v>
      </c>
      <c r="E22" s="191">
        <f>S22/S17</f>
        <v>0.68230029398645087</v>
      </c>
      <c r="F22" s="175">
        <v>0</v>
      </c>
      <c r="G22" s="176">
        <v>0</v>
      </c>
      <c r="H22" s="176">
        <v>0</v>
      </c>
      <c r="I22" s="176">
        <f>'Prod -in Kg'!I19/1000</f>
        <v>757.33699999999999</v>
      </c>
      <c r="J22" s="176">
        <f>'Prod -in Kg'!J19/1000</f>
        <v>313.31799999999998</v>
      </c>
      <c r="K22" s="176">
        <f>'Prod -in Kg'!K19/1000</f>
        <v>214.1</v>
      </c>
      <c r="L22" s="176">
        <f>'Prod -in Kg'!L19/1000</f>
        <v>0</v>
      </c>
      <c r="M22" s="176">
        <f>'Prod -in Kg'!M19/1000</f>
        <v>0</v>
      </c>
      <c r="N22" s="176">
        <f>'Prod -in Kg'!N19/1000</f>
        <v>0</v>
      </c>
      <c r="O22" s="176">
        <f>'Prod -in Kg'!O19/1000</f>
        <v>0</v>
      </c>
      <c r="P22" s="176">
        <f>'Prod -in Kg'!P19/1000</f>
        <v>284.608</v>
      </c>
      <c r="Q22" s="177">
        <f>'Prod -in Kg'!Q19/1000</f>
        <v>0</v>
      </c>
      <c r="R22" s="176"/>
      <c r="S22" s="178">
        <f>SUM(F22:Q22)</f>
        <v>1569.3629999999998</v>
      </c>
    </row>
    <row r="23" spans="2:20">
      <c r="B23" s="164" t="s">
        <v>24</v>
      </c>
      <c r="C23" s="174"/>
      <c r="D23" s="167">
        <v>0.57999999999999996</v>
      </c>
      <c r="E23" s="168">
        <f>S23/S18</f>
        <v>0.6002539265936343</v>
      </c>
      <c r="F23" s="175">
        <f>'Prod -in Kg'!F20/1000</f>
        <v>1315.1969999999999</v>
      </c>
      <c r="G23" s="176">
        <f>'Prod -in Kg'!G20/1000</f>
        <v>1713.7159999999999</v>
      </c>
      <c r="H23" s="176">
        <f>'Prod -in Kg'!H20/1000</f>
        <v>541.90700000000004</v>
      </c>
      <c r="I23" s="176">
        <f>'Prod -in Kg'!I20/1000</f>
        <v>1415.75</v>
      </c>
      <c r="J23" s="176">
        <f>'Prod -in Kg'!J20/1000</f>
        <v>1406.5</v>
      </c>
      <c r="K23" s="176">
        <f>'Prod -in Kg'!K20/1000</f>
        <v>1497.65</v>
      </c>
      <c r="L23" s="176">
        <f>'Prod -in Kg'!L20/1000</f>
        <v>1596.7</v>
      </c>
      <c r="M23" s="176">
        <f>'Prod -in Kg'!M20/1000</f>
        <v>2323.1779999999999</v>
      </c>
      <c r="N23" s="176">
        <f>'Prod -in Kg'!N20/1000</f>
        <v>3028.0549999999998</v>
      </c>
      <c r="O23" s="176">
        <f>'Prod -in Kg'!O20/1000</f>
        <v>4013.817</v>
      </c>
      <c r="P23" s="176">
        <f>'Prod -in Kg'!P20/1000</f>
        <v>3418.7020000000002</v>
      </c>
      <c r="Q23" s="177">
        <f>'Prod -in Kg'!Q20/1000</f>
        <v>3076.4180000000001</v>
      </c>
      <c r="R23" s="176"/>
      <c r="S23" s="178">
        <f>SUM(F23:Q23)</f>
        <v>25347.590000000004</v>
      </c>
    </row>
    <row r="24" spans="2:20">
      <c r="B24" s="164"/>
      <c r="C24" s="174"/>
      <c r="D24" s="167"/>
      <c r="E24" s="168"/>
      <c r="F24" s="175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7"/>
      <c r="R24" s="176"/>
      <c r="S24" s="178"/>
    </row>
    <row r="25" spans="2:20" ht="15.75">
      <c r="B25" s="12" t="s">
        <v>26</v>
      </c>
      <c r="C25" s="13"/>
      <c r="D25" s="167"/>
      <c r="E25" s="168"/>
      <c r="F25" s="175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7"/>
      <c r="R25" s="176"/>
      <c r="S25" s="181"/>
    </row>
    <row r="26" spans="2:20">
      <c r="B26" s="164" t="s">
        <v>27</v>
      </c>
      <c r="C26" s="174"/>
      <c r="D26" s="167">
        <v>0.18</v>
      </c>
      <c r="E26" s="192">
        <f>S26/S16</f>
        <v>0.17336366017993346</v>
      </c>
      <c r="F26" s="175">
        <f>'Prod -in Kg'!F22/1000</f>
        <v>5419.4780000000001</v>
      </c>
      <c r="G26" s="176">
        <f>'Prod -in Kg'!G22/1000</f>
        <v>4163.8807815023301</v>
      </c>
      <c r="H26" s="176">
        <f>'Prod -in Kg'!H22/1000</f>
        <v>7306.8962861952905</v>
      </c>
      <c r="I26" s="176">
        <f>'Prod -in Kg'!I22/1000</f>
        <v>6758.1849279526605</v>
      </c>
      <c r="J26" s="176">
        <f>'Prod -in Kg'!J22/1000</f>
        <v>5572.9629641313495</v>
      </c>
      <c r="K26" s="176">
        <f>'Prod -in Kg'!K22/1000</f>
        <v>7111.3950000000004</v>
      </c>
      <c r="L26" s="176">
        <f>'Prod -in Kg'!L22/1000</f>
        <v>7041.893</v>
      </c>
      <c r="M26" s="176">
        <f>'Prod -in Kg'!M22/1000</f>
        <v>7984.2280000000001</v>
      </c>
      <c r="N26" s="176">
        <f>'Prod -in Kg'!N22/1000</f>
        <v>7370.8620000000001</v>
      </c>
      <c r="O26" s="176">
        <f>'Prod -in Kg'!O22/1000</f>
        <v>5650.1940000000004</v>
      </c>
      <c r="P26" s="176">
        <f>'Prod -in Kg'!P22/1000</f>
        <v>6958.19</v>
      </c>
      <c r="Q26" s="177">
        <f>'Prod -in Kg'!Q22/1000</f>
        <v>2125.6759999999999</v>
      </c>
      <c r="R26" s="176"/>
      <c r="S26" s="178">
        <f>SUM(F26:Q26)</f>
        <v>73463.840959781635</v>
      </c>
    </row>
    <row r="27" spans="2:20">
      <c r="B27" s="164" t="s">
        <v>27</v>
      </c>
      <c r="C27" s="174"/>
      <c r="D27" s="167">
        <v>0.3</v>
      </c>
      <c r="E27" s="192">
        <f>S27/S17</f>
        <v>0.31769970601354891</v>
      </c>
      <c r="F27" s="175">
        <v>0</v>
      </c>
      <c r="G27" s="176">
        <v>0</v>
      </c>
      <c r="H27" s="176">
        <v>0</v>
      </c>
      <c r="I27" s="176">
        <f>'Prod -in Kg'!I23/1000</f>
        <v>389.69</v>
      </c>
      <c r="J27" s="176">
        <f>'Prod -in Kg'!J23/1000</f>
        <v>134</v>
      </c>
      <c r="K27" s="176">
        <f>'Prod -in Kg'!K23/1000</f>
        <v>89.953000000000003</v>
      </c>
      <c r="L27" s="176">
        <f>'Prod -in Kg'!L23/1000</f>
        <v>0</v>
      </c>
      <c r="M27" s="176">
        <f>'Prod -in Kg'!M23/1000</f>
        <v>0</v>
      </c>
      <c r="N27" s="176">
        <f>'Prod -in Kg'!N23/1000</f>
        <v>0</v>
      </c>
      <c r="O27" s="176">
        <f>'Prod -in Kg'!O23/1000</f>
        <v>0</v>
      </c>
      <c r="P27" s="176">
        <f>'Prod -in Kg'!P23/1000</f>
        <v>117.1</v>
      </c>
      <c r="Q27" s="177">
        <f>'Prod -in Kg'!Q23/1000</f>
        <v>0</v>
      </c>
      <c r="R27" s="176"/>
      <c r="S27" s="178">
        <f>SUM(F27:Q27)</f>
        <v>730.74300000000005</v>
      </c>
    </row>
    <row r="28" spans="2:20">
      <c r="B28" s="193" t="s">
        <v>28</v>
      </c>
      <c r="C28" s="194"/>
      <c r="D28" s="195">
        <v>0.42</v>
      </c>
      <c r="E28" s="196">
        <f>S28/S18</f>
        <v>0.39974607340636598</v>
      </c>
      <c r="F28" s="197">
        <f>'Prod -in Kg'!F24/1000</f>
        <v>826.8</v>
      </c>
      <c r="G28" s="198">
        <f>'Prod -in Kg'!G24/1000</f>
        <v>1205.6742184976699</v>
      </c>
      <c r="H28" s="198">
        <f>'Prod -in Kg'!H24/1000</f>
        <v>351.91971380471398</v>
      </c>
      <c r="I28" s="198">
        <f>'Prod -in Kg'!I24/1000</f>
        <v>986.98099999999999</v>
      </c>
      <c r="J28" s="198">
        <f>'Prod -in Kg'!J24/1000</f>
        <v>985.8</v>
      </c>
      <c r="K28" s="198">
        <f>'Prod -in Kg'!K24/1000</f>
        <v>1036.3</v>
      </c>
      <c r="L28" s="198">
        <f>'Prod -in Kg'!L24/1000</f>
        <v>1079.8</v>
      </c>
      <c r="M28" s="198">
        <f>'Prod -in Kg'!M24/1000</f>
        <v>1533.43</v>
      </c>
      <c r="N28" s="198">
        <f>'Prod -in Kg'!N24/1000</f>
        <v>1971.5229999999999</v>
      </c>
      <c r="O28" s="198">
        <f>'Prod -in Kg'!O24/1000</f>
        <v>2608.931</v>
      </c>
      <c r="P28" s="198">
        <f>'Prod -in Kg'!P24/1000</f>
        <v>2272.4789999999998</v>
      </c>
      <c r="Q28" s="199">
        <f>'Prod -in Kg'!Q24/1000</f>
        <v>2020.884</v>
      </c>
      <c r="R28" s="176"/>
      <c r="S28" s="200">
        <f>SUM(F28:Q28)</f>
        <v>16880.521932302385</v>
      </c>
    </row>
    <row r="29" spans="2:20">
      <c r="B29" s="16" t="s">
        <v>29</v>
      </c>
      <c r="C29" s="17"/>
      <c r="D29" s="167">
        <v>0.05</v>
      </c>
      <c r="E29" s="168">
        <f>S29/S8</f>
        <v>4.5527736910889453E-2</v>
      </c>
      <c r="F29" s="175">
        <f>'Prod -in Kg'!F25/1000</f>
        <v>2348.498</v>
      </c>
      <c r="G29" s="187">
        <f>'Prod -in Kg'!G25/1000</f>
        <v>1441.5309999999999</v>
      </c>
      <c r="H29" s="187">
        <f>'Prod -in Kg'!H25/1000</f>
        <v>2474.69</v>
      </c>
      <c r="I29" s="187">
        <f>'Prod -in Kg'!I25/1000</f>
        <v>2052.1316299210703</v>
      </c>
      <c r="J29" s="187">
        <f>'Prod -in Kg'!J25/1000</f>
        <v>2192.3129025233798</v>
      </c>
      <c r="K29" s="187">
        <f>'Prod -in Kg'!K25/1000</f>
        <v>2266.547</v>
      </c>
      <c r="L29" s="187">
        <f>'Prod -in Kg'!L25/1000</f>
        <v>2315.5050000000001</v>
      </c>
      <c r="M29" s="187">
        <f>'Prod -in Kg'!M25/1000</f>
        <v>2355.8763144474501</v>
      </c>
      <c r="N29" s="187">
        <f>'Prod -in Kg'!N25/1000</f>
        <v>2275.098</v>
      </c>
      <c r="O29" s="187">
        <f>'Prod -in Kg'!O25/1000</f>
        <v>2257.011</v>
      </c>
      <c r="P29" s="187">
        <f>'Prod -in Kg'!P25/1000</f>
        <v>2022.104</v>
      </c>
      <c r="Q29" s="177">
        <f>'Prod -in Kg'!Q25/1000</f>
        <v>1301.1389999999999</v>
      </c>
      <c r="R29" s="176"/>
      <c r="S29" s="178">
        <f>SUM(F29:Q29)</f>
        <v>25302.4438468919</v>
      </c>
    </row>
    <row r="30" spans="2:20" ht="15.75" thickBot="1">
      <c r="B30" s="20" t="s">
        <v>30</v>
      </c>
      <c r="C30" s="21"/>
      <c r="D30" s="201">
        <v>8.0000000000000002E-3</v>
      </c>
      <c r="E30" s="202">
        <f>S30/S8</f>
        <v>6.1463189544692758E-3</v>
      </c>
      <c r="F30" s="203">
        <f t="shared" ref="F30:Q30" si="3">F8-SUM(F13,F29)</f>
        <v>275.62900505230209</v>
      </c>
      <c r="G30" s="204">
        <f t="shared" si="3"/>
        <v>183.83900000000722</v>
      </c>
      <c r="H30" s="204">
        <f t="shared" si="3"/>
        <v>310.62700000000041</v>
      </c>
      <c r="I30" s="204">
        <f t="shared" si="3"/>
        <v>274.32837007893249</v>
      </c>
      <c r="J30" s="204">
        <f t="shared" si="3"/>
        <v>289.73424684322526</v>
      </c>
      <c r="K30" s="204">
        <f t="shared" si="3"/>
        <v>298.19200000000274</v>
      </c>
      <c r="L30" s="204">
        <f t="shared" si="3"/>
        <v>296.03100000000268</v>
      </c>
      <c r="M30" s="204">
        <f t="shared" si="3"/>
        <v>328.84268555254675</v>
      </c>
      <c r="N30" s="204">
        <f t="shared" si="3"/>
        <v>309.75600000000122</v>
      </c>
      <c r="O30" s="204">
        <f t="shared" si="3"/>
        <v>332.01699999999983</v>
      </c>
      <c r="P30" s="204">
        <f t="shared" si="3"/>
        <v>303.30299999999988</v>
      </c>
      <c r="Q30" s="205">
        <f t="shared" si="3"/>
        <v>213.57200000000012</v>
      </c>
      <c r="R30" s="176"/>
      <c r="S30" s="206">
        <f>SUM(F30:Q30)</f>
        <v>3415.8713075270207</v>
      </c>
    </row>
    <row r="32" spans="2:20">
      <c r="F32" s="252"/>
      <c r="G32" s="252"/>
      <c r="H32" s="252"/>
      <c r="I32" s="252"/>
      <c r="J32" s="252"/>
      <c r="K32" s="252"/>
      <c r="L32" s="252"/>
      <c r="M32" s="252"/>
      <c r="N32" s="252"/>
      <c r="O32" s="252"/>
      <c r="P32" s="252"/>
      <c r="Q32" s="252"/>
      <c r="R32" s="252"/>
      <c r="S32" s="252"/>
    </row>
    <row r="33" spans="2:19">
      <c r="F33" s="252"/>
      <c r="K33" s="252"/>
      <c r="L33" s="252"/>
    </row>
    <row r="34" spans="2:19">
      <c r="F34" s="252"/>
      <c r="G34" s="252"/>
      <c r="H34" s="252"/>
      <c r="I34" s="252"/>
      <c r="J34" s="252"/>
      <c r="K34" s="252"/>
      <c r="L34" s="252"/>
      <c r="M34" s="252"/>
      <c r="N34" s="252"/>
      <c r="O34" s="252"/>
      <c r="P34" s="252"/>
      <c r="Q34" s="252"/>
    </row>
    <row r="35" spans="2:19" ht="15.75" thickBot="1"/>
    <row r="36" spans="2:19" ht="16.5" thickBot="1">
      <c r="F36" s="257">
        <v>2021</v>
      </c>
      <c r="G36" s="258"/>
      <c r="H36" s="258"/>
      <c r="I36" s="258"/>
      <c r="J36" s="258"/>
      <c r="K36" s="258"/>
      <c r="L36" s="258"/>
      <c r="M36" s="258"/>
      <c r="N36" s="258"/>
      <c r="O36" s="258"/>
      <c r="P36" s="258"/>
      <c r="Q36" s="259"/>
      <c r="S36" s="207" t="s">
        <v>0</v>
      </c>
    </row>
    <row r="37" spans="2:19" ht="15.75">
      <c r="B37" s="266" t="s">
        <v>31</v>
      </c>
      <c r="C37" s="267"/>
      <c r="D37" s="267"/>
      <c r="E37" s="268"/>
      <c r="F37" s="5">
        <f>F6</f>
        <v>31</v>
      </c>
      <c r="G37" s="6">
        <f t="shared" ref="G37:Q37" si="4">G6</f>
        <v>18</v>
      </c>
      <c r="H37" s="6">
        <f t="shared" si="4"/>
        <v>31</v>
      </c>
      <c r="I37" s="6">
        <f t="shared" si="4"/>
        <v>30</v>
      </c>
      <c r="J37" s="6">
        <f t="shared" si="4"/>
        <v>31</v>
      </c>
      <c r="K37" s="6">
        <f t="shared" si="4"/>
        <v>30</v>
      </c>
      <c r="L37" s="6">
        <f t="shared" si="4"/>
        <v>31</v>
      </c>
      <c r="M37" s="6">
        <f t="shared" si="4"/>
        <v>31</v>
      </c>
      <c r="N37" s="6">
        <f t="shared" si="4"/>
        <v>30</v>
      </c>
      <c r="O37" s="6">
        <f t="shared" si="4"/>
        <v>31</v>
      </c>
      <c r="P37" s="6">
        <f t="shared" si="4"/>
        <v>30</v>
      </c>
      <c r="Q37" s="65">
        <f t="shared" si="4"/>
        <v>20</v>
      </c>
      <c r="S37" s="208">
        <f>SUM(F37:Q37)</f>
        <v>344</v>
      </c>
    </row>
    <row r="38" spans="2:19" ht="16.5" thickBot="1">
      <c r="B38" s="269"/>
      <c r="C38" s="270"/>
      <c r="D38" s="270"/>
      <c r="E38" s="271"/>
      <c r="F38" s="10" t="s">
        <v>5</v>
      </c>
      <c r="G38" s="11" t="s">
        <v>6</v>
      </c>
      <c r="H38" s="11" t="s">
        <v>7</v>
      </c>
      <c r="I38" s="11" t="s">
        <v>8</v>
      </c>
      <c r="J38" s="11" t="s">
        <v>9</v>
      </c>
      <c r="K38" s="11" t="s">
        <v>10</v>
      </c>
      <c r="L38" s="11" t="s">
        <v>11</v>
      </c>
      <c r="M38" s="11" t="s">
        <v>12</v>
      </c>
      <c r="N38" s="11" t="s">
        <v>13</v>
      </c>
      <c r="O38" s="11" t="s">
        <v>14</v>
      </c>
      <c r="P38" s="11" t="s">
        <v>15</v>
      </c>
      <c r="Q38" s="66" t="s">
        <v>16</v>
      </c>
      <c r="S38" s="209"/>
    </row>
    <row r="39" spans="2:19" ht="15.75">
      <c r="B39" s="12" t="s">
        <v>32</v>
      </c>
      <c r="C39" s="27" t="s">
        <v>3</v>
      </c>
      <c r="D39" s="27" t="s">
        <v>4</v>
      </c>
      <c r="E39" s="250"/>
      <c r="F39" s="175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7"/>
      <c r="S39" s="172"/>
    </row>
    <row r="40" spans="2:19">
      <c r="B40" s="164" t="s">
        <v>95</v>
      </c>
      <c r="C40" s="28">
        <v>8</v>
      </c>
      <c r="D40" s="210">
        <f>S41</f>
        <v>9.3106683460238191</v>
      </c>
      <c r="E40" s="250" t="s">
        <v>33</v>
      </c>
      <c r="F40" s="175">
        <v>462920</v>
      </c>
      <c r="G40" s="176">
        <v>273537</v>
      </c>
      <c r="H40" s="176">
        <v>580177</v>
      </c>
      <c r="I40" s="176">
        <v>428406</v>
      </c>
      <c r="J40" s="176">
        <v>490057</v>
      </c>
      <c r="K40" s="176">
        <v>536488</v>
      </c>
      <c r="L40" s="176">
        <v>497144</v>
      </c>
      <c r="M40" s="176">
        <v>387640</v>
      </c>
      <c r="N40" s="176">
        <v>326941</v>
      </c>
      <c r="O40" s="176">
        <v>294249</v>
      </c>
      <c r="P40" s="176">
        <v>299055</v>
      </c>
      <c r="Q40" s="177">
        <v>173727</v>
      </c>
      <c r="S40" s="178">
        <f>SUM(F40:Q40)</f>
        <v>4750341</v>
      </c>
    </row>
    <row r="41" spans="2:19">
      <c r="B41" s="164"/>
      <c r="C41" s="28"/>
      <c r="D41" s="105"/>
      <c r="E41" s="250"/>
      <c r="F41" s="211">
        <v>11.210515153481241</v>
      </c>
      <c r="G41" s="212">
        <v>10.544903628805786</v>
      </c>
      <c r="H41" s="212">
        <v>11.403077150356838</v>
      </c>
      <c r="I41" s="212">
        <v>9.9112392898999602</v>
      </c>
      <c r="J41" s="212">
        <v>10.818886852906264</v>
      </c>
      <c r="K41" s="212">
        <v>11.475620741016169</v>
      </c>
      <c r="L41" s="212">
        <v>10.84483275061277</v>
      </c>
      <c r="M41" s="212">
        <v>7.7291691029087168</v>
      </c>
      <c r="N41" s="212">
        <v>7.1579792218352862</v>
      </c>
      <c r="O41" s="212">
        <v>6.1434458335724935</v>
      </c>
      <c r="P41" s="212">
        <v>6.9004705084863307</v>
      </c>
      <c r="Q41" s="213">
        <v>7.2639413167221072</v>
      </c>
      <c r="S41" s="214">
        <v>9.3106683460238191</v>
      </c>
    </row>
    <row r="42" spans="2:19">
      <c r="B42" s="165"/>
      <c r="C42" s="28"/>
      <c r="D42" s="17"/>
      <c r="E42" s="250"/>
      <c r="F42" s="175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7"/>
      <c r="R42" s="176"/>
      <c r="S42" s="178"/>
    </row>
    <row r="43" spans="2:19">
      <c r="B43" s="164" t="s">
        <v>96</v>
      </c>
      <c r="C43" s="28">
        <v>18</v>
      </c>
      <c r="D43" s="105">
        <f>S44</f>
        <v>17.51288842381927</v>
      </c>
      <c r="E43" s="250" t="s">
        <v>33</v>
      </c>
      <c r="F43" s="175">
        <v>38633</v>
      </c>
      <c r="G43" s="176">
        <v>58638</v>
      </c>
      <c r="H43" s="176">
        <v>18075</v>
      </c>
      <c r="I43" s="176">
        <v>46762</v>
      </c>
      <c r="J43" s="176">
        <v>52543</v>
      </c>
      <c r="K43" s="176">
        <v>53751</v>
      </c>
      <c r="L43" s="176">
        <v>49870</v>
      </c>
      <c r="M43" s="176">
        <v>68202</v>
      </c>
      <c r="N43" s="176">
        <v>88692</v>
      </c>
      <c r="O43" s="176">
        <v>111307</v>
      </c>
      <c r="P43" s="176">
        <v>110351</v>
      </c>
      <c r="Q43" s="177">
        <v>100972</v>
      </c>
      <c r="S43" s="178">
        <f>SUM(F43:Q43)</f>
        <v>797796</v>
      </c>
    </row>
    <row r="44" spans="2:19">
      <c r="B44" s="164"/>
      <c r="C44" s="28"/>
      <c r="D44" s="105"/>
      <c r="E44" s="250"/>
      <c r="F44" s="211">
        <v>17.642632718525601</v>
      </c>
      <c r="G44" s="212">
        <v>18.943218081370887</v>
      </c>
      <c r="H44" s="212">
        <v>19.156555444935787</v>
      </c>
      <c r="I44" s="212">
        <v>18.453111483425413</v>
      </c>
      <c r="J44" s="212">
        <v>17.54877296487183</v>
      </c>
      <c r="K44" s="212">
        <v>17.972708968246106</v>
      </c>
      <c r="L44" s="212">
        <v>17.636985421108538</v>
      </c>
      <c r="M44" s="212">
        <v>16.793762371786805</v>
      </c>
      <c r="N44" s="212">
        <v>16.815204185539496</v>
      </c>
      <c r="O44" s="212">
        <v>17.401457925966373</v>
      </c>
      <c r="P44" s="212">
        <v>17.25458944425009</v>
      </c>
      <c r="Q44" s="213">
        <v>17.254254665709009</v>
      </c>
      <c r="S44" s="214">
        <v>17.51288842381927</v>
      </c>
    </row>
    <row r="45" spans="2:19">
      <c r="B45" s="165"/>
      <c r="C45" s="28"/>
      <c r="D45" s="17"/>
      <c r="E45" s="250"/>
      <c r="F45" s="175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7"/>
      <c r="R45" s="176"/>
      <c r="S45" s="178"/>
    </row>
    <row r="46" spans="2:19" ht="15.75">
      <c r="B46" s="12" t="s">
        <v>34</v>
      </c>
      <c r="C46" s="17">
        <v>0.55000000000000004</v>
      </c>
      <c r="D46" s="31">
        <f>S46/S8</f>
        <v>0.52988942371815473</v>
      </c>
      <c r="E46" s="250" t="s">
        <v>33</v>
      </c>
      <c r="F46" s="175">
        <v>23110.1</v>
      </c>
      <c r="G46" s="176">
        <v>16837.400000000001</v>
      </c>
      <c r="H46" s="176">
        <v>29578</v>
      </c>
      <c r="I46" s="176">
        <v>25392.3</v>
      </c>
      <c r="J46" s="176">
        <v>26283.9</v>
      </c>
      <c r="K46" s="176">
        <v>26343.3</v>
      </c>
      <c r="L46" s="176">
        <v>26424.82</v>
      </c>
      <c r="M46" s="176">
        <v>27578.799999999999</v>
      </c>
      <c r="N46" s="176">
        <v>26254.9</v>
      </c>
      <c r="O46" s="176">
        <v>27600.799999999999</v>
      </c>
      <c r="P46" s="176">
        <v>24730.530000000002</v>
      </c>
      <c r="Q46" s="177">
        <v>14355.899999999998</v>
      </c>
      <c r="R46" s="176"/>
      <c r="S46" s="178">
        <f>SUM(F46:Q46)</f>
        <v>294490.75</v>
      </c>
    </row>
    <row r="47" spans="2:19" ht="15.75">
      <c r="B47" s="12"/>
      <c r="C47" s="17"/>
      <c r="D47" s="31"/>
      <c r="E47" s="250"/>
      <c r="F47" s="215">
        <f>F46/F8</f>
        <v>0.53147281703084504</v>
      </c>
      <c r="G47" s="216">
        <f t="shared" ref="G47:Q47" si="5">G46/G8</f>
        <v>0.57988673931064783</v>
      </c>
      <c r="H47" s="216">
        <f t="shared" si="5"/>
        <v>0.5707556484074966</v>
      </c>
      <c r="I47" s="216">
        <f t="shared" si="5"/>
        <v>0.5549215487618</v>
      </c>
      <c r="J47" s="216">
        <f t="shared" si="5"/>
        <v>0.54428664889631506</v>
      </c>
      <c r="K47" s="216">
        <f t="shared" si="5"/>
        <v>0.52961002605921859</v>
      </c>
      <c r="L47" s="216">
        <f t="shared" si="5"/>
        <v>0.54294820438152014</v>
      </c>
      <c r="M47" s="216">
        <f t="shared" si="5"/>
        <v>0.50870237087569548</v>
      </c>
      <c r="N47" s="216">
        <f t="shared" si="5"/>
        <v>0.51531167475970452</v>
      </c>
      <c r="O47" s="216">
        <f t="shared" si="5"/>
        <v>0.50836917170717277</v>
      </c>
      <c r="P47" s="216">
        <f t="shared" si="5"/>
        <v>0.49725793161179077</v>
      </c>
      <c r="Q47" s="217">
        <f t="shared" si="5"/>
        <v>0.48225362491404877</v>
      </c>
      <c r="R47" s="176"/>
      <c r="S47" s="218">
        <f>S46/S8</f>
        <v>0.52988942371815473</v>
      </c>
    </row>
    <row r="48" spans="2:19" ht="15.75" thickBot="1">
      <c r="B48" s="20"/>
      <c r="C48" s="21"/>
      <c r="D48" s="21"/>
      <c r="E48" s="251"/>
      <c r="F48" s="203"/>
      <c r="G48" s="204"/>
      <c r="H48" s="204"/>
      <c r="I48" s="204"/>
      <c r="J48" s="204"/>
      <c r="K48" s="204"/>
      <c r="L48" s="204"/>
      <c r="M48" s="204"/>
      <c r="N48" s="204"/>
      <c r="O48" s="204"/>
      <c r="P48" s="204"/>
      <c r="Q48" s="205"/>
      <c r="R48" s="176"/>
      <c r="S48" s="206"/>
    </row>
    <row r="49" spans="2:19">
      <c r="F49" s="252"/>
      <c r="G49" s="252"/>
    </row>
    <row r="50" spans="2:19" s="162" customFormat="1" ht="16.5" thickBot="1"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S50" s="1"/>
    </row>
    <row r="51" spans="2:19" ht="16.5" thickBot="1">
      <c r="F51" s="257">
        <v>2021</v>
      </c>
      <c r="G51" s="258"/>
      <c r="H51" s="258"/>
      <c r="I51" s="258"/>
      <c r="J51" s="258"/>
      <c r="K51" s="258"/>
      <c r="L51" s="258"/>
      <c r="M51" s="258"/>
      <c r="N51" s="258"/>
      <c r="O51" s="258"/>
      <c r="P51" s="258"/>
      <c r="Q51" s="259"/>
      <c r="S51" s="166" t="s">
        <v>0</v>
      </c>
    </row>
    <row r="52" spans="2:19">
      <c r="B52" s="266" t="s">
        <v>35</v>
      </c>
      <c r="C52" s="267"/>
      <c r="D52" s="267"/>
      <c r="E52" s="268"/>
      <c r="F52" s="5">
        <f>F6</f>
        <v>31</v>
      </c>
      <c r="G52" s="6">
        <f t="shared" ref="G52:Q52" si="6">G6</f>
        <v>18</v>
      </c>
      <c r="H52" s="6">
        <f t="shared" si="6"/>
        <v>31</v>
      </c>
      <c r="I52" s="6">
        <f t="shared" si="6"/>
        <v>30</v>
      </c>
      <c r="J52" s="6">
        <f t="shared" si="6"/>
        <v>31</v>
      </c>
      <c r="K52" s="6">
        <f t="shared" si="6"/>
        <v>30</v>
      </c>
      <c r="L52" s="6">
        <f t="shared" si="6"/>
        <v>31</v>
      </c>
      <c r="M52" s="6">
        <f t="shared" si="6"/>
        <v>31</v>
      </c>
      <c r="N52" s="6">
        <f t="shared" si="6"/>
        <v>30</v>
      </c>
      <c r="O52" s="6">
        <f t="shared" si="6"/>
        <v>31</v>
      </c>
      <c r="P52" s="6">
        <f t="shared" si="6"/>
        <v>30</v>
      </c>
      <c r="Q52" s="65">
        <f t="shared" si="6"/>
        <v>20</v>
      </c>
      <c r="S52" s="272">
        <f>SUM(F52:Q52)</f>
        <v>344</v>
      </c>
    </row>
    <row r="53" spans="2:19" ht="15.75" thickBot="1">
      <c r="B53" s="269"/>
      <c r="C53" s="270"/>
      <c r="D53" s="270"/>
      <c r="E53" s="271"/>
      <c r="F53" s="10" t="s">
        <v>5</v>
      </c>
      <c r="G53" s="11" t="s">
        <v>6</v>
      </c>
      <c r="H53" s="11" t="s">
        <v>7</v>
      </c>
      <c r="I53" s="11" t="s">
        <v>8</v>
      </c>
      <c r="J53" s="11" t="s">
        <v>9</v>
      </c>
      <c r="K53" s="11" t="s">
        <v>10</v>
      </c>
      <c r="L53" s="11" t="s">
        <v>11</v>
      </c>
      <c r="M53" s="11" t="s">
        <v>12</v>
      </c>
      <c r="N53" s="11" t="s">
        <v>13</v>
      </c>
      <c r="O53" s="11" t="s">
        <v>14</v>
      </c>
      <c r="P53" s="11" t="s">
        <v>15</v>
      </c>
      <c r="Q53" s="66" t="s">
        <v>16</v>
      </c>
      <c r="S53" s="265"/>
    </row>
    <row r="54" spans="2:19" ht="15.75">
      <c r="B54" s="35"/>
      <c r="C54" s="27" t="s">
        <v>3</v>
      </c>
      <c r="D54" s="27" t="s">
        <v>4</v>
      </c>
      <c r="E54" s="36"/>
      <c r="F54" s="37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77"/>
      <c r="S54" s="256"/>
    </row>
    <row r="55" spans="2:19">
      <c r="B55" s="16" t="s">
        <v>36</v>
      </c>
      <c r="C55" s="39">
        <v>0.22</v>
      </c>
      <c r="D55" s="39">
        <f>S55%</f>
        <v>0.2134064784946236</v>
      </c>
      <c r="E55" s="168" t="s">
        <v>37</v>
      </c>
      <c r="F55" s="215">
        <v>21.1229032258064</v>
      </c>
      <c r="G55" s="216">
        <v>21.09</v>
      </c>
      <c r="H55" s="216">
        <v>21.431290322580601</v>
      </c>
      <c r="I55" s="216">
        <v>21.42</v>
      </c>
      <c r="J55" s="216">
        <v>21.4</v>
      </c>
      <c r="K55" s="216">
        <v>21.44</v>
      </c>
      <c r="L55" s="216">
        <v>21.424838709677399</v>
      </c>
      <c r="M55" s="216">
        <v>21.3890322580645</v>
      </c>
      <c r="N55" s="216">
        <v>21.353000000000002</v>
      </c>
      <c r="O55" s="216">
        <v>21.3487096774194</v>
      </c>
      <c r="P55" s="216">
        <v>21.349</v>
      </c>
      <c r="Q55" s="217">
        <v>21.319000000000003</v>
      </c>
      <c r="R55" s="176"/>
      <c r="S55" s="219">
        <f>AVERAGE(F55:Q55)</f>
        <v>21.340647849462361</v>
      </c>
    </row>
    <row r="56" spans="2:19">
      <c r="B56" s="16"/>
      <c r="C56" s="17"/>
      <c r="D56" s="39"/>
      <c r="E56" s="168"/>
      <c r="F56" s="175">
        <f>(SUM(F40,F43))+(F55%*(SUM(F40,F43)))</f>
        <v>607495.5548161288</v>
      </c>
      <c r="G56" s="176">
        <f t="shared" ref="G56:Q56" si="7">(SUM(G40,G43))+(G55%*(SUM(G40,G43)))</f>
        <v>402230.70750000002</v>
      </c>
      <c r="H56" s="176">
        <f t="shared" si="7"/>
        <v>726465.12298064493</v>
      </c>
      <c r="I56" s="176">
        <f t="shared" si="7"/>
        <v>576948.98560000001</v>
      </c>
      <c r="J56" s="176">
        <f t="shared" si="7"/>
        <v>658716.4</v>
      </c>
      <c r="K56" s="176">
        <f t="shared" si="7"/>
        <v>716786.24160000007</v>
      </c>
      <c r="L56" s="176">
        <f t="shared" si="7"/>
        <v>664210.86721935472</v>
      </c>
      <c r="M56" s="176">
        <f t="shared" si="7"/>
        <v>553342.19242580642</v>
      </c>
      <c r="N56" s="176">
        <f t="shared" si="7"/>
        <v>504383.11449000001</v>
      </c>
      <c r="O56" s="176">
        <f t="shared" si="7"/>
        <v>492136.97301935503</v>
      </c>
      <c r="P56" s="176">
        <f t="shared" si="7"/>
        <v>496810.08694000001</v>
      </c>
      <c r="Q56" s="177">
        <f t="shared" si="7"/>
        <v>333262.07981000002</v>
      </c>
      <c r="R56" s="176"/>
      <c r="S56" s="178">
        <f>SUM(F56:Q56)</f>
        <v>6732788.3264012886</v>
      </c>
    </row>
    <row r="57" spans="2:19">
      <c r="B57" s="16"/>
      <c r="C57" s="17"/>
      <c r="D57" s="17"/>
      <c r="E57" s="168"/>
      <c r="F57" s="175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7"/>
      <c r="R57" s="176"/>
      <c r="S57" s="178"/>
    </row>
    <row r="58" spans="2:19">
      <c r="B58" s="16" t="s">
        <v>38</v>
      </c>
      <c r="C58" s="39">
        <v>0.3</v>
      </c>
      <c r="D58" s="39">
        <f>S58/S80</f>
        <v>0.26968645793702301</v>
      </c>
      <c r="E58" s="168" t="s">
        <v>134</v>
      </c>
      <c r="F58" s="175">
        <v>5616</v>
      </c>
      <c r="G58" s="176">
        <v>4577</v>
      </c>
      <c r="H58" s="176">
        <v>5645</v>
      </c>
      <c r="I58" s="176">
        <v>5591</v>
      </c>
      <c r="J58" s="176">
        <v>6207</v>
      </c>
      <c r="K58" s="176">
        <v>4589</v>
      </c>
      <c r="L58" s="176">
        <v>4716</v>
      </c>
      <c r="M58" s="176">
        <v>4631</v>
      </c>
      <c r="N58" s="176">
        <v>4537</v>
      </c>
      <c r="O58" s="176">
        <v>4859</v>
      </c>
      <c r="P58" s="176">
        <v>4239</v>
      </c>
      <c r="Q58" s="177">
        <v>5045</v>
      </c>
      <c r="R58" s="176"/>
      <c r="S58" s="178">
        <f>SUM(F58:Q58)</f>
        <v>60252</v>
      </c>
    </row>
    <row r="59" spans="2:19" ht="15.75" thickBot="1">
      <c r="B59" s="20"/>
      <c r="C59" s="21"/>
      <c r="D59" s="21"/>
      <c r="E59" s="202"/>
      <c r="F59" s="203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5"/>
      <c r="R59" s="176"/>
      <c r="S59" s="206"/>
    </row>
    <row r="60" spans="2:19" s="162" customFormat="1" ht="15.75">
      <c r="F60" s="1"/>
      <c r="G60" s="1"/>
      <c r="H60" s="1"/>
      <c r="I60" s="1"/>
      <c r="J60" s="1"/>
      <c r="K60" s="1"/>
      <c r="L60" s="252"/>
      <c r="M60" s="1"/>
      <c r="N60" s="1"/>
      <c r="O60" s="1"/>
      <c r="P60" s="1"/>
      <c r="Q60" s="1"/>
      <c r="S60" s="1"/>
    </row>
    <row r="61" spans="2:19">
      <c r="F61" s="252"/>
    </row>
    <row r="63" spans="2:19" s="162" customFormat="1" ht="18.75" customHeight="1">
      <c r="B63" s="260" t="s">
        <v>135</v>
      </c>
      <c r="C63" s="260"/>
      <c r="D63" s="260"/>
      <c r="E63" s="260"/>
      <c r="F63" s="260"/>
      <c r="G63" s="260"/>
      <c r="H63" s="260"/>
      <c r="I63" s="260"/>
      <c r="J63" s="260"/>
      <c r="K63" s="260"/>
      <c r="L63" s="260"/>
      <c r="M63" s="260"/>
      <c r="N63" s="260"/>
      <c r="O63" s="260"/>
      <c r="P63" s="260"/>
      <c r="Q63" s="260"/>
      <c r="R63" s="260"/>
      <c r="S63" s="260"/>
    </row>
    <row r="64" spans="2:19" s="162" customFormat="1" ht="16.5" thickBot="1"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S64" s="1"/>
    </row>
    <row r="65" spans="2:19" ht="18.75" customHeight="1" thickBot="1">
      <c r="F65" s="257">
        <v>2021</v>
      </c>
      <c r="G65" s="258"/>
      <c r="H65" s="258"/>
      <c r="I65" s="258"/>
      <c r="J65" s="258"/>
      <c r="K65" s="258"/>
      <c r="L65" s="258"/>
      <c r="M65" s="258"/>
      <c r="N65" s="258"/>
      <c r="O65" s="258"/>
      <c r="P65" s="258"/>
      <c r="Q65" s="259"/>
      <c r="S65" s="166" t="s">
        <v>0</v>
      </c>
    </row>
    <row r="66" spans="2:19" ht="18.75" customHeight="1">
      <c r="B66" s="273" t="s">
        <v>41</v>
      </c>
      <c r="C66" s="274"/>
      <c r="D66" s="274"/>
      <c r="E66" s="274"/>
      <c r="F66" s="5">
        <f t="shared" ref="F66:Q66" si="8">F6</f>
        <v>31</v>
      </c>
      <c r="G66" s="6">
        <f t="shared" si="8"/>
        <v>18</v>
      </c>
      <c r="H66" s="6">
        <f t="shared" si="8"/>
        <v>31</v>
      </c>
      <c r="I66" s="6">
        <f t="shared" si="8"/>
        <v>30</v>
      </c>
      <c r="J66" s="6">
        <f t="shared" si="8"/>
        <v>31</v>
      </c>
      <c r="K66" s="6">
        <f t="shared" si="8"/>
        <v>30</v>
      </c>
      <c r="L66" s="6">
        <f t="shared" si="8"/>
        <v>31</v>
      </c>
      <c r="M66" s="6">
        <f t="shared" si="8"/>
        <v>31</v>
      </c>
      <c r="N66" s="6">
        <f t="shared" si="8"/>
        <v>30</v>
      </c>
      <c r="O66" s="6">
        <f t="shared" si="8"/>
        <v>31</v>
      </c>
      <c r="P66" s="6">
        <f t="shared" si="8"/>
        <v>30</v>
      </c>
      <c r="Q66" s="65">
        <f t="shared" si="8"/>
        <v>20</v>
      </c>
      <c r="S66" s="272">
        <f>SUM(F66:Q66)</f>
        <v>344</v>
      </c>
    </row>
    <row r="67" spans="2:19" ht="18.75" customHeight="1" thickBot="1">
      <c r="B67" s="275"/>
      <c r="C67" s="276"/>
      <c r="D67" s="276"/>
      <c r="E67" s="276"/>
      <c r="F67" s="10" t="s">
        <v>5</v>
      </c>
      <c r="G67" s="11" t="s">
        <v>6</v>
      </c>
      <c r="H67" s="11" t="s">
        <v>7</v>
      </c>
      <c r="I67" s="11" t="s">
        <v>8</v>
      </c>
      <c r="J67" s="11" t="s">
        <v>9</v>
      </c>
      <c r="K67" s="11" t="s">
        <v>10</v>
      </c>
      <c r="L67" s="11" t="s">
        <v>11</v>
      </c>
      <c r="M67" s="11" t="s">
        <v>12</v>
      </c>
      <c r="N67" s="11" t="s">
        <v>13</v>
      </c>
      <c r="O67" s="11" t="s">
        <v>14</v>
      </c>
      <c r="P67" s="11" t="s">
        <v>15</v>
      </c>
      <c r="Q67" s="66" t="s">
        <v>16</v>
      </c>
      <c r="S67" s="265"/>
    </row>
    <row r="68" spans="2:19" ht="18.75" customHeight="1">
      <c r="B68" s="220" t="s">
        <v>42</v>
      </c>
      <c r="C68" s="253" t="s">
        <v>3</v>
      </c>
      <c r="D68" s="34" t="s">
        <v>4</v>
      </c>
      <c r="E68" s="6"/>
      <c r="F68" s="221"/>
      <c r="G68" s="222"/>
      <c r="H68" s="222"/>
      <c r="I68" s="222"/>
      <c r="J68" s="222"/>
      <c r="K68" s="222"/>
      <c r="L68" s="222"/>
      <c r="M68" s="222"/>
      <c r="N68" s="222"/>
      <c r="O68" s="222"/>
      <c r="P68" s="222"/>
      <c r="Q68" s="223"/>
      <c r="S68" s="172"/>
    </row>
    <row r="69" spans="2:19" ht="18.75" customHeight="1">
      <c r="B69" s="224" t="s">
        <v>43</v>
      </c>
      <c r="C69" s="225">
        <f>SUM(C70:C71)</f>
        <v>1269.566</v>
      </c>
      <c r="D69" s="226">
        <f>S69/$S$66</f>
        <v>1239.8582421511626</v>
      </c>
      <c r="E69" s="227" t="s">
        <v>44</v>
      </c>
      <c r="F69" s="228">
        <f>SUM(F70:F71)</f>
        <v>37353.024299999997</v>
      </c>
      <c r="G69" s="229">
        <f>SUM(G70:G71)</f>
        <v>24845.539700000001</v>
      </c>
      <c r="H69" s="229">
        <f t="shared" ref="H69:P69" si="9">SUM(H70:H71)</f>
        <v>38399.664499999999</v>
      </c>
      <c r="I69" s="229">
        <f t="shared" si="9"/>
        <v>36575.4467</v>
      </c>
      <c r="J69" s="229">
        <f t="shared" si="9"/>
        <v>38797.602099999996</v>
      </c>
      <c r="K69" s="229">
        <f t="shared" si="9"/>
        <v>37729.820200000002</v>
      </c>
      <c r="L69" s="229">
        <f t="shared" si="9"/>
        <v>36970.104299999999</v>
      </c>
      <c r="M69" s="229">
        <f t="shared" si="9"/>
        <v>39632.640399999997</v>
      </c>
      <c r="N69" s="229">
        <f t="shared" si="9"/>
        <v>37166.854899999998</v>
      </c>
      <c r="O69" s="229">
        <f t="shared" si="9"/>
        <v>36518.083299999998</v>
      </c>
      <c r="P69" s="229">
        <f t="shared" si="9"/>
        <v>37144.906799999997</v>
      </c>
      <c r="Q69" s="230">
        <f>SUM(Q70:Q71)</f>
        <v>25377.548100000004</v>
      </c>
      <c r="R69" s="3"/>
      <c r="S69" s="231">
        <f t="shared" ref="S69:S77" si="10">SUM(F69:Q69)</f>
        <v>426511.23529999994</v>
      </c>
    </row>
    <row r="70" spans="2:19" ht="18.75" customHeight="1">
      <c r="B70" s="164" t="s">
        <v>45</v>
      </c>
      <c r="C70" s="216">
        <v>253.91320000000002</v>
      </c>
      <c r="D70" s="212">
        <f t="shared" ref="D70:D71" si="11">S70/$S$66</f>
        <v>208.57421346967038</v>
      </c>
      <c r="E70" s="168" t="s">
        <v>44</v>
      </c>
      <c r="F70" s="232">
        <v>5256.0243145582799</v>
      </c>
      <c r="G70" s="105">
        <v>3748.5650999999998</v>
      </c>
      <c r="H70" s="105">
        <v>6529.3975417159199</v>
      </c>
      <c r="I70" s="105">
        <v>6064.1407930947198</v>
      </c>
      <c r="J70" s="105">
        <v>6364.0062096073698</v>
      </c>
      <c r="K70" s="105">
        <v>6695.33320000002</v>
      </c>
      <c r="L70" s="105">
        <v>6351.1979920917001</v>
      </c>
      <c r="M70" s="105">
        <v>6954.0044685126804</v>
      </c>
      <c r="N70" s="105">
        <v>6541.2413432960202</v>
      </c>
      <c r="O70" s="105">
        <v>6958.9085741693698</v>
      </c>
      <c r="P70" s="105">
        <v>6443.4482216445476</v>
      </c>
      <c r="Q70" s="233">
        <v>3843.2616748759942</v>
      </c>
      <c r="S70" s="234">
        <f t="shared" si="10"/>
        <v>71749.529433566611</v>
      </c>
    </row>
    <row r="71" spans="2:19" s="3" customFormat="1" ht="18.75" customHeight="1">
      <c r="B71" s="164" t="s">
        <v>46</v>
      </c>
      <c r="C71" s="216">
        <v>1015.6528000000001</v>
      </c>
      <c r="D71" s="212">
        <f t="shared" si="11"/>
        <v>1031.2840286814921</v>
      </c>
      <c r="E71" s="168" t="s">
        <v>44</v>
      </c>
      <c r="F71" s="232">
        <v>32096.999985441718</v>
      </c>
      <c r="G71" s="105">
        <v>21096.974600000001</v>
      </c>
      <c r="H71" s="105">
        <v>31870.266958284079</v>
      </c>
      <c r="I71" s="105">
        <v>30511.30590690528</v>
      </c>
      <c r="J71" s="105">
        <v>32433.595890392626</v>
      </c>
      <c r="K71" s="105">
        <v>31034.486999999983</v>
      </c>
      <c r="L71" s="105">
        <v>30618.906307908299</v>
      </c>
      <c r="M71" s="105">
        <v>32678.635931487315</v>
      </c>
      <c r="N71" s="105">
        <v>30625.613556703978</v>
      </c>
      <c r="O71" s="105">
        <v>29559.174725830628</v>
      </c>
      <c r="P71" s="105">
        <v>30701.45857835545</v>
      </c>
      <c r="Q71" s="233">
        <v>21534.28642512401</v>
      </c>
      <c r="R71" s="235"/>
      <c r="S71" s="234">
        <f t="shared" si="10"/>
        <v>354761.70586643333</v>
      </c>
    </row>
    <row r="72" spans="2:19" ht="18.75" customHeight="1">
      <c r="B72" s="16"/>
      <c r="C72" s="17"/>
      <c r="D72" s="105"/>
      <c r="E72" s="168"/>
      <c r="F72" s="175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7"/>
      <c r="R72" s="176"/>
      <c r="S72" s="178"/>
    </row>
    <row r="73" spans="2:19" ht="18.75" customHeight="1">
      <c r="B73" s="12" t="s">
        <v>47</v>
      </c>
      <c r="C73" s="13"/>
      <c r="D73" s="105"/>
      <c r="E73" s="168"/>
      <c r="F73" s="175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7"/>
      <c r="R73" s="176"/>
      <c r="S73" s="178"/>
    </row>
    <row r="74" spans="2:19" s="3" customFormat="1" ht="18.75" customHeight="1">
      <c r="B74" s="224" t="s">
        <v>48</v>
      </c>
      <c r="C74" s="248">
        <v>408000</v>
      </c>
      <c r="D74" s="235">
        <f>S74/$S$66</f>
        <v>315282.59593023255</v>
      </c>
      <c r="E74" s="227" t="s">
        <v>49</v>
      </c>
      <c r="F74" s="236">
        <v>9720240</v>
      </c>
      <c r="G74" s="235">
        <v>6472260</v>
      </c>
      <c r="H74" s="235">
        <v>9800010</v>
      </c>
      <c r="I74" s="235">
        <v>9513055</v>
      </c>
      <c r="J74" s="235">
        <v>10137120</v>
      </c>
      <c r="K74" s="235">
        <v>9461660</v>
      </c>
      <c r="L74" s="235">
        <v>9348155</v>
      </c>
      <c r="M74" s="235">
        <v>9915080</v>
      </c>
      <c r="N74" s="235">
        <v>9363600</v>
      </c>
      <c r="O74" s="235">
        <v>9025680</v>
      </c>
      <c r="P74" s="235">
        <v>9268658</v>
      </c>
      <c r="Q74" s="237">
        <v>6431695</v>
      </c>
      <c r="R74" s="235"/>
      <c r="S74" s="238">
        <f t="shared" si="10"/>
        <v>108457213</v>
      </c>
    </row>
    <row r="75" spans="2:19" ht="18.75" customHeight="1">
      <c r="B75" s="164" t="s">
        <v>50</v>
      </c>
      <c r="C75" s="249">
        <v>180000</v>
      </c>
      <c r="D75" s="176">
        <f t="shared" ref="D75:D77" si="12">S75/$S$66</f>
        <v>154120.93023255814</v>
      </c>
      <c r="E75" s="168" t="s">
        <v>49</v>
      </c>
      <c r="F75" s="175">
        <v>4949600</v>
      </c>
      <c r="G75" s="176">
        <v>3091100</v>
      </c>
      <c r="H75" s="176">
        <v>5053800</v>
      </c>
      <c r="I75" s="176">
        <v>4807300</v>
      </c>
      <c r="J75" s="176">
        <v>4956900</v>
      </c>
      <c r="K75" s="176">
        <v>4375100</v>
      </c>
      <c r="L75" s="176">
        <v>4473800</v>
      </c>
      <c r="M75" s="176">
        <v>4549000</v>
      </c>
      <c r="N75" s="176">
        <v>4568100</v>
      </c>
      <c r="O75" s="176">
        <v>4682700</v>
      </c>
      <c r="P75" s="176">
        <v>4571100</v>
      </c>
      <c r="Q75" s="177">
        <v>2939100</v>
      </c>
      <c r="R75" s="176"/>
      <c r="S75" s="178">
        <f t="shared" si="10"/>
        <v>53017600</v>
      </c>
    </row>
    <row r="76" spans="2:19" ht="18.75" customHeight="1">
      <c r="B76" s="164" t="s">
        <v>51</v>
      </c>
      <c r="C76" s="249">
        <v>122000</v>
      </c>
      <c r="D76" s="176">
        <f t="shared" si="12"/>
        <v>81799.36133720931</v>
      </c>
      <c r="E76" s="168" t="s">
        <v>49</v>
      </c>
      <c r="F76" s="175">
        <v>2033380.3</v>
      </c>
      <c r="G76" s="176">
        <v>1666900</v>
      </c>
      <c r="H76" s="176">
        <v>2480200</v>
      </c>
      <c r="I76" s="176">
        <v>2553400</v>
      </c>
      <c r="J76" s="176">
        <v>2753300</v>
      </c>
      <c r="K76" s="176">
        <v>2956600</v>
      </c>
      <c r="L76" s="176">
        <v>2459700</v>
      </c>
      <c r="M76" s="176">
        <v>2828000</v>
      </c>
      <c r="N76" s="176">
        <v>2649900</v>
      </c>
      <c r="O76" s="176">
        <v>2201000</v>
      </c>
      <c r="P76" s="176">
        <v>2414200</v>
      </c>
      <c r="Q76" s="177">
        <v>1142400</v>
      </c>
      <c r="R76" s="176"/>
      <c r="S76" s="178">
        <f t="shared" si="10"/>
        <v>28138980.300000001</v>
      </c>
    </row>
    <row r="77" spans="2:19" ht="18.75" customHeight="1">
      <c r="B77" s="164" t="s">
        <v>52</v>
      </c>
      <c r="C77" s="249">
        <f>C74-C75-C76</f>
        <v>106000</v>
      </c>
      <c r="D77" s="176">
        <f t="shared" si="12"/>
        <v>79362.304360465117</v>
      </c>
      <c r="E77" s="168" t="s">
        <v>49</v>
      </c>
      <c r="F77" s="175">
        <f t="shared" ref="F77:Q77" si="13">F74-SUM(F75:F76)</f>
        <v>2737259.7</v>
      </c>
      <c r="G77" s="176">
        <f t="shared" si="13"/>
        <v>1714260</v>
      </c>
      <c r="H77" s="176">
        <f t="shared" si="13"/>
        <v>2266010</v>
      </c>
      <c r="I77" s="176">
        <f t="shared" si="13"/>
        <v>2152355</v>
      </c>
      <c r="J77" s="176">
        <f t="shared" si="13"/>
        <v>2426920</v>
      </c>
      <c r="K77" s="176">
        <f t="shared" si="13"/>
        <v>2129960</v>
      </c>
      <c r="L77" s="176">
        <f t="shared" si="13"/>
        <v>2414655</v>
      </c>
      <c r="M77" s="176">
        <f t="shared" si="13"/>
        <v>2538080</v>
      </c>
      <c r="N77" s="176">
        <f t="shared" si="13"/>
        <v>2145600</v>
      </c>
      <c r="O77" s="176">
        <f t="shared" si="13"/>
        <v>2141980</v>
      </c>
      <c r="P77" s="176">
        <f t="shared" si="13"/>
        <v>2283358</v>
      </c>
      <c r="Q77" s="177">
        <f t="shared" si="13"/>
        <v>2350195</v>
      </c>
      <c r="R77" s="176"/>
      <c r="S77" s="178">
        <f t="shared" si="10"/>
        <v>27300632.699999999</v>
      </c>
    </row>
    <row r="78" spans="2:19" ht="18.75" customHeight="1">
      <c r="B78" s="16"/>
      <c r="C78" s="17"/>
      <c r="D78" s="105"/>
      <c r="E78" s="168"/>
      <c r="F78" s="175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7"/>
      <c r="R78" s="176"/>
      <c r="S78" s="178"/>
    </row>
    <row r="79" spans="2:19" ht="18.75" customHeight="1">
      <c r="B79" s="12" t="s">
        <v>53</v>
      </c>
      <c r="C79" s="13"/>
      <c r="D79" s="17"/>
      <c r="E79" s="168"/>
      <c r="F79" s="175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7"/>
      <c r="R79" s="176"/>
      <c r="S79" s="178"/>
    </row>
    <row r="80" spans="2:19" s="3" customFormat="1" ht="18.75" customHeight="1">
      <c r="B80" s="224" t="s">
        <v>43</v>
      </c>
      <c r="C80" s="225">
        <f>SUM(C81:C85)</f>
        <v>800</v>
      </c>
      <c r="D80" s="239">
        <f>S80/$S$66</f>
        <v>649.46220930232562</v>
      </c>
      <c r="E80" s="227" t="s">
        <v>137</v>
      </c>
      <c r="F80" s="236">
        <v>19426</v>
      </c>
      <c r="G80" s="235">
        <v>13918</v>
      </c>
      <c r="H80" s="235">
        <v>19515</v>
      </c>
      <c r="I80" s="235">
        <v>18958</v>
      </c>
      <c r="J80" s="235">
        <v>19965</v>
      </c>
      <c r="K80" s="235">
        <v>18969</v>
      </c>
      <c r="L80" s="235">
        <v>19028</v>
      </c>
      <c r="M80" s="235">
        <v>19280</v>
      </c>
      <c r="N80" s="235">
        <v>18704</v>
      </c>
      <c r="O80" s="235">
        <v>18993</v>
      </c>
      <c r="P80" s="235">
        <v>19931</v>
      </c>
      <c r="Q80" s="237">
        <v>16728</v>
      </c>
      <c r="R80" s="235"/>
      <c r="S80" s="238">
        <f>SUM(F80:Q80)</f>
        <v>223415</v>
      </c>
    </row>
    <row r="81" spans="2:19" ht="18.75" customHeight="1">
      <c r="B81" s="164" t="s">
        <v>55</v>
      </c>
      <c r="C81" s="216">
        <v>78.959999999999994</v>
      </c>
      <c r="D81" s="240">
        <f t="shared" ref="D81:D85" si="14">S81/$S$66</f>
        <v>66.116279069767444</v>
      </c>
      <c r="E81" s="168" t="s">
        <v>138</v>
      </c>
      <c r="F81" s="175">
        <v>1699</v>
      </c>
      <c r="G81" s="176">
        <v>1957</v>
      </c>
      <c r="H81" s="176">
        <v>2210</v>
      </c>
      <c r="I81" s="176">
        <v>2036</v>
      </c>
      <c r="J81" s="176">
        <v>2040</v>
      </c>
      <c r="K81" s="176">
        <v>1905</v>
      </c>
      <c r="L81" s="176">
        <v>2005</v>
      </c>
      <c r="M81" s="176">
        <v>1898</v>
      </c>
      <c r="N81" s="176">
        <v>1707</v>
      </c>
      <c r="O81" s="176">
        <v>2032</v>
      </c>
      <c r="P81" s="176">
        <v>2004</v>
      </c>
      <c r="Q81" s="177">
        <v>1251</v>
      </c>
      <c r="R81" s="176"/>
      <c r="S81" s="178">
        <f>SUM(F81:Q81)</f>
        <v>22744</v>
      </c>
    </row>
    <row r="82" spans="2:19" ht="18.75" customHeight="1">
      <c r="B82" s="164" t="s">
        <v>57</v>
      </c>
      <c r="C82" s="216">
        <v>118.40000000000002</v>
      </c>
      <c r="D82" s="240">
        <f t="shared" si="14"/>
        <v>99.043604651162795</v>
      </c>
      <c r="E82" s="168" t="s">
        <v>138</v>
      </c>
      <c r="F82" s="175">
        <v>2406</v>
      </c>
      <c r="G82" s="176">
        <v>2038</v>
      </c>
      <c r="H82" s="176">
        <v>2979</v>
      </c>
      <c r="I82" s="176">
        <v>2898</v>
      </c>
      <c r="J82" s="176">
        <v>3084</v>
      </c>
      <c r="K82" s="176">
        <v>3651</v>
      </c>
      <c r="L82" s="176">
        <v>2965</v>
      </c>
      <c r="M82" s="176">
        <v>3352</v>
      </c>
      <c r="N82" s="176">
        <v>3164</v>
      </c>
      <c r="O82" s="176">
        <v>2843</v>
      </c>
      <c r="P82" s="176">
        <v>3205</v>
      </c>
      <c r="Q82" s="177">
        <v>1486</v>
      </c>
      <c r="R82" s="176"/>
      <c r="S82" s="178">
        <f>SUM(F82:Q82)</f>
        <v>34071</v>
      </c>
    </row>
    <row r="83" spans="2:19" ht="18.75" customHeight="1">
      <c r="B83" s="164" t="s">
        <v>88</v>
      </c>
      <c r="C83" s="216">
        <v>357.52</v>
      </c>
      <c r="D83" s="240">
        <f t="shared" si="14"/>
        <v>298.54331395348839</v>
      </c>
      <c r="E83" s="168" t="s">
        <v>138</v>
      </c>
      <c r="F83" s="175">
        <v>9402.7999999999993</v>
      </c>
      <c r="G83" s="176">
        <v>6273.9</v>
      </c>
      <c r="H83" s="176">
        <v>9050.1</v>
      </c>
      <c r="I83" s="176">
        <v>8795.7000000000007</v>
      </c>
      <c r="J83" s="176">
        <v>10037.5</v>
      </c>
      <c r="K83" s="176">
        <v>8575.9</v>
      </c>
      <c r="L83" s="176">
        <v>8770.7000000000007</v>
      </c>
      <c r="M83" s="176">
        <v>9151.2999999999993</v>
      </c>
      <c r="N83" s="176">
        <v>8733.7000000000007</v>
      </c>
      <c r="O83" s="176">
        <v>8857</v>
      </c>
      <c r="P83" s="176">
        <v>8461.5</v>
      </c>
      <c r="Q83" s="177">
        <v>6588.8</v>
      </c>
      <c r="R83" s="176"/>
      <c r="S83" s="178">
        <f t="shared" ref="S83:S84" si="15">SUM(F83:Q83)</f>
        <v>102698.90000000001</v>
      </c>
    </row>
    <row r="84" spans="2:19" ht="18.75" customHeight="1">
      <c r="B84" s="164" t="s">
        <v>98</v>
      </c>
      <c r="C84" s="216">
        <v>153.28</v>
      </c>
      <c r="D84" s="240">
        <f t="shared" si="14"/>
        <v>127.94713455149504</v>
      </c>
      <c r="E84" s="168" t="s">
        <v>138</v>
      </c>
      <c r="F84" s="175">
        <f>((20/14)*F83)-F83</f>
        <v>4029.7714285714283</v>
      </c>
      <c r="G84" s="176">
        <f t="shared" ref="G84:Q84" si="16">((20/14)*G83)-G83</f>
        <v>2688.8142857142866</v>
      </c>
      <c r="H84" s="176">
        <f t="shared" si="16"/>
        <v>3878.6142857142859</v>
      </c>
      <c r="I84" s="176">
        <f t="shared" si="16"/>
        <v>3769.5857142857149</v>
      </c>
      <c r="J84" s="176">
        <f t="shared" si="16"/>
        <v>4301.7857142857138</v>
      </c>
      <c r="K84" s="176">
        <f t="shared" si="16"/>
        <v>3675.3857142857141</v>
      </c>
      <c r="L84" s="176">
        <f t="shared" si="16"/>
        <v>3758.8714285714286</v>
      </c>
      <c r="M84" s="176">
        <f t="shared" si="16"/>
        <v>3921.9857142857145</v>
      </c>
      <c r="N84" s="176">
        <f t="shared" si="16"/>
        <v>3743.0142857142855</v>
      </c>
      <c r="O84" s="176">
        <f t="shared" si="16"/>
        <v>3795.8571428571431</v>
      </c>
      <c r="P84" s="176">
        <f t="shared" si="16"/>
        <v>3626.3571428571431</v>
      </c>
      <c r="Q84" s="177">
        <f t="shared" si="16"/>
        <v>2823.7714285714292</v>
      </c>
      <c r="R84" s="176"/>
      <c r="S84" s="178">
        <f t="shared" si="15"/>
        <v>44013.814285714296</v>
      </c>
    </row>
    <row r="85" spans="2:19" ht="18.75" customHeight="1">
      <c r="B85" s="164" t="s">
        <v>89</v>
      </c>
      <c r="C85" s="216">
        <v>91.84</v>
      </c>
      <c r="D85" s="240">
        <f t="shared" si="14"/>
        <v>57.811877076411946</v>
      </c>
      <c r="E85" s="168" t="s">
        <v>138</v>
      </c>
      <c r="F85" s="175">
        <f>F80-(SUM(F81:F84))</f>
        <v>1888.4285714285725</v>
      </c>
      <c r="G85" s="176">
        <f t="shared" ref="G85:Q85" si="17">G80-(SUM(G81:G84))</f>
        <v>960.28571428571377</v>
      </c>
      <c r="H85" s="176">
        <f t="shared" si="17"/>
        <v>1397.2857142857138</v>
      </c>
      <c r="I85" s="176">
        <f t="shared" si="17"/>
        <v>1458.7142857142826</v>
      </c>
      <c r="J85" s="176">
        <f t="shared" si="17"/>
        <v>501.71428571428623</v>
      </c>
      <c r="K85" s="176">
        <f t="shared" si="17"/>
        <v>1161.7142857142862</v>
      </c>
      <c r="L85" s="176">
        <f t="shared" si="17"/>
        <v>1528.4285714285725</v>
      </c>
      <c r="M85" s="176">
        <f t="shared" si="17"/>
        <v>956.71428571428623</v>
      </c>
      <c r="N85" s="176">
        <f t="shared" si="17"/>
        <v>1356.2857142857138</v>
      </c>
      <c r="O85" s="176">
        <f t="shared" si="17"/>
        <v>1465.1428571428551</v>
      </c>
      <c r="P85" s="176">
        <f t="shared" si="17"/>
        <v>2634.1428571428551</v>
      </c>
      <c r="Q85" s="177">
        <f t="shared" si="17"/>
        <v>4578.4285714285725</v>
      </c>
      <c r="R85" s="176"/>
      <c r="S85" s="178">
        <f>SUM(F85:Q85)</f>
        <v>19887.28571428571</v>
      </c>
    </row>
    <row r="86" spans="2:19" ht="18.75" customHeight="1">
      <c r="B86" s="277"/>
      <c r="C86" s="278"/>
      <c r="D86" s="278"/>
      <c r="E86" s="278"/>
      <c r="F86" s="175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7"/>
      <c r="R86" s="176"/>
      <c r="S86" s="178"/>
    </row>
    <row r="87" spans="2:19" ht="18.75" customHeight="1">
      <c r="B87" s="12" t="s">
        <v>58</v>
      </c>
      <c r="C87" s="13"/>
      <c r="D87" s="241"/>
      <c r="E87" s="168"/>
      <c r="F87" s="175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7"/>
      <c r="R87" s="176"/>
      <c r="S87" s="178"/>
    </row>
    <row r="88" spans="2:19" s="3" customFormat="1" ht="18.75" customHeight="1">
      <c r="B88" s="224" t="s">
        <v>43</v>
      </c>
      <c r="C88" s="225">
        <f>SUM(C89:C112)</f>
        <v>26515.1114670852</v>
      </c>
      <c r="D88" s="239">
        <f>S88/$S$66</f>
        <v>25965.322674418603</v>
      </c>
      <c r="E88" s="227" t="s">
        <v>59</v>
      </c>
      <c r="F88" s="236">
        <v>729835</v>
      </c>
      <c r="G88" s="235">
        <v>556721</v>
      </c>
      <c r="H88" s="235">
        <v>794335</v>
      </c>
      <c r="I88" s="235">
        <v>750875</v>
      </c>
      <c r="J88" s="235">
        <v>777743</v>
      </c>
      <c r="K88" s="235">
        <v>768213</v>
      </c>
      <c r="L88" s="235">
        <v>777280</v>
      </c>
      <c r="M88" s="235">
        <v>822185</v>
      </c>
      <c r="N88" s="235">
        <v>798547</v>
      </c>
      <c r="O88" s="235">
        <v>794185</v>
      </c>
      <c r="P88" s="235">
        <v>794170</v>
      </c>
      <c r="Q88" s="237">
        <v>567982</v>
      </c>
      <c r="R88" s="235"/>
      <c r="S88" s="238">
        <f>SUM(F88:Q88)</f>
        <v>8932071</v>
      </c>
    </row>
    <row r="89" spans="2:19" s="3" customFormat="1" ht="18.75" customHeight="1">
      <c r="B89" s="16" t="s">
        <v>99</v>
      </c>
      <c r="C89" s="216">
        <v>87.311666666690599</v>
      </c>
      <c r="D89" s="240">
        <f>S89/$S$66</f>
        <v>47.404069767441875</v>
      </c>
      <c r="E89" s="168" t="s">
        <v>59</v>
      </c>
      <c r="F89" s="175">
        <v>2026.5</v>
      </c>
      <c r="G89" s="176">
        <v>1275.5999999999999</v>
      </c>
      <c r="H89" s="176">
        <v>2107.3000000000002</v>
      </c>
      <c r="I89" s="176">
        <v>1614.4</v>
      </c>
      <c r="J89" s="176">
        <v>1143.0999999999999</v>
      </c>
      <c r="K89" s="176">
        <v>803.9</v>
      </c>
      <c r="L89" s="176">
        <v>1140.5</v>
      </c>
      <c r="M89" s="176">
        <v>1181.2</v>
      </c>
      <c r="N89" s="176">
        <v>1479.1</v>
      </c>
      <c r="O89" s="176">
        <v>1273.5</v>
      </c>
      <c r="P89" s="176">
        <v>1153.3</v>
      </c>
      <c r="Q89" s="177">
        <v>1108.6000000000058</v>
      </c>
      <c r="R89" s="235"/>
      <c r="S89" s="178">
        <f t="shared" ref="S89:S112" si="18">SUM(F89:Q89)</f>
        <v>16307.000000000005</v>
      </c>
    </row>
    <row r="90" spans="2:19" s="3" customFormat="1" ht="18.75" customHeight="1">
      <c r="B90" s="16" t="s">
        <v>100</v>
      </c>
      <c r="C90" s="216">
        <v>148.5</v>
      </c>
      <c r="D90" s="240">
        <f t="shared" ref="D90:D112" si="19">S90/$S$66</f>
        <v>99.845930232558146</v>
      </c>
      <c r="E90" s="168" t="s">
        <v>59</v>
      </c>
      <c r="F90" s="175">
        <v>2697.7</v>
      </c>
      <c r="G90" s="176">
        <v>2964.9</v>
      </c>
      <c r="H90" s="176">
        <v>3311.5</v>
      </c>
      <c r="I90" s="176">
        <v>2971.6</v>
      </c>
      <c r="J90" s="176">
        <v>3505.2</v>
      </c>
      <c r="K90" s="176">
        <v>2566</v>
      </c>
      <c r="L90" s="176">
        <v>2768.8</v>
      </c>
      <c r="M90" s="176">
        <v>2729</v>
      </c>
      <c r="N90" s="176">
        <v>3109.3</v>
      </c>
      <c r="O90" s="176">
        <v>2953.1</v>
      </c>
      <c r="P90" s="176">
        <v>2683.9</v>
      </c>
      <c r="Q90" s="177">
        <v>2086</v>
      </c>
      <c r="R90" s="235"/>
      <c r="S90" s="178">
        <f t="shared" si="18"/>
        <v>34347</v>
      </c>
    </row>
    <row r="91" spans="2:19" s="3" customFormat="1" ht="18.75" customHeight="1">
      <c r="B91" s="16" t="s">
        <v>92</v>
      </c>
      <c r="C91" s="216">
        <v>5420</v>
      </c>
      <c r="D91" s="240">
        <f t="shared" si="19"/>
        <v>4151.7441860465105</v>
      </c>
      <c r="E91" s="168" t="s">
        <v>59</v>
      </c>
      <c r="F91" s="175">
        <v>119900</v>
      </c>
      <c r="G91" s="176">
        <v>81200</v>
      </c>
      <c r="H91" s="176">
        <v>129700</v>
      </c>
      <c r="I91" s="176">
        <v>124500</v>
      </c>
      <c r="J91" s="176">
        <v>114600</v>
      </c>
      <c r="K91" s="176">
        <v>125200</v>
      </c>
      <c r="L91" s="176">
        <v>119900</v>
      </c>
      <c r="M91" s="176">
        <v>128900</v>
      </c>
      <c r="N91" s="176">
        <v>132500</v>
      </c>
      <c r="O91" s="176">
        <v>133100</v>
      </c>
      <c r="P91" s="176">
        <v>130300</v>
      </c>
      <c r="Q91" s="177">
        <v>88399.999999999636</v>
      </c>
      <c r="R91" s="235"/>
      <c r="S91" s="178">
        <f t="shared" si="18"/>
        <v>1428199.9999999995</v>
      </c>
    </row>
    <row r="92" spans="2:19" s="3" customFormat="1" ht="18.75" customHeight="1">
      <c r="B92" s="16" t="s">
        <v>90</v>
      </c>
      <c r="C92" s="216">
        <v>3193.5666666666698</v>
      </c>
      <c r="D92" s="240">
        <f t="shared" si="19"/>
        <v>2947.3255813953488</v>
      </c>
      <c r="E92" s="168" t="s">
        <v>59</v>
      </c>
      <c r="F92" s="175">
        <v>92410</v>
      </c>
      <c r="G92" s="176">
        <v>60630</v>
      </c>
      <c r="H92" s="176">
        <v>85950</v>
      </c>
      <c r="I92" s="176">
        <v>90280</v>
      </c>
      <c r="J92" s="176">
        <v>85070</v>
      </c>
      <c r="K92" s="176">
        <v>85040</v>
      </c>
      <c r="L92" s="176">
        <v>83290</v>
      </c>
      <c r="M92" s="176">
        <v>85370</v>
      </c>
      <c r="N92" s="176">
        <v>90470</v>
      </c>
      <c r="O92" s="176">
        <v>91130</v>
      </c>
      <c r="P92" s="176">
        <v>93850</v>
      </c>
      <c r="Q92" s="177">
        <v>70390</v>
      </c>
      <c r="R92" s="235"/>
      <c r="S92" s="178">
        <f t="shared" si="18"/>
        <v>1013880</v>
      </c>
    </row>
    <row r="93" spans="2:19" s="3" customFormat="1" ht="18.75" customHeight="1">
      <c r="B93" s="16" t="s">
        <v>91</v>
      </c>
      <c r="C93" s="216">
        <v>11.914</v>
      </c>
      <c r="D93" s="240">
        <f t="shared" si="19"/>
        <v>8.8959011627906985</v>
      </c>
      <c r="E93" s="168" t="s">
        <v>59</v>
      </c>
      <c r="F93" s="175">
        <v>246.11</v>
      </c>
      <c r="G93" s="176">
        <v>300.13</v>
      </c>
      <c r="H93" s="176">
        <v>219.31</v>
      </c>
      <c r="I93" s="176">
        <v>274.91000000000003</v>
      </c>
      <c r="J93" s="176">
        <v>304.79000000000002</v>
      </c>
      <c r="K93" s="176">
        <v>258.67</v>
      </c>
      <c r="L93" s="176">
        <v>241.93</v>
      </c>
      <c r="M93" s="176">
        <v>286.83</v>
      </c>
      <c r="N93" s="176">
        <v>151.31</v>
      </c>
      <c r="O93" s="176">
        <v>203.95</v>
      </c>
      <c r="P93" s="176">
        <v>281.08</v>
      </c>
      <c r="Q93" s="177">
        <v>291.17000000000007</v>
      </c>
      <c r="R93" s="235"/>
      <c r="S93" s="178">
        <f t="shared" si="18"/>
        <v>3060.19</v>
      </c>
    </row>
    <row r="94" spans="2:19" s="3" customFormat="1" ht="18.75" customHeight="1">
      <c r="B94" s="16" t="s">
        <v>101</v>
      </c>
      <c r="C94" s="216">
        <v>5549.5474670852</v>
      </c>
      <c r="D94" s="240">
        <f t="shared" si="19"/>
        <v>4473.2558139534867</v>
      </c>
      <c r="E94" s="168" t="s">
        <v>59</v>
      </c>
      <c r="F94" s="175">
        <v>129200</v>
      </c>
      <c r="G94" s="176">
        <v>91300</v>
      </c>
      <c r="H94" s="176">
        <v>133400</v>
      </c>
      <c r="I94" s="176">
        <v>135800</v>
      </c>
      <c r="J94" s="176">
        <v>112300</v>
      </c>
      <c r="K94" s="176">
        <v>138100</v>
      </c>
      <c r="L94" s="176">
        <v>128100</v>
      </c>
      <c r="M94" s="176">
        <v>153200</v>
      </c>
      <c r="N94" s="176">
        <v>154300</v>
      </c>
      <c r="O94" s="176">
        <v>134400</v>
      </c>
      <c r="P94" s="176">
        <v>152300</v>
      </c>
      <c r="Q94" s="177">
        <v>76399.999999999636</v>
      </c>
      <c r="R94" s="235"/>
      <c r="S94" s="178">
        <f t="shared" si="18"/>
        <v>1538799.9999999995</v>
      </c>
    </row>
    <row r="95" spans="2:19" s="3" customFormat="1" ht="18.75" customHeight="1">
      <c r="B95" s="16" t="s">
        <v>102</v>
      </c>
      <c r="C95" s="216">
        <v>1477</v>
      </c>
      <c r="D95" s="240">
        <f t="shared" si="19"/>
        <v>959.54651162790697</v>
      </c>
      <c r="E95" s="168" t="s">
        <v>59</v>
      </c>
      <c r="F95" s="175">
        <v>30529</v>
      </c>
      <c r="G95" s="176">
        <v>19829</v>
      </c>
      <c r="H95" s="176">
        <v>27185</v>
      </c>
      <c r="I95" s="176">
        <v>28382</v>
      </c>
      <c r="J95" s="176">
        <v>28338</v>
      </c>
      <c r="K95" s="176">
        <v>31415</v>
      </c>
      <c r="L95" s="176">
        <v>26610</v>
      </c>
      <c r="M95" s="176">
        <v>29470</v>
      </c>
      <c r="N95" s="176">
        <v>32197</v>
      </c>
      <c r="O95" s="176">
        <v>28229</v>
      </c>
      <c r="P95" s="176">
        <v>30500</v>
      </c>
      <c r="Q95" s="177">
        <v>17400</v>
      </c>
      <c r="R95" s="235"/>
      <c r="S95" s="178">
        <f t="shared" si="18"/>
        <v>330084</v>
      </c>
    </row>
    <row r="96" spans="2:19" s="3" customFormat="1" ht="18.75" customHeight="1">
      <c r="B96" s="16" t="s">
        <v>103</v>
      </c>
      <c r="C96" s="216">
        <v>601.25</v>
      </c>
      <c r="D96" s="240">
        <f t="shared" si="19"/>
        <v>246.1110465116279</v>
      </c>
      <c r="E96" s="168" t="s">
        <v>59</v>
      </c>
      <c r="F96" s="175">
        <v>4921.2</v>
      </c>
      <c r="G96" s="176">
        <v>4767</v>
      </c>
      <c r="H96" s="176">
        <v>5142.3999999999996</v>
      </c>
      <c r="I96" s="176">
        <v>6637.1</v>
      </c>
      <c r="J96" s="176">
        <v>6089.3</v>
      </c>
      <c r="K96" s="176">
        <v>6878.2</v>
      </c>
      <c r="L96" s="176">
        <v>6459.1</v>
      </c>
      <c r="M96" s="176">
        <v>6493.4</v>
      </c>
      <c r="N96" s="176">
        <v>9173.6</v>
      </c>
      <c r="O96" s="176">
        <v>9140.9</v>
      </c>
      <c r="P96" s="176">
        <v>9234</v>
      </c>
      <c r="Q96" s="177">
        <v>9726</v>
      </c>
      <c r="R96" s="235"/>
      <c r="S96" s="178">
        <f t="shared" si="18"/>
        <v>84662.2</v>
      </c>
    </row>
    <row r="97" spans="2:19" s="3" customFormat="1" ht="18.75" customHeight="1">
      <c r="B97" s="16" t="s">
        <v>104</v>
      </c>
      <c r="C97" s="216">
        <v>1190</v>
      </c>
      <c r="D97" s="240">
        <f t="shared" si="19"/>
        <v>927.32558139534888</v>
      </c>
      <c r="E97" s="168" t="s">
        <v>59</v>
      </c>
      <c r="F97" s="175">
        <v>28530</v>
      </c>
      <c r="G97" s="176">
        <v>19520</v>
      </c>
      <c r="H97" s="176">
        <v>26610</v>
      </c>
      <c r="I97" s="176">
        <v>26100</v>
      </c>
      <c r="J97" s="176">
        <v>25510</v>
      </c>
      <c r="K97" s="176">
        <v>25310</v>
      </c>
      <c r="L97" s="176">
        <v>25030</v>
      </c>
      <c r="M97" s="176">
        <v>27900</v>
      </c>
      <c r="N97" s="176">
        <v>29740</v>
      </c>
      <c r="O97" s="176">
        <v>27420</v>
      </c>
      <c r="P97" s="176">
        <v>32500</v>
      </c>
      <c r="Q97" s="177">
        <v>24830</v>
      </c>
      <c r="R97" s="235"/>
      <c r="S97" s="178">
        <f t="shared" si="18"/>
        <v>319000</v>
      </c>
    </row>
    <row r="98" spans="2:19" s="3" customFormat="1" ht="18.75" customHeight="1">
      <c r="B98" s="16" t="s">
        <v>105</v>
      </c>
      <c r="C98" s="216">
        <v>432</v>
      </c>
      <c r="D98" s="242">
        <f t="shared" si="19"/>
        <v>491.61627906976742</v>
      </c>
      <c r="E98" s="168" t="s">
        <v>59</v>
      </c>
      <c r="F98" s="175">
        <v>11993</v>
      </c>
      <c r="G98" s="176">
        <v>11930</v>
      </c>
      <c r="H98" s="176">
        <v>13544</v>
      </c>
      <c r="I98" s="176">
        <v>14033</v>
      </c>
      <c r="J98" s="176">
        <v>13510</v>
      </c>
      <c r="K98" s="176">
        <v>13265</v>
      </c>
      <c r="L98" s="176">
        <v>13537</v>
      </c>
      <c r="M98" s="176">
        <v>14435</v>
      </c>
      <c r="N98" s="176">
        <v>15576</v>
      </c>
      <c r="O98" s="176">
        <v>16212</v>
      </c>
      <c r="P98" s="176">
        <v>16061</v>
      </c>
      <c r="Q98" s="177">
        <v>15020</v>
      </c>
      <c r="R98" s="235"/>
      <c r="S98" s="178">
        <f t="shared" si="18"/>
        <v>169116</v>
      </c>
    </row>
    <row r="99" spans="2:19" s="3" customFormat="1" ht="18.75" customHeight="1">
      <c r="B99" s="16" t="s">
        <v>106</v>
      </c>
      <c r="C99" s="216">
        <v>2730</v>
      </c>
      <c r="D99" s="240">
        <f t="shared" si="19"/>
        <v>2669.5348837209303</v>
      </c>
      <c r="E99" s="168" t="s">
        <v>59</v>
      </c>
      <c r="F99" s="175">
        <v>79340</v>
      </c>
      <c r="G99" s="176">
        <v>65840</v>
      </c>
      <c r="H99" s="176">
        <v>73780</v>
      </c>
      <c r="I99" s="176">
        <v>78920</v>
      </c>
      <c r="J99" s="176">
        <v>75280</v>
      </c>
      <c r="K99" s="176">
        <v>73850</v>
      </c>
      <c r="L99" s="176">
        <v>73220</v>
      </c>
      <c r="M99" s="176">
        <v>74810</v>
      </c>
      <c r="N99" s="176">
        <v>82320</v>
      </c>
      <c r="O99" s="176">
        <v>79730</v>
      </c>
      <c r="P99" s="176">
        <v>80900</v>
      </c>
      <c r="Q99" s="177">
        <v>80330</v>
      </c>
      <c r="R99" s="235"/>
      <c r="S99" s="178">
        <f t="shared" si="18"/>
        <v>918320</v>
      </c>
    </row>
    <row r="100" spans="2:19" s="3" customFormat="1" ht="18.75" customHeight="1">
      <c r="B100" s="16" t="s">
        <v>107</v>
      </c>
      <c r="C100" s="216">
        <v>2680</v>
      </c>
      <c r="D100" s="240">
        <f t="shared" si="19"/>
        <v>2466.8023255813955</v>
      </c>
      <c r="E100" s="168" t="s">
        <v>59</v>
      </c>
      <c r="F100" s="175">
        <v>81080</v>
      </c>
      <c r="G100" s="176">
        <v>75590</v>
      </c>
      <c r="H100" s="176">
        <v>72990</v>
      </c>
      <c r="I100" s="176">
        <v>74600</v>
      </c>
      <c r="J100" s="176">
        <v>66870</v>
      </c>
      <c r="K100" s="176">
        <v>64810</v>
      </c>
      <c r="L100" s="176">
        <v>62750</v>
      </c>
      <c r="M100" s="176">
        <v>60960</v>
      </c>
      <c r="N100" s="176">
        <v>70980</v>
      </c>
      <c r="O100" s="176">
        <v>72260</v>
      </c>
      <c r="P100" s="176">
        <v>71840</v>
      </c>
      <c r="Q100" s="177">
        <v>73850</v>
      </c>
      <c r="R100" s="235"/>
      <c r="S100" s="178">
        <f t="shared" si="18"/>
        <v>848580</v>
      </c>
    </row>
    <row r="101" spans="2:19" s="3" customFormat="1" ht="18.75" customHeight="1">
      <c r="B101" s="16" t="s">
        <v>108</v>
      </c>
      <c r="C101" s="216">
        <v>312.41000000000003</v>
      </c>
      <c r="D101" s="240">
        <f t="shared" si="19"/>
        <v>305.55406976744189</v>
      </c>
      <c r="E101" s="168" t="s">
        <v>59</v>
      </c>
      <c r="F101" s="175">
        <v>9229.6</v>
      </c>
      <c r="G101" s="176">
        <v>9332.5</v>
      </c>
      <c r="H101" s="176">
        <v>9389.2999999999993</v>
      </c>
      <c r="I101" s="176">
        <v>9384.6</v>
      </c>
      <c r="J101" s="176">
        <v>8480.6</v>
      </c>
      <c r="K101" s="176">
        <v>8035.5</v>
      </c>
      <c r="L101" s="176">
        <v>7757.5</v>
      </c>
      <c r="M101" s="176">
        <v>7664.8</v>
      </c>
      <c r="N101" s="176">
        <v>8786.7999999999993</v>
      </c>
      <c r="O101" s="176">
        <v>8916.9</v>
      </c>
      <c r="P101" s="176">
        <v>8737.2000000000007</v>
      </c>
      <c r="Q101" s="177">
        <v>9395.3000000000175</v>
      </c>
      <c r="R101" s="235"/>
      <c r="S101" s="178">
        <f t="shared" si="18"/>
        <v>105110.6</v>
      </c>
    </row>
    <row r="102" spans="2:19" s="3" customFormat="1" ht="18.75" customHeight="1">
      <c r="B102" s="16" t="s">
        <v>109</v>
      </c>
      <c r="C102" s="216">
        <v>133.18666666666601</v>
      </c>
      <c r="D102" s="242">
        <f t="shared" si="19"/>
        <v>141.00988372093025</v>
      </c>
      <c r="E102" s="168" t="s">
        <v>59</v>
      </c>
      <c r="F102" s="175">
        <v>4015</v>
      </c>
      <c r="G102" s="176">
        <v>4534.3999999999996</v>
      </c>
      <c r="H102" s="176">
        <v>4317.3</v>
      </c>
      <c r="I102" s="176">
        <v>4120</v>
      </c>
      <c r="J102" s="176">
        <v>3662.7</v>
      </c>
      <c r="K102" s="176">
        <v>3950.2</v>
      </c>
      <c r="L102" s="176">
        <v>3559.2</v>
      </c>
      <c r="M102" s="176">
        <v>3056.6</v>
      </c>
      <c r="N102" s="176">
        <v>4397.8</v>
      </c>
      <c r="O102" s="176">
        <v>4520.8999999999996</v>
      </c>
      <c r="P102" s="176">
        <v>4028.8</v>
      </c>
      <c r="Q102" s="177">
        <v>4344.5</v>
      </c>
      <c r="R102" s="235"/>
      <c r="S102" s="178">
        <f t="shared" si="18"/>
        <v>48507.400000000009</v>
      </c>
    </row>
    <row r="103" spans="2:19" s="3" customFormat="1" ht="18.75" customHeight="1">
      <c r="B103" s="16" t="s">
        <v>110</v>
      </c>
      <c r="C103" s="216">
        <v>227.48333333333301</v>
      </c>
      <c r="D103" s="240">
        <f t="shared" si="19"/>
        <v>177.36656976744189</v>
      </c>
      <c r="E103" s="168" t="s">
        <v>59</v>
      </c>
      <c r="F103" s="175">
        <v>6343</v>
      </c>
      <c r="G103" s="176">
        <v>5781.7</v>
      </c>
      <c r="H103" s="176">
        <v>5669.2</v>
      </c>
      <c r="I103" s="176">
        <v>5891.5</v>
      </c>
      <c r="J103" s="176">
        <v>5576.8</v>
      </c>
      <c r="K103" s="176">
        <v>4416.8999999999996</v>
      </c>
      <c r="L103" s="176">
        <v>4155</v>
      </c>
      <c r="M103" s="176">
        <v>4410.2</v>
      </c>
      <c r="N103" s="176">
        <v>4623.3</v>
      </c>
      <c r="O103" s="176">
        <v>4653.8999999999996</v>
      </c>
      <c r="P103" s="176">
        <v>4652</v>
      </c>
      <c r="Q103" s="177">
        <v>4840.6000000000058</v>
      </c>
      <c r="R103" s="235"/>
      <c r="S103" s="178">
        <f t="shared" si="18"/>
        <v>61014.100000000006</v>
      </c>
    </row>
    <row r="104" spans="2:19" s="3" customFormat="1" ht="18.75" customHeight="1">
      <c r="B104" s="16" t="s">
        <v>111</v>
      </c>
      <c r="C104" s="216">
        <v>63.893333333333302</v>
      </c>
      <c r="D104" s="240">
        <f t="shared" si="19"/>
        <v>57.8779069767442</v>
      </c>
      <c r="E104" s="168" t="s">
        <v>59</v>
      </c>
      <c r="F104" s="175">
        <v>1538</v>
      </c>
      <c r="G104" s="176">
        <v>1767.7</v>
      </c>
      <c r="H104" s="176">
        <v>1616.2</v>
      </c>
      <c r="I104" s="176">
        <v>1666.3</v>
      </c>
      <c r="J104" s="176">
        <v>1530.7</v>
      </c>
      <c r="K104" s="176">
        <v>1804.1</v>
      </c>
      <c r="L104" s="176">
        <v>1520.6</v>
      </c>
      <c r="M104" s="176">
        <v>1231.7</v>
      </c>
      <c r="N104" s="176">
        <v>1906.3</v>
      </c>
      <c r="O104" s="176">
        <v>1765</v>
      </c>
      <c r="P104" s="176">
        <v>1699.1</v>
      </c>
      <c r="Q104" s="177">
        <v>1864.3000000000029</v>
      </c>
      <c r="R104" s="235"/>
      <c r="S104" s="178">
        <f t="shared" si="18"/>
        <v>19910.000000000004</v>
      </c>
    </row>
    <row r="105" spans="2:19" s="3" customFormat="1" ht="18.75" customHeight="1">
      <c r="B105" s="16" t="s">
        <v>112</v>
      </c>
      <c r="C105" s="216">
        <v>315.07666666666597</v>
      </c>
      <c r="D105" s="240">
        <f t="shared" si="19"/>
        <v>272.22616279069769</v>
      </c>
      <c r="E105" s="168" t="s">
        <v>59</v>
      </c>
      <c r="F105" s="175">
        <v>9179.2999999999993</v>
      </c>
      <c r="G105" s="176">
        <v>8703.2999999999993</v>
      </c>
      <c r="H105" s="176">
        <v>8403.2999999999993</v>
      </c>
      <c r="I105" s="176">
        <v>9015.7999999999993</v>
      </c>
      <c r="J105" s="176">
        <v>8347.7000000000007</v>
      </c>
      <c r="K105" s="176">
        <v>7221.7</v>
      </c>
      <c r="L105" s="176">
        <v>7572.6</v>
      </c>
      <c r="M105" s="176">
        <v>7097.3</v>
      </c>
      <c r="N105" s="176">
        <v>7059.4</v>
      </c>
      <c r="O105" s="176">
        <v>7326</v>
      </c>
      <c r="P105" s="176">
        <v>7217.5</v>
      </c>
      <c r="Q105" s="177">
        <v>6501.9000000000233</v>
      </c>
      <c r="R105" s="235"/>
      <c r="S105" s="178">
        <f t="shared" si="18"/>
        <v>93645.8</v>
      </c>
    </row>
    <row r="106" spans="2:19" s="3" customFormat="1" ht="18.75" customHeight="1">
      <c r="B106" s="16" t="s">
        <v>119</v>
      </c>
      <c r="C106" s="216">
        <v>298.31999999999903</v>
      </c>
      <c r="D106" s="240">
        <f t="shared" si="19"/>
        <v>210.54883720930238</v>
      </c>
      <c r="E106" s="168" t="s">
        <v>59</v>
      </c>
      <c r="F106" s="175">
        <v>7233.5</v>
      </c>
      <c r="G106" s="176">
        <v>6890</v>
      </c>
      <c r="H106" s="176">
        <v>6602.8</v>
      </c>
      <c r="I106" s="176">
        <v>6279.4</v>
      </c>
      <c r="J106" s="176">
        <v>5557.9</v>
      </c>
      <c r="K106" s="176">
        <v>5627.1</v>
      </c>
      <c r="L106" s="176">
        <v>5918.8</v>
      </c>
      <c r="M106" s="176">
        <v>5388.1</v>
      </c>
      <c r="N106" s="176">
        <v>5517.3</v>
      </c>
      <c r="O106" s="176">
        <v>5285.5</v>
      </c>
      <c r="P106" s="176">
        <v>5786.5</v>
      </c>
      <c r="Q106" s="177">
        <v>6341.9000000000233</v>
      </c>
      <c r="R106" s="235"/>
      <c r="S106" s="178">
        <f t="shared" si="18"/>
        <v>72428.800000000017</v>
      </c>
    </row>
    <row r="107" spans="2:19" s="3" customFormat="1" ht="18.75" customHeight="1">
      <c r="B107" s="16" t="s">
        <v>113</v>
      </c>
      <c r="C107" s="216">
        <v>211.34666666666601</v>
      </c>
      <c r="D107" s="240">
        <f t="shared" si="19"/>
        <v>196.89098837209298</v>
      </c>
      <c r="E107" s="168" t="s">
        <v>59</v>
      </c>
      <c r="F107" s="175">
        <v>6349.1</v>
      </c>
      <c r="G107" s="176">
        <v>6149</v>
      </c>
      <c r="H107" s="176">
        <v>6100</v>
      </c>
      <c r="I107" s="176">
        <v>6103.3</v>
      </c>
      <c r="J107" s="176">
        <v>5767.1</v>
      </c>
      <c r="K107" s="176">
        <v>5057.3</v>
      </c>
      <c r="L107" s="176">
        <v>4823</v>
      </c>
      <c r="M107" s="176">
        <v>4531.7</v>
      </c>
      <c r="N107" s="176">
        <v>5419.4</v>
      </c>
      <c r="O107" s="176">
        <v>5568.6</v>
      </c>
      <c r="P107" s="176">
        <v>5742.2</v>
      </c>
      <c r="Q107" s="177">
        <v>6119.7999999999884</v>
      </c>
      <c r="R107" s="235"/>
      <c r="S107" s="178">
        <f t="shared" si="18"/>
        <v>67730.499999999985</v>
      </c>
    </row>
    <row r="108" spans="2:19" s="3" customFormat="1" ht="18.75" customHeight="1">
      <c r="B108" s="16" t="s">
        <v>114</v>
      </c>
      <c r="C108" s="216">
        <v>335.92</v>
      </c>
      <c r="D108" s="240">
        <f t="shared" si="19"/>
        <v>315.29883720930229</v>
      </c>
      <c r="E108" s="168" t="s">
        <v>59</v>
      </c>
      <c r="F108" s="175">
        <v>9737.7999999999993</v>
      </c>
      <c r="G108" s="176">
        <v>9203.9</v>
      </c>
      <c r="H108" s="176">
        <v>9407.9</v>
      </c>
      <c r="I108" s="176">
        <v>9498.5</v>
      </c>
      <c r="J108" s="176">
        <v>8477.1</v>
      </c>
      <c r="K108" s="176">
        <v>8506.2000000000007</v>
      </c>
      <c r="L108" s="176">
        <v>8530.6</v>
      </c>
      <c r="M108" s="176">
        <v>8063.8</v>
      </c>
      <c r="N108" s="176">
        <v>9259</v>
      </c>
      <c r="O108" s="176">
        <v>9331.6</v>
      </c>
      <c r="P108" s="176">
        <v>9146.4</v>
      </c>
      <c r="Q108" s="177">
        <v>9300</v>
      </c>
      <c r="R108" s="235"/>
      <c r="S108" s="178">
        <f t="shared" si="18"/>
        <v>108462.79999999999</v>
      </c>
    </row>
    <row r="109" spans="2:19" s="3" customFormat="1" ht="18.75" customHeight="1">
      <c r="B109" s="16" t="s">
        <v>115</v>
      </c>
      <c r="C109" s="216">
        <v>353.96</v>
      </c>
      <c r="D109" s="240">
        <f t="shared" si="19"/>
        <v>324.08401162790693</v>
      </c>
      <c r="E109" s="168" t="s">
        <v>59</v>
      </c>
      <c r="F109" s="175">
        <v>10327.5</v>
      </c>
      <c r="G109" s="176">
        <v>9578.7999999999993</v>
      </c>
      <c r="H109" s="176">
        <v>9079.7000000000007</v>
      </c>
      <c r="I109" s="176">
        <v>9497.1</v>
      </c>
      <c r="J109" s="176">
        <v>8945.4</v>
      </c>
      <c r="K109" s="176">
        <v>8671.5</v>
      </c>
      <c r="L109" s="176">
        <v>8705.9</v>
      </c>
      <c r="M109" s="176">
        <v>8439.2000000000007</v>
      </c>
      <c r="N109" s="176">
        <v>9280.2999999999993</v>
      </c>
      <c r="O109" s="176">
        <v>9623.7000000000007</v>
      </c>
      <c r="P109" s="176">
        <v>9436</v>
      </c>
      <c r="Q109" s="177">
        <v>9899.7999999999884</v>
      </c>
      <c r="R109" s="235"/>
      <c r="S109" s="178">
        <f t="shared" si="18"/>
        <v>111484.9</v>
      </c>
    </row>
    <row r="110" spans="2:19" s="3" customFormat="1" ht="18.75" customHeight="1">
      <c r="B110" s="16" t="s">
        <v>116</v>
      </c>
      <c r="C110" s="216">
        <v>620.26166666664903</v>
      </c>
      <c r="D110" s="240">
        <f t="shared" si="19"/>
        <v>498.20523255813964</v>
      </c>
      <c r="E110" s="168" t="s">
        <v>59</v>
      </c>
      <c r="F110" s="175">
        <v>17477.2</v>
      </c>
      <c r="G110" s="176">
        <v>14592.9</v>
      </c>
      <c r="H110" s="176">
        <v>11919.8</v>
      </c>
      <c r="I110" s="176">
        <v>13763.9</v>
      </c>
      <c r="J110" s="176">
        <v>11563.1</v>
      </c>
      <c r="K110" s="176">
        <v>12248.3</v>
      </c>
      <c r="L110" s="176">
        <v>10988.6</v>
      </c>
      <c r="M110" s="176">
        <v>11445.1</v>
      </c>
      <c r="N110" s="176">
        <v>16488.2</v>
      </c>
      <c r="O110" s="176">
        <v>16836.400000000001</v>
      </c>
      <c r="P110" s="176">
        <v>16531.3</v>
      </c>
      <c r="Q110" s="177">
        <v>17527.800000000047</v>
      </c>
      <c r="R110" s="235"/>
      <c r="S110" s="178">
        <f t="shared" si="18"/>
        <v>171382.60000000003</v>
      </c>
    </row>
    <row r="111" spans="2:19" s="3" customFormat="1" ht="18.75" customHeight="1">
      <c r="B111" s="16" t="s">
        <v>117</v>
      </c>
      <c r="C111" s="216">
        <v>107.746666666667</v>
      </c>
      <c r="D111" s="240">
        <f t="shared" si="19"/>
        <v>92.669186046511626</v>
      </c>
      <c r="E111" s="168" t="s">
        <v>59</v>
      </c>
      <c r="F111" s="175">
        <v>3198.5</v>
      </c>
      <c r="G111" s="176">
        <v>2974.5</v>
      </c>
      <c r="H111" s="176">
        <v>3328.6</v>
      </c>
      <c r="I111" s="176">
        <v>3086.4</v>
      </c>
      <c r="J111" s="176">
        <v>2561.4</v>
      </c>
      <c r="K111" s="176">
        <v>2292.8000000000002</v>
      </c>
      <c r="L111" s="176">
        <v>2154.9</v>
      </c>
      <c r="M111" s="176">
        <v>2244</v>
      </c>
      <c r="N111" s="176">
        <v>2323.3000000000002</v>
      </c>
      <c r="O111" s="176">
        <v>2644.5</v>
      </c>
      <c r="P111" s="176">
        <v>2676</v>
      </c>
      <c r="Q111" s="177">
        <v>2393.2999999999993</v>
      </c>
      <c r="R111" s="235"/>
      <c r="S111" s="178">
        <f t="shared" si="18"/>
        <v>31878.2</v>
      </c>
    </row>
    <row r="112" spans="2:19" s="3" customFormat="1" ht="18.75" customHeight="1">
      <c r="B112" s="16" t="s">
        <v>118</v>
      </c>
      <c r="C112" s="216">
        <v>14.4166666666667</v>
      </c>
      <c r="D112" s="240">
        <f t="shared" si="19"/>
        <v>11.391860465116279</v>
      </c>
      <c r="E112" s="168" t="s">
        <v>59</v>
      </c>
      <c r="F112" s="175">
        <v>436.6</v>
      </c>
      <c r="G112" s="176">
        <v>449.9</v>
      </c>
      <c r="H112" s="176">
        <v>400.2</v>
      </c>
      <c r="I112" s="176">
        <v>346.5</v>
      </c>
      <c r="J112" s="176">
        <v>319.3</v>
      </c>
      <c r="K112" s="176">
        <v>324.60000000000002</v>
      </c>
      <c r="L112" s="176">
        <v>331.1</v>
      </c>
      <c r="M112" s="176">
        <v>78.5</v>
      </c>
      <c r="N112" s="176">
        <v>301.10000000000002</v>
      </c>
      <c r="O112" s="176">
        <v>318.8</v>
      </c>
      <c r="P112" s="176">
        <v>293.3</v>
      </c>
      <c r="Q112" s="177">
        <v>318.89999999999964</v>
      </c>
      <c r="R112" s="235"/>
      <c r="S112" s="178">
        <f t="shared" si="18"/>
        <v>3918.7999999999997</v>
      </c>
    </row>
    <row r="113" spans="2:19" ht="18.75" customHeight="1" thickBot="1">
      <c r="B113" s="20"/>
      <c r="C113" s="21"/>
      <c r="D113" s="21"/>
      <c r="E113" s="202"/>
      <c r="F113" s="203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5"/>
      <c r="R113" s="176"/>
      <c r="S113" s="206"/>
    </row>
    <row r="114" spans="2:19">
      <c r="E114" s="243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</row>
    <row r="115" spans="2:19" s="162" customFormat="1" ht="23.1" customHeight="1">
      <c r="B115" s="260" t="s">
        <v>132</v>
      </c>
      <c r="C115" s="260"/>
      <c r="D115" s="260"/>
      <c r="E115" s="260"/>
      <c r="F115" s="260"/>
      <c r="G115" s="260"/>
      <c r="H115" s="260"/>
      <c r="I115" s="260"/>
      <c r="J115" s="260"/>
      <c r="K115" s="260"/>
      <c r="L115" s="260"/>
      <c r="M115" s="260"/>
      <c r="N115" s="260"/>
      <c r="O115" s="260"/>
      <c r="P115" s="260"/>
      <c r="Q115" s="260"/>
      <c r="R115" s="260"/>
      <c r="S115" s="260"/>
    </row>
    <row r="116" spans="2:19" s="162" customFormat="1" ht="21.95" customHeight="1" thickBot="1">
      <c r="B116" s="1"/>
      <c r="C116" s="1"/>
      <c r="D116" s="1"/>
      <c r="E116" s="1"/>
      <c r="I116" s="1"/>
      <c r="J116" s="1"/>
      <c r="K116" s="1"/>
      <c r="P116" s="1"/>
      <c r="Q116" s="1"/>
      <c r="R116" s="1"/>
      <c r="S116" s="1"/>
    </row>
    <row r="117" spans="2:19" ht="21.95" customHeight="1" thickBot="1">
      <c r="F117" s="257">
        <v>2021</v>
      </c>
      <c r="G117" s="258"/>
      <c r="H117" s="258"/>
      <c r="I117" s="258"/>
      <c r="J117" s="258"/>
      <c r="K117" s="258"/>
      <c r="L117" s="258"/>
      <c r="M117" s="258"/>
      <c r="N117" s="258"/>
      <c r="O117" s="258"/>
      <c r="P117" s="258"/>
      <c r="Q117" s="259"/>
      <c r="S117" s="166" t="s">
        <v>0</v>
      </c>
    </row>
    <row r="118" spans="2:19" ht="21.95" customHeight="1">
      <c r="B118" s="266" t="s">
        <v>72</v>
      </c>
      <c r="C118" s="267"/>
      <c r="D118" s="267"/>
      <c r="E118" s="267"/>
      <c r="F118" s="5">
        <v>31</v>
      </c>
      <c r="G118" s="6">
        <v>18</v>
      </c>
      <c r="H118" s="6">
        <v>31</v>
      </c>
      <c r="I118" s="6">
        <v>30</v>
      </c>
      <c r="J118" s="6">
        <v>31</v>
      </c>
      <c r="K118" s="6">
        <v>30</v>
      </c>
      <c r="L118" s="6">
        <v>31</v>
      </c>
      <c r="M118" s="6">
        <v>31</v>
      </c>
      <c r="N118" s="6">
        <v>30</v>
      </c>
      <c r="O118" s="6">
        <v>31</v>
      </c>
      <c r="P118" s="6">
        <v>30</v>
      </c>
      <c r="Q118" s="65">
        <v>20</v>
      </c>
      <c r="S118" s="272">
        <f>SUM(F118:Q118)</f>
        <v>344</v>
      </c>
    </row>
    <row r="119" spans="2:19" ht="21.95" customHeight="1" thickBot="1">
      <c r="B119" s="269"/>
      <c r="C119" s="270"/>
      <c r="D119" s="270"/>
      <c r="E119" s="270"/>
      <c r="F119" s="10" t="s">
        <v>5</v>
      </c>
      <c r="G119" s="11" t="s">
        <v>6</v>
      </c>
      <c r="H119" s="11" t="s">
        <v>7</v>
      </c>
      <c r="I119" s="11" t="s">
        <v>8</v>
      </c>
      <c r="J119" s="11" t="s">
        <v>9</v>
      </c>
      <c r="K119" s="11" t="s">
        <v>10</v>
      </c>
      <c r="L119" s="11" t="s">
        <v>11</v>
      </c>
      <c r="M119" s="11" t="s">
        <v>12</v>
      </c>
      <c r="N119" s="11" t="s">
        <v>13</v>
      </c>
      <c r="O119" s="11" t="s">
        <v>14</v>
      </c>
      <c r="P119" s="11" t="s">
        <v>15</v>
      </c>
      <c r="Q119" s="66" t="s">
        <v>16</v>
      </c>
      <c r="S119" s="265"/>
    </row>
    <row r="120" spans="2:19" ht="21.95" customHeight="1">
      <c r="B120" s="16" t="s">
        <v>74</v>
      </c>
      <c r="C120" s="17"/>
      <c r="D120" s="105">
        <f>S120/S123*100</f>
        <v>24.144597687148242</v>
      </c>
      <c r="E120" s="168" t="s">
        <v>75</v>
      </c>
      <c r="F120" s="232"/>
      <c r="G120" s="105">
        <v>243</v>
      </c>
      <c r="H120" s="105">
        <v>0</v>
      </c>
      <c r="I120" s="105">
        <v>0</v>
      </c>
      <c r="J120" s="105"/>
      <c r="K120" s="105"/>
      <c r="L120" s="105"/>
      <c r="M120" s="105"/>
      <c r="N120" s="105"/>
      <c r="O120" s="105"/>
      <c r="P120" s="105"/>
      <c r="Q120" s="233">
        <v>264</v>
      </c>
      <c r="R120" s="176"/>
      <c r="S120" s="234">
        <f>SUM(F120:Q120)</f>
        <v>507</v>
      </c>
    </row>
    <row r="121" spans="2:19" ht="21.95" customHeight="1">
      <c r="B121" s="16" t="s">
        <v>76</v>
      </c>
      <c r="C121" s="17"/>
      <c r="D121" s="107">
        <f>S121/S123*100</f>
        <v>1.0452635326235651</v>
      </c>
      <c r="E121" s="168" t="s">
        <v>75</v>
      </c>
      <c r="F121" s="232">
        <v>0</v>
      </c>
      <c r="G121" s="105">
        <v>0</v>
      </c>
      <c r="H121" s="105">
        <v>0</v>
      </c>
      <c r="I121" s="105">
        <v>21.948951807228916</v>
      </c>
      <c r="J121" s="105">
        <v>0</v>
      </c>
      <c r="K121" s="105">
        <v>0</v>
      </c>
      <c r="L121" s="105">
        <v>0</v>
      </c>
      <c r="M121" s="105">
        <v>0</v>
      </c>
      <c r="N121" s="105">
        <v>0</v>
      </c>
      <c r="O121" s="105">
        <v>0</v>
      </c>
      <c r="P121" s="105">
        <v>0</v>
      </c>
      <c r="Q121" s="233">
        <v>0</v>
      </c>
      <c r="R121" s="176"/>
      <c r="S121" s="234">
        <f>SUM(F121:Q121)</f>
        <v>21.948951807228916</v>
      </c>
    </row>
    <row r="122" spans="2:19" ht="21.95" customHeight="1">
      <c r="B122" s="16" t="s">
        <v>77</v>
      </c>
      <c r="C122" s="17"/>
      <c r="D122" s="107">
        <f>S122/S123*100</f>
        <v>74.810138780228186</v>
      </c>
      <c r="E122" s="168" t="s">
        <v>75</v>
      </c>
      <c r="F122" s="232">
        <v>223.09</v>
      </c>
      <c r="G122" s="105">
        <v>66.08</v>
      </c>
      <c r="H122" s="105">
        <v>139.44825301204821</v>
      </c>
      <c r="I122" s="105">
        <v>149.63707228915663</v>
      </c>
      <c r="J122" s="105">
        <v>165.17413253012052</v>
      </c>
      <c r="K122" s="105">
        <v>123.60314457831326</v>
      </c>
      <c r="L122" s="105">
        <v>160.61281927710846</v>
      </c>
      <c r="M122" s="105">
        <v>93.973674698795179</v>
      </c>
      <c r="N122" s="105">
        <v>109.54709638554216</v>
      </c>
      <c r="O122" s="105">
        <v>92.771638554216906</v>
      </c>
      <c r="P122" s="105">
        <v>123.6890722891566</v>
      </c>
      <c r="Q122" s="233">
        <v>123.27275903614458</v>
      </c>
      <c r="R122" s="176"/>
      <c r="S122" s="234">
        <f>SUM(F122:Q122)</f>
        <v>1570.8996626506025</v>
      </c>
    </row>
    <row r="123" spans="2:19" s="4" customFormat="1" ht="21.95" customHeight="1" thickBot="1">
      <c r="B123" s="254" t="s">
        <v>78</v>
      </c>
      <c r="C123" s="255"/>
      <c r="D123" s="108">
        <f>SUM(D120:D122)</f>
        <v>100</v>
      </c>
      <c r="E123" s="109" t="s">
        <v>75</v>
      </c>
      <c r="F123" s="244">
        <f t="shared" ref="F123:Q123" si="20">SUM(F120:F122)</f>
        <v>223.09</v>
      </c>
      <c r="G123" s="245">
        <f t="shared" si="20"/>
        <v>309.08</v>
      </c>
      <c r="H123" s="245">
        <f t="shared" si="20"/>
        <v>139.44825301204821</v>
      </c>
      <c r="I123" s="245">
        <f t="shared" si="20"/>
        <v>171.58602409638556</v>
      </c>
      <c r="J123" s="245">
        <f t="shared" si="20"/>
        <v>165.17413253012052</v>
      </c>
      <c r="K123" s="245">
        <f t="shared" si="20"/>
        <v>123.60314457831326</v>
      </c>
      <c r="L123" s="245">
        <f t="shared" si="20"/>
        <v>160.61281927710846</v>
      </c>
      <c r="M123" s="245">
        <f t="shared" si="20"/>
        <v>93.973674698795179</v>
      </c>
      <c r="N123" s="245">
        <f t="shared" si="20"/>
        <v>109.54709638554216</v>
      </c>
      <c r="O123" s="245">
        <f t="shared" si="20"/>
        <v>92.771638554216906</v>
      </c>
      <c r="P123" s="245">
        <f t="shared" si="20"/>
        <v>123.6890722891566</v>
      </c>
      <c r="Q123" s="246">
        <f t="shared" si="20"/>
        <v>387.27275903614458</v>
      </c>
      <c r="R123" s="170"/>
      <c r="S123" s="247">
        <f>SUM(F123:Q123)</f>
        <v>2099.8486144578314</v>
      </c>
    </row>
    <row r="124" spans="2:19" s="162" customFormat="1" ht="21.95" customHeight="1">
      <c r="B124" s="1"/>
      <c r="C124" s="1"/>
      <c r="D124" s="1"/>
      <c r="E124" s="1"/>
      <c r="I124" s="1"/>
      <c r="J124" s="1"/>
      <c r="K124" s="1"/>
      <c r="P124" s="1"/>
      <c r="Q124" s="1"/>
      <c r="R124" s="1"/>
      <c r="S124" s="1"/>
    </row>
    <row r="125" spans="2:19" s="162" customFormat="1" ht="21.95" customHeight="1" thickBot="1">
      <c r="B125" s="1"/>
      <c r="C125" s="1"/>
      <c r="D125" s="1"/>
      <c r="E125" s="1"/>
      <c r="I125" s="1"/>
      <c r="J125" s="1"/>
      <c r="K125" s="1"/>
      <c r="P125" s="1"/>
      <c r="Q125" s="1"/>
      <c r="R125" s="1"/>
      <c r="S125" s="1"/>
    </row>
    <row r="126" spans="2:19" ht="21.95" customHeight="1" thickBot="1">
      <c r="B126" s="100" t="s">
        <v>79</v>
      </c>
      <c r="C126" s="100"/>
      <c r="F126" s="257">
        <v>2021</v>
      </c>
      <c r="G126" s="258"/>
      <c r="H126" s="258"/>
      <c r="I126" s="258"/>
      <c r="J126" s="258"/>
      <c r="K126" s="258"/>
      <c r="L126" s="258"/>
      <c r="M126" s="258"/>
      <c r="N126" s="258"/>
      <c r="O126" s="258"/>
      <c r="P126" s="258"/>
      <c r="Q126" s="259"/>
      <c r="S126" s="166" t="s">
        <v>0</v>
      </c>
    </row>
    <row r="127" spans="2:19" ht="21.95" customHeight="1">
      <c r="B127" s="266" t="s">
        <v>80</v>
      </c>
      <c r="C127" s="267"/>
      <c r="D127" s="267"/>
      <c r="E127" s="267"/>
      <c r="F127" s="5">
        <v>31</v>
      </c>
      <c r="G127" s="6">
        <v>18</v>
      </c>
      <c r="H127" s="6">
        <v>31</v>
      </c>
      <c r="I127" s="6">
        <v>30</v>
      </c>
      <c r="J127" s="6">
        <v>31</v>
      </c>
      <c r="K127" s="6">
        <v>30</v>
      </c>
      <c r="L127" s="6">
        <v>31</v>
      </c>
      <c r="M127" s="6">
        <v>31</v>
      </c>
      <c r="N127" s="6">
        <v>30</v>
      </c>
      <c r="O127" s="6">
        <v>31</v>
      </c>
      <c r="P127" s="6">
        <v>30</v>
      </c>
      <c r="Q127" s="65">
        <v>20</v>
      </c>
      <c r="S127" s="272">
        <f t="shared" ref="S127:S135" si="21">SUM(F127:Q127)</f>
        <v>344</v>
      </c>
    </row>
    <row r="128" spans="2:19" ht="21.95" customHeight="1" thickBot="1">
      <c r="B128" s="269"/>
      <c r="C128" s="270"/>
      <c r="D128" s="270"/>
      <c r="E128" s="270"/>
      <c r="F128" s="10" t="s">
        <v>5</v>
      </c>
      <c r="G128" s="11" t="s">
        <v>6</v>
      </c>
      <c r="H128" s="11" t="s">
        <v>7</v>
      </c>
      <c r="I128" s="11" t="s">
        <v>8</v>
      </c>
      <c r="J128" s="11" t="s">
        <v>9</v>
      </c>
      <c r="K128" s="11" t="s">
        <v>10</v>
      </c>
      <c r="L128" s="11" t="s">
        <v>11</v>
      </c>
      <c r="M128" s="11" t="s">
        <v>12</v>
      </c>
      <c r="N128" s="11" t="s">
        <v>13</v>
      </c>
      <c r="O128" s="11" t="s">
        <v>14</v>
      </c>
      <c r="P128" s="11" t="s">
        <v>15</v>
      </c>
      <c r="Q128" s="66" t="s">
        <v>16</v>
      </c>
      <c r="S128" s="265"/>
    </row>
    <row r="129" spans="2:19" ht="21.95" customHeight="1">
      <c r="B129" s="16" t="s">
        <v>81</v>
      </c>
      <c r="C129" s="17"/>
      <c r="D129" s="163">
        <f>S129/S135*100</f>
        <v>0</v>
      </c>
      <c r="E129" s="168" t="s">
        <v>75</v>
      </c>
      <c r="F129" s="232">
        <v>0</v>
      </c>
      <c r="G129" s="105">
        <v>0</v>
      </c>
      <c r="H129" s="105">
        <v>0</v>
      </c>
      <c r="I129" s="105">
        <v>0</v>
      </c>
      <c r="J129" s="105">
        <v>0</v>
      </c>
      <c r="K129" s="105">
        <v>0</v>
      </c>
      <c r="L129" s="105">
        <v>0</v>
      </c>
      <c r="M129" s="105">
        <v>0</v>
      </c>
      <c r="N129" s="105">
        <v>0</v>
      </c>
      <c r="O129" s="105">
        <v>0</v>
      </c>
      <c r="P129" s="105">
        <v>0</v>
      </c>
      <c r="Q129" s="233">
        <v>0</v>
      </c>
      <c r="R129" s="176"/>
      <c r="S129" s="234">
        <f t="shared" si="21"/>
        <v>0</v>
      </c>
    </row>
    <row r="130" spans="2:19" ht="21.95" customHeight="1">
      <c r="B130" s="16" t="s">
        <v>82</v>
      </c>
      <c r="C130" s="17"/>
      <c r="D130" s="107">
        <f>S130/S135*100</f>
        <v>24.144597687148242</v>
      </c>
      <c r="E130" s="168" t="s">
        <v>75</v>
      </c>
      <c r="F130" s="232">
        <v>0</v>
      </c>
      <c r="G130" s="105">
        <f>G120</f>
        <v>243</v>
      </c>
      <c r="H130" s="105">
        <v>0</v>
      </c>
      <c r="I130" s="105">
        <v>0</v>
      </c>
      <c r="J130" s="105">
        <v>0</v>
      </c>
      <c r="K130" s="105">
        <v>0</v>
      </c>
      <c r="L130" s="105">
        <v>0</v>
      </c>
      <c r="M130" s="105">
        <v>0</v>
      </c>
      <c r="N130" s="105">
        <v>0</v>
      </c>
      <c r="O130" s="105">
        <v>0</v>
      </c>
      <c r="P130" s="105">
        <v>0</v>
      </c>
      <c r="Q130" s="233">
        <f>Q120</f>
        <v>264</v>
      </c>
      <c r="R130" s="176"/>
      <c r="S130" s="234">
        <f t="shared" si="21"/>
        <v>507</v>
      </c>
    </row>
    <row r="131" spans="2:19" ht="21.95" customHeight="1">
      <c r="B131" s="16" t="s">
        <v>129</v>
      </c>
      <c r="C131" s="17"/>
      <c r="D131" s="107">
        <f>S131/S135*100</f>
        <v>1.0452635326235651</v>
      </c>
      <c r="E131" s="168" t="s">
        <v>75</v>
      </c>
      <c r="F131" s="232">
        <v>0</v>
      </c>
      <c r="G131" s="105">
        <v>0</v>
      </c>
      <c r="H131" s="105">
        <v>0</v>
      </c>
      <c r="I131" s="105">
        <f>I121</f>
        <v>21.948951807228916</v>
      </c>
      <c r="J131" s="105">
        <v>0</v>
      </c>
      <c r="K131" s="105">
        <v>0</v>
      </c>
      <c r="L131" s="105">
        <v>0</v>
      </c>
      <c r="M131" s="105">
        <v>0</v>
      </c>
      <c r="N131" s="105">
        <v>0</v>
      </c>
      <c r="O131" s="105">
        <v>0</v>
      </c>
      <c r="P131" s="105">
        <v>0</v>
      </c>
      <c r="Q131" s="233">
        <v>0</v>
      </c>
      <c r="R131" s="176"/>
      <c r="S131" s="234">
        <f t="shared" si="21"/>
        <v>21.948951807228916</v>
      </c>
    </row>
    <row r="132" spans="2:19" ht="21.95" customHeight="1">
      <c r="B132" s="16" t="s">
        <v>130</v>
      </c>
      <c r="C132" s="17"/>
      <c r="D132" s="163">
        <f>S132/S135*100</f>
        <v>0</v>
      </c>
      <c r="E132" s="168" t="s">
        <v>75</v>
      </c>
      <c r="F132" s="232">
        <v>0</v>
      </c>
      <c r="G132" s="105"/>
      <c r="H132" s="105">
        <v>0</v>
      </c>
      <c r="I132" s="105">
        <v>0</v>
      </c>
      <c r="J132" s="105">
        <v>0</v>
      </c>
      <c r="K132" s="105">
        <v>0</v>
      </c>
      <c r="L132" s="105">
        <v>0</v>
      </c>
      <c r="M132" s="105">
        <v>0</v>
      </c>
      <c r="N132" s="105">
        <v>0</v>
      </c>
      <c r="O132" s="105">
        <v>0</v>
      </c>
      <c r="P132" s="105">
        <v>0</v>
      </c>
      <c r="Q132" s="233">
        <v>0</v>
      </c>
      <c r="R132" s="176"/>
      <c r="S132" s="234">
        <f t="shared" si="21"/>
        <v>0</v>
      </c>
    </row>
    <row r="133" spans="2:19" ht="21.95" customHeight="1">
      <c r="B133" s="16" t="s">
        <v>131</v>
      </c>
      <c r="C133" s="17"/>
      <c r="D133" s="107">
        <f>S133/S135*100</f>
        <v>3.7469166954003312</v>
      </c>
      <c r="E133" s="168" t="s">
        <v>75</v>
      </c>
      <c r="F133" s="232">
        <v>0</v>
      </c>
      <c r="G133" s="105">
        <v>33.42</v>
      </c>
      <c r="H133" s="105">
        <v>45.259578313253016</v>
      </c>
      <c r="I133" s="105">
        <v>0</v>
      </c>
      <c r="J133" s="105">
        <v>0</v>
      </c>
      <c r="K133" s="105">
        <v>0</v>
      </c>
      <c r="L133" s="105">
        <v>0</v>
      </c>
      <c r="M133" s="105">
        <v>0</v>
      </c>
      <c r="N133" s="105">
        <v>0</v>
      </c>
      <c r="O133" s="105"/>
      <c r="P133" s="105">
        <v>0</v>
      </c>
      <c r="Q133" s="233">
        <v>0</v>
      </c>
      <c r="R133" s="176"/>
      <c r="S133" s="234">
        <f t="shared" si="21"/>
        <v>78.679578313253018</v>
      </c>
    </row>
    <row r="134" spans="2:19" ht="21.95" customHeight="1">
      <c r="B134" s="16" t="s">
        <v>86</v>
      </c>
      <c r="C134" s="17"/>
      <c r="D134" s="107">
        <f>S134/S135*100</f>
        <v>71.063222084827842</v>
      </c>
      <c r="E134" s="168" t="s">
        <v>75</v>
      </c>
      <c r="F134" s="232">
        <f>F122</f>
        <v>223.09</v>
      </c>
      <c r="G134" s="105">
        <v>32.659999999999997</v>
      </c>
      <c r="H134" s="105">
        <v>94.188674698795182</v>
      </c>
      <c r="I134" s="105">
        <f>I122</f>
        <v>149.63707228915663</v>
      </c>
      <c r="J134" s="105">
        <v>165.17413253012052</v>
      </c>
      <c r="K134" s="105">
        <v>123.60314457831326</v>
      </c>
      <c r="L134" s="105">
        <v>160.61281927710846</v>
      </c>
      <c r="M134" s="105">
        <v>93.973674698795179</v>
      </c>
      <c r="N134" s="105">
        <f>N122</f>
        <v>109.54709638554216</v>
      </c>
      <c r="O134" s="105">
        <f>O122</f>
        <v>92.771638554216906</v>
      </c>
      <c r="P134" s="105">
        <f>P122</f>
        <v>123.6890722891566</v>
      </c>
      <c r="Q134" s="233">
        <f>Q122</f>
        <v>123.27275903614458</v>
      </c>
      <c r="R134" s="176"/>
      <c r="S134" s="234">
        <f t="shared" si="21"/>
        <v>1492.2200843373494</v>
      </c>
    </row>
    <row r="135" spans="2:19" s="4" customFormat="1" ht="21.95" customHeight="1" thickBot="1">
      <c r="B135" s="254" t="s">
        <v>87</v>
      </c>
      <c r="C135" s="255"/>
      <c r="D135" s="108">
        <f>SUM(D129:D134)</f>
        <v>99.999999999999972</v>
      </c>
      <c r="E135" s="109" t="s">
        <v>75</v>
      </c>
      <c r="F135" s="244">
        <f t="shared" ref="F135:Q135" si="22">SUM(F129:F134)</f>
        <v>223.09</v>
      </c>
      <c r="G135" s="245">
        <f t="shared" si="22"/>
        <v>309.08000000000004</v>
      </c>
      <c r="H135" s="245">
        <f t="shared" si="22"/>
        <v>139.44825301204821</v>
      </c>
      <c r="I135" s="245">
        <f t="shared" si="22"/>
        <v>171.58602409638556</v>
      </c>
      <c r="J135" s="245">
        <f t="shared" si="22"/>
        <v>165.17413253012052</v>
      </c>
      <c r="K135" s="245">
        <f t="shared" si="22"/>
        <v>123.60314457831326</v>
      </c>
      <c r="L135" s="245">
        <f t="shared" si="22"/>
        <v>160.61281927710846</v>
      </c>
      <c r="M135" s="245">
        <f t="shared" si="22"/>
        <v>93.973674698795179</v>
      </c>
      <c r="N135" s="245">
        <f t="shared" si="22"/>
        <v>109.54709638554216</v>
      </c>
      <c r="O135" s="245">
        <f t="shared" si="22"/>
        <v>92.771638554216906</v>
      </c>
      <c r="P135" s="245">
        <f t="shared" si="22"/>
        <v>123.6890722891566</v>
      </c>
      <c r="Q135" s="246">
        <f t="shared" si="22"/>
        <v>387.27275903614458</v>
      </c>
      <c r="R135" s="170"/>
      <c r="S135" s="247">
        <f t="shared" si="21"/>
        <v>2099.8486144578314</v>
      </c>
    </row>
    <row r="136" spans="2:19" s="162" customFormat="1" ht="15.75">
      <c r="F136" s="68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S136" s="1"/>
    </row>
    <row r="137" spans="2:19" s="162" customFormat="1" ht="15.75">
      <c r="F137" s="68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S137" s="1"/>
    </row>
    <row r="138" spans="2:19" ht="18" customHeight="1">
      <c r="I138" s="124"/>
    </row>
    <row r="139" spans="2:19" ht="18" customHeight="1">
      <c r="I139" s="125"/>
    </row>
    <row r="140" spans="2:19" ht="18" customHeight="1">
      <c r="B140" s="279" t="s">
        <v>120</v>
      </c>
      <c r="C140" s="279"/>
      <c r="D140" s="279"/>
      <c r="E140" s="279"/>
      <c r="H140" s="279" t="s">
        <v>123</v>
      </c>
      <c r="I140" s="279"/>
      <c r="J140" s="279"/>
      <c r="K140" s="279"/>
      <c r="O140" s="279" t="s">
        <v>126</v>
      </c>
      <c r="P140" s="279"/>
      <c r="Q140" s="279"/>
      <c r="R140" s="279"/>
    </row>
    <row r="141" spans="2:19" ht="18" customHeight="1"/>
    <row r="142" spans="2:19" ht="18" customHeight="1"/>
    <row r="143" spans="2:19" ht="18" customHeight="1"/>
    <row r="144" spans="2:19" ht="18" customHeight="1"/>
    <row r="145" spans="2:18" ht="18" customHeight="1">
      <c r="B145" s="280" t="s">
        <v>121</v>
      </c>
      <c r="C145" s="260"/>
      <c r="D145" s="260"/>
      <c r="E145" s="260"/>
      <c r="H145" s="280" t="s">
        <v>124</v>
      </c>
      <c r="I145" s="280"/>
      <c r="J145" s="280"/>
      <c r="K145" s="280"/>
      <c r="O145" s="280" t="s">
        <v>127</v>
      </c>
      <c r="P145" s="280"/>
      <c r="Q145" s="280"/>
      <c r="R145" s="280"/>
    </row>
    <row r="146" spans="2:18" ht="18" customHeight="1">
      <c r="B146" s="279" t="s">
        <v>122</v>
      </c>
      <c r="C146" s="279"/>
      <c r="D146" s="279"/>
      <c r="E146" s="279"/>
      <c r="H146" s="279" t="s">
        <v>125</v>
      </c>
      <c r="I146" s="279"/>
      <c r="J146" s="279"/>
      <c r="K146" s="279"/>
      <c r="O146" s="279" t="s">
        <v>128</v>
      </c>
      <c r="P146" s="279"/>
      <c r="Q146" s="279"/>
      <c r="R146" s="279"/>
    </row>
    <row r="147" spans="2:18" ht="18" customHeight="1"/>
    <row r="148" spans="2:18" ht="18" customHeight="1"/>
    <row r="149" spans="2:18" ht="18" customHeight="1"/>
    <row r="150" spans="2:18" ht="18" customHeight="1"/>
    <row r="151" spans="2:18" ht="18" customHeight="1"/>
    <row r="152" spans="2:18" ht="18" customHeight="1"/>
  </sheetData>
  <mergeCells count="30">
    <mergeCell ref="B146:E146"/>
    <mergeCell ref="H146:K146"/>
    <mergeCell ref="O146:R146"/>
    <mergeCell ref="B127:E128"/>
    <mergeCell ref="S127:S128"/>
    <mergeCell ref="B140:E140"/>
    <mergeCell ref="H140:K140"/>
    <mergeCell ref="O140:R140"/>
    <mergeCell ref="B145:E145"/>
    <mergeCell ref="H145:K145"/>
    <mergeCell ref="O145:R145"/>
    <mergeCell ref="F126:Q126"/>
    <mergeCell ref="B66:E67"/>
    <mergeCell ref="S66:S67"/>
    <mergeCell ref="B86:E86"/>
    <mergeCell ref="B115:S115"/>
    <mergeCell ref="F117:Q117"/>
    <mergeCell ref="B118:E119"/>
    <mergeCell ref="S118:S119"/>
    <mergeCell ref="F36:Q36"/>
    <mergeCell ref="F65:Q65"/>
    <mergeCell ref="B2:S2"/>
    <mergeCell ref="F5:Q5"/>
    <mergeCell ref="B6:E6"/>
    <mergeCell ref="S6:S7"/>
    <mergeCell ref="B37:E38"/>
    <mergeCell ref="F51:Q51"/>
    <mergeCell ref="B52:E53"/>
    <mergeCell ref="S52:S53"/>
    <mergeCell ref="B63:S63"/>
  </mergeCells>
  <printOptions horizontalCentered="1"/>
  <pageMargins left="0" right="0" top="0.39370078740157483" bottom="0" header="0" footer="0"/>
  <pageSetup paperSize="9" scale="5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C143"/>
  <sheetViews>
    <sheetView showGridLines="0" zoomScale="80" zoomScaleNormal="80" workbookViewId="0">
      <selection activeCell="V17" sqref="V17"/>
    </sheetView>
  </sheetViews>
  <sheetFormatPr defaultColWidth="12.5703125" defaultRowHeight="15"/>
  <cols>
    <col min="1" max="1" width="13.5703125" style="1" customWidth="1"/>
    <col min="2" max="2" width="27.42578125" style="1" customWidth="1"/>
    <col min="3" max="3" width="10.7109375" style="1" customWidth="1"/>
    <col min="4" max="4" width="14.140625" style="1" customWidth="1"/>
    <col min="5" max="5" width="14.5703125" style="1" bestFit="1" customWidth="1"/>
    <col min="6" max="17" width="15.5703125" style="1" customWidth="1"/>
    <col min="18" max="18" width="2.42578125" style="1" customWidth="1"/>
    <col min="19" max="19" width="17" style="1" customWidth="1"/>
    <col min="20" max="20" width="13.5703125" style="1" customWidth="1"/>
    <col min="21" max="21" width="12.85546875" style="1"/>
    <col min="22" max="25" width="12.5703125" style="1"/>
    <col min="26" max="26" width="19.42578125" style="1" customWidth="1"/>
    <col min="27" max="27" width="15.5703125" style="1" customWidth="1"/>
    <col min="28" max="16384" width="12.5703125" style="1"/>
  </cols>
  <sheetData>
    <row r="1" spans="2:29" ht="12.95" customHeight="1"/>
    <row r="2" spans="2:29" ht="24.95" customHeight="1">
      <c r="B2" s="286" t="s">
        <v>94</v>
      </c>
      <c r="C2" s="287"/>
      <c r="D2" s="287"/>
      <c r="E2" s="287"/>
      <c r="F2" s="287"/>
      <c r="G2" s="287"/>
      <c r="H2" s="287"/>
      <c r="I2" s="287"/>
      <c r="J2" s="287"/>
      <c r="K2" s="287"/>
      <c r="L2" s="287"/>
      <c r="M2" s="287"/>
      <c r="N2" s="287"/>
      <c r="O2" s="287"/>
      <c r="P2" s="287"/>
      <c r="Q2" s="287"/>
      <c r="R2" s="287"/>
      <c r="S2" s="287"/>
    </row>
    <row r="3" spans="2:29">
      <c r="M3" s="62"/>
      <c r="T3" s="62"/>
    </row>
    <row r="4" spans="2:29" customFormat="1" ht="15.75" thickBot="1">
      <c r="B4" s="1"/>
      <c r="C4" s="1"/>
      <c r="F4" s="1"/>
      <c r="G4" s="1"/>
      <c r="H4" s="1"/>
      <c r="I4" s="1"/>
      <c r="J4" s="1"/>
      <c r="K4" s="1"/>
      <c r="L4" s="1"/>
      <c r="M4" s="62"/>
      <c r="N4" s="1"/>
      <c r="O4" s="1"/>
      <c r="P4" s="1"/>
      <c r="Q4" s="1"/>
      <c r="S4" s="1"/>
      <c r="T4" s="63"/>
    </row>
    <row r="5" spans="2:29" ht="18" customHeight="1" thickBot="1">
      <c r="B5" s="3" t="s">
        <v>93</v>
      </c>
      <c r="C5" s="3"/>
      <c r="F5" s="281">
        <v>2021</v>
      </c>
      <c r="G5" s="282"/>
      <c r="H5" s="282"/>
      <c r="I5" s="282"/>
      <c r="J5" s="282"/>
      <c r="K5" s="282"/>
      <c r="L5" s="282"/>
      <c r="M5" s="282"/>
      <c r="N5" s="282"/>
      <c r="O5" s="282"/>
      <c r="P5" s="282"/>
      <c r="Q5" s="283"/>
      <c r="S5" s="64" t="s">
        <v>0</v>
      </c>
    </row>
    <row r="6" spans="2:29" ht="18" customHeight="1">
      <c r="B6" s="266" t="s">
        <v>1</v>
      </c>
      <c r="C6" s="267"/>
      <c r="D6" s="267"/>
      <c r="E6" s="267"/>
      <c r="F6" s="5">
        <v>31</v>
      </c>
      <c r="G6" s="6">
        <v>18</v>
      </c>
      <c r="H6" s="6">
        <v>31</v>
      </c>
      <c r="I6" s="6">
        <v>30</v>
      </c>
      <c r="J6" s="6">
        <v>31</v>
      </c>
      <c r="K6" s="6">
        <v>30</v>
      </c>
      <c r="L6" s="6">
        <v>31</v>
      </c>
      <c r="M6" s="6">
        <v>31</v>
      </c>
      <c r="N6" s="6">
        <v>30</v>
      </c>
      <c r="O6" s="6">
        <v>31</v>
      </c>
      <c r="P6" s="6">
        <v>30</v>
      </c>
      <c r="Q6" s="65">
        <v>20</v>
      </c>
      <c r="S6" s="288">
        <f>SUM(F6:Q6)</f>
        <v>344</v>
      </c>
    </row>
    <row r="7" spans="2:29" ht="18" customHeight="1" thickBot="1">
      <c r="B7" s="7" t="s">
        <v>2</v>
      </c>
      <c r="C7" s="8"/>
      <c r="D7" s="9" t="s">
        <v>3</v>
      </c>
      <c r="E7" s="9" t="s">
        <v>4</v>
      </c>
      <c r="F7" s="10" t="s">
        <v>5</v>
      </c>
      <c r="G7" s="11" t="s">
        <v>6</v>
      </c>
      <c r="H7" s="11" t="s">
        <v>7</v>
      </c>
      <c r="I7" s="11" t="s">
        <v>8</v>
      </c>
      <c r="J7" s="11" t="s">
        <v>9</v>
      </c>
      <c r="K7" s="11" t="s">
        <v>10</v>
      </c>
      <c r="L7" s="11" t="s">
        <v>11</v>
      </c>
      <c r="M7" s="11" t="s">
        <v>12</v>
      </c>
      <c r="N7" s="11" t="s">
        <v>13</v>
      </c>
      <c r="O7" s="11" t="s">
        <v>14</v>
      </c>
      <c r="P7" s="11" t="s">
        <v>15</v>
      </c>
      <c r="Q7" s="66" t="s">
        <v>16</v>
      </c>
      <c r="S7" s="289"/>
    </row>
    <row r="8" spans="2:29" s="43" customFormat="1" ht="18" customHeight="1">
      <c r="B8" s="40" t="s">
        <v>17</v>
      </c>
      <c r="C8" s="59"/>
      <c r="D8" s="127">
        <v>1</v>
      </c>
      <c r="E8" s="55">
        <v>1</v>
      </c>
      <c r="F8" s="141">
        <f t="shared" ref="F8:Q8" si="0">SUM(F9:F10)</f>
        <v>43483127</v>
      </c>
      <c r="G8" s="142">
        <f t="shared" si="0"/>
        <v>29035670.000000004</v>
      </c>
      <c r="H8" s="142">
        <f t="shared" si="0"/>
        <v>51822527</v>
      </c>
      <c r="I8" s="142">
        <f t="shared" si="0"/>
        <v>45758360</v>
      </c>
      <c r="J8" s="142">
        <f t="shared" si="0"/>
        <v>48290547</v>
      </c>
      <c r="K8" s="142">
        <f t="shared" si="0"/>
        <v>49740939</v>
      </c>
      <c r="L8" s="142">
        <f t="shared" si="0"/>
        <v>48669136</v>
      </c>
      <c r="M8" s="142">
        <f t="shared" si="0"/>
        <v>54214019</v>
      </c>
      <c r="N8" s="142">
        <f t="shared" si="0"/>
        <v>50949554</v>
      </c>
      <c r="O8" s="142">
        <f t="shared" si="0"/>
        <v>54292828</v>
      </c>
      <c r="P8" s="142">
        <f t="shared" si="0"/>
        <v>49733807</v>
      </c>
      <c r="Q8" s="143">
        <f t="shared" si="0"/>
        <v>29768361</v>
      </c>
      <c r="S8" s="144">
        <f>SUM(F8:Q8)</f>
        <v>555758875</v>
      </c>
      <c r="W8" s="139"/>
      <c r="X8" s="139"/>
      <c r="Y8" s="139"/>
      <c r="Z8" s="139"/>
      <c r="AA8" s="139"/>
    </row>
    <row r="9" spans="2:29" s="43" customFormat="1" ht="18" customHeight="1">
      <c r="B9" s="126" t="s">
        <v>18</v>
      </c>
      <c r="C9" s="53"/>
      <c r="D9" s="129"/>
      <c r="E9" s="55"/>
      <c r="F9" s="44">
        <v>41605447</v>
      </c>
      <c r="G9" s="45">
        <v>28905898.332379598</v>
      </c>
      <c r="H9" s="45">
        <v>51487425</v>
      </c>
      <c r="I9" s="45">
        <v>45758360</v>
      </c>
      <c r="J9" s="45">
        <v>48290547</v>
      </c>
      <c r="K9" s="45">
        <v>49740939</v>
      </c>
      <c r="L9" s="45">
        <v>48669136</v>
      </c>
      <c r="M9" s="45">
        <v>54214019</v>
      </c>
      <c r="N9" s="45">
        <v>50949554</v>
      </c>
      <c r="O9" s="45">
        <v>54292828</v>
      </c>
      <c r="P9" s="45">
        <v>49733807</v>
      </c>
      <c r="Q9" s="80">
        <v>29768361</v>
      </c>
      <c r="S9" s="113">
        <f t="shared" ref="S9:S16" si="1">SUM(F9:Q9)</f>
        <v>553416321.33237958</v>
      </c>
      <c r="W9" s="139"/>
      <c r="X9" s="139"/>
      <c r="Y9" s="139"/>
      <c r="Z9" s="139"/>
      <c r="AA9" s="139"/>
    </row>
    <row r="10" spans="2:29" s="43" customFormat="1" ht="18" customHeight="1">
      <c r="B10" s="128" t="s">
        <v>19</v>
      </c>
      <c r="C10" s="129"/>
      <c r="D10" s="129"/>
      <c r="E10" s="55"/>
      <c r="F10" s="44">
        <v>1877680</v>
      </c>
      <c r="G10" s="45">
        <v>129771.667620407</v>
      </c>
      <c r="H10" s="45">
        <v>335102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5">
        <v>0</v>
      </c>
      <c r="O10" s="45">
        <v>0</v>
      </c>
      <c r="P10" s="45">
        <v>0</v>
      </c>
      <c r="Q10" s="80">
        <v>0</v>
      </c>
      <c r="S10" s="113">
        <f t="shared" si="1"/>
        <v>2342553.667620407</v>
      </c>
      <c r="W10" s="139"/>
      <c r="X10" s="139"/>
      <c r="Y10" s="139"/>
      <c r="Z10" s="139"/>
      <c r="AA10" s="139"/>
    </row>
    <row r="11" spans="2:29" s="43" customFormat="1" ht="18" customHeight="1">
      <c r="B11" s="40" t="s">
        <v>20</v>
      </c>
      <c r="C11" s="59"/>
      <c r="D11" s="47"/>
      <c r="E11" s="55"/>
      <c r="F11" s="44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80"/>
      <c r="R11" s="45"/>
      <c r="S11" s="130"/>
      <c r="W11" s="139"/>
      <c r="X11" s="139"/>
      <c r="Y11" s="139"/>
      <c r="Z11" s="139"/>
      <c r="AA11" s="139"/>
    </row>
    <row r="12" spans="2:29" s="43" customFormat="1" ht="18" customHeight="1">
      <c r="B12" s="126" t="s">
        <v>21</v>
      </c>
      <c r="C12" s="53"/>
      <c r="D12" s="127">
        <v>0.94199999999999995</v>
      </c>
      <c r="E12" s="55">
        <f>S12/S8</f>
        <v>0.94832594413464133</v>
      </c>
      <c r="F12" s="44">
        <v>40858999.994947702</v>
      </c>
      <c r="G12" s="45">
        <v>27410300</v>
      </c>
      <c r="H12" s="45">
        <v>49037210</v>
      </c>
      <c r="I12" s="45">
        <v>43431900</v>
      </c>
      <c r="J12" s="45">
        <v>45808499.850633398</v>
      </c>
      <c r="K12" s="45">
        <v>47176200</v>
      </c>
      <c r="L12" s="45">
        <v>46057600</v>
      </c>
      <c r="M12" s="45">
        <v>51529300</v>
      </c>
      <c r="N12" s="45">
        <v>48364700</v>
      </c>
      <c r="O12" s="45">
        <v>51703800</v>
      </c>
      <c r="P12" s="45">
        <v>47408400</v>
      </c>
      <c r="Q12" s="80">
        <v>28253650</v>
      </c>
      <c r="R12" s="45"/>
      <c r="S12" s="113">
        <f t="shared" si="1"/>
        <v>527040559.84558111</v>
      </c>
      <c r="W12" s="139"/>
      <c r="X12" s="139"/>
      <c r="Y12" s="139"/>
      <c r="Z12" s="139"/>
      <c r="AA12" s="139"/>
    </row>
    <row r="13" spans="2:29" s="43" customFormat="1" ht="18" customHeight="1">
      <c r="B13" s="145" t="s">
        <v>22</v>
      </c>
      <c r="C13" s="146"/>
      <c r="D13" s="147"/>
      <c r="E13" s="148"/>
      <c r="F13" s="149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1"/>
      <c r="R13" s="45"/>
      <c r="S13" s="152"/>
      <c r="W13" s="139"/>
      <c r="X13" s="139"/>
      <c r="Y13" s="139"/>
      <c r="Z13" s="139"/>
      <c r="AA13" s="139"/>
    </row>
    <row r="14" spans="2:29" s="43" customFormat="1" ht="18" customHeight="1">
      <c r="B14" s="126" t="s">
        <v>23</v>
      </c>
      <c r="C14" s="53"/>
      <c r="D14" s="53"/>
      <c r="E14" s="55"/>
      <c r="F14" s="44">
        <v>33037203.652552199</v>
      </c>
      <c r="G14" s="45">
        <v>23726090.731833</v>
      </c>
      <c r="H14" s="45">
        <v>42518062</v>
      </c>
      <c r="I14" s="45">
        <v>38051967.642094798</v>
      </c>
      <c r="J14" s="45">
        <v>31497783.937805999</v>
      </c>
      <c r="K14" s="45">
        <v>40664074</v>
      </c>
      <c r="L14" s="45">
        <v>40068635</v>
      </c>
      <c r="M14" s="45">
        <v>45890756</v>
      </c>
      <c r="N14" s="45">
        <v>41535010</v>
      </c>
      <c r="O14" s="45">
        <v>33791704</v>
      </c>
      <c r="P14" s="45">
        <v>40370895</v>
      </c>
      <c r="Q14" s="80">
        <v>12603528</v>
      </c>
      <c r="R14" s="45"/>
      <c r="S14" s="113">
        <f t="shared" si="1"/>
        <v>423755709.96428597</v>
      </c>
      <c r="W14" s="290"/>
      <c r="X14" s="290"/>
      <c r="Y14" s="290"/>
      <c r="Z14" s="140"/>
      <c r="AA14" s="139"/>
      <c r="AB14" s="153"/>
      <c r="AC14" s="153"/>
    </row>
    <row r="15" spans="2:29" s="43" customFormat="1" ht="18" customHeight="1">
      <c r="B15" s="160" t="s">
        <v>97</v>
      </c>
      <c r="C15" s="53"/>
      <c r="D15" s="53"/>
      <c r="E15" s="55"/>
      <c r="F15" s="44">
        <v>0</v>
      </c>
      <c r="G15" s="45">
        <v>0</v>
      </c>
      <c r="H15" s="45">
        <v>0</v>
      </c>
      <c r="I15" s="45">
        <v>1147027</v>
      </c>
      <c r="J15" s="45">
        <v>447318</v>
      </c>
      <c r="K15" s="45">
        <v>304053</v>
      </c>
      <c r="L15" s="45">
        <v>0</v>
      </c>
      <c r="M15" s="45">
        <v>0</v>
      </c>
      <c r="N15" s="45">
        <v>0</v>
      </c>
      <c r="O15" s="45">
        <v>0</v>
      </c>
      <c r="P15" s="45">
        <v>401708</v>
      </c>
      <c r="Q15" s="80">
        <v>0</v>
      </c>
      <c r="R15" s="45"/>
      <c r="S15" s="113">
        <f>SUM(F15:Q15)</f>
        <v>2300106</v>
      </c>
      <c r="W15" s="139"/>
      <c r="X15" s="139"/>
      <c r="Y15" s="139"/>
      <c r="Z15" s="139"/>
      <c r="AA15" s="139"/>
    </row>
    <row r="16" spans="2:29" s="43" customFormat="1" ht="18" customHeight="1">
      <c r="B16" s="126" t="s">
        <v>24</v>
      </c>
      <c r="C16" s="53"/>
      <c r="D16" s="53"/>
      <c r="E16" s="55"/>
      <c r="F16" s="44">
        <v>2141997</v>
      </c>
      <c r="G16" s="45">
        <v>2919390.2681669798</v>
      </c>
      <c r="H16" s="45">
        <v>893827</v>
      </c>
      <c r="I16" s="45">
        <v>2402731</v>
      </c>
      <c r="J16" s="45">
        <v>2392300</v>
      </c>
      <c r="K16" s="45">
        <v>2533950</v>
      </c>
      <c r="L16" s="45">
        <v>2676500</v>
      </c>
      <c r="M16" s="45">
        <v>3856608</v>
      </c>
      <c r="N16" s="45">
        <v>4999578</v>
      </c>
      <c r="O16" s="45">
        <v>6622748</v>
      </c>
      <c r="P16" s="45">
        <v>5691181</v>
      </c>
      <c r="Q16" s="80">
        <v>5097302</v>
      </c>
      <c r="R16" s="45"/>
      <c r="S16" s="113">
        <f t="shared" si="1"/>
        <v>42228112.268166982</v>
      </c>
      <c r="W16" s="139"/>
      <c r="X16" s="139"/>
      <c r="Y16" s="139"/>
      <c r="Z16" s="139"/>
      <c r="AA16" s="139"/>
    </row>
    <row r="17" spans="2:27" s="43" customFormat="1" ht="18" customHeight="1">
      <c r="B17" s="40" t="s">
        <v>25</v>
      </c>
      <c r="C17" s="59"/>
      <c r="D17" s="47"/>
      <c r="E17" s="55"/>
      <c r="F17" s="44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80"/>
      <c r="R17" s="45"/>
      <c r="S17" s="130"/>
      <c r="W17" s="139"/>
      <c r="X17" s="139"/>
      <c r="Y17" s="139"/>
      <c r="Z17" s="139"/>
      <c r="AA17" s="139"/>
    </row>
    <row r="18" spans="2:27" s="43" customFormat="1" ht="18" customHeight="1">
      <c r="B18" s="160" t="s">
        <v>23</v>
      </c>
      <c r="C18" s="53"/>
      <c r="D18" s="127">
        <v>0.82</v>
      </c>
      <c r="E18" s="55">
        <f>S18/S14</f>
        <v>0.82663634047525048</v>
      </c>
      <c r="F18" s="44">
        <v>27617725.652552199</v>
      </c>
      <c r="G18" s="45">
        <v>19562210</v>
      </c>
      <c r="H18" s="45">
        <v>35211166</v>
      </c>
      <c r="I18" s="45">
        <v>31293782.7141422</v>
      </c>
      <c r="J18" s="45">
        <v>25924820.973674599</v>
      </c>
      <c r="K18" s="45">
        <v>33552679</v>
      </c>
      <c r="L18" s="45">
        <v>33026742</v>
      </c>
      <c r="M18" s="45">
        <v>37906528</v>
      </c>
      <c r="N18" s="45">
        <v>34164148</v>
      </c>
      <c r="O18" s="45">
        <v>28141510</v>
      </c>
      <c r="P18" s="45">
        <v>33412705</v>
      </c>
      <c r="Q18" s="80">
        <v>10477852</v>
      </c>
      <c r="R18" s="45"/>
      <c r="S18" s="113">
        <f>SUM(F18:Q18)</f>
        <v>350291869.34036899</v>
      </c>
    </row>
    <row r="19" spans="2:27" s="43" customFormat="1" ht="18" customHeight="1">
      <c r="B19" s="160" t="s">
        <v>97</v>
      </c>
      <c r="C19" s="129"/>
      <c r="D19" s="127">
        <v>0.7</v>
      </c>
      <c r="E19" s="55">
        <f>S19/S15</f>
        <v>0.68230029398645109</v>
      </c>
      <c r="F19" s="44">
        <v>0</v>
      </c>
      <c r="G19" s="45">
        <v>0</v>
      </c>
      <c r="H19" s="45">
        <v>0</v>
      </c>
      <c r="I19" s="45">
        <v>757337</v>
      </c>
      <c r="J19" s="45">
        <v>313318</v>
      </c>
      <c r="K19" s="45">
        <v>214100</v>
      </c>
      <c r="L19" s="45">
        <v>0</v>
      </c>
      <c r="M19" s="45">
        <v>0</v>
      </c>
      <c r="N19" s="45">
        <v>0</v>
      </c>
      <c r="O19" s="45">
        <v>0</v>
      </c>
      <c r="P19" s="45">
        <v>284608</v>
      </c>
      <c r="Q19" s="80">
        <v>0</v>
      </c>
      <c r="R19" s="45"/>
      <c r="S19" s="113">
        <f>SUM(F19:Q19)</f>
        <v>1569363</v>
      </c>
    </row>
    <row r="20" spans="2:27" s="43" customFormat="1" ht="18" customHeight="1">
      <c r="B20" s="160" t="s">
        <v>24</v>
      </c>
      <c r="C20" s="129"/>
      <c r="D20" s="127">
        <v>0.57999999999999996</v>
      </c>
      <c r="E20" s="55">
        <f>S20/S16</f>
        <v>0.60025392181946746</v>
      </c>
      <c r="F20" s="44">
        <v>1315197</v>
      </c>
      <c r="G20" s="45">
        <v>1713716</v>
      </c>
      <c r="H20" s="45">
        <v>541907</v>
      </c>
      <c r="I20" s="45">
        <v>1415750</v>
      </c>
      <c r="J20" s="45">
        <v>1406500</v>
      </c>
      <c r="K20" s="45">
        <v>1497650</v>
      </c>
      <c r="L20" s="45">
        <v>1596700</v>
      </c>
      <c r="M20" s="45">
        <v>2323178</v>
      </c>
      <c r="N20" s="45">
        <v>3028055</v>
      </c>
      <c r="O20" s="45">
        <v>4013817</v>
      </c>
      <c r="P20" s="45">
        <v>3418702</v>
      </c>
      <c r="Q20" s="80">
        <v>3076418</v>
      </c>
      <c r="R20" s="45"/>
      <c r="S20" s="113">
        <f>SUM(F20:Q20)</f>
        <v>25347590</v>
      </c>
    </row>
    <row r="21" spans="2:27" s="43" customFormat="1" ht="18" customHeight="1">
      <c r="B21" s="40" t="s">
        <v>26</v>
      </c>
      <c r="C21" s="59"/>
      <c r="D21" s="127"/>
      <c r="E21" s="55"/>
      <c r="F21" s="44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80"/>
      <c r="R21" s="45"/>
      <c r="S21" s="130"/>
    </row>
    <row r="22" spans="2:27" s="43" customFormat="1" ht="18" customHeight="1">
      <c r="B22" s="160" t="s">
        <v>27</v>
      </c>
      <c r="C22" s="129"/>
      <c r="D22" s="127">
        <v>0.18</v>
      </c>
      <c r="E22" s="131">
        <f>S22/S14</f>
        <v>0.1733636603173398</v>
      </c>
      <c r="F22" s="44">
        <v>5419478</v>
      </c>
      <c r="G22" s="45">
        <v>4163880.7815023302</v>
      </c>
      <c r="H22" s="45">
        <v>7306896.2861952903</v>
      </c>
      <c r="I22" s="45">
        <v>6758184.9279526602</v>
      </c>
      <c r="J22" s="45">
        <v>5572962.9641313497</v>
      </c>
      <c r="K22" s="45">
        <v>7111395</v>
      </c>
      <c r="L22" s="45">
        <v>7041893</v>
      </c>
      <c r="M22" s="45">
        <v>7984228</v>
      </c>
      <c r="N22" s="45">
        <v>7370862</v>
      </c>
      <c r="O22" s="45">
        <v>5650194</v>
      </c>
      <c r="P22" s="45">
        <v>6958190</v>
      </c>
      <c r="Q22" s="80">
        <v>2125676</v>
      </c>
      <c r="R22" s="45"/>
      <c r="S22" s="113">
        <f>SUM(F22:Q22)</f>
        <v>73463840.959781632</v>
      </c>
    </row>
    <row r="23" spans="2:27" s="43" customFormat="1" ht="18" customHeight="1">
      <c r="B23" s="160" t="s">
        <v>27</v>
      </c>
      <c r="C23" s="129"/>
      <c r="D23" s="127">
        <v>0.3</v>
      </c>
      <c r="E23" s="131">
        <f>S23/S15</f>
        <v>0.31769970601354897</v>
      </c>
      <c r="F23" s="44">
        <v>0</v>
      </c>
      <c r="G23" s="45">
        <v>0</v>
      </c>
      <c r="H23" s="45">
        <v>0</v>
      </c>
      <c r="I23" s="45">
        <v>389690</v>
      </c>
      <c r="J23" s="45">
        <v>134000</v>
      </c>
      <c r="K23" s="45">
        <v>89953</v>
      </c>
      <c r="L23" s="45">
        <v>0</v>
      </c>
      <c r="M23" s="45">
        <v>0</v>
      </c>
      <c r="N23" s="45">
        <v>0</v>
      </c>
      <c r="O23" s="45">
        <v>0</v>
      </c>
      <c r="P23" s="45">
        <v>117100</v>
      </c>
      <c r="Q23" s="80">
        <v>0</v>
      </c>
      <c r="R23" s="45"/>
      <c r="S23" s="113">
        <f>SUM(F23:Q23)</f>
        <v>730743</v>
      </c>
    </row>
    <row r="24" spans="2:27" s="43" customFormat="1" ht="18" customHeight="1">
      <c r="B24" s="161" t="s">
        <v>28</v>
      </c>
      <c r="C24" s="132"/>
      <c r="D24" s="133">
        <v>0.42</v>
      </c>
      <c r="E24" s="134">
        <f>S24/S16</f>
        <v>0.39974607022695424</v>
      </c>
      <c r="F24" s="135">
        <v>826800</v>
      </c>
      <c r="G24" s="136">
        <v>1205674.21849767</v>
      </c>
      <c r="H24" s="136">
        <v>351919.71380471397</v>
      </c>
      <c r="I24" s="136">
        <v>986981</v>
      </c>
      <c r="J24" s="136">
        <v>985800</v>
      </c>
      <c r="K24" s="136">
        <v>1036300</v>
      </c>
      <c r="L24" s="136">
        <v>1079800</v>
      </c>
      <c r="M24" s="136">
        <v>1533430</v>
      </c>
      <c r="N24" s="136">
        <v>1971523</v>
      </c>
      <c r="O24" s="136">
        <v>2608931</v>
      </c>
      <c r="P24" s="136">
        <v>2272479</v>
      </c>
      <c r="Q24" s="137">
        <v>2020884</v>
      </c>
      <c r="R24" s="45"/>
      <c r="S24" s="138">
        <f>SUM(F24:Q24)</f>
        <v>16880521.932302386</v>
      </c>
    </row>
    <row r="25" spans="2:27" s="43" customFormat="1" ht="18" customHeight="1">
      <c r="B25" s="52" t="s">
        <v>29</v>
      </c>
      <c r="C25" s="53"/>
      <c r="D25" s="127">
        <v>0.05</v>
      </c>
      <c r="E25" s="55">
        <f>S25/S8</f>
        <v>4.552773691088946E-2</v>
      </c>
      <c r="F25" s="44">
        <v>2348498</v>
      </c>
      <c r="G25" s="45">
        <v>1441531</v>
      </c>
      <c r="H25" s="45">
        <v>2474690</v>
      </c>
      <c r="I25" s="45">
        <v>2052131.6299210701</v>
      </c>
      <c r="J25" s="45">
        <v>2192312.9025233798</v>
      </c>
      <c r="K25" s="45">
        <v>2266547</v>
      </c>
      <c r="L25" s="45">
        <v>2315505</v>
      </c>
      <c r="M25" s="45">
        <v>2355876.31444745</v>
      </c>
      <c r="N25" s="45">
        <v>2275098</v>
      </c>
      <c r="O25" s="45">
        <v>2257011</v>
      </c>
      <c r="P25" s="45">
        <v>2022104</v>
      </c>
      <c r="Q25" s="80">
        <v>1301139</v>
      </c>
      <c r="R25" s="45"/>
      <c r="S25" s="113">
        <f>SUM(F25:Q25)</f>
        <v>25302443.846891902</v>
      </c>
    </row>
    <row r="26" spans="2:27" s="43" customFormat="1" ht="18" customHeight="1" thickBot="1">
      <c r="B26" s="92" t="s">
        <v>30</v>
      </c>
      <c r="C26" s="32"/>
      <c r="D26" s="154">
        <v>8.0000000000000002E-3</v>
      </c>
      <c r="E26" s="93">
        <f>S26/S8</f>
        <v>6.1463189544692419E-3</v>
      </c>
      <c r="F26" s="94">
        <f t="shared" ref="F26:Q26" si="2">F8-SUM(F12,F25)</f>
        <v>275629.00505229831</v>
      </c>
      <c r="G26" s="95">
        <f t="shared" si="2"/>
        <v>183839.00000000373</v>
      </c>
      <c r="H26" s="95">
        <f t="shared" si="2"/>
        <v>310627</v>
      </c>
      <c r="I26" s="95">
        <f t="shared" si="2"/>
        <v>274328.37007892877</v>
      </c>
      <c r="J26" s="95">
        <f t="shared" si="2"/>
        <v>289734.2468432188</v>
      </c>
      <c r="K26" s="95">
        <f t="shared" si="2"/>
        <v>298192</v>
      </c>
      <c r="L26" s="95">
        <f t="shared" si="2"/>
        <v>296031</v>
      </c>
      <c r="M26" s="95">
        <f t="shared" si="2"/>
        <v>328842.68555255234</v>
      </c>
      <c r="N26" s="95">
        <f t="shared" si="2"/>
        <v>309756</v>
      </c>
      <c r="O26" s="95">
        <f t="shared" si="2"/>
        <v>332017</v>
      </c>
      <c r="P26" s="95">
        <f t="shared" si="2"/>
        <v>303303</v>
      </c>
      <c r="Q26" s="116">
        <f t="shared" si="2"/>
        <v>213572</v>
      </c>
      <c r="R26" s="45"/>
      <c r="S26" s="155">
        <f>SUM(F26:Q26)</f>
        <v>3415871.3075270019</v>
      </c>
    </row>
    <row r="28" spans="2:27" ht="15.75" thickBot="1"/>
    <row r="29" spans="2:27" ht="16.5" thickBot="1">
      <c r="F29" s="281">
        <f>F5</f>
        <v>2021</v>
      </c>
      <c r="G29" s="282"/>
      <c r="H29" s="282"/>
      <c r="I29" s="282"/>
      <c r="J29" s="282"/>
      <c r="K29" s="282"/>
      <c r="L29" s="282"/>
      <c r="M29" s="282"/>
      <c r="N29" s="282"/>
      <c r="O29" s="282"/>
      <c r="P29" s="282"/>
      <c r="Q29" s="283"/>
      <c r="S29" s="73" t="s">
        <v>0</v>
      </c>
    </row>
    <row r="30" spans="2:27" ht="15.75">
      <c r="B30" s="266" t="s">
        <v>31</v>
      </c>
      <c r="C30" s="267"/>
      <c r="D30" s="267"/>
      <c r="E30" s="267"/>
      <c r="F30" s="5">
        <v>20</v>
      </c>
      <c r="G30" s="6">
        <v>29</v>
      </c>
      <c r="H30" s="6">
        <v>31</v>
      </c>
      <c r="I30" s="6">
        <v>29</v>
      </c>
      <c r="J30" s="6">
        <v>22</v>
      </c>
      <c r="K30" s="6">
        <v>30</v>
      </c>
      <c r="L30" s="6">
        <v>23</v>
      </c>
      <c r="M30" s="6">
        <v>17</v>
      </c>
      <c r="N30" s="6">
        <v>22</v>
      </c>
      <c r="O30" s="6">
        <v>13</v>
      </c>
      <c r="P30" s="6">
        <v>17</v>
      </c>
      <c r="Q30" s="65">
        <v>31</v>
      </c>
      <c r="S30" s="74">
        <f>SUM(F30:Q30)</f>
        <v>284</v>
      </c>
    </row>
    <row r="31" spans="2:27" ht="16.5" thickBot="1">
      <c r="B31" s="269"/>
      <c r="C31" s="270"/>
      <c r="D31" s="270"/>
      <c r="E31" s="270"/>
      <c r="F31" s="10" t="s">
        <v>5</v>
      </c>
      <c r="G31" s="11" t="s">
        <v>6</v>
      </c>
      <c r="H31" s="11" t="s">
        <v>7</v>
      </c>
      <c r="I31" s="11" t="s">
        <v>8</v>
      </c>
      <c r="J31" s="11" t="s">
        <v>9</v>
      </c>
      <c r="K31" s="11" t="s">
        <v>10</v>
      </c>
      <c r="L31" s="11" t="s">
        <v>11</v>
      </c>
      <c r="M31" s="11" t="s">
        <v>12</v>
      </c>
      <c r="N31" s="11" t="s">
        <v>13</v>
      </c>
      <c r="O31" s="11" t="s">
        <v>14</v>
      </c>
      <c r="P31" s="11" t="s">
        <v>15</v>
      </c>
      <c r="Q31" s="66" t="s">
        <v>16</v>
      </c>
      <c r="S31" s="75"/>
    </row>
    <row r="32" spans="2:27" ht="15.75">
      <c r="B32" s="12" t="s">
        <v>32</v>
      </c>
      <c r="C32" s="27" t="s">
        <v>3</v>
      </c>
      <c r="D32" s="27" t="s">
        <v>4</v>
      </c>
      <c r="E32" s="14"/>
      <c r="F32" s="18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69"/>
      <c r="S32" s="67"/>
    </row>
    <row r="33" spans="2:19">
      <c r="B33" s="156" t="s">
        <v>95</v>
      </c>
      <c r="C33" s="28">
        <v>8</v>
      </c>
      <c r="D33" s="29"/>
      <c r="E33" s="14" t="s">
        <v>33</v>
      </c>
      <c r="F33" s="18">
        <v>462920</v>
      </c>
      <c r="G33" s="19">
        <v>273537</v>
      </c>
      <c r="H33" s="19">
        <v>580177</v>
      </c>
      <c r="I33" s="19">
        <v>428406</v>
      </c>
      <c r="J33" s="19">
        <v>490057</v>
      </c>
      <c r="K33" s="19">
        <v>536488</v>
      </c>
      <c r="L33" s="19">
        <v>497144</v>
      </c>
      <c r="M33" s="19">
        <v>387640</v>
      </c>
      <c r="N33" s="19">
        <v>326941</v>
      </c>
      <c r="O33" s="19">
        <v>294249</v>
      </c>
      <c r="P33" s="19">
        <v>299055</v>
      </c>
      <c r="Q33" s="69">
        <v>173727</v>
      </c>
      <c r="S33" s="70">
        <f>SUM(F33:Q33)</f>
        <v>4750341</v>
      </c>
    </row>
    <row r="34" spans="2:19">
      <c r="B34" s="156"/>
      <c r="C34" s="28"/>
      <c r="D34" s="29"/>
      <c r="E34" s="14"/>
      <c r="F34" s="18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69"/>
      <c r="S34" s="70"/>
    </row>
    <row r="35" spans="2:19">
      <c r="B35" s="30"/>
      <c r="C35" s="28"/>
      <c r="D35" s="17"/>
      <c r="E35" s="14"/>
      <c r="F35" s="18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69"/>
      <c r="R35" s="19"/>
      <c r="S35" s="70"/>
    </row>
    <row r="36" spans="2:19">
      <c r="B36" s="156" t="s">
        <v>96</v>
      </c>
      <c r="C36" s="28">
        <v>18</v>
      </c>
      <c r="D36" s="29">
        <f>S36/S8</f>
        <v>1.4355074401645857E-3</v>
      </c>
      <c r="E36" s="14" t="s">
        <v>33</v>
      </c>
      <c r="F36" s="18">
        <v>38633</v>
      </c>
      <c r="G36" s="19">
        <v>58638</v>
      </c>
      <c r="H36" s="19">
        <v>18075</v>
      </c>
      <c r="I36" s="19">
        <v>46762</v>
      </c>
      <c r="J36" s="19">
        <v>52543</v>
      </c>
      <c r="K36" s="19">
        <v>53751</v>
      </c>
      <c r="L36" s="19">
        <v>49870</v>
      </c>
      <c r="M36" s="19">
        <v>68202</v>
      </c>
      <c r="N36" s="19">
        <v>88692</v>
      </c>
      <c r="O36" s="19">
        <v>111307</v>
      </c>
      <c r="P36" s="19">
        <v>110351</v>
      </c>
      <c r="Q36" s="69">
        <v>100972</v>
      </c>
      <c r="S36" s="70">
        <f>SUM(F36:Q36)</f>
        <v>797796</v>
      </c>
    </row>
    <row r="37" spans="2:19">
      <c r="B37" s="156"/>
      <c r="C37" s="28"/>
      <c r="D37" s="29"/>
      <c r="E37" s="14"/>
      <c r="F37" s="18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69"/>
      <c r="S37" s="70"/>
    </row>
    <row r="38" spans="2:19">
      <c r="B38" s="30"/>
      <c r="C38" s="28"/>
      <c r="D38" s="17"/>
      <c r="E38" s="14"/>
      <c r="F38" s="18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69"/>
      <c r="R38" s="19"/>
      <c r="S38" s="70"/>
    </row>
    <row r="39" spans="2:19" ht="15.75">
      <c r="B39" s="12" t="s">
        <v>34</v>
      </c>
      <c r="C39" s="17">
        <v>0.55000000000000004</v>
      </c>
      <c r="D39" s="31">
        <f>S39/S8</f>
        <v>5.2988942371815471E-4</v>
      </c>
      <c r="E39" s="14" t="s">
        <v>33</v>
      </c>
      <c r="F39" s="18">
        <v>23110.1</v>
      </c>
      <c r="G39" s="19">
        <v>16837.400000000001</v>
      </c>
      <c r="H39" s="19">
        <v>29578</v>
      </c>
      <c r="I39" s="19">
        <v>25392.3</v>
      </c>
      <c r="J39" s="19">
        <v>26283.9</v>
      </c>
      <c r="K39" s="19">
        <v>26343.3</v>
      </c>
      <c r="L39" s="19">
        <v>26424.82</v>
      </c>
      <c r="M39" s="19">
        <v>27578.799999999999</v>
      </c>
      <c r="N39" s="19">
        <v>26254.9</v>
      </c>
      <c r="O39" s="19">
        <v>27600.799999999999</v>
      </c>
      <c r="P39" s="19">
        <v>24730.530000000002</v>
      </c>
      <c r="Q39" s="69">
        <v>14355.899999999998</v>
      </c>
      <c r="R39" s="19"/>
      <c r="S39" s="70">
        <f>SUM(F39:Q39)</f>
        <v>294490.75</v>
      </c>
    </row>
    <row r="40" spans="2:19" ht="15.75">
      <c r="B40" s="12"/>
      <c r="C40" s="17"/>
      <c r="D40" s="31"/>
      <c r="E40" s="14"/>
      <c r="F40" s="18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69"/>
      <c r="R40" s="19"/>
      <c r="S40" s="70"/>
    </row>
    <row r="41" spans="2:19" ht="15.75" thickBot="1">
      <c r="B41" s="20"/>
      <c r="C41" s="21"/>
      <c r="D41" s="32"/>
      <c r="E41" s="22"/>
      <c r="F41" s="23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71"/>
      <c r="R41" s="19"/>
      <c r="S41" s="72"/>
    </row>
    <row r="43" spans="2:19" customFormat="1" ht="15.75" thickBot="1"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S43" s="1"/>
    </row>
    <row r="44" spans="2:19" ht="16.5" thickBot="1">
      <c r="F44" s="281">
        <f>F5</f>
        <v>2021</v>
      </c>
      <c r="G44" s="282"/>
      <c r="H44" s="282"/>
      <c r="I44" s="282"/>
      <c r="J44" s="282"/>
      <c r="K44" s="282"/>
      <c r="L44" s="282"/>
      <c r="M44" s="282"/>
      <c r="N44" s="282"/>
      <c r="O44" s="282"/>
      <c r="P44" s="282"/>
      <c r="Q44" s="283"/>
      <c r="S44" s="64" t="s">
        <v>0</v>
      </c>
    </row>
    <row r="45" spans="2:19">
      <c r="B45" s="266" t="s">
        <v>35</v>
      </c>
      <c r="C45" s="267"/>
      <c r="D45" s="267"/>
      <c r="E45" s="267"/>
      <c r="F45" s="33">
        <v>20</v>
      </c>
      <c r="G45" s="34">
        <v>29</v>
      </c>
      <c r="H45" s="34">
        <v>31</v>
      </c>
      <c r="I45" s="34">
        <v>29</v>
      </c>
      <c r="J45" s="34">
        <v>22</v>
      </c>
      <c r="K45" s="34">
        <v>30</v>
      </c>
      <c r="L45" s="34">
        <v>23</v>
      </c>
      <c r="M45" s="34">
        <v>17</v>
      </c>
      <c r="N45" s="34">
        <v>22</v>
      </c>
      <c r="O45" s="34">
        <v>13</v>
      </c>
      <c r="P45" s="34">
        <v>17</v>
      </c>
      <c r="Q45" s="76">
        <v>31</v>
      </c>
      <c r="S45" s="291">
        <f>SUM(F45:Q45)</f>
        <v>284</v>
      </c>
    </row>
    <row r="46" spans="2:19" ht="15.75" thickBot="1">
      <c r="B46" s="269"/>
      <c r="C46" s="270"/>
      <c r="D46" s="270"/>
      <c r="E46" s="270"/>
      <c r="F46" s="10" t="s">
        <v>5</v>
      </c>
      <c r="G46" s="11" t="s">
        <v>6</v>
      </c>
      <c r="H46" s="11" t="s">
        <v>7</v>
      </c>
      <c r="I46" s="11" t="s">
        <v>8</v>
      </c>
      <c r="J46" s="11" t="s">
        <v>9</v>
      </c>
      <c r="K46" s="11" t="s">
        <v>10</v>
      </c>
      <c r="L46" s="11" t="s">
        <v>11</v>
      </c>
      <c r="M46" s="11" t="s">
        <v>12</v>
      </c>
      <c r="N46" s="11" t="s">
        <v>13</v>
      </c>
      <c r="O46" s="11" t="s">
        <v>14</v>
      </c>
      <c r="P46" s="11" t="s">
        <v>15</v>
      </c>
      <c r="Q46" s="66" t="s">
        <v>16</v>
      </c>
      <c r="S46" s="289"/>
    </row>
    <row r="47" spans="2:19" ht="15.75">
      <c r="B47" s="35"/>
      <c r="C47" s="27" t="s">
        <v>3</v>
      </c>
      <c r="D47" s="27" t="s">
        <v>4</v>
      </c>
      <c r="E47" s="36"/>
      <c r="F47" s="37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77"/>
      <c r="S47" s="78"/>
    </row>
    <row r="48" spans="2:19">
      <c r="B48" s="16" t="s">
        <v>36</v>
      </c>
      <c r="C48" s="39">
        <v>0.22</v>
      </c>
      <c r="D48" s="39" t="e">
        <f>S48</f>
        <v>#DIV/0!</v>
      </c>
      <c r="E48" s="14" t="s">
        <v>37</v>
      </c>
      <c r="F48" s="157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9"/>
      <c r="R48" s="19"/>
      <c r="S48" s="79" t="e">
        <f>AVERAGE(F48:Q48)</f>
        <v>#DIV/0!</v>
      </c>
    </row>
    <row r="49" spans="2:19">
      <c r="B49" s="16"/>
      <c r="C49" s="17"/>
      <c r="D49" s="39"/>
      <c r="E49" s="14"/>
      <c r="F49" s="18">
        <f t="shared" ref="F49:Q49" si="3">F36+(F48*F36)</f>
        <v>38633</v>
      </c>
      <c r="G49" s="19">
        <f t="shared" si="3"/>
        <v>58638</v>
      </c>
      <c r="H49" s="19">
        <f t="shared" si="3"/>
        <v>18075</v>
      </c>
      <c r="I49" s="19">
        <f t="shared" si="3"/>
        <v>46762</v>
      </c>
      <c r="J49" s="19">
        <f t="shared" si="3"/>
        <v>52543</v>
      </c>
      <c r="K49" s="19">
        <f t="shared" si="3"/>
        <v>53751</v>
      </c>
      <c r="L49" s="19">
        <f t="shared" si="3"/>
        <v>49870</v>
      </c>
      <c r="M49" s="19">
        <f t="shared" si="3"/>
        <v>68202</v>
      </c>
      <c r="N49" s="19">
        <f t="shared" si="3"/>
        <v>88692</v>
      </c>
      <c r="O49" s="19">
        <f t="shared" si="3"/>
        <v>111307</v>
      </c>
      <c r="P49" s="19">
        <f t="shared" si="3"/>
        <v>110351</v>
      </c>
      <c r="Q49" s="69">
        <f t="shared" si="3"/>
        <v>100972</v>
      </c>
      <c r="R49" s="19"/>
      <c r="S49" s="70">
        <f>SUM(F49:Q49)</f>
        <v>797796</v>
      </c>
    </row>
    <row r="50" spans="2:19">
      <c r="B50" s="16"/>
      <c r="C50" s="17"/>
      <c r="D50" s="17"/>
      <c r="E50" s="14"/>
      <c r="F50" s="18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69"/>
      <c r="R50" s="19"/>
      <c r="S50" s="70"/>
    </row>
    <row r="51" spans="2:19">
      <c r="B51" s="16" t="s">
        <v>38</v>
      </c>
      <c r="C51" s="17"/>
      <c r="D51" s="39">
        <f>S51/S101</f>
        <v>0</v>
      </c>
      <c r="E51" s="14" t="s">
        <v>39</v>
      </c>
      <c r="F51" s="18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69"/>
      <c r="R51" s="19"/>
      <c r="S51" s="70">
        <f>SUM(F51:Q51)</f>
        <v>0</v>
      </c>
    </row>
    <row r="52" spans="2:19" ht="15.75" thickBot="1">
      <c r="B52" s="20"/>
      <c r="C52" s="21"/>
      <c r="D52" s="32"/>
      <c r="E52" s="22"/>
      <c r="F52" s="23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71"/>
      <c r="R52" s="19"/>
      <c r="S52" s="72"/>
    </row>
    <row r="53" spans="2:19" s="2" customFormat="1" ht="15.75"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S53" s="1"/>
    </row>
    <row r="56" spans="2:19" s="2" customFormat="1" ht="24.95" customHeight="1">
      <c r="B56" s="287" t="s">
        <v>40</v>
      </c>
      <c r="C56" s="287"/>
      <c r="D56" s="287"/>
      <c r="E56" s="287"/>
      <c r="F56" s="287"/>
      <c r="G56" s="287"/>
      <c r="H56" s="287"/>
      <c r="I56" s="287"/>
      <c r="J56" s="287"/>
      <c r="K56" s="287"/>
      <c r="L56" s="287"/>
      <c r="M56" s="287"/>
      <c r="N56" s="287"/>
      <c r="O56" s="287"/>
      <c r="P56" s="287"/>
      <c r="Q56" s="287"/>
      <c r="R56" s="287"/>
      <c r="S56" s="287"/>
    </row>
    <row r="57" spans="2:19" s="2" customFormat="1" ht="16.5" thickBot="1"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S57" s="1"/>
    </row>
    <row r="58" spans="2:19" ht="18.95" customHeight="1" thickBot="1">
      <c r="F58" s="281">
        <v>2020</v>
      </c>
      <c r="G58" s="282"/>
      <c r="H58" s="282"/>
      <c r="I58" s="282"/>
      <c r="J58" s="282"/>
      <c r="K58" s="282"/>
      <c r="L58" s="282"/>
      <c r="M58" s="282"/>
      <c r="N58" s="282"/>
      <c r="O58" s="282"/>
      <c r="P58" s="282"/>
      <c r="Q58" s="283"/>
      <c r="S58" s="64" t="s">
        <v>0</v>
      </c>
    </row>
    <row r="59" spans="2:19" ht="18.95" customHeight="1">
      <c r="B59" s="273" t="s">
        <v>41</v>
      </c>
      <c r="C59" s="274"/>
      <c r="D59" s="274"/>
      <c r="E59" s="274"/>
      <c r="F59" s="33">
        <v>20</v>
      </c>
      <c r="G59" s="34">
        <v>29</v>
      </c>
      <c r="H59" s="34">
        <v>31</v>
      </c>
      <c r="I59" s="34">
        <v>29</v>
      </c>
      <c r="J59" s="34">
        <v>22</v>
      </c>
      <c r="K59" s="34">
        <v>30</v>
      </c>
      <c r="L59" s="34">
        <v>23</v>
      </c>
      <c r="M59" s="34">
        <v>17</v>
      </c>
      <c r="N59" s="34">
        <v>22</v>
      </c>
      <c r="O59" s="34">
        <v>13</v>
      </c>
      <c r="P59" s="34">
        <v>17</v>
      </c>
      <c r="Q59" s="76">
        <v>31</v>
      </c>
      <c r="S59" s="291">
        <f>SUM(F59:Q59)</f>
        <v>284</v>
      </c>
    </row>
    <row r="60" spans="2:19" ht="18.95" customHeight="1" thickBot="1">
      <c r="B60" s="275"/>
      <c r="C60" s="276"/>
      <c r="D60" s="276"/>
      <c r="E60" s="276"/>
      <c r="F60" s="10" t="s">
        <v>5</v>
      </c>
      <c r="G60" s="11" t="s">
        <v>6</v>
      </c>
      <c r="H60" s="11" t="s">
        <v>7</v>
      </c>
      <c r="I60" s="11" t="s">
        <v>8</v>
      </c>
      <c r="J60" s="11" t="s">
        <v>9</v>
      </c>
      <c r="K60" s="11" t="s">
        <v>10</v>
      </c>
      <c r="L60" s="11" t="s">
        <v>11</v>
      </c>
      <c r="M60" s="11" t="s">
        <v>12</v>
      </c>
      <c r="N60" s="11" t="s">
        <v>13</v>
      </c>
      <c r="O60" s="11" t="s">
        <v>14</v>
      </c>
      <c r="P60" s="11" t="s">
        <v>15</v>
      </c>
      <c r="Q60" s="66" t="s">
        <v>16</v>
      </c>
      <c r="S60" s="289"/>
    </row>
    <row r="61" spans="2:19" ht="18.95" customHeight="1">
      <c r="B61" s="40" t="s">
        <v>42</v>
      </c>
      <c r="C61" s="41"/>
      <c r="D61" s="42" t="s">
        <v>4</v>
      </c>
      <c r="E61" s="43"/>
      <c r="F61" s="44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80"/>
      <c r="S61" s="67"/>
    </row>
    <row r="62" spans="2:19" ht="18.95" customHeight="1">
      <c r="B62" s="46" t="s">
        <v>43</v>
      </c>
      <c r="C62" s="47"/>
      <c r="D62" s="48">
        <f>S62/S59</f>
        <v>1265.9036783638924</v>
      </c>
      <c r="E62" s="49" t="s">
        <v>44</v>
      </c>
      <c r="F62" s="50">
        <v>25619.4323</v>
      </c>
      <c r="G62" s="51">
        <v>35150.354099999997</v>
      </c>
      <c r="H62" s="51">
        <v>38747.2941553454</v>
      </c>
      <c r="I62" s="51">
        <v>35200.463799999998</v>
      </c>
      <c r="J62" s="51">
        <v>30010.420699999999</v>
      </c>
      <c r="K62" s="51">
        <v>42046.552900000002</v>
      </c>
      <c r="L62" s="51">
        <v>28190.714599999999</v>
      </c>
      <c r="M62" s="51">
        <v>20723.920300000002</v>
      </c>
      <c r="N62" s="51">
        <v>25451.310099999999</v>
      </c>
      <c r="O62" s="51">
        <v>16839.500700000001</v>
      </c>
      <c r="P62" s="51">
        <v>22736.119500000001</v>
      </c>
      <c r="Q62" s="81">
        <v>38800.561500000003</v>
      </c>
      <c r="R62" s="3"/>
      <c r="S62" s="82">
        <f t="shared" ref="S62:S70" si="4">SUM(F62:Q62)</f>
        <v>359516.64465534542</v>
      </c>
    </row>
    <row r="63" spans="2:19" ht="18.95" customHeight="1">
      <c r="B63" s="126" t="s">
        <v>45</v>
      </c>
      <c r="C63" s="53"/>
      <c r="D63" s="54">
        <f>S63/S59</f>
        <v>199.01615483114119</v>
      </c>
      <c r="E63" s="55" t="s">
        <v>44</v>
      </c>
      <c r="F63" s="56">
        <v>4114.5515400000004</v>
      </c>
      <c r="G63" s="57">
        <v>5705.941605</v>
      </c>
      <c r="H63" s="57">
        <v>5609.3237550000003</v>
      </c>
      <c r="I63" s="57">
        <v>6946.3850400000001</v>
      </c>
      <c r="J63" s="57">
        <v>5046.7805200000003</v>
      </c>
      <c r="K63" s="57">
        <v>7304.2366300000003</v>
      </c>
      <c r="L63" s="57">
        <v>4555.5713523189997</v>
      </c>
      <c r="M63" s="57">
        <v>2720.6410072365102</v>
      </c>
      <c r="N63" s="57">
        <v>3105.0776000000001</v>
      </c>
      <c r="O63" s="57">
        <v>2213.3025678926101</v>
      </c>
      <c r="P63" s="57">
        <v>3483.61397160561</v>
      </c>
      <c r="Q63" s="83">
        <v>5715.1623829903601</v>
      </c>
      <c r="S63" s="84">
        <f t="shared" si="4"/>
        <v>56520.587972044101</v>
      </c>
    </row>
    <row r="64" spans="2:19" s="3" customFormat="1" ht="18.95" customHeight="1">
      <c r="B64" s="126" t="s">
        <v>46</v>
      </c>
      <c r="C64" s="43"/>
      <c r="D64" s="58">
        <f>S64/S59</f>
        <v>1066.8875235327509</v>
      </c>
      <c r="E64" s="55" t="s">
        <v>44</v>
      </c>
      <c r="F64" s="56">
        <v>21504.88076</v>
      </c>
      <c r="G64" s="57">
        <v>29444.412495</v>
      </c>
      <c r="H64" s="57">
        <v>33137.970400345403</v>
      </c>
      <c r="I64" s="57">
        <v>28254.07876</v>
      </c>
      <c r="J64" s="57">
        <v>24963.640179999999</v>
      </c>
      <c r="K64" s="57">
        <v>34742.316270000003</v>
      </c>
      <c r="L64" s="57">
        <v>23635.143247681001</v>
      </c>
      <c r="M64" s="57">
        <v>18003.279292763498</v>
      </c>
      <c r="N64" s="57">
        <v>22346.232499999998</v>
      </c>
      <c r="O64" s="57">
        <v>14626.1981321074</v>
      </c>
      <c r="P64" s="57">
        <v>19252.505528394398</v>
      </c>
      <c r="Q64" s="83">
        <v>33085.399117009598</v>
      </c>
      <c r="R64" s="85"/>
      <c r="S64" s="84">
        <f t="shared" si="4"/>
        <v>302996.05668330129</v>
      </c>
    </row>
    <row r="65" spans="2:19" ht="18.95" customHeight="1">
      <c r="B65" s="52"/>
      <c r="C65" s="53"/>
      <c r="D65" s="57"/>
      <c r="E65" s="55"/>
      <c r="F65" s="44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80"/>
      <c r="R65" s="19"/>
      <c r="S65" s="70"/>
    </row>
    <row r="66" spans="2:19" ht="18.95" customHeight="1">
      <c r="B66" s="40" t="s">
        <v>47</v>
      </c>
      <c r="C66" s="59"/>
      <c r="D66" s="57"/>
      <c r="E66" s="55"/>
      <c r="F66" s="44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80"/>
      <c r="R66" s="19"/>
      <c r="S66" s="70"/>
    </row>
    <row r="67" spans="2:19" s="3" customFormat="1" ht="18.95" customHeight="1">
      <c r="B67" s="46" t="s">
        <v>48</v>
      </c>
      <c r="C67" s="47"/>
      <c r="D67" s="60">
        <f>S67/S59</f>
        <v>296500.63204225351</v>
      </c>
      <c r="E67" s="49" t="s">
        <v>49</v>
      </c>
      <c r="F67" s="61">
        <v>5551210</v>
      </c>
      <c r="G67" s="60">
        <v>7618960</v>
      </c>
      <c r="H67" s="60">
        <v>8896320</v>
      </c>
      <c r="I67" s="60">
        <v>7678500</v>
      </c>
      <c r="J67" s="60">
        <v>5833676</v>
      </c>
      <c r="K67" s="60">
        <v>9269220.5</v>
      </c>
      <c r="L67" s="60">
        <v>6898980</v>
      </c>
      <c r="M67" s="60">
        <v>4977373</v>
      </c>
      <c r="N67" s="60">
        <v>6905420</v>
      </c>
      <c r="O67" s="60">
        <v>4557880</v>
      </c>
      <c r="P67" s="60">
        <v>6200067</v>
      </c>
      <c r="Q67" s="86">
        <v>9818573</v>
      </c>
      <c r="R67" s="85"/>
      <c r="S67" s="87">
        <f t="shared" si="4"/>
        <v>84206179.5</v>
      </c>
    </row>
    <row r="68" spans="2:19" ht="18.95" customHeight="1">
      <c r="B68" s="126" t="s">
        <v>50</v>
      </c>
      <c r="C68" s="53"/>
      <c r="D68" s="45">
        <f>S68/S59</f>
        <v>151754.57746478874</v>
      </c>
      <c r="E68" s="55" t="s">
        <v>49</v>
      </c>
      <c r="F68" s="44">
        <v>3076400</v>
      </c>
      <c r="G68" s="45">
        <v>4361800</v>
      </c>
      <c r="H68" s="45">
        <v>4496900</v>
      </c>
      <c r="I68" s="45">
        <v>4347600</v>
      </c>
      <c r="J68" s="45">
        <v>3338900</v>
      </c>
      <c r="K68" s="45">
        <v>4388100</v>
      </c>
      <c r="L68" s="45">
        <v>3412300</v>
      </c>
      <c r="M68" s="45">
        <v>2580000</v>
      </c>
      <c r="N68" s="45">
        <v>3456200</v>
      </c>
      <c r="O68" s="45">
        <v>1990700</v>
      </c>
      <c r="P68" s="45">
        <v>2630300</v>
      </c>
      <c r="Q68" s="80">
        <v>5019100</v>
      </c>
      <c r="R68" s="19"/>
      <c r="S68" s="70">
        <f t="shared" si="4"/>
        <v>43098300</v>
      </c>
    </row>
    <row r="69" spans="2:19" ht="18.95" customHeight="1">
      <c r="B69" s="126" t="s">
        <v>51</v>
      </c>
      <c r="C69" s="53"/>
      <c r="D69" s="45">
        <f>S69/S59</f>
        <v>73072.183098591544</v>
      </c>
      <c r="E69" s="55" t="s">
        <v>49</v>
      </c>
      <c r="F69" s="44">
        <v>1394500</v>
      </c>
      <c r="G69" s="45">
        <v>2130000</v>
      </c>
      <c r="H69" s="45">
        <v>3345500</v>
      </c>
      <c r="I69" s="45">
        <v>2123200</v>
      </c>
      <c r="J69" s="45">
        <v>1371900</v>
      </c>
      <c r="K69" s="45">
        <v>2447300</v>
      </c>
      <c r="L69" s="45">
        <v>1354700</v>
      </c>
      <c r="M69" s="45">
        <v>1123400</v>
      </c>
      <c r="N69" s="45">
        <v>1322100</v>
      </c>
      <c r="O69" s="45">
        <v>646800</v>
      </c>
      <c r="P69" s="45">
        <v>1371800</v>
      </c>
      <c r="Q69" s="80">
        <v>2121300</v>
      </c>
      <c r="R69" s="19"/>
      <c r="S69" s="70">
        <f t="shared" si="4"/>
        <v>20752500</v>
      </c>
    </row>
    <row r="70" spans="2:19" ht="18.95" customHeight="1">
      <c r="B70" s="126" t="s">
        <v>52</v>
      </c>
      <c r="C70" s="53"/>
      <c r="D70" s="45">
        <f>D67-SUM(D68:D69)</f>
        <v>71673.871478873218</v>
      </c>
      <c r="E70" s="55" t="s">
        <v>49</v>
      </c>
      <c r="F70" s="44">
        <f t="shared" ref="F70:Q70" si="5">F67-SUM(F68:F69)</f>
        <v>1080310</v>
      </c>
      <c r="G70" s="45">
        <f t="shared" si="5"/>
        <v>1127160</v>
      </c>
      <c r="H70" s="45">
        <f t="shared" si="5"/>
        <v>1053920</v>
      </c>
      <c r="I70" s="45">
        <f t="shared" si="5"/>
        <v>1207700</v>
      </c>
      <c r="J70" s="45">
        <f t="shared" si="5"/>
        <v>1122876</v>
      </c>
      <c r="K70" s="45">
        <f t="shared" si="5"/>
        <v>2433820.5</v>
      </c>
      <c r="L70" s="45">
        <f t="shared" si="5"/>
        <v>2131980</v>
      </c>
      <c r="M70" s="45">
        <f t="shared" si="5"/>
        <v>1273973</v>
      </c>
      <c r="N70" s="45">
        <f t="shared" si="5"/>
        <v>2127120</v>
      </c>
      <c r="O70" s="45">
        <f t="shared" si="5"/>
        <v>1920380</v>
      </c>
      <c r="P70" s="45">
        <f t="shared" si="5"/>
        <v>2197967</v>
      </c>
      <c r="Q70" s="80">
        <f t="shared" si="5"/>
        <v>2678173</v>
      </c>
      <c r="R70" s="19"/>
      <c r="S70" s="70">
        <f t="shared" si="4"/>
        <v>20355379.5</v>
      </c>
    </row>
    <row r="71" spans="2:19" ht="18.95" customHeight="1">
      <c r="B71" s="52"/>
      <c r="C71" s="53"/>
      <c r="D71" s="57"/>
      <c r="E71" s="55"/>
      <c r="F71" s="44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80"/>
      <c r="R71" s="19"/>
      <c r="S71" s="70"/>
    </row>
    <row r="72" spans="2:19" ht="18.95" customHeight="1">
      <c r="B72" s="40" t="s">
        <v>53</v>
      </c>
      <c r="C72" s="59"/>
      <c r="D72" s="53"/>
      <c r="E72" s="55"/>
      <c r="F72" s="44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80"/>
      <c r="R72" s="19"/>
      <c r="S72" s="70"/>
    </row>
    <row r="73" spans="2:19" s="3" customFormat="1" ht="18.95" customHeight="1">
      <c r="B73" s="46" t="s">
        <v>43</v>
      </c>
      <c r="C73" s="47"/>
      <c r="D73" s="88">
        <f>S73/S59</f>
        <v>647.90492957746483</v>
      </c>
      <c r="E73" s="49" t="s">
        <v>54</v>
      </c>
      <c r="F73" s="61">
        <v>13184</v>
      </c>
      <c r="G73" s="60">
        <v>17060</v>
      </c>
      <c r="H73" s="60">
        <v>20064</v>
      </c>
      <c r="I73" s="60">
        <v>17673</v>
      </c>
      <c r="J73" s="60">
        <v>13991</v>
      </c>
      <c r="K73" s="60">
        <v>18090</v>
      </c>
      <c r="L73" s="60">
        <v>15029</v>
      </c>
      <c r="M73" s="60">
        <v>11960</v>
      </c>
      <c r="N73" s="60">
        <v>14577</v>
      </c>
      <c r="O73" s="60">
        <v>10106</v>
      </c>
      <c r="P73" s="60">
        <v>12492</v>
      </c>
      <c r="Q73" s="86">
        <v>19779</v>
      </c>
      <c r="R73" s="85"/>
      <c r="S73" s="87">
        <f>SUM(F73:Q73)</f>
        <v>184005</v>
      </c>
    </row>
    <row r="74" spans="2:19" ht="18.95" customHeight="1">
      <c r="B74" s="126" t="s">
        <v>55</v>
      </c>
      <c r="C74" s="53"/>
      <c r="D74" s="57">
        <f>S74/S59</f>
        <v>74.24647887323944</v>
      </c>
      <c r="E74" s="55" t="s">
        <v>56</v>
      </c>
      <c r="F74" s="44">
        <v>1280</v>
      </c>
      <c r="G74" s="45">
        <v>2256</v>
      </c>
      <c r="H74" s="45">
        <v>2548</v>
      </c>
      <c r="I74" s="45">
        <v>2417</v>
      </c>
      <c r="J74" s="45">
        <v>1992</v>
      </c>
      <c r="K74" s="45">
        <v>2188</v>
      </c>
      <c r="L74" s="45">
        <v>1868</v>
      </c>
      <c r="M74" s="45">
        <v>1380</v>
      </c>
      <c r="N74" s="45">
        <v>1164</v>
      </c>
      <c r="O74" s="45">
        <v>1359</v>
      </c>
      <c r="P74" s="45">
        <v>1013</v>
      </c>
      <c r="Q74" s="80">
        <v>1621</v>
      </c>
      <c r="R74" s="19"/>
      <c r="S74" s="70">
        <f>SUM(F74:Q74)</f>
        <v>21086</v>
      </c>
    </row>
    <row r="75" spans="2:19" ht="18.95" customHeight="1">
      <c r="B75" s="126" t="s">
        <v>57</v>
      </c>
      <c r="C75" s="53"/>
      <c r="D75" s="57">
        <f>S75/S59</f>
        <v>93.288732394366193</v>
      </c>
      <c r="E75" s="55" t="s">
        <v>56</v>
      </c>
      <c r="F75" s="44">
        <v>1904</v>
      </c>
      <c r="G75" s="45">
        <v>2892</v>
      </c>
      <c r="H75" s="45">
        <v>4010</v>
      </c>
      <c r="I75" s="45">
        <v>2769</v>
      </c>
      <c r="J75" s="45">
        <v>2319</v>
      </c>
      <c r="K75" s="45">
        <v>3035</v>
      </c>
      <c r="L75" s="45">
        <v>1663</v>
      </c>
      <c r="M75" s="45">
        <v>1515</v>
      </c>
      <c r="N75" s="45">
        <v>1461</v>
      </c>
      <c r="O75" s="45">
        <v>719</v>
      </c>
      <c r="P75" s="45">
        <v>1542</v>
      </c>
      <c r="Q75" s="80">
        <v>2665</v>
      </c>
      <c r="R75" s="19"/>
      <c r="S75" s="113">
        <f>SUM(F75:Q75)</f>
        <v>26494</v>
      </c>
    </row>
    <row r="76" spans="2:19" ht="18.95" customHeight="1">
      <c r="B76" s="126" t="s">
        <v>52</v>
      </c>
      <c r="C76" s="53"/>
      <c r="D76" s="57">
        <f>D73-SUM(D74:D75)</f>
        <v>480.36971830985919</v>
      </c>
      <c r="E76" s="55" t="s">
        <v>56</v>
      </c>
      <c r="F76" s="44">
        <f t="shared" ref="F76:Q76" si="6">F73-SUM(F74:F75)</f>
        <v>10000</v>
      </c>
      <c r="G76" s="45">
        <f t="shared" si="6"/>
        <v>11912</v>
      </c>
      <c r="H76" s="45">
        <f t="shared" si="6"/>
        <v>13506</v>
      </c>
      <c r="I76" s="45">
        <f t="shared" si="6"/>
        <v>12487</v>
      </c>
      <c r="J76" s="45">
        <f t="shared" si="6"/>
        <v>9680</v>
      </c>
      <c r="K76" s="45">
        <f t="shared" si="6"/>
        <v>12867</v>
      </c>
      <c r="L76" s="45">
        <f t="shared" si="6"/>
        <v>11498</v>
      </c>
      <c r="M76" s="45">
        <f t="shared" si="6"/>
        <v>9065</v>
      </c>
      <c r="N76" s="45">
        <f t="shared" si="6"/>
        <v>11952</v>
      </c>
      <c r="O76" s="45">
        <f t="shared" si="6"/>
        <v>8028</v>
      </c>
      <c r="P76" s="45">
        <f t="shared" si="6"/>
        <v>9937</v>
      </c>
      <c r="Q76" s="80">
        <f t="shared" si="6"/>
        <v>15493</v>
      </c>
      <c r="R76" s="19"/>
      <c r="S76" s="70">
        <f>SUM(F76:Q76)</f>
        <v>136425</v>
      </c>
    </row>
    <row r="77" spans="2:19" ht="18.95" customHeight="1">
      <c r="B77" s="284"/>
      <c r="C77" s="285"/>
      <c r="D77" s="285"/>
      <c r="E77" s="285"/>
      <c r="F77" s="89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114"/>
      <c r="R77" s="19"/>
      <c r="S77" s="115"/>
    </row>
    <row r="78" spans="2:19" ht="18.95" customHeight="1">
      <c r="B78" s="40" t="s">
        <v>58</v>
      </c>
      <c r="C78" s="59"/>
      <c r="D78" s="91"/>
      <c r="E78" s="55"/>
      <c r="F78" s="89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114"/>
      <c r="R78" s="19"/>
      <c r="S78" s="70"/>
    </row>
    <row r="79" spans="2:19" s="3" customFormat="1" ht="18.95" customHeight="1">
      <c r="B79" s="46" t="s">
        <v>43</v>
      </c>
      <c r="C79" s="47"/>
      <c r="D79" s="88">
        <f>S79/S59</f>
        <v>25891.172535211266</v>
      </c>
      <c r="E79" s="49" t="s">
        <v>59</v>
      </c>
      <c r="F79" s="61">
        <v>576934</v>
      </c>
      <c r="G79" s="60">
        <v>711126</v>
      </c>
      <c r="H79" s="60">
        <v>782041</v>
      </c>
      <c r="I79" s="60">
        <v>739379</v>
      </c>
      <c r="J79" s="60">
        <v>585067</v>
      </c>
      <c r="K79" s="60">
        <v>760275</v>
      </c>
      <c r="L79" s="60">
        <v>592254</v>
      </c>
      <c r="M79" s="60">
        <v>455799</v>
      </c>
      <c r="N79" s="60">
        <v>566027</v>
      </c>
      <c r="O79" s="60">
        <v>374624</v>
      </c>
      <c r="P79" s="60">
        <v>486302</v>
      </c>
      <c r="Q79" s="86">
        <v>723265</v>
      </c>
      <c r="R79" s="85"/>
      <c r="S79" s="87">
        <f>SUM(F79:Q79)</f>
        <v>7353093</v>
      </c>
    </row>
    <row r="80" spans="2:19" ht="18.95" customHeight="1">
      <c r="B80" s="126" t="s">
        <v>60</v>
      </c>
      <c r="C80" s="53"/>
      <c r="D80" s="57" t="e">
        <f>S80/S59</f>
        <v>#REF!</v>
      </c>
      <c r="E80" s="55" t="s">
        <v>59</v>
      </c>
      <c r="F80" s="44" t="e">
        <f>SUM(#REF!,#REF!)</f>
        <v>#REF!</v>
      </c>
      <c r="G80" s="45" t="e">
        <f>SUM(#REF!,#REF!)</f>
        <v>#REF!</v>
      </c>
      <c r="H80" s="45" t="e">
        <f>SUM(#REF!,#REF!)</f>
        <v>#REF!</v>
      </c>
      <c r="I80" s="45" t="e">
        <f>SUM(#REF!,#REF!)</f>
        <v>#REF!</v>
      </c>
      <c r="J80" s="45" t="e">
        <f>SUM(#REF!,#REF!)</f>
        <v>#REF!</v>
      </c>
      <c r="K80" s="45" t="e">
        <f>SUM(#REF!,#REF!)</f>
        <v>#REF!</v>
      </c>
      <c r="L80" s="45" t="e">
        <f>SUM(#REF!,#REF!)</f>
        <v>#REF!</v>
      </c>
      <c r="M80" s="45" t="e">
        <f>SUM(#REF!,#REF!)</f>
        <v>#REF!</v>
      </c>
      <c r="N80" s="45" t="e">
        <f>SUM(#REF!,#REF!)</f>
        <v>#REF!</v>
      </c>
      <c r="O80" s="45" t="e">
        <f>SUM(#REF!,#REF!)</f>
        <v>#REF!</v>
      </c>
      <c r="P80" s="45" t="e">
        <f>SUM(#REF!,#REF!)</f>
        <v>#REF!</v>
      </c>
      <c r="Q80" s="80" t="e">
        <f>SUM(#REF!,#REF!)</f>
        <v>#REF!</v>
      </c>
      <c r="R80" s="19"/>
      <c r="S80" s="70" t="e">
        <f>SUM(F80:Q80)</f>
        <v>#REF!</v>
      </c>
    </row>
    <row r="81" spans="2:20" ht="18.95" customHeight="1">
      <c r="B81" s="126" t="s">
        <v>61</v>
      </c>
      <c r="C81" s="53"/>
      <c r="D81" s="57" t="e">
        <f>S81/S59</f>
        <v>#REF!</v>
      </c>
      <c r="E81" s="55" t="s">
        <v>59</v>
      </c>
      <c r="F81" s="44" t="e">
        <f>SUM(#REF!,#REF!)</f>
        <v>#REF!</v>
      </c>
      <c r="G81" s="45" t="e">
        <f>SUM(#REF!,#REF!)</f>
        <v>#REF!</v>
      </c>
      <c r="H81" s="45" t="e">
        <f>SUM(#REF!,#REF!)</f>
        <v>#REF!</v>
      </c>
      <c r="I81" s="45" t="e">
        <f>SUM(#REF!,#REF!)</f>
        <v>#REF!</v>
      </c>
      <c r="J81" s="45" t="e">
        <f>SUM(#REF!,#REF!)</f>
        <v>#REF!</v>
      </c>
      <c r="K81" s="45" t="e">
        <f>SUM(#REF!,#REF!)</f>
        <v>#REF!</v>
      </c>
      <c r="L81" s="45" t="e">
        <f>SUM(#REF!,#REF!)</f>
        <v>#REF!</v>
      </c>
      <c r="M81" s="45" t="e">
        <f>SUM(#REF!,#REF!)</f>
        <v>#REF!</v>
      </c>
      <c r="N81" s="45" t="e">
        <f>SUM(#REF!,#REF!)</f>
        <v>#REF!</v>
      </c>
      <c r="O81" s="45" t="e">
        <f>SUM(#REF!,#REF!)</f>
        <v>#REF!</v>
      </c>
      <c r="P81" s="45" t="e">
        <f>SUM(#REF!,#REF!)</f>
        <v>#REF!</v>
      </c>
      <c r="Q81" s="80" t="e">
        <f>SUM(#REF!,#REF!)</f>
        <v>#REF!</v>
      </c>
      <c r="R81" s="19"/>
      <c r="S81" s="70" t="e">
        <f>SUM(F81:Q81)</f>
        <v>#REF!</v>
      </c>
    </row>
    <row r="82" spans="2:20" ht="18.95" customHeight="1">
      <c r="B82" s="126" t="s">
        <v>62</v>
      </c>
      <c r="C82" s="53"/>
      <c r="D82" s="57" t="e">
        <f>S82/197</f>
        <v>#REF!</v>
      </c>
      <c r="E82" s="55" t="s">
        <v>59</v>
      </c>
      <c r="F82" s="44" t="e">
        <f>#REF!</f>
        <v>#REF!</v>
      </c>
      <c r="G82" s="45" t="e">
        <f>#REF!</f>
        <v>#REF!</v>
      </c>
      <c r="H82" s="45" t="e">
        <f>#REF!</f>
        <v>#REF!</v>
      </c>
      <c r="I82" s="45" t="e">
        <f>#REF!</f>
        <v>#REF!</v>
      </c>
      <c r="J82" s="45" t="e">
        <f>#REF!</f>
        <v>#REF!</v>
      </c>
      <c r="K82" s="45" t="e">
        <f>#REF!</f>
        <v>#REF!</v>
      </c>
      <c r="L82" s="45" t="e">
        <f>#REF!</f>
        <v>#REF!</v>
      </c>
      <c r="M82" s="45" t="e">
        <f>#REF!</f>
        <v>#REF!</v>
      </c>
      <c r="N82" s="45" t="e">
        <f>#REF!</f>
        <v>#REF!</v>
      </c>
      <c r="O82" s="45" t="e">
        <f>#REF!</f>
        <v>#REF!</v>
      </c>
      <c r="P82" s="45" t="e">
        <f>#REF!</f>
        <v>#REF!</v>
      </c>
      <c r="Q82" s="80" t="e">
        <f>#REF!</f>
        <v>#REF!</v>
      </c>
      <c r="R82" s="19"/>
      <c r="S82" s="70" t="e">
        <f>SUM(F82:Q82)</f>
        <v>#REF!</v>
      </c>
    </row>
    <row r="83" spans="2:20" ht="18.95" customHeight="1">
      <c r="B83" s="126" t="s">
        <v>52</v>
      </c>
      <c r="C83" s="53"/>
      <c r="D83" s="57" t="e">
        <f>D79-SUM(D80:D82)</f>
        <v>#REF!</v>
      </c>
      <c r="E83" s="55" t="s">
        <v>59</v>
      </c>
      <c r="F83" s="44" t="e">
        <f t="shared" ref="F83:Q83" si="7">F79-SUM(F80:F82)</f>
        <v>#REF!</v>
      </c>
      <c r="G83" s="45" t="e">
        <f t="shared" si="7"/>
        <v>#REF!</v>
      </c>
      <c r="H83" s="45" t="e">
        <f t="shared" si="7"/>
        <v>#REF!</v>
      </c>
      <c r="I83" s="45" t="e">
        <f t="shared" si="7"/>
        <v>#REF!</v>
      </c>
      <c r="J83" s="45" t="e">
        <f t="shared" si="7"/>
        <v>#REF!</v>
      </c>
      <c r="K83" s="45" t="e">
        <f t="shared" si="7"/>
        <v>#REF!</v>
      </c>
      <c r="L83" s="45" t="e">
        <f t="shared" si="7"/>
        <v>#REF!</v>
      </c>
      <c r="M83" s="45" t="e">
        <f t="shared" si="7"/>
        <v>#REF!</v>
      </c>
      <c r="N83" s="45" t="e">
        <f t="shared" si="7"/>
        <v>#REF!</v>
      </c>
      <c r="O83" s="45" t="e">
        <f t="shared" si="7"/>
        <v>#REF!</v>
      </c>
      <c r="P83" s="45" t="e">
        <f t="shared" si="7"/>
        <v>#REF!</v>
      </c>
      <c r="Q83" s="80" t="e">
        <f t="shared" si="7"/>
        <v>#REF!</v>
      </c>
      <c r="R83" s="19"/>
      <c r="S83" s="70" t="e">
        <f>SUM(F83:Q83)</f>
        <v>#REF!</v>
      </c>
    </row>
    <row r="84" spans="2:20" ht="18.95" customHeight="1" thickBot="1">
      <c r="B84" s="92"/>
      <c r="C84" s="32"/>
      <c r="D84" s="32"/>
      <c r="E84" s="93"/>
      <c r="F84" s="94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116"/>
      <c r="R84" s="19"/>
      <c r="S84" s="72"/>
    </row>
    <row r="85" spans="2:20" ht="17.100000000000001" customHeight="1" thickBot="1">
      <c r="B85" s="43"/>
      <c r="C85" s="43"/>
      <c r="D85" s="43"/>
      <c r="E85" s="96"/>
      <c r="F85" s="97"/>
      <c r="G85" s="97"/>
      <c r="H85" s="97"/>
      <c r="I85" s="97"/>
      <c r="J85" s="97"/>
      <c r="K85" s="97"/>
      <c r="L85" s="97"/>
      <c r="M85" s="97"/>
      <c r="N85" s="97"/>
      <c r="O85" s="97"/>
      <c r="P85" s="97"/>
      <c r="Q85" s="97"/>
      <c r="R85" s="117"/>
      <c r="S85" s="117"/>
      <c r="T85" s="118"/>
    </row>
    <row r="86" spans="2:20" ht="18" customHeight="1" thickBot="1">
      <c r="F86" s="281">
        <v>2020</v>
      </c>
      <c r="G86" s="282"/>
      <c r="H86" s="282"/>
      <c r="I86" s="282"/>
      <c r="J86" s="282"/>
      <c r="K86" s="282"/>
      <c r="L86" s="282"/>
      <c r="M86" s="282"/>
      <c r="N86" s="282"/>
      <c r="O86" s="282"/>
      <c r="P86" s="282"/>
      <c r="Q86" s="283"/>
      <c r="S86" s="64" t="s">
        <v>0</v>
      </c>
    </row>
    <row r="87" spans="2:20" ht="18" customHeight="1">
      <c r="B87" s="273" t="s">
        <v>63</v>
      </c>
      <c r="C87" s="274"/>
      <c r="D87" s="274"/>
      <c r="E87" s="274"/>
      <c r="F87" s="33">
        <v>20</v>
      </c>
      <c r="G87" s="34">
        <v>29</v>
      </c>
      <c r="H87" s="34">
        <v>31</v>
      </c>
      <c r="I87" s="34">
        <v>29</v>
      </c>
      <c r="J87" s="34">
        <v>22</v>
      </c>
      <c r="K87" s="34">
        <v>30</v>
      </c>
      <c r="L87" s="34">
        <v>23</v>
      </c>
      <c r="M87" s="34">
        <v>17</v>
      </c>
      <c r="N87" s="34">
        <v>22</v>
      </c>
      <c r="O87" s="34">
        <v>13</v>
      </c>
      <c r="P87" s="34">
        <v>17</v>
      </c>
      <c r="Q87" s="76">
        <v>31</v>
      </c>
      <c r="S87" s="291">
        <f t="shared" ref="S87:S92" si="8">SUM(F87:Q87)</f>
        <v>284</v>
      </c>
    </row>
    <row r="88" spans="2:20" ht="18" customHeight="1" thickBot="1">
      <c r="B88" s="275"/>
      <c r="C88" s="276"/>
      <c r="D88" s="276"/>
      <c r="E88" s="276"/>
      <c r="F88" s="10" t="s">
        <v>5</v>
      </c>
      <c r="G88" s="11" t="s">
        <v>6</v>
      </c>
      <c r="H88" s="11" t="s">
        <v>7</v>
      </c>
      <c r="I88" s="11" t="s">
        <v>8</v>
      </c>
      <c r="J88" s="11" t="s">
        <v>9</v>
      </c>
      <c r="K88" s="11" t="s">
        <v>10</v>
      </c>
      <c r="L88" s="11" t="s">
        <v>11</v>
      </c>
      <c r="M88" s="11" t="s">
        <v>12</v>
      </c>
      <c r="N88" s="11" t="s">
        <v>13</v>
      </c>
      <c r="O88" s="11" t="s">
        <v>14</v>
      </c>
      <c r="P88" s="11" t="s">
        <v>15</v>
      </c>
      <c r="Q88" s="66" t="s">
        <v>16</v>
      </c>
      <c r="S88" s="289"/>
    </row>
    <row r="89" spans="2:20" ht="18" customHeight="1">
      <c r="B89" s="40" t="s">
        <v>42</v>
      </c>
      <c r="C89" s="41"/>
      <c r="D89" s="42" t="s">
        <v>4</v>
      </c>
      <c r="E89" s="42"/>
      <c r="F89" s="44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80"/>
      <c r="S89" s="67"/>
    </row>
    <row r="90" spans="2:20" ht="18" customHeight="1">
      <c r="B90" s="46" t="s">
        <v>43</v>
      </c>
      <c r="C90" s="47"/>
      <c r="D90" s="51">
        <f>S90/S8</f>
        <v>6.4689321363576137E-4</v>
      </c>
      <c r="E90" s="49" t="s">
        <v>64</v>
      </c>
      <c r="F90" s="50">
        <v>25619.4323</v>
      </c>
      <c r="G90" s="51">
        <v>35150.354099999997</v>
      </c>
      <c r="H90" s="51">
        <v>38747.2941553454</v>
      </c>
      <c r="I90" s="51">
        <v>35200.463799999998</v>
      </c>
      <c r="J90" s="51">
        <v>30010.420699999999</v>
      </c>
      <c r="K90" s="51">
        <v>42046.552900000002</v>
      </c>
      <c r="L90" s="51">
        <v>28190.714599999999</v>
      </c>
      <c r="M90" s="51">
        <v>20723.920300000002</v>
      </c>
      <c r="N90" s="51">
        <v>25451.310099999999</v>
      </c>
      <c r="O90" s="51">
        <v>16839.500700000001</v>
      </c>
      <c r="P90" s="51">
        <v>22736.119500000001</v>
      </c>
      <c r="Q90" s="81">
        <v>38800.561500000003</v>
      </c>
      <c r="R90" s="3"/>
      <c r="S90" s="82">
        <f t="shared" si="8"/>
        <v>359516.64465534542</v>
      </c>
    </row>
    <row r="91" spans="2:20" ht="18" customHeight="1">
      <c r="B91" s="126" t="s">
        <v>45</v>
      </c>
      <c r="C91" s="53"/>
      <c r="D91" s="57">
        <f>S91/S8</f>
        <v>1.0169983875119242E-4</v>
      </c>
      <c r="E91" s="55" t="s">
        <v>64</v>
      </c>
      <c r="F91" s="56">
        <v>4114.5515400000004</v>
      </c>
      <c r="G91" s="57">
        <v>5705.941605</v>
      </c>
      <c r="H91" s="57">
        <v>5609.3237550000003</v>
      </c>
      <c r="I91" s="57">
        <v>6946.3850400000001</v>
      </c>
      <c r="J91" s="57">
        <v>5046.7805200000003</v>
      </c>
      <c r="K91" s="57">
        <v>7304.2366300000003</v>
      </c>
      <c r="L91" s="57">
        <v>4555.5713523189997</v>
      </c>
      <c r="M91" s="57">
        <v>2720.6410072365102</v>
      </c>
      <c r="N91" s="57">
        <v>3105.0776000000001</v>
      </c>
      <c r="O91" s="57">
        <v>2213.3025678926101</v>
      </c>
      <c r="P91" s="57">
        <v>3483.61397160561</v>
      </c>
      <c r="Q91" s="83">
        <v>5715.1623829903601</v>
      </c>
      <c r="S91" s="84">
        <f t="shared" si="8"/>
        <v>56520.587972044101</v>
      </c>
    </row>
    <row r="92" spans="2:20" s="3" customFormat="1" ht="18" customHeight="1">
      <c r="B92" s="126" t="s">
        <v>65</v>
      </c>
      <c r="C92" s="43"/>
      <c r="D92" s="98">
        <f>D90-D91</f>
        <v>5.4519337488456894E-4</v>
      </c>
      <c r="E92" s="55" t="s">
        <v>64</v>
      </c>
      <c r="F92" s="56">
        <v>21504.88076</v>
      </c>
      <c r="G92" s="57">
        <v>29444.412495</v>
      </c>
      <c r="H92" s="57">
        <v>33137.970400345403</v>
      </c>
      <c r="I92" s="57">
        <v>28254.07876</v>
      </c>
      <c r="J92" s="57">
        <v>24963.640179999999</v>
      </c>
      <c r="K92" s="57">
        <v>34742.316270000003</v>
      </c>
      <c r="L92" s="57">
        <v>23635.143247681001</v>
      </c>
      <c r="M92" s="57">
        <v>18003.279292763498</v>
      </c>
      <c r="N92" s="57">
        <v>22346.232499999998</v>
      </c>
      <c r="O92" s="57">
        <v>14626.1981321074</v>
      </c>
      <c r="P92" s="57">
        <v>19252.505528394398</v>
      </c>
      <c r="Q92" s="83">
        <v>33085.399117009598</v>
      </c>
      <c r="R92" s="85"/>
      <c r="S92" s="84">
        <f t="shared" si="8"/>
        <v>302996.05668330129</v>
      </c>
    </row>
    <row r="93" spans="2:20" ht="18" customHeight="1">
      <c r="B93" s="52"/>
      <c r="C93" s="53"/>
      <c r="D93" s="57"/>
      <c r="E93" s="55"/>
      <c r="F93" s="44">
        <v>4114.5515400000004</v>
      </c>
      <c r="G93" s="45">
        <v>5705.941605</v>
      </c>
      <c r="H93" s="45">
        <v>5609.3237550000003</v>
      </c>
      <c r="I93" s="45">
        <v>6946.3850400000001</v>
      </c>
      <c r="J93" s="45">
        <v>5046.7805200000003</v>
      </c>
      <c r="K93" s="45">
        <v>7304.2366300000003</v>
      </c>
      <c r="L93" s="45">
        <v>3071.2078000000001</v>
      </c>
      <c r="M93" s="112">
        <f>SUM(F93:L93)</f>
        <v>37798.426890000002</v>
      </c>
      <c r="N93" s="45"/>
      <c r="O93" s="45"/>
      <c r="P93" s="45"/>
      <c r="Q93" s="80"/>
      <c r="R93" s="19"/>
      <c r="S93" s="70"/>
    </row>
    <row r="94" spans="2:20" ht="18.95" customHeight="1">
      <c r="B94" s="40" t="s">
        <v>47</v>
      </c>
      <c r="C94" s="59"/>
      <c r="D94" s="57"/>
      <c r="E94" s="55"/>
      <c r="F94" s="44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80"/>
      <c r="R94" s="19"/>
      <c r="S94" s="70"/>
    </row>
    <row r="95" spans="2:20" s="3" customFormat="1" ht="18.95" customHeight="1">
      <c r="B95" s="46" t="s">
        <v>48</v>
      </c>
      <c r="C95" s="47"/>
      <c r="D95" s="60">
        <f>S95/S8</f>
        <v>0.15151567215188422</v>
      </c>
      <c r="E95" s="49" t="s">
        <v>33</v>
      </c>
      <c r="F95" s="61">
        <v>5551210</v>
      </c>
      <c r="G95" s="60">
        <v>7618960</v>
      </c>
      <c r="H95" s="60">
        <v>8896320</v>
      </c>
      <c r="I95" s="60">
        <v>7678500</v>
      </c>
      <c r="J95" s="60">
        <v>5833676</v>
      </c>
      <c r="K95" s="60">
        <v>9269220.5</v>
      </c>
      <c r="L95" s="60">
        <v>6898980</v>
      </c>
      <c r="M95" s="60">
        <v>4977373</v>
      </c>
      <c r="N95" s="60">
        <v>6905420</v>
      </c>
      <c r="O95" s="60">
        <v>4557880</v>
      </c>
      <c r="P95" s="60">
        <v>6200067</v>
      </c>
      <c r="Q95" s="86">
        <v>9818573</v>
      </c>
      <c r="R95" s="85"/>
      <c r="S95" s="87">
        <f t="shared" ref="S95:S98" si="9">SUM(F95:Q95)</f>
        <v>84206179.5</v>
      </c>
    </row>
    <row r="96" spans="2:20" ht="18.95" customHeight="1">
      <c r="B96" s="126" t="s">
        <v>50</v>
      </c>
      <c r="C96" s="53"/>
      <c r="D96" s="45">
        <f>S96/S8</f>
        <v>7.7548559166059197E-2</v>
      </c>
      <c r="E96" s="55" t="s">
        <v>33</v>
      </c>
      <c r="F96" s="44">
        <v>3076400</v>
      </c>
      <c r="G96" s="45">
        <v>4361800</v>
      </c>
      <c r="H96" s="45">
        <v>4496900</v>
      </c>
      <c r="I96" s="45">
        <v>4347600</v>
      </c>
      <c r="J96" s="45">
        <v>3338900</v>
      </c>
      <c r="K96" s="45">
        <v>4388100</v>
      </c>
      <c r="L96" s="45">
        <v>3412300</v>
      </c>
      <c r="M96" s="45">
        <v>2580000</v>
      </c>
      <c r="N96" s="45">
        <v>3456200</v>
      </c>
      <c r="O96" s="45">
        <v>1990700</v>
      </c>
      <c r="P96" s="45">
        <v>2630300</v>
      </c>
      <c r="Q96" s="80">
        <v>5019100</v>
      </c>
      <c r="R96" s="19"/>
      <c r="S96" s="70">
        <f t="shared" si="9"/>
        <v>43098300</v>
      </c>
    </row>
    <row r="97" spans="2:19" ht="18.95" customHeight="1">
      <c r="B97" s="126" t="s">
        <v>51</v>
      </c>
      <c r="C97" s="53"/>
      <c r="D97" s="45">
        <f>S97/SUM(S14:S16)</f>
        <v>4.431606286026242E-2</v>
      </c>
      <c r="E97" s="55" t="s">
        <v>33</v>
      </c>
      <c r="F97" s="44">
        <v>1394500</v>
      </c>
      <c r="G97" s="45">
        <v>2130000</v>
      </c>
      <c r="H97" s="45">
        <v>3345500</v>
      </c>
      <c r="I97" s="45">
        <v>2123200</v>
      </c>
      <c r="J97" s="45">
        <v>1371900</v>
      </c>
      <c r="K97" s="45">
        <v>2447300</v>
      </c>
      <c r="L97" s="45">
        <v>1354700</v>
      </c>
      <c r="M97" s="45">
        <v>1123400</v>
      </c>
      <c r="N97" s="45">
        <v>1322100</v>
      </c>
      <c r="O97" s="45">
        <v>646800</v>
      </c>
      <c r="P97" s="45">
        <v>1371800</v>
      </c>
      <c r="Q97" s="80">
        <v>2121300</v>
      </c>
      <c r="R97" s="19"/>
      <c r="S97" s="70">
        <f t="shared" si="9"/>
        <v>20752500</v>
      </c>
    </row>
    <row r="98" spans="2:19" ht="18.95" customHeight="1">
      <c r="B98" s="126" t="s">
        <v>52</v>
      </c>
      <c r="C98" s="53"/>
      <c r="D98" s="45">
        <f>D95-SUM(D96:D97)</f>
        <v>2.96510501255626E-2</v>
      </c>
      <c r="E98" s="55" t="s">
        <v>33</v>
      </c>
      <c r="F98" s="44">
        <f t="shared" ref="F98:Q98" si="10">F95-SUM(F96:F97)</f>
        <v>1080310</v>
      </c>
      <c r="G98" s="45">
        <f t="shared" si="10"/>
        <v>1127160</v>
      </c>
      <c r="H98" s="45">
        <f t="shared" si="10"/>
        <v>1053920</v>
      </c>
      <c r="I98" s="45">
        <f t="shared" si="10"/>
        <v>1207700</v>
      </c>
      <c r="J98" s="45">
        <f t="shared" si="10"/>
        <v>1122876</v>
      </c>
      <c r="K98" s="45">
        <f t="shared" si="10"/>
        <v>2433820.5</v>
      </c>
      <c r="L98" s="45">
        <f t="shared" si="10"/>
        <v>2131980</v>
      </c>
      <c r="M98" s="45">
        <f t="shared" si="10"/>
        <v>1273973</v>
      </c>
      <c r="N98" s="45">
        <f t="shared" si="10"/>
        <v>2127120</v>
      </c>
      <c r="O98" s="45">
        <f t="shared" si="10"/>
        <v>1920380</v>
      </c>
      <c r="P98" s="45">
        <f t="shared" si="10"/>
        <v>2197967</v>
      </c>
      <c r="Q98" s="80">
        <f t="shared" si="10"/>
        <v>2678173</v>
      </c>
      <c r="R98" s="19"/>
      <c r="S98" s="70">
        <f t="shared" si="9"/>
        <v>20355379.5</v>
      </c>
    </row>
    <row r="99" spans="2:19" ht="18" customHeight="1">
      <c r="B99" s="52"/>
      <c r="C99" s="53"/>
      <c r="D99" s="57"/>
      <c r="E99" s="55"/>
      <c r="F99" s="44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80"/>
      <c r="R99" s="19"/>
      <c r="S99" s="70"/>
    </row>
    <row r="100" spans="2:19" ht="18" customHeight="1">
      <c r="B100" s="40" t="s">
        <v>53</v>
      </c>
      <c r="C100" s="59"/>
      <c r="D100" s="53"/>
      <c r="E100" s="55"/>
      <c r="F100" s="44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80"/>
      <c r="R100" s="19"/>
      <c r="S100" s="70"/>
    </row>
    <row r="101" spans="2:19" s="3" customFormat="1" ht="18" customHeight="1">
      <c r="B101" s="46" t="s">
        <v>43</v>
      </c>
      <c r="C101" s="47"/>
      <c r="D101" s="88">
        <f>S101/S8</f>
        <v>3.3108783013136765E-4</v>
      </c>
      <c r="E101" s="49" t="s">
        <v>66</v>
      </c>
      <c r="F101" s="61">
        <v>13184</v>
      </c>
      <c r="G101" s="60">
        <v>17060</v>
      </c>
      <c r="H101" s="60">
        <v>20064</v>
      </c>
      <c r="I101" s="60">
        <v>17673</v>
      </c>
      <c r="J101" s="60">
        <v>13991</v>
      </c>
      <c r="K101" s="60">
        <v>18090</v>
      </c>
      <c r="L101" s="60">
        <v>15029</v>
      </c>
      <c r="M101" s="60">
        <v>11960</v>
      </c>
      <c r="N101" s="60">
        <v>14577</v>
      </c>
      <c r="O101" s="60">
        <v>10106</v>
      </c>
      <c r="P101" s="60">
        <v>12492</v>
      </c>
      <c r="Q101" s="86">
        <v>19779</v>
      </c>
      <c r="R101" s="85"/>
      <c r="S101" s="87">
        <f t="shared" ref="S101:S111" si="11">SUM(F101:Q101)</f>
        <v>184005</v>
      </c>
    </row>
    <row r="102" spans="2:19" ht="18" customHeight="1">
      <c r="B102" s="126" t="s">
        <v>55</v>
      </c>
      <c r="C102" s="53"/>
      <c r="D102" s="57">
        <f>S102/S8</f>
        <v>3.7940914573788859E-5</v>
      </c>
      <c r="E102" s="55" t="s">
        <v>67</v>
      </c>
      <c r="F102" s="44">
        <v>1280</v>
      </c>
      <c r="G102" s="45">
        <v>2256</v>
      </c>
      <c r="H102" s="45">
        <v>2548</v>
      </c>
      <c r="I102" s="45">
        <v>2417</v>
      </c>
      <c r="J102" s="45">
        <v>1992</v>
      </c>
      <c r="K102" s="45">
        <v>2188</v>
      </c>
      <c r="L102" s="45">
        <v>1868</v>
      </c>
      <c r="M102" s="45">
        <v>1380</v>
      </c>
      <c r="N102" s="45">
        <v>1164</v>
      </c>
      <c r="O102" s="45">
        <v>1359</v>
      </c>
      <c r="P102" s="45">
        <v>1013</v>
      </c>
      <c r="Q102" s="80">
        <v>1621</v>
      </c>
      <c r="R102" s="19"/>
      <c r="S102" s="70">
        <f t="shared" si="11"/>
        <v>21086</v>
      </c>
    </row>
    <row r="103" spans="2:19" ht="18" customHeight="1">
      <c r="B103" s="126" t="s">
        <v>57</v>
      </c>
      <c r="C103" s="53"/>
      <c r="D103" s="57">
        <f>S103/SUM(S14:S16)</f>
        <v>5.6576786865186969E-5</v>
      </c>
      <c r="E103" s="55" t="s">
        <v>67</v>
      </c>
      <c r="F103" s="44">
        <v>1904</v>
      </c>
      <c r="G103" s="45">
        <v>2892</v>
      </c>
      <c r="H103" s="45">
        <v>4010</v>
      </c>
      <c r="I103" s="45">
        <v>2769</v>
      </c>
      <c r="J103" s="45">
        <v>2319</v>
      </c>
      <c r="K103" s="45">
        <v>3035</v>
      </c>
      <c r="L103" s="45">
        <v>1663</v>
      </c>
      <c r="M103" s="45">
        <v>1515</v>
      </c>
      <c r="N103" s="45">
        <v>1461</v>
      </c>
      <c r="O103" s="45">
        <v>719</v>
      </c>
      <c r="P103" s="45">
        <v>1542</v>
      </c>
      <c r="Q103" s="80">
        <v>2665</v>
      </c>
      <c r="R103" s="19"/>
      <c r="S103" s="113">
        <f t="shared" si="11"/>
        <v>26494</v>
      </c>
    </row>
    <row r="104" spans="2:19" ht="18" customHeight="1">
      <c r="B104" s="126" t="s">
        <v>52</v>
      </c>
      <c r="C104" s="53"/>
      <c r="D104" s="57">
        <f>D101-SUM(D102:D103)</f>
        <v>2.3657012869239183E-4</v>
      </c>
      <c r="E104" s="55" t="s">
        <v>67</v>
      </c>
      <c r="F104" s="44">
        <f t="shared" ref="F104:Q104" si="12">F101-SUM(F102:F103)</f>
        <v>10000</v>
      </c>
      <c r="G104" s="45">
        <f t="shared" si="12"/>
        <v>11912</v>
      </c>
      <c r="H104" s="45">
        <f t="shared" si="12"/>
        <v>13506</v>
      </c>
      <c r="I104" s="45">
        <f t="shared" si="12"/>
        <v>12487</v>
      </c>
      <c r="J104" s="45">
        <f t="shared" si="12"/>
        <v>9680</v>
      </c>
      <c r="K104" s="45">
        <f t="shared" si="12"/>
        <v>12867</v>
      </c>
      <c r="L104" s="45">
        <f t="shared" si="12"/>
        <v>11498</v>
      </c>
      <c r="M104" s="45">
        <f t="shared" si="12"/>
        <v>9065</v>
      </c>
      <c r="N104" s="45">
        <f t="shared" si="12"/>
        <v>11952</v>
      </c>
      <c r="O104" s="45">
        <f t="shared" si="12"/>
        <v>8028</v>
      </c>
      <c r="P104" s="45">
        <f t="shared" si="12"/>
        <v>9937</v>
      </c>
      <c r="Q104" s="80">
        <f t="shared" si="12"/>
        <v>15493</v>
      </c>
      <c r="R104" s="19"/>
      <c r="S104" s="70">
        <f t="shared" si="11"/>
        <v>136425</v>
      </c>
    </row>
    <row r="105" spans="2:19" ht="18" customHeight="1">
      <c r="B105" s="284"/>
      <c r="C105" s="285"/>
      <c r="D105" s="285"/>
      <c r="E105" s="285"/>
      <c r="F105" s="89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114"/>
      <c r="R105" s="19"/>
      <c r="S105" s="115"/>
    </row>
    <row r="106" spans="2:19" ht="18" customHeight="1">
      <c r="B106" s="40" t="s">
        <v>58</v>
      </c>
      <c r="C106" s="59"/>
      <c r="D106" s="91"/>
      <c r="E106" s="55"/>
      <c r="F106" s="89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114"/>
      <c r="R106" s="19"/>
      <c r="S106" s="70"/>
    </row>
    <row r="107" spans="2:19" s="3" customFormat="1" ht="18" customHeight="1">
      <c r="B107" s="46" t="s">
        <v>43</v>
      </c>
      <c r="C107" s="47"/>
      <c r="D107" s="88">
        <f>S107/S8</f>
        <v>1.3230725285313707E-2</v>
      </c>
      <c r="E107" s="49" t="s">
        <v>68</v>
      </c>
      <c r="F107" s="61">
        <v>576934</v>
      </c>
      <c r="G107" s="60">
        <v>711126</v>
      </c>
      <c r="H107" s="60">
        <v>782041</v>
      </c>
      <c r="I107" s="60">
        <v>739379</v>
      </c>
      <c r="J107" s="60">
        <v>585067</v>
      </c>
      <c r="K107" s="60">
        <v>760275</v>
      </c>
      <c r="L107" s="60">
        <v>592254</v>
      </c>
      <c r="M107" s="60">
        <v>455799</v>
      </c>
      <c r="N107" s="60">
        <v>566027</v>
      </c>
      <c r="O107" s="60">
        <v>374624</v>
      </c>
      <c r="P107" s="60">
        <v>486302</v>
      </c>
      <c r="Q107" s="86">
        <v>723265</v>
      </c>
      <c r="R107" s="85"/>
      <c r="S107" s="87">
        <f t="shared" si="11"/>
        <v>7353093</v>
      </c>
    </row>
    <row r="108" spans="2:19" ht="18" customHeight="1">
      <c r="B108" s="126" t="s">
        <v>60</v>
      </c>
      <c r="C108" s="53"/>
      <c r="D108" s="57" t="e">
        <f>S108/S8</f>
        <v>#REF!</v>
      </c>
      <c r="E108" s="55" t="s">
        <v>68</v>
      </c>
      <c r="F108" s="44" t="e">
        <f>SUM(#REF!,#REF!)</f>
        <v>#REF!</v>
      </c>
      <c r="G108" s="45" t="e">
        <f>SUM(#REF!,#REF!)</f>
        <v>#REF!</v>
      </c>
      <c r="H108" s="45" t="e">
        <f>SUM(#REF!,#REF!)</f>
        <v>#REF!</v>
      </c>
      <c r="I108" s="45" t="e">
        <f>SUM(#REF!,#REF!)</f>
        <v>#REF!</v>
      </c>
      <c r="J108" s="45" t="e">
        <f>SUM(#REF!,#REF!)</f>
        <v>#REF!</v>
      </c>
      <c r="K108" s="45" t="e">
        <f>SUM(#REF!,#REF!)</f>
        <v>#REF!</v>
      </c>
      <c r="L108" s="45" t="e">
        <f>SUM(#REF!,#REF!)</f>
        <v>#REF!</v>
      </c>
      <c r="M108" s="45" t="e">
        <f>SUM(#REF!,#REF!)</f>
        <v>#REF!</v>
      </c>
      <c r="N108" s="45" t="e">
        <f>SUM(#REF!,#REF!)</f>
        <v>#REF!</v>
      </c>
      <c r="O108" s="45" t="e">
        <f>SUM(#REF!,#REF!)</f>
        <v>#REF!</v>
      </c>
      <c r="P108" s="45" t="e">
        <f>SUM(#REF!,#REF!)</f>
        <v>#REF!</v>
      </c>
      <c r="Q108" s="80" t="e">
        <f>SUM(#REF!,#REF!)</f>
        <v>#REF!</v>
      </c>
      <c r="R108" s="19"/>
      <c r="S108" s="70" t="e">
        <f t="shared" si="11"/>
        <v>#REF!</v>
      </c>
    </row>
    <row r="109" spans="2:19" ht="18" customHeight="1">
      <c r="B109" s="126" t="s">
        <v>61</v>
      </c>
      <c r="C109" s="53"/>
      <c r="D109" s="57" t="e">
        <f>S109/SUM(S14:S16)</f>
        <v>#REF!</v>
      </c>
      <c r="E109" s="55" t="s">
        <v>68</v>
      </c>
      <c r="F109" s="44" t="e">
        <f>SUM(#REF!,#REF!)</f>
        <v>#REF!</v>
      </c>
      <c r="G109" s="45" t="e">
        <f>SUM(#REF!,#REF!)</f>
        <v>#REF!</v>
      </c>
      <c r="H109" s="45" t="e">
        <f>SUM(#REF!,#REF!)</f>
        <v>#REF!</v>
      </c>
      <c r="I109" s="45" t="e">
        <f>SUM(#REF!,#REF!)</f>
        <v>#REF!</v>
      </c>
      <c r="J109" s="45" t="e">
        <f>SUM(#REF!,#REF!)</f>
        <v>#REF!</v>
      </c>
      <c r="K109" s="45" t="e">
        <f>SUM(#REF!,#REF!)</f>
        <v>#REF!</v>
      </c>
      <c r="L109" s="45" t="e">
        <f>SUM(#REF!,#REF!)</f>
        <v>#REF!</v>
      </c>
      <c r="M109" s="45" t="e">
        <f>SUM(#REF!,#REF!)</f>
        <v>#REF!</v>
      </c>
      <c r="N109" s="45" t="e">
        <f>SUM(#REF!,#REF!)</f>
        <v>#REF!</v>
      </c>
      <c r="O109" s="45" t="e">
        <f>SUM(#REF!,#REF!)</f>
        <v>#REF!</v>
      </c>
      <c r="P109" s="45" t="e">
        <f>SUM(#REF!,#REF!)</f>
        <v>#REF!</v>
      </c>
      <c r="Q109" s="80" t="e">
        <f>SUM(#REF!,#REF!)</f>
        <v>#REF!</v>
      </c>
      <c r="R109" s="19"/>
      <c r="S109" s="70" t="e">
        <f t="shared" si="11"/>
        <v>#REF!</v>
      </c>
    </row>
    <row r="110" spans="2:19" ht="18" customHeight="1">
      <c r="B110" s="126" t="s">
        <v>62</v>
      </c>
      <c r="C110" s="53"/>
      <c r="D110" s="57" t="e">
        <f>S110/S20</f>
        <v>#REF!</v>
      </c>
      <c r="E110" s="55" t="s">
        <v>68</v>
      </c>
      <c r="F110" s="44" t="e">
        <f>#REF!</f>
        <v>#REF!</v>
      </c>
      <c r="G110" s="45" t="e">
        <f>#REF!</f>
        <v>#REF!</v>
      </c>
      <c r="H110" s="45" t="e">
        <f>#REF!</f>
        <v>#REF!</v>
      </c>
      <c r="I110" s="45" t="e">
        <f>#REF!</f>
        <v>#REF!</v>
      </c>
      <c r="J110" s="45" t="e">
        <f>#REF!</f>
        <v>#REF!</v>
      </c>
      <c r="K110" s="45" t="e">
        <f>#REF!</f>
        <v>#REF!</v>
      </c>
      <c r="L110" s="45" t="e">
        <f>#REF!</f>
        <v>#REF!</v>
      </c>
      <c r="M110" s="45" t="e">
        <f>#REF!</f>
        <v>#REF!</v>
      </c>
      <c r="N110" s="45" t="e">
        <f>#REF!</f>
        <v>#REF!</v>
      </c>
      <c r="O110" s="45" t="e">
        <f>#REF!</f>
        <v>#REF!</v>
      </c>
      <c r="P110" s="45" t="e">
        <f>#REF!</f>
        <v>#REF!</v>
      </c>
      <c r="Q110" s="80" t="e">
        <f>#REF!</f>
        <v>#REF!</v>
      </c>
      <c r="R110" s="19"/>
      <c r="S110" s="70" t="e">
        <f t="shared" si="11"/>
        <v>#REF!</v>
      </c>
    </row>
    <row r="111" spans="2:19" ht="18" customHeight="1">
      <c r="B111" s="126" t="s">
        <v>52</v>
      </c>
      <c r="C111" s="53"/>
      <c r="D111" s="99" t="e">
        <f>D107-SUM(D108:D110)</f>
        <v>#REF!</v>
      </c>
      <c r="E111" s="55" t="s">
        <v>68</v>
      </c>
      <c r="F111" s="44" t="e">
        <f t="shared" ref="F111:Q111" si="13">F107-SUM(F108:F110)</f>
        <v>#REF!</v>
      </c>
      <c r="G111" s="45" t="e">
        <f t="shared" si="13"/>
        <v>#REF!</v>
      </c>
      <c r="H111" s="45" t="e">
        <f t="shared" si="13"/>
        <v>#REF!</v>
      </c>
      <c r="I111" s="45" t="e">
        <f t="shared" si="13"/>
        <v>#REF!</v>
      </c>
      <c r="J111" s="45" t="e">
        <f t="shared" si="13"/>
        <v>#REF!</v>
      </c>
      <c r="K111" s="45" t="e">
        <f t="shared" si="13"/>
        <v>#REF!</v>
      </c>
      <c r="L111" s="45" t="e">
        <f t="shared" si="13"/>
        <v>#REF!</v>
      </c>
      <c r="M111" s="45" t="e">
        <f t="shared" si="13"/>
        <v>#REF!</v>
      </c>
      <c r="N111" s="45" t="e">
        <f t="shared" si="13"/>
        <v>#REF!</v>
      </c>
      <c r="O111" s="45" t="e">
        <f t="shared" si="13"/>
        <v>#REF!</v>
      </c>
      <c r="P111" s="45" t="e">
        <f t="shared" si="13"/>
        <v>#REF!</v>
      </c>
      <c r="Q111" s="80" t="e">
        <f t="shared" si="13"/>
        <v>#REF!</v>
      </c>
      <c r="R111" s="19"/>
      <c r="S111" s="70" t="e">
        <f t="shared" si="11"/>
        <v>#REF!</v>
      </c>
    </row>
    <row r="112" spans="2:19" ht="18" customHeight="1" thickBot="1">
      <c r="B112" s="92"/>
      <c r="C112" s="32"/>
      <c r="D112" s="32"/>
      <c r="E112" s="93"/>
      <c r="F112" s="94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116"/>
      <c r="R112" s="19"/>
      <c r="S112" s="72"/>
    </row>
    <row r="114" spans="2:19" customFormat="1">
      <c r="B114" s="100" t="s">
        <v>69</v>
      </c>
      <c r="C114" s="100"/>
      <c r="D114" s="1"/>
      <c r="E114" s="1"/>
      <c r="I114" s="1"/>
      <c r="J114" s="1"/>
      <c r="K114" s="1"/>
      <c r="P114" s="1"/>
      <c r="Q114" s="1"/>
      <c r="R114" s="1"/>
      <c r="S114" s="1"/>
    </row>
    <row r="115" spans="2:19" customFormat="1" ht="18.95" customHeight="1">
      <c r="B115" s="1" t="s">
        <v>70</v>
      </c>
      <c r="C115" s="1"/>
      <c r="D115" s="1"/>
      <c r="E115" s="1"/>
      <c r="I115" s="1"/>
      <c r="J115" s="1"/>
      <c r="K115" s="1"/>
      <c r="P115" s="1"/>
      <c r="Q115" s="1"/>
      <c r="R115" s="1"/>
      <c r="S115" s="1"/>
    </row>
    <row r="116" spans="2:19" customFormat="1">
      <c r="B116" s="1"/>
      <c r="C116" s="1"/>
      <c r="D116" s="1"/>
      <c r="E116" s="1"/>
      <c r="I116" s="1"/>
      <c r="J116" s="1"/>
      <c r="K116" s="1"/>
      <c r="P116" s="1"/>
      <c r="Q116" s="1"/>
      <c r="R116" s="1"/>
      <c r="S116" s="1"/>
    </row>
    <row r="117" spans="2:19" customFormat="1">
      <c r="B117" s="1"/>
      <c r="C117" s="1"/>
      <c r="D117" s="1"/>
      <c r="E117" s="1"/>
      <c r="I117" s="1"/>
      <c r="J117" s="1"/>
      <c r="K117" s="1"/>
      <c r="P117" s="1"/>
      <c r="Q117" s="1"/>
      <c r="R117" s="1"/>
      <c r="S117" s="1"/>
    </row>
    <row r="118" spans="2:19" customFormat="1" ht="23.1" customHeight="1">
      <c r="B118" s="260" t="s">
        <v>71</v>
      </c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/>
      <c r="N118" s="260"/>
      <c r="O118" s="260"/>
      <c r="P118" s="260"/>
      <c r="Q118" s="260"/>
      <c r="R118" s="260"/>
      <c r="S118" s="260"/>
    </row>
    <row r="119" spans="2:19" customFormat="1" ht="21.95" customHeight="1" thickBot="1">
      <c r="B119" s="1"/>
      <c r="C119" s="1"/>
      <c r="D119" s="1"/>
      <c r="E119" s="1"/>
      <c r="I119" s="1"/>
      <c r="J119" s="1"/>
      <c r="K119" s="1"/>
      <c r="P119" s="1"/>
      <c r="Q119" s="1"/>
      <c r="R119" s="1"/>
      <c r="S119" s="1"/>
    </row>
    <row r="120" spans="2:19" ht="21.95" customHeight="1" thickBot="1">
      <c r="F120" s="281">
        <v>2020</v>
      </c>
      <c r="G120" s="282"/>
      <c r="H120" s="282"/>
      <c r="I120" s="282"/>
      <c r="J120" s="282"/>
      <c r="K120" s="282"/>
      <c r="L120" s="282"/>
      <c r="M120" s="282"/>
      <c r="N120" s="282"/>
      <c r="O120" s="282"/>
      <c r="P120" s="282"/>
      <c r="Q120" s="283"/>
      <c r="S120" s="64" t="s">
        <v>0</v>
      </c>
    </row>
    <row r="121" spans="2:19" ht="21.95" customHeight="1">
      <c r="B121" s="266" t="s">
        <v>72</v>
      </c>
      <c r="C121" s="267"/>
      <c r="D121" s="267"/>
      <c r="E121" s="267"/>
      <c r="F121" s="33">
        <v>20</v>
      </c>
      <c r="G121" s="34">
        <v>29</v>
      </c>
      <c r="H121" s="34">
        <v>31</v>
      </c>
      <c r="I121" s="34">
        <v>29</v>
      </c>
      <c r="J121" s="34">
        <v>22</v>
      </c>
      <c r="K121" s="34">
        <v>30</v>
      </c>
      <c r="L121" s="34">
        <v>23</v>
      </c>
      <c r="M121" s="34">
        <v>17</v>
      </c>
      <c r="N121" s="34">
        <v>22</v>
      </c>
      <c r="O121" s="34">
        <v>13</v>
      </c>
      <c r="P121" s="34">
        <v>17</v>
      </c>
      <c r="Q121" s="76">
        <v>31</v>
      </c>
      <c r="S121" s="291">
        <f>SUM(F121:Q121)</f>
        <v>284</v>
      </c>
    </row>
    <row r="122" spans="2:19" ht="21.95" customHeight="1" thickBot="1">
      <c r="B122" s="269"/>
      <c r="C122" s="270"/>
      <c r="D122" s="270"/>
      <c r="E122" s="270"/>
      <c r="F122" s="10" t="s">
        <v>5</v>
      </c>
      <c r="G122" s="11" t="s">
        <v>6</v>
      </c>
      <c r="H122" s="11" t="s">
        <v>7</v>
      </c>
      <c r="I122" s="11" t="s">
        <v>8</v>
      </c>
      <c r="J122" s="11" t="s">
        <v>9</v>
      </c>
      <c r="K122" s="11" t="s">
        <v>10</v>
      </c>
      <c r="L122" s="11" t="s">
        <v>11</v>
      </c>
      <c r="M122" s="11" t="s">
        <v>12</v>
      </c>
      <c r="N122" s="11" t="s">
        <v>13</v>
      </c>
      <c r="O122" s="11" t="s">
        <v>14</v>
      </c>
      <c r="P122" s="11" t="s">
        <v>15</v>
      </c>
      <c r="Q122" s="66" t="s">
        <v>16</v>
      </c>
      <c r="S122" s="289"/>
    </row>
    <row r="123" spans="2:19" s="4" customFormat="1" ht="21.95" customHeight="1">
      <c r="B123" s="12" t="s">
        <v>73</v>
      </c>
      <c r="C123" s="13"/>
      <c r="D123" s="101"/>
      <c r="E123" s="102"/>
      <c r="F123" s="103">
        <f t="shared" ref="F123:Q123" si="14">F8</f>
        <v>43483127</v>
      </c>
      <c r="G123" s="104">
        <f t="shared" si="14"/>
        <v>29035670.000000004</v>
      </c>
      <c r="H123" s="104">
        <f t="shared" si="14"/>
        <v>51822527</v>
      </c>
      <c r="I123" s="104">
        <f t="shared" si="14"/>
        <v>45758360</v>
      </c>
      <c r="J123" s="104">
        <f t="shared" si="14"/>
        <v>48290547</v>
      </c>
      <c r="K123" s="104">
        <f t="shared" si="14"/>
        <v>49740939</v>
      </c>
      <c r="L123" s="104">
        <f t="shared" si="14"/>
        <v>48669136</v>
      </c>
      <c r="M123" s="104">
        <f t="shared" si="14"/>
        <v>54214019</v>
      </c>
      <c r="N123" s="104">
        <f t="shared" si="14"/>
        <v>50949554</v>
      </c>
      <c r="O123" s="104">
        <f t="shared" si="14"/>
        <v>54292828</v>
      </c>
      <c r="P123" s="104">
        <f t="shared" si="14"/>
        <v>49733807</v>
      </c>
      <c r="Q123" s="119">
        <f t="shared" si="14"/>
        <v>29768361</v>
      </c>
      <c r="R123" s="15"/>
      <c r="S123" s="120">
        <f>SUM(F123:Q123)</f>
        <v>555758875</v>
      </c>
    </row>
    <row r="124" spans="2:19" ht="21.95" customHeight="1">
      <c r="B124" s="16" t="s">
        <v>74</v>
      </c>
      <c r="C124" s="17"/>
      <c r="D124" s="105">
        <f>S124/S127*100</f>
        <v>53.154649926668682</v>
      </c>
      <c r="E124" s="14" t="s">
        <v>75</v>
      </c>
      <c r="F124" s="106">
        <v>307.8617505542</v>
      </c>
      <c r="G124" s="29">
        <v>0</v>
      </c>
      <c r="H124" s="29">
        <v>0</v>
      </c>
      <c r="I124" s="29">
        <v>0</v>
      </c>
      <c r="J124" s="29">
        <v>237</v>
      </c>
      <c r="K124" s="29">
        <v>0</v>
      </c>
      <c r="L124" s="29">
        <v>246.23777647058799</v>
      </c>
      <c r="M124" s="29">
        <v>353.14815294117602</v>
      </c>
      <c r="N124" s="29">
        <v>120</v>
      </c>
      <c r="O124" s="29">
        <v>451.54853012048198</v>
      </c>
      <c r="P124" s="29">
        <v>331.22102409638597</v>
      </c>
      <c r="Q124" s="121">
        <v>0</v>
      </c>
      <c r="R124" s="19"/>
      <c r="S124" s="84">
        <f>SUM(F124:Q124)</f>
        <v>2047.0172341828318</v>
      </c>
    </row>
    <row r="125" spans="2:19" ht="21.95" customHeight="1">
      <c r="B125" s="16" t="s">
        <v>76</v>
      </c>
      <c r="C125" s="17"/>
      <c r="D125" s="107">
        <f>S125/S127*100</f>
        <v>10.145745403048572</v>
      </c>
      <c r="E125" s="14" t="s">
        <v>75</v>
      </c>
      <c r="F125" s="106">
        <v>0</v>
      </c>
      <c r="G125" s="29">
        <v>0</v>
      </c>
      <c r="H125" s="29">
        <v>0</v>
      </c>
      <c r="I125" s="29">
        <v>50.850892307692298</v>
      </c>
      <c r="J125" s="29">
        <v>75</v>
      </c>
      <c r="K125" s="29">
        <v>0</v>
      </c>
      <c r="L125" s="29">
        <v>0</v>
      </c>
      <c r="M125" s="29">
        <v>0</v>
      </c>
      <c r="N125" s="29">
        <v>192.758602409639</v>
      </c>
      <c r="O125" s="29">
        <v>72.109204819277096</v>
      </c>
      <c r="P125" s="29">
        <v>0</v>
      </c>
      <c r="Q125" s="121">
        <v>0</v>
      </c>
      <c r="R125" s="19"/>
      <c r="S125" s="84">
        <f>SUM(F125:Q125)</f>
        <v>390.71869953660837</v>
      </c>
    </row>
    <row r="126" spans="2:19" ht="21.95" customHeight="1">
      <c r="B126" s="16" t="s">
        <v>77</v>
      </c>
      <c r="C126" s="17"/>
      <c r="D126" s="107">
        <f>S126/S127*100</f>
        <v>36.699604670282731</v>
      </c>
      <c r="E126" s="14" t="s">
        <v>75</v>
      </c>
      <c r="F126" s="106">
        <v>95.5345480526438</v>
      </c>
      <c r="G126" s="29">
        <v>154.65799999999999</v>
      </c>
      <c r="H126" s="29">
        <v>196.2</v>
      </c>
      <c r="I126" s="29">
        <v>29.5100615384615</v>
      </c>
      <c r="J126" s="29">
        <v>0</v>
      </c>
      <c r="K126" s="29">
        <v>94</v>
      </c>
      <c r="L126" s="29">
        <v>138.520169230769</v>
      </c>
      <c r="M126" s="29">
        <v>206.54135384615401</v>
      </c>
      <c r="N126" s="29">
        <v>185.56531325301199</v>
      </c>
      <c r="O126" s="29">
        <v>26.6264457831325</v>
      </c>
      <c r="P126" s="29">
        <v>76.013253012048196</v>
      </c>
      <c r="Q126" s="121">
        <v>210.15449397590399</v>
      </c>
      <c r="R126" s="19"/>
      <c r="S126" s="84">
        <f>SUM(F126:Q126)</f>
        <v>1413.3236386921251</v>
      </c>
    </row>
    <row r="127" spans="2:19" s="4" customFormat="1" ht="21.95" customHeight="1" thickBot="1">
      <c r="B127" s="25" t="s">
        <v>78</v>
      </c>
      <c r="C127" s="26"/>
      <c r="D127" s="108">
        <f>SUM(D124:D126)</f>
        <v>99.999999999999986</v>
      </c>
      <c r="E127" s="109" t="s">
        <v>75</v>
      </c>
      <c r="F127" s="110">
        <f t="shared" ref="F127:Q127" si="15">SUM(F124:F126)</f>
        <v>403.3962986068438</v>
      </c>
      <c r="G127" s="111">
        <f t="shared" si="15"/>
        <v>154.65799999999999</v>
      </c>
      <c r="H127" s="111">
        <f t="shared" si="15"/>
        <v>196.2</v>
      </c>
      <c r="I127" s="111">
        <f t="shared" si="15"/>
        <v>80.360953846153791</v>
      </c>
      <c r="J127" s="111">
        <f t="shared" si="15"/>
        <v>312</v>
      </c>
      <c r="K127" s="111">
        <f t="shared" si="15"/>
        <v>94</v>
      </c>
      <c r="L127" s="111">
        <f t="shared" si="15"/>
        <v>384.75794570135702</v>
      </c>
      <c r="M127" s="111">
        <f t="shared" si="15"/>
        <v>559.68950678733006</v>
      </c>
      <c r="N127" s="111">
        <f t="shared" si="15"/>
        <v>498.32391566265102</v>
      </c>
      <c r="O127" s="111">
        <f t="shared" si="15"/>
        <v>550.28418072289151</v>
      </c>
      <c r="P127" s="111">
        <f t="shared" si="15"/>
        <v>407.23427710843418</v>
      </c>
      <c r="Q127" s="122">
        <f t="shared" si="15"/>
        <v>210.15449397590399</v>
      </c>
      <c r="R127" s="15"/>
      <c r="S127" s="123">
        <f>SUM(F127:Q127)</f>
        <v>3851.0595724115656</v>
      </c>
    </row>
    <row r="128" spans="2:19" customFormat="1" ht="21.95" customHeight="1">
      <c r="B128" s="1"/>
      <c r="C128" s="1"/>
      <c r="D128" s="1"/>
      <c r="E128" s="1"/>
      <c r="I128" s="1"/>
      <c r="J128" s="1"/>
      <c r="K128" s="1"/>
      <c r="P128" s="1"/>
      <c r="Q128" s="1"/>
      <c r="R128" s="1"/>
      <c r="S128" s="1"/>
    </row>
    <row r="129" spans="2:19" customFormat="1" ht="21.95" customHeight="1" thickBot="1">
      <c r="B129" s="1"/>
      <c r="C129" s="1"/>
      <c r="D129" s="1"/>
      <c r="E129" s="1"/>
      <c r="I129" s="1"/>
      <c r="J129" s="1"/>
      <c r="K129" s="1"/>
      <c r="P129" s="1"/>
      <c r="Q129" s="1"/>
      <c r="R129" s="1"/>
      <c r="S129" s="1"/>
    </row>
    <row r="130" spans="2:19" ht="21.95" customHeight="1" thickBot="1">
      <c r="B130" s="100" t="s">
        <v>79</v>
      </c>
      <c r="C130" s="100"/>
      <c r="F130" s="281">
        <v>2020</v>
      </c>
      <c r="G130" s="282"/>
      <c r="H130" s="282"/>
      <c r="I130" s="282"/>
      <c r="J130" s="282"/>
      <c r="K130" s="282"/>
      <c r="L130" s="282"/>
      <c r="M130" s="282"/>
      <c r="N130" s="282"/>
      <c r="O130" s="282"/>
      <c r="P130" s="282"/>
      <c r="Q130" s="283"/>
      <c r="S130" s="64" t="s">
        <v>0</v>
      </c>
    </row>
    <row r="131" spans="2:19" ht="21.95" customHeight="1">
      <c r="B131" s="266" t="s">
        <v>80</v>
      </c>
      <c r="C131" s="267"/>
      <c r="D131" s="267"/>
      <c r="E131" s="267"/>
      <c r="F131" s="33">
        <v>20</v>
      </c>
      <c r="G131" s="34">
        <v>29</v>
      </c>
      <c r="H131" s="34">
        <v>31</v>
      </c>
      <c r="I131" s="34">
        <v>29</v>
      </c>
      <c r="J131" s="34">
        <v>22</v>
      </c>
      <c r="K131" s="34">
        <v>30</v>
      </c>
      <c r="L131" s="34">
        <v>23</v>
      </c>
      <c r="M131" s="34">
        <v>17</v>
      </c>
      <c r="N131" s="34">
        <v>22</v>
      </c>
      <c r="O131" s="34">
        <v>13</v>
      </c>
      <c r="P131" s="34">
        <v>17</v>
      </c>
      <c r="Q131" s="76">
        <v>31</v>
      </c>
      <c r="S131" s="291">
        <f t="shared" ref="S131:S139" si="16">SUM(F131:Q131)</f>
        <v>284</v>
      </c>
    </row>
    <row r="132" spans="2:19" ht="21.95" customHeight="1" thickBot="1">
      <c r="B132" s="269"/>
      <c r="C132" s="270"/>
      <c r="D132" s="270"/>
      <c r="E132" s="270"/>
      <c r="F132" s="10" t="s">
        <v>5</v>
      </c>
      <c r="G132" s="11" t="s">
        <v>6</v>
      </c>
      <c r="H132" s="11" t="s">
        <v>7</v>
      </c>
      <c r="I132" s="11" t="s">
        <v>8</v>
      </c>
      <c r="J132" s="11" t="s">
        <v>9</v>
      </c>
      <c r="K132" s="11" t="s">
        <v>10</v>
      </c>
      <c r="L132" s="11" t="s">
        <v>11</v>
      </c>
      <c r="M132" s="11" t="s">
        <v>12</v>
      </c>
      <c r="N132" s="11" t="s">
        <v>13</v>
      </c>
      <c r="O132" s="11" t="s">
        <v>14</v>
      </c>
      <c r="P132" s="11" t="s">
        <v>15</v>
      </c>
      <c r="Q132" s="66" t="s">
        <v>16</v>
      </c>
      <c r="S132" s="289"/>
    </row>
    <row r="133" spans="2:19" ht="21.95" customHeight="1">
      <c r="B133" s="16" t="s">
        <v>81</v>
      </c>
      <c r="C133" s="17"/>
      <c r="D133" s="105">
        <f>S133/S139*100</f>
        <v>6.5240326589117004</v>
      </c>
      <c r="E133" s="14" t="s">
        <v>75</v>
      </c>
      <c r="F133" s="106">
        <v>251.24483076923099</v>
      </c>
      <c r="G133" s="29">
        <v>0</v>
      </c>
      <c r="H133" s="29">
        <v>0</v>
      </c>
      <c r="I133" s="29">
        <v>0</v>
      </c>
      <c r="J133" s="29">
        <v>0</v>
      </c>
      <c r="K133" s="29">
        <v>0</v>
      </c>
      <c r="L133" s="29">
        <v>0</v>
      </c>
      <c r="M133" s="29">
        <v>0</v>
      </c>
      <c r="N133" s="29">
        <v>0</v>
      </c>
      <c r="O133" s="29">
        <v>0</v>
      </c>
      <c r="P133" s="29">
        <v>0</v>
      </c>
      <c r="Q133" s="121">
        <v>0</v>
      </c>
      <c r="R133" s="19"/>
      <c r="S133" s="84">
        <f t="shared" si="16"/>
        <v>251.24483076923099</v>
      </c>
    </row>
    <row r="134" spans="2:19" ht="21.95" customHeight="1">
      <c r="B134" s="16" t="s">
        <v>82</v>
      </c>
      <c r="C134" s="17"/>
      <c r="D134" s="107">
        <f>S134/S139*100</f>
        <v>6.1541395117587827</v>
      </c>
      <c r="E134" s="14" t="s">
        <v>75</v>
      </c>
      <c r="F134" s="106">
        <v>0</v>
      </c>
      <c r="G134" s="29">
        <v>0</v>
      </c>
      <c r="H134" s="29">
        <v>0</v>
      </c>
      <c r="I134" s="29">
        <v>0</v>
      </c>
      <c r="J134" s="29">
        <v>237</v>
      </c>
      <c r="K134" s="29">
        <v>0</v>
      </c>
      <c r="L134" s="29">
        <v>0</v>
      </c>
      <c r="M134" s="29">
        <v>0</v>
      </c>
      <c r="N134" s="29">
        <v>0</v>
      </c>
      <c r="O134" s="29">
        <v>0</v>
      </c>
      <c r="P134" s="29">
        <v>0</v>
      </c>
      <c r="Q134" s="121">
        <v>0</v>
      </c>
      <c r="R134" s="19"/>
      <c r="S134" s="84">
        <f t="shared" si="16"/>
        <v>237</v>
      </c>
    </row>
    <row r="135" spans="2:19" ht="21.95" customHeight="1">
      <c r="B135" s="16" t="s">
        <v>83</v>
      </c>
      <c r="C135" s="17"/>
      <c r="D135" s="107">
        <f>S135/S139*100</f>
        <v>9.6620222038664618</v>
      </c>
      <c r="E135" s="14" t="s">
        <v>75</v>
      </c>
      <c r="F135" s="106"/>
      <c r="G135" s="29"/>
      <c r="H135" s="29"/>
      <c r="I135" s="29">
        <v>50.850892307692298</v>
      </c>
      <c r="J135" s="29">
        <v>75</v>
      </c>
      <c r="K135" s="29">
        <v>0</v>
      </c>
      <c r="L135" s="29">
        <v>246.24</v>
      </c>
      <c r="M135" s="29">
        <v>0</v>
      </c>
      <c r="N135" s="29">
        <v>0</v>
      </c>
      <c r="O135" s="29">
        <v>0</v>
      </c>
      <c r="P135" s="29">
        <v>0</v>
      </c>
      <c r="Q135" s="121">
        <v>0</v>
      </c>
      <c r="R135" s="19"/>
      <c r="S135" s="84">
        <f t="shared" si="16"/>
        <v>372.09089230769234</v>
      </c>
    </row>
    <row r="136" spans="2:19" ht="21.95" customHeight="1">
      <c r="B136" s="16" t="s">
        <v>84</v>
      </c>
      <c r="C136" s="17"/>
      <c r="D136" s="107">
        <f>S136/S139*100</f>
        <v>2.6313773391513093</v>
      </c>
      <c r="E136" s="14" t="s">
        <v>75</v>
      </c>
      <c r="F136" s="106">
        <v>7.3360890157383301</v>
      </c>
      <c r="G136" s="29"/>
      <c r="H136" s="29"/>
      <c r="I136" s="29">
        <v>0</v>
      </c>
      <c r="J136" s="29">
        <v>0</v>
      </c>
      <c r="K136" s="29">
        <v>94</v>
      </c>
      <c r="L136" s="29">
        <v>0</v>
      </c>
      <c r="M136" s="29">
        <v>0</v>
      </c>
      <c r="N136" s="29">
        <v>0</v>
      </c>
      <c r="O136" s="29">
        <v>0</v>
      </c>
      <c r="P136" s="29">
        <v>0</v>
      </c>
      <c r="Q136" s="121">
        <v>0</v>
      </c>
      <c r="R136" s="19"/>
      <c r="S136" s="84">
        <f t="shared" si="16"/>
        <v>101.33608901573832</v>
      </c>
    </row>
    <row r="137" spans="2:19" ht="21.95" customHeight="1">
      <c r="B137" s="16" t="s">
        <v>85</v>
      </c>
      <c r="C137" s="17"/>
      <c r="D137" s="107">
        <f>S137/S139*100</f>
        <v>0.76628285108978522</v>
      </c>
      <c r="E137" s="14" t="s">
        <v>75</v>
      </c>
      <c r="F137" s="106"/>
      <c r="G137" s="29"/>
      <c r="H137" s="29"/>
      <c r="I137" s="29">
        <v>29.5100615384615</v>
      </c>
      <c r="J137" s="29">
        <v>0</v>
      </c>
      <c r="K137" s="29">
        <v>0</v>
      </c>
      <c r="L137" s="29">
        <v>0</v>
      </c>
      <c r="M137" s="29">
        <v>0</v>
      </c>
      <c r="N137" s="29">
        <v>0</v>
      </c>
      <c r="O137" s="29">
        <v>0</v>
      </c>
      <c r="P137" s="29">
        <v>0</v>
      </c>
      <c r="Q137" s="121">
        <v>0</v>
      </c>
      <c r="R137" s="19"/>
      <c r="S137" s="84">
        <f t="shared" si="16"/>
        <v>29.5100615384615</v>
      </c>
    </row>
    <row r="138" spans="2:19" ht="21.95" customHeight="1">
      <c r="B138" s="16" t="s">
        <v>86</v>
      </c>
      <c r="C138" s="17"/>
      <c r="D138" s="107">
        <f>S138/S139*100</f>
        <v>74.262145435221953</v>
      </c>
      <c r="E138" s="14" t="s">
        <v>75</v>
      </c>
      <c r="F138" s="106">
        <v>144.82</v>
      </c>
      <c r="G138" s="29">
        <v>154.65799999999999</v>
      </c>
      <c r="H138" s="29">
        <v>196.2</v>
      </c>
      <c r="I138" s="29">
        <v>0</v>
      </c>
      <c r="J138" s="29">
        <v>0</v>
      </c>
      <c r="K138" s="29">
        <v>0</v>
      </c>
      <c r="L138" s="29">
        <v>138.520169230769</v>
      </c>
      <c r="M138" s="29">
        <v>559.68950678732995</v>
      </c>
      <c r="N138" s="29">
        <v>498.32391566265102</v>
      </c>
      <c r="O138" s="29">
        <v>550.28418072289196</v>
      </c>
      <c r="P138" s="29">
        <v>407.23427710843401</v>
      </c>
      <c r="Q138" s="121">
        <v>210.15449397590399</v>
      </c>
      <c r="R138" s="19"/>
      <c r="S138" s="84">
        <f t="shared" si="16"/>
        <v>2859.88454348798</v>
      </c>
    </row>
    <row r="139" spans="2:19" s="4" customFormat="1" ht="21.95" customHeight="1" thickBot="1">
      <c r="B139" s="25" t="s">
        <v>87</v>
      </c>
      <c r="C139" s="26"/>
      <c r="D139" s="108">
        <f>SUM(D133:D138)</f>
        <v>99.999999999999986</v>
      </c>
      <c r="E139" s="109" t="s">
        <v>75</v>
      </c>
      <c r="F139" s="110">
        <f t="shared" ref="F139:Q139" si="17">SUM(F133:F138)</f>
        <v>403.40091978496929</v>
      </c>
      <c r="G139" s="111">
        <f t="shared" si="17"/>
        <v>154.65799999999999</v>
      </c>
      <c r="H139" s="111">
        <f t="shared" si="17"/>
        <v>196.2</v>
      </c>
      <c r="I139" s="111">
        <f t="shared" si="17"/>
        <v>80.360953846153791</v>
      </c>
      <c r="J139" s="111">
        <f t="shared" si="17"/>
        <v>312</v>
      </c>
      <c r="K139" s="111">
        <f t="shared" si="17"/>
        <v>94</v>
      </c>
      <c r="L139" s="111">
        <f t="shared" si="17"/>
        <v>384.76016923076901</v>
      </c>
      <c r="M139" s="111">
        <f t="shared" si="17"/>
        <v>559.68950678732995</v>
      </c>
      <c r="N139" s="111">
        <f t="shared" si="17"/>
        <v>498.32391566265102</v>
      </c>
      <c r="O139" s="111">
        <f t="shared" si="17"/>
        <v>550.28418072289196</v>
      </c>
      <c r="P139" s="111">
        <f t="shared" si="17"/>
        <v>407.23427710843401</v>
      </c>
      <c r="Q139" s="122">
        <f t="shared" si="17"/>
        <v>210.15449397590399</v>
      </c>
      <c r="R139" s="15"/>
      <c r="S139" s="123">
        <f t="shared" si="16"/>
        <v>3851.0664171191029</v>
      </c>
    </row>
    <row r="140" spans="2:19" s="2" customFormat="1" ht="15.75">
      <c r="F140" s="68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S140" s="1"/>
    </row>
    <row r="141" spans="2:19" s="2" customFormat="1" ht="15.75">
      <c r="F141" s="68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S141" s="1"/>
    </row>
    <row r="142" spans="2:19">
      <c r="I142" s="124"/>
    </row>
    <row r="143" spans="2:19">
      <c r="I143" s="125"/>
    </row>
  </sheetData>
  <mergeCells count="26">
    <mergeCell ref="W14:Y14"/>
    <mergeCell ref="S131:S132"/>
    <mergeCell ref="B30:E31"/>
    <mergeCell ref="B45:E46"/>
    <mergeCell ref="B59:E60"/>
    <mergeCell ref="B87:E88"/>
    <mergeCell ref="B131:E132"/>
    <mergeCell ref="B121:E122"/>
    <mergeCell ref="B118:S118"/>
    <mergeCell ref="F120:Q120"/>
    <mergeCell ref="F130:Q130"/>
    <mergeCell ref="S45:S46"/>
    <mergeCell ref="S59:S60"/>
    <mergeCell ref="S87:S88"/>
    <mergeCell ref="S121:S122"/>
    <mergeCell ref="B56:S56"/>
    <mergeCell ref="F58:Q58"/>
    <mergeCell ref="B77:E77"/>
    <mergeCell ref="F86:Q86"/>
    <mergeCell ref="B105:E105"/>
    <mergeCell ref="B2:S2"/>
    <mergeCell ref="F5:Q5"/>
    <mergeCell ref="B6:E6"/>
    <mergeCell ref="F29:Q29"/>
    <mergeCell ref="F44:Q44"/>
    <mergeCell ref="S6:S7"/>
  </mergeCells>
  <pageMargins left="0" right="0" top="0" bottom="0" header="0" footer="0"/>
  <pageSetup paperSize="9" orientation="landscape" r:id="rId1"/>
  <ignoredErrors>
    <ignoredError sqref="E24:E26 E12 E21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Prod-in MT</vt:lpstr>
      <vt:lpstr>Prod -in Kg</vt:lpstr>
      <vt:lpstr>'Prod -in Kg'!Print_Area</vt:lpstr>
      <vt:lpstr>'Prod-in MT'!Print_Area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7258 INL</dc:creator>
  <cp:lastModifiedBy>User</cp:lastModifiedBy>
  <cp:lastPrinted>2022-01-06T08:13:05Z</cp:lastPrinted>
  <dcterms:created xsi:type="dcterms:W3CDTF">2019-05-08T06:22:00Z</dcterms:created>
  <dcterms:modified xsi:type="dcterms:W3CDTF">2022-11-09T01:36:29Z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1033-11.2.0.10296</vt:lpwstr>
  </property>
  <property fmtid="{D5CDD505-2E9C-101B-9397-08002B2CF9AE}" pid="3" name="ICV">
    <vt:lpwstr>EC25B815B9A24E85953E93C1B87291B2</vt:lpwstr>
  </property>
</Properties>
</file>