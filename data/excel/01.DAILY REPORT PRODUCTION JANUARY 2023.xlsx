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duction Report\1. DAILY REPORT SHIFT\1. Report Engieering\1. Production Report\Production Report 2023\"/>
    </mc:Choice>
  </mc:AlternateContent>
  <xr:revisionPtr revIDLastSave="0" documentId="13_ncr:1_{A648D0E5-1D6E-46F9-9131-109F36338C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an-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3" i="1" l="1"/>
  <c r="AL28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AL231" i="1"/>
  <c r="AL228" i="1"/>
  <c r="D228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AL227" i="1" s="1"/>
  <c r="AL226" i="1"/>
  <c r="D226" i="1"/>
  <c r="D227" i="1" s="1"/>
  <c r="AL225" i="1"/>
  <c r="AL224" i="1"/>
  <c r="AL222" i="1"/>
  <c r="AG220" i="1"/>
  <c r="AC220" i="1"/>
  <c r="Y220" i="1"/>
  <c r="U220" i="1"/>
  <c r="Q220" i="1"/>
  <c r="M220" i="1"/>
  <c r="I220" i="1"/>
  <c r="AJ219" i="1"/>
  <c r="AJ220" i="1" s="1"/>
  <c r="AI219" i="1"/>
  <c r="AI220" i="1" s="1"/>
  <c r="AH219" i="1"/>
  <c r="AH220" i="1" s="1"/>
  <c r="AG219" i="1"/>
  <c r="AF219" i="1"/>
  <c r="AF220" i="1" s="1"/>
  <c r="AE219" i="1"/>
  <c r="AE220" i="1" s="1"/>
  <c r="AD219" i="1"/>
  <c r="AD220" i="1" s="1"/>
  <c r="AC219" i="1"/>
  <c r="AB219" i="1"/>
  <c r="AB220" i="1" s="1"/>
  <c r="AA219" i="1"/>
  <c r="AA220" i="1" s="1"/>
  <c r="Z219" i="1"/>
  <c r="Z220" i="1" s="1"/>
  <c r="Y219" i="1"/>
  <c r="X219" i="1"/>
  <c r="X220" i="1" s="1"/>
  <c r="W219" i="1"/>
  <c r="W220" i="1" s="1"/>
  <c r="V219" i="1"/>
  <c r="V220" i="1" s="1"/>
  <c r="U219" i="1"/>
  <c r="T219" i="1"/>
  <c r="T220" i="1" s="1"/>
  <c r="S219" i="1"/>
  <c r="S220" i="1" s="1"/>
  <c r="R219" i="1"/>
  <c r="R220" i="1" s="1"/>
  <c r="Q219" i="1"/>
  <c r="P219" i="1"/>
  <c r="P220" i="1" s="1"/>
  <c r="O219" i="1"/>
  <c r="O220" i="1" s="1"/>
  <c r="N219" i="1"/>
  <c r="N220" i="1" s="1"/>
  <c r="M219" i="1"/>
  <c r="L219" i="1"/>
  <c r="L220" i="1" s="1"/>
  <c r="K219" i="1"/>
  <c r="K220" i="1" s="1"/>
  <c r="J219" i="1"/>
  <c r="J220" i="1" s="1"/>
  <c r="I219" i="1"/>
  <c r="H219" i="1"/>
  <c r="H220" i="1" s="1"/>
  <c r="G219" i="1"/>
  <c r="G220" i="1" s="1"/>
  <c r="F219" i="1"/>
  <c r="AL219" i="1" s="1"/>
  <c r="AL218" i="1"/>
  <c r="AL217" i="1"/>
  <c r="AL215" i="1"/>
  <c r="D215" i="1"/>
  <c r="D219" i="1" s="1"/>
  <c r="D220" i="1" s="1"/>
  <c r="AJ213" i="1"/>
  <c r="AI213" i="1"/>
  <c r="AI212" i="1" s="1"/>
  <c r="AH213" i="1"/>
  <c r="AH212" i="1" s="1"/>
  <c r="AG213" i="1"/>
  <c r="AG212" i="1" s="1"/>
  <c r="AF213" i="1"/>
  <c r="AE213" i="1"/>
  <c r="AE212" i="1" s="1"/>
  <c r="AD213" i="1"/>
  <c r="AC213" i="1"/>
  <c r="AC212" i="1" s="1"/>
  <c r="AB213" i="1"/>
  <c r="AA213" i="1"/>
  <c r="AA212" i="1" s="1"/>
  <c r="Z213" i="1"/>
  <c r="Z212" i="1" s="1"/>
  <c r="Y213" i="1"/>
  <c r="Y212" i="1" s="1"/>
  <c r="X213" i="1"/>
  <c r="W213" i="1"/>
  <c r="W212" i="1" s="1"/>
  <c r="V213" i="1"/>
  <c r="U213" i="1"/>
  <c r="U212" i="1" s="1"/>
  <c r="T213" i="1"/>
  <c r="S213" i="1"/>
  <c r="S212" i="1" s="1"/>
  <c r="R213" i="1"/>
  <c r="R212" i="1" s="1"/>
  <c r="Q213" i="1"/>
  <c r="Q212" i="1" s="1"/>
  <c r="P213" i="1"/>
  <c r="O213" i="1"/>
  <c r="O212" i="1" s="1"/>
  <c r="N213" i="1"/>
  <c r="M213" i="1"/>
  <c r="M212" i="1" s="1"/>
  <c r="L213" i="1"/>
  <c r="K213" i="1"/>
  <c r="K212" i="1" s="1"/>
  <c r="J213" i="1"/>
  <c r="J212" i="1" s="1"/>
  <c r="I213" i="1"/>
  <c r="I212" i="1" s="1"/>
  <c r="H213" i="1"/>
  <c r="G213" i="1"/>
  <c r="G212" i="1" s="1"/>
  <c r="F213" i="1"/>
  <c r="D213" i="1"/>
  <c r="D209" i="1" s="1"/>
  <c r="AJ212" i="1"/>
  <c r="AF212" i="1"/>
  <c r="AD212" i="1"/>
  <c r="AB212" i="1"/>
  <c r="X212" i="1"/>
  <c r="V212" i="1"/>
  <c r="T212" i="1"/>
  <c r="P212" i="1"/>
  <c r="N212" i="1"/>
  <c r="L212" i="1"/>
  <c r="H212" i="1"/>
  <c r="F212" i="1"/>
  <c r="AL211" i="1"/>
  <c r="AL209" i="1"/>
  <c r="AL208" i="1"/>
  <c r="AI206" i="1"/>
  <c r="AH206" i="1"/>
  <c r="AG206" i="1"/>
  <c r="AF206" i="1"/>
  <c r="AE206" i="1"/>
  <c r="AC206" i="1"/>
  <c r="AB206" i="1"/>
  <c r="AA206" i="1"/>
  <c r="Z206" i="1"/>
  <c r="Y206" i="1"/>
  <c r="X206" i="1"/>
  <c r="W206" i="1"/>
  <c r="V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AL204" i="1" s="1"/>
  <c r="H204" i="1"/>
  <c r="G204" i="1"/>
  <c r="F204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AJ202" i="1"/>
  <c r="AI202" i="1"/>
  <c r="AI205" i="1" s="1"/>
  <c r="AH202" i="1"/>
  <c r="AG202" i="1"/>
  <c r="AF202" i="1"/>
  <c r="AE202" i="1"/>
  <c r="AE205" i="1" s="1"/>
  <c r="AD202" i="1"/>
  <c r="AC202" i="1"/>
  <c r="AB202" i="1"/>
  <c r="AA202" i="1"/>
  <c r="AA205" i="1" s="1"/>
  <c r="Z202" i="1"/>
  <c r="Y202" i="1"/>
  <c r="X202" i="1"/>
  <c r="W202" i="1"/>
  <c r="W205" i="1" s="1"/>
  <c r="V202" i="1"/>
  <c r="U202" i="1"/>
  <c r="T202" i="1"/>
  <c r="S202" i="1"/>
  <c r="S205" i="1" s="1"/>
  <c r="R202" i="1"/>
  <c r="Q202" i="1"/>
  <c r="P202" i="1"/>
  <c r="O202" i="1"/>
  <c r="O205" i="1" s="1"/>
  <c r="N202" i="1"/>
  <c r="M202" i="1"/>
  <c r="L202" i="1"/>
  <c r="K202" i="1"/>
  <c r="K205" i="1" s="1"/>
  <c r="J202" i="1"/>
  <c r="I202" i="1"/>
  <c r="H202" i="1"/>
  <c r="G202" i="1"/>
  <c r="G205" i="1" s="1"/>
  <c r="F202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AJ196" i="1"/>
  <c r="AI196" i="1"/>
  <c r="AH196" i="1"/>
  <c r="AG196" i="1"/>
  <c r="AG201" i="1" s="1"/>
  <c r="AF196" i="1"/>
  <c r="AE196" i="1"/>
  <c r="AD196" i="1"/>
  <c r="AC196" i="1"/>
  <c r="AC201" i="1" s="1"/>
  <c r="AB196" i="1"/>
  <c r="AA196" i="1"/>
  <c r="Z196" i="1"/>
  <c r="Y196" i="1"/>
  <c r="Y201" i="1" s="1"/>
  <c r="X196" i="1"/>
  <c r="W196" i="1"/>
  <c r="V196" i="1"/>
  <c r="U196" i="1"/>
  <c r="U201" i="1" s="1"/>
  <c r="T196" i="1"/>
  <c r="S196" i="1"/>
  <c r="R196" i="1"/>
  <c r="Q196" i="1"/>
  <c r="Q201" i="1" s="1"/>
  <c r="P196" i="1"/>
  <c r="O196" i="1"/>
  <c r="N196" i="1"/>
  <c r="M196" i="1"/>
  <c r="M201" i="1" s="1"/>
  <c r="L196" i="1"/>
  <c r="K196" i="1"/>
  <c r="J196" i="1"/>
  <c r="I196" i="1"/>
  <c r="I201" i="1" s="1"/>
  <c r="H196" i="1"/>
  <c r="G196" i="1"/>
  <c r="F196" i="1"/>
  <c r="AL194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AL187" i="1"/>
  <c r="AL189" i="1" s="1"/>
  <c r="AL185" i="1"/>
  <c r="AD184" i="1"/>
  <c r="V184" i="1"/>
  <c r="AJ183" i="1"/>
  <c r="AJ184" i="1" s="1"/>
  <c r="AI183" i="1"/>
  <c r="AI184" i="1" s="1"/>
  <c r="AH183" i="1"/>
  <c r="AH184" i="1" s="1"/>
  <c r="AG183" i="1"/>
  <c r="AG184" i="1" s="1"/>
  <c r="AF183" i="1"/>
  <c r="AF184" i="1" s="1"/>
  <c r="AE183" i="1"/>
  <c r="AE184" i="1" s="1"/>
  <c r="AD183" i="1"/>
  <c r="AC183" i="1"/>
  <c r="AC184" i="1" s="1"/>
  <c r="AB183" i="1"/>
  <c r="AB184" i="1" s="1"/>
  <c r="AA183" i="1"/>
  <c r="AA184" i="1" s="1"/>
  <c r="Z183" i="1"/>
  <c r="Z184" i="1" s="1"/>
  <c r="Y183" i="1"/>
  <c r="Y184" i="1" s="1"/>
  <c r="X183" i="1"/>
  <c r="X184" i="1" s="1"/>
  <c r="W183" i="1"/>
  <c r="W184" i="1" s="1"/>
  <c r="V183" i="1"/>
  <c r="U183" i="1"/>
  <c r="U184" i="1" s="1"/>
  <c r="T183" i="1"/>
  <c r="T184" i="1" s="1"/>
  <c r="S183" i="1"/>
  <c r="S184" i="1" s="1"/>
  <c r="R183" i="1"/>
  <c r="R184" i="1" s="1"/>
  <c r="Q183" i="1"/>
  <c r="Q184" i="1" s="1"/>
  <c r="P183" i="1"/>
  <c r="P184" i="1" s="1"/>
  <c r="O183" i="1"/>
  <c r="O184" i="1" s="1"/>
  <c r="N183" i="1"/>
  <c r="N184" i="1" s="1"/>
  <c r="M183" i="1"/>
  <c r="M184" i="1" s="1"/>
  <c r="L183" i="1"/>
  <c r="L184" i="1" s="1"/>
  <c r="K183" i="1"/>
  <c r="K184" i="1" s="1"/>
  <c r="J183" i="1"/>
  <c r="J184" i="1" s="1"/>
  <c r="I183" i="1"/>
  <c r="I184" i="1" s="1"/>
  <c r="H183" i="1"/>
  <c r="H184" i="1" s="1"/>
  <c r="G183" i="1"/>
  <c r="G184" i="1" s="1"/>
  <c r="F183" i="1"/>
  <c r="F184" i="1" s="1"/>
  <c r="AL182" i="1"/>
  <c r="AL181" i="1"/>
  <c r="AH179" i="1"/>
  <c r="AB179" i="1"/>
  <c r="L179" i="1"/>
  <c r="J179" i="1"/>
  <c r="AH178" i="1"/>
  <c r="Z178" i="1"/>
  <c r="R178" i="1"/>
  <c r="J178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AL172" i="1"/>
  <c r="AL171" i="1"/>
  <c r="AL169" i="1"/>
  <c r="AL168" i="1"/>
  <c r="AL175" i="1" s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AJ163" i="1"/>
  <c r="AJ179" i="1" s="1"/>
  <c r="AI163" i="1"/>
  <c r="AI179" i="1" s="1"/>
  <c r="AH163" i="1"/>
  <c r="AG163" i="1"/>
  <c r="AG179" i="1" s="1"/>
  <c r="AF163" i="1"/>
  <c r="AF179" i="1" s="1"/>
  <c r="AE163" i="1"/>
  <c r="AE179" i="1" s="1"/>
  <c r="AD163" i="1"/>
  <c r="AD179" i="1" s="1"/>
  <c r="AC163" i="1"/>
  <c r="AC179" i="1" s="1"/>
  <c r="AB163" i="1"/>
  <c r="AA163" i="1"/>
  <c r="AA179" i="1" s="1"/>
  <c r="Z163" i="1"/>
  <c r="Z179" i="1" s="1"/>
  <c r="Y163" i="1"/>
  <c r="Y179" i="1" s="1"/>
  <c r="X163" i="1"/>
  <c r="X179" i="1" s="1"/>
  <c r="W163" i="1"/>
  <c r="W179" i="1" s="1"/>
  <c r="V163" i="1"/>
  <c r="V179" i="1" s="1"/>
  <c r="U163" i="1"/>
  <c r="U179" i="1" s="1"/>
  <c r="T163" i="1"/>
  <c r="T179" i="1" s="1"/>
  <c r="S163" i="1"/>
  <c r="S179" i="1" s="1"/>
  <c r="R163" i="1"/>
  <c r="R179" i="1" s="1"/>
  <c r="Q163" i="1"/>
  <c r="Q179" i="1" s="1"/>
  <c r="P163" i="1"/>
  <c r="P179" i="1" s="1"/>
  <c r="O163" i="1"/>
  <c r="O179" i="1" s="1"/>
  <c r="N163" i="1"/>
  <c r="N179" i="1" s="1"/>
  <c r="M163" i="1"/>
  <c r="M179" i="1" s="1"/>
  <c r="L163" i="1"/>
  <c r="K163" i="1"/>
  <c r="K179" i="1" s="1"/>
  <c r="J163" i="1"/>
  <c r="I163" i="1"/>
  <c r="I179" i="1" s="1"/>
  <c r="H163" i="1"/>
  <c r="H179" i="1" s="1"/>
  <c r="G163" i="1"/>
  <c r="G179" i="1" s="1"/>
  <c r="F163" i="1"/>
  <c r="F179" i="1" s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AJ161" i="1"/>
  <c r="AJ178" i="1" s="1"/>
  <c r="AI161" i="1"/>
  <c r="AI178" i="1" s="1"/>
  <c r="AH161" i="1"/>
  <c r="AG161" i="1"/>
  <c r="AG178" i="1" s="1"/>
  <c r="AF161" i="1"/>
  <c r="AF178" i="1" s="1"/>
  <c r="AE161" i="1"/>
  <c r="AE178" i="1" s="1"/>
  <c r="AD161" i="1"/>
  <c r="AD178" i="1" s="1"/>
  <c r="AC161" i="1"/>
  <c r="AC178" i="1" s="1"/>
  <c r="AB161" i="1"/>
  <c r="AB178" i="1" s="1"/>
  <c r="AA161" i="1"/>
  <c r="AA178" i="1" s="1"/>
  <c r="Z161" i="1"/>
  <c r="Y161" i="1"/>
  <c r="Y178" i="1" s="1"/>
  <c r="X161" i="1"/>
  <c r="X178" i="1" s="1"/>
  <c r="W161" i="1"/>
  <c r="W178" i="1" s="1"/>
  <c r="V161" i="1"/>
  <c r="V178" i="1" s="1"/>
  <c r="U161" i="1"/>
  <c r="U178" i="1" s="1"/>
  <c r="T161" i="1"/>
  <c r="T178" i="1" s="1"/>
  <c r="S161" i="1"/>
  <c r="S178" i="1" s="1"/>
  <c r="R161" i="1"/>
  <c r="Q161" i="1"/>
  <c r="Q178" i="1" s="1"/>
  <c r="P161" i="1"/>
  <c r="P178" i="1" s="1"/>
  <c r="O161" i="1"/>
  <c r="O178" i="1" s="1"/>
  <c r="N161" i="1"/>
  <c r="N178" i="1" s="1"/>
  <c r="M161" i="1"/>
  <c r="M178" i="1" s="1"/>
  <c r="L161" i="1"/>
  <c r="L178" i="1" s="1"/>
  <c r="K161" i="1"/>
  <c r="K178" i="1" s="1"/>
  <c r="J161" i="1"/>
  <c r="I161" i="1"/>
  <c r="I178" i="1" s="1"/>
  <c r="H161" i="1"/>
  <c r="H178" i="1" s="1"/>
  <c r="G161" i="1"/>
  <c r="G178" i="1" s="1"/>
  <c r="F161" i="1"/>
  <c r="F178" i="1" s="1"/>
  <c r="AL159" i="1"/>
  <c r="AL163" i="1" s="1"/>
  <c r="AL158" i="1"/>
  <c r="AL162" i="1" s="1"/>
  <c r="AL157" i="1"/>
  <c r="AL161" i="1" s="1"/>
  <c r="U155" i="1"/>
  <c r="AJ154" i="1"/>
  <c r="AJ155" i="1" s="1"/>
  <c r="AI154" i="1"/>
  <c r="AI155" i="1" s="1"/>
  <c r="AH154" i="1"/>
  <c r="AH155" i="1" s="1"/>
  <c r="AG154" i="1"/>
  <c r="AG155" i="1" s="1"/>
  <c r="AF154" i="1"/>
  <c r="AF155" i="1" s="1"/>
  <c r="AE154" i="1"/>
  <c r="AE155" i="1" s="1"/>
  <c r="AD154" i="1"/>
  <c r="AD155" i="1" s="1"/>
  <c r="AC154" i="1"/>
  <c r="AC155" i="1" s="1"/>
  <c r="AB154" i="1"/>
  <c r="AB155" i="1" s="1"/>
  <c r="AA154" i="1"/>
  <c r="AA155" i="1" s="1"/>
  <c r="Z154" i="1"/>
  <c r="Z155" i="1" s="1"/>
  <c r="Y154" i="1"/>
  <c r="Y155" i="1" s="1"/>
  <c r="X154" i="1"/>
  <c r="X155" i="1" s="1"/>
  <c r="W154" i="1"/>
  <c r="W155" i="1" s="1"/>
  <c r="V154" i="1"/>
  <c r="V155" i="1" s="1"/>
  <c r="U154" i="1"/>
  <c r="T154" i="1"/>
  <c r="T155" i="1" s="1"/>
  <c r="S154" i="1"/>
  <c r="R154" i="1"/>
  <c r="Q154" i="1"/>
  <c r="Q155" i="1" s="1"/>
  <c r="P154" i="1"/>
  <c r="P155" i="1" s="1"/>
  <c r="O154" i="1"/>
  <c r="O155" i="1" s="1"/>
  <c r="N154" i="1"/>
  <c r="N155" i="1" s="1"/>
  <c r="M154" i="1"/>
  <c r="M155" i="1" s="1"/>
  <c r="L154" i="1"/>
  <c r="L155" i="1" s="1"/>
  <c r="K154" i="1"/>
  <c r="K155" i="1" s="1"/>
  <c r="J154" i="1"/>
  <c r="J155" i="1" s="1"/>
  <c r="I154" i="1"/>
  <c r="I155" i="1" s="1"/>
  <c r="H154" i="1"/>
  <c r="H155" i="1" s="1"/>
  <c r="G154" i="1"/>
  <c r="F154" i="1"/>
  <c r="F155" i="1" s="1"/>
  <c r="AL153" i="1"/>
  <c r="Z151" i="1"/>
  <c r="O151" i="1"/>
  <c r="AL150" i="1"/>
  <c r="V150" i="1"/>
  <c r="J150" i="1"/>
  <c r="AL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AL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AL144" i="1"/>
  <c r="C144" i="1"/>
  <c r="AL143" i="1"/>
  <c r="C143" i="1"/>
  <c r="AL141" i="1"/>
  <c r="AL140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AI136" i="1"/>
  <c r="AH136" i="1"/>
  <c r="AG136" i="1"/>
  <c r="AF136" i="1"/>
  <c r="AE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AJ135" i="1"/>
  <c r="AJ151" i="1" s="1"/>
  <c r="AI135" i="1"/>
  <c r="AI151" i="1" s="1"/>
  <c r="AH135" i="1"/>
  <c r="AH151" i="1" s="1"/>
  <c r="AG135" i="1"/>
  <c r="AG151" i="1" s="1"/>
  <c r="AF135" i="1"/>
  <c r="AF151" i="1" s="1"/>
  <c r="AE135" i="1"/>
  <c r="AE151" i="1" s="1"/>
  <c r="AD135" i="1"/>
  <c r="AD151" i="1" s="1"/>
  <c r="AC135" i="1"/>
  <c r="AC151" i="1" s="1"/>
  <c r="AB135" i="1"/>
  <c r="AB151" i="1" s="1"/>
  <c r="AA135" i="1"/>
  <c r="AA151" i="1" s="1"/>
  <c r="Z135" i="1"/>
  <c r="Y135" i="1"/>
  <c r="Y151" i="1" s="1"/>
  <c r="X135" i="1"/>
  <c r="X151" i="1" s="1"/>
  <c r="W135" i="1"/>
  <c r="W151" i="1" s="1"/>
  <c r="V135" i="1"/>
  <c r="V151" i="1" s="1"/>
  <c r="U135" i="1"/>
  <c r="U151" i="1" s="1"/>
  <c r="T135" i="1"/>
  <c r="T151" i="1" s="1"/>
  <c r="S135" i="1"/>
  <c r="S151" i="1" s="1"/>
  <c r="R135" i="1"/>
  <c r="R151" i="1" s="1"/>
  <c r="Q135" i="1"/>
  <c r="Q151" i="1" s="1"/>
  <c r="P135" i="1"/>
  <c r="P151" i="1" s="1"/>
  <c r="O135" i="1"/>
  <c r="N135" i="1"/>
  <c r="N151" i="1" s="1"/>
  <c r="M135" i="1"/>
  <c r="M151" i="1" s="1"/>
  <c r="L135" i="1"/>
  <c r="L151" i="1" s="1"/>
  <c r="K135" i="1"/>
  <c r="K151" i="1" s="1"/>
  <c r="J135" i="1"/>
  <c r="J151" i="1" s="1"/>
  <c r="I135" i="1"/>
  <c r="I151" i="1" s="1"/>
  <c r="H135" i="1"/>
  <c r="H151" i="1" s="1"/>
  <c r="G135" i="1"/>
  <c r="G151" i="1" s="1"/>
  <c r="F135" i="1"/>
  <c r="F151" i="1" s="1"/>
  <c r="AL151" i="1" s="1"/>
  <c r="AJ134" i="1"/>
  <c r="AJ150" i="1" s="1"/>
  <c r="AI134" i="1"/>
  <c r="AI150" i="1" s="1"/>
  <c r="AH134" i="1"/>
  <c r="AH150" i="1" s="1"/>
  <c r="AG134" i="1"/>
  <c r="AG150" i="1" s="1"/>
  <c r="AF134" i="1"/>
  <c r="AF150" i="1" s="1"/>
  <c r="AE134" i="1"/>
  <c r="AE150" i="1" s="1"/>
  <c r="AD134" i="1"/>
  <c r="AD150" i="1" s="1"/>
  <c r="AC134" i="1"/>
  <c r="AC150" i="1" s="1"/>
  <c r="AB134" i="1"/>
  <c r="AB150" i="1" s="1"/>
  <c r="AA134" i="1"/>
  <c r="AA150" i="1" s="1"/>
  <c r="Z134" i="1"/>
  <c r="Z150" i="1" s="1"/>
  <c r="Y134" i="1"/>
  <c r="Y150" i="1" s="1"/>
  <c r="X134" i="1"/>
  <c r="X150" i="1" s="1"/>
  <c r="W134" i="1"/>
  <c r="W150" i="1" s="1"/>
  <c r="V134" i="1"/>
  <c r="U134" i="1"/>
  <c r="U150" i="1" s="1"/>
  <c r="T134" i="1"/>
  <c r="T150" i="1" s="1"/>
  <c r="S134" i="1"/>
  <c r="S150" i="1" s="1"/>
  <c r="R134" i="1"/>
  <c r="R150" i="1" s="1"/>
  <c r="Q134" i="1"/>
  <c r="Q150" i="1" s="1"/>
  <c r="P134" i="1"/>
  <c r="P150" i="1" s="1"/>
  <c r="O134" i="1"/>
  <c r="O150" i="1" s="1"/>
  <c r="N134" i="1"/>
  <c r="N150" i="1" s="1"/>
  <c r="M134" i="1"/>
  <c r="M150" i="1" s="1"/>
  <c r="L134" i="1"/>
  <c r="L150" i="1" s="1"/>
  <c r="K134" i="1"/>
  <c r="K150" i="1" s="1"/>
  <c r="J134" i="1"/>
  <c r="I134" i="1"/>
  <c r="I150" i="1" s="1"/>
  <c r="H134" i="1"/>
  <c r="H150" i="1" s="1"/>
  <c r="G134" i="1"/>
  <c r="G150" i="1" s="1"/>
  <c r="F134" i="1"/>
  <c r="F150" i="1" s="1"/>
  <c r="AL132" i="1"/>
  <c r="AL135" i="1" s="1"/>
  <c r="AL131" i="1"/>
  <c r="AL134" i="1" s="1"/>
  <c r="AH129" i="1"/>
  <c r="W129" i="1"/>
  <c r="N129" i="1"/>
  <c r="AJ128" i="1"/>
  <c r="AI128" i="1"/>
  <c r="AI129" i="1" s="1"/>
  <c r="AH128" i="1"/>
  <c r="AG128" i="1"/>
  <c r="AG129" i="1" s="1"/>
  <c r="AF128" i="1"/>
  <c r="AF129" i="1" s="1"/>
  <c r="AE128" i="1"/>
  <c r="AE129" i="1" s="1"/>
  <c r="AD128" i="1"/>
  <c r="AD129" i="1" s="1"/>
  <c r="AC128" i="1"/>
  <c r="AC129" i="1" s="1"/>
  <c r="AB128" i="1"/>
  <c r="AB129" i="1" s="1"/>
  <c r="AA128" i="1"/>
  <c r="AA129" i="1" s="1"/>
  <c r="Z128" i="1"/>
  <c r="Z129" i="1" s="1"/>
  <c r="Y128" i="1"/>
  <c r="Y129" i="1" s="1"/>
  <c r="X128" i="1"/>
  <c r="X129" i="1" s="1"/>
  <c r="W128" i="1"/>
  <c r="V128" i="1"/>
  <c r="V129" i="1" s="1"/>
  <c r="U128" i="1"/>
  <c r="U129" i="1" s="1"/>
  <c r="T128" i="1"/>
  <c r="T129" i="1" s="1"/>
  <c r="S128" i="1"/>
  <c r="S129" i="1" s="1"/>
  <c r="R128" i="1"/>
  <c r="R129" i="1" s="1"/>
  <c r="Q128" i="1"/>
  <c r="Q129" i="1" s="1"/>
  <c r="P128" i="1"/>
  <c r="P129" i="1" s="1"/>
  <c r="O128" i="1"/>
  <c r="O129" i="1" s="1"/>
  <c r="N128" i="1"/>
  <c r="M128" i="1"/>
  <c r="M129" i="1" s="1"/>
  <c r="L128" i="1"/>
  <c r="L129" i="1" s="1"/>
  <c r="K128" i="1"/>
  <c r="K129" i="1" s="1"/>
  <c r="J128" i="1"/>
  <c r="J129" i="1" s="1"/>
  <c r="I128" i="1"/>
  <c r="I129" i="1" s="1"/>
  <c r="H128" i="1"/>
  <c r="H129" i="1" s="1"/>
  <c r="G128" i="1"/>
  <c r="G129" i="1" s="1"/>
  <c r="F128" i="1"/>
  <c r="F129" i="1" s="1"/>
  <c r="AJ127" i="1"/>
  <c r="AD127" i="1"/>
  <c r="AD206" i="1" s="1"/>
  <c r="AL126" i="1"/>
  <c r="I124" i="1"/>
  <c r="Y123" i="1"/>
  <c r="L123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AL117" i="1"/>
  <c r="AL116" i="1"/>
  <c r="AL114" i="1"/>
  <c r="AL113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AL110" i="1" s="1"/>
  <c r="G110" i="1"/>
  <c r="F110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AJ108" i="1"/>
  <c r="AJ124" i="1" s="1"/>
  <c r="AI108" i="1"/>
  <c r="AI124" i="1" s="1"/>
  <c r="AH108" i="1"/>
  <c r="AH124" i="1" s="1"/>
  <c r="AG108" i="1"/>
  <c r="AG124" i="1" s="1"/>
  <c r="AF108" i="1"/>
  <c r="AF124" i="1" s="1"/>
  <c r="AE108" i="1"/>
  <c r="AE124" i="1" s="1"/>
  <c r="AD108" i="1"/>
  <c r="AD124" i="1" s="1"/>
  <c r="AC108" i="1"/>
  <c r="AC124" i="1" s="1"/>
  <c r="AB108" i="1"/>
  <c r="AB124" i="1" s="1"/>
  <c r="AA108" i="1"/>
  <c r="AA124" i="1" s="1"/>
  <c r="Z108" i="1"/>
  <c r="Z124" i="1" s="1"/>
  <c r="Y108" i="1"/>
  <c r="Y124" i="1" s="1"/>
  <c r="X108" i="1"/>
  <c r="X124" i="1" s="1"/>
  <c r="W108" i="1"/>
  <c r="W124" i="1" s="1"/>
  <c r="V108" i="1"/>
  <c r="V124" i="1" s="1"/>
  <c r="U108" i="1"/>
  <c r="U124" i="1" s="1"/>
  <c r="T108" i="1"/>
  <c r="T124" i="1" s="1"/>
  <c r="S108" i="1"/>
  <c r="S124" i="1" s="1"/>
  <c r="R108" i="1"/>
  <c r="R124" i="1" s="1"/>
  <c r="Q108" i="1"/>
  <c r="Q124" i="1" s="1"/>
  <c r="P108" i="1"/>
  <c r="P124" i="1" s="1"/>
  <c r="O108" i="1"/>
  <c r="O124" i="1" s="1"/>
  <c r="N108" i="1"/>
  <c r="N124" i="1" s="1"/>
  <c r="M108" i="1"/>
  <c r="M124" i="1" s="1"/>
  <c r="L108" i="1"/>
  <c r="L124" i="1" s="1"/>
  <c r="K108" i="1"/>
  <c r="K124" i="1" s="1"/>
  <c r="J108" i="1"/>
  <c r="J124" i="1" s="1"/>
  <c r="I108" i="1"/>
  <c r="H108" i="1"/>
  <c r="H124" i="1" s="1"/>
  <c r="G108" i="1"/>
  <c r="G124" i="1" s="1"/>
  <c r="F108" i="1"/>
  <c r="F124" i="1" s="1"/>
  <c r="AJ107" i="1"/>
  <c r="AJ123" i="1" s="1"/>
  <c r="AI107" i="1"/>
  <c r="AI123" i="1" s="1"/>
  <c r="AH107" i="1"/>
  <c r="AH123" i="1" s="1"/>
  <c r="AG107" i="1"/>
  <c r="AG123" i="1" s="1"/>
  <c r="AF107" i="1"/>
  <c r="AF123" i="1" s="1"/>
  <c r="AE107" i="1"/>
  <c r="AE123" i="1" s="1"/>
  <c r="AD107" i="1"/>
  <c r="AD123" i="1" s="1"/>
  <c r="AC107" i="1"/>
  <c r="AC123" i="1" s="1"/>
  <c r="AB107" i="1"/>
  <c r="AB123" i="1" s="1"/>
  <c r="AA107" i="1"/>
  <c r="AA123" i="1" s="1"/>
  <c r="Z107" i="1"/>
  <c r="Z123" i="1" s="1"/>
  <c r="Y107" i="1"/>
  <c r="X107" i="1"/>
  <c r="X123" i="1" s="1"/>
  <c r="W107" i="1"/>
  <c r="W123" i="1" s="1"/>
  <c r="V107" i="1"/>
  <c r="V123" i="1" s="1"/>
  <c r="U107" i="1"/>
  <c r="U123" i="1" s="1"/>
  <c r="T107" i="1"/>
  <c r="T123" i="1" s="1"/>
  <c r="S107" i="1"/>
  <c r="S123" i="1" s="1"/>
  <c r="R107" i="1"/>
  <c r="R123" i="1" s="1"/>
  <c r="Q107" i="1"/>
  <c r="Q123" i="1" s="1"/>
  <c r="P107" i="1"/>
  <c r="P123" i="1" s="1"/>
  <c r="O107" i="1"/>
  <c r="O123" i="1" s="1"/>
  <c r="N107" i="1"/>
  <c r="N123" i="1" s="1"/>
  <c r="M107" i="1"/>
  <c r="M123" i="1" s="1"/>
  <c r="L107" i="1"/>
  <c r="K107" i="1"/>
  <c r="K123" i="1" s="1"/>
  <c r="J107" i="1"/>
  <c r="J123" i="1" s="1"/>
  <c r="I107" i="1"/>
  <c r="I123" i="1" s="1"/>
  <c r="H107" i="1"/>
  <c r="H123" i="1" s="1"/>
  <c r="G107" i="1"/>
  <c r="G123" i="1" s="1"/>
  <c r="F107" i="1"/>
  <c r="F123" i="1" s="1"/>
  <c r="AL105" i="1"/>
  <c r="AL121" i="1" s="1"/>
  <c r="AL104" i="1"/>
  <c r="AL120" i="1" s="1"/>
  <c r="AI101" i="1"/>
  <c r="AE101" i="1"/>
  <c r="AA101" i="1"/>
  <c r="W101" i="1"/>
  <c r="V101" i="1"/>
  <c r="S101" i="1"/>
  <c r="O101" i="1"/>
  <c r="N101" i="1"/>
  <c r="K101" i="1"/>
  <c r="G101" i="1"/>
  <c r="AJ100" i="1"/>
  <c r="AJ101" i="1" s="1"/>
  <c r="AI100" i="1"/>
  <c r="AH100" i="1"/>
  <c r="AH101" i="1" s="1"/>
  <c r="AG100" i="1"/>
  <c r="AG101" i="1" s="1"/>
  <c r="AF100" i="1"/>
  <c r="AF101" i="1" s="1"/>
  <c r="AE100" i="1"/>
  <c r="AD100" i="1"/>
  <c r="AD101" i="1" s="1"/>
  <c r="AC100" i="1"/>
  <c r="AC101" i="1" s="1"/>
  <c r="AB100" i="1"/>
  <c r="AB101" i="1" s="1"/>
  <c r="AA100" i="1"/>
  <c r="Z100" i="1"/>
  <c r="Z101" i="1" s="1"/>
  <c r="Y100" i="1"/>
  <c r="Y101" i="1" s="1"/>
  <c r="X100" i="1"/>
  <c r="X101" i="1" s="1"/>
  <c r="W100" i="1"/>
  <c r="V100" i="1"/>
  <c r="U100" i="1"/>
  <c r="T100" i="1"/>
  <c r="T101" i="1" s="1"/>
  <c r="S100" i="1"/>
  <c r="R100" i="1"/>
  <c r="R101" i="1" s="1"/>
  <c r="Q100" i="1"/>
  <c r="Q101" i="1" s="1"/>
  <c r="P100" i="1"/>
  <c r="P101" i="1" s="1"/>
  <c r="O100" i="1"/>
  <c r="N100" i="1"/>
  <c r="M100" i="1"/>
  <c r="M101" i="1" s="1"/>
  <c r="L100" i="1"/>
  <c r="L101" i="1" s="1"/>
  <c r="K100" i="1"/>
  <c r="J100" i="1"/>
  <c r="J101" i="1" s="1"/>
  <c r="I100" i="1"/>
  <c r="I101" i="1" s="1"/>
  <c r="H100" i="1"/>
  <c r="H101" i="1" s="1"/>
  <c r="G100" i="1"/>
  <c r="F100" i="1"/>
  <c r="F101" i="1" s="1"/>
  <c r="U99" i="1"/>
  <c r="U109" i="1" s="1"/>
  <c r="AI97" i="1"/>
  <c r="AA97" i="1"/>
  <c r="S97" i="1"/>
  <c r="K97" i="1"/>
  <c r="J97" i="1"/>
  <c r="H97" i="1"/>
  <c r="F97" i="1"/>
  <c r="AE96" i="1"/>
  <c r="V96" i="1"/>
  <c r="O96" i="1"/>
  <c r="N96" i="1"/>
  <c r="F96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AJ93" i="1"/>
  <c r="AI93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AL90" i="1"/>
  <c r="AL89" i="1"/>
  <c r="AL87" i="1"/>
  <c r="AL86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AJ82" i="1"/>
  <c r="AI82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AJ81" i="1"/>
  <c r="AJ97" i="1" s="1"/>
  <c r="AI81" i="1"/>
  <c r="AH81" i="1"/>
  <c r="AH97" i="1" s="1"/>
  <c r="AG81" i="1"/>
  <c r="AG97" i="1" s="1"/>
  <c r="AF81" i="1"/>
  <c r="AF97" i="1" s="1"/>
  <c r="AE81" i="1"/>
  <c r="AE97" i="1" s="1"/>
  <c r="AD81" i="1"/>
  <c r="AD97" i="1" s="1"/>
  <c r="AC81" i="1"/>
  <c r="AC97" i="1" s="1"/>
  <c r="AB81" i="1"/>
  <c r="AB97" i="1" s="1"/>
  <c r="AA81" i="1"/>
  <c r="Z81" i="1"/>
  <c r="Z97" i="1" s="1"/>
  <c r="Y81" i="1"/>
  <c r="Y97" i="1" s="1"/>
  <c r="X81" i="1"/>
  <c r="X97" i="1" s="1"/>
  <c r="W81" i="1"/>
  <c r="W97" i="1" s="1"/>
  <c r="V81" i="1"/>
  <c r="V97" i="1" s="1"/>
  <c r="U81" i="1"/>
  <c r="U97" i="1" s="1"/>
  <c r="T81" i="1"/>
  <c r="T97" i="1" s="1"/>
  <c r="S81" i="1"/>
  <c r="R81" i="1"/>
  <c r="R97" i="1" s="1"/>
  <c r="Q81" i="1"/>
  <c r="Q97" i="1" s="1"/>
  <c r="P81" i="1"/>
  <c r="P97" i="1" s="1"/>
  <c r="O81" i="1"/>
  <c r="O97" i="1" s="1"/>
  <c r="N81" i="1"/>
  <c r="N97" i="1" s="1"/>
  <c r="M81" i="1"/>
  <c r="M97" i="1" s="1"/>
  <c r="L81" i="1"/>
  <c r="L97" i="1" s="1"/>
  <c r="K81" i="1"/>
  <c r="J81" i="1"/>
  <c r="I81" i="1"/>
  <c r="I97" i="1" s="1"/>
  <c r="G81" i="1"/>
  <c r="G97" i="1" s="1"/>
  <c r="F81" i="1"/>
  <c r="AJ80" i="1"/>
  <c r="AJ96" i="1" s="1"/>
  <c r="AI80" i="1"/>
  <c r="AI96" i="1" s="1"/>
  <c r="AH80" i="1"/>
  <c r="AH96" i="1" s="1"/>
  <c r="AG80" i="1"/>
  <c r="AG96" i="1" s="1"/>
  <c r="AF80" i="1"/>
  <c r="AF96" i="1" s="1"/>
  <c r="AE80" i="1"/>
  <c r="AD80" i="1"/>
  <c r="AD96" i="1" s="1"/>
  <c r="AC80" i="1"/>
  <c r="AC96" i="1" s="1"/>
  <c r="AB80" i="1"/>
  <c r="AB96" i="1" s="1"/>
  <c r="AA80" i="1"/>
  <c r="AA96" i="1" s="1"/>
  <c r="Z80" i="1"/>
  <c r="Z96" i="1" s="1"/>
  <c r="Y80" i="1"/>
  <c r="Y96" i="1" s="1"/>
  <c r="X80" i="1"/>
  <c r="X96" i="1" s="1"/>
  <c r="W80" i="1"/>
  <c r="W96" i="1" s="1"/>
  <c r="V80" i="1"/>
  <c r="U80" i="1"/>
  <c r="U96" i="1" s="1"/>
  <c r="T80" i="1"/>
  <c r="T96" i="1" s="1"/>
  <c r="S80" i="1"/>
  <c r="S96" i="1" s="1"/>
  <c r="R80" i="1"/>
  <c r="R96" i="1" s="1"/>
  <c r="Q80" i="1"/>
  <c r="Q96" i="1" s="1"/>
  <c r="P80" i="1"/>
  <c r="P96" i="1" s="1"/>
  <c r="O80" i="1"/>
  <c r="N80" i="1"/>
  <c r="M80" i="1"/>
  <c r="M96" i="1" s="1"/>
  <c r="L80" i="1"/>
  <c r="L96" i="1" s="1"/>
  <c r="K80" i="1"/>
  <c r="K96" i="1" s="1"/>
  <c r="J80" i="1"/>
  <c r="J96" i="1" s="1"/>
  <c r="I80" i="1"/>
  <c r="I96" i="1" s="1"/>
  <c r="H80" i="1"/>
  <c r="H96" i="1" s="1"/>
  <c r="G80" i="1"/>
  <c r="G96" i="1" s="1"/>
  <c r="F80" i="1"/>
  <c r="AL78" i="1"/>
  <c r="AL81" i="1" s="1"/>
  <c r="AL77" i="1"/>
  <c r="AL93" i="1" s="1"/>
  <c r="AL75" i="1"/>
  <c r="G74" i="1"/>
  <c r="AJ73" i="1"/>
  <c r="AJ74" i="1" s="1"/>
  <c r="AI73" i="1"/>
  <c r="AI74" i="1" s="1"/>
  <c r="AH73" i="1"/>
  <c r="AH74" i="1" s="1"/>
  <c r="AG73" i="1"/>
  <c r="AG74" i="1" s="1"/>
  <c r="AF73" i="1"/>
  <c r="AF74" i="1" s="1"/>
  <c r="AE73" i="1"/>
  <c r="AE74" i="1" s="1"/>
  <c r="AD73" i="1"/>
  <c r="AD74" i="1" s="1"/>
  <c r="AC73" i="1"/>
  <c r="AC74" i="1" s="1"/>
  <c r="AB73" i="1"/>
  <c r="AB74" i="1" s="1"/>
  <c r="AA73" i="1"/>
  <c r="AA74" i="1" s="1"/>
  <c r="Z73" i="1"/>
  <c r="Z74" i="1" s="1"/>
  <c r="Y73" i="1"/>
  <c r="Y74" i="1" s="1"/>
  <c r="X73" i="1"/>
  <c r="X74" i="1" s="1"/>
  <c r="W73" i="1"/>
  <c r="W74" i="1" s="1"/>
  <c r="V73" i="1"/>
  <c r="V74" i="1" s="1"/>
  <c r="U73" i="1"/>
  <c r="U74" i="1" s="1"/>
  <c r="T73" i="1"/>
  <c r="T74" i="1" s="1"/>
  <c r="S73" i="1"/>
  <c r="S74" i="1" s="1"/>
  <c r="R73" i="1"/>
  <c r="R74" i="1" s="1"/>
  <c r="Q73" i="1"/>
  <c r="Q74" i="1" s="1"/>
  <c r="P73" i="1"/>
  <c r="P74" i="1" s="1"/>
  <c r="O73" i="1"/>
  <c r="O74" i="1" s="1"/>
  <c r="N73" i="1"/>
  <c r="N74" i="1" s="1"/>
  <c r="M73" i="1"/>
  <c r="M74" i="1" s="1"/>
  <c r="L73" i="1"/>
  <c r="L74" i="1" s="1"/>
  <c r="K73" i="1"/>
  <c r="K74" i="1" s="1"/>
  <c r="J73" i="1"/>
  <c r="J74" i="1" s="1"/>
  <c r="I73" i="1"/>
  <c r="I74" i="1" s="1"/>
  <c r="H73" i="1"/>
  <c r="G73" i="1"/>
  <c r="F73" i="1"/>
  <c r="F74" i="1" s="1"/>
  <c r="AL72" i="1"/>
  <c r="AL71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F69" i="1"/>
  <c r="AL68" i="1"/>
  <c r="AJ67" i="1"/>
  <c r="AI67" i="1"/>
  <c r="AG67" i="1"/>
  <c r="AF67" i="1"/>
  <c r="AE67" i="1"/>
  <c r="AD67" i="1"/>
  <c r="AC67" i="1"/>
  <c r="AB67" i="1"/>
  <c r="AA67" i="1"/>
  <c r="Z67" i="1"/>
  <c r="Y67" i="1"/>
  <c r="X67" i="1"/>
  <c r="U67" i="1"/>
  <c r="T67" i="1"/>
  <c r="S67" i="1"/>
  <c r="R67" i="1"/>
  <c r="Q67" i="1"/>
  <c r="P67" i="1"/>
  <c r="O67" i="1"/>
  <c r="N67" i="1"/>
  <c r="M67" i="1"/>
  <c r="J67" i="1"/>
  <c r="I67" i="1"/>
  <c r="H67" i="1"/>
  <c r="G67" i="1"/>
  <c r="F67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U66" i="1"/>
  <c r="T66" i="1"/>
  <c r="S66" i="1"/>
  <c r="Q66" i="1"/>
  <c r="O66" i="1"/>
  <c r="N66" i="1"/>
  <c r="M66" i="1"/>
  <c r="J66" i="1"/>
  <c r="I66" i="1"/>
  <c r="H66" i="1"/>
  <c r="G66" i="1"/>
  <c r="F66" i="1"/>
  <c r="S65" i="1"/>
  <c r="R65" i="1"/>
  <c r="R66" i="1" s="1"/>
  <c r="P65" i="1"/>
  <c r="P66" i="1" s="1"/>
  <c r="O65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F64" i="1"/>
  <c r="V63" i="1"/>
  <c r="V69" i="1" s="1"/>
  <c r="G63" i="1"/>
  <c r="G64" i="1" s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U62" i="1"/>
  <c r="T62" i="1"/>
  <c r="S62" i="1"/>
  <c r="R62" i="1"/>
  <c r="Q62" i="1"/>
  <c r="P62" i="1"/>
  <c r="O62" i="1"/>
  <c r="N62" i="1"/>
  <c r="M62" i="1"/>
  <c r="J62" i="1"/>
  <c r="I62" i="1"/>
  <c r="H62" i="1"/>
  <c r="G62" i="1"/>
  <c r="F62" i="1"/>
  <c r="G61" i="1"/>
  <c r="G69" i="1" s="1"/>
  <c r="AI59" i="1"/>
  <c r="AG59" i="1"/>
  <c r="AF59" i="1"/>
  <c r="AE59" i="1"/>
  <c r="AD59" i="1"/>
  <c r="AC59" i="1"/>
  <c r="AB59" i="1"/>
  <c r="AA59" i="1"/>
  <c r="Z59" i="1"/>
  <c r="Y59" i="1"/>
  <c r="U59" i="1"/>
  <c r="T59" i="1"/>
  <c r="S59" i="1"/>
  <c r="R59" i="1"/>
  <c r="Q59" i="1"/>
  <c r="P59" i="1"/>
  <c r="O59" i="1"/>
  <c r="N59" i="1"/>
  <c r="M59" i="1"/>
  <c r="L59" i="1"/>
  <c r="K59" i="1"/>
  <c r="AI58" i="1"/>
  <c r="AG58" i="1"/>
  <c r="AF58" i="1"/>
  <c r="AE58" i="1"/>
  <c r="AD58" i="1"/>
  <c r="AC58" i="1"/>
  <c r="AB58" i="1"/>
  <c r="AA58" i="1"/>
  <c r="Z58" i="1"/>
  <c r="Y58" i="1"/>
  <c r="U58" i="1"/>
  <c r="T58" i="1"/>
  <c r="S58" i="1"/>
  <c r="R58" i="1"/>
  <c r="Q58" i="1"/>
  <c r="P58" i="1"/>
  <c r="O58" i="1"/>
  <c r="N58" i="1"/>
  <c r="M58" i="1"/>
  <c r="L58" i="1"/>
  <c r="K58" i="1"/>
  <c r="G58" i="1"/>
  <c r="AI57" i="1"/>
  <c r="AG57" i="1"/>
  <c r="AF57" i="1"/>
  <c r="AE57" i="1"/>
  <c r="AD57" i="1"/>
  <c r="AC57" i="1"/>
  <c r="AB57" i="1"/>
  <c r="AA57" i="1"/>
  <c r="Z57" i="1"/>
  <c r="Y57" i="1"/>
  <c r="X57" i="1"/>
  <c r="W57" i="1"/>
  <c r="U57" i="1"/>
  <c r="T57" i="1"/>
  <c r="S57" i="1"/>
  <c r="R57" i="1"/>
  <c r="Q57" i="1"/>
  <c r="P57" i="1"/>
  <c r="M57" i="1"/>
  <c r="I57" i="1"/>
  <c r="G57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W56" i="1"/>
  <c r="U56" i="1"/>
  <c r="T56" i="1"/>
  <c r="S56" i="1"/>
  <c r="R56" i="1"/>
  <c r="Q56" i="1"/>
  <c r="P56" i="1"/>
  <c r="M56" i="1"/>
  <c r="K56" i="1"/>
  <c r="G56" i="1"/>
  <c r="AI55" i="1"/>
  <c r="AA55" i="1"/>
  <c r="W55" i="1"/>
  <c r="S55" i="1"/>
  <c r="K55" i="1"/>
  <c r="AI54" i="1"/>
  <c r="AE54" i="1"/>
  <c r="W54" i="1"/>
  <c r="S54" i="1"/>
  <c r="O54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U53" i="1"/>
  <c r="T53" i="1"/>
  <c r="S53" i="1"/>
  <c r="R53" i="1"/>
  <c r="Q53" i="1"/>
  <c r="P53" i="1"/>
  <c r="O53" i="1"/>
  <c r="N53" i="1"/>
  <c r="M53" i="1"/>
  <c r="K53" i="1"/>
  <c r="J53" i="1"/>
  <c r="I53" i="1"/>
  <c r="H53" i="1"/>
  <c r="G53" i="1"/>
  <c r="F53" i="1"/>
  <c r="AJ52" i="1"/>
  <c r="AI52" i="1"/>
  <c r="AG52" i="1"/>
  <c r="AF52" i="1"/>
  <c r="AE52" i="1"/>
  <c r="AD52" i="1"/>
  <c r="AC52" i="1"/>
  <c r="AB52" i="1"/>
  <c r="AA52" i="1"/>
  <c r="Z52" i="1"/>
  <c r="Y52" i="1"/>
  <c r="X52" i="1"/>
  <c r="W52" i="1"/>
  <c r="U52" i="1"/>
  <c r="T52" i="1"/>
  <c r="S52" i="1"/>
  <c r="R52" i="1"/>
  <c r="Q52" i="1"/>
  <c r="P52" i="1"/>
  <c r="O52" i="1"/>
  <c r="N52" i="1"/>
  <c r="M52" i="1"/>
  <c r="J52" i="1"/>
  <c r="I52" i="1"/>
  <c r="H52" i="1"/>
  <c r="G52" i="1"/>
  <c r="F52" i="1"/>
  <c r="AE50" i="1"/>
  <c r="AA50" i="1"/>
  <c r="S50" i="1"/>
  <c r="K50" i="1"/>
  <c r="AL49" i="1"/>
  <c r="D49" i="1"/>
  <c r="AL48" i="1"/>
  <c r="D48" i="1"/>
  <c r="D46" i="1" s="1"/>
  <c r="AL47" i="1"/>
  <c r="AJ46" i="1"/>
  <c r="AJ58" i="1" s="1"/>
  <c r="AI46" i="1"/>
  <c r="AH46" i="1"/>
  <c r="AH59" i="1" s="1"/>
  <c r="X46" i="1"/>
  <c r="X59" i="1" s="1"/>
  <c r="W46" i="1"/>
  <c r="W58" i="1" s="1"/>
  <c r="V46" i="1"/>
  <c r="V59" i="1" s="1"/>
  <c r="J46" i="1"/>
  <c r="J59" i="1" s="1"/>
  <c r="I46" i="1"/>
  <c r="I59" i="1" s="1"/>
  <c r="H46" i="1"/>
  <c r="AL46" i="1" s="1"/>
  <c r="G46" i="1"/>
  <c r="G59" i="1" s="1"/>
  <c r="F46" i="1"/>
  <c r="F59" i="1" s="1"/>
  <c r="AL45" i="1"/>
  <c r="AL43" i="1"/>
  <c r="D43" i="1"/>
  <c r="AL42" i="1"/>
  <c r="D42" i="1"/>
  <c r="D41" i="1" s="1"/>
  <c r="X41" i="1"/>
  <c r="X56" i="1" s="1"/>
  <c r="V41" i="1"/>
  <c r="V57" i="1" s="1"/>
  <c r="O41" i="1"/>
  <c r="O56" i="1" s="1"/>
  <c r="N41" i="1"/>
  <c r="N57" i="1" s="1"/>
  <c r="M41" i="1"/>
  <c r="L41" i="1"/>
  <c r="L57" i="1" s="1"/>
  <c r="K41" i="1"/>
  <c r="K57" i="1" s="1"/>
  <c r="J41" i="1"/>
  <c r="J57" i="1" s="1"/>
  <c r="I41" i="1"/>
  <c r="I56" i="1" s="1"/>
  <c r="H41" i="1"/>
  <c r="H57" i="1" s="1"/>
  <c r="G41" i="1"/>
  <c r="F41" i="1"/>
  <c r="F57" i="1" s="1"/>
  <c r="AL40" i="1"/>
  <c r="V38" i="1"/>
  <c r="G38" i="1"/>
  <c r="D38" i="1"/>
  <c r="D36" i="1" s="1"/>
  <c r="V37" i="1"/>
  <c r="D37" i="1"/>
  <c r="AJ36" i="1"/>
  <c r="AJ54" i="1" s="1"/>
  <c r="AI36" i="1"/>
  <c r="AI50" i="1" s="1"/>
  <c r="AH36" i="1"/>
  <c r="AH55" i="1" s="1"/>
  <c r="AG36" i="1"/>
  <c r="AG55" i="1" s="1"/>
  <c r="AF36" i="1"/>
  <c r="AF55" i="1" s="1"/>
  <c r="AE36" i="1"/>
  <c r="AE55" i="1" s="1"/>
  <c r="AD36" i="1"/>
  <c r="AD55" i="1" s="1"/>
  <c r="AC36" i="1"/>
  <c r="AC55" i="1" s="1"/>
  <c r="AB36" i="1"/>
  <c r="AB55" i="1" s="1"/>
  <c r="AA36" i="1"/>
  <c r="AA54" i="1" s="1"/>
  <c r="Z36" i="1"/>
  <c r="Z55" i="1" s="1"/>
  <c r="Y36" i="1"/>
  <c r="Y55" i="1" s="1"/>
  <c r="X36" i="1"/>
  <c r="X54" i="1" s="1"/>
  <c r="W36" i="1"/>
  <c r="U36" i="1"/>
  <c r="U55" i="1" s="1"/>
  <c r="T36" i="1"/>
  <c r="T55" i="1" s="1"/>
  <c r="S36" i="1"/>
  <c r="R36" i="1"/>
  <c r="R55" i="1" s="1"/>
  <c r="Q36" i="1"/>
  <c r="Q55" i="1" s="1"/>
  <c r="P36" i="1"/>
  <c r="P54" i="1" s="1"/>
  <c r="O36" i="1"/>
  <c r="O55" i="1" s="1"/>
  <c r="N36" i="1"/>
  <c r="N55" i="1" s="1"/>
  <c r="M36" i="1"/>
  <c r="M55" i="1" s="1"/>
  <c r="L36" i="1"/>
  <c r="L55" i="1" s="1"/>
  <c r="K36" i="1"/>
  <c r="K54" i="1" s="1"/>
  <c r="J36" i="1"/>
  <c r="J55" i="1" s="1"/>
  <c r="I36" i="1"/>
  <c r="I55" i="1" s="1"/>
  <c r="H36" i="1"/>
  <c r="H54" i="1" s="1"/>
  <c r="F36" i="1"/>
  <c r="F55" i="1" s="1"/>
  <c r="W34" i="1"/>
  <c r="AL34" i="1" s="1"/>
  <c r="D34" i="1"/>
  <c r="AH33" i="1"/>
  <c r="AH52" i="1" s="1"/>
  <c r="W33" i="1"/>
  <c r="D33" i="1"/>
  <c r="AL31" i="1"/>
  <c r="AL30" i="1"/>
  <c r="AL29" i="1"/>
  <c r="V27" i="1"/>
  <c r="V53" i="1" s="1"/>
  <c r="L27" i="1"/>
  <c r="L52" i="1" s="1"/>
  <c r="K27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U26" i="1"/>
  <c r="T26" i="1"/>
  <c r="S26" i="1"/>
  <c r="R26" i="1"/>
  <c r="Q26" i="1"/>
  <c r="P26" i="1"/>
  <c r="O26" i="1"/>
  <c r="N26" i="1"/>
  <c r="M26" i="1"/>
  <c r="J26" i="1"/>
  <c r="I26" i="1"/>
  <c r="H26" i="1"/>
  <c r="G26" i="1"/>
  <c r="F26" i="1"/>
  <c r="AL25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AL19" i="1"/>
  <c r="AL18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F15" i="1"/>
  <c r="AL15" i="1" s="1"/>
  <c r="AL14" i="1"/>
  <c r="AL13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AL9" i="1"/>
  <c r="AL8" i="1"/>
  <c r="L67" i="1" l="1"/>
  <c r="L53" i="1"/>
  <c r="AL22" i="1"/>
  <c r="AL10" i="1"/>
  <c r="AL16" i="1"/>
  <c r="AL38" i="1"/>
  <c r="AL59" i="1"/>
  <c r="L56" i="1"/>
  <c r="AH67" i="1"/>
  <c r="AL80" i="1"/>
  <c r="AL109" i="1"/>
  <c r="AL61" i="1"/>
  <c r="AL65" i="1"/>
  <c r="W53" i="1"/>
  <c r="AL21" i="1"/>
  <c r="L26" i="1"/>
  <c r="K26" i="1"/>
  <c r="K66" i="1"/>
  <c r="W67" i="1"/>
  <c r="AL33" i="1"/>
  <c r="V36" i="1"/>
  <c r="V50" i="1" s="1"/>
  <c r="V54" i="1"/>
  <c r="AL37" i="1"/>
  <c r="K52" i="1"/>
  <c r="H56" i="1"/>
  <c r="O57" i="1"/>
  <c r="AL82" i="1"/>
  <c r="AL107" i="1"/>
  <c r="AL123" i="1" s="1"/>
  <c r="AL137" i="1"/>
  <c r="AL190" i="1"/>
  <c r="H205" i="1"/>
  <c r="L205" i="1"/>
  <c r="P205" i="1"/>
  <c r="T205" i="1"/>
  <c r="X205" i="1"/>
  <c r="AB205" i="1"/>
  <c r="AF205" i="1"/>
  <c r="AJ205" i="1"/>
  <c r="AL203" i="1"/>
  <c r="I205" i="1"/>
  <c r="M205" i="1"/>
  <c r="Q205" i="1"/>
  <c r="U205" i="1"/>
  <c r="Y205" i="1"/>
  <c r="AC205" i="1"/>
  <c r="AG205" i="1"/>
  <c r="AL232" i="1"/>
  <c r="K201" i="1"/>
  <c r="O201" i="1"/>
  <c r="S201" i="1"/>
  <c r="W201" i="1"/>
  <c r="AA201" i="1"/>
  <c r="AE201" i="1"/>
  <c r="AI201" i="1"/>
  <c r="AL20" i="1"/>
  <c r="AL58" i="1"/>
  <c r="O50" i="1"/>
  <c r="AL73" i="1"/>
  <c r="AL83" i="1"/>
  <c r="AL165" i="1"/>
  <c r="AL176" i="1"/>
  <c r="H201" i="1"/>
  <c r="L201" i="1"/>
  <c r="P201" i="1"/>
  <c r="T201" i="1"/>
  <c r="X201" i="1"/>
  <c r="AB201" i="1"/>
  <c r="AF201" i="1"/>
  <c r="AJ201" i="1"/>
  <c r="F205" i="1"/>
  <c r="J205" i="1"/>
  <c r="N205" i="1"/>
  <c r="R205" i="1"/>
  <c r="V205" i="1"/>
  <c r="Z205" i="1"/>
  <c r="AD205" i="1"/>
  <c r="AH205" i="1"/>
  <c r="AL53" i="1"/>
  <c r="W50" i="1"/>
  <c r="W59" i="1"/>
  <c r="L50" i="1"/>
  <c r="T50" i="1"/>
  <c r="AF50" i="1"/>
  <c r="L54" i="1"/>
  <c r="T54" i="1"/>
  <c r="AF54" i="1"/>
  <c r="H55" i="1"/>
  <c r="P55" i="1"/>
  <c r="X55" i="1"/>
  <c r="AJ55" i="1"/>
  <c r="H58" i="1"/>
  <c r="H59" i="1"/>
  <c r="AJ59" i="1"/>
  <c r="V62" i="1"/>
  <c r="AL64" i="1"/>
  <c r="V67" i="1"/>
  <c r="AJ206" i="1"/>
  <c r="AJ129" i="1"/>
  <c r="AL129" i="1" s="1"/>
  <c r="G201" i="1"/>
  <c r="AL196" i="1"/>
  <c r="AL41" i="1"/>
  <c r="AL56" i="1" s="1"/>
  <c r="V66" i="1"/>
  <c r="AL27" i="1"/>
  <c r="H50" i="1"/>
  <c r="P50" i="1"/>
  <c r="X50" i="1"/>
  <c r="AB50" i="1"/>
  <c r="AJ50" i="1"/>
  <c r="AB54" i="1"/>
  <c r="AJ57" i="1"/>
  <c r="X58" i="1"/>
  <c r="K62" i="1"/>
  <c r="V64" i="1"/>
  <c r="L66" i="1"/>
  <c r="K67" i="1"/>
  <c r="H74" i="1"/>
  <c r="AL74" i="1" s="1"/>
  <c r="AL94" i="1"/>
  <c r="U206" i="1"/>
  <c r="U101" i="1"/>
  <c r="AL101" i="1"/>
  <c r="AL108" i="1"/>
  <c r="AL124" i="1" s="1"/>
  <c r="AL127" i="1"/>
  <c r="AL128" i="1"/>
  <c r="G155" i="1"/>
  <c r="AL155" i="1" s="1"/>
  <c r="AL154" i="1"/>
  <c r="AL11" i="1"/>
  <c r="AL97" i="1"/>
  <c r="V26" i="1"/>
  <c r="AL26" i="1" s="1"/>
  <c r="I50" i="1"/>
  <c r="M50" i="1"/>
  <c r="Q50" i="1"/>
  <c r="U50" i="1"/>
  <c r="Y50" i="1"/>
  <c r="AC50" i="1"/>
  <c r="AG50" i="1"/>
  <c r="I54" i="1"/>
  <c r="M54" i="1"/>
  <c r="Q54" i="1"/>
  <c r="U54" i="1"/>
  <c r="Y54" i="1"/>
  <c r="AC54" i="1"/>
  <c r="AG54" i="1"/>
  <c r="I58" i="1"/>
  <c r="G36" i="1"/>
  <c r="F50" i="1"/>
  <c r="J50" i="1"/>
  <c r="N50" i="1"/>
  <c r="R50" i="1"/>
  <c r="Z50" i="1"/>
  <c r="AD50" i="1"/>
  <c r="AH50" i="1"/>
  <c r="V52" i="1"/>
  <c r="F54" i="1"/>
  <c r="J54" i="1"/>
  <c r="N54" i="1"/>
  <c r="R54" i="1"/>
  <c r="Z54" i="1"/>
  <c r="AD54" i="1"/>
  <c r="AH54" i="1"/>
  <c r="F56" i="1"/>
  <c r="J56" i="1"/>
  <c r="N56" i="1"/>
  <c r="V56" i="1"/>
  <c r="AH57" i="1"/>
  <c r="F58" i="1"/>
  <c r="J58" i="1"/>
  <c r="V58" i="1"/>
  <c r="AH58" i="1"/>
  <c r="L62" i="1"/>
  <c r="AL96" i="1"/>
  <c r="AL100" i="1"/>
  <c r="AJ136" i="1"/>
  <c r="AL184" i="1"/>
  <c r="AL164" i="1"/>
  <c r="AL178" i="1"/>
  <c r="AL183" i="1"/>
  <c r="AL206" i="1"/>
  <c r="AL220" i="1"/>
  <c r="AD136" i="1"/>
  <c r="AL136" i="1" s="1"/>
  <c r="AL179" i="1"/>
  <c r="AL191" i="1"/>
  <c r="F201" i="1"/>
  <c r="J201" i="1"/>
  <c r="N201" i="1"/>
  <c r="R201" i="1"/>
  <c r="V201" i="1"/>
  <c r="Z201" i="1"/>
  <c r="AD201" i="1"/>
  <c r="AH201" i="1"/>
  <c r="AL212" i="1"/>
  <c r="AL213" i="1" s="1"/>
  <c r="F220" i="1"/>
  <c r="AL202" i="1"/>
  <c r="AL205" i="1" s="1"/>
  <c r="V55" i="1" l="1"/>
  <c r="AL57" i="1"/>
  <c r="G50" i="1"/>
  <c r="AL50" i="1" s="1"/>
  <c r="AL36" i="1"/>
  <c r="G54" i="1"/>
  <c r="G55" i="1"/>
  <c r="AM27" i="1"/>
  <c r="AL99" i="1"/>
  <c r="AL66" i="1"/>
  <c r="AL52" i="1"/>
  <c r="AL67" i="1"/>
  <c r="AL62" i="1"/>
  <c r="AL69" i="1"/>
  <c r="AL54" i="1" l="1"/>
  <c r="AL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W6" authorId="0" shapeId="0" xr:uid="{9748B457-4CFE-4AE1-AA48-A6925D9922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Prepae Stop Plant</t>
        </r>
      </text>
    </comment>
  </commentList>
</comments>
</file>

<file path=xl/sharedStrings.xml><?xml version="1.0" encoding="utf-8"?>
<sst xmlns="http://schemas.openxmlformats.org/spreadsheetml/2006/main" count="450" uniqueCount="139">
  <si>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</si>
  <si>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</si>
  <si>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</si>
  <si>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</si>
  <si>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</si>
  <si>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</si>
  <si>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</si>
  <si>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</si>
  <si>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</si>
  <si>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</si>
  <si>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</si>
  <si>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</si>
  <si>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</si>
  <si>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</si>
  <si>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</si>
  <si>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</si>
  <si>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</si>
  <si>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</si>
  <si>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</si>
  <si>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</si>
  <si>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</si>
  <si>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</si>
  <si>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</si>
  <si>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</si>
  <si>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</si>
  <si>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</si>
  <si>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</si>
  <si>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</si>
  <si>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</si>
  <si>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</si>
  <si>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</si>
  <si>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</si>
  <si>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</si>
  <si>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</si>
  <si>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</si>
  <si>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</si>
  <si>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</si>
  <si>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</si>
  <si>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</si>
  <si>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</si>
  <si>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</si>
  <si>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</si>
  <si>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</si>
  <si>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</si>
  <si>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</si>
  <si>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Olein IV 58 Consume</t>
  </si>
  <si>
    <t>Olein IV 58 Received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</si>
  <si>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</si>
  <si>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</si>
  <si>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</si>
  <si>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</si>
  <si>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</si>
  <si>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</si>
  <si>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</si>
  <si>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</si>
  <si>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</si>
  <si>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</si>
  <si>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</si>
  <si>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</si>
  <si>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</si>
  <si>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</si>
  <si>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</si>
  <si>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</si>
  <si>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Oil Losses</t>
  </si>
  <si>
    <t>Phosporic Acid (PA)</t>
  </si>
  <si>
    <t xml:space="preserve">Kg </t>
  </si>
  <si>
    <t>Bleaching Earth (BE) to Branded Spec</t>
  </si>
  <si>
    <t>Bleaching Earth (BE) to Poram Spec</t>
  </si>
  <si>
    <t>Chemical</t>
  </si>
  <si>
    <t>CHEMICAL CONSUMABLE</t>
  </si>
  <si>
    <t>Soft Stearin</t>
  </si>
  <si>
    <t>Olein IV 60</t>
  </si>
  <si>
    <t>Stearin</t>
  </si>
  <si>
    <t>Olein IV 58</t>
  </si>
  <si>
    <t>Olein IV 56</t>
  </si>
  <si>
    <t>PFAD</t>
  </si>
  <si>
    <t xml:space="preserve">RBDPO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</si>
  <si>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</si>
  <si>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</si>
  <si>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</si>
  <si>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</si>
  <si>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</si>
  <si>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</si>
  <si>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</si>
  <si>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</si>
  <si>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</si>
  <si>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58</t>
  </si>
  <si>
    <t>Fractionation OLEIN IV 58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</si>
  <si>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</si>
  <si>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</si>
  <si>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</si>
  <si>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</si>
  <si>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</si>
  <si>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</si>
  <si>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</si>
  <si>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</si>
  <si>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</si>
  <si>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COL Consume</t>
  </si>
  <si>
    <t>Day</t>
  </si>
  <si>
    <t>Running Days</t>
  </si>
  <si>
    <t>Production</t>
  </si>
  <si>
    <t>PRODUCTION</t>
  </si>
  <si>
    <t>Total  Received</t>
  </si>
  <si>
    <t>Transportation (Loss)/Gain</t>
  </si>
  <si>
    <t>Receiving Weight</t>
  </si>
  <si>
    <t>D/O Weight</t>
  </si>
  <si>
    <t>CPO Swasta</t>
  </si>
  <si>
    <t>Incoming CPO (Swasta) WB</t>
  </si>
  <si>
    <t>Transfer (Loss)/Gain</t>
  </si>
  <si>
    <t>Receiving (base on Sounding)</t>
  </si>
  <si>
    <t>Delivery (base on Sounding)</t>
  </si>
  <si>
    <t>CPO Group</t>
  </si>
  <si>
    <t>Incoming CPO (Group) WB</t>
  </si>
  <si>
    <t>TOTAL
(Kg)</t>
  </si>
  <si>
    <t>UoM</t>
  </si>
  <si>
    <t>Budget / Norma</t>
  </si>
  <si>
    <t>ITEM</t>
  </si>
  <si>
    <t>No</t>
  </si>
  <si>
    <t>PRODUCTION REPORT</t>
  </si>
  <si>
    <t>kg</t>
  </si>
  <si>
    <t>PACKAGING (Minyakita Standing Pouch)</t>
  </si>
  <si>
    <t xml:space="preserve">Minyakita SP 1 L  </t>
  </si>
  <si>
    <t>Olein Received IV 58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</si>
  <si>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</si>
  <si>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</si>
  <si>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</si>
  <si>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</si>
  <si>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</si>
  <si>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</si>
  <si>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</si>
  <si>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Januari</t>
  </si>
  <si>
    <t>Incoming CPO (Group) Piping Line</t>
  </si>
  <si>
    <t xml:space="preserve"> </t>
  </si>
  <si>
    <t>TOTAL</t>
  </si>
  <si>
    <t>(Rp)</t>
  </si>
  <si>
    <t>Budget</t>
  </si>
  <si>
    <r>
      <t>m</t>
    </r>
    <r>
      <rPr>
        <b/>
        <vertAlign val="superscript"/>
        <sz val="11"/>
        <color theme="1"/>
        <rFont val="Arial"/>
        <family val="2"/>
      </rPr>
      <t>3</t>
    </r>
  </si>
  <si>
    <t>Ratio Run CPO</t>
  </si>
  <si>
    <t>Ratio RUN RBDPO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</si>
</sst>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(* #,##0.0000_);_(* \(#,##0.0000\);_(* &quot;-&quot;??.000_);_(@_)"/>
    <numFmt numFmtId="172" formatCode="_(* #,##0.0000_);_(* \(#,##0.0000\);_(* &quot;-&quot;??.00_);_(@_)"/>
    <numFmt numFmtId="173" formatCode="_(* #,##0.00_);_(* \(#,##0.00\);_(* &quot;-&quot;??.0_);_(@_)"/>
    <numFmt numFmtId="174" formatCode="_(* #,##0.0_);_(* \(#,##0.0\);_(* &quot;-&quot;??.0_);_(@_)"/>
    <numFmt numFmtId="175" formatCode="_(* #,##0.000_);_(* \(#,##0.000\);_(* &quot;-&quot;??.00_);_(@_)"/>
    <numFmt numFmtId="176" formatCode="_(* #.##0_);_(* \(#.##0\);_(* &quot;-&quot;??_);_(@_)"/>
    <numFmt numFmtId="177" formatCode="0.00_);\(0.00\)"/>
    <numFmt numFmtId="178" formatCode="_(* #,##0.0000_);_(* \(#,##0.0000\);_(* &quot;-&quot;??.0000_);_(@_)"/>
    <numFmt numFmtId="179" formatCode="_(* #,##0.0_);_(* \(#,##0.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i/>
      <sz val="1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rial"/>
      <family val="2"/>
    </font>
    <font>
      <b/>
      <vertAlign val="superscript"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4">
    <xf numFmtId="0" fontId="0" fillId="0" borderId="0" xfId="0"/>
    <xf numFmtId="0" fontId="2" fillId="0" borderId="0" xfId="0" applyFont="1"/>
    <xf numFmtId="0" fontId="2" fillId="2" borderId="0" xfId="0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5" fillId="0" borderId="4" xfId="1" applyNumberFormat="1" applyFont="1" applyFill="1" applyBorder="1"/>
    <xf numFmtId="0" fontId="6" fillId="0" borderId="3" xfId="0" applyFont="1" applyBorder="1"/>
    <xf numFmtId="166" fontId="3" fillId="3" borderId="5" xfId="1" applyNumberFormat="1" applyFont="1" applyFill="1" applyBorder="1"/>
    <xf numFmtId="41" fontId="2" fillId="0" borderId="0" xfId="2" applyFont="1" applyAlignment="1">
      <alignment vertical="center"/>
    </xf>
    <xf numFmtId="43" fontId="2" fillId="0" borderId="0" xfId="0" applyNumberFormat="1" applyFont="1" applyAlignment="1">
      <alignment vertical="center"/>
    </xf>
    <xf numFmtId="166" fontId="6" fillId="0" borderId="3" xfId="0" applyNumberFormat="1" applyFont="1" applyBorder="1" applyAlignment="1">
      <alignment vertical="center"/>
    </xf>
    <xf numFmtId="166" fontId="3" fillId="0" borderId="3" xfId="0" applyNumberFormat="1" applyFont="1" applyBorder="1"/>
    <xf numFmtId="0" fontId="8" fillId="0" borderId="0" xfId="0" applyFont="1"/>
    <xf numFmtId="166" fontId="2" fillId="0" borderId="3" xfId="0" applyNumberFormat="1" applyFont="1" applyBorder="1"/>
    <xf numFmtId="166" fontId="3" fillId="0" borderId="0" xfId="0" applyNumberFormat="1" applyFont="1"/>
    <xf numFmtId="167" fontId="6" fillId="0" borderId="3" xfId="0" applyNumberFormat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8" fontId="3" fillId="0" borderId="7" xfId="0" applyNumberFormat="1" applyFont="1" applyBorder="1"/>
    <xf numFmtId="169" fontId="2" fillId="0" borderId="0" xfId="0" applyNumberFormat="1" applyFont="1"/>
    <xf numFmtId="170" fontId="2" fillId="0" borderId="3" xfId="0" applyNumberFormat="1" applyFont="1" applyBorder="1"/>
    <xf numFmtId="168" fontId="3" fillId="0" borderId="3" xfId="0" applyNumberFormat="1" applyFont="1" applyBorder="1"/>
    <xf numFmtId="168" fontId="5" fillId="0" borderId="4" xfId="1" applyNumberFormat="1" applyFont="1" applyFill="1" applyBorder="1"/>
    <xf numFmtId="165" fontId="2" fillId="0" borderId="0" xfId="2" applyNumberFormat="1" applyFont="1" applyFill="1"/>
    <xf numFmtId="41" fontId="2" fillId="0" borderId="0" xfId="2" applyFont="1" applyFill="1"/>
    <xf numFmtId="166" fontId="2" fillId="0" borderId="0" xfId="1" applyNumberFormat="1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164" fontId="2" fillId="0" borderId="3" xfId="0" applyNumberFormat="1" applyFont="1" applyBorder="1"/>
    <xf numFmtId="166" fontId="6" fillId="0" borderId="3" xfId="0" applyNumberFormat="1" applyFont="1" applyBorder="1"/>
    <xf numFmtId="0" fontId="3" fillId="3" borderId="5" xfId="0" quotePrefix="1" applyFont="1" applyFill="1" applyBorder="1"/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1" fontId="3" fillId="0" borderId="0" xfId="2" applyFont="1" applyFill="1"/>
    <xf numFmtId="43" fontId="2" fillId="0" borderId="0" xfId="0" applyNumberFormat="1" applyFont="1"/>
    <xf numFmtId="164" fontId="2" fillId="0" borderId="0" xfId="0" applyNumberFormat="1" applyFont="1"/>
    <xf numFmtId="164" fontId="2" fillId="2" borderId="3" xfId="0" applyNumberFormat="1" applyFont="1" applyFill="1" applyBorder="1"/>
    <xf numFmtId="0" fontId="9" fillId="2" borderId="0" xfId="0" applyFont="1" applyFill="1"/>
    <xf numFmtId="0" fontId="5" fillId="0" borderId="0" xfId="0" applyFont="1"/>
    <xf numFmtId="175" fontId="5" fillId="0" borderId="4" xfId="1" applyNumberFormat="1" applyFont="1" applyFill="1" applyBorder="1"/>
    <xf numFmtId="166" fontId="2" fillId="0" borderId="9" xfId="0" applyNumberFormat="1" applyFont="1" applyBorder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/>
    </xf>
    <xf numFmtId="43" fontId="2" fillId="2" borderId="0" xfId="0" applyNumberFormat="1" applyFont="1" applyFill="1"/>
    <xf numFmtId="165" fontId="5" fillId="0" borderId="4" xfId="2" applyNumberFormat="1" applyFont="1" applyFill="1" applyBorder="1"/>
    <xf numFmtId="165" fontId="5" fillId="0" borderId="0" xfId="2" applyNumberFormat="1" applyFont="1"/>
    <xf numFmtId="0" fontId="5" fillId="0" borderId="4" xfId="0" quotePrefix="1" applyFont="1" applyBorder="1"/>
    <xf numFmtId="0" fontId="11" fillId="0" borderId="4" xfId="0" applyFont="1" applyBorder="1" applyAlignment="1">
      <alignment horizontal="center"/>
    </xf>
    <xf numFmtId="0" fontId="10" fillId="0" borderId="3" xfId="0" applyFont="1" applyBorder="1"/>
    <xf numFmtId="0" fontId="3" fillId="3" borderId="3" xfId="0" quotePrefix="1" applyFont="1" applyFill="1" applyBorder="1"/>
    <xf numFmtId="166" fontId="3" fillId="0" borderId="14" xfId="1" applyNumberFormat="1" applyFont="1" applyBorder="1" applyAlignment="1">
      <alignment vertical="center"/>
    </xf>
    <xf numFmtId="164" fontId="12" fillId="0" borderId="3" xfId="0" applyNumberFormat="1" applyFont="1" applyBorder="1"/>
    <xf numFmtId="164" fontId="12" fillId="0" borderId="0" xfId="0" applyNumberFormat="1" applyFont="1"/>
    <xf numFmtId="0" fontId="6" fillId="3" borderId="5" xfId="0" applyFont="1" applyFill="1" applyBorder="1" applyAlignment="1">
      <alignment vertical="center"/>
    </xf>
    <xf numFmtId="177" fontId="13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176" fontId="2" fillId="0" borderId="0" xfId="0" applyNumberFormat="1" applyFont="1"/>
    <xf numFmtId="0" fontId="3" fillId="0" borderId="0" xfId="0" applyFont="1" applyAlignment="1">
      <alignment horizontal="left"/>
    </xf>
    <xf numFmtId="0" fontId="11" fillId="3" borderId="6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166" fontId="5" fillId="3" borderId="6" xfId="1" applyNumberFormat="1" applyFont="1" applyFill="1" applyBorder="1"/>
    <xf numFmtId="166" fontId="5" fillId="4" borderId="4" xfId="1" applyNumberFormat="1" applyFont="1" applyFill="1" applyBorder="1"/>
    <xf numFmtId="0" fontId="11" fillId="0" borderId="4" xfId="0" applyFont="1" applyBorder="1" applyAlignment="1">
      <alignment vertical="center"/>
    </xf>
    <xf numFmtId="0" fontId="15" fillId="0" borderId="4" xfId="0" quotePrefix="1" applyFont="1" applyBorder="1"/>
    <xf numFmtId="166" fontId="5" fillId="0" borderId="4" xfId="1" applyNumberFormat="1" applyFont="1" applyFill="1" applyBorder="1" applyAlignment="1">
      <alignment vertical="center"/>
    </xf>
    <xf numFmtId="0" fontId="11" fillId="0" borderId="4" xfId="0" quotePrefix="1" applyFont="1" applyBorder="1"/>
    <xf numFmtId="0" fontId="11" fillId="0" borderId="4" xfId="0" quotePrefix="1" applyFont="1" applyBorder="1" applyAlignment="1">
      <alignment horizontal="center"/>
    </xf>
    <xf numFmtId="0" fontId="5" fillId="3" borderId="6" xfId="0" quotePrefix="1" applyFont="1" applyFill="1" applyBorder="1" applyAlignment="1">
      <alignment horizontal="center"/>
    </xf>
    <xf numFmtId="43" fontId="5" fillId="0" borderId="4" xfId="1" applyFont="1" applyFill="1" applyBorder="1"/>
    <xf numFmtId="43" fontId="2" fillId="0" borderId="3" xfId="1" applyFont="1" applyBorder="1"/>
    <xf numFmtId="43" fontId="2" fillId="0" borderId="0" xfId="1" applyFont="1" applyFill="1" applyBorder="1"/>
    <xf numFmtId="43" fontId="9" fillId="0" borderId="5" xfId="1" applyFont="1" applyFill="1" applyBorder="1"/>
    <xf numFmtId="43" fontId="11" fillId="0" borderId="4" xfId="1" applyFont="1" applyFill="1" applyBorder="1" applyAlignment="1">
      <alignment vertical="center"/>
    </xf>
    <xf numFmtId="43" fontId="11" fillId="0" borderId="4" xfId="1" applyFont="1" applyFill="1" applyBorder="1"/>
    <xf numFmtId="43" fontId="3" fillId="3" borderId="5" xfId="1" applyFont="1" applyFill="1" applyBorder="1"/>
    <xf numFmtId="43" fontId="3" fillId="0" borderId="3" xfId="1" applyFont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Alignment="1">
      <alignment vertical="center"/>
    </xf>
    <xf numFmtId="166" fontId="5" fillId="3" borderId="6" xfId="1" applyNumberFormat="1" applyFont="1" applyFill="1" applyBorder="1" applyAlignment="1">
      <alignment vertical="center"/>
    </xf>
    <xf numFmtId="166" fontId="2" fillId="3" borderId="5" xfId="0" applyNumberFormat="1" applyFont="1" applyFill="1" applyBorder="1"/>
    <xf numFmtId="168" fontId="7" fillId="0" borderId="4" xfId="1" applyNumberFormat="1" applyFont="1" applyFill="1" applyBorder="1"/>
    <xf numFmtId="166" fontId="7" fillId="0" borderId="4" xfId="1" applyNumberFormat="1" applyFont="1" applyFill="1" applyBorder="1"/>
    <xf numFmtId="166" fontId="2" fillId="0" borderId="7" xfId="0" applyNumberFormat="1" applyFont="1" applyBorder="1"/>
    <xf numFmtId="0" fontId="14" fillId="0" borderId="0" xfId="0" applyFont="1" applyAlignment="1">
      <alignment horizontal="center"/>
    </xf>
    <xf numFmtId="0" fontId="3" fillId="5" borderId="1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vertical="center"/>
    </xf>
    <xf numFmtId="0" fontId="2" fillId="6" borderId="6" xfId="0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6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43" fontId="12" fillId="0" borderId="2" xfId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43" fontId="12" fillId="0" borderId="4" xfId="1" applyFont="1" applyFill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6" borderId="15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6" fontId="3" fillId="0" borderId="15" xfId="1" applyNumberFormat="1" applyFont="1" applyFill="1" applyBorder="1" applyAlignment="1">
      <alignment horizontal="right" vertical="center"/>
    </xf>
    <xf numFmtId="0" fontId="3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166" fontId="2" fillId="3" borderId="6" xfId="1" applyNumberFormat="1" applyFont="1" applyFill="1" applyBorder="1"/>
    <xf numFmtId="166" fontId="2" fillId="3" borderId="6" xfId="1" applyNumberFormat="1" applyFont="1" applyFill="1" applyBorder="1" applyAlignment="1">
      <alignment horizontal="right" vertical="center"/>
    </xf>
    <xf numFmtId="0" fontId="3" fillId="0" borderId="4" xfId="0" applyFont="1" applyBorder="1" applyAlignment="1">
      <alignment horizontal="center"/>
    </xf>
    <xf numFmtId="0" fontId="16" fillId="0" borderId="6" xfId="0" applyFont="1" applyBorder="1" applyAlignment="1">
      <alignment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166" fontId="3" fillId="0" borderId="6" xfId="1" applyNumberFormat="1" applyFont="1" applyFill="1" applyBorder="1"/>
    <xf numFmtId="166" fontId="3" fillId="2" borderId="6" xfId="1" applyNumberFormat="1" applyFont="1" applyFill="1" applyBorder="1"/>
    <xf numFmtId="166" fontId="2" fillId="0" borderId="4" xfId="1" applyNumberFormat="1" applyFont="1" applyFill="1" applyBorder="1"/>
    <xf numFmtId="0" fontId="2" fillId="4" borderId="4" xfId="0" applyFont="1" applyFill="1" applyBorder="1"/>
    <xf numFmtId="166" fontId="2" fillId="6" borderId="4" xfId="1" applyNumberFormat="1" applyFont="1" applyFill="1" applyBorder="1" applyAlignment="1">
      <alignment horizontal="center"/>
    </xf>
    <xf numFmtId="166" fontId="2" fillId="4" borderId="4" xfId="1" applyNumberFormat="1" applyFont="1" applyFill="1" applyBorder="1"/>
    <xf numFmtId="43" fontId="5" fillId="6" borderId="4" xfId="1" applyFont="1" applyFill="1" applyBorder="1" applyAlignment="1">
      <alignment horizontal="center"/>
    </xf>
    <xf numFmtId="165" fontId="2" fillId="0" borderId="4" xfId="2" applyNumberFormat="1" applyFont="1" applyFill="1" applyBorder="1"/>
    <xf numFmtId="165" fontId="7" fillId="0" borderId="4" xfId="2" applyNumberFormat="1" applyFont="1" applyFill="1" applyBorder="1"/>
    <xf numFmtId="0" fontId="2" fillId="0" borderId="4" xfId="0" quotePrefix="1" applyFont="1" applyBorder="1"/>
    <xf numFmtId="43" fontId="2" fillId="6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43" fontId="2" fillId="6" borderId="4" xfId="1" applyFont="1" applyFill="1" applyBorder="1" applyAlignment="1">
      <alignment horizontal="right"/>
    </xf>
    <xf numFmtId="0" fontId="10" fillId="2" borderId="4" xfId="0" applyFont="1" applyFill="1" applyBorder="1"/>
    <xf numFmtId="0" fontId="2" fillId="6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4" borderId="4" xfId="0" quotePrefix="1" applyFont="1" applyFill="1" applyBorder="1"/>
    <xf numFmtId="0" fontId="16" fillId="0" borderId="6" xfId="0" applyFont="1" applyBorder="1"/>
    <xf numFmtId="0" fontId="17" fillId="6" borderId="6" xfId="0" applyFont="1" applyFill="1" applyBorder="1" applyAlignment="1">
      <alignment horizontal="center"/>
    </xf>
    <xf numFmtId="166" fontId="10" fillId="0" borderId="3" xfId="0" applyNumberFormat="1" applyFont="1" applyBorder="1"/>
    <xf numFmtId="41" fontId="2" fillId="6" borderId="4" xfId="2" applyFont="1" applyFill="1" applyBorder="1" applyAlignment="1">
      <alignment horizontal="center"/>
    </xf>
    <xf numFmtId="41" fontId="17" fillId="6" borderId="6" xfId="2" applyFont="1" applyFill="1" applyBorder="1" applyAlignment="1">
      <alignment horizontal="center"/>
    </xf>
    <xf numFmtId="176" fontId="2" fillId="0" borderId="6" xfId="1" applyNumberFormat="1" applyFont="1" applyFill="1" applyBorder="1"/>
    <xf numFmtId="166" fontId="3" fillId="0" borderId="6" xfId="1" applyNumberFormat="1" applyFont="1" applyFill="1" applyBorder="1" applyAlignment="1">
      <alignment horizontal="center"/>
    </xf>
    <xf numFmtId="166" fontId="3" fillId="2" borderId="6" xfId="1" applyNumberFormat="1" applyFont="1" applyFill="1" applyBorder="1" applyAlignment="1">
      <alignment horizontal="center"/>
    </xf>
    <xf numFmtId="166" fontId="2" fillId="2" borderId="4" xfId="1" applyNumberFormat="1" applyFont="1" applyFill="1" applyBorder="1"/>
    <xf numFmtId="0" fontId="2" fillId="4" borderId="4" xfId="0" applyFont="1" applyFill="1" applyBorder="1" applyAlignment="1">
      <alignment vertical="center"/>
    </xf>
    <xf numFmtId="41" fontId="17" fillId="6" borderId="4" xfId="2" applyFont="1" applyFill="1" applyBorder="1" applyAlignment="1">
      <alignment horizontal="center" vertical="center"/>
    </xf>
    <xf numFmtId="166" fontId="2" fillId="4" borderId="4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66" fontId="2" fillId="0" borderId="0" xfId="0" applyNumberFormat="1" applyFont="1" applyAlignment="1">
      <alignment vertical="center"/>
    </xf>
    <xf numFmtId="0" fontId="3" fillId="3" borderId="6" xfId="0" quotePrefix="1" applyFont="1" applyFill="1" applyBorder="1"/>
    <xf numFmtId="0" fontId="2" fillId="3" borderId="6" xfId="0" applyFont="1" applyFill="1" applyBorder="1" applyAlignment="1">
      <alignment horizontal="center"/>
    </xf>
    <xf numFmtId="0" fontId="2" fillId="2" borderId="4" xfId="0" quotePrefix="1" applyFont="1" applyFill="1" applyBorder="1"/>
    <xf numFmtId="43" fontId="2" fillId="0" borderId="4" xfId="1" applyFont="1" applyFill="1" applyBorder="1"/>
    <xf numFmtId="0" fontId="3" fillId="3" borderId="6" xfId="0" applyFont="1" applyFill="1" applyBorder="1"/>
    <xf numFmtId="0" fontId="2" fillId="0" borderId="4" xfId="0" applyFont="1" applyBorder="1"/>
    <xf numFmtId="0" fontId="2" fillId="0" borderId="12" xfId="0" quotePrefix="1" applyFont="1" applyBorder="1"/>
    <xf numFmtId="43" fontId="2" fillId="6" borderId="12" xfId="1" applyFont="1" applyFill="1" applyBorder="1" applyAlignment="1">
      <alignment horizontal="center"/>
    </xf>
    <xf numFmtId="166" fontId="2" fillId="0" borderId="12" xfId="1" applyNumberFormat="1" applyFont="1" applyFill="1" applyBorder="1"/>
    <xf numFmtId="166" fontId="2" fillId="0" borderId="21" xfId="1" applyNumberFormat="1" applyFont="1" applyFill="1" applyBorder="1"/>
    <xf numFmtId="0" fontId="2" fillId="0" borderId="11" xfId="0" applyFont="1" applyBorder="1"/>
    <xf numFmtId="0" fontId="2" fillId="6" borderId="11" xfId="0" applyFont="1" applyFill="1" applyBorder="1" applyAlignment="1">
      <alignment horizontal="center"/>
    </xf>
    <xf numFmtId="43" fontId="2" fillId="0" borderId="11" xfId="1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75" fontId="2" fillId="0" borderId="4" xfId="1" applyNumberFormat="1" applyFont="1" applyFill="1" applyBorder="1"/>
    <xf numFmtId="0" fontId="3" fillId="2" borderId="6" xfId="0" applyFont="1" applyFill="1" applyBorder="1" applyAlignment="1">
      <alignment horizontal="center"/>
    </xf>
    <xf numFmtId="0" fontId="3" fillId="2" borderId="6" xfId="0" quotePrefix="1" applyFont="1" applyFill="1" applyBorder="1"/>
    <xf numFmtId="173" fontId="2" fillId="6" borderId="6" xfId="1" applyNumberFormat="1" applyFont="1" applyFill="1" applyBorder="1" applyAlignment="1">
      <alignment horizontal="center"/>
    </xf>
    <xf numFmtId="43" fontId="9" fillId="0" borderId="6" xfId="1" applyFont="1" applyFill="1" applyBorder="1"/>
    <xf numFmtId="174" fontId="2" fillId="6" borderId="4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2" xfId="0" quotePrefix="1" applyFont="1" applyFill="1" applyBorder="1"/>
    <xf numFmtId="0" fontId="3" fillId="0" borderId="4" xfId="0" applyFont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6" fontId="3" fillId="0" borderId="4" xfId="1" applyNumberFormat="1" applyFont="1" applyFill="1" applyBorder="1"/>
    <xf numFmtId="0" fontId="3" fillId="0" borderId="4" xfId="0" quotePrefix="1" applyFont="1" applyBorder="1"/>
    <xf numFmtId="0" fontId="3" fillId="6" borderId="4" xfId="0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41" fontId="2" fillId="2" borderId="4" xfId="2" applyFont="1" applyFill="1" applyBorder="1"/>
    <xf numFmtId="165" fontId="2" fillId="0" borderId="4" xfId="2" applyNumberFormat="1" applyFont="1" applyBorder="1"/>
    <xf numFmtId="41" fontId="2" fillId="0" borderId="4" xfId="2" applyFont="1" applyFill="1" applyBorder="1"/>
    <xf numFmtId="165" fontId="2" fillId="0" borderId="4" xfId="2" applyNumberFormat="1" applyFont="1" applyFill="1" applyBorder="1" applyAlignment="1">
      <alignment vertical="center"/>
    </xf>
    <xf numFmtId="0" fontId="6" fillId="0" borderId="4" xfId="0" quotePrefix="1" applyFont="1" applyBorder="1"/>
    <xf numFmtId="165" fontId="2" fillId="0" borderId="4" xfId="1" applyNumberFormat="1" applyFont="1" applyFill="1" applyBorder="1"/>
    <xf numFmtId="0" fontId="2" fillId="0" borderId="4" xfId="0" quotePrefix="1" applyFont="1" applyBorder="1" applyAlignment="1">
      <alignment vertical="center"/>
    </xf>
    <xf numFmtId="166" fontId="2" fillId="0" borderId="4" xfId="1" applyNumberFormat="1" applyFont="1" applyFill="1" applyBorder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166" fontId="2" fillId="0" borderId="4" xfId="1" applyNumberFormat="1" applyFont="1" applyBorder="1"/>
    <xf numFmtId="166" fontId="2" fillId="0" borderId="2" xfId="1" applyNumberFormat="1" applyFont="1" applyFill="1" applyBorder="1"/>
    <xf numFmtId="166" fontId="2" fillId="0" borderId="2" xfId="1" applyNumberFormat="1" applyFont="1" applyFill="1" applyBorder="1" applyAlignment="1">
      <alignment vertical="center"/>
    </xf>
    <xf numFmtId="43" fontId="3" fillId="0" borderId="4" xfId="1" applyFont="1" applyFill="1" applyBorder="1"/>
    <xf numFmtId="43" fontId="2" fillId="3" borderId="6" xfId="1" applyFont="1" applyFill="1" applyBorder="1" applyAlignment="1">
      <alignment horizontal="center"/>
    </xf>
    <xf numFmtId="43" fontId="2" fillId="3" borderId="6" xfId="1" applyFont="1" applyFill="1" applyBorder="1"/>
    <xf numFmtId="164" fontId="3" fillId="3" borderId="3" xfId="0" applyNumberFormat="1" applyFont="1" applyFill="1" applyBorder="1"/>
    <xf numFmtId="0" fontId="11" fillId="3" borderId="6" xfId="0" quotePrefix="1" applyFont="1" applyFill="1" applyBorder="1" applyAlignment="1">
      <alignment horizontal="center"/>
    </xf>
    <xf numFmtId="168" fontId="2" fillId="0" borderId="4" xfId="1" applyNumberFormat="1" applyFont="1" applyFill="1" applyBorder="1"/>
    <xf numFmtId="172" fontId="2" fillId="0" borderId="4" xfId="1" applyNumberFormat="1" applyFont="1" applyFill="1" applyBorder="1"/>
    <xf numFmtId="173" fontId="2" fillId="6" borderId="4" xfId="1" applyNumberFormat="1" applyFont="1" applyFill="1" applyBorder="1" applyAlignment="1">
      <alignment horizontal="center"/>
    </xf>
    <xf numFmtId="171" fontId="2" fillId="0" borderId="4" xfId="1" applyNumberFormat="1" applyFont="1" applyFill="1" applyBorder="1"/>
    <xf numFmtId="178" fontId="2" fillId="0" borderId="4" xfId="1" applyNumberFormat="1" applyFont="1" applyFill="1" applyBorder="1"/>
    <xf numFmtId="169" fontId="2" fillId="2" borderId="0" xfId="0" applyNumberFormat="1" applyFont="1" applyFill="1"/>
    <xf numFmtId="179" fontId="2" fillId="0" borderId="4" xfId="1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2" xfId="0" quotePrefix="1" applyFont="1" applyBorder="1"/>
    <xf numFmtId="43" fontId="3" fillId="6" borderId="2" xfId="1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168" fontId="3" fillId="0" borderId="2" xfId="1" applyNumberFormat="1" applyFont="1" applyFill="1" applyBorder="1"/>
    <xf numFmtId="172" fontId="3" fillId="0" borderId="2" xfId="1" applyNumberFormat="1" applyFont="1" applyFill="1" applyBorder="1"/>
    <xf numFmtId="169" fontId="3" fillId="0" borderId="0" xfId="0" applyNumberFormat="1" applyFont="1"/>
    <xf numFmtId="0" fontId="3" fillId="3" borderId="4" xfId="0" quotePrefix="1" applyFont="1" applyFill="1" applyBorder="1"/>
    <xf numFmtId="0" fontId="3" fillId="3" borderId="4" xfId="0" applyFont="1" applyFill="1" applyBorder="1" applyAlignment="1">
      <alignment horizontal="center"/>
    </xf>
    <xf numFmtId="168" fontId="3" fillId="3" borderId="4" xfId="1" applyNumberFormat="1" applyFont="1" applyFill="1" applyBorder="1"/>
    <xf numFmtId="166" fontId="3" fillId="6" borderId="4" xfId="1" applyNumberFormat="1" applyFont="1" applyFill="1" applyBorder="1" applyAlignment="1">
      <alignment horizontal="center"/>
    </xf>
    <xf numFmtId="43" fontId="2" fillId="6" borderId="4" xfId="1" applyFont="1" applyFill="1" applyBorder="1" applyAlignment="1">
      <alignment horizontal="center" vertical="center"/>
    </xf>
    <xf numFmtId="43" fontId="2" fillId="0" borderId="4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43" fontId="2" fillId="6" borderId="4" xfId="1" applyFont="1" applyFill="1" applyBorder="1" applyAlignment="1">
      <alignment vertical="center"/>
    </xf>
    <xf numFmtId="0" fontId="3" fillId="2" borderId="4" xfId="0" applyFont="1" applyFill="1" applyBorder="1" applyAlignment="1">
      <alignment horizontal="center"/>
    </xf>
    <xf numFmtId="0" fontId="3" fillId="2" borderId="4" xfId="0" quotePrefix="1" applyFont="1" applyFill="1" applyBorder="1"/>
    <xf numFmtId="0" fontId="2" fillId="6" borderId="4" xfId="0" applyFont="1" applyFill="1" applyBorder="1" applyAlignment="1">
      <alignment horizontal="right"/>
    </xf>
    <xf numFmtId="0" fontId="3" fillId="2" borderId="22" xfId="0" applyFont="1" applyFill="1" applyBorder="1" applyAlignment="1">
      <alignment horizontal="center"/>
    </xf>
    <xf numFmtId="0" fontId="3" fillId="2" borderId="22" xfId="0" quotePrefix="1" applyFont="1" applyFill="1" applyBorder="1"/>
    <xf numFmtId="0" fontId="3" fillId="6" borderId="22" xfId="0" applyFont="1" applyFill="1" applyBorder="1" applyAlignment="1">
      <alignment horizontal="center"/>
    </xf>
    <xf numFmtId="0" fontId="3" fillId="2" borderId="22" xfId="0" quotePrefix="1" applyFont="1" applyFill="1" applyBorder="1" applyAlignment="1">
      <alignment horizontal="center"/>
    </xf>
    <xf numFmtId="166" fontId="3" fillId="0" borderId="22" xfId="1" applyNumberFormat="1" applyFont="1" applyFill="1" applyBorder="1"/>
    <xf numFmtId="0" fontId="4" fillId="2" borderId="13" xfId="0" applyFont="1" applyFill="1" applyBorder="1"/>
    <xf numFmtId="43" fontId="5" fillId="0" borderId="10" xfId="1" applyFont="1" applyBorder="1"/>
    <xf numFmtId="171" fontId="5" fillId="0" borderId="4" xfId="1" applyNumberFormat="1" applyFont="1" applyFill="1" applyBorder="1"/>
    <xf numFmtId="43" fontId="7" fillId="0" borderId="4" xfId="1" applyFont="1" applyFill="1" applyBorder="1" applyAlignment="1">
      <alignment vertical="center"/>
    </xf>
    <xf numFmtId="172" fontId="5" fillId="0" borderId="4" xfId="1" applyNumberFormat="1" applyFont="1" applyFill="1" applyBorder="1"/>
    <xf numFmtId="172" fontId="11" fillId="0" borderId="2" xfId="1" applyNumberFormat="1" applyFont="1" applyFill="1" applyBorder="1"/>
    <xf numFmtId="43" fontId="5" fillId="0" borderId="4" xfId="1" applyFont="1" applyFill="1" applyBorder="1" applyAlignment="1">
      <alignment vertical="center"/>
    </xf>
    <xf numFmtId="0" fontId="3" fillId="0" borderId="0" xfId="0" applyFont="1" applyAlignment="1">
      <alignment horizontal="center" wrapText="1"/>
    </xf>
    <xf numFmtId="0" fontId="20" fillId="5" borderId="15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vertical="center"/>
    </xf>
    <xf numFmtId="166" fontId="2" fillId="0" borderId="0" xfId="1" applyNumberFormat="1" applyFont="1" applyBorder="1"/>
    <xf numFmtId="177" fontId="13" fillId="0" borderId="0" xfId="0" applyNumberFormat="1" applyFont="1"/>
    <xf numFmtId="166" fontId="3" fillId="0" borderId="0" xfId="1" applyNumberFormat="1" applyFont="1" applyBorder="1" applyAlignment="1">
      <alignment vertical="center"/>
    </xf>
    <xf numFmtId="0" fontId="3" fillId="3" borderId="0" xfId="0" quotePrefix="1" applyFont="1" applyFill="1"/>
    <xf numFmtId="0" fontId="10" fillId="0" borderId="0" xfId="0" applyFont="1"/>
    <xf numFmtId="166" fontId="6" fillId="0" borderId="0" xfId="0" applyNumberFormat="1" applyFont="1"/>
    <xf numFmtId="166" fontId="10" fillId="0" borderId="0" xfId="0" applyNumberFormat="1" applyFont="1"/>
    <xf numFmtId="166" fontId="2" fillId="0" borderId="0" xfId="1" applyNumberFormat="1" applyFont="1" applyBorder="1" applyAlignment="1">
      <alignment vertical="center"/>
    </xf>
    <xf numFmtId="43" fontId="2" fillId="0" borderId="0" xfId="1" applyFont="1" applyBorder="1"/>
    <xf numFmtId="0" fontId="3" fillId="3" borderId="0" xfId="0" applyFont="1" applyFill="1"/>
    <xf numFmtId="43" fontId="7" fillId="0" borderId="0" xfId="1" applyFont="1" applyBorder="1"/>
    <xf numFmtId="43" fontId="5" fillId="0" borderId="0" xfId="1" applyFont="1" applyBorder="1"/>
    <xf numFmtId="175" fontId="5" fillId="0" borderId="3" xfId="1" applyNumberFormat="1" applyFont="1" applyBorder="1"/>
    <xf numFmtId="175" fontId="7" fillId="0" borderId="0" xfId="1" applyNumberFormat="1" applyFont="1" applyBorder="1"/>
    <xf numFmtId="43" fontId="9" fillId="0" borderId="0" xfId="1" applyFont="1" applyFill="1" applyBorder="1"/>
    <xf numFmtId="164" fontId="2" fillId="2" borderId="0" xfId="0" applyNumberFormat="1" applyFont="1" applyFill="1"/>
    <xf numFmtId="164" fontId="3" fillId="0" borderId="0" xfId="0" applyNumberFormat="1" applyFont="1"/>
    <xf numFmtId="41" fontId="3" fillId="2" borderId="3" xfId="2" applyFont="1" applyFill="1" applyBorder="1"/>
    <xf numFmtId="165" fontId="3" fillId="2" borderId="0" xfId="2" applyNumberFormat="1" applyFont="1" applyFill="1" applyBorder="1"/>
    <xf numFmtId="166" fontId="2" fillId="3" borderId="0" xfId="0" applyNumberFormat="1" applyFont="1" applyFill="1"/>
    <xf numFmtId="164" fontId="3" fillId="3" borderId="0" xfId="0" applyNumberFormat="1" applyFont="1" applyFill="1"/>
    <xf numFmtId="166" fontId="11" fillId="3" borderId="0" xfId="1" applyNumberFormat="1" applyFont="1" applyFill="1" applyBorder="1"/>
    <xf numFmtId="41" fontId="3" fillId="3" borderId="0" xfId="2" applyFont="1" applyFill="1" applyBorder="1"/>
    <xf numFmtId="168" fontId="2" fillId="0" borderId="0" xfId="0" applyNumberFormat="1" applyFont="1"/>
    <xf numFmtId="168" fontId="3" fillId="0" borderId="0" xfId="0" applyNumberFormat="1" applyFont="1"/>
    <xf numFmtId="0" fontId="6" fillId="0" borderId="0" xfId="0" applyFont="1"/>
    <xf numFmtId="170" fontId="2" fillId="0" borderId="0" xfId="0" applyNumberFormat="1" applyFont="1"/>
    <xf numFmtId="43" fontId="3" fillId="3" borderId="0" xfId="1" applyFont="1" applyFill="1" applyBorder="1"/>
    <xf numFmtId="167" fontId="6" fillId="0" borderId="0" xfId="0" applyNumberFormat="1" applyFont="1"/>
    <xf numFmtId="43" fontId="3" fillId="0" borderId="0" xfId="1" applyFont="1" applyBorder="1" applyAlignment="1">
      <alignment vertical="center"/>
    </xf>
    <xf numFmtId="166" fontId="6" fillId="0" borderId="0" xfId="0" applyNumberFormat="1" applyFont="1" applyAlignment="1">
      <alignment vertical="center"/>
    </xf>
    <xf numFmtId="43" fontId="2" fillId="0" borderId="0" xfId="1" applyFont="1" applyBorder="1" applyAlignment="1">
      <alignment vertical="center"/>
    </xf>
    <xf numFmtId="166" fontId="3" fillId="3" borderId="0" xfId="1" applyNumberFormat="1" applyFont="1" applyFill="1" applyBorder="1"/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4" borderId="4" xfId="0" quotePrefix="1" applyFont="1" applyFill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/>
    </xf>
    <xf numFmtId="0" fontId="3" fillId="2" borderId="4" xfId="0" quotePrefix="1" applyFont="1" applyFill="1" applyBorder="1" applyAlignment="1">
      <alignment horizontal="center"/>
    </xf>
    <xf numFmtId="0" fontId="3" fillId="0" borderId="12" xfId="0" quotePrefix="1" applyFont="1" applyBorder="1" applyAlignment="1">
      <alignment horizontal="center"/>
    </xf>
    <xf numFmtId="0" fontId="3" fillId="0" borderId="11" xfId="0" quotePrefix="1" applyFont="1" applyBorder="1" applyAlignment="1">
      <alignment horizontal="center"/>
    </xf>
    <xf numFmtId="0" fontId="3" fillId="2" borderId="6" xfId="0" quotePrefix="1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/>
    </xf>
    <xf numFmtId="0" fontId="3" fillId="0" borderId="4" xfId="0" quotePrefix="1" applyFont="1" applyBorder="1" applyAlignment="1">
      <alignment horizontal="center" vertical="center"/>
    </xf>
    <xf numFmtId="0" fontId="3" fillId="3" borderId="6" xfId="0" quotePrefix="1" applyFont="1" applyFill="1" applyBorder="1" applyAlignment="1">
      <alignment horizontal="center"/>
    </xf>
    <xf numFmtId="0" fontId="11" fillId="0" borderId="4" xfId="0" quotePrefix="1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43" fontId="3" fillId="3" borderId="6" xfId="1" applyFont="1" applyFill="1" applyBorder="1" applyAlignment="1">
      <alignment horizontal="center"/>
    </xf>
    <xf numFmtId="0" fontId="5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0" fontId="11" fillId="4" borderId="6" xfId="0" quotePrefix="1" applyFont="1" applyFill="1" applyBorder="1" applyAlignment="1">
      <alignment horizontal="center"/>
    </xf>
    <xf numFmtId="43" fontId="5" fillId="4" borderId="6" xfId="1" applyFont="1" applyFill="1" applyBorder="1"/>
    <xf numFmtId="166" fontId="2" fillId="4" borderId="5" xfId="0" applyNumberFormat="1" applyFont="1" applyFill="1" applyBorder="1"/>
    <xf numFmtId="0" fontId="5" fillId="4" borderId="4" xfId="0" applyFont="1" applyFill="1" applyBorder="1" applyAlignment="1">
      <alignment vertical="center"/>
    </xf>
    <xf numFmtId="43" fontId="2" fillId="4" borderId="4" xfId="1" applyFont="1" applyFill="1" applyBorder="1" applyAlignment="1">
      <alignment horizontal="center"/>
    </xf>
    <xf numFmtId="0" fontId="11" fillId="4" borderId="4" xfId="0" quotePrefix="1" applyFont="1" applyFill="1" applyBorder="1" applyAlignment="1">
      <alignment horizontal="center"/>
    </xf>
    <xf numFmtId="43" fontId="5" fillId="4" borderId="4" xfId="1" applyFont="1" applyFill="1" applyBorder="1"/>
    <xf numFmtId="166" fontId="2" fillId="4" borderId="3" xfId="0" applyNumberFormat="1" applyFont="1" applyFill="1" applyBorder="1"/>
    <xf numFmtId="0" fontId="5" fillId="4" borderId="2" xfId="0" applyFont="1" applyFill="1" applyBorder="1" applyAlignment="1">
      <alignment vertical="center"/>
    </xf>
    <xf numFmtId="43" fontId="2" fillId="4" borderId="2" xfId="1" applyFont="1" applyFill="1" applyBorder="1" applyAlignment="1">
      <alignment horizontal="center"/>
    </xf>
    <xf numFmtId="0" fontId="11" fillId="4" borderId="2" xfId="0" quotePrefix="1" applyFont="1" applyFill="1" applyBorder="1" applyAlignment="1">
      <alignment horizontal="center"/>
    </xf>
    <xf numFmtId="43" fontId="5" fillId="4" borderId="2" xfId="1" applyFont="1" applyFill="1" applyBorder="1"/>
    <xf numFmtId="166" fontId="2" fillId="4" borderId="7" xfId="0" applyNumberFormat="1" applyFont="1" applyFill="1" applyBorder="1"/>
    <xf numFmtId="0" fontId="11" fillId="4" borderId="15" xfId="0" applyFont="1" applyFill="1" applyBorder="1" applyAlignment="1">
      <alignment vertical="center"/>
    </xf>
    <xf numFmtId="43" fontId="2" fillId="4" borderId="15" xfId="1" applyFont="1" applyFill="1" applyBorder="1" applyAlignment="1">
      <alignment horizontal="center"/>
    </xf>
    <xf numFmtId="0" fontId="11" fillId="4" borderId="15" xfId="0" quotePrefix="1" applyFont="1" applyFill="1" applyBorder="1" applyAlignment="1">
      <alignment horizontal="center"/>
    </xf>
    <xf numFmtId="43" fontId="5" fillId="4" borderId="15" xfId="1" applyFont="1" applyFill="1" applyBorder="1"/>
    <xf numFmtId="166" fontId="11" fillId="4" borderId="14" xfId="1" applyNumberFormat="1" applyFont="1" applyFill="1" applyBorder="1"/>
    <xf numFmtId="165" fontId="11" fillId="4" borderId="15" xfId="2" applyNumberFormat="1" applyFont="1" applyFill="1" applyBorder="1" applyAlignment="1">
      <alignment horizontal="left" vertical="top"/>
    </xf>
    <xf numFmtId="165" fontId="11" fillId="4" borderId="15" xfId="2" quotePrefix="1" applyNumberFormat="1" applyFont="1" applyFill="1" applyBorder="1" applyAlignment="1">
      <alignment horizontal="center"/>
    </xf>
    <xf numFmtId="165" fontId="11" fillId="4" borderId="15" xfId="2" applyNumberFormat="1" applyFont="1" applyFill="1" applyBorder="1"/>
    <xf numFmtId="41" fontId="3" fillId="4" borderId="7" xfId="2" applyFont="1" applyFill="1" applyBorder="1"/>
    <xf numFmtId="0" fontId="3" fillId="2" borderId="4" xfId="0" applyFont="1" applyFill="1" applyBorder="1" applyAlignment="1">
      <alignment horizontal="right"/>
    </xf>
    <xf numFmtId="0" fontId="3" fillId="0" borderId="23" xfId="0" applyFont="1" applyBorder="1" applyAlignment="1">
      <alignment horizontal="center"/>
    </xf>
    <xf numFmtId="43" fontId="2" fillId="0" borderId="3" xfId="1" applyFont="1" applyFill="1" applyBorder="1"/>
    <xf numFmtId="166" fontId="2" fillId="4" borderId="3" xfId="1" applyNumberFormat="1" applyFont="1" applyFill="1" applyBorder="1"/>
    <xf numFmtId="166" fontId="2" fillId="4" borderId="3" xfId="0" applyNumberFormat="1" applyFont="1" applyFill="1" applyBorder="1" applyAlignment="1">
      <alignment vertical="center"/>
    </xf>
    <xf numFmtId="166" fontId="2" fillId="4" borderId="3" xfId="1" applyNumberFormat="1" applyFont="1" applyFill="1" applyBorder="1" applyAlignment="1">
      <alignment vertical="center"/>
    </xf>
    <xf numFmtId="0" fontId="2" fillId="0" borderId="23" xfId="0" applyFont="1" applyBorder="1" applyAlignment="1">
      <alignment horizontal="center"/>
    </xf>
    <xf numFmtId="41" fontId="2" fillId="2" borderId="4" xfId="2" applyFont="1" applyFill="1" applyBorder="1" applyAlignment="1">
      <alignment horizontal="center"/>
    </xf>
    <xf numFmtId="43" fontId="2" fillId="2" borderId="4" xfId="1" applyFont="1" applyFill="1" applyBorder="1"/>
    <xf numFmtId="43" fontId="7" fillId="0" borderId="4" xfId="1" applyFont="1" applyFill="1" applyBorder="1"/>
    <xf numFmtId="0" fontId="2" fillId="0" borderId="3" xfId="0" applyFont="1" applyBorder="1"/>
    <xf numFmtId="0" fontId="2" fillId="0" borderId="24" xfId="0" applyFont="1" applyBorder="1" applyAlignment="1">
      <alignment horizontal="center"/>
    </xf>
    <xf numFmtId="166" fontId="6" fillId="0" borderId="4" xfId="0" applyNumberFormat="1" applyFont="1" applyBorder="1"/>
    <xf numFmtId="0" fontId="2" fillId="6" borderId="8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5" borderId="15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</cellXfs>
  <cellStyles count="3">
    <cellStyle name="Koma" xfId="1" builtinId="3"/>
    <cellStyle name="Ko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WC236"/>
  <sheetViews>
    <sheetView tabSelected="1" zoomScale="80" zoomScaleNormal="80" workbookViewId="0">
      <pane xSplit="5" ySplit="22" topLeftCell="Z23" activePane="bottomRight" state="frozen"/>
      <selection pane="topRight" activeCell="F1" sqref="F1"/>
      <selection pane="bottomLeft" activeCell="A23" sqref="A23"/>
      <selection pane="bottomRight" activeCell="AL64" sqref="AL64"/>
    </sheetView>
  </sheetViews>
  <sheetFormatPr defaultColWidth="9" defaultRowHeight="15" x14ac:dyDescent="0.25"/>
  <cols>
    <col min="1" max="1" width="1.5703125" style="1" customWidth="1"/>
    <col min="2" max="2" width="4.7109375" style="21" customWidth="1"/>
    <col min="3" max="3" width="43.5703125" style="1" customWidth="1"/>
    <col min="4" max="4" width="18.140625" style="1" customWidth="1"/>
    <col min="5" max="5" width="8.140625" style="48" customWidth="1"/>
    <col min="6" max="6" width="17.140625" style="1" customWidth="1"/>
    <col min="7" max="14" width="14" style="1" customWidth="1"/>
    <col min="15" max="25" width="13.7109375" style="1" customWidth="1"/>
    <col min="26" max="29" width="12" style="1" customWidth="1"/>
    <col min="30" max="30" width="12.42578125" style="1" customWidth="1"/>
    <col min="31" max="32" width="12" style="1" customWidth="1"/>
    <col min="33" max="33" width="13.28515625" style="1" customWidth="1"/>
    <col min="34" max="36" width="13.7109375" style="1" customWidth="1"/>
    <col min="37" max="37" width="9.42578125" style="1" customWidth="1"/>
    <col min="38" max="38" width="19.28515625" style="1" customWidth="1"/>
    <col min="39" max="39" width="19.28515625" style="1" hidden="1" customWidth="1"/>
    <col min="40" max="40" width="13.7109375" style="1" hidden="1" customWidth="1"/>
    <col min="41" max="64" width="8.140625" style="1" customWidth="1"/>
    <col min="65" max="65" width="18.28515625" style="1" customWidth="1"/>
    <col min="66" max="66" width="15" style="1" customWidth="1"/>
    <col min="67" max="67" width="12.42578125" style="1" customWidth="1"/>
    <col min="68" max="68" width="8.140625" style="1" customWidth="1"/>
    <col min="69" max="70" width="10.7109375" style="1" customWidth="1"/>
    <col min="71" max="83" width="8.140625" style="1" customWidth="1"/>
    <col min="84" max="15080" width="9" style="1"/>
  </cols>
  <sheetData>
    <row r="1" spans="2:40" x14ac:dyDescent="0.25">
      <c r="B1" s="49"/>
    </row>
    <row r="2" spans="2:40" ht="18" x14ac:dyDescent="0.25">
      <c r="B2" s="324" t="s">
        <v>118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4"/>
      <c r="V2" s="324"/>
      <c r="W2" s="324"/>
      <c r="X2" s="324"/>
      <c r="Y2" s="324"/>
      <c r="Z2" s="324"/>
      <c r="AA2" s="324"/>
      <c r="AB2" s="324"/>
      <c r="AC2" s="324"/>
      <c r="AD2" s="324"/>
      <c r="AE2" s="324"/>
      <c r="AF2" s="324"/>
      <c r="AG2" s="324"/>
      <c r="AH2" s="324"/>
      <c r="AI2" s="324"/>
      <c r="AJ2" s="324"/>
      <c r="AK2" s="90"/>
    </row>
    <row r="3" spans="2:40" x14ac:dyDescent="0.25">
      <c r="B3" s="64"/>
    </row>
    <row r="4" spans="2:40" ht="15.75" thickBot="1" x14ac:dyDescent="0.3">
      <c r="C4" s="63"/>
      <c r="D4" s="7"/>
      <c r="O4" s="22"/>
      <c r="P4" s="22"/>
      <c r="Z4" s="22"/>
      <c r="AB4" s="22"/>
    </row>
    <row r="5" spans="2:40" x14ac:dyDescent="0.25">
      <c r="B5" s="327" t="s">
        <v>117</v>
      </c>
      <c r="C5" s="327" t="s">
        <v>116</v>
      </c>
      <c r="D5" s="328" t="s">
        <v>115</v>
      </c>
      <c r="E5" s="330" t="s">
        <v>114</v>
      </c>
      <c r="F5" s="332" t="s">
        <v>130</v>
      </c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333"/>
      <c r="AG5" s="333"/>
      <c r="AH5" s="333"/>
      <c r="AI5" s="333"/>
      <c r="AJ5" s="333"/>
      <c r="AL5" s="325" t="s">
        <v>113</v>
      </c>
      <c r="AM5" s="232" t="s">
        <v>133</v>
      </c>
      <c r="AN5" s="21" t="s">
        <v>135</v>
      </c>
    </row>
    <row r="6" spans="2:40" x14ac:dyDescent="0.25">
      <c r="B6" s="327"/>
      <c r="C6" s="327"/>
      <c r="D6" s="329"/>
      <c r="E6" s="331"/>
      <c r="F6" s="91">
        <v>1</v>
      </c>
      <c r="G6" s="91">
        <v>2</v>
      </c>
      <c r="H6" s="91">
        <v>3</v>
      </c>
      <c r="I6" s="91">
        <v>4</v>
      </c>
      <c r="J6" s="91">
        <v>5</v>
      </c>
      <c r="K6" s="91">
        <v>6</v>
      </c>
      <c r="L6" s="91">
        <v>7</v>
      </c>
      <c r="M6" s="91">
        <v>8</v>
      </c>
      <c r="N6" s="91">
        <v>9</v>
      </c>
      <c r="O6" s="91">
        <v>10</v>
      </c>
      <c r="P6" s="91">
        <v>11</v>
      </c>
      <c r="Q6" s="91">
        <v>12</v>
      </c>
      <c r="R6" s="91">
        <v>13</v>
      </c>
      <c r="S6" s="91">
        <v>14</v>
      </c>
      <c r="T6" s="91">
        <v>15</v>
      </c>
      <c r="U6" s="91">
        <v>16</v>
      </c>
      <c r="V6" s="91">
        <v>17</v>
      </c>
      <c r="W6" s="91">
        <v>18</v>
      </c>
      <c r="X6" s="233">
        <v>19</v>
      </c>
      <c r="Y6" s="233">
        <v>20</v>
      </c>
      <c r="Z6" s="233">
        <v>21</v>
      </c>
      <c r="AA6" s="233">
        <v>22</v>
      </c>
      <c r="AB6" s="233">
        <v>23</v>
      </c>
      <c r="AC6" s="233">
        <v>24</v>
      </c>
      <c r="AD6" s="233">
        <v>25</v>
      </c>
      <c r="AE6" s="233">
        <v>26</v>
      </c>
      <c r="AF6" s="233">
        <v>27</v>
      </c>
      <c r="AG6" s="91">
        <v>28</v>
      </c>
      <c r="AH6" s="91">
        <v>29</v>
      </c>
      <c r="AI6" s="91">
        <v>30</v>
      </c>
      <c r="AJ6" s="91">
        <v>31</v>
      </c>
      <c r="AL6" s="326"/>
      <c r="AM6" s="232" t="s">
        <v>134</v>
      </c>
    </row>
    <row r="7" spans="2:40" hidden="1" x14ac:dyDescent="0.25">
      <c r="B7" s="92">
        <v>1</v>
      </c>
      <c r="C7" s="93" t="s">
        <v>112</v>
      </c>
      <c r="D7" s="94"/>
      <c r="E7" s="268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22"/>
      <c r="AL7" s="62" t="s">
        <v>111</v>
      </c>
      <c r="AM7" s="234"/>
    </row>
    <row r="8" spans="2:40" hidden="1" x14ac:dyDescent="0.25">
      <c r="B8" s="92"/>
      <c r="C8" s="96" t="s">
        <v>105</v>
      </c>
      <c r="D8" s="97"/>
      <c r="E8" s="173" t="s">
        <v>16</v>
      </c>
      <c r="F8" s="99">
        <v>0</v>
      </c>
      <c r="G8" s="99">
        <v>0</v>
      </c>
      <c r="H8" s="99">
        <v>0</v>
      </c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22"/>
      <c r="AL8" s="8">
        <f>SUM(F8:AJ8)</f>
        <v>0</v>
      </c>
      <c r="AM8" s="235"/>
    </row>
    <row r="9" spans="2:40" hidden="1" x14ac:dyDescent="0.25">
      <c r="B9" s="92"/>
      <c r="C9" s="96" t="s">
        <v>104</v>
      </c>
      <c r="D9" s="97"/>
      <c r="E9" s="173" t="s">
        <v>16</v>
      </c>
      <c r="F9" s="99">
        <v>0</v>
      </c>
      <c r="G9" s="99">
        <v>0</v>
      </c>
      <c r="H9" s="99">
        <v>0</v>
      </c>
      <c r="I9" s="99"/>
      <c r="J9" s="99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22"/>
      <c r="AL9" s="8">
        <f>SUM(F9:AJ9)</f>
        <v>0</v>
      </c>
      <c r="AM9" s="235"/>
    </row>
    <row r="10" spans="2:40" hidden="1" x14ac:dyDescent="0.25">
      <c r="B10" s="92"/>
      <c r="C10" s="96" t="s">
        <v>103</v>
      </c>
      <c r="D10" s="97"/>
      <c r="E10" s="173" t="s">
        <v>16</v>
      </c>
      <c r="F10" s="99">
        <f>F8-F9</f>
        <v>0</v>
      </c>
      <c r="G10" s="99">
        <f t="shared" ref="G10:AJ10" si="0">G8-G9</f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  <c r="P10" s="99">
        <f t="shared" si="0"/>
        <v>0</v>
      </c>
      <c r="Q10" s="99">
        <f t="shared" si="0"/>
        <v>0</v>
      </c>
      <c r="R10" s="99">
        <f t="shared" si="0"/>
        <v>0</v>
      </c>
      <c r="S10" s="99">
        <f t="shared" si="0"/>
        <v>0</v>
      </c>
      <c r="T10" s="99">
        <f t="shared" si="0"/>
        <v>0</v>
      </c>
      <c r="U10" s="99">
        <f t="shared" si="0"/>
        <v>0</v>
      </c>
      <c r="V10" s="99">
        <f t="shared" si="0"/>
        <v>0</v>
      </c>
      <c r="W10" s="99">
        <f t="shared" si="0"/>
        <v>0</v>
      </c>
      <c r="X10" s="99">
        <f t="shared" si="0"/>
        <v>0</v>
      </c>
      <c r="Y10" s="99">
        <f t="shared" si="0"/>
        <v>0</v>
      </c>
      <c r="Z10" s="99">
        <f t="shared" si="0"/>
        <v>0</v>
      </c>
      <c r="AA10" s="99">
        <f t="shared" si="0"/>
        <v>0</v>
      </c>
      <c r="AB10" s="99">
        <f t="shared" si="0"/>
        <v>0</v>
      </c>
      <c r="AC10" s="99">
        <f t="shared" si="0"/>
        <v>0</v>
      </c>
      <c r="AD10" s="99">
        <f t="shared" si="0"/>
        <v>0</v>
      </c>
      <c r="AE10" s="99">
        <f t="shared" si="0"/>
        <v>0</v>
      </c>
      <c r="AF10" s="99">
        <f t="shared" si="0"/>
        <v>0</v>
      </c>
      <c r="AG10" s="99">
        <f t="shared" si="0"/>
        <v>0</v>
      </c>
      <c r="AH10" s="99">
        <f t="shared" si="0"/>
        <v>0</v>
      </c>
      <c r="AI10" s="99">
        <f t="shared" si="0"/>
        <v>0</v>
      </c>
      <c r="AJ10" s="99">
        <f t="shared" si="0"/>
        <v>0</v>
      </c>
      <c r="AK10" s="22"/>
      <c r="AL10" s="8">
        <f>SUM(F10:AJ10)</f>
        <v>0</v>
      </c>
      <c r="AM10" s="235"/>
    </row>
    <row r="11" spans="2:40" hidden="1" x14ac:dyDescent="0.25">
      <c r="B11" s="92"/>
      <c r="C11" s="100" t="s">
        <v>103</v>
      </c>
      <c r="D11" s="101"/>
      <c r="E11" s="269" t="s">
        <v>29</v>
      </c>
      <c r="F11" s="102" t="e">
        <f t="shared" ref="F11:AJ11" si="1">((F9-F8)/F8)*100</f>
        <v>#DIV/0!</v>
      </c>
      <c r="G11" s="102" t="e">
        <f t="shared" si="1"/>
        <v>#DIV/0!</v>
      </c>
      <c r="H11" s="102" t="e">
        <f t="shared" si="1"/>
        <v>#DIV/0!</v>
      </c>
      <c r="I11" s="102" t="e">
        <f t="shared" si="1"/>
        <v>#DIV/0!</v>
      </c>
      <c r="J11" s="102" t="e">
        <f t="shared" si="1"/>
        <v>#DIV/0!</v>
      </c>
      <c r="K11" s="102" t="e">
        <f t="shared" si="1"/>
        <v>#DIV/0!</v>
      </c>
      <c r="L11" s="102" t="e">
        <f t="shared" si="1"/>
        <v>#DIV/0!</v>
      </c>
      <c r="M11" s="102" t="e">
        <f t="shared" si="1"/>
        <v>#DIV/0!</v>
      </c>
      <c r="N11" s="102" t="e">
        <f t="shared" si="1"/>
        <v>#DIV/0!</v>
      </c>
      <c r="O11" s="102" t="e">
        <f t="shared" si="1"/>
        <v>#DIV/0!</v>
      </c>
      <c r="P11" s="102" t="e">
        <f t="shared" si="1"/>
        <v>#DIV/0!</v>
      </c>
      <c r="Q11" s="102" t="e">
        <f t="shared" si="1"/>
        <v>#DIV/0!</v>
      </c>
      <c r="R11" s="102" t="e">
        <f t="shared" si="1"/>
        <v>#DIV/0!</v>
      </c>
      <c r="S11" s="102" t="e">
        <f t="shared" si="1"/>
        <v>#DIV/0!</v>
      </c>
      <c r="T11" s="102" t="e">
        <f t="shared" si="1"/>
        <v>#DIV/0!</v>
      </c>
      <c r="U11" s="102" t="e">
        <f t="shared" si="1"/>
        <v>#DIV/0!</v>
      </c>
      <c r="V11" s="102" t="e">
        <f t="shared" si="1"/>
        <v>#DIV/0!</v>
      </c>
      <c r="W11" s="102" t="e">
        <f t="shared" si="1"/>
        <v>#DIV/0!</v>
      </c>
      <c r="X11" s="102" t="e">
        <f t="shared" si="1"/>
        <v>#DIV/0!</v>
      </c>
      <c r="Y11" s="102" t="e">
        <f t="shared" si="1"/>
        <v>#DIV/0!</v>
      </c>
      <c r="Z11" s="102" t="e">
        <f t="shared" si="1"/>
        <v>#DIV/0!</v>
      </c>
      <c r="AA11" s="102" t="e">
        <f t="shared" si="1"/>
        <v>#DIV/0!</v>
      </c>
      <c r="AB11" s="102" t="e">
        <f t="shared" si="1"/>
        <v>#DIV/0!</v>
      </c>
      <c r="AC11" s="102" t="e">
        <f t="shared" si="1"/>
        <v>#DIV/0!</v>
      </c>
      <c r="AD11" s="102" t="e">
        <f t="shared" si="1"/>
        <v>#DIV/0!</v>
      </c>
      <c r="AE11" s="102" t="e">
        <f t="shared" si="1"/>
        <v>#DIV/0!</v>
      </c>
      <c r="AF11" s="102" t="e">
        <f t="shared" si="1"/>
        <v>#DIV/0!</v>
      </c>
      <c r="AG11" s="102" t="e">
        <f t="shared" si="1"/>
        <v>#DIV/0!</v>
      </c>
      <c r="AH11" s="102" t="e">
        <f t="shared" si="1"/>
        <v>#DIV/0!</v>
      </c>
      <c r="AI11" s="102" t="e">
        <f t="shared" si="1"/>
        <v>#DIV/0!</v>
      </c>
      <c r="AJ11" s="102" t="e">
        <f t="shared" si="1"/>
        <v>#DIV/0!</v>
      </c>
      <c r="AK11" s="22"/>
      <c r="AL11" s="61" t="e">
        <f>((AL9-AL8)/AL8)*100</f>
        <v>#DIV/0!</v>
      </c>
      <c r="AM11" s="236"/>
    </row>
    <row r="12" spans="2:40" hidden="1" x14ac:dyDescent="0.25">
      <c r="B12" s="92"/>
      <c r="C12" s="93" t="s">
        <v>131</v>
      </c>
      <c r="D12" s="94"/>
      <c r="E12" s="268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22"/>
      <c r="AL12" s="62" t="s">
        <v>111</v>
      </c>
      <c r="AM12" s="234"/>
    </row>
    <row r="13" spans="2:40" hidden="1" x14ac:dyDescent="0.25">
      <c r="B13" s="92"/>
      <c r="C13" s="96" t="s">
        <v>110</v>
      </c>
      <c r="D13" s="97"/>
      <c r="E13" s="173" t="s">
        <v>16</v>
      </c>
      <c r="F13" s="99">
        <v>0</v>
      </c>
      <c r="G13" s="99">
        <v>0</v>
      </c>
      <c r="H13" s="99">
        <v>0</v>
      </c>
      <c r="I13" s="99">
        <v>0</v>
      </c>
      <c r="J13" s="99">
        <v>0</v>
      </c>
      <c r="K13" s="99">
        <v>0</v>
      </c>
      <c r="L13" s="99">
        <v>0</v>
      </c>
      <c r="M13" s="99">
        <v>0</v>
      </c>
      <c r="N13" s="99">
        <v>0</v>
      </c>
      <c r="O13" s="99">
        <v>0</v>
      </c>
      <c r="P13" s="99">
        <v>0</v>
      </c>
      <c r="Q13" s="99">
        <v>0</v>
      </c>
      <c r="R13" s="99">
        <v>0</v>
      </c>
      <c r="S13" s="99">
        <v>0</v>
      </c>
      <c r="T13" s="99"/>
      <c r="U13" s="99">
        <v>0</v>
      </c>
      <c r="V13" s="99">
        <v>0</v>
      </c>
      <c r="W13" s="99">
        <v>0</v>
      </c>
      <c r="X13" s="99">
        <v>0</v>
      </c>
      <c r="Y13" s="99">
        <v>0</v>
      </c>
      <c r="Z13" s="99">
        <v>0</v>
      </c>
      <c r="AA13" s="99"/>
      <c r="AB13" s="99">
        <v>0</v>
      </c>
      <c r="AC13" s="99">
        <v>0</v>
      </c>
      <c r="AD13" s="99">
        <v>0</v>
      </c>
      <c r="AE13" s="99">
        <v>0</v>
      </c>
      <c r="AF13" s="99">
        <v>0</v>
      </c>
      <c r="AG13" s="99">
        <v>0</v>
      </c>
      <c r="AH13" s="99"/>
      <c r="AI13" s="99">
        <v>0</v>
      </c>
      <c r="AJ13" s="99"/>
      <c r="AK13" s="22"/>
      <c r="AL13" s="8">
        <f>SUM(F13:AJ13)</f>
        <v>0</v>
      </c>
      <c r="AM13" s="235"/>
    </row>
    <row r="14" spans="2:40" hidden="1" x14ac:dyDescent="0.25">
      <c r="B14" s="92"/>
      <c r="C14" s="96" t="s">
        <v>109</v>
      </c>
      <c r="D14" s="97"/>
      <c r="E14" s="173" t="s">
        <v>16</v>
      </c>
      <c r="F14" s="99">
        <v>0</v>
      </c>
      <c r="G14" s="99">
        <v>0</v>
      </c>
      <c r="H14" s="99">
        <v>0</v>
      </c>
      <c r="I14" s="99">
        <v>0</v>
      </c>
      <c r="J14" s="99"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/>
      <c r="U14" s="99">
        <v>0</v>
      </c>
      <c r="V14" s="99">
        <v>0</v>
      </c>
      <c r="W14" s="99">
        <v>0</v>
      </c>
      <c r="X14" s="99">
        <v>0</v>
      </c>
      <c r="Y14" s="99">
        <v>0</v>
      </c>
      <c r="Z14" s="99">
        <v>0</v>
      </c>
      <c r="AA14" s="99"/>
      <c r="AB14" s="99">
        <v>0</v>
      </c>
      <c r="AC14" s="99">
        <v>0</v>
      </c>
      <c r="AD14" s="99">
        <v>0</v>
      </c>
      <c r="AE14" s="99">
        <v>0</v>
      </c>
      <c r="AF14" s="99">
        <v>0</v>
      </c>
      <c r="AG14" s="99">
        <v>0</v>
      </c>
      <c r="AH14" s="99"/>
      <c r="AI14" s="99">
        <v>0</v>
      </c>
      <c r="AJ14" s="99"/>
      <c r="AK14" s="22"/>
      <c r="AL14" s="8">
        <f>SUM(F14:AJ14)</f>
        <v>0</v>
      </c>
      <c r="AM14" s="235"/>
    </row>
    <row r="15" spans="2:40" hidden="1" x14ac:dyDescent="0.25">
      <c r="B15" s="92"/>
      <c r="C15" s="96" t="s">
        <v>108</v>
      </c>
      <c r="D15" s="97"/>
      <c r="E15" s="173" t="s">
        <v>16</v>
      </c>
      <c r="F15" s="99">
        <f>F13-F14</f>
        <v>0</v>
      </c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22"/>
      <c r="AL15" s="8">
        <f>SUM(F15:AJ15)</f>
        <v>0</v>
      </c>
      <c r="AM15" s="235"/>
    </row>
    <row r="16" spans="2:40" hidden="1" x14ac:dyDescent="0.25">
      <c r="B16" s="92"/>
      <c r="C16" s="100" t="s">
        <v>108</v>
      </c>
      <c r="D16" s="101"/>
      <c r="E16" s="269" t="s">
        <v>29</v>
      </c>
      <c r="F16" s="102" t="e">
        <f t="shared" ref="F16:AJ16" si="2">((F14-F13)/F13)*100</f>
        <v>#DIV/0!</v>
      </c>
      <c r="G16" s="102" t="e">
        <f t="shared" si="2"/>
        <v>#DIV/0!</v>
      </c>
      <c r="H16" s="102" t="e">
        <f t="shared" si="2"/>
        <v>#DIV/0!</v>
      </c>
      <c r="I16" s="102" t="e">
        <f t="shared" si="2"/>
        <v>#DIV/0!</v>
      </c>
      <c r="J16" s="102" t="e">
        <f t="shared" si="2"/>
        <v>#DIV/0!</v>
      </c>
      <c r="K16" s="102" t="e">
        <f t="shared" si="2"/>
        <v>#DIV/0!</v>
      </c>
      <c r="L16" s="102" t="e">
        <f t="shared" si="2"/>
        <v>#DIV/0!</v>
      </c>
      <c r="M16" s="102" t="e">
        <f t="shared" si="2"/>
        <v>#DIV/0!</v>
      </c>
      <c r="N16" s="102" t="e">
        <f t="shared" si="2"/>
        <v>#DIV/0!</v>
      </c>
      <c r="O16" s="102" t="e">
        <f t="shared" si="2"/>
        <v>#DIV/0!</v>
      </c>
      <c r="P16" s="102" t="e">
        <f t="shared" si="2"/>
        <v>#DIV/0!</v>
      </c>
      <c r="Q16" s="102" t="e">
        <f t="shared" si="2"/>
        <v>#DIV/0!</v>
      </c>
      <c r="R16" s="102" t="e">
        <f t="shared" si="2"/>
        <v>#DIV/0!</v>
      </c>
      <c r="S16" s="102" t="e">
        <f t="shared" si="2"/>
        <v>#DIV/0!</v>
      </c>
      <c r="T16" s="102" t="e">
        <f t="shared" si="2"/>
        <v>#DIV/0!</v>
      </c>
      <c r="U16" s="102" t="e">
        <f t="shared" si="2"/>
        <v>#DIV/0!</v>
      </c>
      <c r="V16" s="102" t="e">
        <f t="shared" si="2"/>
        <v>#DIV/0!</v>
      </c>
      <c r="W16" s="102" t="e">
        <f t="shared" si="2"/>
        <v>#DIV/0!</v>
      </c>
      <c r="X16" s="102" t="e">
        <f t="shared" si="2"/>
        <v>#DIV/0!</v>
      </c>
      <c r="Y16" s="102" t="e">
        <f t="shared" si="2"/>
        <v>#DIV/0!</v>
      </c>
      <c r="Z16" s="102" t="e">
        <f t="shared" si="2"/>
        <v>#DIV/0!</v>
      </c>
      <c r="AA16" s="102" t="e">
        <f t="shared" si="2"/>
        <v>#DIV/0!</v>
      </c>
      <c r="AB16" s="102" t="e">
        <f t="shared" si="2"/>
        <v>#DIV/0!</v>
      </c>
      <c r="AC16" s="102" t="e">
        <f t="shared" si="2"/>
        <v>#DIV/0!</v>
      </c>
      <c r="AD16" s="102" t="e">
        <f t="shared" si="2"/>
        <v>#DIV/0!</v>
      </c>
      <c r="AE16" s="102" t="e">
        <f t="shared" si="2"/>
        <v>#DIV/0!</v>
      </c>
      <c r="AF16" s="102" t="e">
        <f t="shared" si="2"/>
        <v>#DIV/0!</v>
      </c>
      <c r="AG16" s="102" t="e">
        <f t="shared" si="2"/>
        <v>#DIV/0!</v>
      </c>
      <c r="AH16" s="102" t="e">
        <f t="shared" si="2"/>
        <v>#DIV/0!</v>
      </c>
      <c r="AI16" s="102" t="e">
        <f t="shared" si="2"/>
        <v>#DIV/0!</v>
      </c>
      <c r="AJ16" s="102" t="e">
        <f t="shared" si="2"/>
        <v>#DIV/0!</v>
      </c>
      <c r="AK16" s="22"/>
      <c r="AL16" s="61" t="e">
        <f>((AL14-AL13)/AL13)*100</f>
        <v>#DIV/0!</v>
      </c>
      <c r="AM16" s="236"/>
    </row>
    <row r="17" spans="2:112 15078:15080" hidden="1" x14ac:dyDescent="0.25">
      <c r="B17" s="92"/>
      <c r="C17" s="103" t="s">
        <v>107</v>
      </c>
      <c r="D17" s="97"/>
      <c r="E17" s="173"/>
      <c r="F17" s="99"/>
      <c r="G17" s="99"/>
      <c r="H17" s="99"/>
      <c r="I17" s="99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22"/>
      <c r="AL17" s="60" t="s">
        <v>106</v>
      </c>
      <c r="AM17" s="234"/>
    </row>
    <row r="18" spans="2:112 15078:15080" hidden="1" x14ac:dyDescent="0.25">
      <c r="B18" s="92"/>
      <c r="C18" s="96" t="s">
        <v>105</v>
      </c>
      <c r="D18" s="97"/>
      <c r="E18" s="173" t="s">
        <v>16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Z18" s="99">
        <v>0</v>
      </c>
      <c r="AA18" s="99">
        <v>0</v>
      </c>
      <c r="AB18" s="99"/>
      <c r="AC18" s="99"/>
      <c r="AD18" s="99"/>
      <c r="AE18" s="99"/>
      <c r="AF18" s="99"/>
      <c r="AG18" s="99"/>
      <c r="AH18" s="99"/>
      <c r="AI18" s="99"/>
      <c r="AJ18" s="99">
        <v>0</v>
      </c>
      <c r="AK18" s="22"/>
      <c r="AL18" s="8">
        <f>SUM(F18:AJ18)</f>
        <v>0</v>
      </c>
      <c r="AM18" s="235"/>
    </row>
    <row r="19" spans="2:112 15078:15080" hidden="1" x14ac:dyDescent="0.25">
      <c r="B19" s="92"/>
      <c r="C19" s="96" t="s">
        <v>104</v>
      </c>
      <c r="D19" s="97"/>
      <c r="E19" s="173" t="s">
        <v>16</v>
      </c>
      <c r="F19" s="99">
        <v>0</v>
      </c>
      <c r="G19" s="99">
        <v>0</v>
      </c>
      <c r="H19" s="99">
        <v>0</v>
      </c>
      <c r="I19" s="99">
        <v>0</v>
      </c>
      <c r="J19" s="99">
        <v>0</v>
      </c>
      <c r="K19" s="99">
        <v>0</v>
      </c>
      <c r="L19" s="99">
        <v>0</v>
      </c>
      <c r="M19" s="99">
        <v>0</v>
      </c>
      <c r="N19" s="99">
        <v>0</v>
      </c>
      <c r="O19" s="99">
        <v>0</v>
      </c>
      <c r="P19" s="99">
        <v>0</v>
      </c>
      <c r="Q19" s="99">
        <v>0</v>
      </c>
      <c r="R19" s="99">
        <v>0</v>
      </c>
      <c r="S19" s="99">
        <v>0</v>
      </c>
      <c r="T19" s="99">
        <v>0</v>
      </c>
      <c r="U19" s="99">
        <v>0</v>
      </c>
      <c r="V19" s="99">
        <v>0</v>
      </c>
      <c r="W19" s="99">
        <v>0</v>
      </c>
      <c r="X19" s="99">
        <v>0</v>
      </c>
      <c r="Y19" s="99">
        <v>0</v>
      </c>
      <c r="Z19" s="99">
        <v>0</v>
      </c>
      <c r="AA19" s="99">
        <v>0</v>
      </c>
      <c r="AB19" s="99"/>
      <c r="AC19" s="99"/>
      <c r="AD19" s="99"/>
      <c r="AE19" s="99"/>
      <c r="AF19" s="99"/>
      <c r="AG19" s="99"/>
      <c r="AH19" s="99"/>
      <c r="AI19" s="99"/>
      <c r="AJ19" s="99">
        <v>0</v>
      </c>
      <c r="AK19" s="22"/>
      <c r="AL19" s="8">
        <f>SUM(F19:AJ19)</f>
        <v>0</v>
      </c>
      <c r="AM19" s="235"/>
    </row>
    <row r="20" spans="2:112 15078:15080" hidden="1" x14ac:dyDescent="0.25">
      <c r="B20" s="92"/>
      <c r="C20" s="96" t="s">
        <v>103</v>
      </c>
      <c r="D20" s="97"/>
      <c r="E20" s="173"/>
      <c r="F20" s="99">
        <f>F18-F19</f>
        <v>0</v>
      </c>
      <c r="G20" s="99">
        <f t="shared" ref="G20:AJ20" si="3">G18-G19</f>
        <v>0</v>
      </c>
      <c r="H20" s="99">
        <f t="shared" si="3"/>
        <v>0</v>
      </c>
      <c r="I20" s="99">
        <f t="shared" si="3"/>
        <v>0</v>
      </c>
      <c r="J20" s="99">
        <f t="shared" si="3"/>
        <v>0</v>
      </c>
      <c r="K20" s="99">
        <f t="shared" si="3"/>
        <v>0</v>
      </c>
      <c r="L20" s="99">
        <f t="shared" si="3"/>
        <v>0</v>
      </c>
      <c r="M20" s="99">
        <f t="shared" si="3"/>
        <v>0</v>
      </c>
      <c r="N20" s="99">
        <f t="shared" si="3"/>
        <v>0</v>
      </c>
      <c r="O20" s="99">
        <f t="shared" si="3"/>
        <v>0</v>
      </c>
      <c r="P20" s="99">
        <f t="shared" si="3"/>
        <v>0</v>
      </c>
      <c r="Q20" s="99">
        <f t="shared" si="3"/>
        <v>0</v>
      </c>
      <c r="R20" s="99">
        <f t="shared" si="3"/>
        <v>0</v>
      </c>
      <c r="S20" s="99">
        <f t="shared" si="3"/>
        <v>0</v>
      </c>
      <c r="T20" s="99">
        <f t="shared" si="3"/>
        <v>0</v>
      </c>
      <c r="U20" s="99">
        <f t="shared" si="3"/>
        <v>0</v>
      </c>
      <c r="V20" s="99">
        <f t="shared" si="3"/>
        <v>0</v>
      </c>
      <c r="W20" s="99">
        <f t="shared" si="3"/>
        <v>0</v>
      </c>
      <c r="X20" s="99">
        <f t="shared" si="3"/>
        <v>0</v>
      </c>
      <c r="Y20" s="99">
        <f t="shared" si="3"/>
        <v>0</v>
      </c>
      <c r="Z20" s="99">
        <f t="shared" si="3"/>
        <v>0</v>
      </c>
      <c r="AA20" s="99">
        <f t="shared" si="3"/>
        <v>0</v>
      </c>
      <c r="AB20" s="99">
        <f t="shared" si="3"/>
        <v>0</v>
      </c>
      <c r="AC20" s="99">
        <f t="shared" si="3"/>
        <v>0</v>
      </c>
      <c r="AD20" s="99">
        <f t="shared" si="3"/>
        <v>0</v>
      </c>
      <c r="AE20" s="99">
        <f t="shared" si="3"/>
        <v>0</v>
      </c>
      <c r="AF20" s="99">
        <f t="shared" si="3"/>
        <v>0</v>
      </c>
      <c r="AG20" s="99">
        <f t="shared" si="3"/>
        <v>0</v>
      </c>
      <c r="AH20" s="99">
        <f t="shared" si="3"/>
        <v>0</v>
      </c>
      <c r="AI20" s="99">
        <f t="shared" si="3"/>
        <v>0</v>
      </c>
      <c r="AJ20" s="99">
        <f t="shared" si="3"/>
        <v>0</v>
      </c>
      <c r="AK20" s="22"/>
      <c r="AL20" s="8">
        <f>SUM(F20:AJ20)</f>
        <v>0</v>
      </c>
      <c r="AM20" s="235"/>
    </row>
    <row r="21" spans="2:112 15078:15080" hidden="1" x14ac:dyDescent="0.25">
      <c r="B21" s="92"/>
      <c r="C21" s="96" t="s">
        <v>103</v>
      </c>
      <c r="D21" s="97"/>
      <c r="E21" s="173" t="s">
        <v>29</v>
      </c>
      <c r="F21" s="104" t="e">
        <f t="shared" ref="F21:AJ21" si="4">((F19-F18)/F18)*100</f>
        <v>#DIV/0!</v>
      </c>
      <c r="G21" s="104" t="e">
        <f t="shared" si="4"/>
        <v>#DIV/0!</v>
      </c>
      <c r="H21" s="104" t="e">
        <f t="shared" si="4"/>
        <v>#DIV/0!</v>
      </c>
      <c r="I21" s="104" t="e">
        <f t="shared" si="4"/>
        <v>#DIV/0!</v>
      </c>
      <c r="J21" s="104" t="e">
        <f t="shared" si="4"/>
        <v>#DIV/0!</v>
      </c>
      <c r="K21" s="104" t="e">
        <f t="shared" si="4"/>
        <v>#DIV/0!</v>
      </c>
      <c r="L21" s="104" t="e">
        <f t="shared" si="4"/>
        <v>#DIV/0!</v>
      </c>
      <c r="M21" s="104" t="e">
        <f t="shared" si="4"/>
        <v>#DIV/0!</v>
      </c>
      <c r="N21" s="104" t="e">
        <f t="shared" si="4"/>
        <v>#DIV/0!</v>
      </c>
      <c r="O21" s="104" t="e">
        <f t="shared" si="4"/>
        <v>#DIV/0!</v>
      </c>
      <c r="P21" s="104" t="e">
        <f t="shared" si="4"/>
        <v>#DIV/0!</v>
      </c>
      <c r="Q21" s="104" t="e">
        <f t="shared" si="4"/>
        <v>#DIV/0!</v>
      </c>
      <c r="R21" s="104" t="e">
        <f t="shared" si="4"/>
        <v>#DIV/0!</v>
      </c>
      <c r="S21" s="104" t="e">
        <f t="shared" si="4"/>
        <v>#DIV/0!</v>
      </c>
      <c r="T21" s="104" t="e">
        <f t="shared" si="4"/>
        <v>#DIV/0!</v>
      </c>
      <c r="U21" s="104" t="e">
        <f t="shared" si="4"/>
        <v>#DIV/0!</v>
      </c>
      <c r="V21" s="104" t="e">
        <f t="shared" si="4"/>
        <v>#DIV/0!</v>
      </c>
      <c r="W21" s="104" t="e">
        <f t="shared" si="4"/>
        <v>#DIV/0!</v>
      </c>
      <c r="X21" s="104" t="e">
        <f t="shared" si="4"/>
        <v>#DIV/0!</v>
      </c>
      <c r="Y21" s="104" t="e">
        <f t="shared" si="4"/>
        <v>#DIV/0!</v>
      </c>
      <c r="Z21" s="104" t="e">
        <f t="shared" si="4"/>
        <v>#DIV/0!</v>
      </c>
      <c r="AA21" s="104" t="e">
        <f t="shared" si="4"/>
        <v>#DIV/0!</v>
      </c>
      <c r="AB21" s="104" t="e">
        <f t="shared" si="4"/>
        <v>#DIV/0!</v>
      </c>
      <c r="AC21" s="104" t="e">
        <f t="shared" si="4"/>
        <v>#DIV/0!</v>
      </c>
      <c r="AD21" s="104" t="e">
        <f t="shared" si="4"/>
        <v>#DIV/0!</v>
      </c>
      <c r="AE21" s="104" t="e">
        <f t="shared" si="4"/>
        <v>#DIV/0!</v>
      </c>
      <c r="AF21" s="104" t="e">
        <f t="shared" si="4"/>
        <v>#DIV/0!</v>
      </c>
      <c r="AG21" s="104" t="e">
        <f t="shared" si="4"/>
        <v>#DIV/0!</v>
      </c>
      <c r="AH21" s="104" t="e">
        <f t="shared" si="4"/>
        <v>#DIV/0!</v>
      </c>
      <c r="AI21" s="104" t="e">
        <f t="shared" si="4"/>
        <v>#DIV/0!</v>
      </c>
      <c r="AJ21" s="104" t="e">
        <f t="shared" si="4"/>
        <v>#DIV/0!</v>
      </c>
      <c r="AK21" s="59"/>
      <c r="AL21" s="58" t="e">
        <f>((AL19-AL18)/AL18)*100</f>
        <v>#DIV/0!</v>
      </c>
      <c r="AM21" s="59"/>
    </row>
    <row r="22" spans="2:112 15078:15080" hidden="1" x14ac:dyDescent="0.25">
      <c r="B22" s="92"/>
      <c r="C22" s="105" t="s">
        <v>102</v>
      </c>
      <c r="D22" s="106"/>
      <c r="E22" s="107" t="s">
        <v>16</v>
      </c>
      <c r="F22" s="108">
        <f t="shared" ref="F22:AJ22" si="5">SUM(F9,F14,F19)</f>
        <v>0</v>
      </c>
      <c r="G22" s="108">
        <f t="shared" si="5"/>
        <v>0</v>
      </c>
      <c r="H22" s="108">
        <f t="shared" si="5"/>
        <v>0</v>
      </c>
      <c r="I22" s="108">
        <f t="shared" si="5"/>
        <v>0</v>
      </c>
      <c r="J22" s="108">
        <f t="shared" si="5"/>
        <v>0</v>
      </c>
      <c r="K22" s="108">
        <f t="shared" si="5"/>
        <v>0</v>
      </c>
      <c r="L22" s="108">
        <f t="shared" si="5"/>
        <v>0</v>
      </c>
      <c r="M22" s="108">
        <f t="shared" si="5"/>
        <v>0</v>
      </c>
      <c r="N22" s="108">
        <f t="shared" si="5"/>
        <v>0</v>
      </c>
      <c r="O22" s="108">
        <f t="shared" si="5"/>
        <v>0</v>
      </c>
      <c r="P22" s="108">
        <f t="shared" si="5"/>
        <v>0</v>
      </c>
      <c r="Q22" s="108">
        <f t="shared" si="5"/>
        <v>0</v>
      </c>
      <c r="R22" s="108">
        <f t="shared" si="5"/>
        <v>0</v>
      </c>
      <c r="S22" s="108">
        <f t="shared" si="5"/>
        <v>0</v>
      </c>
      <c r="T22" s="108">
        <f t="shared" si="5"/>
        <v>0</v>
      </c>
      <c r="U22" s="108">
        <f t="shared" si="5"/>
        <v>0</v>
      </c>
      <c r="V22" s="108">
        <f t="shared" si="5"/>
        <v>0</v>
      </c>
      <c r="W22" s="108">
        <f t="shared" si="5"/>
        <v>0</v>
      </c>
      <c r="X22" s="108">
        <f t="shared" si="5"/>
        <v>0</v>
      </c>
      <c r="Y22" s="108">
        <f t="shared" si="5"/>
        <v>0</v>
      </c>
      <c r="Z22" s="108">
        <f t="shared" si="5"/>
        <v>0</v>
      </c>
      <c r="AA22" s="108">
        <f t="shared" si="5"/>
        <v>0</v>
      </c>
      <c r="AB22" s="108">
        <f t="shared" si="5"/>
        <v>0</v>
      </c>
      <c r="AC22" s="108">
        <f t="shared" si="5"/>
        <v>0</v>
      </c>
      <c r="AD22" s="108">
        <f t="shared" si="5"/>
        <v>0</v>
      </c>
      <c r="AE22" s="108">
        <f t="shared" si="5"/>
        <v>0</v>
      </c>
      <c r="AF22" s="108">
        <f t="shared" si="5"/>
        <v>0</v>
      </c>
      <c r="AG22" s="108">
        <f t="shared" si="5"/>
        <v>0</v>
      </c>
      <c r="AH22" s="108">
        <f t="shared" si="5"/>
        <v>0</v>
      </c>
      <c r="AI22" s="108">
        <f t="shared" si="5"/>
        <v>0</v>
      </c>
      <c r="AJ22" s="108">
        <f t="shared" si="5"/>
        <v>0</v>
      </c>
      <c r="AK22" s="22"/>
      <c r="AL22" s="57">
        <f>SUM(AL9,AL14,AL19)</f>
        <v>0</v>
      </c>
      <c r="AM22" s="237"/>
      <c r="AN22" s="22"/>
    </row>
    <row r="23" spans="2:112 15078:15080" x14ac:dyDescent="0.25">
      <c r="B23" s="109">
        <v>2</v>
      </c>
      <c r="C23" s="93" t="s">
        <v>101</v>
      </c>
      <c r="D23" s="110"/>
      <c r="E23" s="270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12"/>
      <c r="AD23" s="111"/>
      <c r="AE23" s="111"/>
      <c r="AF23" s="111"/>
      <c r="AG23" s="111"/>
      <c r="AH23" s="112"/>
      <c r="AI23" s="112"/>
      <c r="AJ23" s="112"/>
      <c r="AK23" s="22"/>
      <c r="AL23" s="56" t="s">
        <v>100</v>
      </c>
      <c r="AM23" s="238"/>
    </row>
    <row r="24" spans="2:112 15078:15080" x14ac:dyDescent="0.25">
      <c r="B24" s="113"/>
      <c r="C24" s="114" t="s">
        <v>18</v>
      </c>
      <c r="D24" s="94"/>
      <c r="E24" s="268"/>
      <c r="F24" s="115"/>
      <c r="G24" s="116"/>
      <c r="H24" s="115"/>
      <c r="I24" s="115"/>
      <c r="J24" s="117"/>
      <c r="K24" s="115"/>
      <c r="L24" s="115"/>
      <c r="M24" s="115"/>
      <c r="N24" s="115"/>
      <c r="O24" s="115"/>
      <c r="P24" s="115"/>
      <c r="Q24" s="115"/>
      <c r="R24" s="115"/>
      <c r="S24" s="115"/>
      <c r="T24" s="117"/>
      <c r="U24" s="118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22"/>
      <c r="AL24" s="55" t="s">
        <v>18</v>
      </c>
      <c r="AM24" s="239"/>
    </row>
    <row r="25" spans="2:112 15078:15080" x14ac:dyDescent="0.25">
      <c r="B25" s="113"/>
      <c r="C25" s="96" t="s">
        <v>99</v>
      </c>
      <c r="D25" s="97"/>
      <c r="E25" s="173" t="s">
        <v>98</v>
      </c>
      <c r="F25" s="119">
        <v>1</v>
      </c>
      <c r="G25" s="119">
        <v>1</v>
      </c>
      <c r="H25" s="119">
        <v>1</v>
      </c>
      <c r="I25" s="119">
        <v>1</v>
      </c>
      <c r="J25" s="119">
        <v>1</v>
      </c>
      <c r="K25" s="119">
        <v>1</v>
      </c>
      <c r="L25" s="119">
        <v>1</v>
      </c>
      <c r="M25" s="119">
        <v>1</v>
      </c>
      <c r="N25" s="119">
        <v>1</v>
      </c>
      <c r="O25" s="119">
        <v>1</v>
      </c>
      <c r="P25" s="119">
        <v>1</v>
      </c>
      <c r="Q25" s="119">
        <v>1</v>
      </c>
      <c r="R25" s="119">
        <v>1</v>
      </c>
      <c r="S25" s="119">
        <v>1</v>
      </c>
      <c r="T25" s="119">
        <v>1</v>
      </c>
      <c r="U25" s="119">
        <v>1</v>
      </c>
      <c r="V25" s="119">
        <v>1</v>
      </c>
      <c r="W25" s="119">
        <v>0</v>
      </c>
      <c r="X25" s="119">
        <v>0</v>
      </c>
      <c r="Y25" s="119">
        <v>0</v>
      </c>
      <c r="Z25" s="119">
        <v>0</v>
      </c>
      <c r="AA25" s="119">
        <v>0</v>
      </c>
      <c r="AB25" s="119">
        <v>0</v>
      </c>
      <c r="AC25" s="119">
        <v>0</v>
      </c>
      <c r="AD25" s="119">
        <v>0</v>
      </c>
      <c r="AE25" s="119">
        <v>0</v>
      </c>
      <c r="AF25" s="119">
        <v>0</v>
      </c>
      <c r="AG25" s="119">
        <v>1</v>
      </c>
      <c r="AH25" s="119">
        <v>1</v>
      </c>
      <c r="AI25" s="119">
        <v>1</v>
      </c>
      <c r="AJ25" s="119">
        <v>1</v>
      </c>
      <c r="AK25" s="22"/>
      <c r="AL25" s="18">
        <f>SUM(F25:AJ25)</f>
        <v>21</v>
      </c>
      <c r="AM25" s="22"/>
      <c r="AN25" s="7"/>
    </row>
    <row r="26" spans="2:112 15078:15080" x14ac:dyDescent="0.25">
      <c r="B26" s="311"/>
      <c r="C26" s="96" t="s">
        <v>137</v>
      </c>
      <c r="D26" s="97"/>
      <c r="E26" s="54" t="s">
        <v>29</v>
      </c>
      <c r="F26" s="151">
        <f>F27/2200/1000*100</f>
        <v>64.396818181818176</v>
      </c>
      <c r="G26" s="151">
        <f t="shared" ref="G26:AJ26" si="6">G27/2200/1000*100</f>
        <v>73.233909090909094</v>
      </c>
      <c r="H26" s="151">
        <f t="shared" si="6"/>
        <v>73.546727272727281</v>
      </c>
      <c r="I26" s="151">
        <f t="shared" si="6"/>
        <v>75.498409090909092</v>
      </c>
      <c r="J26" s="151">
        <f t="shared" si="6"/>
        <v>73.223590909090902</v>
      </c>
      <c r="K26" s="151">
        <f t="shared" si="6"/>
        <v>42.743045454545452</v>
      </c>
      <c r="L26" s="151">
        <f t="shared" si="6"/>
        <v>67.173681818181819</v>
      </c>
      <c r="M26" s="151">
        <f t="shared" si="6"/>
        <v>61.977409090909084</v>
      </c>
      <c r="N26" s="151">
        <f t="shared" si="6"/>
        <v>69.342772727272731</v>
      </c>
      <c r="O26" s="151">
        <f t="shared" si="6"/>
        <v>61.205818181818174</v>
      </c>
      <c r="P26" s="151">
        <f t="shared" si="6"/>
        <v>62.589318181818179</v>
      </c>
      <c r="Q26" s="151">
        <f t="shared" si="6"/>
        <v>65.208181818181828</v>
      </c>
      <c r="R26" s="151">
        <f t="shared" si="6"/>
        <v>61.222136363636373</v>
      </c>
      <c r="S26" s="151">
        <f t="shared" si="6"/>
        <v>62.443681818181815</v>
      </c>
      <c r="T26" s="151">
        <f t="shared" si="6"/>
        <v>61.851272727272722</v>
      </c>
      <c r="U26" s="151">
        <f t="shared" si="6"/>
        <v>64.082000000000008</v>
      </c>
      <c r="V26" s="151">
        <f t="shared" si="6"/>
        <v>31.412318181818183</v>
      </c>
      <c r="W26" s="151">
        <f t="shared" si="6"/>
        <v>0</v>
      </c>
      <c r="X26" s="151">
        <f t="shared" si="6"/>
        <v>0</v>
      </c>
      <c r="Y26" s="151">
        <f t="shared" si="6"/>
        <v>0</v>
      </c>
      <c r="Z26" s="151">
        <f t="shared" si="6"/>
        <v>0</v>
      </c>
      <c r="AA26" s="151">
        <f t="shared" si="6"/>
        <v>0</v>
      </c>
      <c r="AB26" s="151">
        <f t="shared" si="6"/>
        <v>0</v>
      </c>
      <c r="AC26" s="151">
        <f t="shared" si="6"/>
        <v>0</v>
      </c>
      <c r="AD26" s="151">
        <f t="shared" si="6"/>
        <v>0</v>
      </c>
      <c r="AE26" s="151">
        <f t="shared" si="6"/>
        <v>0</v>
      </c>
      <c r="AF26" s="151">
        <f t="shared" si="6"/>
        <v>0</v>
      </c>
      <c r="AG26" s="151">
        <f t="shared" si="6"/>
        <v>10.871681818181818</v>
      </c>
      <c r="AH26" s="151">
        <f t="shared" si="6"/>
        <v>48.495909090909088</v>
      </c>
      <c r="AI26" s="151">
        <f t="shared" si="6"/>
        <v>76.940045454545441</v>
      </c>
      <c r="AJ26" s="151">
        <f t="shared" si="6"/>
        <v>75.740272727272725</v>
      </c>
      <c r="AK26" s="22"/>
      <c r="AL26" s="312">
        <f>AVERAGE(F26:AJ26)</f>
        <v>41.39351612903225</v>
      </c>
      <c r="AM26" s="7"/>
      <c r="AN26" s="7"/>
      <c r="DH26" s="4"/>
      <c r="VGX26"/>
      <c r="VGY26"/>
      <c r="VGZ26"/>
    </row>
    <row r="27" spans="2:112 15078:15080" s="1" customFormat="1" x14ac:dyDescent="0.25">
      <c r="B27" s="113"/>
      <c r="C27" s="120" t="s">
        <v>83</v>
      </c>
      <c r="D27" s="121">
        <v>65100000</v>
      </c>
      <c r="E27" s="271" t="s">
        <v>16</v>
      </c>
      <c r="F27" s="122">
        <v>1416730</v>
      </c>
      <c r="G27" s="122">
        <v>1611146</v>
      </c>
      <c r="H27" s="122">
        <v>1618028</v>
      </c>
      <c r="I27" s="122">
        <v>1660965</v>
      </c>
      <c r="J27" s="122">
        <v>1610919</v>
      </c>
      <c r="K27" s="122">
        <f>633891+306456</f>
        <v>940347</v>
      </c>
      <c r="L27" s="122">
        <f>954221+523600</f>
        <v>1477821</v>
      </c>
      <c r="M27" s="122">
        <v>1363503</v>
      </c>
      <c r="N27" s="122">
        <v>1525541</v>
      </c>
      <c r="O27" s="122">
        <v>1346528</v>
      </c>
      <c r="P27" s="122">
        <v>1376965</v>
      </c>
      <c r="Q27" s="122">
        <v>1434580</v>
      </c>
      <c r="R27" s="122">
        <v>1346887</v>
      </c>
      <c r="S27" s="122">
        <v>1373761</v>
      </c>
      <c r="T27" s="122">
        <v>1360728</v>
      </c>
      <c r="U27" s="122">
        <v>1409804</v>
      </c>
      <c r="V27" s="122">
        <f>691071</f>
        <v>691071</v>
      </c>
      <c r="W27" s="122">
        <v>0</v>
      </c>
      <c r="X27" s="122">
        <v>0</v>
      </c>
      <c r="Y27" s="122">
        <v>0</v>
      </c>
      <c r="Z27" s="122">
        <v>0</v>
      </c>
      <c r="AA27" s="122">
        <v>0</v>
      </c>
      <c r="AB27" s="122">
        <v>0</v>
      </c>
      <c r="AC27" s="122">
        <v>0</v>
      </c>
      <c r="AD27" s="122">
        <v>0</v>
      </c>
      <c r="AE27" s="122">
        <v>0</v>
      </c>
      <c r="AF27" s="122">
        <v>0</v>
      </c>
      <c r="AG27" s="122">
        <v>239177</v>
      </c>
      <c r="AH27" s="122">
        <v>1066910</v>
      </c>
      <c r="AI27" s="122">
        <v>1692681</v>
      </c>
      <c r="AJ27" s="122">
        <v>1666286</v>
      </c>
      <c r="AK27" s="9"/>
      <c r="AL27" s="295">
        <f>SUM(F27:AJ27)</f>
        <v>28230378</v>
      </c>
      <c r="AM27" s="22">
        <f>AL27*AN27</f>
        <v>325270415316</v>
      </c>
      <c r="AN27" s="30">
        <v>11522</v>
      </c>
      <c r="CD27" s="3"/>
    </row>
    <row r="28" spans="2:112 15078:15080" s="1" customFormat="1" x14ac:dyDescent="0.25">
      <c r="B28" s="113"/>
      <c r="C28" s="120" t="s">
        <v>97</v>
      </c>
      <c r="D28" s="121"/>
      <c r="E28" s="271" t="s">
        <v>16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9"/>
      <c r="AL28" s="313">
        <f>SUM(F28:AJ28)</f>
        <v>0</v>
      </c>
      <c r="AM28" s="235"/>
      <c r="AN28" s="30"/>
    </row>
    <row r="29" spans="2:112 15078:15080" s="44" customFormat="1" x14ac:dyDescent="0.25">
      <c r="B29" s="54"/>
      <c r="C29" s="53" t="s">
        <v>96</v>
      </c>
      <c r="D29" s="123">
        <v>5</v>
      </c>
      <c r="E29" s="54" t="s">
        <v>29</v>
      </c>
      <c r="F29" s="124">
        <v>3.85</v>
      </c>
      <c r="G29" s="124">
        <v>3.9</v>
      </c>
      <c r="H29" s="124">
        <v>4.17</v>
      </c>
      <c r="I29" s="124">
        <v>4.17</v>
      </c>
      <c r="J29" s="124">
        <v>4.09</v>
      </c>
      <c r="K29" s="124">
        <v>4.3600000000000003</v>
      </c>
      <c r="L29" s="124">
        <v>4.62</v>
      </c>
      <c r="M29" s="124">
        <v>4.6230000000000002</v>
      </c>
      <c r="N29" s="124">
        <v>4.7</v>
      </c>
      <c r="O29" s="124">
        <v>5.01</v>
      </c>
      <c r="P29" s="124">
        <v>5.09</v>
      </c>
      <c r="Q29" s="124">
        <v>5.01</v>
      </c>
      <c r="R29" s="124">
        <v>4.96</v>
      </c>
      <c r="S29" s="124">
        <v>4.9000000000000004</v>
      </c>
      <c r="T29" s="124">
        <v>4.95</v>
      </c>
      <c r="U29" s="124">
        <v>4.6100000000000003</v>
      </c>
      <c r="V29" s="124">
        <v>4.57</v>
      </c>
      <c r="W29" s="124">
        <v>0</v>
      </c>
      <c r="X29" s="124"/>
      <c r="Y29" s="124"/>
      <c r="Z29" s="124"/>
      <c r="AA29" s="125"/>
      <c r="AB29" s="125"/>
      <c r="AC29" s="125"/>
      <c r="AD29" s="124"/>
      <c r="AE29" s="124"/>
      <c r="AF29" s="124"/>
      <c r="AG29" s="124">
        <v>4.34</v>
      </c>
      <c r="AH29" s="124">
        <v>4.3899999999999997</v>
      </c>
      <c r="AI29" s="124">
        <v>4.41</v>
      </c>
      <c r="AJ29" s="124">
        <v>4.42</v>
      </c>
      <c r="AL29" s="33">
        <f>AVERAGE(F29:AJ29)</f>
        <v>4.3246818181818183</v>
      </c>
      <c r="AM29" s="41"/>
      <c r="AN29" s="52"/>
    </row>
    <row r="30" spans="2:112 15078:15080" s="1" customFormat="1" x14ac:dyDescent="0.25">
      <c r="B30" s="113"/>
      <c r="C30" s="126" t="s">
        <v>95</v>
      </c>
      <c r="D30" s="127">
        <v>0.5</v>
      </c>
      <c r="E30" s="113" t="s">
        <v>29</v>
      </c>
      <c r="F30" s="124">
        <v>0.39</v>
      </c>
      <c r="G30" s="124">
        <v>0.39</v>
      </c>
      <c r="H30" s="124">
        <v>0.39</v>
      </c>
      <c r="I30" s="124">
        <v>0.4</v>
      </c>
      <c r="J30" s="124">
        <v>0.39</v>
      </c>
      <c r="K30" s="124">
        <v>0.4</v>
      </c>
      <c r="L30" s="124">
        <v>0.39</v>
      </c>
      <c r="M30" s="124">
        <v>0.39</v>
      </c>
      <c r="N30" s="124">
        <v>0.39</v>
      </c>
      <c r="O30" s="124">
        <v>0.42</v>
      </c>
      <c r="P30" s="124">
        <v>0.44</v>
      </c>
      <c r="Q30" s="124">
        <v>0.44</v>
      </c>
      <c r="R30" s="124">
        <v>0.44</v>
      </c>
      <c r="S30" s="124">
        <v>0.43</v>
      </c>
      <c r="T30" s="124">
        <v>0.44</v>
      </c>
      <c r="U30" s="124">
        <v>0.41</v>
      </c>
      <c r="V30" s="124">
        <v>0.39</v>
      </c>
      <c r="W30" s="124">
        <v>0</v>
      </c>
      <c r="X30" s="124"/>
      <c r="Y30" s="124"/>
      <c r="Z30" s="124"/>
      <c r="AA30" s="124"/>
      <c r="AB30" s="124"/>
      <c r="AC30" s="124"/>
      <c r="AD30" s="124"/>
      <c r="AE30" s="124"/>
      <c r="AF30" s="124"/>
      <c r="AG30" s="124">
        <v>0.38</v>
      </c>
      <c r="AH30" s="124">
        <v>0.4</v>
      </c>
      <c r="AI30" s="124">
        <v>0.39</v>
      </c>
      <c r="AJ30" s="124">
        <v>0.38</v>
      </c>
      <c r="AK30" s="9"/>
      <c r="AL30" s="33">
        <f>AVERAGE(F30:AJ30)</f>
        <v>0.38590909090909098</v>
      </c>
      <c r="AM30" s="41"/>
      <c r="AN30" s="52"/>
      <c r="CD30" s="3"/>
    </row>
    <row r="31" spans="2:112 15078:15080" s="1" customFormat="1" x14ac:dyDescent="0.25">
      <c r="B31" s="113"/>
      <c r="C31" s="126" t="s">
        <v>94</v>
      </c>
      <c r="D31" s="129" t="s">
        <v>93</v>
      </c>
      <c r="E31" s="113" t="s">
        <v>29</v>
      </c>
      <c r="F31" s="124">
        <v>2.21</v>
      </c>
      <c r="G31" s="124">
        <v>2.21</v>
      </c>
      <c r="H31" s="124">
        <v>2.21</v>
      </c>
      <c r="I31" s="124">
        <v>2.21</v>
      </c>
      <c r="J31" s="124">
        <v>2.21</v>
      </c>
      <c r="K31" s="51">
        <v>2.21</v>
      </c>
      <c r="L31" s="51">
        <v>2.21</v>
      </c>
      <c r="M31" s="124">
        <v>2.2200000000000002</v>
      </c>
      <c r="N31" s="124">
        <v>2.2200000000000002</v>
      </c>
      <c r="O31" s="51">
        <v>2.2200000000000002</v>
      </c>
      <c r="P31" s="51">
        <v>2.2200000000000002</v>
      </c>
      <c r="Q31" s="51">
        <v>2.2200000000000002</v>
      </c>
      <c r="R31" s="124">
        <v>2.2200000000000002</v>
      </c>
      <c r="S31" s="124">
        <v>2.2200000000000002</v>
      </c>
      <c r="T31" s="124">
        <v>2.2200000000000002</v>
      </c>
      <c r="U31" s="51">
        <v>2.2200000000000002</v>
      </c>
      <c r="V31" s="124">
        <v>2.2200000000000002</v>
      </c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>
        <v>2.21</v>
      </c>
      <c r="AH31" s="124">
        <v>2.2200000000000002</v>
      </c>
      <c r="AI31" s="124">
        <v>2.2200000000000002</v>
      </c>
      <c r="AJ31" s="124">
        <v>2.21</v>
      </c>
      <c r="AK31" s="9"/>
      <c r="AL31" s="33">
        <f>AVERAGE(F31:AJ31)</f>
        <v>2.2157142857142853</v>
      </c>
      <c r="AM31" s="41"/>
      <c r="AN31" s="52"/>
    </row>
    <row r="32" spans="2:112 15078:15080" s="1" customFormat="1" x14ac:dyDescent="0.25">
      <c r="B32" s="113"/>
      <c r="C32" s="130" t="s">
        <v>92</v>
      </c>
      <c r="D32" s="131"/>
      <c r="E32" s="217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6"/>
      <c r="AL32" s="34" t="s">
        <v>92</v>
      </c>
      <c r="AM32" s="240"/>
      <c r="AN32" s="30"/>
    </row>
    <row r="33" spans="1:15128" s="1" customFormat="1" x14ac:dyDescent="0.25">
      <c r="B33" s="128"/>
      <c r="C33" s="133" t="s">
        <v>91</v>
      </c>
      <c r="D33" s="121">
        <f>D52%*D27</f>
        <v>61324200.000000007</v>
      </c>
      <c r="E33" s="272" t="s">
        <v>16</v>
      </c>
      <c r="F33" s="122">
        <v>1351180</v>
      </c>
      <c r="G33" s="122">
        <v>1537640</v>
      </c>
      <c r="H33" s="122">
        <v>1536074</v>
      </c>
      <c r="I33" s="122">
        <v>1583769</v>
      </c>
      <c r="J33" s="122">
        <v>1534057</v>
      </c>
      <c r="K33" s="122">
        <v>894873</v>
      </c>
      <c r="L33" s="122">
        <v>1395418</v>
      </c>
      <c r="M33" s="122">
        <v>1286017</v>
      </c>
      <c r="N33" s="122">
        <v>1434985</v>
      </c>
      <c r="O33" s="122">
        <v>1269760</v>
      </c>
      <c r="P33" s="122">
        <v>1285427</v>
      </c>
      <c r="Q33" s="122">
        <v>1347280</v>
      </c>
      <c r="R33" s="122">
        <v>1265802</v>
      </c>
      <c r="S33" s="122">
        <v>1292174</v>
      </c>
      <c r="T33" s="122">
        <v>1282339</v>
      </c>
      <c r="U33" s="122">
        <v>1335635</v>
      </c>
      <c r="V33" s="122">
        <v>650341</v>
      </c>
      <c r="W33" s="122">
        <f>67629+172532</f>
        <v>240161</v>
      </c>
      <c r="X33" s="122">
        <v>0</v>
      </c>
      <c r="Y33" s="122">
        <v>0</v>
      </c>
      <c r="Z33" s="122">
        <v>0</v>
      </c>
      <c r="AA33" s="122">
        <v>0</v>
      </c>
      <c r="AB33" s="122">
        <v>0</v>
      </c>
      <c r="AC33" s="122">
        <v>0</v>
      </c>
      <c r="AD33" s="122">
        <v>0</v>
      </c>
      <c r="AE33" s="122">
        <v>0</v>
      </c>
      <c r="AF33" s="122">
        <v>0</v>
      </c>
      <c r="AG33" s="122"/>
      <c r="AH33" s="122">
        <f>894312+85000</f>
        <v>979312</v>
      </c>
      <c r="AI33" s="122">
        <v>1612782</v>
      </c>
      <c r="AJ33" s="122">
        <v>1573134</v>
      </c>
      <c r="AK33" s="9"/>
      <c r="AL33" s="295">
        <f>SUM(F33:AJ33)</f>
        <v>26688160</v>
      </c>
      <c r="AM33" s="22"/>
      <c r="AN33" s="7"/>
      <c r="AY33" s="22"/>
      <c r="VHD33"/>
      <c r="VHE33"/>
      <c r="VHF33"/>
      <c r="VHG33"/>
      <c r="VHH33"/>
      <c r="VHI33"/>
      <c r="VHJ33"/>
      <c r="VHK33"/>
      <c r="VHL33"/>
      <c r="VHM33"/>
      <c r="VHN33"/>
      <c r="VHO33"/>
      <c r="VHP33"/>
      <c r="VHQ33"/>
      <c r="VHR33"/>
      <c r="VHS33"/>
      <c r="VHT33"/>
      <c r="VHU33"/>
      <c r="VHV33"/>
      <c r="VHW33"/>
      <c r="VHX33"/>
      <c r="VHY33"/>
      <c r="VHZ33"/>
      <c r="VIA33"/>
      <c r="VIB33"/>
      <c r="VIC33"/>
      <c r="VID33"/>
      <c r="VIE33"/>
      <c r="VIF33"/>
      <c r="VIG33"/>
      <c r="VIH33"/>
      <c r="VII33"/>
      <c r="VIJ33"/>
      <c r="VIK33"/>
      <c r="VIL33"/>
      <c r="VIM33"/>
      <c r="VIN33"/>
      <c r="VIO33"/>
      <c r="VIP33"/>
      <c r="VIQ33"/>
      <c r="VIR33"/>
      <c r="VIS33"/>
      <c r="VIT33"/>
      <c r="VIU33"/>
      <c r="VIV33"/>
    </row>
    <row r="34" spans="1:15128" s="1" customFormat="1" x14ac:dyDescent="0.25">
      <c r="B34" s="128"/>
      <c r="C34" s="133" t="s">
        <v>75</v>
      </c>
      <c r="D34" s="121">
        <f>D53%*D27</f>
        <v>3255000</v>
      </c>
      <c r="E34" s="272" t="s">
        <v>16</v>
      </c>
      <c r="F34" s="122">
        <v>54890</v>
      </c>
      <c r="G34" s="122">
        <v>61616</v>
      </c>
      <c r="H34" s="122">
        <v>70923</v>
      </c>
      <c r="I34" s="122">
        <v>65510</v>
      </c>
      <c r="J34" s="122">
        <v>65050</v>
      </c>
      <c r="K34" s="122">
        <v>38938</v>
      </c>
      <c r="L34" s="122">
        <v>71719</v>
      </c>
      <c r="M34" s="122">
        <v>66926</v>
      </c>
      <c r="N34" s="122">
        <v>78632</v>
      </c>
      <c r="O34" s="122">
        <v>67332</v>
      </c>
      <c r="P34" s="122">
        <v>80626</v>
      </c>
      <c r="Q34" s="122">
        <v>75842</v>
      </c>
      <c r="R34" s="122">
        <v>70428</v>
      </c>
      <c r="S34" s="122">
        <v>71017</v>
      </c>
      <c r="T34" s="122">
        <v>67574</v>
      </c>
      <c r="U34" s="122">
        <v>63145</v>
      </c>
      <c r="V34" s="122">
        <v>35420</v>
      </c>
      <c r="W34" s="122">
        <f>8174+3407</f>
        <v>11581</v>
      </c>
      <c r="X34" s="122">
        <v>0</v>
      </c>
      <c r="Y34" s="122">
        <v>0</v>
      </c>
      <c r="Z34" s="122">
        <v>0</v>
      </c>
      <c r="AA34" s="122">
        <v>0</v>
      </c>
      <c r="AB34" s="122">
        <v>0</v>
      </c>
      <c r="AC34" s="122">
        <v>0</v>
      </c>
      <c r="AD34" s="122">
        <v>0</v>
      </c>
      <c r="AE34" s="122">
        <v>0</v>
      </c>
      <c r="AF34" s="122">
        <v>0</v>
      </c>
      <c r="AG34" s="122">
        <v>7967</v>
      </c>
      <c r="AH34" s="122">
        <v>56044</v>
      </c>
      <c r="AI34" s="122">
        <v>66680</v>
      </c>
      <c r="AJ34" s="122">
        <v>80523</v>
      </c>
      <c r="AK34" s="9"/>
      <c r="AL34" s="295">
        <f>SUM(F34:AJ34)</f>
        <v>1328383</v>
      </c>
      <c r="AM34" s="22"/>
      <c r="AN34" s="7"/>
      <c r="VHD34"/>
      <c r="VHE34"/>
      <c r="VHF34"/>
      <c r="VHG34"/>
      <c r="VHH34"/>
      <c r="VHI34"/>
      <c r="VHJ34"/>
      <c r="VHK34"/>
      <c r="VHL34"/>
      <c r="VHM34"/>
      <c r="VHN34"/>
      <c r="VHO34"/>
      <c r="VHP34"/>
      <c r="VHQ34"/>
      <c r="VHR34"/>
      <c r="VHS34"/>
      <c r="VHT34"/>
      <c r="VHU34"/>
      <c r="VHV34"/>
      <c r="VHW34"/>
      <c r="VHX34"/>
      <c r="VHY34"/>
      <c r="VHZ34"/>
      <c r="VIA34"/>
      <c r="VIB34"/>
      <c r="VIC34"/>
      <c r="VID34"/>
      <c r="VIE34"/>
      <c r="VIF34"/>
      <c r="VIG34"/>
      <c r="VIH34"/>
      <c r="VII34"/>
      <c r="VIJ34"/>
      <c r="VIK34"/>
      <c r="VIL34"/>
      <c r="VIM34"/>
      <c r="VIN34"/>
      <c r="VIO34"/>
      <c r="VIP34"/>
      <c r="VIQ34"/>
      <c r="VIR34"/>
      <c r="VIS34"/>
      <c r="VIT34"/>
      <c r="VIU34"/>
      <c r="VIV34"/>
    </row>
    <row r="35" spans="1:15128" x14ac:dyDescent="0.25">
      <c r="B35" s="128"/>
      <c r="C35" s="134" t="s">
        <v>90</v>
      </c>
      <c r="D35" s="135"/>
      <c r="E35" s="273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9"/>
      <c r="AL35" s="136" t="s">
        <v>74</v>
      </c>
      <c r="AM35" s="241"/>
      <c r="AN35" s="7"/>
      <c r="BM35" s="22"/>
    </row>
    <row r="36" spans="1:15128" s="1" customFormat="1" x14ac:dyDescent="0.25">
      <c r="B36" s="128"/>
      <c r="C36" s="133" t="s">
        <v>89</v>
      </c>
      <c r="D36" s="137">
        <f>SUM(D37:D38)</f>
        <v>39640824.376159139</v>
      </c>
      <c r="E36" s="272" t="s">
        <v>16</v>
      </c>
      <c r="F36" s="122">
        <f>SUM(F37:F38)</f>
        <v>807137</v>
      </c>
      <c r="G36" s="122">
        <f>SUM(G37:G38)</f>
        <v>170926</v>
      </c>
      <c r="H36" s="122">
        <f>SUM(H37:H38)</f>
        <v>1881516</v>
      </c>
      <c r="I36" s="122">
        <f t="shared" ref="I36:AJ36" si="7">SUM(I37:I38)</f>
        <v>1627984</v>
      </c>
      <c r="J36" s="122">
        <f t="shared" si="7"/>
        <v>1330357</v>
      </c>
      <c r="K36" s="122">
        <f t="shared" si="7"/>
        <v>1257918</v>
      </c>
      <c r="L36" s="122">
        <f t="shared" si="7"/>
        <v>1565176</v>
      </c>
      <c r="M36" s="122">
        <f t="shared" si="7"/>
        <v>1263667</v>
      </c>
      <c r="N36" s="122">
        <f t="shared" si="7"/>
        <v>1608997</v>
      </c>
      <c r="O36" s="122">
        <f t="shared" si="7"/>
        <v>1029017</v>
      </c>
      <c r="P36" s="122">
        <f t="shared" si="7"/>
        <v>1294082</v>
      </c>
      <c r="Q36" s="122">
        <f t="shared" si="7"/>
        <v>1291654</v>
      </c>
      <c r="R36" s="122">
        <f t="shared" si="7"/>
        <v>1205401</v>
      </c>
      <c r="S36" s="122">
        <f t="shared" si="7"/>
        <v>1076759</v>
      </c>
      <c r="T36" s="122">
        <f t="shared" si="7"/>
        <v>1104591</v>
      </c>
      <c r="U36" s="122">
        <f t="shared" si="7"/>
        <v>1214924</v>
      </c>
      <c r="V36" s="122">
        <f t="shared" si="7"/>
        <v>419904</v>
      </c>
      <c r="W36" s="122">
        <f t="shared" si="7"/>
        <v>313966</v>
      </c>
      <c r="X36" s="122">
        <f t="shared" si="7"/>
        <v>0</v>
      </c>
      <c r="Y36" s="122">
        <f t="shared" si="7"/>
        <v>0</v>
      </c>
      <c r="Z36" s="122">
        <f t="shared" si="7"/>
        <v>0</v>
      </c>
      <c r="AA36" s="122">
        <f t="shared" si="7"/>
        <v>0</v>
      </c>
      <c r="AB36" s="122">
        <f t="shared" si="7"/>
        <v>0</v>
      </c>
      <c r="AC36" s="122">
        <f t="shared" si="7"/>
        <v>0</v>
      </c>
      <c r="AD36" s="122">
        <f t="shared" si="7"/>
        <v>0</v>
      </c>
      <c r="AE36" s="122">
        <f t="shared" si="7"/>
        <v>0</v>
      </c>
      <c r="AF36" s="122">
        <f t="shared" si="7"/>
        <v>0</v>
      </c>
      <c r="AG36" s="122">
        <f t="shared" si="7"/>
        <v>0</v>
      </c>
      <c r="AH36" s="122">
        <f t="shared" si="7"/>
        <v>361813</v>
      </c>
      <c r="AI36" s="122">
        <f t="shared" si="7"/>
        <v>1299717</v>
      </c>
      <c r="AJ36" s="122">
        <f t="shared" si="7"/>
        <v>1460780</v>
      </c>
      <c r="AK36" s="9"/>
      <c r="AL36" s="295">
        <f>SUM(F36:AJ36)</f>
        <v>23586286</v>
      </c>
      <c r="AM36" s="22"/>
      <c r="AN36" s="30"/>
      <c r="BM36" s="22"/>
    </row>
    <row r="37" spans="1:15128" x14ac:dyDescent="0.25">
      <c r="B37" s="128"/>
      <c r="C37" s="133" t="s">
        <v>88</v>
      </c>
      <c r="D37" s="137">
        <f>32505.4759884505*1000</f>
        <v>32505475.988450501</v>
      </c>
      <c r="E37" s="272" t="s">
        <v>16</v>
      </c>
      <c r="F37" s="122">
        <v>664091</v>
      </c>
      <c r="G37" s="122">
        <v>140359</v>
      </c>
      <c r="H37" s="122">
        <v>1559581</v>
      </c>
      <c r="I37" s="122">
        <v>1349399</v>
      </c>
      <c r="J37" s="122">
        <v>1097915</v>
      </c>
      <c r="K37" s="122">
        <v>1049030</v>
      </c>
      <c r="L37" s="122">
        <v>1311167</v>
      </c>
      <c r="M37" s="122">
        <v>1059787</v>
      </c>
      <c r="N37" s="122">
        <v>1369271</v>
      </c>
      <c r="O37" s="122">
        <v>847455</v>
      </c>
      <c r="P37" s="122">
        <v>1067657</v>
      </c>
      <c r="Q37" s="122">
        <v>1042509</v>
      </c>
      <c r="R37" s="122">
        <v>967768</v>
      </c>
      <c r="S37" s="122">
        <v>870664</v>
      </c>
      <c r="T37" s="122">
        <v>919681</v>
      </c>
      <c r="U37" s="122">
        <v>949862</v>
      </c>
      <c r="V37" s="122">
        <f>509469-189700</f>
        <v>319769</v>
      </c>
      <c r="W37" s="122">
        <v>210709</v>
      </c>
      <c r="X37" s="122">
        <v>0</v>
      </c>
      <c r="Y37" s="122">
        <v>0</v>
      </c>
      <c r="Z37" s="122">
        <v>0</v>
      </c>
      <c r="AA37" s="122">
        <v>0</v>
      </c>
      <c r="AB37" s="122">
        <v>0</v>
      </c>
      <c r="AC37" s="122">
        <v>0</v>
      </c>
      <c r="AD37" s="122">
        <v>0</v>
      </c>
      <c r="AE37" s="122">
        <v>0</v>
      </c>
      <c r="AF37" s="122">
        <v>0</v>
      </c>
      <c r="AG37" s="122"/>
      <c r="AH37" s="122">
        <v>310990</v>
      </c>
      <c r="AI37" s="122">
        <v>1056366</v>
      </c>
      <c r="AJ37" s="122">
        <v>1179655</v>
      </c>
      <c r="AK37" s="9"/>
      <c r="AL37" s="295">
        <f>SUM(F37:AJ37)</f>
        <v>19343685</v>
      </c>
      <c r="AM37" s="22"/>
      <c r="AN37" s="4"/>
      <c r="BM37" s="22"/>
    </row>
    <row r="38" spans="1:15128" x14ac:dyDescent="0.25">
      <c r="B38" s="128"/>
      <c r="C38" s="133" t="s">
        <v>85</v>
      </c>
      <c r="D38" s="137">
        <f>7135.34838770864*1000</f>
        <v>7135348.3877086397</v>
      </c>
      <c r="E38" s="272" t="s">
        <v>16</v>
      </c>
      <c r="F38" s="122">
        <v>143046</v>
      </c>
      <c r="G38" s="122">
        <f>185067-121000-33500</f>
        <v>30567</v>
      </c>
      <c r="H38" s="122">
        <v>321935</v>
      </c>
      <c r="I38" s="122">
        <v>278585</v>
      </c>
      <c r="J38" s="122">
        <v>232442</v>
      </c>
      <c r="K38" s="122">
        <v>208888</v>
      </c>
      <c r="L38" s="122">
        <v>254009</v>
      </c>
      <c r="M38" s="122">
        <v>203880</v>
      </c>
      <c r="N38" s="122">
        <v>239726</v>
      </c>
      <c r="O38" s="122">
        <v>181562</v>
      </c>
      <c r="P38" s="122">
        <v>226425</v>
      </c>
      <c r="Q38" s="122">
        <v>249145</v>
      </c>
      <c r="R38" s="122">
        <v>237633</v>
      </c>
      <c r="S38" s="122">
        <v>206095</v>
      </c>
      <c r="T38" s="122">
        <v>184910</v>
      </c>
      <c r="U38" s="122">
        <v>265062</v>
      </c>
      <c r="V38" s="122">
        <f>179335-79200</f>
        <v>100135</v>
      </c>
      <c r="W38" s="122">
        <v>103257</v>
      </c>
      <c r="X38" s="122">
        <v>0</v>
      </c>
      <c r="Y38" s="122">
        <v>0</v>
      </c>
      <c r="Z38" s="122">
        <v>0</v>
      </c>
      <c r="AA38" s="122">
        <v>0</v>
      </c>
      <c r="AB38" s="122">
        <v>0</v>
      </c>
      <c r="AC38" s="122">
        <v>0</v>
      </c>
      <c r="AD38" s="122">
        <v>0</v>
      </c>
      <c r="AE38" s="122">
        <v>0</v>
      </c>
      <c r="AF38" s="122">
        <v>0</v>
      </c>
      <c r="AG38" s="122"/>
      <c r="AH38" s="122">
        <v>50823</v>
      </c>
      <c r="AI38" s="122">
        <v>243351</v>
      </c>
      <c r="AJ38" s="122">
        <v>281125</v>
      </c>
      <c r="AK38" s="9"/>
      <c r="AL38" s="295">
        <f>SUM(F38:AJ38)</f>
        <v>4242601</v>
      </c>
      <c r="AM38" s="22"/>
      <c r="AN38" s="4"/>
    </row>
    <row r="39" spans="1:15128" x14ac:dyDescent="0.25">
      <c r="B39" s="128"/>
      <c r="C39" s="134" t="s">
        <v>87</v>
      </c>
      <c r="D39" s="138"/>
      <c r="E39" s="273"/>
      <c r="F39" s="115"/>
      <c r="G39" s="115"/>
      <c r="H39" s="115"/>
      <c r="I39" s="139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40"/>
      <c r="Z39" s="141"/>
      <c r="AA39" s="142"/>
      <c r="AB39" s="140"/>
      <c r="AC39" s="140"/>
      <c r="AD39" s="140"/>
      <c r="AE39" s="140"/>
      <c r="AF39" s="140"/>
      <c r="AG39" s="140"/>
      <c r="AH39" s="140"/>
      <c r="AI39" s="140"/>
      <c r="AJ39" s="140"/>
      <c r="AK39" s="9"/>
      <c r="AL39" s="136" t="s">
        <v>73</v>
      </c>
      <c r="AM39" s="241"/>
      <c r="AN39" s="4"/>
    </row>
    <row r="40" spans="1:15128" s="146" customFormat="1" x14ac:dyDescent="0.2">
      <c r="A40" s="47"/>
      <c r="B40" s="98"/>
      <c r="C40" s="143" t="s">
        <v>83</v>
      </c>
      <c r="D40" s="144"/>
      <c r="E40" s="274" t="s">
        <v>16</v>
      </c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>
        <v>285729</v>
      </c>
      <c r="W40" s="122"/>
      <c r="X40" s="122"/>
      <c r="Y40" s="122"/>
      <c r="Z40" s="122"/>
      <c r="AA40" s="122"/>
      <c r="AB40" s="122"/>
      <c r="AC40" s="145"/>
      <c r="AD40" s="145"/>
      <c r="AE40" s="145"/>
      <c r="AF40" s="145"/>
      <c r="AG40" s="145"/>
      <c r="AH40" s="145"/>
      <c r="AI40" s="145"/>
      <c r="AJ40" s="145"/>
      <c r="AK40" s="37"/>
      <c r="AL40" s="314">
        <f>SUM(F40:AJ40)</f>
        <v>285729</v>
      </c>
      <c r="AM40" s="147"/>
      <c r="AN40" s="13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47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47"/>
      <c r="CZ40" s="47"/>
      <c r="DA40" s="47"/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47"/>
      <c r="DN40" s="47"/>
      <c r="DO40" s="47"/>
      <c r="DP40" s="47"/>
      <c r="DQ40" s="47"/>
      <c r="DR40" s="47"/>
      <c r="DS40" s="47"/>
      <c r="DT40" s="47"/>
      <c r="DU40" s="47"/>
      <c r="DV40" s="47"/>
      <c r="DW40" s="47"/>
      <c r="DX40" s="47"/>
      <c r="DY40" s="47"/>
      <c r="DZ40" s="47"/>
      <c r="EA40" s="47"/>
      <c r="EB40" s="47"/>
      <c r="EC40" s="47"/>
      <c r="ED40" s="47"/>
      <c r="EE40" s="47"/>
      <c r="EF40" s="47"/>
      <c r="EG40" s="47"/>
      <c r="EH40" s="47"/>
      <c r="EI40" s="47"/>
      <c r="EJ40" s="47"/>
      <c r="EK40" s="47"/>
      <c r="EL40" s="47"/>
      <c r="EM40" s="47"/>
      <c r="EN40" s="47"/>
      <c r="EO40" s="47"/>
      <c r="EP40" s="47"/>
      <c r="EQ40" s="47"/>
      <c r="ER40" s="47"/>
      <c r="ES40" s="47"/>
      <c r="ET40" s="47"/>
      <c r="EU40" s="47"/>
      <c r="EV40" s="47"/>
      <c r="EW40" s="47"/>
      <c r="EX40" s="47"/>
      <c r="EY40" s="47"/>
      <c r="EZ40" s="47"/>
      <c r="FA40" s="47"/>
      <c r="FB40" s="47"/>
      <c r="FC40" s="47"/>
      <c r="FD40" s="47"/>
      <c r="FE40" s="47"/>
      <c r="FF40" s="47"/>
      <c r="FG40" s="47"/>
      <c r="FH40" s="47"/>
      <c r="FI40" s="47"/>
      <c r="FJ40" s="47"/>
      <c r="FK40" s="47"/>
      <c r="FL40" s="47"/>
      <c r="FM40" s="47"/>
      <c r="FN40" s="47"/>
      <c r="FO40" s="47"/>
      <c r="FP40" s="47"/>
      <c r="FQ40" s="47"/>
      <c r="FR40" s="47"/>
      <c r="FS40" s="47"/>
      <c r="FT40" s="47"/>
      <c r="FU40" s="47"/>
      <c r="FV40" s="47"/>
      <c r="FW40" s="47"/>
      <c r="FX40" s="47"/>
      <c r="FY40" s="47"/>
      <c r="FZ40" s="47"/>
      <c r="GA40" s="47"/>
      <c r="GB40" s="47"/>
      <c r="GC40" s="47"/>
      <c r="GD40" s="47"/>
      <c r="GE40" s="47"/>
      <c r="GF40" s="47"/>
      <c r="GG40" s="47"/>
      <c r="GH40" s="47"/>
      <c r="GI40" s="47"/>
      <c r="GJ40" s="47"/>
      <c r="GK40" s="47"/>
      <c r="GL40" s="47"/>
      <c r="GM40" s="47"/>
      <c r="GN40" s="47"/>
      <c r="GO40" s="47"/>
      <c r="GP40" s="47"/>
      <c r="GQ40" s="47"/>
      <c r="GR40" s="47"/>
      <c r="GS40" s="47"/>
      <c r="GT40" s="47"/>
      <c r="GU40" s="47"/>
      <c r="GV40" s="47"/>
      <c r="GW40" s="47"/>
      <c r="GX40" s="47"/>
      <c r="GY40" s="47"/>
      <c r="GZ40" s="47"/>
      <c r="HA40" s="47"/>
      <c r="HB40" s="47"/>
      <c r="HC40" s="47"/>
      <c r="HD40" s="47"/>
      <c r="HE40" s="47"/>
      <c r="HF40" s="47"/>
      <c r="HG40" s="47"/>
      <c r="HH40" s="47"/>
      <c r="HI40" s="47"/>
      <c r="HJ40" s="47"/>
      <c r="HK40" s="47"/>
      <c r="HL40" s="47"/>
      <c r="HM40" s="47"/>
      <c r="HN40" s="47"/>
      <c r="HO40" s="47"/>
      <c r="HP40" s="47"/>
      <c r="HQ40" s="47"/>
      <c r="HR40" s="47"/>
      <c r="HS40" s="47"/>
      <c r="HT40" s="47"/>
      <c r="HU40" s="47"/>
      <c r="HV40" s="47"/>
      <c r="HW40" s="47"/>
      <c r="HX40" s="47"/>
      <c r="HY40" s="47"/>
      <c r="HZ40" s="47"/>
      <c r="IA40" s="47"/>
      <c r="IB40" s="47"/>
      <c r="IC40" s="47"/>
      <c r="ID40" s="47"/>
      <c r="IE40" s="47"/>
      <c r="IF40" s="47"/>
      <c r="IG40" s="47"/>
      <c r="IH40" s="47"/>
      <c r="II40" s="47"/>
      <c r="IJ40" s="47"/>
      <c r="IK40" s="47"/>
      <c r="IL40" s="47"/>
      <c r="IM40" s="47"/>
      <c r="IN40" s="47"/>
      <c r="IO40" s="47"/>
      <c r="IP40" s="47"/>
      <c r="IQ40" s="47"/>
      <c r="IR40" s="47"/>
      <c r="IS40" s="47"/>
      <c r="IT40" s="47"/>
      <c r="IU40" s="47"/>
      <c r="IV40" s="47"/>
      <c r="IW40" s="47"/>
      <c r="IX40" s="47"/>
      <c r="IY40" s="47"/>
      <c r="IZ40" s="47"/>
      <c r="JA40" s="47"/>
      <c r="JB40" s="47"/>
      <c r="JC40" s="47"/>
      <c r="JD40" s="47"/>
      <c r="JE40" s="47"/>
      <c r="JF40" s="47"/>
      <c r="JG40" s="47"/>
      <c r="JH40" s="47"/>
      <c r="JI40" s="47"/>
      <c r="JJ40" s="47"/>
      <c r="JK40" s="47"/>
      <c r="JL40" s="47"/>
      <c r="JM40" s="47"/>
      <c r="JN40" s="47"/>
      <c r="JO40" s="47"/>
      <c r="JP40" s="47"/>
      <c r="JQ40" s="47"/>
      <c r="JR40" s="47"/>
      <c r="JS40" s="47"/>
      <c r="JT40" s="47"/>
      <c r="JU40" s="47"/>
      <c r="JV40" s="47"/>
      <c r="JW40" s="47"/>
      <c r="JX40" s="47"/>
      <c r="JY40" s="47"/>
      <c r="JZ40" s="47"/>
      <c r="KA40" s="47"/>
      <c r="KB40" s="47"/>
      <c r="KC40" s="47"/>
      <c r="KD40" s="47"/>
      <c r="KE40" s="47"/>
      <c r="KF40" s="47"/>
      <c r="KG40" s="47"/>
      <c r="KH40" s="47"/>
      <c r="KI40" s="47"/>
      <c r="KJ40" s="47"/>
      <c r="KK40" s="47"/>
      <c r="KL40" s="47"/>
      <c r="KM40" s="47"/>
      <c r="KN40" s="47"/>
      <c r="KO40" s="47"/>
      <c r="KP40" s="47"/>
      <c r="KQ40" s="47"/>
      <c r="KR40" s="47"/>
      <c r="KS40" s="47"/>
      <c r="KT40" s="47"/>
      <c r="KU40" s="47"/>
      <c r="KV40" s="47"/>
      <c r="KW40" s="47"/>
      <c r="KX40" s="47"/>
      <c r="KY40" s="47"/>
      <c r="KZ40" s="47"/>
      <c r="LA40" s="47"/>
      <c r="LB40" s="47"/>
      <c r="LC40" s="47"/>
      <c r="LD40" s="47"/>
      <c r="LE40" s="47"/>
      <c r="LF40" s="47"/>
      <c r="LG40" s="47"/>
      <c r="LH40" s="47"/>
      <c r="LI40" s="47"/>
      <c r="LJ40" s="47"/>
      <c r="LK40" s="47"/>
      <c r="LL40" s="47"/>
      <c r="LM40" s="47"/>
      <c r="LN40" s="47"/>
      <c r="LO40" s="47"/>
      <c r="LP40" s="47"/>
      <c r="LQ40" s="47"/>
      <c r="LR40" s="47"/>
      <c r="LS40" s="47"/>
      <c r="LT40" s="47"/>
      <c r="LU40" s="47"/>
      <c r="LV40" s="47"/>
      <c r="LW40" s="47"/>
      <c r="LX40" s="47"/>
      <c r="LY40" s="47"/>
      <c r="LZ40" s="47"/>
      <c r="MA40" s="47"/>
      <c r="MB40" s="47"/>
      <c r="MC40" s="47"/>
      <c r="MD40" s="47"/>
      <c r="ME40" s="47"/>
      <c r="MF40" s="47"/>
      <c r="MG40" s="47"/>
      <c r="MH40" s="47"/>
      <c r="MI40" s="47"/>
      <c r="MJ40" s="47"/>
      <c r="MK40" s="47"/>
      <c r="ML40" s="47"/>
      <c r="MM40" s="47"/>
      <c r="MN40" s="47"/>
      <c r="MO40" s="47"/>
      <c r="MP40" s="47"/>
      <c r="MQ40" s="47"/>
      <c r="MR40" s="47"/>
      <c r="MS40" s="47"/>
      <c r="MT40" s="47"/>
      <c r="MU40" s="47"/>
      <c r="MV40" s="47"/>
      <c r="MW40" s="47"/>
      <c r="MX40" s="47"/>
      <c r="MY40" s="47"/>
      <c r="MZ40" s="47"/>
      <c r="NA40" s="47"/>
      <c r="NB40" s="47"/>
      <c r="NC40" s="47"/>
      <c r="ND40" s="47"/>
      <c r="NE40" s="47"/>
      <c r="NF40" s="47"/>
      <c r="NG40" s="47"/>
      <c r="NH40" s="47"/>
      <c r="NI40" s="47"/>
      <c r="NJ40" s="47"/>
      <c r="NK40" s="47"/>
      <c r="NL40" s="47"/>
      <c r="NM40" s="47"/>
      <c r="NN40" s="47"/>
      <c r="NO40" s="47"/>
      <c r="NP40" s="47"/>
      <c r="NQ40" s="47"/>
      <c r="NR40" s="47"/>
      <c r="NS40" s="47"/>
      <c r="NT40" s="47"/>
      <c r="NU40" s="47"/>
      <c r="NV40" s="47"/>
      <c r="NW40" s="47"/>
      <c r="NX40" s="47"/>
      <c r="NY40" s="47"/>
      <c r="NZ40" s="47"/>
      <c r="OA40" s="47"/>
      <c r="OB40" s="47"/>
      <c r="OC40" s="47"/>
      <c r="OD40" s="47"/>
      <c r="OE40" s="47"/>
      <c r="OF40" s="47"/>
      <c r="OG40" s="47"/>
      <c r="OH40" s="47"/>
      <c r="OI40" s="47"/>
      <c r="OJ40" s="47"/>
      <c r="OK40" s="47"/>
      <c r="OL40" s="47"/>
      <c r="OM40" s="47"/>
      <c r="ON40" s="47"/>
      <c r="OO40" s="47"/>
      <c r="OP40" s="47"/>
      <c r="OQ40" s="47"/>
      <c r="OR40" s="47"/>
      <c r="OS40" s="47"/>
      <c r="OT40" s="47"/>
      <c r="OU40" s="47"/>
      <c r="OV40" s="47"/>
      <c r="OW40" s="47"/>
      <c r="OX40" s="47"/>
      <c r="OY40" s="47"/>
      <c r="OZ40" s="47"/>
      <c r="PA40" s="47"/>
      <c r="PB40" s="47"/>
      <c r="PC40" s="47"/>
      <c r="PD40" s="47"/>
      <c r="PE40" s="47"/>
      <c r="PF40" s="47"/>
      <c r="PG40" s="47"/>
      <c r="PH40" s="47"/>
      <c r="PI40" s="47"/>
      <c r="PJ40" s="47"/>
      <c r="PK40" s="47"/>
      <c r="PL40" s="47"/>
      <c r="PM40" s="47"/>
      <c r="PN40" s="47"/>
      <c r="PO40" s="47"/>
      <c r="PP40" s="47"/>
      <c r="PQ40" s="47"/>
      <c r="PR40" s="47"/>
      <c r="PS40" s="47"/>
      <c r="PT40" s="47"/>
      <c r="PU40" s="47"/>
      <c r="PV40" s="47"/>
      <c r="PW40" s="47"/>
      <c r="PX40" s="47"/>
      <c r="PY40" s="47"/>
      <c r="PZ40" s="47"/>
      <c r="QA40" s="47"/>
      <c r="QB40" s="47"/>
      <c r="QC40" s="47"/>
      <c r="QD40" s="47"/>
      <c r="QE40" s="47"/>
      <c r="QF40" s="47"/>
      <c r="QG40" s="47"/>
      <c r="QH40" s="47"/>
      <c r="QI40" s="47"/>
      <c r="QJ40" s="47"/>
      <c r="QK40" s="47"/>
      <c r="QL40" s="47"/>
      <c r="QM40" s="47"/>
      <c r="QN40" s="47"/>
      <c r="QO40" s="47"/>
      <c r="QP40" s="47"/>
      <c r="QQ40" s="47"/>
      <c r="QR40" s="47"/>
      <c r="QS40" s="47"/>
      <c r="QT40" s="47"/>
      <c r="QU40" s="47"/>
      <c r="QV40" s="47"/>
      <c r="QW40" s="47"/>
      <c r="QX40" s="47"/>
      <c r="QY40" s="47"/>
      <c r="QZ40" s="47"/>
      <c r="RA40" s="47"/>
      <c r="RB40" s="47"/>
      <c r="RC40" s="47"/>
      <c r="RD40" s="47"/>
      <c r="RE40" s="47"/>
      <c r="RF40" s="47"/>
      <c r="RG40" s="47"/>
      <c r="RH40" s="47"/>
      <c r="RI40" s="47"/>
      <c r="RJ40" s="47"/>
      <c r="RK40" s="47"/>
      <c r="RL40" s="47"/>
      <c r="RM40" s="47"/>
      <c r="RN40" s="47"/>
      <c r="RO40" s="47"/>
      <c r="RP40" s="47"/>
      <c r="RQ40" s="47"/>
      <c r="RR40" s="47"/>
      <c r="RS40" s="47"/>
      <c r="RT40" s="47"/>
      <c r="RU40" s="47"/>
      <c r="RV40" s="47"/>
      <c r="RW40" s="47"/>
      <c r="RX40" s="47"/>
      <c r="RY40" s="47"/>
      <c r="RZ40" s="47"/>
      <c r="SA40" s="47"/>
      <c r="SB40" s="47"/>
      <c r="SC40" s="47"/>
      <c r="SD40" s="47"/>
      <c r="SE40" s="47"/>
      <c r="SF40" s="47"/>
      <c r="SG40" s="47"/>
      <c r="SH40" s="47"/>
      <c r="SI40" s="47"/>
      <c r="SJ40" s="47"/>
      <c r="SK40" s="47"/>
      <c r="SL40" s="47"/>
      <c r="SM40" s="47"/>
      <c r="SN40" s="47"/>
      <c r="SO40" s="47"/>
      <c r="SP40" s="47"/>
      <c r="SQ40" s="47"/>
      <c r="SR40" s="47"/>
      <c r="SS40" s="47"/>
      <c r="ST40" s="47"/>
      <c r="SU40" s="47"/>
      <c r="SV40" s="47"/>
      <c r="SW40" s="47"/>
      <c r="SX40" s="47"/>
      <c r="SY40" s="47"/>
      <c r="SZ40" s="47"/>
      <c r="TA40" s="47"/>
      <c r="TB40" s="47"/>
      <c r="TC40" s="47"/>
      <c r="TD40" s="47"/>
      <c r="TE40" s="47"/>
      <c r="TF40" s="47"/>
      <c r="TG40" s="47"/>
      <c r="TH40" s="47"/>
      <c r="TI40" s="47"/>
      <c r="TJ40" s="47"/>
      <c r="TK40" s="47"/>
      <c r="TL40" s="47"/>
      <c r="TM40" s="47"/>
      <c r="TN40" s="47"/>
      <c r="TO40" s="47"/>
      <c r="TP40" s="47"/>
      <c r="TQ40" s="47"/>
      <c r="TR40" s="47"/>
      <c r="TS40" s="47"/>
      <c r="TT40" s="47"/>
      <c r="TU40" s="47"/>
      <c r="TV40" s="47"/>
      <c r="TW40" s="47"/>
      <c r="TX40" s="47"/>
      <c r="TY40" s="47"/>
      <c r="TZ40" s="47"/>
      <c r="UA40" s="47"/>
      <c r="UB40" s="47"/>
      <c r="UC40" s="47"/>
      <c r="UD40" s="47"/>
      <c r="UE40" s="47"/>
      <c r="UF40" s="47"/>
      <c r="UG40" s="47"/>
      <c r="UH40" s="47"/>
      <c r="UI40" s="47"/>
      <c r="UJ40" s="47"/>
      <c r="UK40" s="47"/>
      <c r="UL40" s="47"/>
      <c r="UM40" s="47"/>
      <c r="UN40" s="47"/>
      <c r="UO40" s="47"/>
      <c r="UP40" s="47"/>
      <c r="UQ40" s="47"/>
      <c r="UR40" s="47"/>
      <c r="US40" s="47"/>
      <c r="UT40" s="47"/>
      <c r="UU40" s="47"/>
      <c r="UV40" s="47"/>
      <c r="UW40" s="47"/>
      <c r="UX40" s="47"/>
      <c r="UY40" s="47"/>
      <c r="UZ40" s="47"/>
      <c r="VA40" s="47"/>
      <c r="VB40" s="47"/>
      <c r="VC40" s="47"/>
      <c r="VD40" s="47"/>
      <c r="VE40" s="47"/>
      <c r="VF40" s="47"/>
      <c r="VG40" s="47"/>
      <c r="VH40" s="47"/>
      <c r="VI40" s="47"/>
      <c r="VJ40" s="47"/>
      <c r="VK40" s="47"/>
      <c r="VL40" s="47"/>
      <c r="VM40" s="47"/>
      <c r="VN40" s="47"/>
      <c r="VO40" s="47"/>
      <c r="VP40" s="47"/>
      <c r="VQ40" s="47"/>
      <c r="VR40" s="47"/>
      <c r="VS40" s="47"/>
      <c r="VT40" s="47"/>
      <c r="VU40" s="47"/>
      <c r="VV40" s="47"/>
      <c r="VW40" s="47"/>
      <c r="VX40" s="47"/>
      <c r="VY40" s="47"/>
      <c r="VZ40" s="47"/>
      <c r="WA40" s="47"/>
      <c r="WB40" s="47"/>
      <c r="WC40" s="47"/>
      <c r="WD40" s="47"/>
      <c r="WE40" s="47"/>
      <c r="WF40" s="47"/>
      <c r="WG40" s="47"/>
      <c r="WH40" s="47"/>
      <c r="WI40" s="47"/>
      <c r="WJ40" s="47"/>
      <c r="WK40" s="47"/>
      <c r="WL40" s="47"/>
      <c r="WM40" s="47"/>
      <c r="WN40" s="47"/>
      <c r="WO40" s="47"/>
      <c r="WP40" s="47"/>
      <c r="WQ40" s="47"/>
      <c r="WR40" s="47"/>
      <c r="WS40" s="47"/>
      <c r="WT40" s="47"/>
      <c r="WU40" s="47"/>
      <c r="WV40" s="47"/>
      <c r="WW40" s="47"/>
      <c r="WX40" s="47"/>
      <c r="WY40" s="47"/>
      <c r="WZ40" s="47"/>
      <c r="XA40" s="47"/>
      <c r="XB40" s="47"/>
      <c r="XC40" s="47"/>
      <c r="XD40" s="47"/>
      <c r="XE40" s="47"/>
      <c r="XF40" s="47"/>
      <c r="XG40" s="47"/>
      <c r="XH40" s="47"/>
      <c r="XI40" s="47"/>
      <c r="XJ40" s="47"/>
      <c r="XK40" s="47"/>
      <c r="XL40" s="47"/>
      <c r="XM40" s="47"/>
      <c r="XN40" s="47"/>
      <c r="XO40" s="47"/>
      <c r="XP40" s="47"/>
      <c r="XQ40" s="47"/>
      <c r="XR40" s="47"/>
      <c r="XS40" s="47"/>
      <c r="XT40" s="47"/>
      <c r="XU40" s="47"/>
      <c r="XV40" s="47"/>
      <c r="XW40" s="47"/>
      <c r="XX40" s="47"/>
      <c r="XY40" s="47"/>
      <c r="XZ40" s="47"/>
      <c r="YA40" s="47"/>
      <c r="YB40" s="47"/>
      <c r="YC40" s="47"/>
      <c r="YD40" s="47"/>
      <c r="YE40" s="47"/>
      <c r="YF40" s="47"/>
      <c r="YG40" s="47"/>
      <c r="YH40" s="47"/>
      <c r="YI40" s="47"/>
      <c r="YJ40" s="47"/>
      <c r="YK40" s="47"/>
      <c r="YL40" s="47"/>
      <c r="YM40" s="47"/>
      <c r="YN40" s="47"/>
      <c r="YO40" s="47"/>
      <c r="YP40" s="47"/>
      <c r="YQ40" s="47"/>
      <c r="YR40" s="47"/>
      <c r="YS40" s="47"/>
      <c r="YT40" s="47"/>
      <c r="YU40" s="47"/>
      <c r="YV40" s="47"/>
      <c r="YW40" s="47"/>
      <c r="YX40" s="47"/>
      <c r="YY40" s="47"/>
      <c r="YZ40" s="47"/>
      <c r="ZA40" s="47"/>
      <c r="ZB40" s="47"/>
      <c r="ZC40" s="47"/>
      <c r="ZD40" s="47"/>
      <c r="ZE40" s="47"/>
      <c r="ZF40" s="47"/>
      <c r="ZG40" s="47"/>
      <c r="ZH40" s="47"/>
      <c r="ZI40" s="47"/>
      <c r="ZJ40" s="47"/>
      <c r="ZK40" s="47"/>
      <c r="ZL40" s="47"/>
      <c r="ZM40" s="47"/>
      <c r="ZN40" s="47"/>
      <c r="ZO40" s="47"/>
      <c r="ZP40" s="47"/>
      <c r="ZQ40" s="47"/>
      <c r="ZR40" s="47"/>
      <c r="ZS40" s="47"/>
      <c r="ZT40" s="47"/>
      <c r="ZU40" s="47"/>
      <c r="ZV40" s="47"/>
      <c r="ZW40" s="47"/>
      <c r="ZX40" s="47"/>
      <c r="ZY40" s="47"/>
      <c r="ZZ40" s="47"/>
      <c r="AAA40" s="47"/>
      <c r="AAB40" s="47"/>
      <c r="AAC40" s="47"/>
      <c r="AAD40" s="47"/>
      <c r="AAE40" s="47"/>
      <c r="AAF40" s="47"/>
      <c r="AAG40" s="47"/>
      <c r="AAH40" s="47"/>
      <c r="AAI40" s="47"/>
      <c r="AAJ40" s="47"/>
      <c r="AAK40" s="47"/>
      <c r="AAL40" s="47"/>
      <c r="AAM40" s="47"/>
      <c r="AAN40" s="47"/>
      <c r="AAO40" s="47"/>
      <c r="AAP40" s="47"/>
      <c r="AAQ40" s="47"/>
      <c r="AAR40" s="47"/>
      <c r="AAS40" s="47"/>
      <c r="AAT40" s="47"/>
      <c r="AAU40" s="47"/>
      <c r="AAV40" s="47"/>
      <c r="AAW40" s="47"/>
      <c r="AAX40" s="47"/>
      <c r="AAY40" s="47"/>
      <c r="AAZ40" s="47"/>
      <c r="ABA40" s="47"/>
      <c r="ABB40" s="47"/>
      <c r="ABC40" s="47"/>
      <c r="ABD40" s="47"/>
      <c r="ABE40" s="47"/>
      <c r="ABF40" s="47"/>
      <c r="ABG40" s="47"/>
      <c r="ABH40" s="47"/>
      <c r="ABI40" s="47"/>
      <c r="ABJ40" s="47"/>
      <c r="ABK40" s="47"/>
      <c r="ABL40" s="47"/>
      <c r="ABM40" s="47"/>
      <c r="ABN40" s="47"/>
      <c r="ABO40" s="47"/>
      <c r="ABP40" s="47"/>
      <c r="ABQ40" s="47"/>
      <c r="ABR40" s="47"/>
      <c r="ABS40" s="47"/>
      <c r="ABT40" s="47"/>
      <c r="ABU40" s="47"/>
      <c r="ABV40" s="47"/>
      <c r="ABW40" s="47"/>
      <c r="ABX40" s="47"/>
      <c r="ABY40" s="47"/>
      <c r="ABZ40" s="47"/>
      <c r="ACA40" s="47"/>
      <c r="ACB40" s="47"/>
      <c r="ACC40" s="47"/>
      <c r="ACD40" s="47"/>
      <c r="ACE40" s="47"/>
      <c r="ACF40" s="47"/>
      <c r="ACG40" s="47"/>
      <c r="ACH40" s="47"/>
      <c r="ACI40" s="47"/>
      <c r="ACJ40" s="47"/>
      <c r="ACK40" s="47"/>
      <c r="ACL40" s="47"/>
      <c r="ACM40" s="47"/>
      <c r="ACN40" s="47"/>
      <c r="ACO40" s="47"/>
      <c r="ACP40" s="47"/>
      <c r="ACQ40" s="47"/>
      <c r="ACR40" s="47"/>
      <c r="ACS40" s="47"/>
      <c r="ACT40" s="47"/>
      <c r="ACU40" s="47"/>
      <c r="ACV40" s="47"/>
      <c r="ACW40" s="47"/>
      <c r="ACX40" s="47"/>
      <c r="ACY40" s="47"/>
      <c r="ACZ40" s="47"/>
      <c r="ADA40" s="47"/>
      <c r="ADB40" s="47"/>
      <c r="ADC40" s="47"/>
      <c r="ADD40" s="47"/>
      <c r="ADE40" s="47"/>
      <c r="ADF40" s="47"/>
      <c r="ADG40" s="47"/>
      <c r="ADH40" s="47"/>
      <c r="ADI40" s="47"/>
      <c r="ADJ40" s="47"/>
      <c r="ADK40" s="47"/>
      <c r="ADL40" s="47"/>
      <c r="ADM40" s="47"/>
      <c r="ADN40" s="47"/>
      <c r="ADO40" s="47"/>
      <c r="ADP40" s="47"/>
      <c r="ADQ40" s="47"/>
      <c r="ADR40" s="47"/>
      <c r="ADS40" s="47"/>
      <c r="ADT40" s="47"/>
      <c r="ADU40" s="47"/>
      <c r="ADV40" s="47"/>
      <c r="ADW40" s="47"/>
      <c r="ADX40" s="47"/>
      <c r="ADY40" s="47"/>
      <c r="ADZ40" s="47"/>
      <c r="AEA40" s="47"/>
      <c r="AEB40" s="47"/>
      <c r="AEC40" s="47"/>
      <c r="AED40" s="47"/>
      <c r="AEE40" s="47"/>
      <c r="AEF40" s="47"/>
      <c r="AEG40" s="47"/>
      <c r="AEH40" s="47"/>
      <c r="AEI40" s="47"/>
      <c r="AEJ40" s="47"/>
      <c r="AEK40" s="47"/>
      <c r="AEL40" s="47"/>
      <c r="AEM40" s="47"/>
      <c r="AEN40" s="47"/>
      <c r="AEO40" s="47"/>
      <c r="AEP40" s="47"/>
      <c r="AEQ40" s="47"/>
      <c r="AER40" s="47"/>
      <c r="AES40" s="47"/>
      <c r="AET40" s="47"/>
      <c r="AEU40" s="47"/>
      <c r="AEV40" s="47"/>
      <c r="AEW40" s="47"/>
      <c r="AEX40" s="47"/>
      <c r="AEY40" s="47"/>
      <c r="AEZ40" s="47"/>
      <c r="AFA40" s="47"/>
      <c r="AFB40" s="47"/>
      <c r="AFC40" s="47"/>
      <c r="AFD40" s="47"/>
      <c r="AFE40" s="47"/>
      <c r="AFF40" s="47"/>
      <c r="AFG40" s="47"/>
      <c r="AFH40" s="47"/>
      <c r="AFI40" s="47"/>
      <c r="AFJ40" s="47"/>
      <c r="AFK40" s="47"/>
      <c r="AFL40" s="47"/>
      <c r="AFM40" s="47"/>
      <c r="AFN40" s="47"/>
      <c r="AFO40" s="47"/>
      <c r="AFP40" s="47"/>
      <c r="AFQ40" s="47"/>
      <c r="AFR40" s="47"/>
      <c r="AFS40" s="47"/>
      <c r="AFT40" s="47"/>
      <c r="AFU40" s="47"/>
      <c r="AFV40" s="47"/>
      <c r="AFW40" s="47"/>
      <c r="AFX40" s="47"/>
      <c r="AFY40" s="47"/>
      <c r="AFZ40" s="47"/>
      <c r="AGA40" s="47"/>
      <c r="AGB40" s="47"/>
      <c r="AGC40" s="47"/>
      <c r="AGD40" s="47"/>
      <c r="AGE40" s="47"/>
      <c r="AGF40" s="47"/>
      <c r="AGG40" s="47"/>
      <c r="AGH40" s="47"/>
      <c r="AGI40" s="47"/>
      <c r="AGJ40" s="47"/>
      <c r="AGK40" s="47"/>
      <c r="AGL40" s="47"/>
      <c r="AGM40" s="47"/>
      <c r="AGN40" s="47"/>
      <c r="AGO40" s="47"/>
      <c r="AGP40" s="47"/>
      <c r="AGQ40" s="47"/>
      <c r="AGR40" s="47"/>
      <c r="AGS40" s="47"/>
      <c r="AGT40" s="47"/>
      <c r="AGU40" s="47"/>
      <c r="AGV40" s="47"/>
      <c r="AGW40" s="47"/>
      <c r="AGX40" s="47"/>
      <c r="AGY40" s="47"/>
      <c r="AGZ40" s="47"/>
      <c r="AHA40" s="47"/>
      <c r="AHB40" s="47"/>
      <c r="AHC40" s="47"/>
      <c r="AHD40" s="47"/>
      <c r="AHE40" s="47"/>
      <c r="AHF40" s="47"/>
      <c r="AHG40" s="47"/>
      <c r="AHH40" s="47"/>
      <c r="AHI40" s="47"/>
      <c r="AHJ40" s="47"/>
      <c r="AHK40" s="47"/>
      <c r="AHL40" s="47"/>
      <c r="AHM40" s="47"/>
      <c r="AHN40" s="47"/>
      <c r="AHO40" s="47"/>
      <c r="AHP40" s="47"/>
      <c r="AHQ40" s="47"/>
      <c r="AHR40" s="47"/>
      <c r="AHS40" s="47"/>
      <c r="AHT40" s="47"/>
      <c r="AHU40" s="47"/>
      <c r="AHV40" s="47"/>
      <c r="AHW40" s="47"/>
      <c r="AHX40" s="47"/>
      <c r="AHY40" s="47"/>
      <c r="AHZ40" s="47"/>
      <c r="AIA40" s="47"/>
      <c r="AIB40" s="47"/>
      <c r="AIC40" s="47"/>
      <c r="AID40" s="47"/>
      <c r="AIE40" s="47"/>
      <c r="AIF40" s="47"/>
      <c r="AIG40" s="47"/>
      <c r="AIH40" s="47"/>
      <c r="AII40" s="47"/>
      <c r="AIJ40" s="47"/>
      <c r="AIK40" s="47"/>
      <c r="AIL40" s="47"/>
      <c r="AIM40" s="47"/>
      <c r="AIN40" s="47"/>
      <c r="AIO40" s="47"/>
      <c r="AIP40" s="47"/>
      <c r="AIQ40" s="47"/>
      <c r="AIR40" s="47"/>
      <c r="AIS40" s="47"/>
      <c r="AIT40" s="47"/>
      <c r="AIU40" s="47"/>
      <c r="AIV40" s="47"/>
      <c r="AIW40" s="47"/>
      <c r="AIX40" s="47"/>
      <c r="AIY40" s="47"/>
      <c r="AIZ40" s="47"/>
      <c r="AJA40" s="47"/>
      <c r="AJB40" s="47"/>
      <c r="AJC40" s="47"/>
      <c r="AJD40" s="47"/>
      <c r="AJE40" s="47"/>
      <c r="AJF40" s="47"/>
      <c r="AJG40" s="47"/>
      <c r="AJH40" s="47"/>
      <c r="AJI40" s="47"/>
      <c r="AJJ40" s="47"/>
      <c r="AJK40" s="47"/>
      <c r="AJL40" s="47"/>
      <c r="AJM40" s="47"/>
      <c r="AJN40" s="47"/>
      <c r="AJO40" s="47"/>
      <c r="AJP40" s="47"/>
      <c r="AJQ40" s="47"/>
      <c r="AJR40" s="47"/>
      <c r="AJS40" s="47"/>
      <c r="AJT40" s="47"/>
      <c r="AJU40" s="47"/>
      <c r="AJV40" s="47"/>
      <c r="AJW40" s="47"/>
      <c r="AJX40" s="47"/>
      <c r="AJY40" s="47"/>
      <c r="AJZ40" s="47"/>
      <c r="AKA40" s="47"/>
      <c r="AKB40" s="47"/>
      <c r="AKC40" s="47"/>
      <c r="AKD40" s="47"/>
      <c r="AKE40" s="47"/>
      <c r="AKF40" s="47"/>
      <c r="AKG40" s="47"/>
      <c r="AKH40" s="47"/>
      <c r="AKI40" s="47"/>
      <c r="AKJ40" s="47"/>
      <c r="AKK40" s="47"/>
      <c r="AKL40" s="47"/>
      <c r="AKM40" s="47"/>
      <c r="AKN40" s="47"/>
      <c r="AKO40" s="47"/>
      <c r="AKP40" s="47"/>
      <c r="AKQ40" s="47"/>
      <c r="AKR40" s="47"/>
      <c r="AKS40" s="47"/>
      <c r="AKT40" s="47"/>
      <c r="AKU40" s="47"/>
      <c r="AKV40" s="47"/>
      <c r="AKW40" s="47"/>
      <c r="AKX40" s="47"/>
      <c r="AKY40" s="47"/>
      <c r="AKZ40" s="47"/>
      <c r="ALA40" s="47"/>
      <c r="ALB40" s="47"/>
      <c r="ALC40" s="47"/>
      <c r="ALD40" s="47"/>
      <c r="ALE40" s="47"/>
      <c r="ALF40" s="47"/>
      <c r="ALG40" s="47"/>
      <c r="ALH40" s="47"/>
      <c r="ALI40" s="47"/>
      <c r="ALJ40" s="47"/>
      <c r="ALK40" s="47"/>
      <c r="ALL40" s="47"/>
      <c r="ALM40" s="47"/>
      <c r="ALN40" s="47"/>
      <c r="ALO40" s="47"/>
      <c r="ALP40" s="47"/>
      <c r="ALQ40" s="47"/>
      <c r="ALR40" s="47"/>
      <c r="ALS40" s="47"/>
      <c r="ALT40" s="47"/>
      <c r="ALU40" s="47"/>
      <c r="ALV40" s="47"/>
      <c r="ALW40" s="47"/>
      <c r="ALX40" s="47"/>
      <c r="ALY40" s="47"/>
      <c r="ALZ40" s="47"/>
      <c r="AMA40" s="47"/>
      <c r="AMB40" s="47"/>
      <c r="AMC40" s="47"/>
      <c r="AMD40" s="47"/>
      <c r="AME40" s="47"/>
      <c r="AMF40" s="47"/>
      <c r="AMG40" s="47"/>
      <c r="AMH40" s="47"/>
      <c r="AMI40" s="47"/>
      <c r="AMJ40" s="47"/>
      <c r="AMK40" s="47"/>
      <c r="AML40" s="47"/>
      <c r="AMM40" s="47"/>
      <c r="AMN40" s="47"/>
      <c r="AMO40" s="47"/>
      <c r="AMP40" s="47"/>
      <c r="AMQ40" s="47"/>
      <c r="AMR40" s="47"/>
      <c r="AMS40" s="47"/>
      <c r="AMT40" s="47"/>
      <c r="AMU40" s="47"/>
      <c r="AMV40" s="47"/>
      <c r="AMW40" s="47"/>
      <c r="AMX40" s="47"/>
      <c r="AMY40" s="47"/>
      <c r="AMZ40" s="47"/>
      <c r="ANA40" s="47"/>
      <c r="ANB40" s="47"/>
      <c r="ANC40" s="47"/>
      <c r="AND40" s="47"/>
      <c r="ANE40" s="47"/>
      <c r="ANF40" s="47"/>
      <c r="ANG40" s="47"/>
      <c r="ANH40" s="47"/>
      <c r="ANI40" s="47"/>
      <c r="ANJ40" s="47"/>
      <c r="ANK40" s="47"/>
      <c r="ANL40" s="47"/>
      <c r="ANM40" s="47"/>
      <c r="ANN40" s="47"/>
      <c r="ANO40" s="47"/>
      <c r="ANP40" s="47"/>
      <c r="ANQ40" s="47"/>
      <c r="ANR40" s="47"/>
      <c r="ANS40" s="47"/>
      <c r="ANT40" s="47"/>
      <c r="ANU40" s="47"/>
      <c r="ANV40" s="47"/>
      <c r="ANW40" s="47"/>
      <c r="ANX40" s="47"/>
      <c r="ANY40" s="47"/>
      <c r="ANZ40" s="47"/>
      <c r="AOA40" s="47"/>
      <c r="AOB40" s="47"/>
      <c r="AOC40" s="47"/>
      <c r="AOD40" s="47"/>
      <c r="AOE40" s="47"/>
      <c r="AOF40" s="47"/>
      <c r="AOG40" s="47"/>
      <c r="AOH40" s="47"/>
      <c r="AOI40" s="47"/>
      <c r="AOJ40" s="47"/>
      <c r="AOK40" s="47"/>
      <c r="AOL40" s="47"/>
      <c r="AOM40" s="47"/>
      <c r="AON40" s="47"/>
      <c r="AOO40" s="47"/>
      <c r="AOP40" s="47"/>
      <c r="AOQ40" s="47"/>
      <c r="AOR40" s="47"/>
      <c r="AOS40" s="47"/>
      <c r="AOT40" s="47"/>
      <c r="AOU40" s="47"/>
      <c r="AOV40" s="47"/>
      <c r="AOW40" s="47"/>
      <c r="AOX40" s="47"/>
      <c r="AOY40" s="47"/>
      <c r="AOZ40" s="47"/>
      <c r="APA40" s="47"/>
      <c r="APB40" s="47"/>
      <c r="APC40" s="47"/>
      <c r="APD40" s="47"/>
      <c r="APE40" s="47"/>
      <c r="APF40" s="47"/>
      <c r="APG40" s="47"/>
      <c r="APH40" s="47"/>
      <c r="API40" s="47"/>
      <c r="APJ40" s="47"/>
      <c r="APK40" s="47"/>
      <c r="APL40" s="47"/>
      <c r="APM40" s="47"/>
      <c r="APN40" s="47"/>
      <c r="APO40" s="47"/>
      <c r="APP40" s="47"/>
      <c r="APQ40" s="47"/>
      <c r="APR40" s="47"/>
      <c r="APS40" s="47"/>
      <c r="APT40" s="47"/>
      <c r="APU40" s="47"/>
      <c r="APV40" s="47"/>
      <c r="APW40" s="47"/>
      <c r="APX40" s="47"/>
      <c r="APY40" s="47"/>
      <c r="APZ40" s="47"/>
      <c r="AQA40" s="47"/>
      <c r="AQB40" s="47"/>
      <c r="AQC40" s="47"/>
      <c r="AQD40" s="47"/>
      <c r="AQE40" s="47"/>
      <c r="AQF40" s="47"/>
      <c r="AQG40" s="47"/>
      <c r="AQH40" s="47"/>
      <c r="AQI40" s="47"/>
      <c r="AQJ40" s="47"/>
      <c r="AQK40" s="47"/>
      <c r="AQL40" s="47"/>
      <c r="AQM40" s="47"/>
      <c r="AQN40" s="47"/>
      <c r="AQO40" s="47"/>
      <c r="AQP40" s="47"/>
      <c r="AQQ40" s="47"/>
      <c r="AQR40" s="47"/>
      <c r="AQS40" s="47"/>
      <c r="AQT40" s="47"/>
      <c r="AQU40" s="47"/>
      <c r="AQV40" s="47"/>
      <c r="AQW40" s="47"/>
      <c r="AQX40" s="47"/>
      <c r="AQY40" s="47"/>
      <c r="AQZ40" s="47"/>
      <c r="ARA40" s="47"/>
      <c r="ARB40" s="47"/>
      <c r="ARC40" s="47"/>
      <c r="ARD40" s="47"/>
      <c r="ARE40" s="47"/>
      <c r="ARF40" s="47"/>
      <c r="ARG40" s="47"/>
      <c r="ARH40" s="47"/>
      <c r="ARI40" s="47"/>
      <c r="ARJ40" s="47"/>
      <c r="ARK40" s="47"/>
      <c r="ARL40" s="47"/>
      <c r="ARM40" s="47"/>
      <c r="ARN40" s="47"/>
      <c r="ARO40" s="47"/>
      <c r="ARP40" s="47"/>
      <c r="ARQ40" s="47"/>
      <c r="ARR40" s="47"/>
      <c r="ARS40" s="47"/>
      <c r="ART40" s="47"/>
      <c r="ARU40" s="47"/>
      <c r="ARV40" s="47"/>
      <c r="ARW40" s="47"/>
      <c r="ARX40" s="47"/>
      <c r="ARY40" s="47"/>
      <c r="ARZ40" s="47"/>
      <c r="ASA40" s="47"/>
      <c r="ASB40" s="47"/>
      <c r="ASC40" s="47"/>
      <c r="ASD40" s="47"/>
      <c r="ASE40" s="47"/>
      <c r="ASF40" s="47"/>
      <c r="ASG40" s="47"/>
      <c r="ASH40" s="47"/>
      <c r="ASI40" s="47"/>
      <c r="ASJ40" s="47"/>
      <c r="ASK40" s="47"/>
      <c r="ASL40" s="47"/>
      <c r="ASM40" s="47"/>
      <c r="ASN40" s="47"/>
      <c r="ASO40" s="47"/>
      <c r="ASP40" s="47"/>
      <c r="ASQ40" s="47"/>
      <c r="ASR40" s="47"/>
      <c r="ASS40" s="47"/>
      <c r="AST40" s="47"/>
      <c r="ASU40" s="47"/>
      <c r="ASV40" s="47"/>
      <c r="ASW40" s="47"/>
      <c r="ASX40" s="47"/>
      <c r="ASY40" s="47"/>
      <c r="ASZ40" s="47"/>
      <c r="ATA40" s="47"/>
      <c r="ATB40" s="47"/>
      <c r="ATC40" s="47"/>
      <c r="ATD40" s="47"/>
      <c r="ATE40" s="47"/>
      <c r="ATF40" s="47"/>
      <c r="ATG40" s="47"/>
      <c r="ATH40" s="47"/>
      <c r="ATI40" s="47"/>
      <c r="ATJ40" s="47"/>
      <c r="ATK40" s="47"/>
      <c r="ATL40" s="47"/>
      <c r="ATM40" s="47"/>
      <c r="ATN40" s="47"/>
      <c r="ATO40" s="47"/>
      <c r="ATP40" s="47"/>
      <c r="ATQ40" s="47"/>
      <c r="ATR40" s="47"/>
      <c r="ATS40" s="47"/>
      <c r="ATT40" s="47"/>
      <c r="ATU40" s="47"/>
      <c r="ATV40" s="47"/>
      <c r="ATW40" s="47"/>
      <c r="ATX40" s="47"/>
      <c r="ATY40" s="47"/>
      <c r="ATZ40" s="47"/>
      <c r="AUA40" s="47"/>
      <c r="AUB40" s="47"/>
      <c r="AUC40" s="47"/>
      <c r="AUD40" s="47"/>
      <c r="AUE40" s="47"/>
      <c r="AUF40" s="47"/>
      <c r="AUG40" s="47"/>
      <c r="AUH40" s="47"/>
      <c r="AUI40" s="47"/>
      <c r="AUJ40" s="47"/>
      <c r="AUK40" s="47"/>
      <c r="AUL40" s="47"/>
      <c r="AUM40" s="47"/>
      <c r="AUN40" s="47"/>
      <c r="AUO40" s="47"/>
      <c r="AUP40" s="47"/>
      <c r="AUQ40" s="47"/>
      <c r="AUR40" s="47"/>
      <c r="AUS40" s="47"/>
      <c r="AUT40" s="47"/>
      <c r="AUU40" s="47"/>
      <c r="AUV40" s="47"/>
      <c r="AUW40" s="47"/>
      <c r="AUX40" s="47"/>
      <c r="AUY40" s="47"/>
      <c r="AUZ40" s="47"/>
      <c r="AVA40" s="47"/>
      <c r="AVB40" s="47"/>
      <c r="AVC40" s="47"/>
      <c r="AVD40" s="47"/>
      <c r="AVE40" s="47"/>
      <c r="AVF40" s="47"/>
      <c r="AVG40" s="47"/>
      <c r="AVH40" s="47"/>
      <c r="AVI40" s="47"/>
      <c r="AVJ40" s="47"/>
      <c r="AVK40" s="47"/>
      <c r="AVL40" s="47"/>
      <c r="AVM40" s="47"/>
      <c r="AVN40" s="47"/>
      <c r="AVO40" s="47"/>
      <c r="AVP40" s="47"/>
      <c r="AVQ40" s="47"/>
      <c r="AVR40" s="47"/>
      <c r="AVS40" s="47"/>
      <c r="AVT40" s="47"/>
      <c r="AVU40" s="47"/>
      <c r="AVV40" s="47"/>
      <c r="AVW40" s="47"/>
      <c r="AVX40" s="47"/>
      <c r="AVY40" s="47"/>
      <c r="AVZ40" s="47"/>
      <c r="AWA40" s="47"/>
      <c r="AWB40" s="47"/>
      <c r="AWC40" s="47"/>
      <c r="AWD40" s="47"/>
      <c r="AWE40" s="47"/>
      <c r="AWF40" s="47"/>
      <c r="AWG40" s="47"/>
      <c r="AWH40" s="47"/>
      <c r="AWI40" s="47"/>
      <c r="AWJ40" s="47"/>
      <c r="AWK40" s="47"/>
      <c r="AWL40" s="47"/>
      <c r="AWM40" s="47"/>
      <c r="AWN40" s="47"/>
      <c r="AWO40" s="47"/>
      <c r="AWP40" s="47"/>
      <c r="AWQ40" s="47"/>
      <c r="AWR40" s="47"/>
      <c r="AWS40" s="47"/>
      <c r="AWT40" s="47"/>
      <c r="AWU40" s="47"/>
      <c r="AWV40" s="47"/>
      <c r="AWW40" s="47"/>
      <c r="AWX40" s="47"/>
      <c r="AWY40" s="47"/>
      <c r="AWZ40" s="47"/>
      <c r="AXA40" s="47"/>
      <c r="AXB40" s="47"/>
      <c r="AXC40" s="47"/>
      <c r="AXD40" s="47"/>
      <c r="AXE40" s="47"/>
      <c r="AXF40" s="47"/>
      <c r="AXG40" s="47"/>
      <c r="AXH40" s="47"/>
      <c r="AXI40" s="47"/>
      <c r="AXJ40" s="47"/>
      <c r="AXK40" s="47"/>
      <c r="AXL40" s="47"/>
      <c r="AXM40" s="47"/>
      <c r="AXN40" s="47"/>
      <c r="AXO40" s="47"/>
      <c r="AXP40" s="47"/>
      <c r="AXQ40" s="47"/>
      <c r="AXR40" s="47"/>
      <c r="AXS40" s="47"/>
      <c r="AXT40" s="47"/>
      <c r="AXU40" s="47"/>
      <c r="AXV40" s="47"/>
      <c r="AXW40" s="47"/>
      <c r="AXX40" s="47"/>
      <c r="AXY40" s="47"/>
      <c r="AXZ40" s="47"/>
      <c r="AYA40" s="47"/>
      <c r="AYB40" s="47"/>
      <c r="AYC40" s="47"/>
      <c r="AYD40" s="47"/>
      <c r="AYE40" s="47"/>
      <c r="AYF40" s="47"/>
      <c r="AYG40" s="47"/>
      <c r="AYH40" s="47"/>
      <c r="AYI40" s="47"/>
      <c r="AYJ40" s="47"/>
      <c r="AYK40" s="47"/>
      <c r="AYL40" s="47"/>
      <c r="AYM40" s="47"/>
      <c r="AYN40" s="47"/>
      <c r="AYO40" s="47"/>
      <c r="AYP40" s="47"/>
      <c r="AYQ40" s="47"/>
      <c r="AYR40" s="47"/>
      <c r="AYS40" s="47"/>
      <c r="AYT40" s="47"/>
      <c r="AYU40" s="47"/>
      <c r="AYV40" s="47"/>
      <c r="AYW40" s="47"/>
      <c r="AYX40" s="47"/>
      <c r="AYY40" s="47"/>
      <c r="AYZ40" s="47"/>
      <c r="AZA40" s="47"/>
      <c r="AZB40" s="47"/>
      <c r="AZC40" s="47"/>
      <c r="AZD40" s="47"/>
      <c r="AZE40" s="47"/>
      <c r="AZF40" s="47"/>
      <c r="AZG40" s="47"/>
      <c r="AZH40" s="47"/>
      <c r="AZI40" s="47"/>
      <c r="AZJ40" s="47"/>
      <c r="AZK40" s="47"/>
      <c r="AZL40" s="47"/>
      <c r="AZM40" s="47"/>
      <c r="AZN40" s="47"/>
      <c r="AZO40" s="47"/>
      <c r="AZP40" s="47"/>
      <c r="AZQ40" s="47"/>
      <c r="AZR40" s="47"/>
      <c r="AZS40" s="47"/>
      <c r="AZT40" s="47"/>
      <c r="AZU40" s="47"/>
      <c r="AZV40" s="47"/>
      <c r="AZW40" s="47"/>
      <c r="AZX40" s="47"/>
      <c r="AZY40" s="47"/>
      <c r="AZZ40" s="47"/>
      <c r="BAA40" s="47"/>
      <c r="BAB40" s="47"/>
      <c r="BAC40" s="47"/>
      <c r="BAD40" s="47"/>
      <c r="BAE40" s="47"/>
      <c r="BAF40" s="47"/>
      <c r="BAG40" s="47"/>
      <c r="BAH40" s="47"/>
      <c r="BAI40" s="47"/>
      <c r="BAJ40" s="47"/>
      <c r="BAK40" s="47"/>
      <c r="BAL40" s="47"/>
      <c r="BAM40" s="47"/>
      <c r="BAN40" s="47"/>
      <c r="BAO40" s="47"/>
      <c r="BAP40" s="47"/>
      <c r="BAQ40" s="47"/>
      <c r="BAR40" s="47"/>
      <c r="BAS40" s="47"/>
      <c r="BAT40" s="47"/>
      <c r="BAU40" s="47"/>
      <c r="BAV40" s="47"/>
      <c r="BAW40" s="47"/>
      <c r="BAX40" s="47"/>
      <c r="BAY40" s="47"/>
      <c r="BAZ40" s="47"/>
      <c r="BBA40" s="47"/>
      <c r="BBB40" s="47"/>
      <c r="BBC40" s="47"/>
      <c r="BBD40" s="47"/>
      <c r="BBE40" s="47"/>
      <c r="BBF40" s="47"/>
      <c r="BBG40" s="47"/>
      <c r="BBH40" s="47"/>
      <c r="BBI40" s="47"/>
      <c r="BBJ40" s="47"/>
      <c r="BBK40" s="47"/>
      <c r="BBL40" s="47"/>
      <c r="BBM40" s="47"/>
      <c r="BBN40" s="47"/>
      <c r="BBO40" s="47"/>
      <c r="BBP40" s="47"/>
      <c r="BBQ40" s="47"/>
      <c r="BBR40" s="47"/>
      <c r="BBS40" s="47"/>
      <c r="BBT40" s="47"/>
      <c r="BBU40" s="47"/>
      <c r="BBV40" s="47"/>
      <c r="BBW40" s="47"/>
      <c r="BBX40" s="47"/>
      <c r="BBY40" s="47"/>
      <c r="BBZ40" s="47"/>
      <c r="BCA40" s="47"/>
      <c r="BCB40" s="47"/>
      <c r="BCC40" s="47"/>
      <c r="BCD40" s="47"/>
      <c r="BCE40" s="47"/>
      <c r="BCF40" s="47"/>
      <c r="BCG40" s="47"/>
      <c r="BCH40" s="47"/>
      <c r="BCI40" s="47"/>
      <c r="BCJ40" s="47"/>
      <c r="BCK40" s="47"/>
      <c r="BCL40" s="47"/>
      <c r="BCM40" s="47"/>
      <c r="BCN40" s="47"/>
      <c r="BCO40" s="47"/>
      <c r="BCP40" s="47"/>
      <c r="BCQ40" s="47"/>
      <c r="BCR40" s="47"/>
      <c r="BCS40" s="47"/>
      <c r="BCT40" s="47"/>
      <c r="BCU40" s="47"/>
      <c r="BCV40" s="47"/>
      <c r="BCW40" s="47"/>
      <c r="BCX40" s="47"/>
      <c r="BCY40" s="47"/>
      <c r="BCZ40" s="47"/>
      <c r="BDA40" s="47"/>
      <c r="BDB40" s="47"/>
      <c r="BDC40" s="47"/>
      <c r="BDD40" s="47"/>
      <c r="BDE40" s="47"/>
      <c r="BDF40" s="47"/>
      <c r="BDG40" s="47"/>
      <c r="BDH40" s="47"/>
      <c r="BDI40" s="47"/>
      <c r="BDJ40" s="47"/>
      <c r="BDK40" s="47"/>
      <c r="BDL40" s="47"/>
      <c r="BDM40" s="47"/>
      <c r="BDN40" s="47"/>
      <c r="BDO40" s="47"/>
      <c r="BDP40" s="47"/>
      <c r="BDQ40" s="47"/>
      <c r="BDR40" s="47"/>
      <c r="BDS40" s="47"/>
      <c r="BDT40" s="47"/>
      <c r="BDU40" s="47"/>
      <c r="BDV40" s="47"/>
      <c r="BDW40" s="47"/>
      <c r="BDX40" s="47"/>
      <c r="BDY40" s="47"/>
      <c r="BDZ40" s="47"/>
      <c r="BEA40" s="47"/>
      <c r="BEB40" s="47"/>
      <c r="BEC40" s="47"/>
      <c r="BED40" s="47"/>
      <c r="BEE40" s="47"/>
      <c r="BEF40" s="47"/>
      <c r="BEG40" s="47"/>
      <c r="BEH40" s="47"/>
      <c r="BEI40" s="47"/>
      <c r="BEJ40" s="47"/>
      <c r="BEK40" s="47"/>
      <c r="BEL40" s="47"/>
      <c r="BEM40" s="47"/>
      <c r="BEN40" s="47"/>
      <c r="BEO40" s="47"/>
      <c r="BEP40" s="47"/>
      <c r="BEQ40" s="47"/>
      <c r="BER40" s="47"/>
      <c r="BES40" s="47"/>
      <c r="BET40" s="47"/>
      <c r="BEU40" s="47"/>
      <c r="BEV40" s="47"/>
      <c r="BEW40" s="47"/>
      <c r="BEX40" s="47"/>
      <c r="BEY40" s="47"/>
      <c r="BEZ40" s="47"/>
      <c r="BFA40" s="47"/>
      <c r="BFB40" s="47"/>
      <c r="BFC40" s="47"/>
      <c r="BFD40" s="47"/>
      <c r="BFE40" s="47"/>
      <c r="BFF40" s="47"/>
      <c r="BFG40" s="47"/>
      <c r="BFH40" s="47"/>
      <c r="BFI40" s="47"/>
      <c r="BFJ40" s="47"/>
      <c r="BFK40" s="47"/>
      <c r="BFL40" s="47"/>
      <c r="BFM40" s="47"/>
      <c r="BFN40" s="47"/>
      <c r="BFO40" s="47"/>
      <c r="BFP40" s="47"/>
      <c r="BFQ40" s="47"/>
      <c r="BFR40" s="47"/>
      <c r="BFS40" s="47"/>
      <c r="BFT40" s="47"/>
      <c r="BFU40" s="47"/>
      <c r="BFV40" s="47"/>
      <c r="BFW40" s="47"/>
      <c r="BFX40" s="47"/>
      <c r="BFY40" s="47"/>
      <c r="BFZ40" s="47"/>
      <c r="BGA40" s="47"/>
      <c r="BGB40" s="47"/>
      <c r="BGC40" s="47"/>
      <c r="BGD40" s="47"/>
      <c r="BGE40" s="47"/>
      <c r="BGF40" s="47"/>
      <c r="BGG40" s="47"/>
      <c r="BGH40" s="47"/>
      <c r="BGI40" s="47"/>
      <c r="BGJ40" s="47"/>
      <c r="BGK40" s="47"/>
      <c r="BGL40" s="47"/>
      <c r="BGM40" s="47"/>
      <c r="BGN40" s="47"/>
      <c r="BGO40" s="47"/>
      <c r="BGP40" s="47"/>
      <c r="BGQ40" s="47"/>
      <c r="BGR40" s="47"/>
      <c r="BGS40" s="47"/>
      <c r="BGT40" s="47"/>
      <c r="BGU40" s="47"/>
      <c r="BGV40" s="47"/>
      <c r="BGW40" s="47"/>
      <c r="BGX40" s="47"/>
      <c r="BGY40" s="47"/>
      <c r="BGZ40" s="47"/>
      <c r="BHA40" s="47"/>
      <c r="BHB40" s="47"/>
      <c r="BHC40" s="47"/>
      <c r="BHD40" s="47"/>
      <c r="BHE40" s="47"/>
      <c r="BHF40" s="47"/>
      <c r="BHG40" s="47"/>
      <c r="BHH40" s="47"/>
      <c r="BHI40" s="47"/>
      <c r="BHJ40" s="47"/>
      <c r="BHK40" s="47"/>
      <c r="BHL40" s="47"/>
      <c r="BHM40" s="47"/>
      <c r="BHN40" s="47"/>
      <c r="BHO40" s="47"/>
      <c r="BHP40" s="47"/>
      <c r="BHQ40" s="47"/>
      <c r="BHR40" s="47"/>
      <c r="BHS40" s="47"/>
      <c r="BHT40" s="47"/>
      <c r="BHU40" s="47"/>
      <c r="BHV40" s="47"/>
      <c r="BHW40" s="47"/>
      <c r="BHX40" s="47"/>
      <c r="BHY40" s="47"/>
      <c r="BHZ40" s="47"/>
      <c r="BIA40" s="47"/>
      <c r="BIB40" s="47"/>
      <c r="BIC40" s="47"/>
      <c r="BID40" s="47"/>
      <c r="BIE40" s="47"/>
      <c r="BIF40" s="47"/>
      <c r="BIG40" s="47"/>
      <c r="BIH40" s="47"/>
      <c r="BII40" s="47"/>
      <c r="BIJ40" s="47"/>
      <c r="BIK40" s="47"/>
      <c r="BIL40" s="47"/>
      <c r="BIM40" s="47"/>
      <c r="BIN40" s="47"/>
      <c r="BIO40" s="47"/>
      <c r="BIP40" s="47"/>
      <c r="BIQ40" s="47"/>
      <c r="BIR40" s="47"/>
      <c r="BIS40" s="47"/>
      <c r="BIT40" s="47"/>
      <c r="BIU40" s="47"/>
      <c r="BIV40" s="47"/>
      <c r="BIW40" s="47"/>
      <c r="BIX40" s="47"/>
      <c r="BIY40" s="47"/>
      <c r="BIZ40" s="47"/>
      <c r="BJA40" s="47"/>
      <c r="BJB40" s="47"/>
      <c r="BJC40" s="47"/>
      <c r="BJD40" s="47"/>
      <c r="BJE40" s="47"/>
      <c r="BJF40" s="47"/>
      <c r="BJG40" s="47"/>
      <c r="BJH40" s="47"/>
      <c r="BJI40" s="47"/>
      <c r="BJJ40" s="47"/>
      <c r="BJK40" s="47"/>
      <c r="BJL40" s="47"/>
      <c r="BJM40" s="47"/>
      <c r="BJN40" s="47"/>
      <c r="BJO40" s="47"/>
      <c r="BJP40" s="47"/>
      <c r="BJQ40" s="47"/>
      <c r="BJR40" s="47"/>
      <c r="BJS40" s="47"/>
      <c r="BJT40" s="47"/>
      <c r="BJU40" s="47"/>
      <c r="BJV40" s="47"/>
      <c r="BJW40" s="47"/>
      <c r="BJX40" s="47"/>
      <c r="BJY40" s="47"/>
      <c r="BJZ40" s="47"/>
      <c r="BKA40" s="47"/>
      <c r="BKB40" s="47"/>
      <c r="BKC40" s="47"/>
      <c r="BKD40" s="47"/>
      <c r="BKE40" s="47"/>
      <c r="BKF40" s="47"/>
      <c r="BKG40" s="47"/>
      <c r="BKH40" s="47"/>
      <c r="BKI40" s="47"/>
      <c r="BKJ40" s="47"/>
      <c r="BKK40" s="47"/>
      <c r="BKL40" s="47"/>
      <c r="BKM40" s="47"/>
      <c r="BKN40" s="47"/>
      <c r="BKO40" s="47"/>
      <c r="BKP40" s="47"/>
      <c r="BKQ40" s="47"/>
      <c r="BKR40" s="47"/>
      <c r="BKS40" s="47"/>
      <c r="BKT40" s="47"/>
      <c r="BKU40" s="47"/>
      <c r="BKV40" s="47"/>
      <c r="BKW40" s="47"/>
      <c r="BKX40" s="47"/>
      <c r="BKY40" s="47"/>
      <c r="BKZ40" s="47"/>
      <c r="BLA40" s="47"/>
      <c r="BLB40" s="47"/>
      <c r="BLC40" s="47"/>
      <c r="BLD40" s="47"/>
      <c r="BLE40" s="47"/>
      <c r="BLF40" s="47"/>
      <c r="BLG40" s="47"/>
      <c r="BLH40" s="47"/>
      <c r="BLI40" s="47"/>
      <c r="BLJ40" s="47"/>
      <c r="BLK40" s="47"/>
      <c r="BLL40" s="47"/>
      <c r="BLM40" s="47"/>
      <c r="BLN40" s="47"/>
      <c r="BLO40" s="47"/>
      <c r="BLP40" s="47"/>
      <c r="BLQ40" s="47"/>
      <c r="BLR40" s="47"/>
      <c r="BLS40" s="47"/>
      <c r="BLT40" s="47"/>
      <c r="BLU40" s="47"/>
      <c r="BLV40" s="47"/>
      <c r="BLW40" s="47"/>
      <c r="BLX40" s="47"/>
      <c r="BLY40" s="47"/>
      <c r="BLZ40" s="47"/>
      <c r="BMA40" s="47"/>
      <c r="BMB40" s="47"/>
      <c r="BMC40" s="47"/>
      <c r="BMD40" s="47"/>
      <c r="BME40" s="47"/>
      <c r="BMF40" s="47"/>
      <c r="BMG40" s="47"/>
      <c r="BMH40" s="47"/>
      <c r="BMI40" s="47"/>
      <c r="BMJ40" s="47"/>
      <c r="BMK40" s="47"/>
      <c r="BML40" s="47"/>
      <c r="BMM40" s="47"/>
      <c r="BMN40" s="47"/>
      <c r="BMO40" s="47"/>
      <c r="BMP40" s="47"/>
      <c r="BMQ40" s="47"/>
      <c r="BMR40" s="47"/>
      <c r="BMS40" s="47"/>
      <c r="BMT40" s="47"/>
      <c r="BMU40" s="47"/>
      <c r="BMV40" s="47"/>
      <c r="BMW40" s="47"/>
      <c r="BMX40" s="47"/>
      <c r="BMY40" s="47"/>
      <c r="BMZ40" s="47"/>
      <c r="BNA40" s="47"/>
      <c r="BNB40" s="47"/>
      <c r="BNC40" s="47"/>
      <c r="BND40" s="47"/>
      <c r="BNE40" s="47"/>
      <c r="BNF40" s="47"/>
      <c r="BNG40" s="47"/>
      <c r="BNH40" s="47"/>
      <c r="BNI40" s="47"/>
      <c r="BNJ40" s="47"/>
      <c r="BNK40" s="47"/>
      <c r="BNL40" s="47"/>
      <c r="BNM40" s="47"/>
      <c r="BNN40" s="47"/>
      <c r="BNO40" s="47"/>
      <c r="BNP40" s="47"/>
      <c r="BNQ40" s="47"/>
      <c r="BNR40" s="47"/>
      <c r="BNS40" s="47"/>
      <c r="BNT40" s="47"/>
      <c r="BNU40" s="47"/>
      <c r="BNV40" s="47"/>
      <c r="BNW40" s="47"/>
      <c r="BNX40" s="47"/>
      <c r="BNY40" s="47"/>
      <c r="BNZ40" s="47"/>
      <c r="BOA40" s="47"/>
      <c r="BOB40" s="47"/>
      <c r="BOC40" s="47"/>
      <c r="BOD40" s="47"/>
      <c r="BOE40" s="47"/>
      <c r="BOF40" s="47"/>
      <c r="BOG40" s="47"/>
      <c r="BOH40" s="47"/>
      <c r="BOI40" s="47"/>
      <c r="BOJ40" s="47"/>
      <c r="BOK40" s="47"/>
      <c r="BOL40" s="47"/>
      <c r="BOM40" s="47"/>
      <c r="BON40" s="47"/>
      <c r="BOO40" s="47"/>
      <c r="BOP40" s="47"/>
      <c r="BOQ40" s="47"/>
      <c r="BOR40" s="47"/>
      <c r="BOS40" s="47"/>
      <c r="BOT40" s="47"/>
      <c r="BOU40" s="47"/>
      <c r="BOV40" s="47"/>
      <c r="BOW40" s="47"/>
      <c r="BOX40" s="47"/>
      <c r="BOY40" s="47"/>
      <c r="BOZ40" s="47"/>
      <c r="BPA40" s="47"/>
      <c r="BPB40" s="47"/>
      <c r="BPC40" s="47"/>
      <c r="BPD40" s="47"/>
      <c r="BPE40" s="47"/>
      <c r="BPF40" s="47"/>
      <c r="BPG40" s="47"/>
      <c r="BPH40" s="47"/>
      <c r="BPI40" s="47"/>
      <c r="BPJ40" s="47"/>
      <c r="BPK40" s="47"/>
      <c r="BPL40" s="47"/>
      <c r="BPM40" s="47"/>
      <c r="BPN40" s="47"/>
      <c r="BPO40" s="47"/>
      <c r="BPP40" s="47"/>
      <c r="BPQ40" s="47"/>
      <c r="BPR40" s="47"/>
      <c r="BPS40" s="47"/>
      <c r="BPT40" s="47"/>
      <c r="BPU40" s="47"/>
      <c r="BPV40" s="47"/>
      <c r="BPW40" s="47"/>
      <c r="BPX40" s="47"/>
      <c r="BPY40" s="47"/>
      <c r="BPZ40" s="47"/>
      <c r="BQA40" s="47"/>
      <c r="BQB40" s="47"/>
      <c r="BQC40" s="47"/>
      <c r="BQD40" s="47"/>
      <c r="BQE40" s="47"/>
      <c r="BQF40" s="47"/>
      <c r="BQG40" s="47"/>
      <c r="BQH40" s="47"/>
      <c r="BQI40" s="47"/>
      <c r="BQJ40" s="47"/>
      <c r="BQK40" s="47"/>
      <c r="BQL40" s="47"/>
      <c r="BQM40" s="47"/>
      <c r="BQN40" s="47"/>
      <c r="BQO40" s="47"/>
      <c r="BQP40" s="47"/>
      <c r="BQQ40" s="47"/>
      <c r="BQR40" s="47"/>
      <c r="BQS40" s="47"/>
      <c r="BQT40" s="47"/>
      <c r="BQU40" s="47"/>
      <c r="BQV40" s="47"/>
      <c r="BQW40" s="47"/>
      <c r="BQX40" s="47"/>
      <c r="BQY40" s="47"/>
      <c r="BQZ40" s="47"/>
      <c r="BRA40" s="47"/>
      <c r="BRB40" s="47"/>
      <c r="BRC40" s="47"/>
      <c r="BRD40" s="47"/>
      <c r="BRE40" s="47"/>
      <c r="BRF40" s="47"/>
      <c r="BRG40" s="47"/>
      <c r="BRH40" s="47"/>
      <c r="BRI40" s="47"/>
      <c r="BRJ40" s="47"/>
      <c r="BRK40" s="47"/>
      <c r="BRL40" s="47"/>
      <c r="BRM40" s="47"/>
      <c r="BRN40" s="47"/>
      <c r="BRO40" s="47"/>
      <c r="BRP40" s="47"/>
      <c r="BRQ40" s="47"/>
      <c r="BRR40" s="47"/>
      <c r="BRS40" s="47"/>
      <c r="BRT40" s="47"/>
      <c r="BRU40" s="47"/>
      <c r="BRV40" s="47"/>
      <c r="BRW40" s="47"/>
      <c r="BRX40" s="47"/>
      <c r="BRY40" s="47"/>
      <c r="BRZ40" s="47"/>
      <c r="BSA40" s="47"/>
      <c r="BSB40" s="47"/>
      <c r="BSC40" s="47"/>
      <c r="BSD40" s="47"/>
      <c r="BSE40" s="47"/>
      <c r="BSF40" s="47"/>
      <c r="BSG40" s="47"/>
      <c r="BSH40" s="47"/>
      <c r="BSI40" s="47"/>
      <c r="BSJ40" s="47"/>
      <c r="BSK40" s="47"/>
      <c r="BSL40" s="47"/>
      <c r="BSM40" s="47"/>
      <c r="BSN40" s="47"/>
      <c r="BSO40" s="47"/>
      <c r="BSP40" s="47"/>
      <c r="BSQ40" s="47"/>
      <c r="BSR40" s="47"/>
      <c r="BSS40" s="47"/>
      <c r="BST40" s="47"/>
      <c r="BSU40" s="47"/>
      <c r="BSV40" s="47"/>
      <c r="BSW40" s="47"/>
      <c r="BSX40" s="47"/>
      <c r="BSY40" s="47"/>
      <c r="BSZ40" s="47"/>
      <c r="BTA40" s="47"/>
      <c r="BTB40" s="47"/>
      <c r="BTC40" s="47"/>
      <c r="BTD40" s="47"/>
      <c r="BTE40" s="47"/>
      <c r="BTF40" s="47"/>
      <c r="BTG40" s="47"/>
      <c r="BTH40" s="47"/>
      <c r="BTI40" s="47"/>
      <c r="BTJ40" s="47"/>
      <c r="BTK40" s="47"/>
      <c r="BTL40" s="47"/>
      <c r="BTM40" s="47"/>
      <c r="BTN40" s="47"/>
      <c r="BTO40" s="47"/>
      <c r="BTP40" s="47"/>
      <c r="BTQ40" s="47"/>
      <c r="BTR40" s="47"/>
      <c r="BTS40" s="47"/>
      <c r="BTT40" s="47"/>
      <c r="BTU40" s="47"/>
      <c r="BTV40" s="47"/>
      <c r="BTW40" s="47"/>
      <c r="BTX40" s="47"/>
      <c r="BTY40" s="47"/>
      <c r="BTZ40" s="47"/>
      <c r="BUA40" s="47"/>
      <c r="BUB40" s="47"/>
      <c r="BUC40" s="47"/>
      <c r="BUD40" s="47"/>
      <c r="BUE40" s="47"/>
      <c r="BUF40" s="47"/>
      <c r="BUG40" s="47"/>
      <c r="BUH40" s="47"/>
      <c r="BUI40" s="47"/>
      <c r="BUJ40" s="47"/>
      <c r="BUK40" s="47"/>
      <c r="BUL40" s="47"/>
      <c r="BUM40" s="47"/>
      <c r="BUN40" s="47"/>
      <c r="BUO40" s="47"/>
      <c r="BUP40" s="47"/>
      <c r="BUQ40" s="47"/>
      <c r="BUR40" s="47"/>
      <c r="BUS40" s="47"/>
      <c r="BUT40" s="47"/>
      <c r="BUU40" s="47"/>
      <c r="BUV40" s="47"/>
      <c r="BUW40" s="47"/>
      <c r="BUX40" s="47"/>
      <c r="BUY40" s="47"/>
      <c r="BUZ40" s="47"/>
      <c r="BVA40" s="47"/>
      <c r="BVB40" s="47"/>
      <c r="BVC40" s="47"/>
      <c r="BVD40" s="47"/>
      <c r="BVE40" s="47"/>
      <c r="BVF40" s="47"/>
      <c r="BVG40" s="47"/>
      <c r="BVH40" s="47"/>
      <c r="BVI40" s="47"/>
      <c r="BVJ40" s="47"/>
      <c r="BVK40" s="47"/>
      <c r="BVL40" s="47"/>
      <c r="BVM40" s="47"/>
      <c r="BVN40" s="47"/>
      <c r="BVO40" s="47"/>
      <c r="BVP40" s="47"/>
      <c r="BVQ40" s="47"/>
      <c r="BVR40" s="47"/>
      <c r="BVS40" s="47"/>
      <c r="BVT40" s="47"/>
      <c r="BVU40" s="47"/>
      <c r="BVV40" s="47"/>
      <c r="BVW40" s="47"/>
      <c r="BVX40" s="47"/>
      <c r="BVY40" s="47"/>
      <c r="BVZ40" s="47"/>
      <c r="BWA40" s="47"/>
      <c r="BWB40" s="47"/>
      <c r="BWC40" s="47"/>
      <c r="BWD40" s="47"/>
      <c r="BWE40" s="47"/>
      <c r="BWF40" s="47"/>
      <c r="BWG40" s="47"/>
      <c r="BWH40" s="47"/>
      <c r="BWI40" s="47"/>
      <c r="BWJ40" s="47"/>
      <c r="BWK40" s="47"/>
      <c r="BWL40" s="47"/>
      <c r="BWM40" s="47"/>
      <c r="BWN40" s="47"/>
      <c r="BWO40" s="47"/>
      <c r="BWP40" s="47"/>
      <c r="BWQ40" s="47"/>
      <c r="BWR40" s="47"/>
      <c r="BWS40" s="47"/>
      <c r="BWT40" s="47"/>
      <c r="BWU40" s="47"/>
      <c r="BWV40" s="47"/>
      <c r="BWW40" s="47"/>
      <c r="BWX40" s="47"/>
      <c r="BWY40" s="47"/>
      <c r="BWZ40" s="47"/>
      <c r="BXA40" s="47"/>
      <c r="BXB40" s="47"/>
      <c r="BXC40" s="47"/>
      <c r="BXD40" s="47"/>
      <c r="BXE40" s="47"/>
      <c r="BXF40" s="47"/>
      <c r="BXG40" s="47"/>
      <c r="BXH40" s="47"/>
      <c r="BXI40" s="47"/>
      <c r="BXJ40" s="47"/>
      <c r="BXK40" s="47"/>
      <c r="BXL40" s="47"/>
      <c r="BXM40" s="47"/>
      <c r="BXN40" s="47"/>
      <c r="BXO40" s="47"/>
      <c r="BXP40" s="47"/>
      <c r="BXQ40" s="47"/>
      <c r="BXR40" s="47"/>
      <c r="BXS40" s="47"/>
      <c r="BXT40" s="47"/>
      <c r="BXU40" s="47"/>
      <c r="BXV40" s="47"/>
      <c r="BXW40" s="47"/>
      <c r="BXX40" s="47"/>
      <c r="BXY40" s="47"/>
      <c r="BXZ40" s="47"/>
      <c r="BYA40" s="47"/>
      <c r="BYB40" s="47"/>
      <c r="BYC40" s="47"/>
      <c r="BYD40" s="47"/>
      <c r="BYE40" s="47"/>
      <c r="BYF40" s="47"/>
      <c r="BYG40" s="47"/>
      <c r="BYH40" s="47"/>
      <c r="BYI40" s="47"/>
      <c r="BYJ40" s="47"/>
      <c r="BYK40" s="47"/>
      <c r="BYL40" s="47"/>
      <c r="BYM40" s="47"/>
      <c r="BYN40" s="47"/>
      <c r="BYO40" s="47"/>
      <c r="BYP40" s="47"/>
      <c r="BYQ40" s="47"/>
      <c r="BYR40" s="47"/>
      <c r="BYS40" s="47"/>
      <c r="BYT40" s="47"/>
      <c r="BYU40" s="47"/>
      <c r="BYV40" s="47"/>
      <c r="BYW40" s="47"/>
      <c r="BYX40" s="47"/>
      <c r="BYY40" s="47"/>
      <c r="BYZ40" s="47"/>
      <c r="BZA40" s="47"/>
      <c r="BZB40" s="47"/>
      <c r="BZC40" s="47"/>
      <c r="BZD40" s="47"/>
      <c r="BZE40" s="47"/>
      <c r="BZF40" s="47"/>
      <c r="BZG40" s="47"/>
      <c r="BZH40" s="47"/>
      <c r="BZI40" s="47"/>
      <c r="BZJ40" s="47"/>
      <c r="BZK40" s="47"/>
      <c r="BZL40" s="47"/>
      <c r="BZM40" s="47"/>
      <c r="BZN40" s="47"/>
      <c r="BZO40" s="47"/>
      <c r="BZP40" s="47"/>
      <c r="BZQ40" s="47"/>
      <c r="BZR40" s="47"/>
      <c r="BZS40" s="47"/>
      <c r="BZT40" s="47"/>
      <c r="BZU40" s="47"/>
      <c r="BZV40" s="47"/>
      <c r="BZW40" s="47"/>
      <c r="BZX40" s="47"/>
      <c r="BZY40" s="47"/>
      <c r="BZZ40" s="47"/>
      <c r="CAA40" s="47"/>
      <c r="CAB40" s="47"/>
      <c r="CAC40" s="47"/>
      <c r="CAD40" s="47"/>
      <c r="CAE40" s="47"/>
      <c r="CAF40" s="47"/>
      <c r="CAG40" s="47"/>
      <c r="CAH40" s="47"/>
      <c r="CAI40" s="47"/>
      <c r="CAJ40" s="47"/>
      <c r="CAK40" s="47"/>
      <c r="CAL40" s="47"/>
      <c r="CAM40" s="47"/>
      <c r="CAN40" s="47"/>
      <c r="CAO40" s="47"/>
      <c r="CAP40" s="47"/>
      <c r="CAQ40" s="47"/>
      <c r="CAR40" s="47"/>
      <c r="CAS40" s="47"/>
      <c r="CAT40" s="47"/>
      <c r="CAU40" s="47"/>
      <c r="CAV40" s="47"/>
      <c r="CAW40" s="47"/>
      <c r="CAX40" s="47"/>
      <c r="CAY40" s="47"/>
      <c r="CAZ40" s="47"/>
      <c r="CBA40" s="47"/>
      <c r="CBB40" s="47"/>
      <c r="CBC40" s="47"/>
      <c r="CBD40" s="47"/>
      <c r="CBE40" s="47"/>
      <c r="CBF40" s="47"/>
      <c r="CBG40" s="47"/>
      <c r="CBH40" s="47"/>
      <c r="CBI40" s="47"/>
      <c r="CBJ40" s="47"/>
      <c r="CBK40" s="47"/>
      <c r="CBL40" s="47"/>
      <c r="CBM40" s="47"/>
      <c r="CBN40" s="47"/>
      <c r="CBO40" s="47"/>
      <c r="CBP40" s="47"/>
      <c r="CBQ40" s="47"/>
      <c r="CBR40" s="47"/>
      <c r="CBS40" s="47"/>
      <c r="CBT40" s="47"/>
      <c r="CBU40" s="47"/>
      <c r="CBV40" s="47"/>
      <c r="CBW40" s="47"/>
      <c r="CBX40" s="47"/>
      <c r="CBY40" s="47"/>
      <c r="CBZ40" s="47"/>
      <c r="CCA40" s="47"/>
      <c r="CCB40" s="47"/>
      <c r="CCC40" s="47"/>
      <c r="CCD40" s="47"/>
      <c r="CCE40" s="47"/>
      <c r="CCF40" s="47"/>
      <c r="CCG40" s="47"/>
      <c r="CCH40" s="47"/>
      <c r="CCI40" s="47"/>
      <c r="CCJ40" s="47"/>
      <c r="CCK40" s="47"/>
      <c r="CCL40" s="47"/>
      <c r="CCM40" s="47"/>
      <c r="CCN40" s="47"/>
      <c r="CCO40" s="47"/>
      <c r="CCP40" s="47"/>
      <c r="CCQ40" s="47"/>
      <c r="CCR40" s="47"/>
      <c r="CCS40" s="47"/>
      <c r="CCT40" s="47"/>
      <c r="CCU40" s="47"/>
      <c r="CCV40" s="47"/>
      <c r="CCW40" s="47"/>
      <c r="CCX40" s="47"/>
      <c r="CCY40" s="47"/>
      <c r="CCZ40" s="47"/>
      <c r="CDA40" s="47"/>
      <c r="CDB40" s="47"/>
      <c r="CDC40" s="47"/>
      <c r="CDD40" s="47"/>
      <c r="CDE40" s="47"/>
      <c r="CDF40" s="47"/>
      <c r="CDG40" s="47"/>
      <c r="CDH40" s="47"/>
      <c r="CDI40" s="47"/>
      <c r="CDJ40" s="47"/>
      <c r="CDK40" s="47"/>
      <c r="CDL40" s="47"/>
      <c r="CDM40" s="47"/>
      <c r="CDN40" s="47"/>
      <c r="CDO40" s="47"/>
      <c r="CDP40" s="47"/>
      <c r="CDQ40" s="47"/>
      <c r="CDR40" s="47"/>
      <c r="CDS40" s="47"/>
      <c r="CDT40" s="47"/>
      <c r="CDU40" s="47"/>
      <c r="CDV40" s="47"/>
      <c r="CDW40" s="47"/>
      <c r="CDX40" s="47"/>
      <c r="CDY40" s="47"/>
      <c r="CDZ40" s="47"/>
      <c r="CEA40" s="47"/>
      <c r="CEB40" s="47"/>
      <c r="CEC40" s="47"/>
      <c r="CED40" s="47"/>
      <c r="CEE40" s="47"/>
      <c r="CEF40" s="47"/>
      <c r="CEG40" s="47"/>
      <c r="CEH40" s="47"/>
      <c r="CEI40" s="47"/>
      <c r="CEJ40" s="47"/>
      <c r="CEK40" s="47"/>
      <c r="CEL40" s="47"/>
      <c r="CEM40" s="47"/>
      <c r="CEN40" s="47"/>
      <c r="CEO40" s="47"/>
      <c r="CEP40" s="47"/>
      <c r="CEQ40" s="47"/>
      <c r="CER40" s="47"/>
      <c r="CES40" s="47"/>
      <c r="CET40" s="47"/>
      <c r="CEU40" s="47"/>
      <c r="CEV40" s="47"/>
      <c r="CEW40" s="47"/>
      <c r="CEX40" s="47"/>
      <c r="CEY40" s="47"/>
      <c r="CEZ40" s="47"/>
      <c r="CFA40" s="47"/>
      <c r="CFB40" s="47"/>
      <c r="CFC40" s="47"/>
      <c r="CFD40" s="47"/>
      <c r="CFE40" s="47"/>
      <c r="CFF40" s="47"/>
      <c r="CFG40" s="47"/>
      <c r="CFH40" s="47"/>
      <c r="CFI40" s="47"/>
      <c r="CFJ40" s="47"/>
      <c r="CFK40" s="47"/>
      <c r="CFL40" s="47"/>
      <c r="CFM40" s="47"/>
      <c r="CFN40" s="47"/>
      <c r="CFO40" s="47"/>
      <c r="CFP40" s="47"/>
      <c r="CFQ40" s="47"/>
      <c r="CFR40" s="47"/>
      <c r="CFS40" s="47"/>
      <c r="CFT40" s="47"/>
      <c r="CFU40" s="47"/>
      <c r="CFV40" s="47"/>
      <c r="CFW40" s="47"/>
      <c r="CFX40" s="47"/>
      <c r="CFY40" s="47"/>
      <c r="CFZ40" s="47"/>
      <c r="CGA40" s="47"/>
      <c r="CGB40" s="47"/>
      <c r="CGC40" s="47"/>
      <c r="CGD40" s="47"/>
      <c r="CGE40" s="47"/>
      <c r="CGF40" s="47"/>
      <c r="CGG40" s="47"/>
      <c r="CGH40" s="47"/>
      <c r="CGI40" s="47"/>
      <c r="CGJ40" s="47"/>
      <c r="CGK40" s="47"/>
      <c r="CGL40" s="47"/>
      <c r="CGM40" s="47"/>
      <c r="CGN40" s="47"/>
      <c r="CGO40" s="47"/>
      <c r="CGP40" s="47"/>
      <c r="CGQ40" s="47"/>
      <c r="CGR40" s="47"/>
      <c r="CGS40" s="47"/>
      <c r="CGT40" s="47"/>
      <c r="CGU40" s="47"/>
      <c r="CGV40" s="47"/>
      <c r="CGW40" s="47"/>
      <c r="CGX40" s="47"/>
      <c r="CGY40" s="47"/>
      <c r="CGZ40" s="47"/>
      <c r="CHA40" s="47"/>
      <c r="CHB40" s="47"/>
      <c r="CHC40" s="47"/>
      <c r="CHD40" s="47"/>
      <c r="CHE40" s="47"/>
      <c r="CHF40" s="47"/>
      <c r="CHG40" s="47"/>
      <c r="CHH40" s="47"/>
      <c r="CHI40" s="47"/>
      <c r="CHJ40" s="47"/>
      <c r="CHK40" s="47"/>
      <c r="CHL40" s="47"/>
      <c r="CHM40" s="47"/>
      <c r="CHN40" s="47"/>
      <c r="CHO40" s="47"/>
      <c r="CHP40" s="47"/>
      <c r="CHQ40" s="47"/>
      <c r="CHR40" s="47"/>
      <c r="CHS40" s="47"/>
      <c r="CHT40" s="47"/>
      <c r="CHU40" s="47"/>
      <c r="CHV40" s="47"/>
      <c r="CHW40" s="47"/>
      <c r="CHX40" s="47"/>
      <c r="CHY40" s="47"/>
      <c r="CHZ40" s="47"/>
      <c r="CIA40" s="47"/>
      <c r="CIB40" s="47"/>
      <c r="CIC40" s="47"/>
      <c r="CID40" s="47"/>
      <c r="CIE40" s="47"/>
      <c r="CIF40" s="47"/>
      <c r="CIG40" s="47"/>
      <c r="CIH40" s="47"/>
      <c r="CII40" s="47"/>
      <c r="CIJ40" s="47"/>
      <c r="CIK40" s="47"/>
      <c r="CIL40" s="47"/>
      <c r="CIM40" s="47"/>
      <c r="CIN40" s="47"/>
      <c r="CIO40" s="47"/>
      <c r="CIP40" s="47"/>
      <c r="CIQ40" s="47"/>
      <c r="CIR40" s="47"/>
      <c r="CIS40" s="47"/>
      <c r="CIT40" s="47"/>
      <c r="CIU40" s="47"/>
      <c r="CIV40" s="47"/>
      <c r="CIW40" s="47"/>
      <c r="CIX40" s="47"/>
      <c r="CIY40" s="47"/>
      <c r="CIZ40" s="47"/>
      <c r="CJA40" s="47"/>
      <c r="CJB40" s="47"/>
      <c r="CJC40" s="47"/>
      <c r="CJD40" s="47"/>
      <c r="CJE40" s="47"/>
      <c r="CJF40" s="47"/>
      <c r="CJG40" s="47"/>
      <c r="CJH40" s="47"/>
      <c r="CJI40" s="47"/>
      <c r="CJJ40" s="47"/>
      <c r="CJK40" s="47"/>
      <c r="CJL40" s="47"/>
      <c r="CJM40" s="47"/>
      <c r="CJN40" s="47"/>
      <c r="CJO40" s="47"/>
      <c r="CJP40" s="47"/>
      <c r="CJQ40" s="47"/>
      <c r="CJR40" s="47"/>
      <c r="CJS40" s="47"/>
      <c r="CJT40" s="47"/>
      <c r="CJU40" s="47"/>
      <c r="CJV40" s="47"/>
      <c r="CJW40" s="47"/>
      <c r="CJX40" s="47"/>
      <c r="CJY40" s="47"/>
      <c r="CJZ40" s="47"/>
      <c r="CKA40" s="47"/>
      <c r="CKB40" s="47"/>
      <c r="CKC40" s="47"/>
      <c r="CKD40" s="47"/>
      <c r="CKE40" s="47"/>
      <c r="CKF40" s="47"/>
      <c r="CKG40" s="47"/>
      <c r="CKH40" s="47"/>
      <c r="CKI40" s="47"/>
      <c r="CKJ40" s="47"/>
      <c r="CKK40" s="47"/>
      <c r="CKL40" s="47"/>
      <c r="CKM40" s="47"/>
      <c r="CKN40" s="47"/>
      <c r="CKO40" s="47"/>
      <c r="CKP40" s="47"/>
      <c r="CKQ40" s="47"/>
      <c r="CKR40" s="47"/>
      <c r="CKS40" s="47"/>
      <c r="CKT40" s="47"/>
      <c r="CKU40" s="47"/>
      <c r="CKV40" s="47"/>
      <c r="CKW40" s="47"/>
      <c r="CKX40" s="47"/>
      <c r="CKY40" s="47"/>
      <c r="CKZ40" s="47"/>
      <c r="CLA40" s="47"/>
      <c r="CLB40" s="47"/>
      <c r="CLC40" s="47"/>
      <c r="CLD40" s="47"/>
      <c r="CLE40" s="47"/>
      <c r="CLF40" s="47"/>
      <c r="CLG40" s="47"/>
      <c r="CLH40" s="47"/>
      <c r="CLI40" s="47"/>
      <c r="CLJ40" s="47"/>
      <c r="CLK40" s="47"/>
      <c r="CLL40" s="47"/>
      <c r="CLM40" s="47"/>
      <c r="CLN40" s="47"/>
      <c r="CLO40" s="47"/>
      <c r="CLP40" s="47"/>
      <c r="CLQ40" s="47"/>
      <c r="CLR40" s="47"/>
      <c r="CLS40" s="47"/>
      <c r="CLT40" s="47"/>
      <c r="CLU40" s="47"/>
      <c r="CLV40" s="47"/>
      <c r="CLW40" s="47"/>
      <c r="CLX40" s="47"/>
      <c r="CLY40" s="47"/>
      <c r="CLZ40" s="47"/>
      <c r="CMA40" s="47"/>
      <c r="CMB40" s="47"/>
      <c r="CMC40" s="47"/>
      <c r="CMD40" s="47"/>
      <c r="CME40" s="47"/>
      <c r="CMF40" s="47"/>
      <c r="CMG40" s="47"/>
      <c r="CMH40" s="47"/>
      <c r="CMI40" s="47"/>
      <c r="CMJ40" s="47"/>
      <c r="CMK40" s="47"/>
      <c r="CML40" s="47"/>
      <c r="CMM40" s="47"/>
      <c r="CMN40" s="47"/>
      <c r="CMO40" s="47"/>
      <c r="CMP40" s="47"/>
      <c r="CMQ40" s="47"/>
      <c r="CMR40" s="47"/>
      <c r="CMS40" s="47"/>
      <c r="CMT40" s="47"/>
      <c r="CMU40" s="47"/>
      <c r="CMV40" s="47"/>
      <c r="CMW40" s="47"/>
      <c r="CMX40" s="47"/>
      <c r="CMY40" s="47"/>
      <c r="CMZ40" s="47"/>
      <c r="CNA40" s="47"/>
      <c r="CNB40" s="47"/>
      <c r="CNC40" s="47"/>
      <c r="CND40" s="47"/>
      <c r="CNE40" s="47"/>
      <c r="CNF40" s="47"/>
      <c r="CNG40" s="47"/>
      <c r="CNH40" s="47"/>
      <c r="CNI40" s="47"/>
      <c r="CNJ40" s="47"/>
      <c r="CNK40" s="47"/>
      <c r="CNL40" s="47"/>
      <c r="CNM40" s="47"/>
      <c r="CNN40" s="47"/>
      <c r="CNO40" s="47"/>
      <c r="CNP40" s="47"/>
      <c r="CNQ40" s="47"/>
      <c r="CNR40" s="47"/>
      <c r="CNS40" s="47"/>
      <c r="CNT40" s="47"/>
      <c r="CNU40" s="47"/>
      <c r="CNV40" s="47"/>
      <c r="CNW40" s="47"/>
      <c r="CNX40" s="47"/>
      <c r="CNY40" s="47"/>
      <c r="CNZ40" s="47"/>
      <c r="COA40" s="47"/>
      <c r="COB40" s="47"/>
      <c r="COC40" s="47"/>
      <c r="COD40" s="47"/>
      <c r="COE40" s="47"/>
      <c r="COF40" s="47"/>
      <c r="COG40" s="47"/>
      <c r="COH40" s="47"/>
      <c r="COI40" s="47"/>
      <c r="COJ40" s="47"/>
      <c r="COK40" s="47"/>
      <c r="COL40" s="47"/>
      <c r="COM40" s="47"/>
      <c r="CON40" s="47"/>
      <c r="COO40" s="47"/>
      <c r="COP40" s="47"/>
      <c r="COQ40" s="47"/>
      <c r="COR40" s="47"/>
      <c r="COS40" s="47"/>
      <c r="COT40" s="47"/>
      <c r="COU40" s="47"/>
      <c r="COV40" s="47"/>
      <c r="COW40" s="47"/>
      <c r="COX40" s="47"/>
      <c r="COY40" s="47"/>
      <c r="COZ40" s="47"/>
      <c r="CPA40" s="47"/>
      <c r="CPB40" s="47"/>
      <c r="CPC40" s="47"/>
      <c r="CPD40" s="47"/>
      <c r="CPE40" s="47"/>
      <c r="CPF40" s="47"/>
      <c r="CPG40" s="47"/>
      <c r="CPH40" s="47"/>
      <c r="CPI40" s="47"/>
      <c r="CPJ40" s="47"/>
      <c r="CPK40" s="47"/>
      <c r="CPL40" s="47"/>
      <c r="CPM40" s="47"/>
      <c r="CPN40" s="47"/>
      <c r="CPO40" s="47"/>
      <c r="CPP40" s="47"/>
      <c r="CPQ40" s="47"/>
      <c r="CPR40" s="47"/>
      <c r="CPS40" s="47"/>
      <c r="CPT40" s="47"/>
      <c r="CPU40" s="47"/>
      <c r="CPV40" s="47"/>
      <c r="CPW40" s="47"/>
      <c r="CPX40" s="47"/>
      <c r="CPY40" s="47"/>
      <c r="CPZ40" s="47"/>
      <c r="CQA40" s="47"/>
      <c r="CQB40" s="47"/>
      <c r="CQC40" s="47"/>
      <c r="CQD40" s="47"/>
      <c r="CQE40" s="47"/>
      <c r="CQF40" s="47"/>
      <c r="CQG40" s="47"/>
      <c r="CQH40" s="47"/>
      <c r="CQI40" s="47"/>
      <c r="CQJ40" s="47"/>
      <c r="CQK40" s="47"/>
      <c r="CQL40" s="47"/>
      <c r="CQM40" s="47"/>
      <c r="CQN40" s="47"/>
      <c r="CQO40" s="47"/>
      <c r="CQP40" s="47"/>
      <c r="CQQ40" s="47"/>
      <c r="CQR40" s="47"/>
      <c r="CQS40" s="47"/>
      <c r="CQT40" s="47"/>
      <c r="CQU40" s="47"/>
      <c r="CQV40" s="47"/>
      <c r="CQW40" s="47"/>
      <c r="CQX40" s="47"/>
      <c r="CQY40" s="47"/>
      <c r="CQZ40" s="47"/>
      <c r="CRA40" s="47"/>
      <c r="CRB40" s="47"/>
      <c r="CRC40" s="47"/>
      <c r="CRD40" s="47"/>
      <c r="CRE40" s="47"/>
      <c r="CRF40" s="47"/>
      <c r="CRG40" s="47"/>
      <c r="CRH40" s="47"/>
      <c r="CRI40" s="47"/>
      <c r="CRJ40" s="47"/>
      <c r="CRK40" s="47"/>
      <c r="CRL40" s="47"/>
      <c r="CRM40" s="47"/>
      <c r="CRN40" s="47"/>
      <c r="CRO40" s="47"/>
      <c r="CRP40" s="47"/>
      <c r="CRQ40" s="47"/>
      <c r="CRR40" s="47"/>
      <c r="CRS40" s="47"/>
      <c r="CRT40" s="47"/>
      <c r="CRU40" s="47"/>
      <c r="CRV40" s="47"/>
      <c r="CRW40" s="47"/>
      <c r="CRX40" s="47"/>
      <c r="CRY40" s="47"/>
      <c r="CRZ40" s="47"/>
      <c r="CSA40" s="47"/>
      <c r="CSB40" s="47"/>
      <c r="CSC40" s="47"/>
      <c r="CSD40" s="47"/>
      <c r="CSE40" s="47"/>
      <c r="CSF40" s="47"/>
      <c r="CSG40" s="47"/>
      <c r="CSH40" s="47"/>
      <c r="CSI40" s="47"/>
      <c r="CSJ40" s="47"/>
      <c r="CSK40" s="47"/>
      <c r="CSL40" s="47"/>
      <c r="CSM40" s="47"/>
      <c r="CSN40" s="47"/>
      <c r="CSO40" s="47"/>
      <c r="CSP40" s="47"/>
      <c r="CSQ40" s="47"/>
      <c r="CSR40" s="47"/>
      <c r="CSS40" s="47"/>
      <c r="CST40" s="47"/>
      <c r="CSU40" s="47"/>
      <c r="CSV40" s="47"/>
      <c r="CSW40" s="47"/>
      <c r="CSX40" s="47"/>
      <c r="CSY40" s="47"/>
      <c r="CSZ40" s="47"/>
      <c r="CTA40" s="47"/>
      <c r="CTB40" s="47"/>
      <c r="CTC40" s="47"/>
      <c r="CTD40" s="47"/>
      <c r="CTE40" s="47"/>
      <c r="CTF40" s="47"/>
      <c r="CTG40" s="47"/>
      <c r="CTH40" s="47"/>
      <c r="CTI40" s="47"/>
      <c r="CTJ40" s="47"/>
      <c r="CTK40" s="47"/>
      <c r="CTL40" s="47"/>
      <c r="CTM40" s="47"/>
      <c r="CTN40" s="47"/>
      <c r="CTO40" s="47"/>
      <c r="CTP40" s="47"/>
      <c r="CTQ40" s="47"/>
      <c r="CTR40" s="47"/>
      <c r="CTS40" s="47"/>
      <c r="CTT40" s="47"/>
      <c r="CTU40" s="47"/>
      <c r="CTV40" s="47"/>
      <c r="CTW40" s="47"/>
      <c r="CTX40" s="47"/>
      <c r="CTY40" s="47"/>
      <c r="CTZ40" s="47"/>
      <c r="CUA40" s="47"/>
      <c r="CUB40" s="47"/>
      <c r="CUC40" s="47"/>
      <c r="CUD40" s="47"/>
      <c r="CUE40" s="47"/>
      <c r="CUF40" s="47"/>
      <c r="CUG40" s="47"/>
      <c r="CUH40" s="47"/>
      <c r="CUI40" s="47"/>
      <c r="CUJ40" s="47"/>
      <c r="CUK40" s="47"/>
      <c r="CUL40" s="47"/>
      <c r="CUM40" s="47"/>
      <c r="CUN40" s="47"/>
      <c r="CUO40" s="47"/>
      <c r="CUP40" s="47"/>
      <c r="CUQ40" s="47"/>
      <c r="CUR40" s="47"/>
      <c r="CUS40" s="47"/>
      <c r="CUT40" s="47"/>
      <c r="CUU40" s="47"/>
      <c r="CUV40" s="47"/>
      <c r="CUW40" s="47"/>
      <c r="CUX40" s="47"/>
      <c r="CUY40" s="47"/>
      <c r="CUZ40" s="47"/>
      <c r="CVA40" s="47"/>
      <c r="CVB40" s="47"/>
      <c r="CVC40" s="47"/>
      <c r="CVD40" s="47"/>
      <c r="CVE40" s="47"/>
      <c r="CVF40" s="47"/>
      <c r="CVG40" s="47"/>
      <c r="CVH40" s="47"/>
      <c r="CVI40" s="47"/>
      <c r="CVJ40" s="47"/>
      <c r="CVK40" s="47"/>
      <c r="CVL40" s="47"/>
      <c r="CVM40" s="47"/>
      <c r="CVN40" s="47"/>
      <c r="CVO40" s="47"/>
      <c r="CVP40" s="47"/>
      <c r="CVQ40" s="47"/>
      <c r="CVR40" s="47"/>
      <c r="CVS40" s="47"/>
      <c r="CVT40" s="47"/>
      <c r="CVU40" s="47"/>
      <c r="CVV40" s="47"/>
      <c r="CVW40" s="47"/>
      <c r="CVX40" s="47"/>
      <c r="CVY40" s="47"/>
      <c r="CVZ40" s="47"/>
      <c r="CWA40" s="47"/>
      <c r="CWB40" s="47"/>
      <c r="CWC40" s="47"/>
      <c r="CWD40" s="47"/>
      <c r="CWE40" s="47"/>
      <c r="CWF40" s="47"/>
      <c r="CWG40" s="47"/>
      <c r="CWH40" s="47"/>
      <c r="CWI40" s="47"/>
      <c r="CWJ40" s="47"/>
      <c r="CWK40" s="47"/>
      <c r="CWL40" s="47"/>
      <c r="CWM40" s="47"/>
      <c r="CWN40" s="47"/>
      <c r="CWO40" s="47"/>
      <c r="CWP40" s="47"/>
      <c r="CWQ40" s="47"/>
      <c r="CWR40" s="47"/>
      <c r="CWS40" s="47"/>
      <c r="CWT40" s="47"/>
      <c r="CWU40" s="47"/>
      <c r="CWV40" s="47"/>
      <c r="CWW40" s="47"/>
      <c r="CWX40" s="47"/>
      <c r="CWY40" s="47"/>
      <c r="CWZ40" s="47"/>
      <c r="CXA40" s="47"/>
      <c r="CXB40" s="47"/>
      <c r="CXC40" s="47"/>
      <c r="CXD40" s="47"/>
      <c r="CXE40" s="47"/>
      <c r="CXF40" s="47"/>
      <c r="CXG40" s="47"/>
      <c r="CXH40" s="47"/>
      <c r="CXI40" s="47"/>
      <c r="CXJ40" s="47"/>
      <c r="CXK40" s="47"/>
      <c r="CXL40" s="47"/>
      <c r="CXM40" s="47"/>
      <c r="CXN40" s="47"/>
      <c r="CXO40" s="47"/>
      <c r="CXP40" s="47"/>
      <c r="CXQ40" s="47"/>
      <c r="CXR40" s="47"/>
      <c r="CXS40" s="47"/>
      <c r="CXT40" s="47"/>
      <c r="CXU40" s="47"/>
      <c r="CXV40" s="47"/>
      <c r="CXW40" s="47"/>
      <c r="CXX40" s="47"/>
      <c r="CXY40" s="47"/>
      <c r="CXZ40" s="47"/>
      <c r="CYA40" s="47"/>
      <c r="CYB40" s="47"/>
      <c r="CYC40" s="47"/>
      <c r="CYD40" s="47"/>
      <c r="CYE40" s="47"/>
      <c r="CYF40" s="47"/>
      <c r="CYG40" s="47"/>
      <c r="CYH40" s="47"/>
      <c r="CYI40" s="47"/>
      <c r="CYJ40" s="47"/>
      <c r="CYK40" s="47"/>
      <c r="CYL40" s="47"/>
      <c r="CYM40" s="47"/>
      <c r="CYN40" s="47"/>
      <c r="CYO40" s="47"/>
      <c r="CYP40" s="47"/>
      <c r="CYQ40" s="47"/>
      <c r="CYR40" s="47"/>
      <c r="CYS40" s="47"/>
      <c r="CYT40" s="47"/>
      <c r="CYU40" s="47"/>
      <c r="CYV40" s="47"/>
      <c r="CYW40" s="47"/>
      <c r="CYX40" s="47"/>
      <c r="CYY40" s="47"/>
      <c r="CYZ40" s="47"/>
      <c r="CZA40" s="47"/>
      <c r="CZB40" s="47"/>
      <c r="CZC40" s="47"/>
      <c r="CZD40" s="47"/>
      <c r="CZE40" s="47"/>
      <c r="CZF40" s="47"/>
      <c r="CZG40" s="47"/>
      <c r="CZH40" s="47"/>
      <c r="CZI40" s="47"/>
      <c r="CZJ40" s="47"/>
      <c r="CZK40" s="47"/>
      <c r="CZL40" s="47"/>
      <c r="CZM40" s="47"/>
      <c r="CZN40" s="47"/>
      <c r="CZO40" s="47"/>
      <c r="CZP40" s="47"/>
      <c r="CZQ40" s="47"/>
      <c r="CZR40" s="47"/>
      <c r="CZS40" s="47"/>
      <c r="CZT40" s="47"/>
      <c r="CZU40" s="47"/>
      <c r="CZV40" s="47"/>
      <c r="CZW40" s="47"/>
      <c r="CZX40" s="47"/>
      <c r="CZY40" s="47"/>
      <c r="CZZ40" s="47"/>
      <c r="DAA40" s="47"/>
      <c r="DAB40" s="47"/>
      <c r="DAC40" s="47"/>
      <c r="DAD40" s="47"/>
      <c r="DAE40" s="47"/>
      <c r="DAF40" s="47"/>
      <c r="DAG40" s="47"/>
      <c r="DAH40" s="47"/>
      <c r="DAI40" s="47"/>
      <c r="DAJ40" s="47"/>
      <c r="DAK40" s="47"/>
      <c r="DAL40" s="47"/>
      <c r="DAM40" s="47"/>
      <c r="DAN40" s="47"/>
      <c r="DAO40" s="47"/>
      <c r="DAP40" s="47"/>
      <c r="DAQ40" s="47"/>
      <c r="DAR40" s="47"/>
      <c r="DAS40" s="47"/>
      <c r="DAT40" s="47"/>
      <c r="DAU40" s="47"/>
      <c r="DAV40" s="47"/>
      <c r="DAW40" s="47"/>
      <c r="DAX40" s="47"/>
      <c r="DAY40" s="47"/>
      <c r="DAZ40" s="47"/>
      <c r="DBA40" s="47"/>
      <c r="DBB40" s="47"/>
      <c r="DBC40" s="47"/>
      <c r="DBD40" s="47"/>
      <c r="DBE40" s="47"/>
      <c r="DBF40" s="47"/>
      <c r="DBG40" s="47"/>
      <c r="DBH40" s="47"/>
      <c r="DBI40" s="47"/>
      <c r="DBJ40" s="47"/>
      <c r="DBK40" s="47"/>
      <c r="DBL40" s="47"/>
      <c r="DBM40" s="47"/>
      <c r="DBN40" s="47"/>
      <c r="DBO40" s="47"/>
      <c r="DBP40" s="47"/>
      <c r="DBQ40" s="47"/>
      <c r="DBR40" s="47"/>
      <c r="DBS40" s="47"/>
      <c r="DBT40" s="47"/>
      <c r="DBU40" s="47"/>
      <c r="DBV40" s="47"/>
      <c r="DBW40" s="47"/>
      <c r="DBX40" s="47"/>
      <c r="DBY40" s="47"/>
      <c r="DBZ40" s="47"/>
      <c r="DCA40" s="47"/>
      <c r="DCB40" s="47"/>
      <c r="DCC40" s="47"/>
      <c r="DCD40" s="47"/>
      <c r="DCE40" s="47"/>
      <c r="DCF40" s="47"/>
      <c r="DCG40" s="47"/>
      <c r="DCH40" s="47"/>
      <c r="DCI40" s="47"/>
      <c r="DCJ40" s="47"/>
      <c r="DCK40" s="47"/>
      <c r="DCL40" s="47"/>
      <c r="DCM40" s="47"/>
      <c r="DCN40" s="47"/>
      <c r="DCO40" s="47"/>
      <c r="DCP40" s="47"/>
      <c r="DCQ40" s="47"/>
      <c r="DCR40" s="47"/>
      <c r="DCS40" s="47"/>
      <c r="DCT40" s="47"/>
      <c r="DCU40" s="47"/>
      <c r="DCV40" s="47"/>
      <c r="DCW40" s="47"/>
      <c r="DCX40" s="47"/>
      <c r="DCY40" s="47"/>
      <c r="DCZ40" s="47"/>
      <c r="DDA40" s="47"/>
      <c r="DDB40" s="47"/>
      <c r="DDC40" s="47"/>
      <c r="DDD40" s="47"/>
      <c r="DDE40" s="47"/>
      <c r="DDF40" s="47"/>
      <c r="DDG40" s="47"/>
      <c r="DDH40" s="47"/>
      <c r="DDI40" s="47"/>
      <c r="DDJ40" s="47"/>
      <c r="DDK40" s="47"/>
      <c r="DDL40" s="47"/>
      <c r="DDM40" s="47"/>
      <c r="DDN40" s="47"/>
      <c r="DDO40" s="47"/>
      <c r="DDP40" s="47"/>
      <c r="DDQ40" s="47"/>
      <c r="DDR40" s="47"/>
      <c r="DDS40" s="47"/>
      <c r="DDT40" s="47"/>
      <c r="DDU40" s="47"/>
      <c r="DDV40" s="47"/>
      <c r="DDW40" s="47"/>
      <c r="DDX40" s="47"/>
      <c r="DDY40" s="47"/>
      <c r="DDZ40" s="47"/>
      <c r="DEA40" s="47"/>
      <c r="DEB40" s="47"/>
      <c r="DEC40" s="47"/>
      <c r="DED40" s="47"/>
      <c r="DEE40" s="47"/>
      <c r="DEF40" s="47"/>
      <c r="DEG40" s="47"/>
      <c r="DEH40" s="47"/>
      <c r="DEI40" s="47"/>
      <c r="DEJ40" s="47"/>
      <c r="DEK40" s="47"/>
      <c r="DEL40" s="47"/>
      <c r="DEM40" s="47"/>
      <c r="DEN40" s="47"/>
      <c r="DEO40" s="47"/>
      <c r="DEP40" s="47"/>
      <c r="DEQ40" s="47"/>
      <c r="DER40" s="47"/>
      <c r="DES40" s="47"/>
      <c r="DET40" s="47"/>
      <c r="DEU40" s="47"/>
      <c r="DEV40" s="47"/>
      <c r="DEW40" s="47"/>
      <c r="DEX40" s="47"/>
      <c r="DEY40" s="47"/>
      <c r="DEZ40" s="47"/>
      <c r="DFA40" s="47"/>
      <c r="DFB40" s="47"/>
      <c r="DFC40" s="47"/>
      <c r="DFD40" s="47"/>
      <c r="DFE40" s="47"/>
      <c r="DFF40" s="47"/>
      <c r="DFG40" s="47"/>
      <c r="DFH40" s="47"/>
      <c r="DFI40" s="47"/>
      <c r="DFJ40" s="47"/>
      <c r="DFK40" s="47"/>
      <c r="DFL40" s="47"/>
      <c r="DFM40" s="47"/>
      <c r="DFN40" s="47"/>
      <c r="DFO40" s="47"/>
      <c r="DFP40" s="47"/>
      <c r="DFQ40" s="47"/>
      <c r="DFR40" s="47"/>
      <c r="DFS40" s="47"/>
      <c r="DFT40" s="47"/>
      <c r="DFU40" s="47"/>
      <c r="DFV40" s="47"/>
      <c r="DFW40" s="47"/>
      <c r="DFX40" s="47"/>
      <c r="DFY40" s="47"/>
      <c r="DFZ40" s="47"/>
      <c r="DGA40" s="47"/>
      <c r="DGB40" s="47"/>
      <c r="DGC40" s="47"/>
      <c r="DGD40" s="47"/>
      <c r="DGE40" s="47"/>
      <c r="DGF40" s="47"/>
      <c r="DGG40" s="47"/>
      <c r="DGH40" s="47"/>
      <c r="DGI40" s="47"/>
      <c r="DGJ40" s="47"/>
      <c r="DGK40" s="47"/>
      <c r="DGL40" s="47"/>
      <c r="DGM40" s="47"/>
      <c r="DGN40" s="47"/>
      <c r="DGO40" s="47"/>
      <c r="DGP40" s="47"/>
      <c r="DGQ40" s="47"/>
      <c r="DGR40" s="47"/>
      <c r="DGS40" s="47"/>
      <c r="DGT40" s="47"/>
      <c r="DGU40" s="47"/>
      <c r="DGV40" s="47"/>
      <c r="DGW40" s="47"/>
      <c r="DGX40" s="47"/>
      <c r="DGY40" s="47"/>
      <c r="DGZ40" s="47"/>
      <c r="DHA40" s="47"/>
      <c r="DHB40" s="47"/>
      <c r="DHC40" s="47"/>
      <c r="DHD40" s="47"/>
      <c r="DHE40" s="47"/>
      <c r="DHF40" s="47"/>
      <c r="DHG40" s="47"/>
      <c r="DHH40" s="47"/>
      <c r="DHI40" s="47"/>
      <c r="DHJ40" s="47"/>
      <c r="DHK40" s="47"/>
      <c r="DHL40" s="47"/>
      <c r="DHM40" s="47"/>
      <c r="DHN40" s="47"/>
      <c r="DHO40" s="47"/>
      <c r="DHP40" s="47"/>
      <c r="DHQ40" s="47"/>
      <c r="DHR40" s="47"/>
      <c r="DHS40" s="47"/>
      <c r="DHT40" s="47"/>
      <c r="DHU40" s="47"/>
      <c r="DHV40" s="47"/>
      <c r="DHW40" s="47"/>
      <c r="DHX40" s="47"/>
      <c r="DHY40" s="47"/>
      <c r="DHZ40" s="47"/>
      <c r="DIA40" s="47"/>
      <c r="DIB40" s="47"/>
      <c r="DIC40" s="47"/>
      <c r="DID40" s="47"/>
      <c r="DIE40" s="47"/>
      <c r="DIF40" s="47"/>
      <c r="DIG40" s="47"/>
      <c r="DIH40" s="47"/>
      <c r="DII40" s="47"/>
      <c r="DIJ40" s="47"/>
      <c r="DIK40" s="47"/>
      <c r="DIL40" s="47"/>
      <c r="DIM40" s="47"/>
      <c r="DIN40" s="47"/>
      <c r="DIO40" s="47"/>
      <c r="DIP40" s="47"/>
      <c r="DIQ40" s="47"/>
      <c r="DIR40" s="47"/>
      <c r="DIS40" s="47"/>
      <c r="DIT40" s="47"/>
      <c r="DIU40" s="47"/>
      <c r="DIV40" s="47"/>
      <c r="DIW40" s="47"/>
      <c r="DIX40" s="47"/>
      <c r="DIY40" s="47"/>
      <c r="DIZ40" s="47"/>
      <c r="DJA40" s="47"/>
      <c r="DJB40" s="47"/>
      <c r="DJC40" s="47"/>
      <c r="DJD40" s="47"/>
      <c r="DJE40" s="47"/>
      <c r="DJF40" s="47"/>
      <c r="DJG40" s="47"/>
      <c r="DJH40" s="47"/>
      <c r="DJI40" s="47"/>
      <c r="DJJ40" s="47"/>
      <c r="DJK40" s="47"/>
      <c r="DJL40" s="47"/>
      <c r="DJM40" s="47"/>
      <c r="DJN40" s="47"/>
      <c r="DJO40" s="47"/>
      <c r="DJP40" s="47"/>
      <c r="DJQ40" s="47"/>
      <c r="DJR40" s="47"/>
      <c r="DJS40" s="47"/>
      <c r="DJT40" s="47"/>
      <c r="DJU40" s="47"/>
      <c r="DJV40" s="47"/>
      <c r="DJW40" s="47"/>
      <c r="DJX40" s="47"/>
      <c r="DJY40" s="47"/>
      <c r="DJZ40" s="47"/>
      <c r="DKA40" s="47"/>
      <c r="DKB40" s="47"/>
      <c r="DKC40" s="47"/>
      <c r="DKD40" s="47"/>
      <c r="DKE40" s="47"/>
      <c r="DKF40" s="47"/>
      <c r="DKG40" s="47"/>
      <c r="DKH40" s="47"/>
      <c r="DKI40" s="47"/>
      <c r="DKJ40" s="47"/>
      <c r="DKK40" s="47"/>
      <c r="DKL40" s="47"/>
      <c r="DKM40" s="47"/>
      <c r="DKN40" s="47"/>
      <c r="DKO40" s="47"/>
      <c r="DKP40" s="47"/>
      <c r="DKQ40" s="47"/>
      <c r="DKR40" s="47"/>
      <c r="DKS40" s="47"/>
      <c r="DKT40" s="47"/>
      <c r="DKU40" s="47"/>
      <c r="DKV40" s="47"/>
      <c r="DKW40" s="47"/>
      <c r="DKX40" s="47"/>
      <c r="DKY40" s="47"/>
      <c r="DKZ40" s="47"/>
      <c r="DLA40" s="47"/>
      <c r="DLB40" s="47"/>
      <c r="DLC40" s="47"/>
      <c r="DLD40" s="47"/>
      <c r="DLE40" s="47"/>
      <c r="DLF40" s="47"/>
      <c r="DLG40" s="47"/>
      <c r="DLH40" s="47"/>
      <c r="DLI40" s="47"/>
      <c r="DLJ40" s="47"/>
      <c r="DLK40" s="47"/>
      <c r="DLL40" s="47"/>
      <c r="DLM40" s="47"/>
      <c r="DLN40" s="47"/>
      <c r="DLO40" s="47"/>
      <c r="DLP40" s="47"/>
      <c r="DLQ40" s="47"/>
      <c r="DLR40" s="47"/>
      <c r="DLS40" s="47"/>
      <c r="DLT40" s="47"/>
      <c r="DLU40" s="47"/>
      <c r="DLV40" s="47"/>
      <c r="DLW40" s="47"/>
      <c r="DLX40" s="47"/>
      <c r="DLY40" s="47"/>
      <c r="DLZ40" s="47"/>
      <c r="DMA40" s="47"/>
      <c r="DMB40" s="47"/>
      <c r="DMC40" s="47"/>
      <c r="DMD40" s="47"/>
      <c r="DME40" s="47"/>
      <c r="DMF40" s="47"/>
      <c r="DMG40" s="47"/>
      <c r="DMH40" s="47"/>
      <c r="DMI40" s="47"/>
      <c r="DMJ40" s="47"/>
      <c r="DMK40" s="47"/>
      <c r="DML40" s="47"/>
      <c r="DMM40" s="47"/>
      <c r="DMN40" s="47"/>
      <c r="DMO40" s="47"/>
      <c r="DMP40" s="47"/>
      <c r="DMQ40" s="47"/>
      <c r="DMR40" s="47"/>
      <c r="DMS40" s="47"/>
      <c r="DMT40" s="47"/>
      <c r="DMU40" s="47"/>
      <c r="DMV40" s="47"/>
      <c r="DMW40" s="47"/>
      <c r="DMX40" s="47"/>
      <c r="DMY40" s="47"/>
      <c r="DMZ40" s="47"/>
      <c r="DNA40" s="47"/>
      <c r="DNB40" s="47"/>
      <c r="DNC40" s="47"/>
      <c r="DND40" s="47"/>
      <c r="DNE40" s="47"/>
      <c r="DNF40" s="47"/>
      <c r="DNG40" s="47"/>
      <c r="DNH40" s="47"/>
      <c r="DNI40" s="47"/>
      <c r="DNJ40" s="47"/>
      <c r="DNK40" s="47"/>
      <c r="DNL40" s="47"/>
      <c r="DNM40" s="47"/>
      <c r="DNN40" s="47"/>
      <c r="DNO40" s="47"/>
      <c r="DNP40" s="47"/>
      <c r="DNQ40" s="47"/>
      <c r="DNR40" s="47"/>
      <c r="DNS40" s="47"/>
      <c r="DNT40" s="47"/>
      <c r="DNU40" s="47"/>
      <c r="DNV40" s="47"/>
      <c r="DNW40" s="47"/>
      <c r="DNX40" s="47"/>
      <c r="DNY40" s="47"/>
      <c r="DNZ40" s="47"/>
      <c r="DOA40" s="47"/>
      <c r="DOB40" s="47"/>
      <c r="DOC40" s="47"/>
      <c r="DOD40" s="47"/>
      <c r="DOE40" s="47"/>
      <c r="DOF40" s="47"/>
      <c r="DOG40" s="47"/>
      <c r="DOH40" s="47"/>
      <c r="DOI40" s="47"/>
      <c r="DOJ40" s="47"/>
      <c r="DOK40" s="47"/>
      <c r="DOL40" s="47"/>
      <c r="DOM40" s="47"/>
      <c r="DON40" s="47"/>
      <c r="DOO40" s="47"/>
      <c r="DOP40" s="47"/>
      <c r="DOQ40" s="47"/>
      <c r="DOR40" s="47"/>
      <c r="DOS40" s="47"/>
      <c r="DOT40" s="47"/>
      <c r="DOU40" s="47"/>
      <c r="DOV40" s="47"/>
      <c r="DOW40" s="47"/>
      <c r="DOX40" s="47"/>
      <c r="DOY40" s="47"/>
      <c r="DOZ40" s="47"/>
      <c r="DPA40" s="47"/>
      <c r="DPB40" s="47"/>
      <c r="DPC40" s="47"/>
      <c r="DPD40" s="47"/>
      <c r="DPE40" s="47"/>
      <c r="DPF40" s="47"/>
      <c r="DPG40" s="47"/>
      <c r="DPH40" s="47"/>
      <c r="DPI40" s="47"/>
      <c r="DPJ40" s="47"/>
      <c r="DPK40" s="47"/>
      <c r="DPL40" s="47"/>
      <c r="DPM40" s="47"/>
      <c r="DPN40" s="47"/>
      <c r="DPO40" s="47"/>
      <c r="DPP40" s="47"/>
      <c r="DPQ40" s="47"/>
      <c r="DPR40" s="47"/>
      <c r="DPS40" s="47"/>
      <c r="DPT40" s="47"/>
      <c r="DPU40" s="47"/>
      <c r="DPV40" s="47"/>
      <c r="DPW40" s="47"/>
      <c r="DPX40" s="47"/>
      <c r="DPY40" s="47"/>
      <c r="DPZ40" s="47"/>
      <c r="DQA40" s="47"/>
      <c r="DQB40" s="47"/>
      <c r="DQC40" s="47"/>
      <c r="DQD40" s="47"/>
      <c r="DQE40" s="47"/>
      <c r="DQF40" s="47"/>
      <c r="DQG40" s="47"/>
      <c r="DQH40" s="47"/>
      <c r="DQI40" s="47"/>
      <c r="DQJ40" s="47"/>
      <c r="DQK40" s="47"/>
      <c r="DQL40" s="47"/>
      <c r="DQM40" s="47"/>
      <c r="DQN40" s="47"/>
      <c r="DQO40" s="47"/>
      <c r="DQP40" s="47"/>
      <c r="DQQ40" s="47"/>
      <c r="DQR40" s="47"/>
      <c r="DQS40" s="47"/>
      <c r="DQT40" s="47"/>
      <c r="DQU40" s="47"/>
      <c r="DQV40" s="47"/>
      <c r="DQW40" s="47"/>
      <c r="DQX40" s="47"/>
      <c r="DQY40" s="47"/>
      <c r="DQZ40" s="47"/>
      <c r="DRA40" s="47"/>
      <c r="DRB40" s="47"/>
      <c r="DRC40" s="47"/>
      <c r="DRD40" s="47"/>
      <c r="DRE40" s="47"/>
      <c r="DRF40" s="47"/>
      <c r="DRG40" s="47"/>
      <c r="DRH40" s="47"/>
      <c r="DRI40" s="47"/>
      <c r="DRJ40" s="47"/>
      <c r="DRK40" s="47"/>
      <c r="DRL40" s="47"/>
      <c r="DRM40" s="47"/>
      <c r="DRN40" s="47"/>
      <c r="DRO40" s="47"/>
      <c r="DRP40" s="47"/>
      <c r="DRQ40" s="47"/>
      <c r="DRR40" s="47"/>
      <c r="DRS40" s="47"/>
      <c r="DRT40" s="47"/>
      <c r="DRU40" s="47"/>
      <c r="DRV40" s="47"/>
      <c r="DRW40" s="47"/>
      <c r="DRX40" s="47"/>
      <c r="DRY40" s="47"/>
      <c r="DRZ40" s="47"/>
      <c r="DSA40" s="47"/>
      <c r="DSB40" s="47"/>
      <c r="DSC40" s="47"/>
      <c r="DSD40" s="47"/>
      <c r="DSE40" s="47"/>
      <c r="DSF40" s="47"/>
      <c r="DSG40" s="47"/>
      <c r="DSH40" s="47"/>
      <c r="DSI40" s="47"/>
      <c r="DSJ40" s="47"/>
      <c r="DSK40" s="47"/>
      <c r="DSL40" s="47"/>
      <c r="DSM40" s="47"/>
      <c r="DSN40" s="47"/>
      <c r="DSO40" s="47"/>
      <c r="DSP40" s="47"/>
      <c r="DSQ40" s="47"/>
      <c r="DSR40" s="47"/>
      <c r="DSS40" s="47"/>
      <c r="DST40" s="47"/>
      <c r="DSU40" s="47"/>
      <c r="DSV40" s="47"/>
      <c r="DSW40" s="47"/>
      <c r="DSX40" s="47"/>
      <c r="DSY40" s="47"/>
      <c r="DSZ40" s="47"/>
      <c r="DTA40" s="47"/>
      <c r="DTB40" s="47"/>
      <c r="DTC40" s="47"/>
      <c r="DTD40" s="47"/>
      <c r="DTE40" s="47"/>
      <c r="DTF40" s="47"/>
      <c r="DTG40" s="47"/>
      <c r="DTH40" s="47"/>
      <c r="DTI40" s="47"/>
      <c r="DTJ40" s="47"/>
      <c r="DTK40" s="47"/>
      <c r="DTL40" s="47"/>
      <c r="DTM40" s="47"/>
      <c r="DTN40" s="47"/>
      <c r="DTO40" s="47"/>
      <c r="DTP40" s="47"/>
      <c r="DTQ40" s="47"/>
      <c r="DTR40" s="47"/>
      <c r="DTS40" s="47"/>
      <c r="DTT40" s="47"/>
      <c r="DTU40" s="47"/>
      <c r="DTV40" s="47"/>
      <c r="DTW40" s="47"/>
      <c r="DTX40" s="47"/>
      <c r="DTY40" s="47"/>
      <c r="DTZ40" s="47"/>
      <c r="DUA40" s="47"/>
      <c r="DUB40" s="47"/>
      <c r="DUC40" s="47"/>
      <c r="DUD40" s="47"/>
      <c r="DUE40" s="47"/>
      <c r="DUF40" s="47"/>
      <c r="DUG40" s="47"/>
      <c r="DUH40" s="47"/>
      <c r="DUI40" s="47"/>
      <c r="DUJ40" s="47"/>
      <c r="DUK40" s="47"/>
      <c r="DUL40" s="47"/>
      <c r="DUM40" s="47"/>
      <c r="DUN40" s="47"/>
      <c r="DUO40" s="47"/>
      <c r="DUP40" s="47"/>
      <c r="DUQ40" s="47"/>
      <c r="DUR40" s="47"/>
      <c r="DUS40" s="47"/>
      <c r="DUT40" s="47"/>
      <c r="DUU40" s="47"/>
      <c r="DUV40" s="47"/>
      <c r="DUW40" s="47"/>
      <c r="DUX40" s="47"/>
      <c r="DUY40" s="47"/>
      <c r="DUZ40" s="47"/>
      <c r="DVA40" s="47"/>
      <c r="DVB40" s="47"/>
      <c r="DVC40" s="47"/>
      <c r="DVD40" s="47"/>
      <c r="DVE40" s="47"/>
      <c r="DVF40" s="47"/>
      <c r="DVG40" s="47"/>
      <c r="DVH40" s="47"/>
      <c r="DVI40" s="47"/>
      <c r="DVJ40" s="47"/>
      <c r="DVK40" s="47"/>
      <c r="DVL40" s="47"/>
      <c r="DVM40" s="47"/>
      <c r="DVN40" s="47"/>
      <c r="DVO40" s="47"/>
      <c r="DVP40" s="47"/>
      <c r="DVQ40" s="47"/>
      <c r="DVR40" s="47"/>
      <c r="DVS40" s="47"/>
      <c r="DVT40" s="47"/>
      <c r="DVU40" s="47"/>
      <c r="DVV40" s="47"/>
      <c r="DVW40" s="47"/>
      <c r="DVX40" s="47"/>
      <c r="DVY40" s="47"/>
      <c r="DVZ40" s="47"/>
      <c r="DWA40" s="47"/>
      <c r="DWB40" s="47"/>
      <c r="DWC40" s="47"/>
      <c r="DWD40" s="47"/>
      <c r="DWE40" s="47"/>
      <c r="DWF40" s="47"/>
      <c r="DWG40" s="47"/>
      <c r="DWH40" s="47"/>
      <c r="DWI40" s="47"/>
      <c r="DWJ40" s="47"/>
      <c r="DWK40" s="47"/>
      <c r="DWL40" s="47"/>
      <c r="DWM40" s="47"/>
      <c r="DWN40" s="47"/>
      <c r="DWO40" s="47"/>
      <c r="DWP40" s="47"/>
      <c r="DWQ40" s="47"/>
      <c r="DWR40" s="47"/>
      <c r="DWS40" s="47"/>
      <c r="DWT40" s="47"/>
      <c r="DWU40" s="47"/>
      <c r="DWV40" s="47"/>
      <c r="DWW40" s="47"/>
      <c r="DWX40" s="47"/>
      <c r="DWY40" s="47"/>
      <c r="DWZ40" s="47"/>
      <c r="DXA40" s="47"/>
      <c r="DXB40" s="47"/>
      <c r="DXC40" s="47"/>
      <c r="DXD40" s="47"/>
      <c r="DXE40" s="47"/>
      <c r="DXF40" s="47"/>
      <c r="DXG40" s="47"/>
      <c r="DXH40" s="47"/>
      <c r="DXI40" s="47"/>
      <c r="DXJ40" s="47"/>
      <c r="DXK40" s="47"/>
      <c r="DXL40" s="47"/>
      <c r="DXM40" s="47"/>
      <c r="DXN40" s="47"/>
      <c r="DXO40" s="47"/>
      <c r="DXP40" s="47"/>
      <c r="DXQ40" s="47"/>
      <c r="DXR40" s="47"/>
      <c r="DXS40" s="47"/>
      <c r="DXT40" s="47"/>
      <c r="DXU40" s="47"/>
      <c r="DXV40" s="47"/>
      <c r="DXW40" s="47"/>
      <c r="DXX40" s="47"/>
      <c r="DXY40" s="47"/>
      <c r="DXZ40" s="47"/>
      <c r="DYA40" s="47"/>
      <c r="DYB40" s="47"/>
      <c r="DYC40" s="47"/>
      <c r="DYD40" s="47"/>
      <c r="DYE40" s="47"/>
      <c r="DYF40" s="47"/>
      <c r="DYG40" s="47"/>
      <c r="DYH40" s="47"/>
      <c r="DYI40" s="47"/>
      <c r="DYJ40" s="47"/>
      <c r="DYK40" s="47"/>
      <c r="DYL40" s="47"/>
      <c r="DYM40" s="47"/>
      <c r="DYN40" s="47"/>
      <c r="DYO40" s="47"/>
      <c r="DYP40" s="47"/>
      <c r="DYQ40" s="47"/>
      <c r="DYR40" s="47"/>
      <c r="DYS40" s="47"/>
      <c r="DYT40" s="47"/>
      <c r="DYU40" s="47"/>
      <c r="DYV40" s="47"/>
      <c r="DYW40" s="47"/>
      <c r="DYX40" s="47"/>
      <c r="DYY40" s="47"/>
      <c r="DYZ40" s="47"/>
      <c r="DZA40" s="47"/>
      <c r="DZB40" s="47"/>
      <c r="DZC40" s="47"/>
      <c r="DZD40" s="47"/>
      <c r="DZE40" s="47"/>
      <c r="DZF40" s="47"/>
      <c r="DZG40" s="47"/>
      <c r="DZH40" s="47"/>
      <c r="DZI40" s="47"/>
      <c r="DZJ40" s="47"/>
      <c r="DZK40" s="47"/>
      <c r="DZL40" s="47"/>
      <c r="DZM40" s="47"/>
      <c r="DZN40" s="47"/>
      <c r="DZO40" s="47"/>
      <c r="DZP40" s="47"/>
      <c r="DZQ40" s="47"/>
      <c r="DZR40" s="47"/>
      <c r="DZS40" s="47"/>
      <c r="DZT40" s="47"/>
      <c r="DZU40" s="47"/>
      <c r="DZV40" s="47"/>
      <c r="DZW40" s="47"/>
      <c r="DZX40" s="47"/>
      <c r="DZY40" s="47"/>
      <c r="DZZ40" s="47"/>
      <c r="EAA40" s="47"/>
      <c r="EAB40" s="47"/>
      <c r="EAC40" s="47"/>
      <c r="EAD40" s="47"/>
      <c r="EAE40" s="47"/>
      <c r="EAF40" s="47"/>
      <c r="EAG40" s="47"/>
      <c r="EAH40" s="47"/>
      <c r="EAI40" s="47"/>
      <c r="EAJ40" s="47"/>
      <c r="EAK40" s="47"/>
      <c r="EAL40" s="47"/>
      <c r="EAM40" s="47"/>
      <c r="EAN40" s="47"/>
      <c r="EAO40" s="47"/>
      <c r="EAP40" s="47"/>
      <c r="EAQ40" s="47"/>
      <c r="EAR40" s="47"/>
      <c r="EAS40" s="47"/>
      <c r="EAT40" s="47"/>
      <c r="EAU40" s="47"/>
      <c r="EAV40" s="47"/>
      <c r="EAW40" s="47"/>
      <c r="EAX40" s="47"/>
      <c r="EAY40" s="47"/>
      <c r="EAZ40" s="47"/>
      <c r="EBA40" s="47"/>
      <c r="EBB40" s="47"/>
      <c r="EBC40" s="47"/>
      <c r="EBD40" s="47"/>
      <c r="EBE40" s="47"/>
      <c r="EBF40" s="47"/>
      <c r="EBG40" s="47"/>
      <c r="EBH40" s="47"/>
      <c r="EBI40" s="47"/>
      <c r="EBJ40" s="47"/>
      <c r="EBK40" s="47"/>
      <c r="EBL40" s="47"/>
      <c r="EBM40" s="47"/>
      <c r="EBN40" s="47"/>
      <c r="EBO40" s="47"/>
      <c r="EBP40" s="47"/>
      <c r="EBQ40" s="47"/>
      <c r="EBR40" s="47"/>
      <c r="EBS40" s="47"/>
      <c r="EBT40" s="47"/>
      <c r="EBU40" s="47"/>
      <c r="EBV40" s="47"/>
      <c r="EBW40" s="47"/>
      <c r="EBX40" s="47"/>
      <c r="EBY40" s="47"/>
      <c r="EBZ40" s="47"/>
      <c r="ECA40" s="47"/>
      <c r="ECB40" s="47"/>
      <c r="ECC40" s="47"/>
      <c r="ECD40" s="47"/>
      <c r="ECE40" s="47"/>
      <c r="ECF40" s="47"/>
      <c r="ECG40" s="47"/>
      <c r="ECH40" s="47"/>
      <c r="ECI40" s="47"/>
      <c r="ECJ40" s="47"/>
      <c r="ECK40" s="47"/>
      <c r="ECL40" s="47"/>
      <c r="ECM40" s="47"/>
      <c r="ECN40" s="47"/>
      <c r="ECO40" s="47"/>
      <c r="ECP40" s="47"/>
      <c r="ECQ40" s="47"/>
      <c r="ECR40" s="47"/>
      <c r="ECS40" s="47"/>
      <c r="ECT40" s="47"/>
      <c r="ECU40" s="47"/>
      <c r="ECV40" s="47"/>
      <c r="ECW40" s="47"/>
      <c r="ECX40" s="47"/>
      <c r="ECY40" s="47"/>
      <c r="ECZ40" s="47"/>
      <c r="EDA40" s="47"/>
      <c r="EDB40" s="47"/>
      <c r="EDC40" s="47"/>
      <c r="EDD40" s="47"/>
      <c r="EDE40" s="47"/>
      <c r="EDF40" s="47"/>
      <c r="EDG40" s="47"/>
      <c r="EDH40" s="47"/>
      <c r="EDI40" s="47"/>
      <c r="EDJ40" s="47"/>
      <c r="EDK40" s="47"/>
      <c r="EDL40" s="47"/>
      <c r="EDM40" s="47"/>
      <c r="EDN40" s="47"/>
      <c r="EDO40" s="47"/>
      <c r="EDP40" s="47"/>
      <c r="EDQ40" s="47"/>
      <c r="EDR40" s="47"/>
      <c r="EDS40" s="47"/>
      <c r="EDT40" s="47"/>
      <c r="EDU40" s="47"/>
      <c r="EDV40" s="47"/>
      <c r="EDW40" s="47"/>
      <c r="EDX40" s="47"/>
      <c r="EDY40" s="47"/>
      <c r="EDZ40" s="47"/>
      <c r="EEA40" s="47"/>
      <c r="EEB40" s="47"/>
      <c r="EEC40" s="47"/>
      <c r="EED40" s="47"/>
      <c r="EEE40" s="47"/>
      <c r="EEF40" s="47"/>
      <c r="EEG40" s="47"/>
      <c r="EEH40" s="47"/>
      <c r="EEI40" s="47"/>
      <c r="EEJ40" s="47"/>
      <c r="EEK40" s="47"/>
      <c r="EEL40" s="47"/>
      <c r="EEM40" s="47"/>
      <c r="EEN40" s="47"/>
      <c r="EEO40" s="47"/>
      <c r="EEP40" s="47"/>
      <c r="EEQ40" s="47"/>
      <c r="EER40" s="47"/>
      <c r="EES40" s="47"/>
      <c r="EET40" s="47"/>
      <c r="EEU40" s="47"/>
      <c r="EEV40" s="47"/>
      <c r="EEW40" s="47"/>
      <c r="EEX40" s="47"/>
      <c r="EEY40" s="47"/>
      <c r="EEZ40" s="47"/>
      <c r="EFA40" s="47"/>
      <c r="EFB40" s="47"/>
      <c r="EFC40" s="47"/>
      <c r="EFD40" s="47"/>
      <c r="EFE40" s="47"/>
      <c r="EFF40" s="47"/>
      <c r="EFG40" s="47"/>
      <c r="EFH40" s="47"/>
      <c r="EFI40" s="47"/>
      <c r="EFJ40" s="47"/>
      <c r="EFK40" s="47"/>
      <c r="EFL40" s="47"/>
      <c r="EFM40" s="47"/>
      <c r="EFN40" s="47"/>
      <c r="EFO40" s="47"/>
      <c r="EFP40" s="47"/>
      <c r="EFQ40" s="47"/>
      <c r="EFR40" s="47"/>
      <c r="EFS40" s="47"/>
      <c r="EFT40" s="47"/>
      <c r="EFU40" s="47"/>
      <c r="EFV40" s="47"/>
      <c r="EFW40" s="47"/>
      <c r="EFX40" s="47"/>
      <c r="EFY40" s="47"/>
      <c r="EFZ40" s="47"/>
      <c r="EGA40" s="47"/>
      <c r="EGB40" s="47"/>
      <c r="EGC40" s="47"/>
      <c r="EGD40" s="47"/>
      <c r="EGE40" s="47"/>
      <c r="EGF40" s="47"/>
      <c r="EGG40" s="47"/>
      <c r="EGH40" s="47"/>
      <c r="EGI40" s="47"/>
      <c r="EGJ40" s="47"/>
      <c r="EGK40" s="47"/>
      <c r="EGL40" s="47"/>
      <c r="EGM40" s="47"/>
      <c r="EGN40" s="47"/>
      <c r="EGO40" s="47"/>
      <c r="EGP40" s="47"/>
      <c r="EGQ40" s="47"/>
      <c r="EGR40" s="47"/>
      <c r="EGS40" s="47"/>
      <c r="EGT40" s="47"/>
      <c r="EGU40" s="47"/>
      <c r="EGV40" s="47"/>
      <c r="EGW40" s="47"/>
      <c r="EGX40" s="47"/>
      <c r="EGY40" s="47"/>
      <c r="EGZ40" s="47"/>
      <c r="EHA40" s="47"/>
      <c r="EHB40" s="47"/>
      <c r="EHC40" s="47"/>
      <c r="EHD40" s="47"/>
      <c r="EHE40" s="47"/>
      <c r="EHF40" s="47"/>
      <c r="EHG40" s="47"/>
      <c r="EHH40" s="47"/>
      <c r="EHI40" s="47"/>
      <c r="EHJ40" s="47"/>
      <c r="EHK40" s="47"/>
      <c r="EHL40" s="47"/>
      <c r="EHM40" s="47"/>
      <c r="EHN40" s="47"/>
      <c r="EHO40" s="47"/>
      <c r="EHP40" s="47"/>
      <c r="EHQ40" s="47"/>
      <c r="EHR40" s="47"/>
      <c r="EHS40" s="47"/>
      <c r="EHT40" s="47"/>
      <c r="EHU40" s="47"/>
      <c r="EHV40" s="47"/>
      <c r="EHW40" s="47"/>
      <c r="EHX40" s="47"/>
      <c r="EHY40" s="47"/>
      <c r="EHZ40" s="47"/>
      <c r="EIA40" s="47"/>
      <c r="EIB40" s="47"/>
      <c r="EIC40" s="47"/>
      <c r="EID40" s="47"/>
      <c r="EIE40" s="47"/>
      <c r="EIF40" s="47"/>
      <c r="EIG40" s="47"/>
      <c r="EIH40" s="47"/>
      <c r="EII40" s="47"/>
      <c r="EIJ40" s="47"/>
      <c r="EIK40" s="47"/>
      <c r="EIL40" s="47"/>
      <c r="EIM40" s="47"/>
      <c r="EIN40" s="47"/>
      <c r="EIO40" s="47"/>
      <c r="EIP40" s="47"/>
      <c r="EIQ40" s="47"/>
      <c r="EIR40" s="47"/>
      <c r="EIS40" s="47"/>
      <c r="EIT40" s="47"/>
      <c r="EIU40" s="47"/>
      <c r="EIV40" s="47"/>
      <c r="EIW40" s="47"/>
      <c r="EIX40" s="47"/>
      <c r="EIY40" s="47"/>
      <c r="EIZ40" s="47"/>
      <c r="EJA40" s="47"/>
      <c r="EJB40" s="47"/>
      <c r="EJC40" s="47"/>
      <c r="EJD40" s="47"/>
      <c r="EJE40" s="47"/>
      <c r="EJF40" s="47"/>
      <c r="EJG40" s="47"/>
      <c r="EJH40" s="47"/>
      <c r="EJI40" s="47"/>
      <c r="EJJ40" s="47"/>
      <c r="EJK40" s="47"/>
      <c r="EJL40" s="47"/>
      <c r="EJM40" s="47"/>
      <c r="EJN40" s="47"/>
      <c r="EJO40" s="47"/>
      <c r="EJP40" s="47"/>
      <c r="EJQ40" s="47"/>
      <c r="EJR40" s="47"/>
      <c r="EJS40" s="47"/>
      <c r="EJT40" s="47"/>
      <c r="EJU40" s="47"/>
      <c r="EJV40" s="47"/>
      <c r="EJW40" s="47"/>
      <c r="EJX40" s="47"/>
      <c r="EJY40" s="47"/>
      <c r="EJZ40" s="47"/>
      <c r="EKA40" s="47"/>
      <c r="EKB40" s="47"/>
      <c r="EKC40" s="47"/>
      <c r="EKD40" s="47"/>
      <c r="EKE40" s="47"/>
      <c r="EKF40" s="47"/>
      <c r="EKG40" s="47"/>
      <c r="EKH40" s="47"/>
      <c r="EKI40" s="47"/>
      <c r="EKJ40" s="47"/>
      <c r="EKK40" s="47"/>
      <c r="EKL40" s="47"/>
      <c r="EKM40" s="47"/>
      <c r="EKN40" s="47"/>
      <c r="EKO40" s="47"/>
      <c r="EKP40" s="47"/>
      <c r="EKQ40" s="47"/>
      <c r="EKR40" s="47"/>
      <c r="EKS40" s="47"/>
      <c r="EKT40" s="47"/>
      <c r="EKU40" s="47"/>
      <c r="EKV40" s="47"/>
      <c r="EKW40" s="47"/>
      <c r="EKX40" s="47"/>
      <c r="EKY40" s="47"/>
      <c r="EKZ40" s="47"/>
      <c r="ELA40" s="47"/>
      <c r="ELB40" s="47"/>
      <c r="ELC40" s="47"/>
      <c r="ELD40" s="47"/>
      <c r="ELE40" s="47"/>
      <c r="ELF40" s="47"/>
      <c r="ELG40" s="47"/>
      <c r="ELH40" s="47"/>
      <c r="ELI40" s="47"/>
      <c r="ELJ40" s="47"/>
      <c r="ELK40" s="47"/>
      <c r="ELL40" s="47"/>
      <c r="ELM40" s="47"/>
      <c r="ELN40" s="47"/>
      <c r="ELO40" s="47"/>
      <c r="ELP40" s="47"/>
      <c r="ELQ40" s="47"/>
      <c r="ELR40" s="47"/>
      <c r="ELS40" s="47"/>
      <c r="ELT40" s="47"/>
      <c r="ELU40" s="47"/>
      <c r="ELV40" s="47"/>
      <c r="ELW40" s="47"/>
      <c r="ELX40" s="47"/>
      <c r="ELY40" s="47"/>
      <c r="ELZ40" s="47"/>
      <c r="EMA40" s="47"/>
      <c r="EMB40" s="47"/>
      <c r="EMC40" s="47"/>
      <c r="EMD40" s="47"/>
      <c r="EME40" s="47"/>
      <c r="EMF40" s="47"/>
      <c r="EMG40" s="47"/>
      <c r="EMH40" s="47"/>
      <c r="EMI40" s="47"/>
      <c r="EMJ40" s="47"/>
      <c r="EMK40" s="47"/>
      <c r="EML40" s="47"/>
      <c r="EMM40" s="47"/>
      <c r="EMN40" s="47"/>
      <c r="EMO40" s="47"/>
      <c r="EMP40" s="47"/>
      <c r="EMQ40" s="47"/>
      <c r="EMR40" s="47"/>
      <c r="EMS40" s="47"/>
      <c r="EMT40" s="47"/>
      <c r="EMU40" s="47"/>
      <c r="EMV40" s="47"/>
      <c r="EMW40" s="47"/>
      <c r="EMX40" s="47"/>
      <c r="EMY40" s="47"/>
      <c r="EMZ40" s="47"/>
      <c r="ENA40" s="47"/>
      <c r="ENB40" s="47"/>
      <c r="ENC40" s="47"/>
      <c r="END40" s="47"/>
      <c r="ENE40" s="47"/>
      <c r="ENF40" s="47"/>
      <c r="ENG40" s="47"/>
      <c r="ENH40" s="47"/>
      <c r="ENI40" s="47"/>
      <c r="ENJ40" s="47"/>
      <c r="ENK40" s="47"/>
      <c r="ENL40" s="47"/>
      <c r="ENM40" s="47"/>
      <c r="ENN40" s="47"/>
      <c r="ENO40" s="47"/>
      <c r="ENP40" s="47"/>
      <c r="ENQ40" s="47"/>
      <c r="ENR40" s="47"/>
      <c r="ENS40" s="47"/>
      <c r="ENT40" s="47"/>
      <c r="ENU40" s="47"/>
      <c r="ENV40" s="47"/>
      <c r="ENW40" s="47"/>
      <c r="ENX40" s="47"/>
      <c r="ENY40" s="47"/>
      <c r="ENZ40" s="47"/>
      <c r="EOA40" s="47"/>
      <c r="EOB40" s="47"/>
      <c r="EOC40" s="47"/>
      <c r="EOD40" s="47"/>
      <c r="EOE40" s="47"/>
      <c r="EOF40" s="47"/>
      <c r="EOG40" s="47"/>
      <c r="EOH40" s="47"/>
      <c r="EOI40" s="47"/>
      <c r="EOJ40" s="47"/>
      <c r="EOK40" s="47"/>
      <c r="EOL40" s="47"/>
      <c r="EOM40" s="47"/>
      <c r="EON40" s="47"/>
      <c r="EOO40" s="47"/>
      <c r="EOP40" s="47"/>
      <c r="EOQ40" s="47"/>
      <c r="EOR40" s="47"/>
      <c r="EOS40" s="47"/>
      <c r="EOT40" s="47"/>
      <c r="EOU40" s="47"/>
      <c r="EOV40" s="47"/>
      <c r="EOW40" s="47"/>
      <c r="EOX40" s="47"/>
      <c r="EOY40" s="47"/>
      <c r="EOZ40" s="47"/>
      <c r="EPA40" s="47"/>
      <c r="EPB40" s="47"/>
      <c r="EPC40" s="47"/>
      <c r="EPD40" s="47"/>
      <c r="EPE40" s="47"/>
      <c r="EPF40" s="47"/>
      <c r="EPG40" s="47"/>
      <c r="EPH40" s="47"/>
      <c r="EPI40" s="47"/>
      <c r="EPJ40" s="47"/>
      <c r="EPK40" s="47"/>
      <c r="EPL40" s="47"/>
      <c r="EPM40" s="47"/>
      <c r="EPN40" s="47"/>
      <c r="EPO40" s="47"/>
      <c r="EPP40" s="47"/>
      <c r="EPQ40" s="47"/>
      <c r="EPR40" s="47"/>
      <c r="EPS40" s="47"/>
      <c r="EPT40" s="47"/>
      <c r="EPU40" s="47"/>
      <c r="EPV40" s="47"/>
      <c r="EPW40" s="47"/>
      <c r="EPX40" s="47"/>
      <c r="EPY40" s="47"/>
      <c r="EPZ40" s="47"/>
      <c r="EQA40" s="47"/>
      <c r="EQB40" s="47"/>
      <c r="EQC40" s="47"/>
      <c r="EQD40" s="47"/>
      <c r="EQE40" s="47"/>
      <c r="EQF40" s="47"/>
      <c r="EQG40" s="47"/>
      <c r="EQH40" s="47"/>
      <c r="EQI40" s="47"/>
      <c r="EQJ40" s="47"/>
      <c r="EQK40" s="47"/>
      <c r="EQL40" s="47"/>
      <c r="EQM40" s="47"/>
      <c r="EQN40" s="47"/>
      <c r="EQO40" s="47"/>
      <c r="EQP40" s="47"/>
      <c r="EQQ40" s="47"/>
      <c r="EQR40" s="47"/>
      <c r="EQS40" s="47"/>
      <c r="EQT40" s="47"/>
      <c r="EQU40" s="47"/>
      <c r="EQV40" s="47"/>
      <c r="EQW40" s="47"/>
      <c r="EQX40" s="47"/>
      <c r="EQY40" s="47"/>
      <c r="EQZ40" s="47"/>
      <c r="ERA40" s="47"/>
      <c r="ERB40" s="47"/>
      <c r="ERC40" s="47"/>
      <c r="ERD40" s="47"/>
      <c r="ERE40" s="47"/>
      <c r="ERF40" s="47"/>
      <c r="ERG40" s="47"/>
      <c r="ERH40" s="47"/>
      <c r="ERI40" s="47"/>
      <c r="ERJ40" s="47"/>
      <c r="ERK40" s="47"/>
      <c r="ERL40" s="47"/>
      <c r="ERM40" s="47"/>
      <c r="ERN40" s="47"/>
      <c r="ERO40" s="47"/>
      <c r="ERP40" s="47"/>
      <c r="ERQ40" s="47"/>
      <c r="ERR40" s="47"/>
      <c r="ERS40" s="47"/>
      <c r="ERT40" s="47"/>
      <c r="ERU40" s="47"/>
      <c r="ERV40" s="47"/>
      <c r="ERW40" s="47"/>
      <c r="ERX40" s="47"/>
      <c r="ERY40" s="47"/>
      <c r="ERZ40" s="47"/>
      <c r="ESA40" s="47"/>
      <c r="ESB40" s="47"/>
      <c r="ESC40" s="47"/>
      <c r="ESD40" s="47"/>
      <c r="ESE40" s="47"/>
      <c r="ESF40" s="47"/>
      <c r="ESG40" s="47"/>
      <c r="ESH40" s="47"/>
      <c r="ESI40" s="47"/>
      <c r="ESJ40" s="47"/>
      <c r="ESK40" s="47"/>
      <c r="ESL40" s="47"/>
      <c r="ESM40" s="47"/>
      <c r="ESN40" s="47"/>
      <c r="ESO40" s="47"/>
      <c r="ESP40" s="47"/>
      <c r="ESQ40" s="47"/>
      <c r="ESR40" s="47"/>
      <c r="ESS40" s="47"/>
      <c r="EST40" s="47"/>
      <c r="ESU40" s="47"/>
      <c r="ESV40" s="47"/>
      <c r="ESW40" s="47"/>
      <c r="ESX40" s="47"/>
      <c r="ESY40" s="47"/>
      <c r="ESZ40" s="47"/>
      <c r="ETA40" s="47"/>
      <c r="ETB40" s="47"/>
      <c r="ETC40" s="47"/>
      <c r="ETD40" s="47"/>
      <c r="ETE40" s="47"/>
      <c r="ETF40" s="47"/>
      <c r="ETG40" s="47"/>
      <c r="ETH40" s="47"/>
      <c r="ETI40" s="47"/>
      <c r="ETJ40" s="47"/>
      <c r="ETK40" s="47"/>
      <c r="ETL40" s="47"/>
      <c r="ETM40" s="47"/>
      <c r="ETN40" s="47"/>
      <c r="ETO40" s="47"/>
      <c r="ETP40" s="47"/>
      <c r="ETQ40" s="47"/>
      <c r="ETR40" s="47"/>
      <c r="ETS40" s="47"/>
      <c r="ETT40" s="47"/>
      <c r="ETU40" s="47"/>
      <c r="ETV40" s="47"/>
      <c r="ETW40" s="47"/>
      <c r="ETX40" s="47"/>
      <c r="ETY40" s="47"/>
      <c r="ETZ40" s="47"/>
      <c r="EUA40" s="47"/>
      <c r="EUB40" s="47"/>
      <c r="EUC40" s="47"/>
      <c r="EUD40" s="47"/>
      <c r="EUE40" s="47"/>
      <c r="EUF40" s="47"/>
      <c r="EUG40" s="47"/>
      <c r="EUH40" s="47"/>
      <c r="EUI40" s="47"/>
      <c r="EUJ40" s="47"/>
      <c r="EUK40" s="47"/>
      <c r="EUL40" s="47"/>
      <c r="EUM40" s="47"/>
      <c r="EUN40" s="47"/>
      <c r="EUO40" s="47"/>
      <c r="EUP40" s="47"/>
      <c r="EUQ40" s="47"/>
      <c r="EUR40" s="47"/>
      <c r="EUS40" s="47"/>
      <c r="EUT40" s="47"/>
      <c r="EUU40" s="47"/>
      <c r="EUV40" s="47"/>
      <c r="EUW40" s="47"/>
      <c r="EUX40" s="47"/>
      <c r="EUY40" s="47"/>
      <c r="EUZ40" s="47"/>
      <c r="EVA40" s="47"/>
      <c r="EVB40" s="47"/>
      <c r="EVC40" s="47"/>
      <c r="EVD40" s="47"/>
      <c r="EVE40" s="47"/>
      <c r="EVF40" s="47"/>
      <c r="EVG40" s="47"/>
      <c r="EVH40" s="47"/>
      <c r="EVI40" s="47"/>
      <c r="EVJ40" s="47"/>
      <c r="EVK40" s="47"/>
      <c r="EVL40" s="47"/>
      <c r="EVM40" s="47"/>
      <c r="EVN40" s="47"/>
      <c r="EVO40" s="47"/>
      <c r="EVP40" s="47"/>
      <c r="EVQ40" s="47"/>
      <c r="EVR40" s="47"/>
      <c r="EVS40" s="47"/>
      <c r="EVT40" s="47"/>
      <c r="EVU40" s="47"/>
      <c r="EVV40" s="47"/>
      <c r="EVW40" s="47"/>
      <c r="EVX40" s="47"/>
      <c r="EVY40" s="47"/>
      <c r="EVZ40" s="47"/>
      <c r="EWA40" s="47"/>
      <c r="EWB40" s="47"/>
      <c r="EWC40" s="47"/>
      <c r="EWD40" s="47"/>
      <c r="EWE40" s="47"/>
      <c r="EWF40" s="47"/>
      <c r="EWG40" s="47"/>
      <c r="EWH40" s="47"/>
      <c r="EWI40" s="47"/>
      <c r="EWJ40" s="47"/>
      <c r="EWK40" s="47"/>
      <c r="EWL40" s="47"/>
      <c r="EWM40" s="47"/>
      <c r="EWN40" s="47"/>
      <c r="EWO40" s="47"/>
      <c r="EWP40" s="47"/>
      <c r="EWQ40" s="47"/>
      <c r="EWR40" s="47"/>
      <c r="EWS40" s="47"/>
      <c r="EWT40" s="47"/>
      <c r="EWU40" s="47"/>
      <c r="EWV40" s="47"/>
      <c r="EWW40" s="47"/>
      <c r="EWX40" s="47"/>
      <c r="EWY40" s="47"/>
      <c r="EWZ40" s="47"/>
      <c r="EXA40" s="47"/>
      <c r="EXB40" s="47"/>
      <c r="EXC40" s="47"/>
      <c r="EXD40" s="47"/>
      <c r="EXE40" s="47"/>
      <c r="EXF40" s="47"/>
      <c r="EXG40" s="47"/>
      <c r="EXH40" s="47"/>
      <c r="EXI40" s="47"/>
      <c r="EXJ40" s="47"/>
      <c r="EXK40" s="47"/>
      <c r="EXL40" s="47"/>
      <c r="EXM40" s="47"/>
      <c r="EXN40" s="47"/>
      <c r="EXO40" s="47"/>
      <c r="EXP40" s="47"/>
      <c r="EXQ40" s="47"/>
      <c r="EXR40" s="47"/>
      <c r="EXS40" s="47"/>
      <c r="EXT40" s="47"/>
      <c r="EXU40" s="47"/>
      <c r="EXV40" s="47"/>
      <c r="EXW40" s="47"/>
      <c r="EXX40" s="47"/>
      <c r="EXY40" s="47"/>
      <c r="EXZ40" s="47"/>
      <c r="EYA40" s="47"/>
      <c r="EYB40" s="47"/>
      <c r="EYC40" s="47"/>
      <c r="EYD40" s="47"/>
      <c r="EYE40" s="47"/>
      <c r="EYF40" s="47"/>
      <c r="EYG40" s="47"/>
      <c r="EYH40" s="47"/>
      <c r="EYI40" s="47"/>
      <c r="EYJ40" s="47"/>
      <c r="EYK40" s="47"/>
      <c r="EYL40" s="47"/>
      <c r="EYM40" s="47"/>
      <c r="EYN40" s="47"/>
      <c r="EYO40" s="47"/>
      <c r="EYP40" s="47"/>
      <c r="EYQ40" s="47"/>
      <c r="EYR40" s="47"/>
      <c r="EYS40" s="47"/>
      <c r="EYT40" s="47"/>
      <c r="EYU40" s="47"/>
      <c r="EYV40" s="47"/>
      <c r="EYW40" s="47"/>
      <c r="EYX40" s="47"/>
      <c r="EYY40" s="47"/>
      <c r="EYZ40" s="47"/>
      <c r="EZA40" s="47"/>
      <c r="EZB40" s="47"/>
      <c r="EZC40" s="47"/>
      <c r="EZD40" s="47"/>
      <c r="EZE40" s="47"/>
      <c r="EZF40" s="47"/>
      <c r="EZG40" s="47"/>
      <c r="EZH40" s="47"/>
      <c r="EZI40" s="47"/>
      <c r="EZJ40" s="47"/>
      <c r="EZK40" s="47"/>
      <c r="EZL40" s="47"/>
      <c r="EZM40" s="47"/>
      <c r="EZN40" s="47"/>
      <c r="EZO40" s="47"/>
      <c r="EZP40" s="47"/>
      <c r="EZQ40" s="47"/>
      <c r="EZR40" s="47"/>
      <c r="EZS40" s="47"/>
      <c r="EZT40" s="47"/>
      <c r="EZU40" s="47"/>
      <c r="EZV40" s="47"/>
      <c r="EZW40" s="47"/>
      <c r="EZX40" s="47"/>
      <c r="EZY40" s="47"/>
      <c r="EZZ40" s="47"/>
      <c r="FAA40" s="47"/>
      <c r="FAB40" s="47"/>
      <c r="FAC40" s="47"/>
      <c r="FAD40" s="47"/>
      <c r="FAE40" s="47"/>
      <c r="FAF40" s="47"/>
      <c r="FAG40" s="47"/>
      <c r="FAH40" s="47"/>
      <c r="FAI40" s="47"/>
      <c r="FAJ40" s="47"/>
      <c r="FAK40" s="47"/>
      <c r="FAL40" s="47"/>
      <c r="FAM40" s="47"/>
      <c r="FAN40" s="47"/>
      <c r="FAO40" s="47"/>
      <c r="FAP40" s="47"/>
      <c r="FAQ40" s="47"/>
      <c r="FAR40" s="47"/>
      <c r="FAS40" s="47"/>
      <c r="FAT40" s="47"/>
      <c r="FAU40" s="47"/>
      <c r="FAV40" s="47"/>
      <c r="FAW40" s="47"/>
      <c r="FAX40" s="47"/>
      <c r="FAY40" s="47"/>
      <c r="FAZ40" s="47"/>
      <c r="FBA40" s="47"/>
      <c r="FBB40" s="47"/>
      <c r="FBC40" s="47"/>
      <c r="FBD40" s="47"/>
      <c r="FBE40" s="47"/>
      <c r="FBF40" s="47"/>
      <c r="FBG40" s="47"/>
      <c r="FBH40" s="47"/>
      <c r="FBI40" s="47"/>
      <c r="FBJ40" s="47"/>
      <c r="FBK40" s="47"/>
      <c r="FBL40" s="47"/>
      <c r="FBM40" s="47"/>
      <c r="FBN40" s="47"/>
      <c r="FBO40" s="47"/>
      <c r="FBP40" s="47"/>
      <c r="FBQ40" s="47"/>
      <c r="FBR40" s="47"/>
      <c r="FBS40" s="47"/>
      <c r="FBT40" s="47"/>
      <c r="FBU40" s="47"/>
      <c r="FBV40" s="47"/>
      <c r="FBW40" s="47"/>
      <c r="FBX40" s="47"/>
      <c r="FBY40" s="47"/>
      <c r="FBZ40" s="47"/>
      <c r="FCA40" s="47"/>
      <c r="FCB40" s="47"/>
      <c r="FCC40" s="47"/>
      <c r="FCD40" s="47"/>
      <c r="FCE40" s="47"/>
      <c r="FCF40" s="47"/>
      <c r="FCG40" s="47"/>
      <c r="FCH40" s="47"/>
      <c r="FCI40" s="47"/>
      <c r="FCJ40" s="47"/>
      <c r="FCK40" s="47"/>
      <c r="FCL40" s="47"/>
      <c r="FCM40" s="47"/>
      <c r="FCN40" s="47"/>
      <c r="FCO40" s="47"/>
      <c r="FCP40" s="47"/>
      <c r="FCQ40" s="47"/>
      <c r="FCR40" s="47"/>
      <c r="FCS40" s="47"/>
      <c r="FCT40" s="47"/>
      <c r="FCU40" s="47"/>
      <c r="FCV40" s="47"/>
      <c r="FCW40" s="47"/>
      <c r="FCX40" s="47"/>
      <c r="FCY40" s="47"/>
      <c r="FCZ40" s="47"/>
      <c r="FDA40" s="47"/>
      <c r="FDB40" s="47"/>
      <c r="FDC40" s="47"/>
      <c r="FDD40" s="47"/>
      <c r="FDE40" s="47"/>
      <c r="FDF40" s="47"/>
      <c r="FDG40" s="47"/>
      <c r="FDH40" s="47"/>
      <c r="FDI40" s="47"/>
      <c r="FDJ40" s="47"/>
      <c r="FDK40" s="47"/>
      <c r="FDL40" s="47"/>
      <c r="FDM40" s="47"/>
      <c r="FDN40" s="47"/>
      <c r="FDO40" s="47"/>
      <c r="FDP40" s="47"/>
      <c r="FDQ40" s="47"/>
      <c r="FDR40" s="47"/>
      <c r="FDS40" s="47"/>
      <c r="FDT40" s="47"/>
      <c r="FDU40" s="47"/>
      <c r="FDV40" s="47"/>
      <c r="FDW40" s="47"/>
      <c r="FDX40" s="47"/>
      <c r="FDY40" s="47"/>
      <c r="FDZ40" s="47"/>
      <c r="FEA40" s="47"/>
      <c r="FEB40" s="47"/>
      <c r="FEC40" s="47"/>
      <c r="FED40" s="47"/>
      <c r="FEE40" s="47"/>
      <c r="FEF40" s="47"/>
      <c r="FEG40" s="47"/>
      <c r="FEH40" s="47"/>
      <c r="FEI40" s="47"/>
      <c r="FEJ40" s="47"/>
      <c r="FEK40" s="47"/>
      <c r="FEL40" s="47"/>
      <c r="FEM40" s="47"/>
      <c r="FEN40" s="47"/>
      <c r="FEO40" s="47"/>
      <c r="FEP40" s="47"/>
      <c r="FEQ40" s="47"/>
      <c r="FER40" s="47"/>
      <c r="FES40" s="47"/>
      <c r="FET40" s="47"/>
      <c r="FEU40" s="47"/>
      <c r="FEV40" s="47"/>
      <c r="FEW40" s="47"/>
      <c r="FEX40" s="47"/>
      <c r="FEY40" s="47"/>
      <c r="FEZ40" s="47"/>
      <c r="FFA40" s="47"/>
      <c r="FFB40" s="47"/>
      <c r="FFC40" s="47"/>
      <c r="FFD40" s="47"/>
      <c r="FFE40" s="47"/>
      <c r="FFF40" s="47"/>
      <c r="FFG40" s="47"/>
      <c r="FFH40" s="47"/>
      <c r="FFI40" s="47"/>
      <c r="FFJ40" s="47"/>
      <c r="FFK40" s="47"/>
      <c r="FFL40" s="47"/>
      <c r="FFM40" s="47"/>
      <c r="FFN40" s="47"/>
      <c r="FFO40" s="47"/>
      <c r="FFP40" s="47"/>
      <c r="FFQ40" s="47"/>
      <c r="FFR40" s="47"/>
      <c r="FFS40" s="47"/>
      <c r="FFT40" s="47"/>
      <c r="FFU40" s="47"/>
      <c r="FFV40" s="47"/>
      <c r="FFW40" s="47"/>
      <c r="FFX40" s="47"/>
      <c r="FFY40" s="47"/>
      <c r="FFZ40" s="47"/>
      <c r="FGA40" s="47"/>
      <c r="FGB40" s="47"/>
      <c r="FGC40" s="47"/>
      <c r="FGD40" s="47"/>
      <c r="FGE40" s="47"/>
      <c r="FGF40" s="47"/>
      <c r="FGG40" s="47"/>
      <c r="FGH40" s="47"/>
      <c r="FGI40" s="47"/>
      <c r="FGJ40" s="47"/>
      <c r="FGK40" s="47"/>
      <c r="FGL40" s="47"/>
      <c r="FGM40" s="47"/>
      <c r="FGN40" s="47"/>
      <c r="FGO40" s="47"/>
      <c r="FGP40" s="47"/>
      <c r="FGQ40" s="47"/>
      <c r="FGR40" s="47"/>
      <c r="FGS40" s="47"/>
      <c r="FGT40" s="47"/>
      <c r="FGU40" s="47"/>
      <c r="FGV40" s="47"/>
      <c r="FGW40" s="47"/>
      <c r="FGX40" s="47"/>
      <c r="FGY40" s="47"/>
      <c r="FGZ40" s="47"/>
      <c r="FHA40" s="47"/>
      <c r="FHB40" s="47"/>
      <c r="FHC40" s="47"/>
      <c r="FHD40" s="47"/>
      <c r="FHE40" s="47"/>
      <c r="FHF40" s="47"/>
      <c r="FHG40" s="47"/>
      <c r="FHH40" s="47"/>
      <c r="FHI40" s="47"/>
      <c r="FHJ40" s="47"/>
      <c r="FHK40" s="47"/>
      <c r="FHL40" s="47"/>
      <c r="FHM40" s="47"/>
      <c r="FHN40" s="47"/>
      <c r="FHO40" s="47"/>
      <c r="FHP40" s="47"/>
      <c r="FHQ40" s="47"/>
      <c r="FHR40" s="47"/>
      <c r="FHS40" s="47"/>
      <c r="FHT40" s="47"/>
      <c r="FHU40" s="47"/>
      <c r="FHV40" s="47"/>
      <c r="FHW40" s="47"/>
      <c r="FHX40" s="47"/>
      <c r="FHY40" s="47"/>
      <c r="FHZ40" s="47"/>
      <c r="FIA40" s="47"/>
      <c r="FIB40" s="47"/>
      <c r="FIC40" s="47"/>
      <c r="FID40" s="47"/>
      <c r="FIE40" s="47"/>
      <c r="FIF40" s="47"/>
      <c r="FIG40" s="47"/>
      <c r="FIH40" s="47"/>
      <c r="FII40" s="47"/>
      <c r="FIJ40" s="47"/>
      <c r="FIK40" s="47"/>
      <c r="FIL40" s="47"/>
      <c r="FIM40" s="47"/>
      <c r="FIN40" s="47"/>
      <c r="FIO40" s="47"/>
      <c r="FIP40" s="47"/>
      <c r="FIQ40" s="47"/>
      <c r="FIR40" s="47"/>
      <c r="FIS40" s="47"/>
      <c r="FIT40" s="47"/>
      <c r="FIU40" s="47"/>
      <c r="FIV40" s="47"/>
      <c r="FIW40" s="47"/>
      <c r="FIX40" s="47"/>
      <c r="FIY40" s="47"/>
      <c r="FIZ40" s="47"/>
      <c r="FJA40" s="47"/>
      <c r="FJB40" s="47"/>
      <c r="FJC40" s="47"/>
      <c r="FJD40" s="47"/>
      <c r="FJE40" s="47"/>
      <c r="FJF40" s="47"/>
      <c r="FJG40" s="47"/>
      <c r="FJH40" s="47"/>
      <c r="FJI40" s="47"/>
      <c r="FJJ40" s="47"/>
      <c r="FJK40" s="47"/>
      <c r="FJL40" s="47"/>
      <c r="FJM40" s="47"/>
      <c r="FJN40" s="47"/>
      <c r="FJO40" s="47"/>
      <c r="FJP40" s="47"/>
      <c r="FJQ40" s="47"/>
      <c r="FJR40" s="47"/>
      <c r="FJS40" s="47"/>
      <c r="FJT40" s="47"/>
      <c r="FJU40" s="47"/>
      <c r="FJV40" s="47"/>
      <c r="FJW40" s="47"/>
      <c r="FJX40" s="47"/>
      <c r="FJY40" s="47"/>
      <c r="FJZ40" s="47"/>
      <c r="FKA40" s="47"/>
      <c r="FKB40" s="47"/>
      <c r="FKC40" s="47"/>
      <c r="FKD40" s="47"/>
      <c r="FKE40" s="47"/>
      <c r="FKF40" s="47"/>
      <c r="FKG40" s="47"/>
      <c r="FKH40" s="47"/>
      <c r="FKI40" s="47"/>
      <c r="FKJ40" s="47"/>
      <c r="FKK40" s="47"/>
      <c r="FKL40" s="47"/>
      <c r="FKM40" s="47"/>
      <c r="FKN40" s="47"/>
      <c r="FKO40" s="47"/>
      <c r="FKP40" s="47"/>
      <c r="FKQ40" s="47"/>
      <c r="FKR40" s="47"/>
      <c r="FKS40" s="47"/>
      <c r="FKT40" s="47"/>
      <c r="FKU40" s="47"/>
      <c r="FKV40" s="47"/>
      <c r="FKW40" s="47"/>
      <c r="FKX40" s="47"/>
      <c r="FKY40" s="47"/>
      <c r="FKZ40" s="47"/>
      <c r="FLA40" s="47"/>
      <c r="FLB40" s="47"/>
      <c r="FLC40" s="47"/>
      <c r="FLD40" s="47"/>
      <c r="FLE40" s="47"/>
      <c r="FLF40" s="47"/>
      <c r="FLG40" s="47"/>
      <c r="FLH40" s="47"/>
      <c r="FLI40" s="47"/>
      <c r="FLJ40" s="47"/>
      <c r="FLK40" s="47"/>
      <c r="FLL40" s="47"/>
      <c r="FLM40" s="47"/>
      <c r="FLN40" s="47"/>
      <c r="FLO40" s="47"/>
      <c r="FLP40" s="47"/>
      <c r="FLQ40" s="47"/>
      <c r="FLR40" s="47"/>
      <c r="FLS40" s="47"/>
      <c r="FLT40" s="47"/>
      <c r="FLU40" s="47"/>
      <c r="FLV40" s="47"/>
      <c r="FLW40" s="47"/>
      <c r="FLX40" s="47"/>
      <c r="FLY40" s="47"/>
      <c r="FLZ40" s="47"/>
      <c r="FMA40" s="47"/>
      <c r="FMB40" s="47"/>
      <c r="FMC40" s="47"/>
      <c r="FMD40" s="47"/>
      <c r="FME40" s="47"/>
      <c r="FMF40" s="47"/>
      <c r="FMG40" s="47"/>
      <c r="FMH40" s="47"/>
      <c r="FMI40" s="47"/>
      <c r="FMJ40" s="47"/>
      <c r="FMK40" s="47"/>
      <c r="FML40" s="47"/>
      <c r="FMM40" s="47"/>
      <c r="FMN40" s="47"/>
      <c r="FMO40" s="47"/>
      <c r="FMP40" s="47"/>
      <c r="FMQ40" s="47"/>
      <c r="FMR40" s="47"/>
      <c r="FMS40" s="47"/>
      <c r="FMT40" s="47"/>
      <c r="FMU40" s="47"/>
      <c r="FMV40" s="47"/>
      <c r="FMW40" s="47"/>
      <c r="FMX40" s="47"/>
      <c r="FMY40" s="47"/>
      <c r="FMZ40" s="47"/>
      <c r="FNA40" s="47"/>
      <c r="FNB40" s="47"/>
      <c r="FNC40" s="47"/>
      <c r="FND40" s="47"/>
      <c r="FNE40" s="47"/>
      <c r="FNF40" s="47"/>
      <c r="FNG40" s="47"/>
      <c r="FNH40" s="47"/>
      <c r="FNI40" s="47"/>
      <c r="FNJ40" s="47"/>
      <c r="FNK40" s="47"/>
      <c r="FNL40" s="47"/>
      <c r="FNM40" s="47"/>
      <c r="FNN40" s="47"/>
      <c r="FNO40" s="47"/>
      <c r="FNP40" s="47"/>
      <c r="FNQ40" s="47"/>
      <c r="FNR40" s="47"/>
      <c r="FNS40" s="47"/>
      <c r="FNT40" s="47"/>
      <c r="FNU40" s="47"/>
      <c r="FNV40" s="47"/>
      <c r="FNW40" s="47"/>
      <c r="FNX40" s="47"/>
      <c r="FNY40" s="47"/>
      <c r="FNZ40" s="47"/>
      <c r="FOA40" s="47"/>
      <c r="FOB40" s="47"/>
      <c r="FOC40" s="47"/>
      <c r="FOD40" s="47"/>
      <c r="FOE40" s="47"/>
      <c r="FOF40" s="47"/>
      <c r="FOG40" s="47"/>
      <c r="FOH40" s="47"/>
      <c r="FOI40" s="47"/>
      <c r="FOJ40" s="47"/>
      <c r="FOK40" s="47"/>
      <c r="FOL40" s="47"/>
      <c r="FOM40" s="47"/>
      <c r="FON40" s="47"/>
      <c r="FOO40" s="47"/>
      <c r="FOP40" s="47"/>
      <c r="FOQ40" s="47"/>
      <c r="FOR40" s="47"/>
      <c r="FOS40" s="47"/>
      <c r="FOT40" s="47"/>
      <c r="FOU40" s="47"/>
      <c r="FOV40" s="47"/>
      <c r="FOW40" s="47"/>
      <c r="FOX40" s="47"/>
      <c r="FOY40" s="47"/>
      <c r="FOZ40" s="47"/>
      <c r="FPA40" s="47"/>
      <c r="FPB40" s="47"/>
      <c r="FPC40" s="47"/>
      <c r="FPD40" s="47"/>
      <c r="FPE40" s="47"/>
      <c r="FPF40" s="47"/>
      <c r="FPG40" s="47"/>
      <c r="FPH40" s="47"/>
      <c r="FPI40" s="47"/>
      <c r="FPJ40" s="47"/>
      <c r="FPK40" s="47"/>
      <c r="FPL40" s="47"/>
      <c r="FPM40" s="47"/>
      <c r="FPN40" s="47"/>
      <c r="FPO40" s="47"/>
      <c r="FPP40" s="47"/>
      <c r="FPQ40" s="47"/>
      <c r="FPR40" s="47"/>
      <c r="FPS40" s="47"/>
      <c r="FPT40" s="47"/>
      <c r="FPU40" s="47"/>
      <c r="FPV40" s="47"/>
      <c r="FPW40" s="47"/>
      <c r="FPX40" s="47"/>
      <c r="FPY40" s="47"/>
      <c r="FPZ40" s="47"/>
      <c r="FQA40" s="47"/>
      <c r="FQB40" s="47"/>
      <c r="FQC40" s="47"/>
      <c r="FQD40" s="47"/>
      <c r="FQE40" s="47"/>
      <c r="FQF40" s="47"/>
      <c r="FQG40" s="47"/>
      <c r="FQH40" s="47"/>
      <c r="FQI40" s="47"/>
      <c r="FQJ40" s="47"/>
      <c r="FQK40" s="47"/>
      <c r="FQL40" s="47"/>
      <c r="FQM40" s="47"/>
      <c r="FQN40" s="47"/>
      <c r="FQO40" s="47"/>
      <c r="FQP40" s="47"/>
      <c r="FQQ40" s="47"/>
      <c r="FQR40" s="47"/>
      <c r="FQS40" s="47"/>
      <c r="FQT40" s="47"/>
      <c r="FQU40" s="47"/>
      <c r="FQV40" s="47"/>
      <c r="FQW40" s="47"/>
      <c r="FQX40" s="47"/>
      <c r="FQY40" s="47"/>
      <c r="FQZ40" s="47"/>
      <c r="FRA40" s="47"/>
      <c r="FRB40" s="47"/>
      <c r="FRC40" s="47"/>
      <c r="FRD40" s="47"/>
      <c r="FRE40" s="47"/>
      <c r="FRF40" s="47"/>
      <c r="FRG40" s="47"/>
      <c r="FRH40" s="47"/>
      <c r="FRI40" s="47"/>
      <c r="FRJ40" s="47"/>
      <c r="FRK40" s="47"/>
      <c r="FRL40" s="47"/>
      <c r="FRM40" s="47"/>
      <c r="FRN40" s="47"/>
      <c r="FRO40" s="47"/>
      <c r="FRP40" s="47"/>
      <c r="FRQ40" s="47"/>
      <c r="FRR40" s="47"/>
      <c r="FRS40" s="47"/>
      <c r="FRT40" s="47"/>
      <c r="FRU40" s="47"/>
      <c r="FRV40" s="47"/>
      <c r="FRW40" s="47"/>
      <c r="FRX40" s="47"/>
      <c r="FRY40" s="47"/>
      <c r="FRZ40" s="47"/>
      <c r="FSA40" s="47"/>
      <c r="FSB40" s="47"/>
      <c r="FSC40" s="47"/>
      <c r="FSD40" s="47"/>
      <c r="FSE40" s="47"/>
      <c r="FSF40" s="47"/>
      <c r="FSG40" s="47"/>
      <c r="FSH40" s="47"/>
      <c r="FSI40" s="47"/>
      <c r="FSJ40" s="47"/>
      <c r="FSK40" s="47"/>
      <c r="FSL40" s="47"/>
      <c r="FSM40" s="47"/>
      <c r="FSN40" s="47"/>
      <c r="FSO40" s="47"/>
      <c r="FSP40" s="47"/>
      <c r="FSQ40" s="47"/>
      <c r="FSR40" s="47"/>
      <c r="FSS40" s="47"/>
      <c r="FST40" s="47"/>
      <c r="FSU40" s="47"/>
      <c r="FSV40" s="47"/>
      <c r="FSW40" s="47"/>
      <c r="FSX40" s="47"/>
      <c r="FSY40" s="47"/>
      <c r="FSZ40" s="47"/>
      <c r="FTA40" s="47"/>
      <c r="FTB40" s="47"/>
      <c r="FTC40" s="47"/>
      <c r="FTD40" s="47"/>
      <c r="FTE40" s="47"/>
      <c r="FTF40" s="47"/>
      <c r="FTG40" s="47"/>
      <c r="FTH40" s="47"/>
      <c r="FTI40" s="47"/>
      <c r="FTJ40" s="47"/>
      <c r="FTK40" s="47"/>
      <c r="FTL40" s="47"/>
      <c r="FTM40" s="47"/>
      <c r="FTN40" s="47"/>
      <c r="FTO40" s="47"/>
      <c r="FTP40" s="47"/>
      <c r="FTQ40" s="47"/>
      <c r="FTR40" s="47"/>
      <c r="FTS40" s="47"/>
      <c r="FTT40" s="47"/>
      <c r="FTU40" s="47"/>
      <c r="FTV40" s="47"/>
      <c r="FTW40" s="47"/>
      <c r="FTX40" s="47"/>
      <c r="FTY40" s="47"/>
      <c r="FTZ40" s="47"/>
      <c r="FUA40" s="47"/>
      <c r="FUB40" s="47"/>
      <c r="FUC40" s="47"/>
      <c r="FUD40" s="47"/>
      <c r="FUE40" s="47"/>
      <c r="FUF40" s="47"/>
      <c r="FUG40" s="47"/>
      <c r="FUH40" s="47"/>
      <c r="FUI40" s="47"/>
      <c r="FUJ40" s="47"/>
      <c r="FUK40" s="47"/>
      <c r="FUL40" s="47"/>
      <c r="FUM40" s="47"/>
      <c r="FUN40" s="47"/>
      <c r="FUO40" s="47"/>
      <c r="FUP40" s="47"/>
      <c r="FUQ40" s="47"/>
      <c r="FUR40" s="47"/>
      <c r="FUS40" s="47"/>
      <c r="FUT40" s="47"/>
      <c r="FUU40" s="47"/>
      <c r="FUV40" s="47"/>
      <c r="FUW40" s="47"/>
      <c r="FUX40" s="47"/>
      <c r="FUY40" s="47"/>
      <c r="FUZ40" s="47"/>
      <c r="FVA40" s="47"/>
      <c r="FVB40" s="47"/>
      <c r="FVC40" s="47"/>
      <c r="FVD40" s="47"/>
      <c r="FVE40" s="47"/>
      <c r="FVF40" s="47"/>
      <c r="FVG40" s="47"/>
      <c r="FVH40" s="47"/>
      <c r="FVI40" s="47"/>
      <c r="FVJ40" s="47"/>
      <c r="FVK40" s="47"/>
      <c r="FVL40" s="47"/>
      <c r="FVM40" s="47"/>
      <c r="FVN40" s="47"/>
      <c r="FVO40" s="47"/>
      <c r="FVP40" s="47"/>
      <c r="FVQ40" s="47"/>
      <c r="FVR40" s="47"/>
      <c r="FVS40" s="47"/>
      <c r="FVT40" s="47"/>
      <c r="FVU40" s="47"/>
      <c r="FVV40" s="47"/>
      <c r="FVW40" s="47"/>
      <c r="FVX40" s="47"/>
      <c r="FVY40" s="47"/>
      <c r="FVZ40" s="47"/>
      <c r="FWA40" s="47"/>
      <c r="FWB40" s="47"/>
      <c r="FWC40" s="47"/>
      <c r="FWD40" s="47"/>
      <c r="FWE40" s="47"/>
      <c r="FWF40" s="47"/>
      <c r="FWG40" s="47"/>
      <c r="FWH40" s="47"/>
      <c r="FWI40" s="47"/>
      <c r="FWJ40" s="47"/>
      <c r="FWK40" s="47"/>
      <c r="FWL40" s="47"/>
      <c r="FWM40" s="47"/>
      <c r="FWN40" s="47"/>
      <c r="FWO40" s="47"/>
      <c r="FWP40" s="47"/>
      <c r="FWQ40" s="47"/>
      <c r="FWR40" s="47"/>
      <c r="FWS40" s="47"/>
      <c r="FWT40" s="47"/>
      <c r="FWU40" s="47"/>
      <c r="FWV40" s="47"/>
      <c r="FWW40" s="47"/>
      <c r="FWX40" s="47"/>
      <c r="FWY40" s="47"/>
      <c r="FWZ40" s="47"/>
      <c r="FXA40" s="47"/>
      <c r="FXB40" s="47"/>
      <c r="FXC40" s="47"/>
      <c r="FXD40" s="47"/>
      <c r="FXE40" s="47"/>
      <c r="FXF40" s="47"/>
      <c r="FXG40" s="47"/>
      <c r="FXH40" s="47"/>
      <c r="FXI40" s="47"/>
      <c r="FXJ40" s="47"/>
      <c r="FXK40" s="47"/>
      <c r="FXL40" s="47"/>
      <c r="FXM40" s="47"/>
      <c r="FXN40" s="47"/>
      <c r="FXO40" s="47"/>
      <c r="FXP40" s="47"/>
      <c r="FXQ40" s="47"/>
      <c r="FXR40" s="47"/>
      <c r="FXS40" s="47"/>
      <c r="FXT40" s="47"/>
      <c r="FXU40" s="47"/>
      <c r="FXV40" s="47"/>
      <c r="FXW40" s="47"/>
      <c r="FXX40" s="47"/>
      <c r="FXY40" s="47"/>
      <c r="FXZ40" s="47"/>
      <c r="FYA40" s="47"/>
      <c r="FYB40" s="47"/>
      <c r="FYC40" s="47"/>
      <c r="FYD40" s="47"/>
      <c r="FYE40" s="47"/>
      <c r="FYF40" s="47"/>
      <c r="FYG40" s="47"/>
      <c r="FYH40" s="47"/>
      <c r="FYI40" s="47"/>
      <c r="FYJ40" s="47"/>
      <c r="FYK40" s="47"/>
      <c r="FYL40" s="47"/>
      <c r="FYM40" s="47"/>
      <c r="FYN40" s="47"/>
      <c r="FYO40" s="47"/>
      <c r="FYP40" s="47"/>
      <c r="FYQ40" s="47"/>
      <c r="FYR40" s="47"/>
      <c r="FYS40" s="47"/>
      <c r="FYT40" s="47"/>
      <c r="FYU40" s="47"/>
      <c r="FYV40" s="47"/>
      <c r="FYW40" s="47"/>
      <c r="FYX40" s="47"/>
      <c r="FYY40" s="47"/>
      <c r="FYZ40" s="47"/>
      <c r="FZA40" s="47"/>
      <c r="FZB40" s="47"/>
      <c r="FZC40" s="47"/>
      <c r="FZD40" s="47"/>
      <c r="FZE40" s="47"/>
      <c r="FZF40" s="47"/>
      <c r="FZG40" s="47"/>
      <c r="FZH40" s="47"/>
      <c r="FZI40" s="47"/>
      <c r="FZJ40" s="47"/>
      <c r="FZK40" s="47"/>
      <c r="FZL40" s="47"/>
      <c r="FZM40" s="47"/>
      <c r="FZN40" s="47"/>
      <c r="FZO40" s="47"/>
      <c r="FZP40" s="47"/>
      <c r="FZQ40" s="47"/>
      <c r="FZR40" s="47"/>
      <c r="FZS40" s="47"/>
      <c r="FZT40" s="47"/>
      <c r="FZU40" s="47"/>
      <c r="FZV40" s="47"/>
      <c r="FZW40" s="47"/>
      <c r="FZX40" s="47"/>
      <c r="FZY40" s="47"/>
      <c r="FZZ40" s="47"/>
      <c r="GAA40" s="47"/>
      <c r="GAB40" s="47"/>
      <c r="GAC40" s="47"/>
      <c r="GAD40" s="47"/>
      <c r="GAE40" s="47"/>
      <c r="GAF40" s="47"/>
      <c r="GAG40" s="47"/>
      <c r="GAH40" s="47"/>
      <c r="GAI40" s="47"/>
      <c r="GAJ40" s="47"/>
      <c r="GAK40" s="47"/>
      <c r="GAL40" s="47"/>
      <c r="GAM40" s="47"/>
      <c r="GAN40" s="47"/>
      <c r="GAO40" s="47"/>
      <c r="GAP40" s="47"/>
      <c r="GAQ40" s="47"/>
      <c r="GAR40" s="47"/>
      <c r="GAS40" s="47"/>
      <c r="GAT40" s="47"/>
      <c r="GAU40" s="47"/>
      <c r="GAV40" s="47"/>
      <c r="GAW40" s="47"/>
      <c r="GAX40" s="47"/>
      <c r="GAY40" s="47"/>
      <c r="GAZ40" s="47"/>
      <c r="GBA40" s="47"/>
      <c r="GBB40" s="47"/>
      <c r="GBC40" s="47"/>
      <c r="GBD40" s="47"/>
      <c r="GBE40" s="47"/>
      <c r="GBF40" s="47"/>
      <c r="GBG40" s="47"/>
      <c r="GBH40" s="47"/>
      <c r="GBI40" s="47"/>
      <c r="GBJ40" s="47"/>
      <c r="GBK40" s="47"/>
      <c r="GBL40" s="47"/>
      <c r="GBM40" s="47"/>
      <c r="GBN40" s="47"/>
      <c r="GBO40" s="47"/>
      <c r="GBP40" s="47"/>
      <c r="GBQ40" s="47"/>
      <c r="GBR40" s="47"/>
      <c r="GBS40" s="47"/>
      <c r="GBT40" s="47"/>
      <c r="GBU40" s="47"/>
      <c r="GBV40" s="47"/>
      <c r="GBW40" s="47"/>
      <c r="GBX40" s="47"/>
      <c r="GBY40" s="47"/>
      <c r="GBZ40" s="47"/>
      <c r="GCA40" s="47"/>
      <c r="GCB40" s="47"/>
      <c r="GCC40" s="47"/>
      <c r="GCD40" s="47"/>
      <c r="GCE40" s="47"/>
      <c r="GCF40" s="47"/>
      <c r="GCG40" s="47"/>
      <c r="GCH40" s="47"/>
      <c r="GCI40" s="47"/>
      <c r="GCJ40" s="47"/>
      <c r="GCK40" s="47"/>
      <c r="GCL40" s="47"/>
      <c r="GCM40" s="47"/>
      <c r="GCN40" s="47"/>
      <c r="GCO40" s="47"/>
      <c r="GCP40" s="47"/>
      <c r="GCQ40" s="47"/>
      <c r="GCR40" s="47"/>
      <c r="GCS40" s="47"/>
      <c r="GCT40" s="47"/>
      <c r="GCU40" s="47"/>
      <c r="GCV40" s="47"/>
      <c r="GCW40" s="47"/>
      <c r="GCX40" s="47"/>
      <c r="GCY40" s="47"/>
      <c r="GCZ40" s="47"/>
      <c r="GDA40" s="47"/>
      <c r="GDB40" s="47"/>
      <c r="GDC40" s="47"/>
      <c r="GDD40" s="47"/>
      <c r="GDE40" s="47"/>
      <c r="GDF40" s="47"/>
      <c r="GDG40" s="47"/>
      <c r="GDH40" s="47"/>
      <c r="GDI40" s="47"/>
      <c r="GDJ40" s="47"/>
      <c r="GDK40" s="47"/>
      <c r="GDL40" s="47"/>
      <c r="GDM40" s="47"/>
      <c r="GDN40" s="47"/>
      <c r="GDO40" s="47"/>
      <c r="GDP40" s="47"/>
      <c r="GDQ40" s="47"/>
      <c r="GDR40" s="47"/>
      <c r="GDS40" s="47"/>
      <c r="GDT40" s="47"/>
      <c r="GDU40" s="47"/>
      <c r="GDV40" s="47"/>
      <c r="GDW40" s="47"/>
      <c r="GDX40" s="47"/>
      <c r="GDY40" s="47"/>
      <c r="GDZ40" s="47"/>
      <c r="GEA40" s="47"/>
      <c r="GEB40" s="47"/>
      <c r="GEC40" s="47"/>
      <c r="GED40" s="47"/>
      <c r="GEE40" s="47"/>
      <c r="GEF40" s="47"/>
      <c r="GEG40" s="47"/>
      <c r="GEH40" s="47"/>
      <c r="GEI40" s="47"/>
      <c r="GEJ40" s="47"/>
      <c r="GEK40" s="47"/>
      <c r="GEL40" s="47"/>
      <c r="GEM40" s="47"/>
      <c r="GEN40" s="47"/>
      <c r="GEO40" s="47"/>
      <c r="GEP40" s="47"/>
      <c r="GEQ40" s="47"/>
      <c r="GER40" s="47"/>
      <c r="GES40" s="47"/>
      <c r="GET40" s="47"/>
      <c r="GEU40" s="47"/>
      <c r="GEV40" s="47"/>
      <c r="GEW40" s="47"/>
      <c r="GEX40" s="47"/>
      <c r="GEY40" s="47"/>
      <c r="GEZ40" s="47"/>
      <c r="GFA40" s="47"/>
      <c r="GFB40" s="47"/>
      <c r="GFC40" s="47"/>
      <c r="GFD40" s="47"/>
      <c r="GFE40" s="47"/>
      <c r="GFF40" s="47"/>
      <c r="GFG40" s="47"/>
      <c r="GFH40" s="47"/>
      <c r="GFI40" s="47"/>
      <c r="GFJ40" s="47"/>
      <c r="GFK40" s="47"/>
      <c r="GFL40" s="47"/>
      <c r="GFM40" s="47"/>
      <c r="GFN40" s="47"/>
      <c r="GFO40" s="47"/>
      <c r="GFP40" s="47"/>
      <c r="GFQ40" s="47"/>
      <c r="GFR40" s="47"/>
      <c r="GFS40" s="47"/>
      <c r="GFT40" s="47"/>
      <c r="GFU40" s="47"/>
      <c r="GFV40" s="47"/>
      <c r="GFW40" s="47"/>
      <c r="GFX40" s="47"/>
      <c r="GFY40" s="47"/>
      <c r="GFZ40" s="47"/>
      <c r="GGA40" s="47"/>
      <c r="GGB40" s="47"/>
      <c r="GGC40" s="47"/>
      <c r="GGD40" s="47"/>
      <c r="GGE40" s="47"/>
      <c r="GGF40" s="47"/>
      <c r="GGG40" s="47"/>
      <c r="GGH40" s="47"/>
      <c r="GGI40" s="47"/>
      <c r="GGJ40" s="47"/>
      <c r="GGK40" s="47"/>
      <c r="GGL40" s="47"/>
      <c r="GGM40" s="47"/>
      <c r="GGN40" s="47"/>
      <c r="GGO40" s="47"/>
      <c r="GGP40" s="47"/>
      <c r="GGQ40" s="47"/>
      <c r="GGR40" s="47"/>
      <c r="GGS40" s="47"/>
      <c r="GGT40" s="47"/>
      <c r="GGU40" s="47"/>
      <c r="GGV40" s="47"/>
      <c r="GGW40" s="47"/>
      <c r="GGX40" s="47"/>
      <c r="GGY40" s="47"/>
      <c r="GGZ40" s="47"/>
      <c r="GHA40" s="47"/>
      <c r="GHB40" s="47"/>
      <c r="GHC40" s="47"/>
      <c r="GHD40" s="47"/>
      <c r="GHE40" s="47"/>
      <c r="GHF40" s="47"/>
      <c r="GHG40" s="47"/>
      <c r="GHH40" s="47"/>
      <c r="GHI40" s="47"/>
      <c r="GHJ40" s="47"/>
      <c r="GHK40" s="47"/>
      <c r="GHL40" s="47"/>
      <c r="GHM40" s="47"/>
      <c r="GHN40" s="47"/>
      <c r="GHO40" s="47"/>
      <c r="GHP40" s="47"/>
      <c r="GHQ40" s="47"/>
      <c r="GHR40" s="47"/>
      <c r="GHS40" s="47"/>
      <c r="GHT40" s="47"/>
      <c r="GHU40" s="47"/>
      <c r="GHV40" s="47"/>
      <c r="GHW40" s="47"/>
      <c r="GHX40" s="47"/>
      <c r="GHY40" s="47"/>
      <c r="GHZ40" s="47"/>
      <c r="GIA40" s="47"/>
      <c r="GIB40" s="47"/>
      <c r="GIC40" s="47"/>
      <c r="GID40" s="47"/>
      <c r="GIE40" s="47"/>
      <c r="GIF40" s="47"/>
      <c r="GIG40" s="47"/>
      <c r="GIH40" s="47"/>
      <c r="GII40" s="47"/>
      <c r="GIJ40" s="47"/>
      <c r="GIK40" s="47"/>
      <c r="GIL40" s="47"/>
      <c r="GIM40" s="47"/>
      <c r="GIN40" s="47"/>
      <c r="GIO40" s="47"/>
      <c r="GIP40" s="47"/>
      <c r="GIQ40" s="47"/>
      <c r="GIR40" s="47"/>
      <c r="GIS40" s="47"/>
      <c r="GIT40" s="47"/>
      <c r="GIU40" s="47"/>
      <c r="GIV40" s="47"/>
      <c r="GIW40" s="47"/>
      <c r="GIX40" s="47"/>
      <c r="GIY40" s="47"/>
      <c r="GIZ40" s="47"/>
      <c r="GJA40" s="47"/>
      <c r="GJB40" s="47"/>
      <c r="GJC40" s="47"/>
      <c r="GJD40" s="47"/>
      <c r="GJE40" s="47"/>
      <c r="GJF40" s="47"/>
      <c r="GJG40" s="47"/>
      <c r="GJH40" s="47"/>
      <c r="GJI40" s="47"/>
      <c r="GJJ40" s="47"/>
      <c r="GJK40" s="47"/>
      <c r="GJL40" s="47"/>
      <c r="GJM40" s="47"/>
      <c r="GJN40" s="47"/>
      <c r="GJO40" s="47"/>
      <c r="GJP40" s="47"/>
      <c r="GJQ40" s="47"/>
      <c r="GJR40" s="47"/>
      <c r="GJS40" s="47"/>
      <c r="GJT40" s="47"/>
      <c r="GJU40" s="47"/>
      <c r="GJV40" s="47"/>
      <c r="GJW40" s="47"/>
      <c r="GJX40" s="47"/>
      <c r="GJY40" s="47"/>
      <c r="GJZ40" s="47"/>
      <c r="GKA40" s="47"/>
      <c r="GKB40" s="47"/>
      <c r="GKC40" s="47"/>
      <c r="GKD40" s="47"/>
      <c r="GKE40" s="47"/>
      <c r="GKF40" s="47"/>
      <c r="GKG40" s="47"/>
      <c r="GKH40" s="47"/>
      <c r="GKI40" s="47"/>
      <c r="GKJ40" s="47"/>
      <c r="GKK40" s="47"/>
      <c r="GKL40" s="47"/>
      <c r="GKM40" s="47"/>
      <c r="GKN40" s="47"/>
      <c r="GKO40" s="47"/>
      <c r="GKP40" s="47"/>
      <c r="GKQ40" s="47"/>
      <c r="GKR40" s="47"/>
      <c r="GKS40" s="47"/>
      <c r="GKT40" s="47"/>
      <c r="GKU40" s="47"/>
      <c r="GKV40" s="47"/>
      <c r="GKW40" s="47"/>
      <c r="GKX40" s="47"/>
      <c r="GKY40" s="47"/>
      <c r="GKZ40" s="47"/>
      <c r="GLA40" s="47"/>
      <c r="GLB40" s="47"/>
      <c r="GLC40" s="47"/>
      <c r="GLD40" s="47"/>
      <c r="GLE40" s="47"/>
      <c r="GLF40" s="47"/>
      <c r="GLG40" s="47"/>
      <c r="GLH40" s="47"/>
      <c r="GLI40" s="47"/>
      <c r="GLJ40" s="47"/>
      <c r="GLK40" s="47"/>
      <c r="GLL40" s="47"/>
      <c r="GLM40" s="47"/>
      <c r="GLN40" s="47"/>
      <c r="GLO40" s="47"/>
      <c r="GLP40" s="47"/>
      <c r="GLQ40" s="47"/>
      <c r="GLR40" s="47"/>
      <c r="GLS40" s="47"/>
      <c r="GLT40" s="47"/>
      <c r="GLU40" s="47"/>
      <c r="GLV40" s="47"/>
      <c r="GLW40" s="47"/>
      <c r="GLX40" s="47"/>
      <c r="GLY40" s="47"/>
      <c r="GLZ40" s="47"/>
      <c r="GMA40" s="47"/>
      <c r="GMB40" s="47"/>
      <c r="GMC40" s="47"/>
      <c r="GMD40" s="47"/>
      <c r="GME40" s="47"/>
      <c r="GMF40" s="47"/>
      <c r="GMG40" s="47"/>
      <c r="GMH40" s="47"/>
      <c r="GMI40" s="47"/>
      <c r="GMJ40" s="47"/>
      <c r="GMK40" s="47"/>
      <c r="GML40" s="47"/>
      <c r="GMM40" s="47"/>
      <c r="GMN40" s="47"/>
      <c r="GMO40" s="47"/>
      <c r="GMP40" s="47"/>
      <c r="GMQ40" s="47"/>
      <c r="GMR40" s="47"/>
      <c r="GMS40" s="47"/>
      <c r="GMT40" s="47"/>
      <c r="GMU40" s="47"/>
      <c r="GMV40" s="47"/>
      <c r="GMW40" s="47"/>
      <c r="GMX40" s="47"/>
      <c r="GMY40" s="47"/>
      <c r="GMZ40" s="47"/>
      <c r="GNA40" s="47"/>
      <c r="GNB40" s="47"/>
      <c r="GNC40" s="47"/>
      <c r="GND40" s="47"/>
      <c r="GNE40" s="47"/>
      <c r="GNF40" s="47"/>
      <c r="GNG40" s="47"/>
      <c r="GNH40" s="47"/>
      <c r="GNI40" s="47"/>
      <c r="GNJ40" s="47"/>
      <c r="GNK40" s="47"/>
      <c r="GNL40" s="47"/>
      <c r="GNM40" s="47"/>
      <c r="GNN40" s="47"/>
      <c r="GNO40" s="47"/>
      <c r="GNP40" s="47"/>
      <c r="GNQ40" s="47"/>
      <c r="GNR40" s="47"/>
      <c r="GNS40" s="47"/>
      <c r="GNT40" s="47"/>
      <c r="GNU40" s="47"/>
      <c r="GNV40" s="47"/>
      <c r="GNW40" s="47"/>
      <c r="GNX40" s="47"/>
      <c r="GNY40" s="47"/>
      <c r="GNZ40" s="47"/>
      <c r="GOA40" s="47"/>
      <c r="GOB40" s="47"/>
      <c r="GOC40" s="47"/>
      <c r="GOD40" s="47"/>
      <c r="GOE40" s="47"/>
      <c r="GOF40" s="47"/>
      <c r="GOG40" s="47"/>
      <c r="GOH40" s="47"/>
      <c r="GOI40" s="47"/>
      <c r="GOJ40" s="47"/>
      <c r="GOK40" s="47"/>
      <c r="GOL40" s="47"/>
      <c r="GOM40" s="47"/>
      <c r="GON40" s="47"/>
      <c r="GOO40" s="47"/>
      <c r="GOP40" s="47"/>
      <c r="GOQ40" s="47"/>
      <c r="GOR40" s="47"/>
      <c r="GOS40" s="47"/>
      <c r="GOT40" s="47"/>
      <c r="GOU40" s="47"/>
      <c r="GOV40" s="47"/>
      <c r="GOW40" s="47"/>
      <c r="GOX40" s="47"/>
      <c r="GOY40" s="47"/>
      <c r="GOZ40" s="47"/>
      <c r="GPA40" s="47"/>
      <c r="GPB40" s="47"/>
      <c r="GPC40" s="47"/>
      <c r="GPD40" s="47"/>
      <c r="GPE40" s="47"/>
      <c r="GPF40" s="47"/>
      <c r="GPG40" s="47"/>
      <c r="GPH40" s="47"/>
      <c r="GPI40" s="47"/>
      <c r="GPJ40" s="47"/>
      <c r="GPK40" s="47"/>
      <c r="GPL40" s="47"/>
      <c r="GPM40" s="47"/>
      <c r="GPN40" s="47"/>
      <c r="GPO40" s="47"/>
      <c r="GPP40" s="47"/>
      <c r="GPQ40" s="47"/>
      <c r="GPR40" s="47"/>
      <c r="GPS40" s="47"/>
      <c r="GPT40" s="47"/>
      <c r="GPU40" s="47"/>
      <c r="GPV40" s="47"/>
      <c r="GPW40" s="47"/>
      <c r="GPX40" s="47"/>
      <c r="GPY40" s="47"/>
      <c r="GPZ40" s="47"/>
      <c r="GQA40" s="47"/>
      <c r="GQB40" s="47"/>
      <c r="GQC40" s="47"/>
      <c r="GQD40" s="47"/>
      <c r="GQE40" s="47"/>
      <c r="GQF40" s="47"/>
      <c r="GQG40" s="47"/>
      <c r="GQH40" s="47"/>
      <c r="GQI40" s="47"/>
      <c r="GQJ40" s="47"/>
      <c r="GQK40" s="47"/>
      <c r="GQL40" s="47"/>
      <c r="GQM40" s="47"/>
      <c r="GQN40" s="47"/>
      <c r="GQO40" s="47"/>
      <c r="GQP40" s="47"/>
      <c r="GQQ40" s="47"/>
      <c r="GQR40" s="47"/>
      <c r="GQS40" s="47"/>
      <c r="GQT40" s="47"/>
      <c r="GQU40" s="47"/>
      <c r="GQV40" s="47"/>
      <c r="GQW40" s="47"/>
      <c r="GQX40" s="47"/>
      <c r="GQY40" s="47"/>
      <c r="GQZ40" s="47"/>
      <c r="GRA40" s="47"/>
      <c r="GRB40" s="47"/>
      <c r="GRC40" s="47"/>
      <c r="GRD40" s="47"/>
      <c r="GRE40" s="47"/>
      <c r="GRF40" s="47"/>
      <c r="GRG40" s="47"/>
      <c r="GRH40" s="47"/>
      <c r="GRI40" s="47"/>
      <c r="GRJ40" s="47"/>
      <c r="GRK40" s="47"/>
      <c r="GRL40" s="47"/>
      <c r="GRM40" s="47"/>
      <c r="GRN40" s="47"/>
      <c r="GRO40" s="47"/>
      <c r="GRP40" s="47"/>
      <c r="GRQ40" s="47"/>
      <c r="GRR40" s="47"/>
      <c r="GRS40" s="47"/>
      <c r="GRT40" s="47"/>
      <c r="GRU40" s="47"/>
      <c r="GRV40" s="47"/>
      <c r="GRW40" s="47"/>
      <c r="GRX40" s="47"/>
      <c r="GRY40" s="47"/>
      <c r="GRZ40" s="47"/>
      <c r="GSA40" s="47"/>
      <c r="GSB40" s="47"/>
      <c r="GSC40" s="47"/>
      <c r="GSD40" s="47"/>
      <c r="GSE40" s="47"/>
      <c r="GSF40" s="47"/>
      <c r="GSG40" s="47"/>
      <c r="GSH40" s="47"/>
      <c r="GSI40" s="47"/>
      <c r="GSJ40" s="47"/>
      <c r="GSK40" s="47"/>
      <c r="GSL40" s="47"/>
      <c r="GSM40" s="47"/>
      <c r="GSN40" s="47"/>
      <c r="GSO40" s="47"/>
      <c r="GSP40" s="47"/>
      <c r="GSQ40" s="47"/>
      <c r="GSR40" s="47"/>
      <c r="GSS40" s="47"/>
      <c r="GST40" s="47"/>
      <c r="GSU40" s="47"/>
      <c r="GSV40" s="47"/>
      <c r="GSW40" s="47"/>
      <c r="GSX40" s="47"/>
      <c r="GSY40" s="47"/>
      <c r="GSZ40" s="47"/>
      <c r="GTA40" s="47"/>
      <c r="GTB40" s="47"/>
      <c r="GTC40" s="47"/>
      <c r="GTD40" s="47"/>
      <c r="GTE40" s="47"/>
      <c r="GTF40" s="47"/>
      <c r="GTG40" s="47"/>
      <c r="GTH40" s="47"/>
      <c r="GTI40" s="47"/>
      <c r="GTJ40" s="47"/>
      <c r="GTK40" s="47"/>
      <c r="GTL40" s="47"/>
      <c r="GTM40" s="47"/>
      <c r="GTN40" s="47"/>
      <c r="GTO40" s="47"/>
      <c r="GTP40" s="47"/>
      <c r="GTQ40" s="47"/>
      <c r="GTR40" s="47"/>
      <c r="GTS40" s="47"/>
      <c r="GTT40" s="47"/>
      <c r="GTU40" s="47"/>
      <c r="GTV40" s="47"/>
      <c r="GTW40" s="47"/>
      <c r="GTX40" s="47"/>
      <c r="GTY40" s="47"/>
      <c r="GTZ40" s="47"/>
      <c r="GUA40" s="47"/>
      <c r="GUB40" s="47"/>
      <c r="GUC40" s="47"/>
      <c r="GUD40" s="47"/>
      <c r="GUE40" s="47"/>
      <c r="GUF40" s="47"/>
      <c r="GUG40" s="47"/>
      <c r="GUH40" s="47"/>
      <c r="GUI40" s="47"/>
      <c r="GUJ40" s="47"/>
      <c r="GUK40" s="47"/>
      <c r="GUL40" s="47"/>
      <c r="GUM40" s="47"/>
      <c r="GUN40" s="47"/>
      <c r="GUO40" s="47"/>
      <c r="GUP40" s="47"/>
      <c r="GUQ40" s="47"/>
      <c r="GUR40" s="47"/>
      <c r="GUS40" s="47"/>
      <c r="GUT40" s="47"/>
      <c r="GUU40" s="47"/>
      <c r="GUV40" s="47"/>
      <c r="GUW40" s="47"/>
      <c r="GUX40" s="47"/>
      <c r="GUY40" s="47"/>
      <c r="GUZ40" s="47"/>
      <c r="GVA40" s="47"/>
      <c r="GVB40" s="47"/>
      <c r="GVC40" s="47"/>
      <c r="GVD40" s="47"/>
      <c r="GVE40" s="47"/>
      <c r="GVF40" s="47"/>
      <c r="GVG40" s="47"/>
      <c r="GVH40" s="47"/>
      <c r="GVI40" s="47"/>
      <c r="GVJ40" s="47"/>
      <c r="GVK40" s="47"/>
      <c r="GVL40" s="47"/>
      <c r="GVM40" s="47"/>
      <c r="GVN40" s="47"/>
      <c r="GVO40" s="47"/>
      <c r="GVP40" s="47"/>
      <c r="GVQ40" s="47"/>
      <c r="GVR40" s="47"/>
      <c r="GVS40" s="47"/>
      <c r="GVT40" s="47"/>
      <c r="GVU40" s="47"/>
      <c r="GVV40" s="47"/>
      <c r="GVW40" s="47"/>
      <c r="GVX40" s="47"/>
      <c r="GVY40" s="47"/>
      <c r="GVZ40" s="47"/>
      <c r="GWA40" s="47"/>
      <c r="GWB40" s="47"/>
      <c r="GWC40" s="47"/>
      <c r="GWD40" s="47"/>
      <c r="GWE40" s="47"/>
      <c r="GWF40" s="47"/>
      <c r="GWG40" s="47"/>
      <c r="GWH40" s="47"/>
      <c r="GWI40" s="47"/>
      <c r="GWJ40" s="47"/>
      <c r="GWK40" s="47"/>
      <c r="GWL40" s="47"/>
      <c r="GWM40" s="47"/>
      <c r="GWN40" s="47"/>
      <c r="GWO40" s="47"/>
      <c r="GWP40" s="47"/>
      <c r="GWQ40" s="47"/>
      <c r="GWR40" s="47"/>
      <c r="GWS40" s="47"/>
      <c r="GWT40" s="47"/>
      <c r="GWU40" s="47"/>
      <c r="GWV40" s="47"/>
      <c r="GWW40" s="47"/>
      <c r="GWX40" s="47"/>
      <c r="GWY40" s="47"/>
      <c r="GWZ40" s="47"/>
      <c r="GXA40" s="47"/>
      <c r="GXB40" s="47"/>
      <c r="GXC40" s="47"/>
      <c r="GXD40" s="47"/>
      <c r="GXE40" s="47"/>
      <c r="GXF40" s="47"/>
      <c r="GXG40" s="47"/>
      <c r="GXH40" s="47"/>
      <c r="GXI40" s="47"/>
      <c r="GXJ40" s="47"/>
      <c r="GXK40" s="47"/>
      <c r="GXL40" s="47"/>
      <c r="GXM40" s="47"/>
      <c r="GXN40" s="47"/>
      <c r="GXO40" s="47"/>
      <c r="GXP40" s="47"/>
      <c r="GXQ40" s="47"/>
      <c r="GXR40" s="47"/>
      <c r="GXS40" s="47"/>
      <c r="GXT40" s="47"/>
      <c r="GXU40" s="47"/>
      <c r="GXV40" s="47"/>
      <c r="GXW40" s="47"/>
      <c r="GXX40" s="47"/>
      <c r="GXY40" s="47"/>
      <c r="GXZ40" s="47"/>
      <c r="GYA40" s="47"/>
      <c r="GYB40" s="47"/>
      <c r="GYC40" s="47"/>
      <c r="GYD40" s="47"/>
      <c r="GYE40" s="47"/>
      <c r="GYF40" s="47"/>
      <c r="GYG40" s="47"/>
      <c r="GYH40" s="47"/>
      <c r="GYI40" s="47"/>
      <c r="GYJ40" s="47"/>
      <c r="GYK40" s="47"/>
      <c r="GYL40" s="47"/>
      <c r="GYM40" s="47"/>
      <c r="GYN40" s="47"/>
      <c r="GYO40" s="47"/>
      <c r="GYP40" s="47"/>
      <c r="GYQ40" s="47"/>
      <c r="GYR40" s="47"/>
      <c r="GYS40" s="47"/>
      <c r="GYT40" s="47"/>
      <c r="GYU40" s="47"/>
      <c r="GYV40" s="47"/>
      <c r="GYW40" s="47"/>
      <c r="GYX40" s="47"/>
      <c r="GYY40" s="47"/>
      <c r="GYZ40" s="47"/>
      <c r="GZA40" s="47"/>
      <c r="GZB40" s="47"/>
      <c r="GZC40" s="47"/>
      <c r="GZD40" s="47"/>
      <c r="GZE40" s="47"/>
      <c r="GZF40" s="47"/>
      <c r="GZG40" s="47"/>
      <c r="GZH40" s="47"/>
      <c r="GZI40" s="47"/>
      <c r="GZJ40" s="47"/>
      <c r="GZK40" s="47"/>
      <c r="GZL40" s="47"/>
      <c r="GZM40" s="47"/>
      <c r="GZN40" s="47"/>
      <c r="GZO40" s="47"/>
      <c r="GZP40" s="47"/>
      <c r="GZQ40" s="47"/>
      <c r="GZR40" s="47"/>
      <c r="GZS40" s="47"/>
      <c r="GZT40" s="47"/>
      <c r="GZU40" s="47"/>
      <c r="GZV40" s="47"/>
      <c r="GZW40" s="47"/>
      <c r="GZX40" s="47"/>
      <c r="GZY40" s="47"/>
      <c r="GZZ40" s="47"/>
      <c r="HAA40" s="47"/>
      <c r="HAB40" s="47"/>
      <c r="HAC40" s="47"/>
      <c r="HAD40" s="47"/>
      <c r="HAE40" s="47"/>
      <c r="HAF40" s="47"/>
      <c r="HAG40" s="47"/>
      <c r="HAH40" s="47"/>
      <c r="HAI40" s="47"/>
      <c r="HAJ40" s="47"/>
      <c r="HAK40" s="47"/>
      <c r="HAL40" s="47"/>
      <c r="HAM40" s="47"/>
      <c r="HAN40" s="47"/>
      <c r="HAO40" s="47"/>
      <c r="HAP40" s="47"/>
      <c r="HAQ40" s="47"/>
      <c r="HAR40" s="47"/>
      <c r="HAS40" s="47"/>
      <c r="HAT40" s="47"/>
      <c r="HAU40" s="47"/>
      <c r="HAV40" s="47"/>
      <c r="HAW40" s="47"/>
      <c r="HAX40" s="47"/>
      <c r="HAY40" s="47"/>
      <c r="HAZ40" s="47"/>
      <c r="HBA40" s="47"/>
      <c r="HBB40" s="47"/>
      <c r="HBC40" s="47"/>
      <c r="HBD40" s="47"/>
      <c r="HBE40" s="47"/>
      <c r="HBF40" s="47"/>
      <c r="HBG40" s="47"/>
      <c r="HBH40" s="47"/>
      <c r="HBI40" s="47"/>
      <c r="HBJ40" s="47"/>
      <c r="HBK40" s="47"/>
      <c r="HBL40" s="47"/>
      <c r="HBM40" s="47"/>
      <c r="HBN40" s="47"/>
      <c r="HBO40" s="47"/>
      <c r="HBP40" s="47"/>
      <c r="HBQ40" s="47"/>
      <c r="HBR40" s="47"/>
      <c r="HBS40" s="47"/>
      <c r="HBT40" s="47"/>
      <c r="HBU40" s="47"/>
      <c r="HBV40" s="47"/>
      <c r="HBW40" s="47"/>
      <c r="HBX40" s="47"/>
      <c r="HBY40" s="47"/>
      <c r="HBZ40" s="47"/>
      <c r="HCA40" s="47"/>
      <c r="HCB40" s="47"/>
      <c r="HCC40" s="47"/>
      <c r="HCD40" s="47"/>
      <c r="HCE40" s="47"/>
      <c r="HCF40" s="47"/>
      <c r="HCG40" s="47"/>
      <c r="HCH40" s="47"/>
      <c r="HCI40" s="47"/>
      <c r="HCJ40" s="47"/>
      <c r="HCK40" s="47"/>
      <c r="HCL40" s="47"/>
      <c r="HCM40" s="47"/>
      <c r="HCN40" s="47"/>
      <c r="HCO40" s="47"/>
      <c r="HCP40" s="47"/>
      <c r="HCQ40" s="47"/>
      <c r="HCR40" s="47"/>
      <c r="HCS40" s="47"/>
      <c r="HCT40" s="47"/>
      <c r="HCU40" s="47"/>
      <c r="HCV40" s="47"/>
      <c r="HCW40" s="47"/>
      <c r="HCX40" s="47"/>
      <c r="HCY40" s="47"/>
      <c r="HCZ40" s="47"/>
      <c r="HDA40" s="47"/>
      <c r="HDB40" s="47"/>
      <c r="HDC40" s="47"/>
      <c r="HDD40" s="47"/>
      <c r="HDE40" s="47"/>
      <c r="HDF40" s="47"/>
      <c r="HDG40" s="47"/>
      <c r="HDH40" s="47"/>
      <c r="HDI40" s="47"/>
      <c r="HDJ40" s="47"/>
      <c r="HDK40" s="47"/>
      <c r="HDL40" s="47"/>
      <c r="HDM40" s="47"/>
      <c r="HDN40" s="47"/>
      <c r="HDO40" s="47"/>
      <c r="HDP40" s="47"/>
      <c r="HDQ40" s="47"/>
      <c r="HDR40" s="47"/>
      <c r="HDS40" s="47"/>
      <c r="HDT40" s="47"/>
      <c r="HDU40" s="47"/>
      <c r="HDV40" s="47"/>
      <c r="HDW40" s="47"/>
      <c r="HDX40" s="47"/>
      <c r="HDY40" s="47"/>
      <c r="HDZ40" s="47"/>
      <c r="HEA40" s="47"/>
      <c r="HEB40" s="47"/>
      <c r="HEC40" s="47"/>
      <c r="HED40" s="47"/>
      <c r="HEE40" s="47"/>
      <c r="HEF40" s="47"/>
      <c r="HEG40" s="47"/>
      <c r="HEH40" s="47"/>
      <c r="HEI40" s="47"/>
      <c r="HEJ40" s="47"/>
      <c r="HEK40" s="47"/>
      <c r="HEL40" s="47"/>
      <c r="HEM40" s="47"/>
      <c r="HEN40" s="47"/>
      <c r="HEO40" s="47"/>
      <c r="HEP40" s="47"/>
      <c r="HEQ40" s="47"/>
      <c r="HER40" s="47"/>
      <c r="HES40" s="47"/>
      <c r="HET40" s="47"/>
      <c r="HEU40" s="47"/>
      <c r="HEV40" s="47"/>
      <c r="HEW40" s="47"/>
      <c r="HEX40" s="47"/>
      <c r="HEY40" s="47"/>
      <c r="HEZ40" s="47"/>
      <c r="HFA40" s="47"/>
      <c r="HFB40" s="47"/>
      <c r="HFC40" s="47"/>
      <c r="HFD40" s="47"/>
      <c r="HFE40" s="47"/>
      <c r="HFF40" s="47"/>
      <c r="HFG40" s="47"/>
      <c r="HFH40" s="47"/>
      <c r="HFI40" s="47"/>
      <c r="HFJ40" s="47"/>
      <c r="HFK40" s="47"/>
      <c r="HFL40" s="47"/>
      <c r="HFM40" s="47"/>
      <c r="HFN40" s="47"/>
      <c r="HFO40" s="47"/>
      <c r="HFP40" s="47"/>
      <c r="HFQ40" s="47"/>
      <c r="HFR40" s="47"/>
      <c r="HFS40" s="47"/>
      <c r="HFT40" s="47"/>
      <c r="HFU40" s="47"/>
      <c r="HFV40" s="47"/>
      <c r="HFW40" s="47"/>
      <c r="HFX40" s="47"/>
      <c r="HFY40" s="47"/>
      <c r="HFZ40" s="47"/>
      <c r="HGA40" s="47"/>
      <c r="HGB40" s="47"/>
      <c r="HGC40" s="47"/>
      <c r="HGD40" s="47"/>
      <c r="HGE40" s="47"/>
      <c r="HGF40" s="47"/>
      <c r="HGG40" s="47"/>
      <c r="HGH40" s="47"/>
      <c r="HGI40" s="47"/>
      <c r="HGJ40" s="47"/>
      <c r="HGK40" s="47"/>
      <c r="HGL40" s="47"/>
      <c r="HGM40" s="47"/>
      <c r="HGN40" s="47"/>
      <c r="HGO40" s="47"/>
      <c r="HGP40" s="47"/>
      <c r="HGQ40" s="47"/>
      <c r="HGR40" s="47"/>
      <c r="HGS40" s="47"/>
      <c r="HGT40" s="47"/>
      <c r="HGU40" s="47"/>
      <c r="HGV40" s="47"/>
      <c r="HGW40" s="47"/>
      <c r="HGX40" s="47"/>
      <c r="HGY40" s="47"/>
      <c r="HGZ40" s="47"/>
      <c r="HHA40" s="47"/>
      <c r="HHB40" s="47"/>
      <c r="HHC40" s="47"/>
      <c r="HHD40" s="47"/>
      <c r="HHE40" s="47"/>
      <c r="HHF40" s="47"/>
      <c r="HHG40" s="47"/>
      <c r="HHH40" s="47"/>
      <c r="HHI40" s="47"/>
      <c r="HHJ40" s="47"/>
      <c r="HHK40" s="47"/>
      <c r="HHL40" s="47"/>
      <c r="HHM40" s="47"/>
      <c r="HHN40" s="47"/>
      <c r="HHO40" s="47"/>
      <c r="HHP40" s="47"/>
      <c r="HHQ40" s="47"/>
      <c r="HHR40" s="47"/>
      <c r="HHS40" s="47"/>
      <c r="HHT40" s="47"/>
      <c r="HHU40" s="47"/>
      <c r="HHV40" s="47"/>
      <c r="HHW40" s="47"/>
      <c r="HHX40" s="47"/>
      <c r="HHY40" s="47"/>
      <c r="HHZ40" s="47"/>
      <c r="HIA40" s="47"/>
      <c r="HIB40" s="47"/>
      <c r="HIC40" s="47"/>
      <c r="HID40" s="47"/>
      <c r="HIE40" s="47"/>
      <c r="HIF40" s="47"/>
      <c r="HIG40" s="47"/>
      <c r="HIH40" s="47"/>
      <c r="HII40" s="47"/>
      <c r="HIJ40" s="47"/>
      <c r="HIK40" s="47"/>
      <c r="HIL40" s="47"/>
      <c r="HIM40" s="47"/>
      <c r="HIN40" s="47"/>
      <c r="HIO40" s="47"/>
      <c r="HIP40" s="47"/>
      <c r="HIQ40" s="47"/>
      <c r="HIR40" s="47"/>
      <c r="HIS40" s="47"/>
      <c r="HIT40" s="47"/>
      <c r="HIU40" s="47"/>
      <c r="HIV40" s="47"/>
      <c r="HIW40" s="47"/>
      <c r="HIX40" s="47"/>
      <c r="HIY40" s="47"/>
      <c r="HIZ40" s="47"/>
      <c r="HJA40" s="47"/>
      <c r="HJB40" s="47"/>
      <c r="HJC40" s="47"/>
      <c r="HJD40" s="47"/>
      <c r="HJE40" s="47"/>
      <c r="HJF40" s="47"/>
      <c r="HJG40" s="47"/>
      <c r="HJH40" s="47"/>
      <c r="HJI40" s="47"/>
      <c r="HJJ40" s="47"/>
      <c r="HJK40" s="47"/>
      <c r="HJL40" s="47"/>
      <c r="HJM40" s="47"/>
      <c r="HJN40" s="47"/>
      <c r="HJO40" s="47"/>
      <c r="HJP40" s="47"/>
      <c r="HJQ40" s="47"/>
      <c r="HJR40" s="47"/>
      <c r="HJS40" s="47"/>
      <c r="HJT40" s="47"/>
      <c r="HJU40" s="47"/>
      <c r="HJV40" s="47"/>
      <c r="HJW40" s="47"/>
      <c r="HJX40" s="47"/>
      <c r="HJY40" s="47"/>
      <c r="HJZ40" s="47"/>
      <c r="HKA40" s="47"/>
      <c r="HKB40" s="47"/>
      <c r="HKC40" s="47"/>
      <c r="HKD40" s="47"/>
      <c r="HKE40" s="47"/>
      <c r="HKF40" s="47"/>
      <c r="HKG40" s="47"/>
      <c r="HKH40" s="47"/>
      <c r="HKI40" s="47"/>
      <c r="HKJ40" s="47"/>
      <c r="HKK40" s="47"/>
      <c r="HKL40" s="47"/>
      <c r="HKM40" s="47"/>
      <c r="HKN40" s="47"/>
      <c r="HKO40" s="47"/>
      <c r="HKP40" s="47"/>
      <c r="HKQ40" s="47"/>
      <c r="HKR40" s="47"/>
      <c r="HKS40" s="47"/>
      <c r="HKT40" s="47"/>
      <c r="HKU40" s="47"/>
      <c r="HKV40" s="47"/>
      <c r="HKW40" s="47"/>
      <c r="HKX40" s="47"/>
      <c r="HKY40" s="47"/>
      <c r="HKZ40" s="47"/>
      <c r="HLA40" s="47"/>
      <c r="HLB40" s="47"/>
      <c r="HLC40" s="47"/>
      <c r="HLD40" s="47"/>
      <c r="HLE40" s="47"/>
      <c r="HLF40" s="47"/>
      <c r="HLG40" s="47"/>
      <c r="HLH40" s="47"/>
      <c r="HLI40" s="47"/>
      <c r="HLJ40" s="47"/>
      <c r="HLK40" s="47"/>
      <c r="HLL40" s="47"/>
      <c r="HLM40" s="47"/>
      <c r="HLN40" s="47"/>
      <c r="HLO40" s="47"/>
      <c r="HLP40" s="47"/>
      <c r="HLQ40" s="47"/>
      <c r="HLR40" s="47"/>
      <c r="HLS40" s="47"/>
      <c r="HLT40" s="47"/>
      <c r="HLU40" s="47"/>
      <c r="HLV40" s="47"/>
      <c r="HLW40" s="47"/>
      <c r="HLX40" s="47"/>
      <c r="HLY40" s="47"/>
      <c r="HLZ40" s="47"/>
      <c r="HMA40" s="47"/>
      <c r="HMB40" s="47"/>
      <c r="HMC40" s="47"/>
      <c r="HMD40" s="47"/>
      <c r="HME40" s="47"/>
      <c r="HMF40" s="47"/>
      <c r="HMG40" s="47"/>
      <c r="HMH40" s="47"/>
      <c r="HMI40" s="47"/>
      <c r="HMJ40" s="47"/>
      <c r="HMK40" s="47"/>
      <c r="HML40" s="47"/>
      <c r="HMM40" s="47"/>
      <c r="HMN40" s="47"/>
      <c r="HMO40" s="47"/>
      <c r="HMP40" s="47"/>
      <c r="HMQ40" s="47"/>
      <c r="HMR40" s="47"/>
      <c r="HMS40" s="47"/>
      <c r="HMT40" s="47"/>
      <c r="HMU40" s="47"/>
      <c r="HMV40" s="47"/>
      <c r="HMW40" s="47"/>
      <c r="HMX40" s="47"/>
      <c r="HMY40" s="47"/>
      <c r="HMZ40" s="47"/>
      <c r="HNA40" s="47"/>
      <c r="HNB40" s="47"/>
      <c r="HNC40" s="47"/>
      <c r="HND40" s="47"/>
      <c r="HNE40" s="47"/>
      <c r="HNF40" s="47"/>
      <c r="HNG40" s="47"/>
      <c r="HNH40" s="47"/>
      <c r="HNI40" s="47"/>
      <c r="HNJ40" s="47"/>
      <c r="HNK40" s="47"/>
      <c r="HNL40" s="47"/>
      <c r="HNM40" s="47"/>
      <c r="HNN40" s="47"/>
      <c r="HNO40" s="47"/>
      <c r="HNP40" s="47"/>
      <c r="HNQ40" s="47"/>
      <c r="HNR40" s="47"/>
      <c r="HNS40" s="47"/>
      <c r="HNT40" s="47"/>
      <c r="HNU40" s="47"/>
      <c r="HNV40" s="47"/>
      <c r="HNW40" s="47"/>
      <c r="HNX40" s="47"/>
      <c r="HNY40" s="47"/>
      <c r="HNZ40" s="47"/>
      <c r="HOA40" s="47"/>
      <c r="HOB40" s="47"/>
      <c r="HOC40" s="47"/>
      <c r="HOD40" s="47"/>
      <c r="HOE40" s="47"/>
      <c r="HOF40" s="47"/>
      <c r="HOG40" s="47"/>
      <c r="HOH40" s="47"/>
      <c r="HOI40" s="47"/>
      <c r="HOJ40" s="47"/>
      <c r="HOK40" s="47"/>
      <c r="HOL40" s="47"/>
      <c r="HOM40" s="47"/>
      <c r="HON40" s="47"/>
      <c r="HOO40" s="47"/>
      <c r="HOP40" s="47"/>
      <c r="HOQ40" s="47"/>
      <c r="HOR40" s="47"/>
      <c r="HOS40" s="47"/>
      <c r="HOT40" s="47"/>
      <c r="HOU40" s="47"/>
      <c r="HOV40" s="47"/>
      <c r="HOW40" s="47"/>
      <c r="HOX40" s="47"/>
      <c r="HOY40" s="47"/>
      <c r="HOZ40" s="47"/>
      <c r="HPA40" s="47"/>
      <c r="HPB40" s="47"/>
      <c r="HPC40" s="47"/>
      <c r="HPD40" s="47"/>
      <c r="HPE40" s="47"/>
      <c r="HPF40" s="47"/>
      <c r="HPG40" s="47"/>
      <c r="HPH40" s="47"/>
      <c r="HPI40" s="47"/>
      <c r="HPJ40" s="47"/>
      <c r="HPK40" s="47"/>
      <c r="HPL40" s="47"/>
      <c r="HPM40" s="47"/>
      <c r="HPN40" s="47"/>
      <c r="HPO40" s="47"/>
      <c r="HPP40" s="47"/>
      <c r="HPQ40" s="47"/>
      <c r="HPR40" s="47"/>
      <c r="HPS40" s="47"/>
      <c r="HPT40" s="47"/>
      <c r="HPU40" s="47"/>
      <c r="HPV40" s="47"/>
      <c r="HPW40" s="47"/>
      <c r="HPX40" s="47"/>
      <c r="HPY40" s="47"/>
      <c r="HPZ40" s="47"/>
      <c r="HQA40" s="47"/>
      <c r="HQB40" s="47"/>
      <c r="HQC40" s="47"/>
      <c r="HQD40" s="47"/>
      <c r="HQE40" s="47"/>
      <c r="HQF40" s="47"/>
      <c r="HQG40" s="47"/>
      <c r="HQH40" s="47"/>
      <c r="HQI40" s="47"/>
      <c r="HQJ40" s="47"/>
      <c r="HQK40" s="47"/>
      <c r="HQL40" s="47"/>
      <c r="HQM40" s="47"/>
      <c r="HQN40" s="47"/>
      <c r="HQO40" s="47"/>
      <c r="HQP40" s="47"/>
      <c r="HQQ40" s="47"/>
      <c r="HQR40" s="47"/>
      <c r="HQS40" s="47"/>
      <c r="HQT40" s="47"/>
      <c r="HQU40" s="47"/>
      <c r="HQV40" s="47"/>
      <c r="HQW40" s="47"/>
      <c r="HQX40" s="47"/>
      <c r="HQY40" s="47"/>
      <c r="HQZ40" s="47"/>
      <c r="HRA40" s="47"/>
      <c r="HRB40" s="47"/>
      <c r="HRC40" s="47"/>
      <c r="HRD40" s="47"/>
      <c r="HRE40" s="47"/>
      <c r="HRF40" s="47"/>
      <c r="HRG40" s="47"/>
      <c r="HRH40" s="47"/>
      <c r="HRI40" s="47"/>
      <c r="HRJ40" s="47"/>
      <c r="HRK40" s="47"/>
      <c r="HRL40" s="47"/>
      <c r="HRM40" s="47"/>
      <c r="HRN40" s="47"/>
      <c r="HRO40" s="47"/>
      <c r="HRP40" s="47"/>
      <c r="HRQ40" s="47"/>
      <c r="HRR40" s="47"/>
      <c r="HRS40" s="47"/>
      <c r="HRT40" s="47"/>
      <c r="HRU40" s="47"/>
      <c r="HRV40" s="47"/>
      <c r="HRW40" s="47"/>
      <c r="HRX40" s="47"/>
      <c r="HRY40" s="47"/>
      <c r="HRZ40" s="47"/>
      <c r="HSA40" s="47"/>
      <c r="HSB40" s="47"/>
      <c r="HSC40" s="47"/>
      <c r="HSD40" s="47"/>
      <c r="HSE40" s="47"/>
      <c r="HSF40" s="47"/>
      <c r="HSG40" s="47"/>
      <c r="HSH40" s="47"/>
      <c r="HSI40" s="47"/>
      <c r="HSJ40" s="47"/>
      <c r="HSK40" s="47"/>
      <c r="HSL40" s="47"/>
      <c r="HSM40" s="47"/>
      <c r="HSN40" s="47"/>
      <c r="HSO40" s="47"/>
      <c r="HSP40" s="47"/>
      <c r="HSQ40" s="47"/>
      <c r="HSR40" s="47"/>
      <c r="HSS40" s="47"/>
      <c r="HST40" s="47"/>
      <c r="HSU40" s="47"/>
      <c r="HSV40" s="47"/>
      <c r="HSW40" s="47"/>
      <c r="HSX40" s="47"/>
      <c r="HSY40" s="47"/>
      <c r="HSZ40" s="47"/>
      <c r="HTA40" s="47"/>
      <c r="HTB40" s="47"/>
      <c r="HTC40" s="47"/>
      <c r="HTD40" s="47"/>
      <c r="HTE40" s="47"/>
      <c r="HTF40" s="47"/>
      <c r="HTG40" s="47"/>
      <c r="HTH40" s="47"/>
      <c r="HTI40" s="47"/>
      <c r="HTJ40" s="47"/>
      <c r="HTK40" s="47"/>
      <c r="HTL40" s="47"/>
      <c r="HTM40" s="47"/>
      <c r="HTN40" s="47"/>
      <c r="HTO40" s="47"/>
      <c r="HTP40" s="47"/>
      <c r="HTQ40" s="47"/>
      <c r="HTR40" s="47"/>
      <c r="HTS40" s="47"/>
      <c r="HTT40" s="47"/>
      <c r="HTU40" s="47"/>
      <c r="HTV40" s="47"/>
      <c r="HTW40" s="47"/>
      <c r="HTX40" s="47"/>
      <c r="HTY40" s="47"/>
      <c r="HTZ40" s="47"/>
      <c r="HUA40" s="47"/>
      <c r="HUB40" s="47"/>
      <c r="HUC40" s="47"/>
      <c r="HUD40" s="47"/>
      <c r="HUE40" s="47"/>
      <c r="HUF40" s="47"/>
      <c r="HUG40" s="47"/>
      <c r="HUH40" s="47"/>
      <c r="HUI40" s="47"/>
      <c r="HUJ40" s="47"/>
      <c r="HUK40" s="47"/>
      <c r="HUL40" s="47"/>
      <c r="HUM40" s="47"/>
      <c r="HUN40" s="47"/>
      <c r="HUO40" s="47"/>
      <c r="HUP40" s="47"/>
      <c r="HUQ40" s="47"/>
      <c r="HUR40" s="47"/>
      <c r="HUS40" s="47"/>
      <c r="HUT40" s="47"/>
      <c r="HUU40" s="47"/>
      <c r="HUV40" s="47"/>
      <c r="HUW40" s="47"/>
      <c r="HUX40" s="47"/>
      <c r="HUY40" s="47"/>
      <c r="HUZ40" s="47"/>
      <c r="HVA40" s="47"/>
      <c r="HVB40" s="47"/>
      <c r="HVC40" s="47"/>
      <c r="HVD40" s="47"/>
      <c r="HVE40" s="47"/>
      <c r="HVF40" s="47"/>
      <c r="HVG40" s="47"/>
      <c r="HVH40" s="47"/>
      <c r="HVI40" s="47"/>
      <c r="HVJ40" s="47"/>
      <c r="HVK40" s="47"/>
      <c r="HVL40" s="47"/>
      <c r="HVM40" s="47"/>
      <c r="HVN40" s="47"/>
      <c r="HVO40" s="47"/>
      <c r="HVP40" s="47"/>
      <c r="HVQ40" s="47"/>
      <c r="HVR40" s="47"/>
      <c r="HVS40" s="47"/>
      <c r="HVT40" s="47"/>
      <c r="HVU40" s="47"/>
      <c r="HVV40" s="47"/>
      <c r="HVW40" s="47"/>
      <c r="HVX40" s="47"/>
      <c r="HVY40" s="47"/>
      <c r="HVZ40" s="47"/>
      <c r="HWA40" s="47"/>
      <c r="HWB40" s="47"/>
      <c r="HWC40" s="47"/>
      <c r="HWD40" s="47"/>
      <c r="HWE40" s="47"/>
      <c r="HWF40" s="47"/>
      <c r="HWG40" s="47"/>
      <c r="HWH40" s="47"/>
      <c r="HWI40" s="47"/>
      <c r="HWJ40" s="47"/>
      <c r="HWK40" s="47"/>
      <c r="HWL40" s="47"/>
      <c r="HWM40" s="47"/>
      <c r="HWN40" s="47"/>
      <c r="HWO40" s="47"/>
      <c r="HWP40" s="47"/>
      <c r="HWQ40" s="47"/>
      <c r="HWR40" s="47"/>
      <c r="HWS40" s="47"/>
      <c r="HWT40" s="47"/>
      <c r="HWU40" s="47"/>
      <c r="HWV40" s="47"/>
      <c r="HWW40" s="47"/>
      <c r="HWX40" s="47"/>
      <c r="HWY40" s="47"/>
      <c r="HWZ40" s="47"/>
      <c r="HXA40" s="47"/>
      <c r="HXB40" s="47"/>
      <c r="HXC40" s="47"/>
      <c r="HXD40" s="47"/>
      <c r="HXE40" s="47"/>
      <c r="HXF40" s="47"/>
      <c r="HXG40" s="47"/>
      <c r="HXH40" s="47"/>
      <c r="HXI40" s="47"/>
      <c r="HXJ40" s="47"/>
      <c r="HXK40" s="47"/>
      <c r="HXL40" s="47"/>
      <c r="HXM40" s="47"/>
      <c r="HXN40" s="47"/>
      <c r="HXO40" s="47"/>
      <c r="HXP40" s="47"/>
      <c r="HXQ40" s="47"/>
      <c r="HXR40" s="47"/>
      <c r="HXS40" s="47"/>
      <c r="HXT40" s="47"/>
      <c r="HXU40" s="47"/>
      <c r="HXV40" s="47"/>
      <c r="HXW40" s="47"/>
      <c r="HXX40" s="47"/>
      <c r="HXY40" s="47"/>
      <c r="HXZ40" s="47"/>
      <c r="HYA40" s="47"/>
      <c r="HYB40" s="47"/>
      <c r="HYC40" s="47"/>
      <c r="HYD40" s="47"/>
      <c r="HYE40" s="47"/>
      <c r="HYF40" s="47"/>
      <c r="HYG40" s="47"/>
      <c r="HYH40" s="47"/>
      <c r="HYI40" s="47"/>
      <c r="HYJ40" s="47"/>
      <c r="HYK40" s="47"/>
      <c r="HYL40" s="47"/>
      <c r="HYM40" s="47"/>
      <c r="HYN40" s="47"/>
      <c r="HYO40" s="47"/>
      <c r="HYP40" s="47"/>
      <c r="HYQ40" s="47"/>
      <c r="HYR40" s="47"/>
      <c r="HYS40" s="47"/>
      <c r="HYT40" s="47"/>
      <c r="HYU40" s="47"/>
      <c r="HYV40" s="47"/>
      <c r="HYW40" s="47"/>
      <c r="HYX40" s="47"/>
      <c r="HYY40" s="47"/>
      <c r="HYZ40" s="47"/>
      <c r="HZA40" s="47"/>
      <c r="HZB40" s="47"/>
      <c r="HZC40" s="47"/>
      <c r="HZD40" s="47"/>
      <c r="HZE40" s="47"/>
      <c r="HZF40" s="47"/>
      <c r="HZG40" s="47"/>
      <c r="HZH40" s="47"/>
      <c r="HZI40" s="47"/>
      <c r="HZJ40" s="47"/>
      <c r="HZK40" s="47"/>
      <c r="HZL40" s="47"/>
      <c r="HZM40" s="47"/>
      <c r="HZN40" s="47"/>
      <c r="HZO40" s="47"/>
      <c r="HZP40" s="47"/>
      <c r="HZQ40" s="47"/>
      <c r="HZR40" s="47"/>
      <c r="HZS40" s="47"/>
      <c r="HZT40" s="47"/>
      <c r="HZU40" s="47"/>
      <c r="HZV40" s="47"/>
      <c r="HZW40" s="47"/>
      <c r="HZX40" s="47"/>
      <c r="HZY40" s="47"/>
      <c r="HZZ40" s="47"/>
      <c r="IAA40" s="47"/>
      <c r="IAB40" s="47"/>
      <c r="IAC40" s="47"/>
      <c r="IAD40" s="47"/>
      <c r="IAE40" s="47"/>
      <c r="IAF40" s="47"/>
      <c r="IAG40" s="47"/>
      <c r="IAH40" s="47"/>
      <c r="IAI40" s="47"/>
      <c r="IAJ40" s="47"/>
      <c r="IAK40" s="47"/>
      <c r="IAL40" s="47"/>
      <c r="IAM40" s="47"/>
      <c r="IAN40" s="47"/>
      <c r="IAO40" s="47"/>
      <c r="IAP40" s="47"/>
      <c r="IAQ40" s="47"/>
      <c r="IAR40" s="47"/>
      <c r="IAS40" s="47"/>
      <c r="IAT40" s="47"/>
      <c r="IAU40" s="47"/>
      <c r="IAV40" s="47"/>
      <c r="IAW40" s="47"/>
      <c r="IAX40" s="47"/>
      <c r="IAY40" s="47"/>
      <c r="IAZ40" s="47"/>
      <c r="IBA40" s="47"/>
      <c r="IBB40" s="47"/>
      <c r="IBC40" s="47"/>
      <c r="IBD40" s="47"/>
      <c r="IBE40" s="47"/>
      <c r="IBF40" s="47"/>
      <c r="IBG40" s="47"/>
      <c r="IBH40" s="47"/>
      <c r="IBI40" s="47"/>
      <c r="IBJ40" s="47"/>
      <c r="IBK40" s="47"/>
      <c r="IBL40" s="47"/>
      <c r="IBM40" s="47"/>
      <c r="IBN40" s="47"/>
      <c r="IBO40" s="47"/>
      <c r="IBP40" s="47"/>
      <c r="IBQ40" s="47"/>
      <c r="IBR40" s="47"/>
      <c r="IBS40" s="47"/>
      <c r="IBT40" s="47"/>
      <c r="IBU40" s="47"/>
      <c r="IBV40" s="47"/>
      <c r="IBW40" s="47"/>
      <c r="IBX40" s="47"/>
      <c r="IBY40" s="47"/>
      <c r="IBZ40" s="47"/>
      <c r="ICA40" s="47"/>
      <c r="ICB40" s="47"/>
      <c r="ICC40" s="47"/>
      <c r="ICD40" s="47"/>
      <c r="ICE40" s="47"/>
      <c r="ICF40" s="47"/>
      <c r="ICG40" s="47"/>
      <c r="ICH40" s="47"/>
      <c r="ICI40" s="47"/>
      <c r="ICJ40" s="47"/>
      <c r="ICK40" s="47"/>
      <c r="ICL40" s="47"/>
      <c r="ICM40" s="47"/>
      <c r="ICN40" s="47"/>
      <c r="ICO40" s="47"/>
      <c r="ICP40" s="47"/>
      <c r="ICQ40" s="47"/>
      <c r="ICR40" s="47"/>
      <c r="ICS40" s="47"/>
      <c r="ICT40" s="47"/>
      <c r="ICU40" s="47"/>
      <c r="ICV40" s="47"/>
      <c r="ICW40" s="47"/>
      <c r="ICX40" s="47"/>
      <c r="ICY40" s="47"/>
      <c r="ICZ40" s="47"/>
      <c r="IDA40" s="47"/>
      <c r="IDB40" s="47"/>
      <c r="IDC40" s="47"/>
      <c r="IDD40" s="47"/>
      <c r="IDE40" s="47"/>
      <c r="IDF40" s="47"/>
      <c r="IDG40" s="47"/>
      <c r="IDH40" s="47"/>
      <c r="IDI40" s="47"/>
      <c r="IDJ40" s="47"/>
      <c r="IDK40" s="47"/>
      <c r="IDL40" s="47"/>
      <c r="IDM40" s="47"/>
      <c r="IDN40" s="47"/>
      <c r="IDO40" s="47"/>
      <c r="IDP40" s="47"/>
      <c r="IDQ40" s="47"/>
      <c r="IDR40" s="47"/>
      <c r="IDS40" s="47"/>
      <c r="IDT40" s="47"/>
      <c r="IDU40" s="47"/>
      <c r="IDV40" s="47"/>
      <c r="IDW40" s="47"/>
      <c r="IDX40" s="47"/>
      <c r="IDY40" s="47"/>
      <c r="IDZ40" s="47"/>
      <c r="IEA40" s="47"/>
      <c r="IEB40" s="47"/>
      <c r="IEC40" s="47"/>
      <c r="IED40" s="47"/>
      <c r="IEE40" s="47"/>
      <c r="IEF40" s="47"/>
      <c r="IEG40" s="47"/>
      <c r="IEH40" s="47"/>
      <c r="IEI40" s="47"/>
      <c r="IEJ40" s="47"/>
      <c r="IEK40" s="47"/>
      <c r="IEL40" s="47"/>
      <c r="IEM40" s="47"/>
      <c r="IEN40" s="47"/>
      <c r="IEO40" s="47"/>
      <c r="IEP40" s="47"/>
      <c r="IEQ40" s="47"/>
      <c r="IER40" s="47"/>
      <c r="IES40" s="47"/>
      <c r="IET40" s="47"/>
      <c r="IEU40" s="47"/>
      <c r="IEV40" s="47"/>
      <c r="IEW40" s="47"/>
      <c r="IEX40" s="47"/>
      <c r="IEY40" s="47"/>
      <c r="IEZ40" s="47"/>
      <c r="IFA40" s="47"/>
      <c r="IFB40" s="47"/>
      <c r="IFC40" s="47"/>
      <c r="IFD40" s="47"/>
      <c r="IFE40" s="47"/>
      <c r="IFF40" s="47"/>
      <c r="IFG40" s="47"/>
      <c r="IFH40" s="47"/>
      <c r="IFI40" s="47"/>
      <c r="IFJ40" s="47"/>
      <c r="IFK40" s="47"/>
      <c r="IFL40" s="47"/>
      <c r="IFM40" s="47"/>
      <c r="IFN40" s="47"/>
      <c r="IFO40" s="47"/>
      <c r="IFP40" s="47"/>
      <c r="IFQ40" s="47"/>
      <c r="IFR40" s="47"/>
      <c r="IFS40" s="47"/>
      <c r="IFT40" s="47"/>
      <c r="IFU40" s="47"/>
      <c r="IFV40" s="47"/>
      <c r="IFW40" s="47"/>
      <c r="IFX40" s="47"/>
      <c r="IFY40" s="47"/>
      <c r="IFZ40" s="47"/>
      <c r="IGA40" s="47"/>
      <c r="IGB40" s="47"/>
      <c r="IGC40" s="47"/>
      <c r="IGD40" s="47"/>
      <c r="IGE40" s="47"/>
      <c r="IGF40" s="47"/>
      <c r="IGG40" s="47"/>
      <c r="IGH40" s="47"/>
      <c r="IGI40" s="47"/>
      <c r="IGJ40" s="47"/>
      <c r="IGK40" s="47"/>
      <c r="IGL40" s="47"/>
      <c r="IGM40" s="47"/>
      <c r="IGN40" s="47"/>
      <c r="IGO40" s="47"/>
      <c r="IGP40" s="47"/>
      <c r="IGQ40" s="47"/>
      <c r="IGR40" s="47"/>
      <c r="IGS40" s="47"/>
      <c r="IGT40" s="47"/>
      <c r="IGU40" s="47"/>
      <c r="IGV40" s="47"/>
      <c r="IGW40" s="47"/>
      <c r="IGX40" s="47"/>
      <c r="IGY40" s="47"/>
      <c r="IGZ40" s="47"/>
      <c r="IHA40" s="47"/>
      <c r="IHB40" s="47"/>
      <c r="IHC40" s="47"/>
      <c r="IHD40" s="47"/>
      <c r="IHE40" s="47"/>
      <c r="IHF40" s="47"/>
      <c r="IHG40" s="47"/>
      <c r="IHH40" s="47"/>
      <c r="IHI40" s="47"/>
      <c r="IHJ40" s="47"/>
      <c r="IHK40" s="47"/>
      <c r="IHL40" s="47"/>
      <c r="IHM40" s="47"/>
      <c r="IHN40" s="47"/>
      <c r="IHO40" s="47"/>
      <c r="IHP40" s="47"/>
      <c r="IHQ40" s="47"/>
      <c r="IHR40" s="47"/>
      <c r="IHS40" s="47"/>
      <c r="IHT40" s="47"/>
      <c r="IHU40" s="47"/>
      <c r="IHV40" s="47"/>
      <c r="IHW40" s="47"/>
      <c r="IHX40" s="47"/>
      <c r="IHY40" s="47"/>
      <c r="IHZ40" s="47"/>
      <c r="IIA40" s="47"/>
      <c r="IIB40" s="47"/>
      <c r="IIC40" s="47"/>
      <c r="IID40" s="47"/>
      <c r="IIE40" s="47"/>
      <c r="IIF40" s="47"/>
      <c r="IIG40" s="47"/>
      <c r="IIH40" s="47"/>
      <c r="III40" s="47"/>
      <c r="IIJ40" s="47"/>
      <c r="IIK40" s="47"/>
      <c r="IIL40" s="47"/>
      <c r="IIM40" s="47"/>
      <c r="IIN40" s="47"/>
      <c r="IIO40" s="47"/>
      <c r="IIP40" s="47"/>
      <c r="IIQ40" s="47"/>
      <c r="IIR40" s="47"/>
      <c r="IIS40" s="47"/>
      <c r="IIT40" s="47"/>
      <c r="IIU40" s="47"/>
      <c r="IIV40" s="47"/>
      <c r="IIW40" s="47"/>
      <c r="IIX40" s="47"/>
      <c r="IIY40" s="47"/>
      <c r="IIZ40" s="47"/>
      <c r="IJA40" s="47"/>
      <c r="IJB40" s="47"/>
      <c r="IJC40" s="47"/>
      <c r="IJD40" s="47"/>
      <c r="IJE40" s="47"/>
      <c r="IJF40" s="47"/>
      <c r="IJG40" s="47"/>
      <c r="IJH40" s="47"/>
      <c r="IJI40" s="47"/>
      <c r="IJJ40" s="47"/>
      <c r="IJK40" s="47"/>
      <c r="IJL40" s="47"/>
      <c r="IJM40" s="47"/>
      <c r="IJN40" s="47"/>
      <c r="IJO40" s="47"/>
      <c r="IJP40" s="47"/>
      <c r="IJQ40" s="47"/>
      <c r="IJR40" s="47"/>
      <c r="IJS40" s="47"/>
      <c r="IJT40" s="47"/>
      <c r="IJU40" s="47"/>
      <c r="IJV40" s="47"/>
      <c r="IJW40" s="47"/>
      <c r="IJX40" s="47"/>
      <c r="IJY40" s="47"/>
      <c r="IJZ40" s="47"/>
      <c r="IKA40" s="47"/>
      <c r="IKB40" s="47"/>
      <c r="IKC40" s="47"/>
      <c r="IKD40" s="47"/>
      <c r="IKE40" s="47"/>
      <c r="IKF40" s="47"/>
      <c r="IKG40" s="47"/>
      <c r="IKH40" s="47"/>
      <c r="IKI40" s="47"/>
      <c r="IKJ40" s="47"/>
      <c r="IKK40" s="47"/>
      <c r="IKL40" s="47"/>
      <c r="IKM40" s="47"/>
      <c r="IKN40" s="47"/>
      <c r="IKO40" s="47"/>
      <c r="IKP40" s="47"/>
      <c r="IKQ40" s="47"/>
      <c r="IKR40" s="47"/>
      <c r="IKS40" s="47"/>
      <c r="IKT40" s="47"/>
      <c r="IKU40" s="47"/>
      <c r="IKV40" s="47"/>
      <c r="IKW40" s="47"/>
      <c r="IKX40" s="47"/>
      <c r="IKY40" s="47"/>
      <c r="IKZ40" s="47"/>
      <c r="ILA40" s="47"/>
      <c r="ILB40" s="47"/>
      <c r="ILC40" s="47"/>
      <c r="ILD40" s="47"/>
      <c r="ILE40" s="47"/>
      <c r="ILF40" s="47"/>
      <c r="ILG40" s="47"/>
      <c r="ILH40" s="47"/>
      <c r="ILI40" s="47"/>
      <c r="ILJ40" s="47"/>
      <c r="ILK40" s="47"/>
      <c r="ILL40" s="47"/>
      <c r="ILM40" s="47"/>
      <c r="ILN40" s="47"/>
      <c r="ILO40" s="47"/>
      <c r="ILP40" s="47"/>
      <c r="ILQ40" s="47"/>
      <c r="ILR40" s="47"/>
      <c r="ILS40" s="47"/>
      <c r="ILT40" s="47"/>
      <c r="ILU40" s="47"/>
      <c r="ILV40" s="47"/>
      <c r="ILW40" s="47"/>
      <c r="ILX40" s="47"/>
      <c r="ILY40" s="47"/>
      <c r="ILZ40" s="47"/>
      <c r="IMA40" s="47"/>
      <c r="IMB40" s="47"/>
      <c r="IMC40" s="47"/>
      <c r="IMD40" s="47"/>
      <c r="IME40" s="47"/>
      <c r="IMF40" s="47"/>
      <c r="IMG40" s="47"/>
      <c r="IMH40" s="47"/>
      <c r="IMI40" s="47"/>
      <c r="IMJ40" s="47"/>
      <c r="IMK40" s="47"/>
      <c r="IML40" s="47"/>
      <c r="IMM40" s="47"/>
      <c r="IMN40" s="47"/>
      <c r="IMO40" s="47"/>
      <c r="IMP40" s="47"/>
      <c r="IMQ40" s="47"/>
      <c r="IMR40" s="47"/>
      <c r="IMS40" s="47"/>
      <c r="IMT40" s="47"/>
      <c r="IMU40" s="47"/>
      <c r="IMV40" s="47"/>
      <c r="IMW40" s="47"/>
      <c r="IMX40" s="47"/>
      <c r="IMY40" s="47"/>
      <c r="IMZ40" s="47"/>
      <c r="INA40" s="47"/>
      <c r="INB40" s="47"/>
      <c r="INC40" s="47"/>
      <c r="IND40" s="47"/>
      <c r="INE40" s="47"/>
      <c r="INF40" s="47"/>
      <c r="ING40" s="47"/>
      <c r="INH40" s="47"/>
      <c r="INI40" s="47"/>
      <c r="INJ40" s="47"/>
      <c r="INK40" s="47"/>
      <c r="INL40" s="47"/>
      <c r="INM40" s="47"/>
      <c r="INN40" s="47"/>
      <c r="INO40" s="47"/>
      <c r="INP40" s="47"/>
      <c r="INQ40" s="47"/>
      <c r="INR40" s="47"/>
      <c r="INS40" s="47"/>
      <c r="INT40" s="47"/>
      <c r="INU40" s="47"/>
      <c r="INV40" s="47"/>
      <c r="INW40" s="47"/>
      <c r="INX40" s="47"/>
      <c r="INY40" s="47"/>
      <c r="INZ40" s="47"/>
      <c r="IOA40" s="47"/>
      <c r="IOB40" s="47"/>
      <c r="IOC40" s="47"/>
      <c r="IOD40" s="47"/>
      <c r="IOE40" s="47"/>
      <c r="IOF40" s="47"/>
      <c r="IOG40" s="47"/>
      <c r="IOH40" s="47"/>
      <c r="IOI40" s="47"/>
      <c r="IOJ40" s="47"/>
      <c r="IOK40" s="47"/>
      <c r="IOL40" s="47"/>
      <c r="IOM40" s="47"/>
      <c r="ION40" s="47"/>
      <c r="IOO40" s="47"/>
      <c r="IOP40" s="47"/>
      <c r="IOQ40" s="47"/>
      <c r="IOR40" s="47"/>
      <c r="IOS40" s="47"/>
      <c r="IOT40" s="47"/>
      <c r="IOU40" s="47"/>
      <c r="IOV40" s="47"/>
      <c r="IOW40" s="47"/>
      <c r="IOX40" s="47"/>
      <c r="IOY40" s="47"/>
      <c r="IOZ40" s="47"/>
      <c r="IPA40" s="47"/>
      <c r="IPB40" s="47"/>
      <c r="IPC40" s="47"/>
      <c r="IPD40" s="47"/>
      <c r="IPE40" s="47"/>
      <c r="IPF40" s="47"/>
      <c r="IPG40" s="47"/>
      <c r="IPH40" s="47"/>
      <c r="IPI40" s="47"/>
      <c r="IPJ40" s="47"/>
      <c r="IPK40" s="47"/>
      <c r="IPL40" s="47"/>
      <c r="IPM40" s="47"/>
      <c r="IPN40" s="47"/>
      <c r="IPO40" s="47"/>
      <c r="IPP40" s="47"/>
      <c r="IPQ40" s="47"/>
      <c r="IPR40" s="47"/>
      <c r="IPS40" s="47"/>
      <c r="IPT40" s="47"/>
      <c r="IPU40" s="47"/>
      <c r="IPV40" s="47"/>
      <c r="IPW40" s="47"/>
      <c r="IPX40" s="47"/>
      <c r="IPY40" s="47"/>
      <c r="IPZ40" s="47"/>
      <c r="IQA40" s="47"/>
      <c r="IQB40" s="47"/>
      <c r="IQC40" s="47"/>
      <c r="IQD40" s="47"/>
      <c r="IQE40" s="47"/>
      <c r="IQF40" s="47"/>
      <c r="IQG40" s="47"/>
      <c r="IQH40" s="47"/>
      <c r="IQI40" s="47"/>
      <c r="IQJ40" s="47"/>
      <c r="IQK40" s="47"/>
      <c r="IQL40" s="47"/>
      <c r="IQM40" s="47"/>
      <c r="IQN40" s="47"/>
      <c r="IQO40" s="47"/>
      <c r="IQP40" s="47"/>
      <c r="IQQ40" s="47"/>
      <c r="IQR40" s="47"/>
      <c r="IQS40" s="47"/>
      <c r="IQT40" s="47"/>
      <c r="IQU40" s="47"/>
      <c r="IQV40" s="47"/>
      <c r="IQW40" s="47"/>
      <c r="IQX40" s="47"/>
      <c r="IQY40" s="47"/>
      <c r="IQZ40" s="47"/>
      <c r="IRA40" s="47"/>
      <c r="IRB40" s="47"/>
      <c r="IRC40" s="47"/>
      <c r="IRD40" s="47"/>
      <c r="IRE40" s="47"/>
      <c r="IRF40" s="47"/>
      <c r="IRG40" s="47"/>
      <c r="IRH40" s="47"/>
      <c r="IRI40" s="47"/>
      <c r="IRJ40" s="47"/>
      <c r="IRK40" s="47"/>
      <c r="IRL40" s="47"/>
      <c r="IRM40" s="47"/>
      <c r="IRN40" s="47"/>
      <c r="IRO40" s="47"/>
      <c r="IRP40" s="47"/>
      <c r="IRQ40" s="47"/>
      <c r="IRR40" s="47"/>
      <c r="IRS40" s="47"/>
      <c r="IRT40" s="47"/>
      <c r="IRU40" s="47"/>
      <c r="IRV40" s="47"/>
      <c r="IRW40" s="47"/>
      <c r="IRX40" s="47"/>
      <c r="IRY40" s="47"/>
      <c r="IRZ40" s="47"/>
      <c r="ISA40" s="47"/>
      <c r="ISB40" s="47"/>
      <c r="ISC40" s="47"/>
      <c r="ISD40" s="47"/>
      <c r="ISE40" s="47"/>
      <c r="ISF40" s="47"/>
      <c r="ISG40" s="47"/>
      <c r="ISH40" s="47"/>
      <c r="ISI40" s="47"/>
      <c r="ISJ40" s="47"/>
      <c r="ISK40" s="47"/>
      <c r="ISL40" s="47"/>
      <c r="ISM40" s="47"/>
      <c r="ISN40" s="47"/>
      <c r="ISO40" s="47"/>
      <c r="ISP40" s="47"/>
      <c r="ISQ40" s="47"/>
      <c r="ISR40" s="47"/>
      <c r="ISS40" s="47"/>
      <c r="IST40" s="47"/>
      <c r="ISU40" s="47"/>
      <c r="ISV40" s="47"/>
      <c r="ISW40" s="47"/>
      <c r="ISX40" s="47"/>
      <c r="ISY40" s="47"/>
      <c r="ISZ40" s="47"/>
      <c r="ITA40" s="47"/>
      <c r="ITB40" s="47"/>
      <c r="ITC40" s="47"/>
      <c r="ITD40" s="47"/>
      <c r="ITE40" s="47"/>
      <c r="ITF40" s="47"/>
      <c r="ITG40" s="47"/>
      <c r="ITH40" s="47"/>
      <c r="ITI40" s="47"/>
      <c r="ITJ40" s="47"/>
      <c r="ITK40" s="47"/>
      <c r="ITL40" s="47"/>
      <c r="ITM40" s="47"/>
      <c r="ITN40" s="47"/>
      <c r="ITO40" s="47"/>
      <c r="ITP40" s="47"/>
      <c r="ITQ40" s="47"/>
      <c r="ITR40" s="47"/>
      <c r="ITS40" s="47"/>
      <c r="ITT40" s="47"/>
      <c r="ITU40" s="47"/>
      <c r="ITV40" s="47"/>
      <c r="ITW40" s="47"/>
      <c r="ITX40" s="47"/>
      <c r="ITY40" s="47"/>
      <c r="ITZ40" s="47"/>
      <c r="IUA40" s="47"/>
      <c r="IUB40" s="47"/>
      <c r="IUC40" s="47"/>
      <c r="IUD40" s="47"/>
      <c r="IUE40" s="47"/>
      <c r="IUF40" s="47"/>
      <c r="IUG40" s="47"/>
      <c r="IUH40" s="47"/>
      <c r="IUI40" s="47"/>
      <c r="IUJ40" s="47"/>
      <c r="IUK40" s="47"/>
      <c r="IUL40" s="47"/>
      <c r="IUM40" s="47"/>
      <c r="IUN40" s="47"/>
      <c r="IUO40" s="47"/>
      <c r="IUP40" s="47"/>
      <c r="IUQ40" s="47"/>
      <c r="IUR40" s="47"/>
      <c r="IUS40" s="47"/>
      <c r="IUT40" s="47"/>
      <c r="IUU40" s="47"/>
      <c r="IUV40" s="47"/>
      <c r="IUW40" s="47"/>
      <c r="IUX40" s="47"/>
      <c r="IUY40" s="47"/>
      <c r="IUZ40" s="47"/>
      <c r="IVA40" s="47"/>
      <c r="IVB40" s="47"/>
      <c r="IVC40" s="47"/>
      <c r="IVD40" s="47"/>
      <c r="IVE40" s="47"/>
      <c r="IVF40" s="47"/>
      <c r="IVG40" s="47"/>
      <c r="IVH40" s="47"/>
      <c r="IVI40" s="47"/>
      <c r="IVJ40" s="47"/>
      <c r="IVK40" s="47"/>
      <c r="IVL40" s="47"/>
      <c r="IVM40" s="47"/>
      <c r="IVN40" s="47"/>
      <c r="IVO40" s="47"/>
      <c r="IVP40" s="47"/>
      <c r="IVQ40" s="47"/>
      <c r="IVR40" s="47"/>
      <c r="IVS40" s="47"/>
      <c r="IVT40" s="47"/>
      <c r="IVU40" s="47"/>
      <c r="IVV40" s="47"/>
      <c r="IVW40" s="47"/>
      <c r="IVX40" s="47"/>
      <c r="IVY40" s="47"/>
      <c r="IVZ40" s="47"/>
      <c r="IWA40" s="47"/>
      <c r="IWB40" s="47"/>
      <c r="IWC40" s="47"/>
      <c r="IWD40" s="47"/>
      <c r="IWE40" s="47"/>
      <c r="IWF40" s="47"/>
      <c r="IWG40" s="47"/>
      <c r="IWH40" s="47"/>
      <c r="IWI40" s="47"/>
      <c r="IWJ40" s="47"/>
      <c r="IWK40" s="47"/>
      <c r="IWL40" s="47"/>
      <c r="IWM40" s="47"/>
      <c r="IWN40" s="47"/>
      <c r="IWO40" s="47"/>
      <c r="IWP40" s="47"/>
      <c r="IWQ40" s="47"/>
      <c r="IWR40" s="47"/>
      <c r="IWS40" s="47"/>
      <c r="IWT40" s="47"/>
      <c r="IWU40" s="47"/>
      <c r="IWV40" s="47"/>
      <c r="IWW40" s="47"/>
      <c r="IWX40" s="47"/>
      <c r="IWY40" s="47"/>
      <c r="IWZ40" s="47"/>
      <c r="IXA40" s="47"/>
      <c r="IXB40" s="47"/>
      <c r="IXC40" s="47"/>
      <c r="IXD40" s="47"/>
      <c r="IXE40" s="47"/>
      <c r="IXF40" s="47"/>
      <c r="IXG40" s="47"/>
      <c r="IXH40" s="47"/>
      <c r="IXI40" s="47"/>
      <c r="IXJ40" s="47"/>
      <c r="IXK40" s="47"/>
      <c r="IXL40" s="47"/>
      <c r="IXM40" s="47"/>
      <c r="IXN40" s="47"/>
      <c r="IXO40" s="47"/>
      <c r="IXP40" s="47"/>
      <c r="IXQ40" s="47"/>
      <c r="IXR40" s="47"/>
      <c r="IXS40" s="47"/>
      <c r="IXT40" s="47"/>
      <c r="IXU40" s="47"/>
      <c r="IXV40" s="47"/>
      <c r="IXW40" s="47"/>
      <c r="IXX40" s="47"/>
      <c r="IXY40" s="47"/>
      <c r="IXZ40" s="47"/>
      <c r="IYA40" s="47"/>
      <c r="IYB40" s="47"/>
      <c r="IYC40" s="47"/>
      <c r="IYD40" s="47"/>
      <c r="IYE40" s="47"/>
      <c r="IYF40" s="47"/>
      <c r="IYG40" s="47"/>
      <c r="IYH40" s="47"/>
      <c r="IYI40" s="47"/>
      <c r="IYJ40" s="47"/>
      <c r="IYK40" s="47"/>
      <c r="IYL40" s="47"/>
      <c r="IYM40" s="47"/>
      <c r="IYN40" s="47"/>
      <c r="IYO40" s="47"/>
      <c r="IYP40" s="47"/>
      <c r="IYQ40" s="47"/>
      <c r="IYR40" s="47"/>
      <c r="IYS40" s="47"/>
      <c r="IYT40" s="47"/>
      <c r="IYU40" s="47"/>
      <c r="IYV40" s="47"/>
      <c r="IYW40" s="47"/>
      <c r="IYX40" s="47"/>
      <c r="IYY40" s="47"/>
      <c r="IYZ40" s="47"/>
      <c r="IZA40" s="47"/>
      <c r="IZB40" s="47"/>
      <c r="IZC40" s="47"/>
      <c r="IZD40" s="47"/>
      <c r="IZE40" s="47"/>
      <c r="IZF40" s="47"/>
      <c r="IZG40" s="47"/>
      <c r="IZH40" s="47"/>
      <c r="IZI40" s="47"/>
      <c r="IZJ40" s="47"/>
      <c r="IZK40" s="47"/>
      <c r="IZL40" s="47"/>
      <c r="IZM40" s="47"/>
      <c r="IZN40" s="47"/>
      <c r="IZO40" s="47"/>
      <c r="IZP40" s="47"/>
      <c r="IZQ40" s="47"/>
      <c r="IZR40" s="47"/>
      <c r="IZS40" s="47"/>
      <c r="IZT40" s="47"/>
      <c r="IZU40" s="47"/>
      <c r="IZV40" s="47"/>
      <c r="IZW40" s="47"/>
      <c r="IZX40" s="47"/>
      <c r="IZY40" s="47"/>
      <c r="IZZ40" s="47"/>
      <c r="JAA40" s="47"/>
      <c r="JAB40" s="47"/>
      <c r="JAC40" s="47"/>
      <c r="JAD40" s="47"/>
      <c r="JAE40" s="47"/>
      <c r="JAF40" s="47"/>
      <c r="JAG40" s="47"/>
      <c r="JAH40" s="47"/>
      <c r="JAI40" s="47"/>
      <c r="JAJ40" s="47"/>
      <c r="JAK40" s="47"/>
      <c r="JAL40" s="47"/>
      <c r="JAM40" s="47"/>
      <c r="JAN40" s="47"/>
      <c r="JAO40" s="47"/>
      <c r="JAP40" s="47"/>
      <c r="JAQ40" s="47"/>
      <c r="JAR40" s="47"/>
      <c r="JAS40" s="47"/>
      <c r="JAT40" s="47"/>
      <c r="JAU40" s="47"/>
      <c r="JAV40" s="47"/>
      <c r="JAW40" s="47"/>
      <c r="JAX40" s="47"/>
      <c r="JAY40" s="47"/>
      <c r="JAZ40" s="47"/>
      <c r="JBA40" s="47"/>
      <c r="JBB40" s="47"/>
      <c r="JBC40" s="47"/>
      <c r="JBD40" s="47"/>
      <c r="JBE40" s="47"/>
      <c r="JBF40" s="47"/>
      <c r="JBG40" s="47"/>
      <c r="JBH40" s="47"/>
      <c r="JBI40" s="47"/>
      <c r="JBJ40" s="47"/>
      <c r="JBK40" s="47"/>
      <c r="JBL40" s="47"/>
      <c r="JBM40" s="47"/>
      <c r="JBN40" s="47"/>
      <c r="JBO40" s="47"/>
      <c r="JBP40" s="47"/>
      <c r="JBQ40" s="47"/>
      <c r="JBR40" s="47"/>
      <c r="JBS40" s="47"/>
      <c r="JBT40" s="47"/>
      <c r="JBU40" s="47"/>
      <c r="JBV40" s="47"/>
      <c r="JBW40" s="47"/>
      <c r="JBX40" s="47"/>
      <c r="JBY40" s="47"/>
      <c r="JBZ40" s="47"/>
      <c r="JCA40" s="47"/>
      <c r="JCB40" s="47"/>
      <c r="JCC40" s="47"/>
      <c r="JCD40" s="47"/>
      <c r="JCE40" s="47"/>
      <c r="JCF40" s="47"/>
      <c r="JCG40" s="47"/>
      <c r="JCH40" s="47"/>
      <c r="JCI40" s="47"/>
      <c r="JCJ40" s="47"/>
      <c r="JCK40" s="47"/>
      <c r="JCL40" s="47"/>
      <c r="JCM40" s="47"/>
      <c r="JCN40" s="47"/>
      <c r="JCO40" s="47"/>
      <c r="JCP40" s="47"/>
      <c r="JCQ40" s="47"/>
      <c r="JCR40" s="47"/>
      <c r="JCS40" s="47"/>
      <c r="JCT40" s="47"/>
      <c r="JCU40" s="47"/>
      <c r="JCV40" s="47"/>
      <c r="JCW40" s="47"/>
      <c r="JCX40" s="47"/>
      <c r="JCY40" s="47"/>
      <c r="JCZ40" s="47"/>
      <c r="JDA40" s="47"/>
      <c r="JDB40" s="47"/>
      <c r="JDC40" s="47"/>
      <c r="JDD40" s="47"/>
      <c r="JDE40" s="47"/>
      <c r="JDF40" s="47"/>
      <c r="JDG40" s="47"/>
      <c r="JDH40" s="47"/>
      <c r="JDI40" s="47"/>
      <c r="JDJ40" s="47"/>
      <c r="JDK40" s="47"/>
      <c r="JDL40" s="47"/>
      <c r="JDM40" s="47"/>
      <c r="JDN40" s="47"/>
      <c r="JDO40" s="47"/>
      <c r="JDP40" s="47"/>
      <c r="JDQ40" s="47"/>
      <c r="JDR40" s="47"/>
      <c r="JDS40" s="47"/>
      <c r="JDT40" s="47"/>
      <c r="JDU40" s="47"/>
      <c r="JDV40" s="47"/>
      <c r="JDW40" s="47"/>
      <c r="JDX40" s="47"/>
      <c r="JDY40" s="47"/>
      <c r="JDZ40" s="47"/>
      <c r="JEA40" s="47"/>
      <c r="JEB40" s="47"/>
      <c r="JEC40" s="47"/>
      <c r="JED40" s="47"/>
      <c r="JEE40" s="47"/>
      <c r="JEF40" s="47"/>
      <c r="JEG40" s="47"/>
      <c r="JEH40" s="47"/>
      <c r="JEI40" s="47"/>
      <c r="JEJ40" s="47"/>
      <c r="JEK40" s="47"/>
      <c r="JEL40" s="47"/>
      <c r="JEM40" s="47"/>
      <c r="JEN40" s="47"/>
      <c r="JEO40" s="47"/>
      <c r="JEP40" s="47"/>
      <c r="JEQ40" s="47"/>
      <c r="JER40" s="47"/>
      <c r="JES40" s="47"/>
      <c r="JET40" s="47"/>
      <c r="JEU40" s="47"/>
      <c r="JEV40" s="47"/>
      <c r="JEW40" s="47"/>
      <c r="JEX40" s="47"/>
      <c r="JEY40" s="47"/>
      <c r="JEZ40" s="47"/>
      <c r="JFA40" s="47"/>
      <c r="JFB40" s="47"/>
      <c r="JFC40" s="47"/>
      <c r="JFD40" s="47"/>
      <c r="JFE40" s="47"/>
      <c r="JFF40" s="47"/>
      <c r="JFG40" s="47"/>
      <c r="JFH40" s="47"/>
      <c r="JFI40" s="47"/>
      <c r="JFJ40" s="47"/>
      <c r="JFK40" s="47"/>
      <c r="JFL40" s="47"/>
      <c r="JFM40" s="47"/>
      <c r="JFN40" s="47"/>
      <c r="JFO40" s="47"/>
      <c r="JFP40" s="47"/>
      <c r="JFQ40" s="47"/>
      <c r="JFR40" s="47"/>
      <c r="JFS40" s="47"/>
      <c r="JFT40" s="47"/>
      <c r="JFU40" s="47"/>
      <c r="JFV40" s="47"/>
      <c r="JFW40" s="47"/>
      <c r="JFX40" s="47"/>
      <c r="JFY40" s="47"/>
      <c r="JFZ40" s="47"/>
      <c r="JGA40" s="47"/>
      <c r="JGB40" s="47"/>
      <c r="JGC40" s="47"/>
      <c r="JGD40" s="47"/>
      <c r="JGE40" s="47"/>
      <c r="JGF40" s="47"/>
      <c r="JGG40" s="47"/>
      <c r="JGH40" s="47"/>
      <c r="JGI40" s="47"/>
      <c r="JGJ40" s="47"/>
      <c r="JGK40" s="47"/>
      <c r="JGL40" s="47"/>
      <c r="JGM40" s="47"/>
      <c r="JGN40" s="47"/>
      <c r="JGO40" s="47"/>
      <c r="JGP40" s="47"/>
      <c r="JGQ40" s="47"/>
      <c r="JGR40" s="47"/>
      <c r="JGS40" s="47"/>
      <c r="JGT40" s="47"/>
      <c r="JGU40" s="47"/>
      <c r="JGV40" s="47"/>
      <c r="JGW40" s="47"/>
      <c r="JGX40" s="47"/>
      <c r="JGY40" s="47"/>
      <c r="JGZ40" s="47"/>
      <c r="JHA40" s="47"/>
      <c r="JHB40" s="47"/>
      <c r="JHC40" s="47"/>
      <c r="JHD40" s="47"/>
      <c r="JHE40" s="47"/>
      <c r="JHF40" s="47"/>
      <c r="JHG40" s="47"/>
      <c r="JHH40" s="47"/>
      <c r="JHI40" s="47"/>
      <c r="JHJ40" s="47"/>
      <c r="JHK40" s="47"/>
      <c r="JHL40" s="47"/>
      <c r="JHM40" s="47"/>
      <c r="JHN40" s="47"/>
      <c r="JHO40" s="47"/>
      <c r="JHP40" s="47"/>
      <c r="JHQ40" s="47"/>
      <c r="JHR40" s="47"/>
      <c r="JHS40" s="47"/>
      <c r="JHT40" s="47"/>
      <c r="JHU40" s="47"/>
      <c r="JHV40" s="47"/>
      <c r="JHW40" s="47"/>
      <c r="JHX40" s="47"/>
      <c r="JHY40" s="47"/>
      <c r="JHZ40" s="47"/>
      <c r="JIA40" s="47"/>
      <c r="JIB40" s="47"/>
      <c r="JIC40" s="47"/>
      <c r="JID40" s="47"/>
      <c r="JIE40" s="47"/>
      <c r="JIF40" s="47"/>
      <c r="JIG40" s="47"/>
      <c r="JIH40" s="47"/>
      <c r="JII40" s="47"/>
      <c r="JIJ40" s="47"/>
      <c r="JIK40" s="47"/>
      <c r="JIL40" s="47"/>
      <c r="JIM40" s="47"/>
      <c r="JIN40" s="47"/>
      <c r="JIO40" s="47"/>
      <c r="JIP40" s="47"/>
      <c r="JIQ40" s="47"/>
      <c r="JIR40" s="47"/>
      <c r="JIS40" s="47"/>
      <c r="JIT40" s="47"/>
      <c r="JIU40" s="47"/>
      <c r="JIV40" s="47"/>
      <c r="JIW40" s="47"/>
      <c r="JIX40" s="47"/>
      <c r="JIY40" s="47"/>
      <c r="JIZ40" s="47"/>
      <c r="JJA40" s="47"/>
      <c r="JJB40" s="47"/>
      <c r="JJC40" s="47"/>
      <c r="JJD40" s="47"/>
      <c r="JJE40" s="47"/>
      <c r="JJF40" s="47"/>
      <c r="JJG40" s="47"/>
      <c r="JJH40" s="47"/>
      <c r="JJI40" s="47"/>
      <c r="JJJ40" s="47"/>
      <c r="JJK40" s="47"/>
      <c r="JJL40" s="47"/>
      <c r="JJM40" s="47"/>
      <c r="JJN40" s="47"/>
      <c r="JJO40" s="47"/>
      <c r="JJP40" s="47"/>
      <c r="JJQ40" s="47"/>
      <c r="JJR40" s="47"/>
      <c r="JJS40" s="47"/>
      <c r="JJT40" s="47"/>
      <c r="JJU40" s="47"/>
      <c r="JJV40" s="47"/>
      <c r="JJW40" s="47"/>
      <c r="JJX40" s="47"/>
      <c r="JJY40" s="47"/>
      <c r="JJZ40" s="47"/>
      <c r="JKA40" s="47"/>
      <c r="JKB40" s="47"/>
      <c r="JKC40" s="47"/>
      <c r="JKD40" s="47"/>
      <c r="JKE40" s="47"/>
      <c r="JKF40" s="47"/>
      <c r="JKG40" s="47"/>
      <c r="JKH40" s="47"/>
      <c r="JKI40" s="47"/>
      <c r="JKJ40" s="47"/>
      <c r="JKK40" s="47"/>
      <c r="JKL40" s="47"/>
      <c r="JKM40" s="47"/>
      <c r="JKN40" s="47"/>
      <c r="JKO40" s="47"/>
      <c r="JKP40" s="47"/>
      <c r="JKQ40" s="47"/>
      <c r="JKR40" s="47"/>
      <c r="JKS40" s="47"/>
      <c r="JKT40" s="47"/>
      <c r="JKU40" s="47"/>
      <c r="JKV40" s="47"/>
      <c r="JKW40" s="47"/>
      <c r="JKX40" s="47"/>
      <c r="JKY40" s="47"/>
      <c r="JKZ40" s="47"/>
      <c r="JLA40" s="47"/>
      <c r="JLB40" s="47"/>
      <c r="JLC40" s="47"/>
      <c r="JLD40" s="47"/>
      <c r="JLE40" s="47"/>
      <c r="JLF40" s="47"/>
      <c r="JLG40" s="47"/>
      <c r="JLH40" s="47"/>
      <c r="JLI40" s="47"/>
      <c r="JLJ40" s="47"/>
      <c r="JLK40" s="47"/>
      <c r="JLL40" s="47"/>
      <c r="JLM40" s="47"/>
      <c r="JLN40" s="47"/>
      <c r="JLO40" s="47"/>
      <c r="JLP40" s="47"/>
      <c r="JLQ40" s="47"/>
      <c r="JLR40" s="47"/>
      <c r="JLS40" s="47"/>
      <c r="JLT40" s="47"/>
      <c r="JLU40" s="47"/>
      <c r="JLV40" s="47"/>
      <c r="JLW40" s="47"/>
      <c r="JLX40" s="47"/>
      <c r="JLY40" s="47"/>
      <c r="JLZ40" s="47"/>
      <c r="JMA40" s="47"/>
      <c r="JMB40" s="47"/>
      <c r="JMC40" s="47"/>
      <c r="JMD40" s="47"/>
      <c r="JME40" s="47"/>
      <c r="JMF40" s="47"/>
      <c r="JMG40" s="47"/>
      <c r="JMH40" s="47"/>
      <c r="JMI40" s="47"/>
      <c r="JMJ40" s="47"/>
      <c r="JMK40" s="47"/>
      <c r="JML40" s="47"/>
      <c r="JMM40" s="47"/>
      <c r="JMN40" s="47"/>
      <c r="JMO40" s="47"/>
      <c r="JMP40" s="47"/>
      <c r="JMQ40" s="47"/>
      <c r="JMR40" s="47"/>
      <c r="JMS40" s="47"/>
      <c r="JMT40" s="47"/>
      <c r="JMU40" s="47"/>
      <c r="JMV40" s="47"/>
      <c r="JMW40" s="47"/>
      <c r="JMX40" s="47"/>
      <c r="JMY40" s="47"/>
      <c r="JMZ40" s="47"/>
      <c r="JNA40" s="47"/>
      <c r="JNB40" s="47"/>
      <c r="JNC40" s="47"/>
      <c r="JND40" s="47"/>
      <c r="JNE40" s="47"/>
      <c r="JNF40" s="47"/>
      <c r="JNG40" s="47"/>
      <c r="JNH40" s="47"/>
      <c r="JNI40" s="47"/>
      <c r="JNJ40" s="47"/>
      <c r="JNK40" s="47"/>
      <c r="JNL40" s="47"/>
      <c r="JNM40" s="47"/>
      <c r="JNN40" s="47"/>
      <c r="JNO40" s="47"/>
      <c r="JNP40" s="47"/>
      <c r="JNQ40" s="47"/>
      <c r="JNR40" s="47"/>
      <c r="JNS40" s="47"/>
      <c r="JNT40" s="47"/>
      <c r="JNU40" s="47"/>
      <c r="JNV40" s="47"/>
      <c r="JNW40" s="47"/>
      <c r="JNX40" s="47"/>
      <c r="JNY40" s="47"/>
      <c r="JNZ40" s="47"/>
      <c r="JOA40" s="47"/>
      <c r="JOB40" s="47"/>
      <c r="JOC40" s="47"/>
      <c r="JOD40" s="47"/>
      <c r="JOE40" s="47"/>
      <c r="JOF40" s="47"/>
      <c r="JOG40" s="47"/>
      <c r="JOH40" s="47"/>
      <c r="JOI40" s="47"/>
      <c r="JOJ40" s="47"/>
      <c r="JOK40" s="47"/>
      <c r="JOL40" s="47"/>
      <c r="JOM40" s="47"/>
      <c r="JON40" s="47"/>
      <c r="JOO40" s="47"/>
      <c r="JOP40" s="47"/>
      <c r="JOQ40" s="47"/>
      <c r="JOR40" s="47"/>
      <c r="JOS40" s="47"/>
      <c r="JOT40" s="47"/>
      <c r="JOU40" s="47"/>
      <c r="JOV40" s="47"/>
      <c r="JOW40" s="47"/>
      <c r="JOX40" s="47"/>
      <c r="JOY40" s="47"/>
      <c r="JOZ40" s="47"/>
      <c r="JPA40" s="47"/>
      <c r="JPB40" s="47"/>
      <c r="JPC40" s="47"/>
      <c r="JPD40" s="47"/>
      <c r="JPE40" s="47"/>
      <c r="JPF40" s="47"/>
      <c r="JPG40" s="47"/>
      <c r="JPH40" s="47"/>
      <c r="JPI40" s="47"/>
      <c r="JPJ40" s="47"/>
      <c r="JPK40" s="47"/>
      <c r="JPL40" s="47"/>
      <c r="JPM40" s="47"/>
      <c r="JPN40" s="47"/>
      <c r="JPO40" s="47"/>
      <c r="JPP40" s="47"/>
      <c r="JPQ40" s="47"/>
      <c r="JPR40" s="47"/>
      <c r="JPS40" s="47"/>
      <c r="JPT40" s="47"/>
      <c r="JPU40" s="47"/>
      <c r="JPV40" s="47"/>
      <c r="JPW40" s="47"/>
      <c r="JPX40" s="47"/>
      <c r="JPY40" s="47"/>
      <c r="JPZ40" s="47"/>
      <c r="JQA40" s="47"/>
      <c r="JQB40" s="47"/>
      <c r="JQC40" s="47"/>
      <c r="JQD40" s="47"/>
      <c r="JQE40" s="47"/>
      <c r="JQF40" s="47"/>
      <c r="JQG40" s="47"/>
      <c r="JQH40" s="47"/>
      <c r="JQI40" s="47"/>
      <c r="JQJ40" s="47"/>
      <c r="JQK40" s="47"/>
      <c r="JQL40" s="47"/>
      <c r="JQM40" s="47"/>
      <c r="JQN40" s="47"/>
      <c r="JQO40" s="47"/>
      <c r="JQP40" s="47"/>
      <c r="JQQ40" s="47"/>
      <c r="JQR40" s="47"/>
      <c r="JQS40" s="47"/>
      <c r="JQT40" s="47"/>
      <c r="JQU40" s="47"/>
      <c r="JQV40" s="47"/>
      <c r="JQW40" s="47"/>
      <c r="JQX40" s="47"/>
      <c r="JQY40" s="47"/>
      <c r="JQZ40" s="47"/>
      <c r="JRA40" s="47"/>
      <c r="JRB40" s="47"/>
      <c r="JRC40" s="47"/>
      <c r="JRD40" s="47"/>
      <c r="JRE40" s="47"/>
      <c r="JRF40" s="47"/>
      <c r="JRG40" s="47"/>
      <c r="JRH40" s="47"/>
      <c r="JRI40" s="47"/>
      <c r="JRJ40" s="47"/>
      <c r="JRK40" s="47"/>
      <c r="JRL40" s="47"/>
      <c r="JRM40" s="47"/>
      <c r="JRN40" s="47"/>
      <c r="JRO40" s="47"/>
      <c r="JRP40" s="47"/>
      <c r="JRQ40" s="47"/>
      <c r="JRR40" s="47"/>
      <c r="JRS40" s="47"/>
      <c r="JRT40" s="47"/>
      <c r="JRU40" s="47"/>
      <c r="JRV40" s="47"/>
      <c r="JRW40" s="47"/>
      <c r="JRX40" s="47"/>
      <c r="JRY40" s="47"/>
      <c r="JRZ40" s="47"/>
      <c r="JSA40" s="47"/>
      <c r="JSB40" s="47"/>
      <c r="JSC40" s="47"/>
      <c r="JSD40" s="47"/>
      <c r="JSE40" s="47"/>
      <c r="JSF40" s="47"/>
      <c r="JSG40" s="47"/>
      <c r="JSH40" s="47"/>
      <c r="JSI40" s="47"/>
      <c r="JSJ40" s="47"/>
      <c r="JSK40" s="47"/>
      <c r="JSL40" s="47"/>
      <c r="JSM40" s="47"/>
      <c r="JSN40" s="47"/>
      <c r="JSO40" s="47"/>
      <c r="JSP40" s="47"/>
      <c r="JSQ40" s="47"/>
      <c r="JSR40" s="47"/>
      <c r="JSS40" s="47"/>
      <c r="JST40" s="47"/>
      <c r="JSU40" s="47"/>
      <c r="JSV40" s="47"/>
      <c r="JSW40" s="47"/>
      <c r="JSX40" s="47"/>
      <c r="JSY40" s="47"/>
      <c r="JSZ40" s="47"/>
      <c r="JTA40" s="47"/>
      <c r="JTB40" s="47"/>
      <c r="JTC40" s="47"/>
      <c r="JTD40" s="47"/>
      <c r="JTE40" s="47"/>
      <c r="JTF40" s="47"/>
      <c r="JTG40" s="47"/>
      <c r="JTH40" s="47"/>
      <c r="JTI40" s="47"/>
      <c r="JTJ40" s="47"/>
      <c r="JTK40" s="47"/>
      <c r="JTL40" s="47"/>
      <c r="JTM40" s="47"/>
      <c r="JTN40" s="47"/>
      <c r="JTO40" s="47"/>
      <c r="JTP40" s="47"/>
      <c r="JTQ40" s="47"/>
      <c r="JTR40" s="47"/>
      <c r="JTS40" s="47"/>
      <c r="JTT40" s="47"/>
      <c r="JTU40" s="47"/>
      <c r="JTV40" s="47"/>
      <c r="JTW40" s="47"/>
      <c r="JTX40" s="47"/>
      <c r="JTY40" s="47"/>
      <c r="JTZ40" s="47"/>
      <c r="JUA40" s="47"/>
      <c r="JUB40" s="47"/>
      <c r="JUC40" s="47"/>
      <c r="JUD40" s="47"/>
      <c r="JUE40" s="47"/>
      <c r="JUF40" s="47"/>
      <c r="JUG40" s="47"/>
      <c r="JUH40" s="47"/>
      <c r="JUI40" s="47"/>
      <c r="JUJ40" s="47"/>
      <c r="JUK40" s="47"/>
      <c r="JUL40" s="47"/>
      <c r="JUM40" s="47"/>
      <c r="JUN40" s="47"/>
      <c r="JUO40" s="47"/>
      <c r="JUP40" s="47"/>
      <c r="JUQ40" s="47"/>
      <c r="JUR40" s="47"/>
      <c r="JUS40" s="47"/>
      <c r="JUT40" s="47"/>
      <c r="JUU40" s="47"/>
      <c r="JUV40" s="47"/>
      <c r="JUW40" s="47"/>
      <c r="JUX40" s="47"/>
      <c r="JUY40" s="47"/>
      <c r="JUZ40" s="47"/>
      <c r="JVA40" s="47"/>
      <c r="JVB40" s="47"/>
      <c r="JVC40" s="47"/>
      <c r="JVD40" s="47"/>
      <c r="JVE40" s="47"/>
      <c r="JVF40" s="47"/>
      <c r="JVG40" s="47"/>
      <c r="JVH40" s="47"/>
      <c r="JVI40" s="47"/>
      <c r="JVJ40" s="47"/>
      <c r="JVK40" s="47"/>
      <c r="JVL40" s="47"/>
      <c r="JVM40" s="47"/>
      <c r="JVN40" s="47"/>
      <c r="JVO40" s="47"/>
      <c r="JVP40" s="47"/>
      <c r="JVQ40" s="47"/>
      <c r="JVR40" s="47"/>
      <c r="JVS40" s="47"/>
      <c r="JVT40" s="47"/>
      <c r="JVU40" s="47"/>
      <c r="JVV40" s="47"/>
      <c r="JVW40" s="47"/>
      <c r="JVX40" s="47"/>
      <c r="JVY40" s="47"/>
      <c r="JVZ40" s="47"/>
      <c r="JWA40" s="47"/>
      <c r="JWB40" s="47"/>
      <c r="JWC40" s="47"/>
      <c r="JWD40" s="47"/>
      <c r="JWE40" s="47"/>
      <c r="JWF40" s="47"/>
      <c r="JWG40" s="47"/>
      <c r="JWH40" s="47"/>
      <c r="JWI40" s="47"/>
      <c r="JWJ40" s="47"/>
      <c r="JWK40" s="47"/>
      <c r="JWL40" s="47"/>
      <c r="JWM40" s="47"/>
      <c r="JWN40" s="47"/>
      <c r="JWO40" s="47"/>
      <c r="JWP40" s="47"/>
      <c r="JWQ40" s="47"/>
      <c r="JWR40" s="47"/>
      <c r="JWS40" s="47"/>
      <c r="JWT40" s="47"/>
      <c r="JWU40" s="47"/>
      <c r="JWV40" s="47"/>
      <c r="JWW40" s="47"/>
      <c r="JWX40" s="47"/>
      <c r="JWY40" s="47"/>
      <c r="JWZ40" s="47"/>
      <c r="JXA40" s="47"/>
      <c r="JXB40" s="47"/>
      <c r="JXC40" s="47"/>
      <c r="JXD40" s="47"/>
      <c r="JXE40" s="47"/>
      <c r="JXF40" s="47"/>
      <c r="JXG40" s="47"/>
      <c r="JXH40" s="47"/>
      <c r="JXI40" s="47"/>
      <c r="JXJ40" s="47"/>
      <c r="JXK40" s="47"/>
      <c r="JXL40" s="47"/>
      <c r="JXM40" s="47"/>
      <c r="JXN40" s="47"/>
      <c r="JXO40" s="47"/>
      <c r="JXP40" s="47"/>
      <c r="JXQ40" s="47"/>
      <c r="JXR40" s="47"/>
      <c r="JXS40" s="47"/>
      <c r="JXT40" s="47"/>
      <c r="JXU40" s="47"/>
      <c r="JXV40" s="47"/>
      <c r="JXW40" s="47"/>
      <c r="JXX40" s="47"/>
      <c r="JXY40" s="47"/>
      <c r="JXZ40" s="47"/>
      <c r="JYA40" s="47"/>
      <c r="JYB40" s="47"/>
      <c r="JYC40" s="47"/>
      <c r="JYD40" s="47"/>
      <c r="JYE40" s="47"/>
      <c r="JYF40" s="47"/>
      <c r="JYG40" s="47"/>
      <c r="JYH40" s="47"/>
      <c r="JYI40" s="47"/>
      <c r="JYJ40" s="47"/>
      <c r="JYK40" s="47"/>
      <c r="JYL40" s="47"/>
      <c r="JYM40" s="47"/>
      <c r="JYN40" s="47"/>
      <c r="JYO40" s="47"/>
      <c r="JYP40" s="47"/>
      <c r="JYQ40" s="47"/>
      <c r="JYR40" s="47"/>
      <c r="JYS40" s="47"/>
      <c r="JYT40" s="47"/>
      <c r="JYU40" s="47"/>
      <c r="JYV40" s="47"/>
      <c r="JYW40" s="47"/>
      <c r="JYX40" s="47"/>
      <c r="JYY40" s="47"/>
      <c r="JYZ40" s="47"/>
      <c r="JZA40" s="47"/>
      <c r="JZB40" s="47"/>
      <c r="JZC40" s="47"/>
      <c r="JZD40" s="47"/>
      <c r="JZE40" s="47"/>
      <c r="JZF40" s="47"/>
      <c r="JZG40" s="47"/>
      <c r="JZH40" s="47"/>
      <c r="JZI40" s="47"/>
      <c r="JZJ40" s="47"/>
      <c r="JZK40" s="47"/>
      <c r="JZL40" s="47"/>
      <c r="JZM40" s="47"/>
      <c r="JZN40" s="47"/>
      <c r="JZO40" s="47"/>
      <c r="JZP40" s="47"/>
      <c r="JZQ40" s="47"/>
      <c r="JZR40" s="47"/>
      <c r="JZS40" s="47"/>
      <c r="JZT40" s="47"/>
      <c r="JZU40" s="47"/>
      <c r="JZV40" s="47"/>
      <c r="JZW40" s="47"/>
      <c r="JZX40" s="47"/>
      <c r="JZY40" s="47"/>
      <c r="JZZ40" s="47"/>
      <c r="KAA40" s="47"/>
      <c r="KAB40" s="47"/>
      <c r="KAC40" s="47"/>
      <c r="KAD40" s="47"/>
      <c r="KAE40" s="47"/>
      <c r="KAF40" s="47"/>
      <c r="KAG40" s="47"/>
      <c r="KAH40" s="47"/>
      <c r="KAI40" s="47"/>
      <c r="KAJ40" s="47"/>
      <c r="KAK40" s="47"/>
      <c r="KAL40" s="47"/>
      <c r="KAM40" s="47"/>
      <c r="KAN40" s="47"/>
      <c r="KAO40" s="47"/>
      <c r="KAP40" s="47"/>
      <c r="KAQ40" s="47"/>
      <c r="KAR40" s="47"/>
      <c r="KAS40" s="47"/>
      <c r="KAT40" s="47"/>
      <c r="KAU40" s="47"/>
      <c r="KAV40" s="47"/>
      <c r="KAW40" s="47"/>
      <c r="KAX40" s="47"/>
      <c r="KAY40" s="47"/>
      <c r="KAZ40" s="47"/>
      <c r="KBA40" s="47"/>
      <c r="KBB40" s="47"/>
      <c r="KBC40" s="47"/>
      <c r="KBD40" s="47"/>
      <c r="KBE40" s="47"/>
      <c r="KBF40" s="47"/>
      <c r="KBG40" s="47"/>
      <c r="KBH40" s="47"/>
      <c r="KBI40" s="47"/>
      <c r="KBJ40" s="47"/>
      <c r="KBK40" s="47"/>
      <c r="KBL40" s="47"/>
      <c r="KBM40" s="47"/>
      <c r="KBN40" s="47"/>
      <c r="KBO40" s="47"/>
      <c r="KBP40" s="47"/>
      <c r="KBQ40" s="47"/>
      <c r="KBR40" s="47"/>
      <c r="KBS40" s="47"/>
      <c r="KBT40" s="47"/>
      <c r="KBU40" s="47"/>
      <c r="KBV40" s="47"/>
      <c r="KBW40" s="47"/>
      <c r="KBX40" s="47"/>
      <c r="KBY40" s="47"/>
      <c r="KBZ40" s="47"/>
      <c r="KCA40" s="47"/>
      <c r="KCB40" s="47"/>
      <c r="KCC40" s="47"/>
      <c r="KCD40" s="47"/>
      <c r="KCE40" s="47"/>
      <c r="KCF40" s="47"/>
      <c r="KCG40" s="47"/>
      <c r="KCH40" s="47"/>
      <c r="KCI40" s="47"/>
      <c r="KCJ40" s="47"/>
      <c r="KCK40" s="47"/>
      <c r="KCL40" s="47"/>
      <c r="KCM40" s="47"/>
      <c r="KCN40" s="47"/>
      <c r="KCO40" s="47"/>
      <c r="KCP40" s="47"/>
      <c r="KCQ40" s="47"/>
      <c r="KCR40" s="47"/>
      <c r="KCS40" s="47"/>
      <c r="KCT40" s="47"/>
      <c r="KCU40" s="47"/>
      <c r="KCV40" s="47"/>
      <c r="KCW40" s="47"/>
      <c r="KCX40" s="47"/>
      <c r="KCY40" s="47"/>
      <c r="KCZ40" s="47"/>
      <c r="KDA40" s="47"/>
      <c r="KDB40" s="47"/>
      <c r="KDC40" s="47"/>
      <c r="KDD40" s="47"/>
      <c r="KDE40" s="47"/>
      <c r="KDF40" s="47"/>
      <c r="KDG40" s="47"/>
      <c r="KDH40" s="47"/>
      <c r="KDI40" s="47"/>
      <c r="KDJ40" s="47"/>
      <c r="KDK40" s="47"/>
      <c r="KDL40" s="47"/>
      <c r="KDM40" s="47"/>
      <c r="KDN40" s="47"/>
      <c r="KDO40" s="47"/>
      <c r="KDP40" s="47"/>
      <c r="KDQ40" s="47"/>
      <c r="KDR40" s="47"/>
      <c r="KDS40" s="47"/>
      <c r="KDT40" s="47"/>
      <c r="KDU40" s="47"/>
      <c r="KDV40" s="47"/>
      <c r="KDW40" s="47"/>
      <c r="KDX40" s="47"/>
      <c r="KDY40" s="47"/>
      <c r="KDZ40" s="47"/>
      <c r="KEA40" s="47"/>
      <c r="KEB40" s="47"/>
      <c r="KEC40" s="47"/>
      <c r="KED40" s="47"/>
      <c r="KEE40" s="47"/>
      <c r="KEF40" s="47"/>
      <c r="KEG40" s="47"/>
      <c r="KEH40" s="47"/>
      <c r="KEI40" s="47"/>
      <c r="KEJ40" s="47"/>
      <c r="KEK40" s="47"/>
      <c r="KEL40" s="47"/>
      <c r="KEM40" s="47"/>
      <c r="KEN40" s="47"/>
      <c r="KEO40" s="47"/>
      <c r="KEP40" s="47"/>
      <c r="KEQ40" s="47"/>
      <c r="KER40" s="47"/>
      <c r="KES40" s="47"/>
      <c r="KET40" s="47"/>
      <c r="KEU40" s="47"/>
      <c r="KEV40" s="47"/>
      <c r="KEW40" s="47"/>
      <c r="KEX40" s="47"/>
      <c r="KEY40" s="47"/>
      <c r="KEZ40" s="47"/>
      <c r="KFA40" s="47"/>
      <c r="KFB40" s="47"/>
      <c r="KFC40" s="47"/>
      <c r="KFD40" s="47"/>
      <c r="KFE40" s="47"/>
      <c r="KFF40" s="47"/>
      <c r="KFG40" s="47"/>
      <c r="KFH40" s="47"/>
      <c r="KFI40" s="47"/>
      <c r="KFJ40" s="47"/>
      <c r="KFK40" s="47"/>
      <c r="KFL40" s="47"/>
      <c r="KFM40" s="47"/>
      <c r="KFN40" s="47"/>
      <c r="KFO40" s="47"/>
      <c r="KFP40" s="47"/>
      <c r="KFQ40" s="47"/>
      <c r="KFR40" s="47"/>
      <c r="KFS40" s="47"/>
      <c r="KFT40" s="47"/>
      <c r="KFU40" s="47"/>
      <c r="KFV40" s="47"/>
      <c r="KFW40" s="47"/>
      <c r="KFX40" s="47"/>
      <c r="KFY40" s="47"/>
      <c r="KFZ40" s="47"/>
      <c r="KGA40" s="47"/>
      <c r="KGB40" s="47"/>
      <c r="KGC40" s="47"/>
      <c r="KGD40" s="47"/>
      <c r="KGE40" s="47"/>
      <c r="KGF40" s="47"/>
      <c r="KGG40" s="47"/>
      <c r="KGH40" s="47"/>
      <c r="KGI40" s="47"/>
      <c r="KGJ40" s="47"/>
      <c r="KGK40" s="47"/>
      <c r="KGL40" s="47"/>
      <c r="KGM40" s="47"/>
      <c r="KGN40" s="47"/>
      <c r="KGO40" s="47"/>
      <c r="KGP40" s="47"/>
      <c r="KGQ40" s="47"/>
      <c r="KGR40" s="47"/>
      <c r="KGS40" s="47"/>
      <c r="KGT40" s="47"/>
      <c r="KGU40" s="47"/>
      <c r="KGV40" s="47"/>
      <c r="KGW40" s="47"/>
      <c r="KGX40" s="47"/>
      <c r="KGY40" s="47"/>
      <c r="KGZ40" s="47"/>
      <c r="KHA40" s="47"/>
      <c r="KHB40" s="47"/>
      <c r="KHC40" s="47"/>
      <c r="KHD40" s="47"/>
      <c r="KHE40" s="47"/>
      <c r="KHF40" s="47"/>
      <c r="KHG40" s="47"/>
      <c r="KHH40" s="47"/>
      <c r="KHI40" s="47"/>
      <c r="KHJ40" s="47"/>
      <c r="KHK40" s="47"/>
      <c r="KHL40" s="47"/>
      <c r="KHM40" s="47"/>
      <c r="KHN40" s="47"/>
      <c r="KHO40" s="47"/>
      <c r="KHP40" s="47"/>
      <c r="KHQ40" s="47"/>
      <c r="KHR40" s="47"/>
      <c r="KHS40" s="47"/>
      <c r="KHT40" s="47"/>
      <c r="KHU40" s="47"/>
      <c r="KHV40" s="47"/>
      <c r="KHW40" s="47"/>
      <c r="KHX40" s="47"/>
      <c r="KHY40" s="47"/>
      <c r="KHZ40" s="47"/>
      <c r="KIA40" s="47"/>
      <c r="KIB40" s="47"/>
      <c r="KIC40" s="47"/>
      <c r="KID40" s="47"/>
      <c r="KIE40" s="47"/>
      <c r="KIF40" s="47"/>
      <c r="KIG40" s="47"/>
      <c r="KIH40" s="47"/>
      <c r="KII40" s="47"/>
      <c r="KIJ40" s="47"/>
      <c r="KIK40" s="47"/>
      <c r="KIL40" s="47"/>
      <c r="KIM40" s="47"/>
      <c r="KIN40" s="47"/>
      <c r="KIO40" s="47"/>
      <c r="KIP40" s="47"/>
      <c r="KIQ40" s="47"/>
      <c r="KIR40" s="47"/>
      <c r="KIS40" s="47"/>
      <c r="KIT40" s="47"/>
      <c r="KIU40" s="47"/>
      <c r="KIV40" s="47"/>
      <c r="KIW40" s="47"/>
      <c r="KIX40" s="47"/>
      <c r="KIY40" s="47"/>
      <c r="KIZ40" s="47"/>
      <c r="KJA40" s="47"/>
      <c r="KJB40" s="47"/>
      <c r="KJC40" s="47"/>
      <c r="KJD40" s="47"/>
      <c r="KJE40" s="47"/>
      <c r="KJF40" s="47"/>
      <c r="KJG40" s="47"/>
      <c r="KJH40" s="47"/>
      <c r="KJI40" s="47"/>
      <c r="KJJ40" s="47"/>
      <c r="KJK40" s="47"/>
      <c r="KJL40" s="47"/>
      <c r="KJM40" s="47"/>
      <c r="KJN40" s="47"/>
      <c r="KJO40" s="47"/>
      <c r="KJP40" s="47"/>
      <c r="KJQ40" s="47"/>
      <c r="KJR40" s="47"/>
      <c r="KJS40" s="47"/>
      <c r="KJT40" s="47"/>
      <c r="KJU40" s="47"/>
      <c r="KJV40" s="47"/>
      <c r="KJW40" s="47"/>
      <c r="KJX40" s="47"/>
      <c r="KJY40" s="47"/>
      <c r="KJZ40" s="47"/>
      <c r="KKA40" s="47"/>
      <c r="KKB40" s="47"/>
      <c r="KKC40" s="47"/>
      <c r="KKD40" s="47"/>
      <c r="KKE40" s="47"/>
      <c r="KKF40" s="47"/>
      <c r="KKG40" s="47"/>
      <c r="KKH40" s="47"/>
      <c r="KKI40" s="47"/>
      <c r="KKJ40" s="47"/>
      <c r="KKK40" s="47"/>
      <c r="KKL40" s="47"/>
      <c r="KKM40" s="47"/>
      <c r="KKN40" s="47"/>
      <c r="KKO40" s="47"/>
      <c r="KKP40" s="47"/>
      <c r="KKQ40" s="47"/>
      <c r="KKR40" s="47"/>
      <c r="KKS40" s="47"/>
      <c r="KKT40" s="47"/>
      <c r="KKU40" s="47"/>
      <c r="KKV40" s="47"/>
      <c r="KKW40" s="47"/>
      <c r="KKX40" s="47"/>
      <c r="KKY40" s="47"/>
      <c r="KKZ40" s="47"/>
      <c r="KLA40" s="47"/>
      <c r="KLB40" s="47"/>
      <c r="KLC40" s="47"/>
      <c r="KLD40" s="47"/>
      <c r="KLE40" s="47"/>
      <c r="KLF40" s="47"/>
      <c r="KLG40" s="47"/>
      <c r="KLH40" s="47"/>
      <c r="KLI40" s="47"/>
      <c r="KLJ40" s="47"/>
      <c r="KLK40" s="47"/>
      <c r="KLL40" s="47"/>
      <c r="KLM40" s="47"/>
      <c r="KLN40" s="47"/>
      <c r="KLO40" s="47"/>
      <c r="KLP40" s="47"/>
      <c r="KLQ40" s="47"/>
      <c r="KLR40" s="47"/>
      <c r="KLS40" s="47"/>
      <c r="KLT40" s="47"/>
      <c r="KLU40" s="47"/>
      <c r="KLV40" s="47"/>
      <c r="KLW40" s="47"/>
      <c r="KLX40" s="47"/>
      <c r="KLY40" s="47"/>
      <c r="KLZ40" s="47"/>
      <c r="KMA40" s="47"/>
      <c r="KMB40" s="47"/>
      <c r="KMC40" s="47"/>
      <c r="KMD40" s="47"/>
      <c r="KME40" s="47"/>
      <c r="KMF40" s="47"/>
      <c r="KMG40" s="47"/>
      <c r="KMH40" s="47"/>
      <c r="KMI40" s="47"/>
      <c r="KMJ40" s="47"/>
      <c r="KMK40" s="47"/>
      <c r="KML40" s="47"/>
      <c r="KMM40" s="47"/>
      <c r="KMN40" s="47"/>
      <c r="KMO40" s="47"/>
      <c r="KMP40" s="47"/>
      <c r="KMQ40" s="47"/>
      <c r="KMR40" s="47"/>
      <c r="KMS40" s="47"/>
      <c r="KMT40" s="47"/>
      <c r="KMU40" s="47"/>
      <c r="KMV40" s="47"/>
      <c r="KMW40" s="47"/>
      <c r="KMX40" s="47"/>
      <c r="KMY40" s="47"/>
      <c r="KMZ40" s="47"/>
      <c r="KNA40" s="47"/>
      <c r="KNB40" s="47"/>
      <c r="KNC40" s="47"/>
      <c r="KND40" s="47"/>
      <c r="KNE40" s="47"/>
      <c r="KNF40" s="47"/>
      <c r="KNG40" s="47"/>
      <c r="KNH40" s="47"/>
      <c r="KNI40" s="47"/>
      <c r="KNJ40" s="47"/>
      <c r="KNK40" s="47"/>
      <c r="KNL40" s="47"/>
      <c r="KNM40" s="47"/>
      <c r="KNN40" s="47"/>
      <c r="KNO40" s="47"/>
      <c r="KNP40" s="47"/>
      <c r="KNQ40" s="47"/>
      <c r="KNR40" s="47"/>
      <c r="KNS40" s="47"/>
      <c r="KNT40" s="47"/>
      <c r="KNU40" s="47"/>
      <c r="KNV40" s="47"/>
      <c r="KNW40" s="47"/>
      <c r="KNX40" s="47"/>
      <c r="KNY40" s="47"/>
      <c r="KNZ40" s="47"/>
      <c r="KOA40" s="47"/>
      <c r="KOB40" s="47"/>
      <c r="KOC40" s="47"/>
      <c r="KOD40" s="47"/>
      <c r="KOE40" s="47"/>
      <c r="KOF40" s="47"/>
      <c r="KOG40" s="47"/>
      <c r="KOH40" s="47"/>
      <c r="KOI40" s="47"/>
      <c r="KOJ40" s="47"/>
      <c r="KOK40" s="47"/>
      <c r="KOL40" s="47"/>
      <c r="KOM40" s="47"/>
      <c r="KON40" s="47"/>
      <c r="KOO40" s="47"/>
      <c r="KOP40" s="47"/>
      <c r="KOQ40" s="47"/>
      <c r="KOR40" s="47"/>
      <c r="KOS40" s="47"/>
      <c r="KOT40" s="47"/>
      <c r="KOU40" s="47"/>
      <c r="KOV40" s="47"/>
      <c r="KOW40" s="47"/>
      <c r="KOX40" s="47"/>
      <c r="KOY40" s="47"/>
      <c r="KOZ40" s="47"/>
      <c r="KPA40" s="47"/>
      <c r="KPB40" s="47"/>
      <c r="KPC40" s="47"/>
      <c r="KPD40" s="47"/>
      <c r="KPE40" s="47"/>
      <c r="KPF40" s="47"/>
      <c r="KPG40" s="47"/>
      <c r="KPH40" s="47"/>
      <c r="KPI40" s="47"/>
      <c r="KPJ40" s="47"/>
      <c r="KPK40" s="47"/>
      <c r="KPL40" s="47"/>
      <c r="KPM40" s="47"/>
      <c r="KPN40" s="47"/>
      <c r="KPO40" s="47"/>
      <c r="KPP40" s="47"/>
      <c r="KPQ40" s="47"/>
      <c r="KPR40" s="47"/>
      <c r="KPS40" s="47"/>
      <c r="KPT40" s="47"/>
      <c r="KPU40" s="47"/>
      <c r="KPV40" s="47"/>
      <c r="KPW40" s="47"/>
      <c r="KPX40" s="47"/>
      <c r="KPY40" s="47"/>
      <c r="KPZ40" s="47"/>
      <c r="KQA40" s="47"/>
      <c r="KQB40" s="47"/>
      <c r="KQC40" s="47"/>
      <c r="KQD40" s="47"/>
      <c r="KQE40" s="47"/>
      <c r="KQF40" s="47"/>
      <c r="KQG40" s="47"/>
      <c r="KQH40" s="47"/>
      <c r="KQI40" s="47"/>
      <c r="KQJ40" s="47"/>
      <c r="KQK40" s="47"/>
      <c r="KQL40" s="47"/>
      <c r="KQM40" s="47"/>
      <c r="KQN40" s="47"/>
      <c r="KQO40" s="47"/>
      <c r="KQP40" s="47"/>
      <c r="KQQ40" s="47"/>
      <c r="KQR40" s="47"/>
      <c r="KQS40" s="47"/>
      <c r="KQT40" s="47"/>
      <c r="KQU40" s="47"/>
      <c r="KQV40" s="47"/>
      <c r="KQW40" s="47"/>
      <c r="KQX40" s="47"/>
      <c r="KQY40" s="47"/>
      <c r="KQZ40" s="47"/>
      <c r="KRA40" s="47"/>
      <c r="KRB40" s="47"/>
      <c r="KRC40" s="47"/>
      <c r="KRD40" s="47"/>
      <c r="KRE40" s="47"/>
      <c r="KRF40" s="47"/>
      <c r="KRG40" s="47"/>
      <c r="KRH40" s="47"/>
      <c r="KRI40" s="47"/>
      <c r="KRJ40" s="47"/>
      <c r="KRK40" s="47"/>
      <c r="KRL40" s="47"/>
      <c r="KRM40" s="47"/>
      <c r="KRN40" s="47"/>
      <c r="KRO40" s="47"/>
      <c r="KRP40" s="47"/>
      <c r="KRQ40" s="47"/>
      <c r="KRR40" s="47"/>
      <c r="KRS40" s="47"/>
      <c r="KRT40" s="47"/>
      <c r="KRU40" s="47"/>
      <c r="KRV40" s="47"/>
      <c r="KRW40" s="47"/>
      <c r="KRX40" s="47"/>
      <c r="KRY40" s="47"/>
      <c r="KRZ40" s="47"/>
      <c r="KSA40" s="47"/>
      <c r="KSB40" s="47"/>
      <c r="KSC40" s="47"/>
      <c r="KSD40" s="47"/>
      <c r="KSE40" s="47"/>
      <c r="KSF40" s="47"/>
      <c r="KSG40" s="47"/>
      <c r="KSH40" s="47"/>
      <c r="KSI40" s="47"/>
      <c r="KSJ40" s="47"/>
      <c r="KSK40" s="47"/>
      <c r="KSL40" s="47"/>
      <c r="KSM40" s="47"/>
      <c r="KSN40" s="47"/>
      <c r="KSO40" s="47"/>
      <c r="KSP40" s="47"/>
      <c r="KSQ40" s="47"/>
      <c r="KSR40" s="47"/>
      <c r="KSS40" s="47"/>
      <c r="KST40" s="47"/>
      <c r="KSU40" s="47"/>
      <c r="KSV40" s="47"/>
      <c r="KSW40" s="47"/>
      <c r="KSX40" s="47"/>
      <c r="KSY40" s="47"/>
      <c r="KSZ40" s="47"/>
      <c r="KTA40" s="47"/>
      <c r="KTB40" s="47"/>
      <c r="KTC40" s="47"/>
      <c r="KTD40" s="47"/>
      <c r="KTE40" s="47"/>
      <c r="KTF40" s="47"/>
      <c r="KTG40" s="47"/>
      <c r="KTH40" s="47"/>
      <c r="KTI40" s="47"/>
      <c r="KTJ40" s="47"/>
      <c r="KTK40" s="47"/>
      <c r="KTL40" s="47"/>
      <c r="KTM40" s="47"/>
      <c r="KTN40" s="47"/>
      <c r="KTO40" s="47"/>
      <c r="KTP40" s="47"/>
      <c r="KTQ40" s="47"/>
      <c r="KTR40" s="47"/>
      <c r="KTS40" s="47"/>
      <c r="KTT40" s="47"/>
      <c r="KTU40" s="47"/>
      <c r="KTV40" s="47"/>
      <c r="KTW40" s="47"/>
      <c r="KTX40" s="47"/>
      <c r="KTY40" s="47"/>
      <c r="KTZ40" s="47"/>
      <c r="KUA40" s="47"/>
      <c r="KUB40" s="47"/>
      <c r="KUC40" s="47"/>
      <c r="KUD40" s="47"/>
      <c r="KUE40" s="47"/>
      <c r="KUF40" s="47"/>
      <c r="KUG40" s="47"/>
      <c r="KUH40" s="47"/>
      <c r="KUI40" s="47"/>
      <c r="KUJ40" s="47"/>
      <c r="KUK40" s="47"/>
      <c r="KUL40" s="47"/>
      <c r="KUM40" s="47"/>
      <c r="KUN40" s="47"/>
      <c r="KUO40" s="47"/>
      <c r="KUP40" s="47"/>
      <c r="KUQ40" s="47"/>
      <c r="KUR40" s="47"/>
      <c r="KUS40" s="47"/>
      <c r="KUT40" s="47"/>
      <c r="KUU40" s="47"/>
      <c r="KUV40" s="47"/>
      <c r="KUW40" s="47"/>
      <c r="KUX40" s="47"/>
      <c r="KUY40" s="47"/>
      <c r="KUZ40" s="47"/>
      <c r="KVA40" s="47"/>
      <c r="KVB40" s="47"/>
      <c r="KVC40" s="47"/>
      <c r="KVD40" s="47"/>
      <c r="KVE40" s="47"/>
      <c r="KVF40" s="47"/>
      <c r="KVG40" s="47"/>
      <c r="KVH40" s="47"/>
      <c r="KVI40" s="47"/>
      <c r="KVJ40" s="47"/>
      <c r="KVK40" s="47"/>
      <c r="KVL40" s="47"/>
      <c r="KVM40" s="47"/>
      <c r="KVN40" s="47"/>
      <c r="KVO40" s="47"/>
      <c r="KVP40" s="47"/>
      <c r="KVQ40" s="47"/>
      <c r="KVR40" s="47"/>
      <c r="KVS40" s="47"/>
      <c r="KVT40" s="47"/>
      <c r="KVU40" s="47"/>
      <c r="KVV40" s="47"/>
      <c r="KVW40" s="47"/>
      <c r="KVX40" s="47"/>
      <c r="KVY40" s="47"/>
      <c r="KVZ40" s="47"/>
      <c r="KWA40" s="47"/>
      <c r="KWB40" s="47"/>
      <c r="KWC40" s="47"/>
      <c r="KWD40" s="47"/>
      <c r="KWE40" s="47"/>
      <c r="KWF40" s="47"/>
      <c r="KWG40" s="47"/>
      <c r="KWH40" s="47"/>
      <c r="KWI40" s="47"/>
      <c r="KWJ40" s="47"/>
      <c r="KWK40" s="47"/>
      <c r="KWL40" s="47"/>
      <c r="KWM40" s="47"/>
      <c r="KWN40" s="47"/>
      <c r="KWO40" s="47"/>
      <c r="KWP40" s="47"/>
      <c r="KWQ40" s="47"/>
      <c r="KWR40" s="47"/>
      <c r="KWS40" s="47"/>
      <c r="KWT40" s="47"/>
      <c r="KWU40" s="47"/>
      <c r="KWV40" s="47"/>
      <c r="KWW40" s="47"/>
      <c r="KWX40" s="47"/>
      <c r="KWY40" s="47"/>
      <c r="KWZ40" s="47"/>
      <c r="KXA40" s="47"/>
      <c r="KXB40" s="47"/>
      <c r="KXC40" s="47"/>
      <c r="KXD40" s="47"/>
      <c r="KXE40" s="47"/>
      <c r="KXF40" s="47"/>
      <c r="KXG40" s="47"/>
      <c r="KXH40" s="47"/>
      <c r="KXI40" s="47"/>
      <c r="KXJ40" s="47"/>
      <c r="KXK40" s="47"/>
      <c r="KXL40" s="47"/>
      <c r="KXM40" s="47"/>
      <c r="KXN40" s="47"/>
      <c r="KXO40" s="47"/>
      <c r="KXP40" s="47"/>
      <c r="KXQ40" s="47"/>
      <c r="KXR40" s="47"/>
      <c r="KXS40" s="47"/>
      <c r="KXT40" s="47"/>
      <c r="KXU40" s="47"/>
      <c r="KXV40" s="47"/>
      <c r="KXW40" s="47"/>
      <c r="KXX40" s="47"/>
      <c r="KXY40" s="47"/>
      <c r="KXZ40" s="47"/>
      <c r="KYA40" s="47"/>
      <c r="KYB40" s="47"/>
      <c r="KYC40" s="47"/>
      <c r="KYD40" s="47"/>
      <c r="KYE40" s="47"/>
      <c r="KYF40" s="47"/>
      <c r="KYG40" s="47"/>
      <c r="KYH40" s="47"/>
      <c r="KYI40" s="47"/>
      <c r="KYJ40" s="47"/>
      <c r="KYK40" s="47"/>
      <c r="KYL40" s="47"/>
      <c r="KYM40" s="47"/>
      <c r="KYN40" s="47"/>
      <c r="KYO40" s="47"/>
      <c r="KYP40" s="47"/>
      <c r="KYQ40" s="47"/>
      <c r="KYR40" s="47"/>
      <c r="KYS40" s="47"/>
      <c r="KYT40" s="47"/>
      <c r="KYU40" s="47"/>
      <c r="KYV40" s="47"/>
      <c r="KYW40" s="47"/>
      <c r="KYX40" s="47"/>
      <c r="KYY40" s="47"/>
      <c r="KYZ40" s="47"/>
      <c r="KZA40" s="47"/>
      <c r="KZB40" s="47"/>
      <c r="KZC40" s="47"/>
      <c r="KZD40" s="47"/>
      <c r="KZE40" s="47"/>
      <c r="KZF40" s="47"/>
      <c r="KZG40" s="47"/>
      <c r="KZH40" s="47"/>
      <c r="KZI40" s="47"/>
      <c r="KZJ40" s="47"/>
      <c r="KZK40" s="47"/>
      <c r="KZL40" s="47"/>
      <c r="KZM40" s="47"/>
      <c r="KZN40" s="47"/>
      <c r="KZO40" s="47"/>
      <c r="KZP40" s="47"/>
      <c r="KZQ40" s="47"/>
      <c r="KZR40" s="47"/>
      <c r="KZS40" s="47"/>
      <c r="KZT40" s="47"/>
      <c r="KZU40" s="47"/>
      <c r="KZV40" s="47"/>
      <c r="KZW40" s="47"/>
      <c r="KZX40" s="47"/>
      <c r="KZY40" s="47"/>
      <c r="KZZ40" s="47"/>
      <c r="LAA40" s="47"/>
      <c r="LAB40" s="47"/>
      <c r="LAC40" s="47"/>
      <c r="LAD40" s="47"/>
      <c r="LAE40" s="47"/>
      <c r="LAF40" s="47"/>
      <c r="LAG40" s="47"/>
      <c r="LAH40" s="47"/>
      <c r="LAI40" s="47"/>
      <c r="LAJ40" s="47"/>
      <c r="LAK40" s="47"/>
      <c r="LAL40" s="47"/>
      <c r="LAM40" s="47"/>
      <c r="LAN40" s="47"/>
      <c r="LAO40" s="47"/>
      <c r="LAP40" s="47"/>
      <c r="LAQ40" s="47"/>
      <c r="LAR40" s="47"/>
      <c r="LAS40" s="47"/>
      <c r="LAT40" s="47"/>
      <c r="LAU40" s="47"/>
      <c r="LAV40" s="47"/>
      <c r="LAW40" s="47"/>
      <c r="LAX40" s="47"/>
      <c r="LAY40" s="47"/>
      <c r="LAZ40" s="47"/>
      <c r="LBA40" s="47"/>
      <c r="LBB40" s="47"/>
      <c r="LBC40" s="47"/>
      <c r="LBD40" s="47"/>
      <c r="LBE40" s="47"/>
      <c r="LBF40" s="47"/>
      <c r="LBG40" s="47"/>
      <c r="LBH40" s="47"/>
      <c r="LBI40" s="47"/>
      <c r="LBJ40" s="47"/>
      <c r="LBK40" s="47"/>
      <c r="LBL40" s="47"/>
      <c r="LBM40" s="47"/>
      <c r="LBN40" s="47"/>
      <c r="LBO40" s="47"/>
      <c r="LBP40" s="47"/>
      <c r="LBQ40" s="47"/>
      <c r="LBR40" s="47"/>
      <c r="LBS40" s="47"/>
      <c r="LBT40" s="47"/>
      <c r="LBU40" s="47"/>
      <c r="LBV40" s="47"/>
      <c r="LBW40" s="47"/>
      <c r="LBX40" s="47"/>
      <c r="LBY40" s="47"/>
      <c r="LBZ40" s="47"/>
      <c r="LCA40" s="47"/>
      <c r="LCB40" s="47"/>
      <c r="LCC40" s="47"/>
      <c r="LCD40" s="47"/>
      <c r="LCE40" s="47"/>
      <c r="LCF40" s="47"/>
      <c r="LCG40" s="47"/>
      <c r="LCH40" s="47"/>
      <c r="LCI40" s="47"/>
      <c r="LCJ40" s="47"/>
      <c r="LCK40" s="47"/>
      <c r="LCL40" s="47"/>
      <c r="LCM40" s="47"/>
      <c r="LCN40" s="47"/>
      <c r="LCO40" s="47"/>
      <c r="LCP40" s="47"/>
      <c r="LCQ40" s="47"/>
      <c r="LCR40" s="47"/>
      <c r="LCS40" s="47"/>
      <c r="LCT40" s="47"/>
      <c r="LCU40" s="47"/>
      <c r="LCV40" s="47"/>
      <c r="LCW40" s="47"/>
      <c r="LCX40" s="47"/>
      <c r="LCY40" s="47"/>
      <c r="LCZ40" s="47"/>
      <c r="LDA40" s="47"/>
      <c r="LDB40" s="47"/>
      <c r="LDC40" s="47"/>
      <c r="LDD40" s="47"/>
      <c r="LDE40" s="47"/>
      <c r="LDF40" s="47"/>
      <c r="LDG40" s="47"/>
      <c r="LDH40" s="47"/>
      <c r="LDI40" s="47"/>
      <c r="LDJ40" s="47"/>
      <c r="LDK40" s="47"/>
      <c r="LDL40" s="47"/>
      <c r="LDM40" s="47"/>
      <c r="LDN40" s="47"/>
      <c r="LDO40" s="47"/>
      <c r="LDP40" s="47"/>
      <c r="LDQ40" s="47"/>
      <c r="LDR40" s="47"/>
      <c r="LDS40" s="47"/>
      <c r="LDT40" s="47"/>
      <c r="LDU40" s="47"/>
      <c r="LDV40" s="47"/>
      <c r="LDW40" s="47"/>
      <c r="LDX40" s="47"/>
      <c r="LDY40" s="47"/>
      <c r="LDZ40" s="47"/>
      <c r="LEA40" s="47"/>
      <c r="LEB40" s="47"/>
      <c r="LEC40" s="47"/>
      <c r="LED40" s="47"/>
      <c r="LEE40" s="47"/>
      <c r="LEF40" s="47"/>
      <c r="LEG40" s="47"/>
      <c r="LEH40" s="47"/>
      <c r="LEI40" s="47"/>
      <c r="LEJ40" s="47"/>
      <c r="LEK40" s="47"/>
      <c r="LEL40" s="47"/>
      <c r="LEM40" s="47"/>
      <c r="LEN40" s="47"/>
      <c r="LEO40" s="47"/>
      <c r="LEP40" s="47"/>
      <c r="LEQ40" s="47"/>
      <c r="LER40" s="47"/>
      <c r="LES40" s="47"/>
      <c r="LET40" s="47"/>
      <c r="LEU40" s="47"/>
      <c r="LEV40" s="47"/>
      <c r="LEW40" s="47"/>
      <c r="LEX40" s="47"/>
      <c r="LEY40" s="47"/>
      <c r="LEZ40" s="47"/>
      <c r="LFA40" s="47"/>
      <c r="LFB40" s="47"/>
      <c r="LFC40" s="47"/>
      <c r="LFD40" s="47"/>
      <c r="LFE40" s="47"/>
      <c r="LFF40" s="47"/>
      <c r="LFG40" s="47"/>
      <c r="LFH40" s="47"/>
      <c r="LFI40" s="47"/>
      <c r="LFJ40" s="47"/>
      <c r="LFK40" s="47"/>
      <c r="LFL40" s="47"/>
      <c r="LFM40" s="47"/>
      <c r="LFN40" s="47"/>
      <c r="LFO40" s="47"/>
      <c r="LFP40" s="47"/>
      <c r="LFQ40" s="47"/>
      <c r="LFR40" s="47"/>
      <c r="LFS40" s="47"/>
      <c r="LFT40" s="47"/>
      <c r="LFU40" s="47"/>
      <c r="LFV40" s="47"/>
      <c r="LFW40" s="47"/>
      <c r="LFX40" s="47"/>
      <c r="LFY40" s="47"/>
      <c r="LFZ40" s="47"/>
      <c r="LGA40" s="47"/>
      <c r="LGB40" s="47"/>
      <c r="LGC40" s="47"/>
      <c r="LGD40" s="47"/>
      <c r="LGE40" s="47"/>
      <c r="LGF40" s="47"/>
      <c r="LGG40" s="47"/>
      <c r="LGH40" s="47"/>
      <c r="LGI40" s="47"/>
      <c r="LGJ40" s="47"/>
      <c r="LGK40" s="47"/>
      <c r="LGL40" s="47"/>
      <c r="LGM40" s="47"/>
      <c r="LGN40" s="47"/>
      <c r="LGO40" s="47"/>
      <c r="LGP40" s="47"/>
      <c r="LGQ40" s="47"/>
      <c r="LGR40" s="47"/>
      <c r="LGS40" s="47"/>
      <c r="LGT40" s="47"/>
      <c r="LGU40" s="47"/>
      <c r="LGV40" s="47"/>
      <c r="LGW40" s="47"/>
      <c r="LGX40" s="47"/>
      <c r="LGY40" s="47"/>
      <c r="LGZ40" s="47"/>
      <c r="LHA40" s="47"/>
      <c r="LHB40" s="47"/>
      <c r="LHC40" s="47"/>
      <c r="LHD40" s="47"/>
      <c r="LHE40" s="47"/>
      <c r="LHF40" s="47"/>
      <c r="LHG40" s="47"/>
      <c r="LHH40" s="47"/>
      <c r="LHI40" s="47"/>
      <c r="LHJ40" s="47"/>
      <c r="LHK40" s="47"/>
      <c r="LHL40" s="47"/>
      <c r="LHM40" s="47"/>
      <c r="LHN40" s="47"/>
      <c r="LHO40" s="47"/>
      <c r="LHP40" s="47"/>
      <c r="LHQ40" s="47"/>
      <c r="LHR40" s="47"/>
      <c r="LHS40" s="47"/>
      <c r="LHT40" s="47"/>
      <c r="LHU40" s="47"/>
      <c r="LHV40" s="47"/>
      <c r="LHW40" s="47"/>
      <c r="LHX40" s="47"/>
      <c r="LHY40" s="47"/>
      <c r="LHZ40" s="47"/>
      <c r="LIA40" s="47"/>
      <c r="LIB40" s="47"/>
      <c r="LIC40" s="47"/>
      <c r="LID40" s="47"/>
      <c r="LIE40" s="47"/>
      <c r="LIF40" s="47"/>
      <c r="LIG40" s="47"/>
      <c r="LIH40" s="47"/>
      <c r="LII40" s="47"/>
      <c r="LIJ40" s="47"/>
      <c r="LIK40" s="47"/>
      <c r="LIL40" s="47"/>
      <c r="LIM40" s="47"/>
      <c r="LIN40" s="47"/>
      <c r="LIO40" s="47"/>
      <c r="LIP40" s="47"/>
      <c r="LIQ40" s="47"/>
      <c r="LIR40" s="47"/>
      <c r="LIS40" s="47"/>
      <c r="LIT40" s="47"/>
      <c r="LIU40" s="47"/>
      <c r="LIV40" s="47"/>
      <c r="LIW40" s="47"/>
      <c r="LIX40" s="47"/>
      <c r="LIY40" s="47"/>
      <c r="LIZ40" s="47"/>
      <c r="LJA40" s="47"/>
      <c r="LJB40" s="47"/>
      <c r="LJC40" s="47"/>
      <c r="LJD40" s="47"/>
      <c r="LJE40" s="47"/>
      <c r="LJF40" s="47"/>
      <c r="LJG40" s="47"/>
      <c r="LJH40" s="47"/>
      <c r="LJI40" s="47"/>
      <c r="LJJ40" s="47"/>
      <c r="LJK40" s="47"/>
      <c r="LJL40" s="47"/>
      <c r="LJM40" s="47"/>
      <c r="LJN40" s="47"/>
      <c r="LJO40" s="47"/>
      <c r="LJP40" s="47"/>
      <c r="LJQ40" s="47"/>
      <c r="LJR40" s="47"/>
      <c r="LJS40" s="47"/>
      <c r="LJT40" s="47"/>
      <c r="LJU40" s="47"/>
      <c r="LJV40" s="47"/>
      <c r="LJW40" s="47"/>
      <c r="LJX40" s="47"/>
      <c r="LJY40" s="47"/>
      <c r="LJZ40" s="47"/>
      <c r="LKA40" s="47"/>
      <c r="LKB40" s="47"/>
      <c r="LKC40" s="47"/>
      <c r="LKD40" s="47"/>
      <c r="LKE40" s="47"/>
      <c r="LKF40" s="47"/>
      <c r="LKG40" s="47"/>
      <c r="LKH40" s="47"/>
      <c r="LKI40" s="47"/>
      <c r="LKJ40" s="47"/>
      <c r="LKK40" s="47"/>
      <c r="LKL40" s="47"/>
      <c r="LKM40" s="47"/>
      <c r="LKN40" s="47"/>
      <c r="LKO40" s="47"/>
      <c r="LKP40" s="47"/>
      <c r="LKQ40" s="47"/>
      <c r="LKR40" s="47"/>
      <c r="LKS40" s="47"/>
      <c r="LKT40" s="47"/>
      <c r="LKU40" s="47"/>
      <c r="LKV40" s="47"/>
      <c r="LKW40" s="47"/>
      <c r="LKX40" s="47"/>
      <c r="LKY40" s="47"/>
      <c r="LKZ40" s="47"/>
      <c r="LLA40" s="47"/>
      <c r="LLB40" s="47"/>
      <c r="LLC40" s="47"/>
      <c r="LLD40" s="47"/>
      <c r="LLE40" s="47"/>
      <c r="LLF40" s="47"/>
      <c r="LLG40" s="47"/>
      <c r="LLH40" s="47"/>
      <c r="LLI40" s="47"/>
      <c r="LLJ40" s="47"/>
      <c r="LLK40" s="47"/>
      <c r="LLL40" s="47"/>
      <c r="LLM40" s="47"/>
      <c r="LLN40" s="47"/>
      <c r="LLO40" s="47"/>
      <c r="LLP40" s="47"/>
      <c r="LLQ40" s="47"/>
      <c r="LLR40" s="47"/>
      <c r="LLS40" s="47"/>
      <c r="LLT40" s="47"/>
      <c r="LLU40" s="47"/>
      <c r="LLV40" s="47"/>
      <c r="LLW40" s="47"/>
      <c r="LLX40" s="47"/>
      <c r="LLY40" s="47"/>
      <c r="LLZ40" s="47"/>
      <c r="LMA40" s="47"/>
      <c r="LMB40" s="47"/>
      <c r="LMC40" s="47"/>
      <c r="LMD40" s="47"/>
      <c r="LME40" s="47"/>
      <c r="LMF40" s="47"/>
      <c r="LMG40" s="47"/>
      <c r="LMH40" s="47"/>
      <c r="LMI40" s="47"/>
      <c r="LMJ40" s="47"/>
      <c r="LMK40" s="47"/>
      <c r="LML40" s="47"/>
      <c r="LMM40" s="47"/>
      <c r="LMN40" s="47"/>
      <c r="LMO40" s="47"/>
      <c r="LMP40" s="47"/>
      <c r="LMQ40" s="47"/>
      <c r="LMR40" s="47"/>
      <c r="LMS40" s="47"/>
      <c r="LMT40" s="47"/>
      <c r="LMU40" s="47"/>
      <c r="LMV40" s="47"/>
      <c r="LMW40" s="47"/>
      <c r="LMX40" s="47"/>
      <c r="LMY40" s="47"/>
      <c r="LMZ40" s="47"/>
      <c r="LNA40" s="47"/>
      <c r="LNB40" s="47"/>
      <c r="LNC40" s="47"/>
      <c r="LND40" s="47"/>
      <c r="LNE40" s="47"/>
      <c r="LNF40" s="47"/>
      <c r="LNG40" s="47"/>
      <c r="LNH40" s="47"/>
      <c r="LNI40" s="47"/>
      <c r="LNJ40" s="47"/>
      <c r="LNK40" s="47"/>
      <c r="LNL40" s="47"/>
      <c r="LNM40" s="47"/>
      <c r="LNN40" s="47"/>
      <c r="LNO40" s="47"/>
      <c r="LNP40" s="47"/>
      <c r="LNQ40" s="47"/>
      <c r="LNR40" s="47"/>
      <c r="LNS40" s="47"/>
      <c r="LNT40" s="47"/>
      <c r="LNU40" s="47"/>
      <c r="LNV40" s="47"/>
      <c r="LNW40" s="47"/>
      <c r="LNX40" s="47"/>
      <c r="LNY40" s="47"/>
      <c r="LNZ40" s="47"/>
      <c r="LOA40" s="47"/>
      <c r="LOB40" s="47"/>
      <c r="LOC40" s="47"/>
      <c r="LOD40" s="47"/>
      <c r="LOE40" s="47"/>
      <c r="LOF40" s="47"/>
      <c r="LOG40" s="47"/>
      <c r="LOH40" s="47"/>
      <c r="LOI40" s="47"/>
      <c r="LOJ40" s="47"/>
      <c r="LOK40" s="47"/>
      <c r="LOL40" s="47"/>
      <c r="LOM40" s="47"/>
      <c r="LON40" s="47"/>
      <c r="LOO40" s="47"/>
      <c r="LOP40" s="47"/>
      <c r="LOQ40" s="47"/>
      <c r="LOR40" s="47"/>
      <c r="LOS40" s="47"/>
      <c r="LOT40" s="47"/>
      <c r="LOU40" s="47"/>
      <c r="LOV40" s="47"/>
      <c r="LOW40" s="47"/>
      <c r="LOX40" s="47"/>
      <c r="LOY40" s="47"/>
      <c r="LOZ40" s="47"/>
      <c r="LPA40" s="47"/>
      <c r="LPB40" s="47"/>
      <c r="LPC40" s="47"/>
      <c r="LPD40" s="47"/>
      <c r="LPE40" s="47"/>
      <c r="LPF40" s="47"/>
      <c r="LPG40" s="47"/>
      <c r="LPH40" s="47"/>
      <c r="LPI40" s="47"/>
      <c r="LPJ40" s="47"/>
      <c r="LPK40" s="47"/>
      <c r="LPL40" s="47"/>
      <c r="LPM40" s="47"/>
      <c r="LPN40" s="47"/>
      <c r="LPO40" s="47"/>
      <c r="LPP40" s="47"/>
      <c r="LPQ40" s="47"/>
      <c r="LPR40" s="47"/>
      <c r="LPS40" s="47"/>
      <c r="LPT40" s="47"/>
      <c r="LPU40" s="47"/>
      <c r="LPV40" s="47"/>
      <c r="LPW40" s="47"/>
      <c r="LPX40" s="47"/>
      <c r="LPY40" s="47"/>
      <c r="LPZ40" s="47"/>
      <c r="LQA40" s="47"/>
      <c r="LQB40" s="47"/>
      <c r="LQC40" s="47"/>
      <c r="LQD40" s="47"/>
      <c r="LQE40" s="47"/>
      <c r="LQF40" s="47"/>
      <c r="LQG40" s="47"/>
      <c r="LQH40" s="47"/>
      <c r="LQI40" s="47"/>
      <c r="LQJ40" s="47"/>
      <c r="LQK40" s="47"/>
      <c r="LQL40" s="47"/>
      <c r="LQM40" s="47"/>
      <c r="LQN40" s="47"/>
      <c r="LQO40" s="47"/>
      <c r="LQP40" s="47"/>
      <c r="LQQ40" s="47"/>
      <c r="LQR40" s="47"/>
      <c r="LQS40" s="47"/>
      <c r="LQT40" s="47"/>
      <c r="LQU40" s="47"/>
      <c r="LQV40" s="47"/>
      <c r="LQW40" s="47"/>
      <c r="LQX40" s="47"/>
      <c r="LQY40" s="47"/>
      <c r="LQZ40" s="47"/>
      <c r="LRA40" s="47"/>
      <c r="LRB40" s="47"/>
      <c r="LRC40" s="47"/>
      <c r="LRD40" s="47"/>
      <c r="LRE40" s="47"/>
      <c r="LRF40" s="47"/>
      <c r="LRG40" s="47"/>
      <c r="LRH40" s="47"/>
      <c r="LRI40" s="47"/>
      <c r="LRJ40" s="47"/>
      <c r="LRK40" s="47"/>
      <c r="LRL40" s="47"/>
      <c r="LRM40" s="47"/>
      <c r="LRN40" s="47"/>
      <c r="LRO40" s="47"/>
      <c r="LRP40" s="47"/>
      <c r="LRQ40" s="47"/>
      <c r="LRR40" s="47"/>
      <c r="LRS40" s="47"/>
      <c r="LRT40" s="47"/>
      <c r="LRU40" s="47"/>
      <c r="LRV40" s="47"/>
      <c r="LRW40" s="47"/>
      <c r="LRX40" s="47"/>
      <c r="LRY40" s="47"/>
      <c r="LRZ40" s="47"/>
      <c r="LSA40" s="47"/>
      <c r="LSB40" s="47"/>
      <c r="LSC40" s="47"/>
      <c r="LSD40" s="47"/>
      <c r="LSE40" s="47"/>
      <c r="LSF40" s="47"/>
      <c r="LSG40" s="47"/>
      <c r="LSH40" s="47"/>
      <c r="LSI40" s="47"/>
      <c r="LSJ40" s="47"/>
      <c r="LSK40" s="47"/>
      <c r="LSL40" s="47"/>
      <c r="LSM40" s="47"/>
      <c r="LSN40" s="47"/>
      <c r="LSO40" s="47"/>
      <c r="LSP40" s="47"/>
      <c r="LSQ40" s="47"/>
      <c r="LSR40" s="47"/>
      <c r="LSS40" s="47"/>
      <c r="LST40" s="47"/>
      <c r="LSU40" s="47"/>
      <c r="LSV40" s="47"/>
      <c r="LSW40" s="47"/>
      <c r="LSX40" s="47"/>
      <c r="LSY40" s="47"/>
      <c r="LSZ40" s="47"/>
      <c r="LTA40" s="47"/>
      <c r="LTB40" s="47"/>
      <c r="LTC40" s="47"/>
      <c r="LTD40" s="47"/>
      <c r="LTE40" s="47"/>
      <c r="LTF40" s="47"/>
      <c r="LTG40" s="47"/>
      <c r="LTH40" s="47"/>
      <c r="LTI40" s="47"/>
      <c r="LTJ40" s="47"/>
      <c r="LTK40" s="47"/>
      <c r="LTL40" s="47"/>
      <c r="LTM40" s="47"/>
      <c r="LTN40" s="47"/>
      <c r="LTO40" s="47"/>
      <c r="LTP40" s="47"/>
      <c r="LTQ40" s="47"/>
      <c r="LTR40" s="47"/>
      <c r="LTS40" s="47"/>
      <c r="LTT40" s="47"/>
      <c r="LTU40" s="47"/>
      <c r="LTV40" s="47"/>
      <c r="LTW40" s="47"/>
      <c r="LTX40" s="47"/>
      <c r="LTY40" s="47"/>
      <c r="LTZ40" s="47"/>
      <c r="LUA40" s="47"/>
      <c r="LUB40" s="47"/>
      <c r="LUC40" s="47"/>
      <c r="LUD40" s="47"/>
      <c r="LUE40" s="47"/>
      <c r="LUF40" s="47"/>
      <c r="LUG40" s="47"/>
      <c r="LUH40" s="47"/>
      <c r="LUI40" s="47"/>
      <c r="LUJ40" s="47"/>
      <c r="LUK40" s="47"/>
      <c r="LUL40" s="47"/>
      <c r="LUM40" s="47"/>
      <c r="LUN40" s="47"/>
      <c r="LUO40" s="47"/>
      <c r="LUP40" s="47"/>
      <c r="LUQ40" s="47"/>
      <c r="LUR40" s="47"/>
      <c r="LUS40" s="47"/>
      <c r="LUT40" s="47"/>
      <c r="LUU40" s="47"/>
      <c r="LUV40" s="47"/>
      <c r="LUW40" s="47"/>
      <c r="LUX40" s="47"/>
      <c r="LUY40" s="47"/>
      <c r="LUZ40" s="47"/>
      <c r="LVA40" s="47"/>
      <c r="LVB40" s="47"/>
      <c r="LVC40" s="47"/>
      <c r="LVD40" s="47"/>
      <c r="LVE40" s="47"/>
      <c r="LVF40" s="47"/>
      <c r="LVG40" s="47"/>
      <c r="LVH40" s="47"/>
      <c r="LVI40" s="47"/>
      <c r="LVJ40" s="47"/>
      <c r="LVK40" s="47"/>
      <c r="LVL40" s="47"/>
      <c r="LVM40" s="47"/>
      <c r="LVN40" s="47"/>
      <c r="LVO40" s="47"/>
      <c r="LVP40" s="47"/>
      <c r="LVQ40" s="47"/>
      <c r="LVR40" s="47"/>
      <c r="LVS40" s="47"/>
      <c r="LVT40" s="47"/>
      <c r="LVU40" s="47"/>
      <c r="LVV40" s="47"/>
      <c r="LVW40" s="47"/>
      <c r="LVX40" s="47"/>
      <c r="LVY40" s="47"/>
      <c r="LVZ40" s="47"/>
      <c r="LWA40" s="47"/>
      <c r="LWB40" s="47"/>
      <c r="LWC40" s="47"/>
      <c r="LWD40" s="47"/>
      <c r="LWE40" s="47"/>
      <c r="LWF40" s="47"/>
      <c r="LWG40" s="47"/>
      <c r="LWH40" s="47"/>
      <c r="LWI40" s="47"/>
      <c r="LWJ40" s="47"/>
      <c r="LWK40" s="47"/>
      <c r="LWL40" s="47"/>
      <c r="LWM40" s="47"/>
      <c r="LWN40" s="47"/>
      <c r="LWO40" s="47"/>
      <c r="LWP40" s="47"/>
      <c r="LWQ40" s="47"/>
      <c r="LWR40" s="47"/>
      <c r="LWS40" s="47"/>
      <c r="LWT40" s="47"/>
      <c r="LWU40" s="47"/>
      <c r="LWV40" s="47"/>
      <c r="LWW40" s="47"/>
      <c r="LWX40" s="47"/>
      <c r="LWY40" s="47"/>
      <c r="LWZ40" s="47"/>
      <c r="LXA40" s="47"/>
      <c r="LXB40" s="47"/>
      <c r="LXC40" s="47"/>
      <c r="LXD40" s="47"/>
      <c r="LXE40" s="47"/>
      <c r="LXF40" s="47"/>
      <c r="LXG40" s="47"/>
      <c r="LXH40" s="47"/>
      <c r="LXI40" s="47"/>
      <c r="LXJ40" s="47"/>
      <c r="LXK40" s="47"/>
      <c r="LXL40" s="47"/>
      <c r="LXM40" s="47"/>
      <c r="LXN40" s="47"/>
      <c r="LXO40" s="47"/>
      <c r="LXP40" s="47"/>
      <c r="LXQ40" s="47"/>
      <c r="LXR40" s="47"/>
      <c r="LXS40" s="47"/>
      <c r="LXT40" s="47"/>
      <c r="LXU40" s="47"/>
      <c r="LXV40" s="47"/>
      <c r="LXW40" s="47"/>
      <c r="LXX40" s="47"/>
      <c r="LXY40" s="47"/>
      <c r="LXZ40" s="47"/>
      <c r="LYA40" s="47"/>
      <c r="LYB40" s="47"/>
      <c r="LYC40" s="47"/>
      <c r="LYD40" s="47"/>
      <c r="LYE40" s="47"/>
      <c r="LYF40" s="47"/>
      <c r="LYG40" s="47"/>
      <c r="LYH40" s="47"/>
      <c r="LYI40" s="47"/>
      <c r="LYJ40" s="47"/>
      <c r="LYK40" s="47"/>
      <c r="LYL40" s="47"/>
      <c r="LYM40" s="47"/>
      <c r="LYN40" s="47"/>
      <c r="LYO40" s="47"/>
      <c r="LYP40" s="47"/>
      <c r="LYQ40" s="47"/>
      <c r="LYR40" s="47"/>
      <c r="LYS40" s="47"/>
      <c r="LYT40" s="47"/>
      <c r="LYU40" s="47"/>
      <c r="LYV40" s="47"/>
      <c r="LYW40" s="47"/>
      <c r="LYX40" s="47"/>
      <c r="LYY40" s="47"/>
      <c r="LYZ40" s="47"/>
      <c r="LZA40" s="47"/>
      <c r="LZB40" s="47"/>
      <c r="LZC40" s="47"/>
      <c r="LZD40" s="47"/>
      <c r="LZE40" s="47"/>
      <c r="LZF40" s="47"/>
      <c r="LZG40" s="47"/>
      <c r="LZH40" s="47"/>
      <c r="LZI40" s="47"/>
      <c r="LZJ40" s="47"/>
      <c r="LZK40" s="47"/>
      <c r="LZL40" s="47"/>
      <c r="LZM40" s="47"/>
      <c r="LZN40" s="47"/>
      <c r="LZO40" s="47"/>
      <c r="LZP40" s="47"/>
      <c r="LZQ40" s="47"/>
      <c r="LZR40" s="47"/>
      <c r="LZS40" s="47"/>
      <c r="LZT40" s="47"/>
      <c r="LZU40" s="47"/>
      <c r="LZV40" s="47"/>
      <c r="LZW40" s="47"/>
      <c r="LZX40" s="47"/>
      <c r="LZY40" s="47"/>
      <c r="LZZ40" s="47"/>
      <c r="MAA40" s="47"/>
      <c r="MAB40" s="47"/>
      <c r="MAC40" s="47"/>
      <c r="MAD40" s="47"/>
      <c r="MAE40" s="47"/>
      <c r="MAF40" s="47"/>
      <c r="MAG40" s="47"/>
      <c r="MAH40" s="47"/>
      <c r="MAI40" s="47"/>
      <c r="MAJ40" s="47"/>
      <c r="MAK40" s="47"/>
      <c r="MAL40" s="47"/>
      <c r="MAM40" s="47"/>
      <c r="MAN40" s="47"/>
      <c r="MAO40" s="47"/>
      <c r="MAP40" s="47"/>
      <c r="MAQ40" s="47"/>
      <c r="MAR40" s="47"/>
      <c r="MAS40" s="47"/>
      <c r="MAT40" s="47"/>
      <c r="MAU40" s="47"/>
      <c r="MAV40" s="47"/>
      <c r="MAW40" s="47"/>
      <c r="MAX40" s="47"/>
      <c r="MAY40" s="47"/>
      <c r="MAZ40" s="47"/>
      <c r="MBA40" s="47"/>
      <c r="MBB40" s="47"/>
      <c r="MBC40" s="47"/>
      <c r="MBD40" s="47"/>
      <c r="MBE40" s="47"/>
      <c r="MBF40" s="47"/>
      <c r="MBG40" s="47"/>
      <c r="MBH40" s="47"/>
      <c r="MBI40" s="47"/>
      <c r="MBJ40" s="47"/>
      <c r="MBK40" s="47"/>
      <c r="MBL40" s="47"/>
      <c r="MBM40" s="47"/>
      <c r="MBN40" s="47"/>
      <c r="MBO40" s="47"/>
      <c r="MBP40" s="47"/>
      <c r="MBQ40" s="47"/>
      <c r="MBR40" s="47"/>
      <c r="MBS40" s="47"/>
      <c r="MBT40" s="47"/>
      <c r="MBU40" s="47"/>
      <c r="MBV40" s="47"/>
      <c r="MBW40" s="47"/>
      <c r="MBX40" s="47"/>
      <c r="MBY40" s="47"/>
      <c r="MBZ40" s="47"/>
      <c r="MCA40" s="47"/>
      <c r="MCB40" s="47"/>
      <c r="MCC40" s="47"/>
      <c r="MCD40" s="47"/>
      <c r="MCE40" s="47"/>
      <c r="MCF40" s="47"/>
      <c r="MCG40" s="47"/>
      <c r="MCH40" s="47"/>
      <c r="MCI40" s="47"/>
      <c r="MCJ40" s="47"/>
      <c r="MCK40" s="47"/>
      <c r="MCL40" s="47"/>
      <c r="MCM40" s="47"/>
      <c r="MCN40" s="47"/>
      <c r="MCO40" s="47"/>
      <c r="MCP40" s="47"/>
      <c r="MCQ40" s="47"/>
      <c r="MCR40" s="47"/>
      <c r="MCS40" s="47"/>
      <c r="MCT40" s="47"/>
      <c r="MCU40" s="47"/>
      <c r="MCV40" s="47"/>
      <c r="MCW40" s="47"/>
      <c r="MCX40" s="47"/>
      <c r="MCY40" s="47"/>
      <c r="MCZ40" s="47"/>
      <c r="MDA40" s="47"/>
      <c r="MDB40" s="47"/>
      <c r="MDC40" s="47"/>
      <c r="MDD40" s="47"/>
      <c r="MDE40" s="47"/>
      <c r="MDF40" s="47"/>
      <c r="MDG40" s="47"/>
      <c r="MDH40" s="47"/>
      <c r="MDI40" s="47"/>
      <c r="MDJ40" s="47"/>
      <c r="MDK40" s="47"/>
      <c r="MDL40" s="47"/>
      <c r="MDM40" s="47"/>
      <c r="MDN40" s="47"/>
      <c r="MDO40" s="47"/>
      <c r="MDP40" s="47"/>
      <c r="MDQ40" s="47"/>
      <c r="MDR40" s="47"/>
      <c r="MDS40" s="47"/>
      <c r="MDT40" s="47"/>
      <c r="MDU40" s="47"/>
      <c r="MDV40" s="47"/>
      <c r="MDW40" s="47"/>
      <c r="MDX40" s="47"/>
      <c r="MDY40" s="47"/>
      <c r="MDZ40" s="47"/>
      <c r="MEA40" s="47"/>
      <c r="MEB40" s="47"/>
      <c r="MEC40" s="47"/>
      <c r="MED40" s="47"/>
      <c r="MEE40" s="47"/>
      <c r="MEF40" s="47"/>
      <c r="MEG40" s="47"/>
      <c r="MEH40" s="47"/>
      <c r="MEI40" s="47"/>
      <c r="MEJ40" s="47"/>
      <c r="MEK40" s="47"/>
      <c r="MEL40" s="47"/>
      <c r="MEM40" s="47"/>
      <c r="MEN40" s="47"/>
      <c r="MEO40" s="47"/>
      <c r="MEP40" s="47"/>
      <c r="MEQ40" s="47"/>
      <c r="MER40" s="47"/>
      <c r="MES40" s="47"/>
      <c r="MET40" s="47"/>
      <c r="MEU40" s="47"/>
      <c r="MEV40" s="47"/>
      <c r="MEW40" s="47"/>
      <c r="MEX40" s="47"/>
      <c r="MEY40" s="47"/>
      <c r="MEZ40" s="47"/>
      <c r="MFA40" s="47"/>
      <c r="MFB40" s="47"/>
      <c r="MFC40" s="47"/>
      <c r="MFD40" s="47"/>
      <c r="MFE40" s="47"/>
      <c r="MFF40" s="47"/>
      <c r="MFG40" s="47"/>
      <c r="MFH40" s="47"/>
      <c r="MFI40" s="47"/>
      <c r="MFJ40" s="47"/>
      <c r="MFK40" s="47"/>
      <c r="MFL40" s="47"/>
      <c r="MFM40" s="47"/>
      <c r="MFN40" s="47"/>
      <c r="MFO40" s="47"/>
      <c r="MFP40" s="47"/>
      <c r="MFQ40" s="47"/>
      <c r="MFR40" s="47"/>
      <c r="MFS40" s="47"/>
      <c r="MFT40" s="47"/>
      <c r="MFU40" s="47"/>
      <c r="MFV40" s="47"/>
      <c r="MFW40" s="47"/>
      <c r="MFX40" s="47"/>
      <c r="MFY40" s="47"/>
      <c r="MFZ40" s="47"/>
      <c r="MGA40" s="47"/>
      <c r="MGB40" s="47"/>
      <c r="MGC40" s="47"/>
      <c r="MGD40" s="47"/>
      <c r="MGE40" s="47"/>
      <c r="MGF40" s="47"/>
      <c r="MGG40" s="47"/>
      <c r="MGH40" s="47"/>
      <c r="MGI40" s="47"/>
      <c r="MGJ40" s="47"/>
      <c r="MGK40" s="47"/>
      <c r="MGL40" s="47"/>
      <c r="MGM40" s="47"/>
      <c r="MGN40" s="47"/>
      <c r="MGO40" s="47"/>
      <c r="MGP40" s="47"/>
      <c r="MGQ40" s="47"/>
      <c r="MGR40" s="47"/>
      <c r="MGS40" s="47"/>
      <c r="MGT40" s="47"/>
      <c r="MGU40" s="47"/>
      <c r="MGV40" s="47"/>
      <c r="MGW40" s="47"/>
      <c r="MGX40" s="47"/>
      <c r="MGY40" s="47"/>
      <c r="MGZ40" s="47"/>
      <c r="MHA40" s="47"/>
      <c r="MHB40" s="47"/>
      <c r="MHC40" s="47"/>
      <c r="MHD40" s="47"/>
      <c r="MHE40" s="47"/>
      <c r="MHF40" s="47"/>
      <c r="MHG40" s="47"/>
      <c r="MHH40" s="47"/>
      <c r="MHI40" s="47"/>
      <c r="MHJ40" s="47"/>
      <c r="MHK40" s="47"/>
      <c r="MHL40" s="47"/>
      <c r="MHM40" s="47"/>
      <c r="MHN40" s="47"/>
      <c r="MHO40" s="47"/>
      <c r="MHP40" s="47"/>
      <c r="MHQ40" s="47"/>
      <c r="MHR40" s="47"/>
      <c r="MHS40" s="47"/>
      <c r="MHT40" s="47"/>
      <c r="MHU40" s="47"/>
      <c r="MHV40" s="47"/>
      <c r="MHW40" s="47"/>
      <c r="MHX40" s="47"/>
      <c r="MHY40" s="47"/>
      <c r="MHZ40" s="47"/>
      <c r="MIA40" s="47"/>
      <c r="MIB40" s="47"/>
      <c r="MIC40" s="47"/>
      <c r="MID40" s="47"/>
      <c r="MIE40" s="47"/>
      <c r="MIF40" s="47"/>
      <c r="MIG40" s="47"/>
      <c r="MIH40" s="47"/>
      <c r="MII40" s="47"/>
      <c r="MIJ40" s="47"/>
      <c r="MIK40" s="47"/>
      <c r="MIL40" s="47"/>
      <c r="MIM40" s="47"/>
      <c r="MIN40" s="47"/>
      <c r="MIO40" s="47"/>
      <c r="MIP40" s="47"/>
      <c r="MIQ40" s="47"/>
      <c r="MIR40" s="47"/>
      <c r="MIS40" s="47"/>
      <c r="MIT40" s="47"/>
      <c r="MIU40" s="47"/>
      <c r="MIV40" s="47"/>
      <c r="MIW40" s="47"/>
      <c r="MIX40" s="47"/>
      <c r="MIY40" s="47"/>
      <c r="MIZ40" s="47"/>
      <c r="MJA40" s="47"/>
      <c r="MJB40" s="47"/>
      <c r="MJC40" s="47"/>
      <c r="MJD40" s="47"/>
      <c r="MJE40" s="47"/>
      <c r="MJF40" s="47"/>
      <c r="MJG40" s="47"/>
      <c r="MJH40" s="47"/>
      <c r="MJI40" s="47"/>
      <c r="MJJ40" s="47"/>
      <c r="MJK40" s="47"/>
      <c r="MJL40" s="47"/>
      <c r="MJM40" s="47"/>
      <c r="MJN40" s="47"/>
      <c r="MJO40" s="47"/>
      <c r="MJP40" s="47"/>
      <c r="MJQ40" s="47"/>
      <c r="MJR40" s="47"/>
      <c r="MJS40" s="47"/>
      <c r="MJT40" s="47"/>
      <c r="MJU40" s="47"/>
      <c r="MJV40" s="47"/>
      <c r="MJW40" s="47"/>
      <c r="MJX40" s="47"/>
      <c r="MJY40" s="47"/>
      <c r="MJZ40" s="47"/>
      <c r="MKA40" s="47"/>
      <c r="MKB40" s="47"/>
      <c r="MKC40" s="47"/>
      <c r="MKD40" s="47"/>
      <c r="MKE40" s="47"/>
      <c r="MKF40" s="47"/>
      <c r="MKG40" s="47"/>
      <c r="MKH40" s="47"/>
      <c r="MKI40" s="47"/>
      <c r="MKJ40" s="47"/>
      <c r="MKK40" s="47"/>
      <c r="MKL40" s="47"/>
      <c r="MKM40" s="47"/>
      <c r="MKN40" s="47"/>
      <c r="MKO40" s="47"/>
      <c r="MKP40" s="47"/>
      <c r="MKQ40" s="47"/>
      <c r="MKR40" s="47"/>
      <c r="MKS40" s="47"/>
      <c r="MKT40" s="47"/>
      <c r="MKU40" s="47"/>
      <c r="MKV40" s="47"/>
      <c r="MKW40" s="47"/>
      <c r="MKX40" s="47"/>
      <c r="MKY40" s="47"/>
      <c r="MKZ40" s="47"/>
      <c r="MLA40" s="47"/>
      <c r="MLB40" s="47"/>
      <c r="MLC40" s="47"/>
      <c r="MLD40" s="47"/>
      <c r="MLE40" s="47"/>
      <c r="MLF40" s="47"/>
      <c r="MLG40" s="47"/>
      <c r="MLH40" s="47"/>
      <c r="MLI40" s="47"/>
      <c r="MLJ40" s="47"/>
      <c r="MLK40" s="47"/>
      <c r="MLL40" s="47"/>
      <c r="MLM40" s="47"/>
      <c r="MLN40" s="47"/>
      <c r="MLO40" s="47"/>
      <c r="MLP40" s="47"/>
      <c r="MLQ40" s="47"/>
      <c r="MLR40" s="47"/>
      <c r="MLS40" s="47"/>
      <c r="MLT40" s="47"/>
      <c r="MLU40" s="47"/>
      <c r="MLV40" s="47"/>
      <c r="MLW40" s="47"/>
      <c r="MLX40" s="47"/>
      <c r="MLY40" s="47"/>
      <c r="MLZ40" s="47"/>
      <c r="MMA40" s="47"/>
      <c r="MMB40" s="47"/>
      <c r="MMC40" s="47"/>
      <c r="MMD40" s="47"/>
      <c r="MME40" s="47"/>
      <c r="MMF40" s="47"/>
      <c r="MMG40" s="47"/>
      <c r="MMH40" s="47"/>
      <c r="MMI40" s="47"/>
      <c r="MMJ40" s="47"/>
      <c r="MMK40" s="47"/>
      <c r="MML40" s="47"/>
      <c r="MMM40" s="47"/>
      <c r="MMN40" s="47"/>
      <c r="MMO40" s="47"/>
      <c r="MMP40" s="47"/>
      <c r="MMQ40" s="47"/>
      <c r="MMR40" s="47"/>
      <c r="MMS40" s="47"/>
      <c r="MMT40" s="47"/>
      <c r="MMU40" s="47"/>
      <c r="MMV40" s="47"/>
      <c r="MMW40" s="47"/>
      <c r="MMX40" s="47"/>
      <c r="MMY40" s="47"/>
      <c r="MMZ40" s="47"/>
      <c r="MNA40" s="47"/>
      <c r="MNB40" s="47"/>
      <c r="MNC40" s="47"/>
      <c r="MND40" s="47"/>
      <c r="MNE40" s="47"/>
      <c r="MNF40" s="47"/>
      <c r="MNG40" s="47"/>
      <c r="MNH40" s="47"/>
      <c r="MNI40" s="47"/>
      <c r="MNJ40" s="47"/>
      <c r="MNK40" s="47"/>
      <c r="MNL40" s="47"/>
      <c r="MNM40" s="47"/>
      <c r="MNN40" s="47"/>
      <c r="MNO40" s="47"/>
      <c r="MNP40" s="47"/>
      <c r="MNQ40" s="47"/>
      <c r="MNR40" s="47"/>
      <c r="MNS40" s="47"/>
      <c r="MNT40" s="47"/>
      <c r="MNU40" s="47"/>
      <c r="MNV40" s="47"/>
      <c r="MNW40" s="47"/>
      <c r="MNX40" s="47"/>
      <c r="MNY40" s="47"/>
      <c r="MNZ40" s="47"/>
      <c r="MOA40" s="47"/>
      <c r="MOB40" s="47"/>
      <c r="MOC40" s="47"/>
      <c r="MOD40" s="47"/>
      <c r="MOE40" s="47"/>
      <c r="MOF40" s="47"/>
      <c r="MOG40" s="47"/>
      <c r="MOH40" s="47"/>
      <c r="MOI40" s="47"/>
      <c r="MOJ40" s="47"/>
      <c r="MOK40" s="47"/>
      <c r="MOL40" s="47"/>
      <c r="MOM40" s="47"/>
      <c r="MON40" s="47"/>
      <c r="MOO40" s="47"/>
      <c r="MOP40" s="47"/>
      <c r="MOQ40" s="47"/>
      <c r="MOR40" s="47"/>
      <c r="MOS40" s="47"/>
      <c r="MOT40" s="47"/>
      <c r="MOU40" s="47"/>
      <c r="MOV40" s="47"/>
      <c r="MOW40" s="47"/>
      <c r="MOX40" s="47"/>
      <c r="MOY40" s="47"/>
      <c r="MOZ40" s="47"/>
      <c r="MPA40" s="47"/>
      <c r="MPB40" s="47"/>
      <c r="MPC40" s="47"/>
      <c r="MPD40" s="47"/>
      <c r="MPE40" s="47"/>
      <c r="MPF40" s="47"/>
      <c r="MPG40" s="47"/>
      <c r="MPH40" s="47"/>
      <c r="MPI40" s="47"/>
      <c r="MPJ40" s="47"/>
      <c r="MPK40" s="47"/>
      <c r="MPL40" s="47"/>
      <c r="MPM40" s="47"/>
      <c r="MPN40" s="47"/>
      <c r="MPO40" s="47"/>
      <c r="MPP40" s="47"/>
      <c r="MPQ40" s="47"/>
      <c r="MPR40" s="47"/>
      <c r="MPS40" s="47"/>
      <c r="MPT40" s="47"/>
      <c r="MPU40" s="47"/>
      <c r="MPV40" s="47"/>
      <c r="MPW40" s="47"/>
      <c r="MPX40" s="47"/>
      <c r="MPY40" s="47"/>
      <c r="MPZ40" s="47"/>
      <c r="MQA40" s="47"/>
      <c r="MQB40" s="47"/>
      <c r="MQC40" s="47"/>
      <c r="MQD40" s="47"/>
      <c r="MQE40" s="47"/>
      <c r="MQF40" s="47"/>
      <c r="MQG40" s="47"/>
      <c r="MQH40" s="47"/>
      <c r="MQI40" s="47"/>
      <c r="MQJ40" s="47"/>
      <c r="MQK40" s="47"/>
      <c r="MQL40" s="47"/>
      <c r="MQM40" s="47"/>
      <c r="MQN40" s="47"/>
      <c r="MQO40" s="47"/>
      <c r="MQP40" s="47"/>
      <c r="MQQ40" s="47"/>
      <c r="MQR40" s="47"/>
      <c r="MQS40" s="47"/>
      <c r="MQT40" s="47"/>
      <c r="MQU40" s="47"/>
      <c r="MQV40" s="47"/>
      <c r="MQW40" s="47"/>
      <c r="MQX40" s="47"/>
      <c r="MQY40" s="47"/>
      <c r="MQZ40" s="47"/>
      <c r="MRA40" s="47"/>
      <c r="MRB40" s="47"/>
      <c r="MRC40" s="47"/>
      <c r="MRD40" s="47"/>
      <c r="MRE40" s="47"/>
      <c r="MRF40" s="47"/>
      <c r="MRG40" s="47"/>
      <c r="MRH40" s="47"/>
      <c r="MRI40" s="47"/>
      <c r="MRJ40" s="47"/>
      <c r="MRK40" s="47"/>
      <c r="MRL40" s="47"/>
      <c r="MRM40" s="47"/>
      <c r="MRN40" s="47"/>
      <c r="MRO40" s="47"/>
      <c r="MRP40" s="47"/>
      <c r="MRQ40" s="47"/>
      <c r="MRR40" s="47"/>
      <c r="MRS40" s="47"/>
      <c r="MRT40" s="47"/>
      <c r="MRU40" s="47"/>
      <c r="MRV40" s="47"/>
      <c r="MRW40" s="47"/>
      <c r="MRX40" s="47"/>
      <c r="MRY40" s="47"/>
      <c r="MRZ40" s="47"/>
      <c r="MSA40" s="47"/>
      <c r="MSB40" s="47"/>
      <c r="MSC40" s="47"/>
      <c r="MSD40" s="47"/>
      <c r="MSE40" s="47"/>
      <c r="MSF40" s="47"/>
      <c r="MSG40" s="47"/>
      <c r="MSH40" s="47"/>
      <c r="MSI40" s="47"/>
      <c r="MSJ40" s="47"/>
      <c r="MSK40" s="47"/>
      <c r="MSL40" s="47"/>
      <c r="MSM40" s="47"/>
      <c r="MSN40" s="47"/>
      <c r="MSO40" s="47"/>
      <c r="MSP40" s="47"/>
      <c r="MSQ40" s="47"/>
      <c r="MSR40" s="47"/>
      <c r="MSS40" s="47"/>
      <c r="MST40" s="47"/>
      <c r="MSU40" s="47"/>
      <c r="MSV40" s="47"/>
      <c r="MSW40" s="47"/>
      <c r="MSX40" s="47"/>
      <c r="MSY40" s="47"/>
      <c r="MSZ40" s="47"/>
      <c r="MTA40" s="47"/>
      <c r="MTB40" s="47"/>
      <c r="MTC40" s="47"/>
      <c r="MTD40" s="47"/>
      <c r="MTE40" s="47"/>
      <c r="MTF40" s="47"/>
      <c r="MTG40" s="47"/>
      <c r="MTH40" s="47"/>
      <c r="MTI40" s="47"/>
      <c r="MTJ40" s="47"/>
      <c r="MTK40" s="47"/>
      <c r="MTL40" s="47"/>
      <c r="MTM40" s="47"/>
      <c r="MTN40" s="47"/>
      <c r="MTO40" s="47"/>
      <c r="MTP40" s="47"/>
      <c r="MTQ40" s="47"/>
      <c r="MTR40" s="47"/>
      <c r="MTS40" s="47"/>
      <c r="MTT40" s="47"/>
      <c r="MTU40" s="47"/>
      <c r="MTV40" s="47"/>
      <c r="MTW40" s="47"/>
      <c r="MTX40" s="47"/>
      <c r="MTY40" s="47"/>
      <c r="MTZ40" s="47"/>
      <c r="MUA40" s="47"/>
      <c r="MUB40" s="47"/>
      <c r="MUC40" s="47"/>
      <c r="MUD40" s="47"/>
      <c r="MUE40" s="47"/>
      <c r="MUF40" s="47"/>
      <c r="MUG40" s="47"/>
      <c r="MUH40" s="47"/>
      <c r="MUI40" s="47"/>
      <c r="MUJ40" s="47"/>
      <c r="MUK40" s="47"/>
      <c r="MUL40" s="47"/>
      <c r="MUM40" s="47"/>
      <c r="MUN40" s="47"/>
      <c r="MUO40" s="47"/>
      <c r="MUP40" s="47"/>
      <c r="MUQ40" s="47"/>
      <c r="MUR40" s="47"/>
      <c r="MUS40" s="47"/>
      <c r="MUT40" s="47"/>
      <c r="MUU40" s="47"/>
      <c r="MUV40" s="47"/>
      <c r="MUW40" s="47"/>
      <c r="MUX40" s="47"/>
      <c r="MUY40" s="47"/>
      <c r="MUZ40" s="47"/>
      <c r="MVA40" s="47"/>
      <c r="MVB40" s="47"/>
      <c r="MVC40" s="47"/>
      <c r="MVD40" s="47"/>
      <c r="MVE40" s="47"/>
      <c r="MVF40" s="47"/>
      <c r="MVG40" s="47"/>
      <c r="MVH40" s="47"/>
      <c r="MVI40" s="47"/>
      <c r="MVJ40" s="47"/>
      <c r="MVK40" s="47"/>
      <c r="MVL40" s="47"/>
      <c r="MVM40" s="47"/>
      <c r="MVN40" s="47"/>
      <c r="MVO40" s="47"/>
      <c r="MVP40" s="47"/>
      <c r="MVQ40" s="47"/>
      <c r="MVR40" s="47"/>
      <c r="MVS40" s="47"/>
      <c r="MVT40" s="47"/>
      <c r="MVU40" s="47"/>
      <c r="MVV40" s="47"/>
      <c r="MVW40" s="47"/>
      <c r="MVX40" s="47"/>
      <c r="MVY40" s="47"/>
      <c r="MVZ40" s="47"/>
      <c r="MWA40" s="47"/>
      <c r="MWB40" s="47"/>
      <c r="MWC40" s="47"/>
      <c r="MWD40" s="47"/>
      <c r="MWE40" s="47"/>
      <c r="MWF40" s="47"/>
      <c r="MWG40" s="47"/>
      <c r="MWH40" s="47"/>
      <c r="MWI40" s="47"/>
      <c r="MWJ40" s="47"/>
      <c r="MWK40" s="47"/>
      <c r="MWL40" s="47"/>
      <c r="MWM40" s="47"/>
      <c r="MWN40" s="47"/>
      <c r="MWO40" s="47"/>
      <c r="MWP40" s="47"/>
      <c r="MWQ40" s="47"/>
      <c r="MWR40" s="47"/>
      <c r="MWS40" s="47"/>
      <c r="MWT40" s="47"/>
      <c r="MWU40" s="47"/>
      <c r="MWV40" s="47"/>
      <c r="MWW40" s="47"/>
      <c r="MWX40" s="47"/>
      <c r="MWY40" s="47"/>
      <c r="MWZ40" s="47"/>
      <c r="MXA40" s="47"/>
      <c r="MXB40" s="47"/>
      <c r="MXC40" s="47"/>
      <c r="MXD40" s="47"/>
      <c r="MXE40" s="47"/>
      <c r="MXF40" s="47"/>
      <c r="MXG40" s="47"/>
      <c r="MXH40" s="47"/>
      <c r="MXI40" s="47"/>
      <c r="MXJ40" s="47"/>
      <c r="MXK40" s="47"/>
      <c r="MXL40" s="47"/>
      <c r="MXM40" s="47"/>
      <c r="MXN40" s="47"/>
      <c r="MXO40" s="47"/>
      <c r="MXP40" s="47"/>
      <c r="MXQ40" s="47"/>
      <c r="MXR40" s="47"/>
      <c r="MXS40" s="47"/>
      <c r="MXT40" s="47"/>
      <c r="MXU40" s="47"/>
      <c r="MXV40" s="47"/>
      <c r="MXW40" s="47"/>
      <c r="MXX40" s="47"/>
      <c r="MXY40" s="47"/>
      <c r="MXZ40" s="47"/>
      <c r="MYA40" s="47"/>
      <c r="MYB40" s="47"/>
      <c r="MYC40" s="47"/>
      <c r="MYD40" s="47"/>
      <c r="MYE40" s="47"/>
      <c r="MYF40" s="47"/>
      <c r="MYG40" s="47"/>
      <c r="MYH40" s="47"/>
      <c r="MYI40" s="47"/>
      <c r="MYJ40" s="47"/>
      <c r="MYK40" s="47"/>
      <c r="MYL40" s="47"/>
      <c r="MYM40" s="47"/>
      <c r="MYN40" s="47"/>
      <c r="MYO40" s="47"/>
      <c r="MYP40" s="47"/>
      <c r="MYQ40" s="47"/>
      <c r="MYR40" s="47"/>
      <c r="MYS40" s="47"/>
      <c r="MYT40" s="47"/>
      <c r="MYU40" s="47"/>
      <c r="MYV40" s="47"/>
      <c r="MYW40" s="47"/>
      <c r="MYX40" s="47"/>
      <c r="MYY40" s="47"/>
      <c r="MYZ40" s="47"/>
      <c r="MZA40" s="47"/>
      <c r="MZB40" s="47"/>
      <c r="MZC40" s="47"/>
      <c r="MZD40" s="47"/>
      <c r="MZE40" s="47"/>
      <c r="MZF40" s="47"/>
      <c r="MZG40" s="47"/>
      <c r="MZH40" s="47"/>
      <c r="MZI40" s="47"/>
      <c r="MZJ40" s="47"/>
      <c r="MZK40" s="47"/>
      <c r="MZL40" s="47"/>
      <c r="MZM40" s="47"/>
      <c r="MZN40" s="47"/>
      <c r="MZO40" s="47"/>
      <c r="MZP40" s="47"/>
      <c r="MZQ40" s="47"/>
      <c r="MZR40" s="47"/>
      <c r="MZS40" s="47"/>
      <c r="MZT40" s="47"/>
      <c r="MZU40" s="47"/>
      <c r="MZV40" s="47"/>
      <c r="MZW40" s="47"/>
      <c r="MZX40" s="47"/>
      <c r="MZY40" s="47"/>
      <c r="MZZ40" s="47"/>
      <c r="NAA40" s="47"/>
      <c r="NAB40" s="47"/>
      <c r="NAC40" s="47"/>
      <c r="NAD40" s="47"/>
      <c r="NAE40" s="47"/>
      <c r="NAF40" s="47"/>
      <c r="NAG40" s="47"/>
      <c r="NAH40" s="47"/>
      <c r="NAI40" s="47"/>
      <c r="NAJ40" s="47"/>
      <c r="NAK40" s="47"/>
      <c r="NAL40" s="47"/>
      <c r="NAM40" s="47"/>
      <c r="NAN40" s="47"/>
      <c r="NAO40" s="47"/>
      <c r="NAP40" s="47"/>
      <c r="NAQ40" s="47"/>
      <c r="NAR40" s="47"/>
      <c r="NAS40" s="47"/>
      <c r="NAT40" s="47"/>
      <c r="NAU40" s="47"/>
      <c r="NAV40" s="47"/>
      <c r="NAW40" s="47"/>
      <c r="NAX40" s="47"/>
      <c r="NAY40" s="47"/>
      <c r="NAZ40" s="47"/>
      <c r="NBA40" s="47"/>
      <c r="NBB40" s="47"/>
      <c r="NBC40" s="47"/>
      <c r="NBD40" s="47"/>
      <c r="NBE40" s="47"/>
      <c r="NBF40" s="47"/>
      <c r="NBG40" s="47"/>
      <c r="NBH40" s="47"/>
      <c r="NBI40" s="47"/>
      <c r="NBJ40" s="47"/>
      <c r="NBK40" s="47"/>
      <c r="NBL40" s="47"/>
      <c r="NBM40" s="47"/>
      <c r="NBN40" s="47"/>
      <c r="NBO40" s="47"/>
      <c r="NBP40" s="47"/>
      <c r="NBQ40" s="47"/>
      <c r="NBR40" s="47"/>
      <c r="NBS40" s="47"/>
      <c r="NBT40" s="47"/>
      <c r="NBU40" s="47"/>
      <c r="NBV40" s="47"/>
      <c r="NBW40" s="47"/>
      <c r="NBX40" s="47"/>
      <c r="NBY40" s="47"/>
      <c r="NBZ40" s="47"/>
      <c r="NCA40" s="47"/>
      <c r="NCB40" s="47"/>
      <c r="NCC40" s="47"/>
      <c r="NCD40" s="47"/>
      <c r="NCE40" s="47"/>
      <c r="NCF40" s="47"/>
      <c r="NCG40" s="47"/>
      <c r="NCH40" s="47"/>
      <c r="NCI40" s="47"/>
      <c r="NCJ40" s="47"/>
      <c r="NCK40" s="47"/>
      <c r="NCL40" s="47"/>
      <c r="NCM40" s="47"/>
      <c r="NCN40" s="47"/>
      <c r="NCO40" s="47"/>
      <c r="NCP40" s="47"/>
      <c r="NCQ40" s="47"/>
      <c r="NCR40" s="47"/>
      <c r="NCS40" s="47"/>
      <c r="NCT40" s="47"/>
      <c r="NCU40" s="47"/>
      <c r="NCV40" s="47"/>
      <c r="NCW40" s="47"/>
      <c r="NCX40" s="47"/>
      <c r="NCY40" s="47"/>
      <c r="NCZ40" s="47"/>
      <c r="NDA40" s="47"/>
      <c r="NDB40" s="47"/>
      <c r="NDC40" s="47"/>
      <c r="NDD40" s="47"/>
      <c r="NDE40" s="47"/>
      <c r="NDF40" s="47"/>
      <c r="NDG40" s="47"/>
      <c r="NDH40" s="47"/>
      <c r="NDI40" s="47"/>
      <c r="NDJ40" s="47"/>
      <c r="NDK40" s="47"/>
      <c r="NDL40" s="47"/>
      <c r="NDM40" s="47"/>
      <c r="NDN40" s="47"/>
      <c r="NDO40" s="47"/>
      <c r="NDP40" s="47"/>
      <c r="NDQ40" s="47"/>
      <c r="NDR40" s="47"/>
      <c r="NDS40" s="47"/>
      <c r="NDT40" s="47"/>
      <c r="NDU40" s="47"/>
      <c r="NDV40" s="47"/>
      <c r="NDW40" s="47"/>
      <c r="NDX40" s="47"/>
      <c r="NDY40" s="47"/>
      <c r="NDZ40" s="47"/>
      <c r="NEA40" s="47"/>
      <c r="NEB40" s="47"/>
      <c r="NEC40" s="47"/>
      <c r="NED40" s="47"/>
      <c r="NEE40" s="47"/>
      <c r="NEF40" s="47"/>
      <c r="NEG40" s="47"/>
      <c r="NEH40" s="47"/>
      <c r="NEI40" s="47"/>
      <c r="NEJ40" s="47"/>
      <c r="NEK40" s="47"/>
      <c r="NEL40" s="47"/>
      <c r="NEM40" s="47"/>
      <c r="NEN40" s="47"/>
      <c r="NEO40" s="47"/>
      <c r="NEP40" s="47"/>
      <c r="NEQ40" s="47"/>
      <c r="NER40" s="47"/>
      <c r="NES40" s="47"/>
      <c r="NET40" s="47"/>
      <c r="NEU40" s="47"/>
      <c r="NEV40" s="47"/>
      <c r="NEW40" s="47"/>
      <c r="NEX40" s="47"/>
      <c r="NEY40" s="47"/>
      <c r="NEZ40" s="47"/>
      <c r="NFA40" s="47"/>
      <c r="NFB40" s="47"/>
      <c r="NFC40" s="47"/>
      <c r="NFD40" s="47"/>
      <c r="NFE40" s="47"/>
      <c r="NFF40" s="47"/>
      <c r="NFG40" s="47"/>
      <c r="NFH40" s="47"/>
      <c r="NFI40" s="47"/>
      <c r="NFJ40" s="47"/>
      <c r="NFK40" s="47"/>
      <c r="NFL40" s="47"/>
      <c r="NFM40" s="47"/>
      <c r="NFN40" s="47"/>
      <c r="NFO40" s="47"/>
      <c r="NFP40" s="47"/>
      <c r="NFQ40" s="47"/>
      <c r="NFR40" s="47"/>
      <c r="NFS40" s="47"/>
      <c r="NFT40" s="47"/>
      <c r="NFU40" s="47"/>
      <c r="NFV40" s="47"/>
      <c r="NFW40" s="47"/>
      <c r="NFX40" s="47"/>
      <c r="NFY40" s="47"/>
      <c r="NFZ40" s="47"/>
      <c r="NGA40" s="47"/>
      <c r="NGB40" s="47"/>
      <c r="NGC40" s="47"/>
      <c r="NGD40" s="47"/>
      <c r="NGE40" s="47"/>
      <c r="NGF40" s="47"/>
      <c r="NGG40" s="47"/>
      <c r="NGH40" s="47"/>
      <c r="NGI40" s="47"/>
      <c r="NGJ40" s="47"/>
      <c r="NGK40" s="47"/>
      <c r="NGL40" s="47"/>
      <c r="NGM40" s="47"/>
      <c r="NGN40" s="47"/>
      <c r="NGO40" s="47"/>
      <c r="NGP40" s="47"/>
      <c r="NGQ40" s="47"/>
      <c r="NGR40" s="47"/>
      <c r="NGS40" s="47"/>
      <c r="NGT40" s="47"/>
      <c r="NGU40" s="47"/>
      <c r="NGV40" s="47"/>
      <c r="NGW40" s="47"/>
      <c r="NGX40" s="47"/>
      <c r="NGY40" s="47"/>
      <c r="NGZ40" s="47"/>
      <c r="NHA40" s="47"/>
      <c r="NHB40" s="47"/>
      <c r="NHC40" s="47"/>
      <c r="NHD40" s="47"/>
      <c r="NHE40" s="47"/>
      <c r="NHF40" s="47"/>
      <c r="NHG40" s="47"/>
      <c r="NHH40" s="47"/>
      <c r="NHI40" s="47"/>
      <c r="NHJ40" s="47"/>
      <c r="NHK40" s="47"/>
      <c r="NHL40" s="47"/>
      <c r="NHM40" s="47"/>
      <c r="NHN40" s="47"/>
      <c r="NHO40" s="47"/>
      <c r="NHP40" s="47"/>
      <c r="NHQ40" s="47"/>
      <c r="NHR40" s="47"/>
      <c r="NHS40" s="47"/>
      <c r="NHT40" s="47"/>
      <c r="NHU40" s="47"/>
      <c r="NHV40" s="47"/>
      <c r="NHW40" s="47"/>
      <c r="NHX40" s="47"/>
      <c r="NHY40" s="47"/>
      <c r="NHZ40" s="47"/>
      <c r="NIA40" s="47"/>
      <c r="NIB40" s="47"/>
      <c r="NIC40" s="47"/>
      <c r="NID40" s="47"/>
      <c r="NIE40" s="47"/>
      <c r="NIF40" s="47"/>
      <c r="NIG40" s="47"/>
      <c r="NIH40" s="47"/>
      <c r="NII40" s="47"/>
      <c r="NIJ40" s="47"/>
      <c r="NIK40" s="47"/>
      <c r="NIL40" s="47"/>
      <c r="NIM40" s="47"/>
      <c r="NIN40" s="47"/>
      <c r="NIO40" s="47"/>
      <c r="NIP40" s="47"/>
      <c r="NIQ40" s="47"/>
      <c r="NIR40" s="47"/>
      <c r="NIS40" s="47"/>
      <c r="NIT40" s="47"/>
      <c r="NIU40" s="47"/>
      <c r="NIV40" s="47"/>
      <c r="NIW40" s="47"/>
      <c r="NIX40" s="47"/>
      <c r="NIY40" s="47"/>
      <c r="NIZ40" s="47"/>
      <c r="NJA40" s="47"/>
      <c r="NJB40" s="47"/>
      <c r="NJC40" s="47"/>
      <c r="NJD40" s="47"/>
      <c r="NJE40" s="47"/>
      <c r="NJF40" s="47"/>
      <c r="NJG40" s="47"/>
      <c r="NJH40" s="47"/>
      <c r="NJI40" s="47"/>
      <c r="NJJ40" s="47"/>
      <c r="NJK40" s="47"/>
      <c r="NJL40" s="47"/>
      <c r="NJM40" s="47"/>
      <c r="NJN40" s="47"/>
      <c r="NJO40" s="47"/>
      <c r="NJP40" s="47"/>
      <c r="NJQ40" s="47"/>
      <c r="NJR40" s="47"/>
      <c r="NJS40" s="47"/>
      <c r="NJT40" s="47"/>
      <c r="NJU40" s="47"/>
      <c r="NJV40" s="47"/>
      <c r="NJW40" s="47"/>
      <c r="NJX40" s="47"/>
      <c r="NJY40" s="47"/>
      <c r="NJZ40" s="47"/>
      <c r="NKA40" s="47"/>
      <c r="NKB40" s="47"/>
      <c r="NKC40" s="47"/>
      <c r="NKD40" s="47"/>
      <c r="NKE40" s="47"/>
      <c r="NKF40" s="47"/>
      <c r="NKG40" s="47"/>
      <c r="NKH40" s="47"/>
      <c r="NKI40" s="47"/>
      <c r="NKJ40" s="47"/>
      <c r="NKK40" s="47"/>
      <c r="NKL40" s="47"/>
      <c r="NKM40" s="47"/>
      <c r="NKN40" s="47"/>
      <c r="NKO40" s="47"/>
      <c r="NKP40" s="47"/>
      <c r="NKQ40" s="47"/>
      <c r="NKR40" s="47"/>
      <c r="NKS40" s="47"/>
      <c r="NKT40" s="47"/>
      <c r="NKU40" s="47"/>
      <c r="NKV40" s="47"/>
      <c r="NKW40" s="47"/>
      <c r="NKX40" s="47"/>
      <c r="NKY40" s="47"/>
      <c r="NKZ40" s="47"/>
      <c r="NLA40" s="47"/>
      <c r="NLB40" s="47"/>
      <c r="NLC40" s="47"/>
      <c r="NLD40" s="47"/>
      <c r="NLE40" s="47"/>
      <c r="NLF40" s="47"/>
      <c r="NLG40" s="47"/>
      <c r="NLH40" s="47"/>
      <c r="NLI40" s="47"/>
      <c r="NLJ40" s="47"/>
      <c r="NLK40" s="47"/>
      <c r="NLL40" s="47"/>
      <c r="NLM40" s="47"/>
      <c r="NLN40" s="47"/>
      <c r="NLO40" s="47"/>
      <c r="NLP40" s="47"/>
      <c r="NLQ40" s="47"/>
      <c r="NLR40" s="47"/>
      <c r="NLS40" s="47"/>
      <c r="NLT40" s="47"/>
      <c r="NLU40" s="47"/>
      <c r="NLV40" s="47"/>
      <c r="NLW40" s="47"/>
      <c r="NLX40" s="47"/>
      <c r="NLY40" s="47"/>
      <c r="NLZ40" s="47"/>
      <c r="NMA40" s="47"/>
      <c r="NMB40" s="47"/>
      <c r="NMC40" s="47"/>
      <c r="NMD40" s="47"/>
      <c r="NME40" s="47"/>
      <c r="NMF40" s="47"/>
      <c r="NMG40" s="47"/>
      <c r="NMH40" s="47"/>
      <c r="NMI40" s="47"/>
      <c r="NMJ40" s="47"/>
      <c r="NMK40" s="47"/>
      <c r="NML40" s="47"/>
      <c r="NMM40" s="47"/>
      <c r="NMN40" s="47"/>
      <c r="NMO40" s="47"/>
      <c r="NMP40" s="47"/>
      <c r="NMQ40" s="47"/>
      <c r="NMR40" s="47"/>
      <c r="NMS40" s="47"/>
      <c r="NMT40" s="47"/>
      <c r="NMU40" s="47"/>
      <c r="NMV40" s="47"/>
      <c r="NMW40" s="47"/>
      <c r="NMX40" s="47"/>
      <c r="NMY40" s="47"/>
      <c r="NMZ40" s="47"/>
      <c r="NNA40" s="47"/>
      <c r="NNB40" s="47"/>
      <c r="NNC40" s="47"/>
      <c r="NND40" s="47"/>
      <c r="NNE40" s="47"/>
      <c r="NNF40" s="47"/>
      <c r="NNG40" s="47"/>
      <c r="NNH40" s="47"/>
      <c r="NNI40" s="47"/>
      <c r="NNJ40" s="47"/>
      <c r="NNK40" s="47"/>
      <c r="NNL40" s="47"/>
      <c r="NNM40" s="47"/>
      <c r="NNN40" s="47"/>
      <c r="NNO40" s="47"/>
      <c r="NNP40" s="47"/>
      <c r="NNQ40" s="47"/>
      <c r="NNR40" s="47"/>
      <c r="NNS40" s="47"/>
      <c r="NNT40" s="47"/>
      <c r="NNU40" s="47"/>
      <c r="NNV40" s="47"/>
      <c r="NNW40" s="47"/>
      <c r="NNX40" s="47"/>
      <c r="NNY40" s="47"/>
      <c r="NNZ40" s="47"/>
      <c r="NOA40" s="47"/>
      <c r="NOB40" s="47"/>
      <c r="NOC40" s="47"/>
      <c r="NOD40" s="47"/>
      <c r="NOE40" s="47"/>
      <c r="NOF40" s="47"/>
      <c r="NOG40" s="47"/>
      <c r="NOH40" s="47"/>
      <c r="NOI40" s="47"/>
      <c r="NOJ40" s="47"/>
      <c r="NOK40" s="47"/>
      <c r="NOL40" s="47"/>
      <c r="NOM40" s="47"/>
      <c r="NON40" s="47"/>
      <c r="NOO40" s="47"/>
      <c r="NOP40" s="47"/>
      <c r="NOQ40" s="47"/>
      <c r="NOR40" s="47"/>
      <c r="NOS40" s="47"/>
      <c r="NOT40" s="47"/>
      <c r="NOU40" s="47"/>
      <c r="NOV40" s="47"/>
      <c r="NOW40" s="47"/>
      <c r="NOX40" s="47"/>
      <c r="NOY40" s="47"/>
      <c r="NOZ40" s="47"/>
      <c r="NPA40" s="47"/>
      <c r="NPB40" s="47"/>
      <c r="NPC40" s="47"/>
      <c r="NPD40" s="47"/>
      <c r="NPE40" s="47"/>
      <c r="NPF40" s="47"/>
      <c r="NPG40" s="47"/>
      <c r="NPH40" s="47"/>
      <c r="NPI40" s="47"/>
      <c r="NPJ40" s="47"/>
      <c r="NPK40" s="47"/>
      <c r="NPL40" s="47"/>
      <c r="NPM40" s="47"/>
      <c r="NPN40" s="47"/>
      <c r="NPO40" s="47"/>
      <c r="NPP40" s="47"/>
      <c r="NPQ40" s="47"/>
      <c r="NPR40" s="47"/>
      <c r="NPS40" s="47"/>
      <c r="NPT40" s="47"/>
      <c r="NPU40" s="47"/>
      <c r="NPV40" s="47"/>
      <c r="NPW40" s="47"/>
      <c r="NPX40" s="47"/>
      <c r="NPY40" s="47"/>
      <c r="NPZ40" s="47"/>
      <c r="NQA40" s="47"/>
      <c r="NQB40" s="47"/>
      <c r="NQC40" s="47"/>
      <c r="NQD40" s="47"/>
      <c r="NQE40" s="47"/>
      <c r="NQF40" s="47"/>
      <c r="NQG40" s="47"/>
      <c r="NQH40" s="47"/>
      <c r="NQI40" s="47"/>
      <c r="NQJ40" s="47"/>
      <c r="NQK40" s="47"/>
      <c r="NQL40" s="47"/>
      <c r="NQM40" s="47"/>
      <c r="NQN40" s="47"/>
      <c r="NQO40" s="47"/>
      <c r="NQP40" s="47"/>
      <c r="NQQ40" s="47"/>
      <c r="NQR40" s="47"/>
      <c r="NQS40" s="47"/>
      <c r="NQT40" s="47"/>
      <c r="NQU40" s="47"/>
      <c r="NQV40" s="47"/>
      <c r="NQW40" s="47"/>
      <c r="NQX40" s="47"/>
      <c r="NQY40" s="47"/>
      <c r="NQZ40" s="47"/>
      <c r="NRA40" s="47"/>
      <c r="NRB40" s="47"/>
      <c r="NRC40" s="47"/>
      <c r="NRD40" s="47"/>
      <c r="NRE40" s="47"/>
      <c r="NRF40" s="47"/>
      <c r="NRG40" s="47"/>
      <c r="NRH40" s="47"/>
      <c r="NRI40" s="47"/>
      <c r="NRJ40" s="47"/>
      <c r="NRK40" s="47"/>
      <c r="NRL40" s="47"/>
      <c r="NRM40" s="47"/>
      <c r="NRN40" s="47"/>
      <c r="NRO40" s="47"/>
      <c r="NRP40" s="47"/>
      <c r="NRQ40" s="47"/>
      <c r="NRR40" s="47"/>
      <c r="NRS40" s="47"/>
      <c r="NRT40" s="47"/>
      <c r="NRU40" s="47"/>
      <c r="NRV40" s="47"/>
      <c r="NRW40" s="47"/>
      <c r="NRX40" s="47"/>
      <c r="NRY40" s="47"/>
      <c r="NRZ40" s="47"/>
      <c r="NSA40" s="47"/>
      <c r="NSB40" s="47"/>
      <c r="NSC40" s="47"/>
      <c r="NSD40" s="47"/>
      <c r="NSE40" s="47"/>
      <c r="NSF40" s="47"/>
      <c r="NSG40" s="47"/>
      <c r="NSH40" s="47"/>
      <c r="NSI40" s="47"/>
      <c r="NSJ40" s="47"/>
      <c r="NSK40" s="47"/>
      <c r="NSL40" s="47"/>
      <c r="NSM40" s="47"/>
      <c r="NSN40" s="47"/>
      <c r="NSO40" s="47"/>
      <c r="NSP40" s="47"/>
      <c r="NSQ40" s="47"/>
      <c r="NSR40" s="47"/>
      <c r="NSS40" s="47"/>
      <c r="NST40" s="47"/>
      <c r="NSU40" s="47"/>
      <c r="NSV40" s="47"/>
      <c r="NSW40" s="47"/>
      <c r="NSX40" s="47"/>
      <c r="NSY40" s="47"/>
      <c r="NSZ40" s="47"/>
      <c r="NTA40" s="47"/>
      <c r="NTB40" s="47"/>
      <c r="NTC40" s="47"/>
      <c r="NTD40" s="47"/>
      <c r="NTE40" s="47"/>
      <c r="NTF40" s="47"/>
      <c r="NTG40" s="47"/>
      <c r="NTH40" s="47"/>
      <c r="NTI40" s="47"/>
      <c r="NTJ40" s="47"/>
      <c r="NTK40" s="47"/>
      <c r="NTL40" s="47"/>
      <c r="NTM40" s="47"/>
      <c r="NTN40" s="47"/>
      <c r="NTO40" s="47"/>
      <c r="NTP40" s="47"/>
      <c r="NTQ40" s="47"/>
      <c r="NTR40" s="47"/>
      <c r="NTS40" s="47"/>
      <c r="NTT40" s="47"/>
      <c r="NTU40" s="47"/>
      <c r="NTV40" s="47"/>
      <c r="NTW40" s="47"/>
      <c r="NTX40" s="47"/>
      <c r="NTY40" s="47"/>
      <c r="NTZ40" s="47"/>
      <c r="NUA40" s="47"/>
      <c r="NUB40" s="47"/>
      <c r="NUC40" s="47"/>
      <c r="NUD40" s="47"/>
      <c r="NUE40" s="47"/>
      <c r="NUF40" s="47"/>
      <c r="NUG40" s="47"/>
      <c r="NUH40" s="47"/>
      <c r="NUI40" s="47"/>
      <c r="NUJ40" s="47"/>
      <c r="NUK40" s="47"/>
      <c r="NUL40" s="47"/>
      <c r="NUM40" s="47"/>
      <c r="NUN40" s="47"/>
      <c r="NUO40" s="47"/>
      <c r="NUP40" s="47"/>
      <c r="NUQ40" s="47"/>
      <c r="NUR40" s="47"/>
      <c r="NUS40" s="47"/>
      <c r="NUT40" s="47"/>
      <c r="NUU40" s="47"/>
      <c r="NUV40" s="47"/>
      <c r="NUW40" s="47"/>
      <c r="NUX40" s="47"/>
      <c r="NUY40" s="47"/>
      <c r="NUZ40" s="47"/>
      <c r="NVA40" s="47"/>
      <c r="NVB40" s="47"/>
      <c r="NVC40" s="47"/>
      <c r="NVD40" s="47"/>
      <c r="NVE40" s="47"/>
      <c r="NVF40" s="47"/>
      <c r="NVG40" s="47"/>
      <c r="NVH40" s="47"/>
      <c r="NVI40" s="47"/>
      <c r="NVJ40" s="47"/>
      <c r="NVK40" s="47"/>
      <c r="NVL40" s="47"/>
      <c r="NVM40" s="47"/>
      <c r="NVN40" s="47"/>
      <c r="NVO40" s="47"/>
      <c r="NVP40" s="47"/>
      <c r="NVQ40" s="47"/>
      <c r="NVR40" s="47"/>
      <c r="NVS40" s="47"/>
      <c r="NVT40" s="47"/>
      <c r="NVU40" s="47"/>
      <c r="NVV40" s="47"/>
      <c r="NVW40" s="47"/>
      <c r="NVX40" s="47"/>
      <c r="NVY40" s="47"/>
      <c r="NVZ40" s="47"/>
      <c r="NWA40" s="47"/>
      <c r="NWB40" s="47"/>
      <c r="NWC40" s="47"/>
      <c r="NWD40" s="47"/>
      <c r="NWE40" s="47"/>
      <c r="NWF40" s="47"/>
      <c r="NWG40" s="47"/>
      <c r="NWH40" s="47"/>
      <c r="NWI40" s="47"/>
      <c r="NWJ40" s="47"/>
      <c r="NWK40" s="47"/>
      <c r="NWL40" s="47"/>
      <c r="NWM40" s="47"/>
      <c r="NWN40" s="47"/>
      <c r="NWO40" s="47"/>
      <c r="NWP40" s="47"/>
      <c r="NWQ40" s="47"/>
      <c r="NWR40" s="47"/>
      <c r="NWS40" s="47"/>
      <c r="NWT40" s="47"/>
      <c r="NWU40" s="47"/>
      <c r="NWV40" s="47"/>
      <c r="NWW40" s="47"/>
      <c r="NWX40" s="47"/>
      <c r="NWY40" s="47"/>
      <c r="NWZ40" s="47"/>
      <c r="NXA40" s="47"/>
      <c r="NXB40" s="47"/>
      <c r="NXC40" s="47"/>
      <c r="NXD40" s="47"/>
      <c r="NXE40" s="47"/>
      <c r="NXF40" s="47"/>
      <c r="NXG40" s="47"/>
      <c r="NXH40" s="47"/>
      <c r="NXI40" s="47"/>
      <c r="NXJ40" s="47"/>
      <c r="NXK40" s="47"/>
      <c r="NXL40" s="47"/>
      <c r="NXM40" s="47"/>
      <c r="NXN40" s="47"/>
      <c r="NXO40" s="47"/>
      <c r="NXP40" s="47"/>
      <c r="NXQ40" s="47"/>
      <c r="NXR40" s="47"/>
      <c r="NXS40" s="47"/>
      <c r="NXT40" s="47"/>
      <c r="NXU40" s="47"/>
      <c r="NXV40" s="47"/>
      <c r="NXW40" s="47"/>
      <c r="NXX40" s="47"/>
      <c r="NXY40" s="47"/>
      <c r="NXZ40" s="47"/>
      <c r="NYA40" s="47"/>
      <c r="NYB40" s="47"/>
      <c r="NYC40" s="47"/>
      <c r="NYD40" s="47"/>
      <c r="NYE40" s="47"/>
      <c r="NYF40" s="47"/>
      <c r="NYG40" s="47"/>
      <c r="NYH40" s="47"/>
      <c r="NYI40" s="47"/>
      <c r="NYJ40" s="47"/>
      <c r="NYK40" s="47"/>
      <c r="NYL40" s="47"/>
      <c r="NYM40" s="47"/>
      <c r="NYN40" s="47"/>
      <c r="NYO40" s="47"/>
      <c r="NYP40" s="47"/>
      <c r="NYQ40" s="47"/>
      <c r="NYR40" s="47"/>
      <c r="NYS40" s="47"/>
      <c r="NYT40" s="47"/>
      <c r="NYU40" s="47"/>
      <c r="NYV40" s="47"/>
      <c r="NYW40" s="47"/>
      <c r="NYX40" s="47"/>
      <c r="NYY40" s="47"/>
      <c r="NYZ40" s="47"/>
      <c r="NZA40" s="47"/>
      <c r="NZB40" s="47"/>
      <c r="NZC40" s="47"/>
      <c r="NZD40" s="47"/>
      <c r="NZE40" s="47"/>
      <c r="NZF40" s="47"/>
      <c r="NZG40" s="47"/>
      <c r="NZH40" s="47"/>
      <c r="NZI40" s="47"/>
      <c r="NZJ40" s="47"/>
      <c r="NZK40" s="47"/>
      <c r="NZL40" s="47"/>
      <c r="NZM40" s="47"/>
      <c r="NZN40" s="47"/>
      <c r="NZO40" s="47"/>
      <c r="NZP40" s="47"/>
      <c r="NZQ40" s="47"/>
      <c r="NZR40" s="47"/>
      <c r="NZS40" s="47"/>
      <c r="NZT40" s="47"/>
      <c r="NZU40" s="47"/>
      <c r="NZV40" s="47"/>
      <c r="NZW40" s="47"/>
      <c r="NZX40" s="47"/>
      <c r="NZY40" s="47"/>
      <c r="NZZ40" s="47"/>
      <c r="OAA40" s="47"/>
      <c r="OAB40" s="47"/>
      <c r="OAC40" s="47"/>
      <c r="OAD40" s="47"/>
      <c r="OAE40" s="47"/>
      <c r="OAF40" s="47"/>
      <c r="OAG40" s="47"/>
      <c r="OAH40" s="47"/>
      <c r="OAI40" s="47"/>
      <c r="OAJ40" s="47"/>
      <c r="OAK40" s="47"/>
      <c r="OAL40" s="47"/>
      <c r="OAM40" s="47"/>
      <c r="OAN40" s="47"/>
      <c r="OAO40" s="47"/>
      <c r="OAP40" s="47"/>
      <c r="OAQ40" s="47"/>
      <c r="OAR40" s="47"/>
      <c r="OAS40" s="47"/>
      <c r="OAT40" s="47"/>
      <c r="OAU40" s="47"/>
      <c r="OAV40" s="47"/>
      <c r="OAW40" s="47"/>
      <c r="OAX40" s="47"/>
      <c r="OAY40" s="47"/>
      <c r="OAZ40" s="47"/>
      <c r="OBA40" s="47"/>
      <c r="OBB40" s="47"/>
      <c r="OBC40" s="47"/>
      <c r="OBD40" s="47"/>
      <c r="OBE40" s="47"/>
      <c r="OBF40" s="47"/>
      <c r="OBG40" s="47"/>
      <c r="OBH40" s="47"/>
      <c r="OBI40" s="47"/>
      <c r="OBJ40" s="47"/>
      <c r="OBK40" s="47"/>
      <c r="OBL40" s="47"/>
      <c r="OBM40" s="47"/>
      <c r="OBN40" s="47"/>
      <c r="OBO40" s="47"/>
      <c r="OBP40" s="47"/>
      <c r="OBQ40" s="47"/>
      <c r="OBR40" s="47"/>
      <c r="OBS40" s="47"/>
      <c r="OBT40" s="47"/>
      <c r="OBU40" s="47"/>
      <c r="OBV40" s="47"/>
      <c r="OBW40" s="47"/>
      <c r="OBX40" s="47"/>
      <c r="OBY40" s="47"/>
      <c r="OBZ40" s="47"/>
      <c r="OCA40" s="47"/>
      <c r="OCB40" s="47"/>
      <c r="OCC40" s="47"/>
      <c r="OCD40" s="47"/>
      <c r="OCE40" s="47"/>
      <c r="OCF40" s="47"/>
      <c r="OCG40" s="47"/>
      <c r="OCH40" s="47"/>
      <c r="OCI40" s="47"/>
      <c r="OCJ40" s="47"/>
      <c r="OCK40" s="47"/>
      <c r="OCL40" s="47"/>
      <c r="OCM40" s="47"/>
      <c r="OCN40" s="47"/>
      <c r="OCO40" s="47"/>
      <c r="OCP40" s="47"/>
      <c r="OCQ40" s="47"/>
      <c r="OCR40" s="47"/>
      <c r="OCS40" s="47"/>
      <c r="OCT40" s="47"/>
      <c r="OCU40" s="47"/>
      <c r="OCV40" s="47"/>
      <c r="OCW40" s="47"/>
      <c r="OCX40" s="47"/>
      <c r="OCY40" s="47"/>
      <c r="OCZ40" s="47"/>
      <c r="ODA40" s="47"/>
      <c r="ODB40" s="47"/>
      <c r="ODC40" s="47"/>
      <c r="ODD40" s="47"/>
      <c r="ODE40" s="47"/>
      <c r="ODF40" s="47"/>
      <c r="ODG40" s="47"/>
      <c r="ODH40" s="47"/>
      <c r="ODI40" s="47"/>
      <c r="ODJ40" s="47"/>
      <c r="ODK40" s="47"/>
      <c r="ODL40" s="47"/>
      <c r="ODM40" s="47"/>
      <c r="ODN40" s="47"/>
      <c r="ODO40" s="47"/>
      <c r="ODP40" s="47"/>
      <c r="ODQ40" s="47"/>
      <c r="ODR40" s="47"/>
      <c r="ODS40" s="47"/>
      <c r="ODT40" s="47"/>
      <c r="ODU40" s="47"/>
      <c r="ODV40" s="47"/>
      <c r="ODW40" s="47"/>
      <c r="ODX40" s="47"/>
      <c r="ODY40" s="47"/>
      <c r="ODZ40" s="47"/>
      <c r="OEA40" s="47"/>
      <c r="OEB40" s="47"/>
      <c r="OEC40" s="47"/>
      <c r="OED40" s="47"/>
      <c r="OEE40" s="47"/>
      <c r="OEF40" s="47"/>
      <c r="OEG40" s="47"/>
      <c r="OEH40" s="47"/>
      <c r="OEI40" s="47"/>
      <c r="OEJ40" s="47"/>
      <c r="OEK40" s="47"/>
      <c r="OEL40" s="47"/>
      <c r="OEM40" s="47"/>
      <c r="OEN40" s="47"/>
      <c r="OEO40" s="47"/>
      <c r="OEP40" s="47"/>
      <c r="OEQ40" s="47"/>
      <c r="OER40" s="47"/>
      <c r="OES40" s="47"/>
      <c r="OET40" s="47"/>
      <c r="OEU40" s="47"/>
      <c r="OEV40" s="47"/>
      <c r="OEW40" s="47"/>
      <c r="OEX40" s="47"/>
      <c r="OEY40" s="47"/>
      <c r="OEZ40" s="47"/>
      <c r="OFA40" s="47"/>
      <c r="OFB40" s="47"/>
      <c r="OFC40" s="47"/>
      <c r="OFD40" s="47"/>
      <c r="OFE40" s="47"/>
      <c r="OFF40" s="47"/>
      <c r="OFG40" s="47"/>
      <c r="OFH40" s="47"/>
      <c r="OFI40" s="47"/>
      <c r="OFJ40" s="47"/>
      <c r="OFK40" s="47"/>
      <c r="OFL40" s="47"/>
      <c r="OFM40" s="47"/>
      <c r="OFN40" s="47"/>
      <c r="OFO40" s="47"/>
      <c r="OFP40" s="47"/>
      <c r="OFQ40" s="47"/>
      <c r="OFR40" s="47"/>
      <c r="OFS40" s="47"/>
      <c r="OFT40" s="47"/>
      <c r="OFU40" s="47"/>
      <c r="OFV40" s="47"/>
      <c r="OFW40" s="47"/>
      <c r="OFX40" s="47"/>
      <c r="OFY40" s="47"/>
      <c r="OFZ40" s="47"/>
      <c r="OGA40" s="47"/>
      <c r="OGB40" s="47"/>
      <c r="OGC40" s="47"/>
      <c r="OGD40" s="47"/>
      <c r="OGE40" s="47"/>
      <c r="OGF40" s="47"/>
      <c r="OGG40" s="47"/>
      <c r="OGH40" s="47"/>
      <c r="OGI40" s="47"/>
      <c r="OGJ40" s="47"/>
      <c r="OGK40" s="47"/>
      <c r="OGL40" s="47"/>
      <c r="OGM40" s="47"/>
      <c r="OGN40" s="47"/>
      <c r="OGO40" s="47"/>
      <c r="OGP40" s="47"/>
      <c r="OGQ40" s="47"/>
      <c r="OGR40" s="47"/>
      <c r="OGS40" s="47"/>
      <c r="OGT40" s="47"/>
      <c r="OGU40" s="47"/>
      <c r="OGV40" s="47"/>
      <c r="OGW40" s="47"/>
      <c r="OGX40" s="47"/>
      <c r="OGY40" s="47"/>
      <c r="OGZ40" s="47"/>
      <c r="OHA40" s="47"/>
      <c r="OHB40" s="47"/>
      <c r="OHC40" s="47"/>
      <c r="OHD40" s="47"/>
      <c r="OHE40" s="47"/>
      <c r="OHF40" s="47"/>
      <c r="OHG40" s="47"/>
      <c r="OHH40" s="47"/>
      <c r="OHI40" s="47"/>
      <c r="OHJ40" s="47"/>
      <c r="OHK40" s="47"/>
      <c r="OHL40" s="47"/>
      <c r="OHM40" s="47"/>
      <c r="OHN40" s="47"/>
      <c r="OHO40" s="47"/>
      <c r="OHP40" s="47"/>
      <c r="OHQ40" s="47"/>
      <c r="OHR40" s="47"/>
      <c r="OHS40" s="47"/>
      <c r="OHT40" s="47"/>
      <c r="OHU40" s="47"/>
      <c r="OHV40" s="47"/>
      <c r="OHW40" s="47"/>
      <c r="OHX40" s="47"/>
      <c r="OHY40" s="47"/>
      <c r="OHZ40" s="47"/>
      <c r="OIA40" s="47"/>
      <c r="OIB40" s="47"/>
      <c r="OIC40" s="47"/>
      <c r="OID40" s="47"/>
      <c r="OIE40" s="47"/>
      <c r="OIF40" s="47"/>
      <c r="OIG40" s="47"/>
      <c r="OIH40" s="47"/>
      <c r="OII40" s="47"/>
      <c r="OIJ40" s="47"/>
      <c r="OIK40" s="47"/>
      <c r="OIL40" s="47"/>
      <c r="OIM40" s="47"/>
      <c r="OIN40" s="47"/>
      <c r="OIO40" s="47"/>
      <c r="OIP40" s="47"/>
      <c r="OIQ40" s="47"/>
      <c r="OIR40" s="47"/>
      <c r="OIS40" s="47"/>
      <c r="OIT40" s="47"/>
      <c r="OIU40" s="47"/>
      <c r="OIV40" s="47"/>
      <c r="OIW40" s="47"/>
      <c r="OIX40" s="47"/>
      <c r="OIY40" s="47"/>
      <c r="OIZ40" s="47"/>
      <c r="OJA40" s="47"/>
      <c r="OJB40" s="47"/>
      <c r="OJC40" s="47"/>
      <c r="OJD40" s="47"/>
      <c r="OJE40" s="47"/>
      <c r="OJF40" s="47"/>
      <c r="OJG40" s="47"/>
      <c r="OJH40" s="47"/>
      <c r="OJI40" s="47"/>
      <c r="OJJ40" s="47"/>
      <c r="OJK40" s="47"/>
      <c r="OJL40" s="47"/>
      <c r="OJM40" s="47"/>
      <c r="OJN40" s="47"/>
      <c r="OJO40" s="47"/>
      <c r="OJP40" s="47"/>
      <c r="OJQ40" s="47"/>
      <c r="OJR40" s="47"/>
      <c r="OJS40" s="47"/>
      <c r="OJT40" s="47"/>
      <c r="OJU40" s="47"/>
      <c r="OJV40" s="47"/>
      <c r="OJW40" s="47"/>
      <c r="OJX40" s="47"/>
      <c r="OJY40" s="47"/>
      <c r="OJZ40" s="47"/>
      <c r="OKA40" s="47"/>
      <c r="OKB40" s="47"/>
      <c r="OKC40" s="47"/>
      <c r="OKD40" s="47"/>
      <c r="OKE40" s="47"/>
      <c r="OKF40" s="47"/>
      <c r="OKG40" s="47"/>
      <c r="OKH40" s="47"/>
      <c r="OKI40" s="47"/>
      <c r="OKJ40" s="47"/>
      <c r="OKK40" s="47"/>
      <c r="OKL40" s="47"/>
      <c r="OKM40" s="47"/>
      <c r="OKN40" s="47"/>
      <c r="OKO40" s="47"/>
      <c r="OKP40" s="47"/>
      <c r="OKQ40" s="47"/>
      <c r="OKR40" s="47"/>
      <c r="OKS40" s="47"/>
      <c r="OKT40" s="47"/>
      <c r="OKU40" s="47"/>
      <c r="OKV40" s="47"/>
      <c r="OKW40" s="47"/>
      <c r="OKX40" s="47"/>
      <c r="OKY40" s="47"/>
      <c r="OKZ40" s="47"/>
      <c r="OLA40" s="47"/>
      <c r="OLB40" s="47"/>
      <c r="OLC40" s="47"/>
      <c r="OLD40" s="47"/>
      <c r="OLE40" s="47"/>
      <c r="OLF40" s="47"/>
      <c r="OLG40" s="47"/>
      <c r="OLH40" s="47"/>
      <c r="OLI40" s="47"/>
      <c r="OLJ40" s="47"/>
      <c r="OLK40" s="47"/>
      <c r="OLL40" s="47"/>
      <c r="OLM40" s="47"/>
      <c r="OLN40" s="47"/>
      <c r="OLO40" s="47"/>
      <c r="OLP40" s="47"/>
      <c r="OLQ40" s="47"/>
      <c r="OLR40" s="47"/>
      <c r="OLS40" s="47"/>
      <c r="OLT40" s="47"/>
      <c r="OLU40" s="47"/>
      <c r="OLV40" s="47"/>
      <c r="OLW40" s="47"/>
      <c r="OLX40" s="47"/>
      <c r="OLY40" s="47"/>
      <c r="OLZ40" s="47"/>
      <c r="OMA40" s="47"/>
      <c r="OMB40" s="47"/>
      <c r="OMC40" s="47"/>
      <c r="OMD40" s="47"/>
      <c r="OME40" s="47"/>
      <c r="OMF40" s="47"/>
      <c r="OMG40" s="47"/>
      <c r="OMH40" s="47"/>
      <c r="OMI40" s="47"/>
      <c r="OMJ40" s="47"/>
      <c r="OMK40" s="47"/>
      <c r="OML40" s="47"/>
      <c r="OMM40" s="47"/>
      <c r="OMN40" s="47"/>
      <c r="OMO40" s="47"/>
      <c r="OMP40" s="47"/>
      <c r="OMQ40" s="47"/>
      <c r="OMR40" s="47"/>
      <c r="OMS40" s="47"/>
      <c r="OMT40" s="47"/>
      <c r="OMU40" s="47"/>
      <c r="OMV40" s="47"/>
      <c r="OMW40" s="47"/>
      <c r="OMX40" s="47"/>
      <c r="OMY40" s="47"/>
      <c r="OMZ40" s="47"/>
      <c r="ONA40" s="47"/>
      <c r="ONB40" s="47"/>
      <c r="ONC40" s="47"/>
      <c r="OND40" s="47"/>
      <c r="ONE40" s="47"/>
      <c r="ONF40" s="47"/>
      <c r="ONG40" s="47"/>
      <c r="ONH40" s="47"/>
      <c r="ONI40" s="47"/>
      <c r="ONJ40" s="47"/>
      <c r="ONK40" s="47"/>
      <c r="ONL40" s="47"/>
      <c r="ONM40" s="47"/>
      <c r="ONN40" s="47"/>
      <c r="ONO40" s="47"/>
      <c r="ONP40" s="47"/>
      <c r="ONQ40" s="47"/>
      <c r="ONR40" s="47"/>
      <c r="ONS40" s="47"/>
      <c r="ONT40" s="47"/>
      <c r="ONU40" s="47"/>
      <c r="ONV40" s="47"/>
      <c r="ONW40" s="47"/>
      <c r="ONX40" s="47"/>
      <c r="ONY40" s="47"/>
      <c r="ONZ40" s="47"/>
      <c r="OOA40" s="47"/>
      <c r="OOB40" s="47"/>
      <c r="OOC40" s="47"/>
      <c r="OOD40" s="47"/>
      <c r="OOE40" s="47"/>
      <c r="OOF40" s="47"/>
      <c r="OOG40" s="47"/>
      <c r="OOH40" s="47"/>
      <c r="OOI40" s="47"/>
      <c r="OOJ40" s="47"/>
      <c r="OOK40" s="47"/>
      <c r="OOL40" s="47"/>
      <c r="OOM40" s="47"/>
      <c r="OON40" s="47"/>
      <c r="OOO40" s="47"/>
      <c r="OOP40" s="47"/>
      <c r="OOQ40" s="47"/>
      <c r="OOR40" s="47"/>
      <c r="OOS40" s="47"/>
      <c r="OOT40" s="47"/>
      <c r="OOU40" s="47"/>
      <c r="OOV40" s="47"/>
      <c r="OOW40" s="47"/>
      <c r="OOX40" s="47"/>
      <c r="OOY40" s="47"/>
      <c r="OOZ40" s="47"/>
      <c r="OPA40" s="47"/>
      <c r="OPB40" s="47"/>
      <c r="OPC40" s="47"/>
      <c r="OPD40" s="47"/>
      <c r="OPE40" s="47"/>
      <c r="OPF40" s="47"/>
      <c r="OPG40" s="47"/>
      <c r="OPH40" s="47"/>
      <c r="OPI40" s="47"/>
      <c r="OPJ40" s="47"/>
      <c r="OPK40" s="47"/>
      <c r="OPL40" s="47"/>
      <c r="OPM40" s="47"/>
      <c r="OPN40" s="47"/>
      <c r="OPO40" s="47"/>
      <c r="OPP40" s="47"/>
      <c r="OPQ40" s="47"/>
      <c r="OPR40" s="47"/>
      <c r="OPS40" s="47"/>
      <c r="OPT40" s="47"/>
      <c r="OPU40" s="47"/>
      <c r="OPV40" s="47"/>
      <c r="OPW40" s="47"/>
      <c r="OPX40" s="47"/>
      <c r="OPY40" s="47"/>
      <c r="OPZ40" s="47"/>
      <c r="OQA40" s="47"/>
      <c r="OQB40" s="47"/>
      <c r="OQC40" s="47"/>
      <c r="OQD40" s="47"/>
      <c r="OQE40" s="47"/>
      <c r="OQF40" s="47"/>
      <c r="OQG40" s="47"/>
      <c r="OQH40" s="47"/>
      <c r="OQI40" s="47"/>
      <c r="OQJ40" s="47"/>
      <c r="OQK40" s="47"/>
      <c r="OQL40" s="47"/>
      <c r="OQM40" s="47"/>
      <c r="OQN40" s="47"/>
      <c r="OQO40" s="47"/>
      <c r="OQP40" s="47"/>
      <c r="OQQ40" s="47"/>
      <c r="OQR40" s="47"/>
      <c r="OQS40" s="47"/>
      <c r="OQT40" s="47"/>
      <c r="OQU40" s="47"/>
      <c r="OQV40" s="47"/>
      <c r="OQW40" s="47"/>
      <c r="OQX40" s="47"/>
      <c r="OQY40" s="47"/>
      <c r="OQZ40" s="47"/>
      <c r="ORA40" s="47"/>
      <c r="ORB40" s="47"/>
      <c r="ORC40" s="47"/>
      <c r="ORD40" s="47"/>
      <c r="ORE40" s="47"/>
      <c r="ORF40" s="47"/>
      <c r="ORG40" s="47"/>
      <c r="ORH40" s="47"/>
      <c r="ORI40" s="47"/>
      <c r="ORJ40" s="47"/>
      <c r="ORK40" s="47"/>
      <c r="ORL40" s="47"/>
      <c r="ORM40" s="47"/>
      <c r="ORN40" s="47"/>
      <c r="ORO40" s="47"/>
      <c r="ORP40" s="47"/>
      <c r="ORQ40" s="47"/>
      <c r="ORR40" s="47"/>
      <c r="ORS40" s="47"/>
      <c r="ORT40" s="47"/>
      <c r="ORU40" s="47"/>
      <c r="ORV40" s="47"/>
      <c r="ORW40" s="47"/>
      <c r="ORX40" s="47"/>
      <c r="ORY40" s="47"/>
      <c r="ORZ40" s="47"/>
      <c r="OSA40" s="47"/>
      <c r="OSB40" s="47"/>
      <c r="OSC40" s="47"/>
      <c r="OSD40" s="47"/>
      <c r="OSE40" s="47"/>
      <c r="OSF40" s="47"/>
      <c r="OSG40" s="47"/>
      <c r="OSH40" s="47"/>
      <c r="OSI40" s="47"/>
      <c r="OSJ40" s="47"/>
      <c r="OSK40" s="47"/>
      <c r="OSL40" s="47"/>
      <c r="OSM40" s="47"/>
      <c r="OSN40" s="47"/>
      <c r="OSO40" s="47"/>
      <c r="OSP40" s="47"/>
      <c r="OSQ40" s="47"/>
      <c r="OSR40" s="47"/>
      <c r="OSS40" s="47"/>
      <c r="OST40" s="47"/>
      <c r="OSU40" s="47"/>
      <c r="OSV40" s="47"/>
      <c r="OSW40" s="47"/>
      <c r="OSX40" s="47"/>
      <c r="OSY40" s="47"/>
      <c r="OSZ40" s="47"/>
      <c r="OTA40" s="47"/>
      <c r="OTB40" s="47"/>
      <c r="OTC40" s="47"/>
      <c r="OTD40" s="47"/>
      <c r="OTE40" s="47"/>
      <c r="OTF40" s="47"/>
      <c r="OTG40" s="47"/>
      <c r="OTH40" s="47"/>
      <c r="OTI40" s="47"/>
      <c r="OTJ40" s="47"/>
      <c r="OTK40" s="47"/>
      <c r="OTL40" s="47"/>
      <c r="OTM40" s="47"/>
      <c r="OTN40" s="47"/>
      <c r="OTO40" s="47"/>
      <c r="OTP40" s="47"/>
      <c r="OTQ40" s="47"/>
      <c r="OTR40" s="47"/>
      <c r="OTS40" s="47"/>
      <c r="OTT40" s="47"/>
      <c r="OTU40" s="47"/>
      <c r="OTV40" s="47"/>
      <c r="OTW40" s="47"/>
      <c r="OTX40" s="47"/>
      <c r="OTY40" s="47"/>
      <c r="OTZ40" s="47"/>
      <c r="OUA40" s="47"/>
      <c r="OUB40" s="47"/>
      <c r="OUC40" s="47"/>
      <c r="OUD40" s="47"/>
      <c r="OUE40" s="47"/>
      <c r="OUF40" s="47"/>
      <c r="OUG40" s="47"/>
      <c r="OUH40" s="47"/>
      <c r="OUI40" s="47"/>
      <c r="OUJ40" s="47"/>
      <c r="OUK40" s="47"/>
      <c r="OUL40" s="47"/>
      <c r="OUM40" s="47"/>
      <c r="OUN40" s="47"/>
      <c r="OUO40" s="47"/>
      <c r="OUP40" s="47"/>
      <c r="OUQ40" s="47"/>
      <c r="OUR40" s="47"/>
      <c r="OUS40" s="47"/>
      <c r="OUT40" s="47"/>
      <c r="OUU40" s="47"/>
      <c r="OUV40" s="47"/>
      <c r="OUW40" s="47"/>
      <c r="OUX40" s="47"/>
      <c r="OUY40" s="47"/>
      <c r="OUZ40" s="47"/>
      <c r="OVA40" s="47"/>
      <c r="OVB40" s="47"/>
      <c r="OVC40" s="47"/>
      <c r="OVD40" s="47"/>
      <c r="OVE40" s="47"/>
      <c r="OVF40" s="47"/>
      <c r="OVG40" s="47"/>
      <c r="OVH40" s="47"/>
      <c r="OVI40" s="47"/>
      <c r="OVJ40" s="47"/>
      <c r="OVK40" s="47"/>
      <c r="OVL40" s="47"/>
      <c r="OVM40" s="47"/>
      <c r="OVN40" s="47"/>
      <c r="OVO40" s="47"/>
      <c r="OVP40" s="47"/>
      <c r="OVQ40" s="47"/>
      <c r="OVR40" s="47"/>
      <c r="OVS40" s="47"/>
      <c r="OVT40" s="47"/>
      <c r="OVU40" s="47"/>
      <c r="OVV40" s="47"/>
      <c r="OVW40" s="47"/>
      <c r="OVX40" s="47"/>
      <c r="OVY40" s="47"/>
      <c r="OVZ40" s="47"/>
      <c r="OWA40" s="47"/>
      <c r="OWB40" s="47"/>
      <c r="OWC40" s="47"/>
      <c r="OWD40" s="47"/>
      <c r="OWE40" s="47"/>
      <c r="OWF40" s="47"/>
      <c r="OWG40" s="47"/>
      <c r="OWH40" s="47"/>
      <c r="OWI40" s="47"/>
      <c r="OWJ40" s="47"/>
      <c r="OWK40" s="47"/>
      <c r="OWL40" s="47"/>
      <c r="OWM40" s="47"/>
      <c r="OWN40" s="47"/>
      <c r="OWO40" s="47"/>
      <c r="OWP40" s="47"/>
      <c r="OWQ40" s="47"/>
      <c r="OWR40" s="47"/>
      <c r="OWS40" s="47"/>
      <c r="OWT40" s="47"/>
      <c r="OWU40" s="47"/>
      <c r="OWV40" s="47"/>
      <c r="OWW40" s="47"/>
      <c r="OWX40" s="47"/>
      <c r="OWY40" s="47"/>
      <c r="OWZ40" s="47"/>
      <c r="OXA40" s="47"/>
      <c r="OXB40" s="47"/>
      <c r="OXC40" s="47"/>
      <c r="OXD40" s="47"/>
      <c r="OXE40" s="47"/>
      <c r="OXF40" s="47"/>
      <c r="OXG40" s="47"/>
      <c r="OXH40" s="47"/>
      <c r="OXI40" s="47"/>
      <c r="OXJ40" s="47"/>
      <c r="OXK40" s="47"/>
      <c r="OXL40" s="47"/>
      <c r="OXM40" s="47"/>
      <c r="OXN40" s="47"/>
      <c r="OXO40" s="47"/>
      <c r="OXP40" s="47"/>
      <c r="OXQ40" s="47"/>
      <c r="OXR40" s="47"/>
      <c r="OXS40" s="47"/>
      <c r="OXT40" s="47"/>
      <c r="OXU40" s="47"/>
      <c r="OXV40" s="47"/>
      <c r="OXW40" s="47"/>
      <c r="OXX40" s="47"/>
      <c r="OXY40" s="47"/>
      <c r="OXZ40" s="47"/>
      <c r="OYA40" s="47"/>
      <c r="OYB40" s="47"/>
      <c r="OYC40" s="47"/>
      <c r="OYD40" s="47"/>
      <c r="OYE40" s="47"/>
      <c r="OYF40" s="47"/>
      <c r="OYG40" s="47"/>
      <c r="OYH40" s="47"/>
      <c r="OYI40" s="47"/>
      <c r="OYJ40" s="47"/>
      <c r="OYK40" s="47"/>
      <c r="OYL40" s="47"/>
      <c r="OYM40" s="47"/>
      <c r="OYN40" s="47"/>
      <c r="OYO40" s="47"/>
      <c r="OYP40" s="47"/>
      <c r="OYQ40" s="47"/>
      <c r="OYR40" s="47"/>
      <c r="OYS40" s="47"/>
      <c r="OYT40" s="47"/>
      <c r="OYU40" s="47"/>
      <c r="OYV40" s="47"/>
      <c r="OYW40" s="47"/>
      <c r="OYX40" s="47"/>
      <c r="OYY40" s="47"/>
      <c r="OYZ40" s="47"/>
      <c r="OZA40" s="47"/>
      <c r="OZB40" s="47"/>
      <c r="OZC40" s="47"/>
      <c r="OZD40" s="47"/>
      <c r="OZE40" s="47"/>
      <c r="OZF40" s="47"/>
      <c r="OZG40" s="47"/>
      <c r="OZH40" s="47"/>
      <c r="OZI40" s="47"/>
      <c r="OZJ40" s="47"/>
      <c r="OZK40" s="47"/>
      <c r="OZL40" s="47"/>
      <c r="OZM40" s="47"/>
      <c r="OZN40" s="47"/>
      <c r="OZO40" s="47"/>
      <c r="OZP40" s="47"/>
      <c r="OZQ40" s="47"/>
      <c r="OZR40" s="47"/>
      <c r="OZS40" s="47"/>
      <c r="OZT40" s="47"/>
      <c r="OZU40" s="47"/>
      <c r="OZV40" s="47"/>
      <c r="OZW40" s="47"/>
      <c r="OZX40" s="47"/>
      <c r="OZY40" s="47"/>
      <c r="OZZ40" s="47"/>
      <c r="PAA40" s="47"/>
      <c r="PAB40" s="47"/>
      <c r="PAC40" s="47"/>
      <c r="PAD40" s="47"/>
      <c r="PAE40" s="47"/>
      <c r="PAF40" s="47"/>
      <c r="PAG40" s="47"/>
      <c r="PAH40" s="47"/>
      <c r="PAI40" s="47"/>
      <c r="PAJ40" s="47"/>
      <c r="PAK40" s="47"/>
      <c r="PAL40" s="47"/>
      <c r="PAM40" s="47"/>
      <c r="PAN40" s="47"/>
      <c r="PAO40" s="47"/>
      <c r="PAP40" s="47"/>
      <c r="PAQ40" s="47"/>
      <c r="PAR40" s="47"/>
      <c r="PAS40" s="47"/>
      <c r="PAT40" s="47"/>
      <c r="PAU40" s="47"/>
      <c r="PAV40" s="47"/>
      <c r="PAW40" s="47"/>
      <c r="PAX40" s="47"/>
      <c r="PAY40" s="47"/>
      <c r="PAZ40" s="47"/>
      <c r="PBA40" s="47"/>
      <c r="PBB40" s="47"/>
      <c r="PBC40" s="47"/>
      <c r="PBD40" s="47"/>
      <c r="PBE40" s="47"/>
      <c r="PBF40" s="47"/>
      <c r="PBG40" s="47"/>
      <c r="PBH40" s="47"/>
      <c r="PBI40" s="47"/>
      <c r="PBJ40" s="47"/>
      <c r="PBK40" s="47"/>
      <c r="PBL40" s="47"/>
      <c r="PBM40" s="47"/>
      <c r="PBN40" s="47"/>
      <c r="PBO40" s="47"/>
      <c r="PBP40" s="47"/>
      <c r="PBQ40" s="47"/>
      <c r="PBR40" s="47"/>
      <c r="PBS40" s="47"/>
      <c r="PBT40" s="47"/>
      <c r="PBU40" s="47"/>
      <c r="PBV40" s="47"/>
      <c r="PBW40" s="47"/>
      <c r="PBX40" s="47"/>
      <c r="PBY40" s="47"/>
      <c r="PBZ40" s="47"/>
      <c r="PCA40" s="47"/>
      <c r="PCB40" s="47"/>
      <c r="PCC40" s="47"/>
      <c r="PCD40" s="47"/>
      <c r="PCE40" s="47"/>
      <c r="PCF40" s="47"/>
      <c r="PCG40" s="47"/>
      <c r="PCH40" s="47"/>
      <c r="PCI40" s="47"/>
      <c r="PCJ40" s="47"/>
      <c r="PCK40" s="47"/>
      <c r="PCL40" s="47"/>
      <c r="PCM40" s="47"/>
      <c r="PCN40" s="47"/>
      <c r="PCO40" s="47"/>
      <c r="PCP40" s="47"/>
      <c r="PCQ40" s="47"/>
      <c r="PCR40" s="47"/>
      <c r="PCS40" s="47"/>
      <c r="PCT40" s="47"/>
      <c r="PCU40" s="47"/>
      <c r="PCV40" s="47"/>
      <c r="PCW40" s="47"/>
      <c r="PCX40" s="47"/>
      <c r="PCY40" s="47"/>
      <c r="PCZ40" s="47"/>
      <c r="PDA40" s="47"/>
      <c r="PDB40" s="47"/>
      <c r="PDC40" s="47"/>
      <c r="PDD40" s="47"/>
      <c r="PDE40" s="47"/>
      <c r="PDF40" s="47"/>
      <c r="PDG40" s="47"/>
      <c r="PDH40" s="47"/>
      <c r="PDI40" s="47"/>
      <c r="PDJ40" s="47"/>
      <c r="PDK40" s="47"/>
      <c r="PDL40" s="47"/>
      <c r="PDM40" s="47"/>
      <c r="PDN40" s="47"/>
      <c r="PDO40" s="47"/>
      <c r="PDP40" s="47"/>
      <c r="PDQ40" s="47"/>
      <c r="PDR40" s="47"/>
      <c r="PDS40" s="47"/>
      <c r="PDT40" s="47"/>
      <c r="PDU40" s="47"/>
      <c r="PDV40" s="47"/>
      <c r="PDW40" s="47"/>
      <c r="PDX40" s="47"/>
      <c r="PDY40" s="47"/>
      <c r="PDZ40" s="47"/>
      <c r="PEA40" s="47"/>
      <c r="PEB40" s="47"/>
      <c r="PEC40" s="47"/>
      <c r="PED40" s="47"/>
      <c r="PEE40" s="47"/>
      <c r="PEF40" s="47"/>
      <c r="PEG40" s="47"/>
      <c r="PEH40" s="47"/>
      <c r="PEI40" s="47"/>
      <c r="PEJ40" s="47"/>
      <c r="PEK40" s="47"/>
      <c r="PEL40" s="47"/>
      <c r="PEM40" s="47"/>
      <c r="PEN40" s="47"/>
      <c r="PEO40" s="47"/>
      <c r="PEP40" s="47"/>
      <c r="PEQ40" s="47"/>
      <c r="PER40" s="47"/>
      <c r="PES40" s="47"/>
      <c r="PET40" s="47"/>
      <c r="PEU40" s="47"/>
      <c r="PEV40" s="47"/>
      <c r="PEW40" s="47"/>
      <c r="PEX40" s="47"/>
      <c r="PEY40" s="47"/>
      <c r="PEZ40" s="47"/>
      <c r="PFA40" s="47"/>
      <c r="PFB40" s="47"/>
      <c r="PFC40" s="47"/>
      <c r="PFD40" s="47"/>
      <c r="PFE40" s="47"/>
      <c r="PFF40" s="47"/>
      <c r="PFG40" s="47"/>
      <c r="PFH40" s="47"/>
      <c r="PFI40" s="47"/>
      <c r="PFJ40" s="47"/>
      <c r="PFK40" s="47"/>
      <c r="PFL40" s="47"/>
      <c r="PFM40" s="47"/>
      <c r="PFN40" s="47"/>
      <c r="PFO40" s="47"/>
      <c r="PFP40" s="47"/>
      <c r="PFQ40" s="47"/>
      <c r="PFR40" s="47"/>
      <c r="PFS40" s="47"/>
      <c r="PFT40" s="47"/>
      <c r="PFU40" s="47"/>
      <c r="PFV40" s="47"/>
      <c r="PFW40" s="47"/>
      <c r="PFX40" s="47"/>
      <c r="PFY40" s="47"/>
      <c r="PFZ40" s="47"/>
      <c r="PGA40" s="47"/>
      <c r="PGB40" s="47"/>
      <c r="PGC40" s="47"/>
      <c r="PGD40" s="47"/>
      <c r="PGE40" s="47"/>
      <c r="PGF40" s="47"/>
      <c r="PGG40" s="47"/>
      <c r="PGH40" s="47"/>
      <c r="PGI40" s="47"/>
      <c r="PGJ40" s="47"/>
      <c r="PGK40" s="47"/>
      <c r="PGL40" s="47"/>
      <c r="PGM40" s="47"/>
      <c r="PGN40" s="47"/>
      <c r="PGO40" s="47"/>
      <c r="PGP40" s="47"/>
      <c r="PGQ40" s="47"/>
      <c r="PGR40" s="47"/>
      <c r="PGS40" s="47"/>
      <c r="PGT40" s="47"/>
      <c r="PGU40" s="47"/>
      <c r="PGV40" s="47"/>
      <c r="PGW40" s="47"/>
      <c r="PGX40" s="47"/>
      <c r="PGY40" s="47"/>
      <c r="PGZ40" s="47"/>
      <c r="PHA40" s="47"/>
      <c r="PHB40" s="47"/>
      <c r="PHC40" s="47"/>
      <c r="PHD40" s="47"/>
      <c r="PHE40" s="47"/>
      <c r="PHF40" s="47"/>
      <c r="PHG40" s="47"/>
      <c r="PHH40" s="47"/>
      <c r="PHI40" s="47"/>
      <c r="PHJ40" s="47"/>
      <c r="PHK40" s="47"/>
      <c r="PHL40" s="47"/>
      <c r="PHM40" s="47"/>
      <c r="PHN40" s="47"/>
      <c r="PHO40" s="47"/>
      <c r="PHP40" s="47"/>
      <c r="PHQ40" s="47"/>
      <c r="PHR40" s="47"/>
      <c r="PHS40" s="47"/>
      <c r="PHT40" s="47"/>
      <c r="PHU40" s="47"/>
      <c r="PHV40" s="47"/>
      <c r="PHW40" s="47"/>
      <c r="PHX40" s="47"/>
      <c r="PHY40" s="47"/>
      <c r="PHZ40" s="47"/>
      <c r="PIA40" s="47"/>
      <c r="PIB40" s="47"/>
      <c r="PIC40" s="47"/>
      <c r="PID40" s="47"/>
      <c r="PIE40" s="47"/>
      <c r="PIF40" s="47"/>
      <c r="PIG40" s="47"/>
      <c r="PIH40" s="47"/>
      <c r="PII40" s="47"/>
      <c r="PIJ40" s="47"/>
      <c r="PIK40" s="47"/>
      <c r="PIL40" s="47"/>
      <c r="PIM40" s="47"/>
      <c r="PIN40" s="47"/>
      <c r="PIO40" s="47"/>
      <c r="PIP40" s="47"/>
      <c r="PIQ40" s="47"/>
      <c r="PIR40" s="47"/>
      <c r="PIS40" s="47"/>
      <c r="PIT40" s="47"/>
      <c r="PIU40" s="47"/>
      <c r="PIV40" s="47"/>
      <c r="PIW40" s="47"/>
      <c r="PIX40" s="47"/>
      <c r="PIY40" s="47"/>
      <c r="PIZ40" s="47"/>
      <c r="PJA40" s="47"/>
      <c r="PJB40" s="47"/>
      <c r="PJC40" s="47"/>
      <c r="PJD40" s="47"/>
      <c r="PJE40" s="47"/>
      <c r="PJF40" s="47"/>
      <c r="PJG40" s="47"/>
      <c r="PJH40" s="47"/>
      <c r="PJI40" s="47"/>
      <c r="PJJ40" s="47"/>
      <c r="PJK40" s="47"/>
      <c r="PJL40" s="47"/>
      <c r="PJM40" s="47"/>
      <c r="PJN40" s="47"/>
      <c r="PJO40" s="47"/>
      <c r="PJP40" s="47"/>
      <c r="PJQ40" s="47"/>
      <c r="PJR40" s="47"/>
      <c r="PJS40" s="47"/>
      <c r="PJT40" s="47"/>
      <c r="PJU40" s="47"/>
      <c r="PJV40" s="47"/>
      <c r="PJW40" s="47"/>
      <c r="PJX40" s="47"/>
      <c r="PJY40" s="47"/>
      <c r="PJZ40" s="47"/>
      <c r="PKA40" s="47"/>
      <c r="PKB40" s="47"/>
      <c r="PKC40" s="47"/>
      <c r="PKD40" s="47"/>
      <c r="PKE40" s="47"/>
      <c r="PKF40" s="47"/>
      <c r="PKG40" s="47"/>
      <c r="PKH40" s="47"/>
      <c r="PKI40" s="47"/>
      <c r="PKJ40" s="47"/>
      <c r="PKK40" s="47"/>
      <c r="PKL40" s="47"/>
      <c r="PKM40" s="47"/>
      <c r="PKN40" s="47"/>
      <c r="PKO40" s="47"/>
      <c r="PKP40" s="47"/>
      <c r="PKQ40" s="47"/>
      <c r="PKR40" s="47"/>
      <c r="PKS40" s="47"/>
      <c r="PKT40" s="47"/>
      <c r="PKU40" s="47"/>
      <c r="PKV40" s="47"/>
      <c r="PKW40" s="47"/>
      <c r="PKX40" s="47"/>
      <c r="PKY40" s="47"/>
      <c r="PKZ40" s="47"/>
      <c r="PLA40" s="47"/>
      <c r="PLB40" s="47"/>
      <c r="PLC40" s="47"/>
      <c r="PLD40" s="47"/>
      <c r="PLE40" s="47"/>
      <c r="PLF40" s="47"/>
      <c r="PLG40" s="47"/>
      <c r="PLH40" s="47"/>
      <c r="PLI40" s="47"/>
      <c r="PLJ40" s="47"/>
      <c r="PLK40" s="47"/>
      <c r="PLL40" s="47"/>
      <c r="PLM40" s="47"/>
      <c r="PLN40" s="47"/>
      <c r="PLO40" s="47"/>
      <c r="PLP40" s="47"/>
      <c r="PLQ40" s="47"/>
      <c r="PLR40" s="47"/>
      <c r="PLS40" s="47"/>
      <c r="PLT40" s="47"/>
      <c r="PLU40" s="47"/>
      <c r="PLV40" s="47"/>
      <c r="PLW40" s="47"/>
      <c r="PLX40" s="47"/>
      <c r="PLY40" s="47"/>
      <c r="PLZ40" s="47"/>
      <c r="PMA40" s="47"/>
      <c r="PMB40" s="47"/>
      <c r="PMC40" s="47"/>
      <c r="PMD40" s="47"/>
      <c r="PME40" s="47"/>
      <c r="PMF40" s="47"/>
      <c r="PMG40" s="47"/>
      <c r="PMH40" s="47"/>
      <c r="PMI40" s="47"/>
      <c r="PMJ40" s="47"/>
      <c r="PMK40" s="47"/>
      <c r="PML40" s="47"/>
      <c r="PMM40" s="47"/>
      <c r="PMN40" s="47"/>
      <c r="PMO40" s="47"/>
      <c r="PMP40" s="47"/>
      <c r="PMQ40" s="47"/>
      <c r="PMR40" s="47"/>
      <c r="PMS40" s="47"/>
      <c r="PMT40" s="47"/>
      <c r="PMU40" s="47"/>
      <c r="PMV40" s="47"/>
      <c r="PMW40" s="47"/>
      <c r="PMX40" s="47"/>
      <c r="PMY40" s="47"/>
      <c r="PMZ40" s="47"/>
      <c r="PNA40" s="47"/>
      <c r="PNB40" s="47"/>
      <c r="PNC40" s="47"/>
      <c r="PND40" s="47"/>
      <c r="PNE40" s="47"/>
      <c r="PNF40" s="47"/>
      <c r="PNG40" s="47"/>
      <c r="PNH40" s="47"/>
      <c r="PNI40" s="47"/>
      <c r="PNJ40" s="47"/>
      <c r="PNK40" s="47"/>
      <c r="PNL40" s="47"/>
      <c r="PNM40" s="47"/>
      <c r="PNN40" s="47"/>
      <c r="PNO40" s="47"/>
      <c r="PNP40" s="47"/>
      <c r="PNQ40" s="47"/>
      <c r="PNR40" s="47"/>
      <c r="PNS40" s="47"/>
      <c r="PNT40" s="47"/>
      <c r="PNU40" s="47"/>
      <c r="PNV40" s="47"/>
      <c r="PNW40" s="47"/>
      <c r="PNX40" s="47"/>
      <c r="PNY40" s="47"/>
      <c r="PNZ40" s="47"/>
      <c r="POA40" s="47"/>
      <c r="POB40" s="47"/>
      <c r="POC40" s="47"/>
      <c r="POD40" s="47"/>
      <c r="POE40" s="47"/>
      <c r="POF40" s="47"/>
      <c r="POG40" s="47"/>
      <c r="POH40" s="47"/>
      <c r="POI40" s="47"/>
      <c r="POJ40" s="47"/>
      <c r="POK40" s="47"/>
      <c r="POL40" s="47"/>
      <c r="POM40" s="47"/>
      <c r="PON40" s="47"/>
      <c r="POO40" s="47"/>
      <c r="POP40" s="47"/>
      <c r="POQ40" s="47"/>
      <c r="POR40" s="47"/>
      <c r="POS40" s="47"/>
      <c r="POT40" s="47"/>
      <c r="POU40" s="47"/>
      <c r="POV40" s="47"/>
      <c r="POW40" s="47"/>
      <c r="POX40" s="47"/>
      <c r="POY40" s="47"/>
      <c r="POZ40" s="47"/>
      <c r="PPA40" s="47"/>
      <c r="PPB40" s="47"/>
      <c r="PPC40" s="47"/>
      <c r="PPD40" s="47"/>
      <c r="PPE40" s="47"/>
      <c r="PPF40" s="47"/>
      <c r="PPG40" s="47"/>
      <c r="PPH40" s="47"/>
      <c r="PPI40" s="47"/>
      <c r="PPJ40" s="47"/>
      <c r="PPK40" s="47"/>
      <c r="PPL40" s="47"/>
      <c r="PPM40" s="47"/>
      <c r="PPN40" s="47"/>
      <c r="PPO40" s="47"/>
      <c r="PPP40" s="47"/>
      <c r="PPQ40" s="47"/>
      <c r="PPR40" s="47"/>
      <c r="PPS40" s="47"/>
      <c r="PPT40" s="47"/>
      <c r="PPU40" s="47"/>
      <c r="PPV40" s="47"/>
      <c r="PPW40" s="47"/>
      <c r="PPX40" s="47"/>
      <c r="PPY40" s="47"/>
      <c r="PPZ40" s="47"/>
      <c r="PQA40" s="47"/>
      <c r="PQB40" s="47"/>
      <c r="PQC40" s="47"/>
      <c r="PQD40" s="47"/>
      <c r="PQE40" s="47"/>
      <c r="PQF40" s="47"/>
      <c r="PQG40" s="47"/>
      <c r="PQH40" s="47"/>
      <c r="PQI40" s="47"/>
      <c r="PQJ40" s="47"/>
      <c r="PQK40" s="47"/>
      <c r="PQL40" s="47"/>
      <c r="PQM40" s="47"/>
      <c r="PQN40" s="47"/>
      <c r="PQO40" s="47"/>
      <c r="PQP40" s="47"/>
      <c r="PQQ40" s="47"/>
      <c r="PQR40" s="47"/>
      <c r="PQS40" s="47"/>
      <c r="PQT40" s="47"/>
      <c r="PQU40" s="47"/>
      <c r="PQV40" s="47"/>
      <c r="PQW40" s="47"/>
      <c r="PQX40" s="47"/>
      <c r="PQY40" s="47"/>
      <c r="PQZ40" s="47"/>
      <c r="PRA40" s="47"/>
      <c r="PRB40" s="47"/>
      <c r="PRC40" s="47"/>
      <c r="PRD40" s="47"/>
      <c r="PRE40" s="47"/>
      <c r="PRF40" s="47"/>
      <c r="PRG40" s="47"/>
      <c r="PRH40" s="47"/>
      <c r="PRI40" s="47"/>
      <c r="PRJ40" s="47"/>
      <c r="PRK40" s="47"/>
      <c r="PRL40" s="47"/>
      <c r="PRM40" s="47"/>
      <c r="PRN40" s="47"/>
      <c r="PRO40" s="47"/>
      <c r="PRP40" s="47"/>
      <c r="PRQ40" s="47"/>
      <c r="PRR40" s="47"/>
      <c r="PRS40" s="47"/>
      <c r="PRT40" s="47"/>
      <c r="PRU40" s="47"/>
      <c r="PRV40" s="47"/>
      <c r="PRW40" s="47"/>
      <c r="PRX40" s="47"/>
      <c r="PRY40" s="47"/>
      <c r="PRZ40" s="47"/>
      <c r="PSA40" s="47"/>
      <c r="PSB40" s="47"/>
      <c r="PSC40" s="47"/>
      <c r="PSD40" s="47"/>
      <c r="PSE40" s="47"/>
      <c r="PSF40" s="47"/>
      <c r="PSG40" s="47"/>
      <c r="PSH40" s="47"/>
      <c r="PSI40" s="47"/>
      <c r="PSJ40" s="47"/>
      <c r="PSK40" s="47"/>
      <c r="PSL40" s="47"/>
      <c r="PSM40" s="47"/>
      <c r="PSN40" s="47"/>
      <c r="PSO40" s="47"/>
      <c r="PSP40" s="47"/>
      <c r="PSQ40" s="47"/>
      <c r="PSR40" s="47"/>
      <c r="PSS40" s="47"/>
      <c r="PST40" s="47"/>
      <c r="PSU40" s="47"/>
      <c r="PSV40" s="47"/>
      <c r="PSW40" s="47"/>
      <c r="PSX40" s="47"/>
      <c r="PSY40" s="47"/>
      <c r="PSZ40" s="47"/>
      <c r="PTA40" s="47"/>
      <c r="PTB40" s="47"/>
      <c r="PTC40" s="47"/>
      <c r="PTD40" s="47"/>
      <c r="PTE40" s="47"/>
      <c r="PTF40" s="47"/>
      <c r="PTG40" s="47"/>
      <c r="PTH40" s="47"/>
      <c r="PTI40" s="47"/>
      <c r="PTJ40" s="47"/>
      <c r="PTK40" s="47"/>
      <c r="PTL40" s="47"/>
      <c r="PTM40" s="47"/>
      <c r="PTN40" s="47"/>
      <c r="PTO40" s="47"/>
      <c r="PTP40" s="47"/>
      <c r="PTQ40" s="47"/>
      <c r="PTR40" s="47"/>
      <c r="PTS40" s="47"/>
      <c r="PTT40" s="47"/>
      <c r="PTU40" s="47"/>
      <c r="PTV40" s="47"/>
      <c r="PTW40" s="47"/>
      <c r="PTX40" s="47"/>
      <c r="PTY40" s="47"/>
      <c r="PTZ40" s="47"/>
      <c r="PUA40" s="47"/>
      <c r="PUB40" s="47"/>
      <c r="PUC40" s="47"/>
      <c r="PUD40" s="47"/>
      <c r="PUE40" s="47"/>
      <c r="PUF40" s="47"/>
      <c r="PUG40" s="47"/>
      <c r="PUH40" s="47"/>
      <c r="PUI40" s="47"/>
      <c r="PUJ40" s="47"/>
      <c r="PUK40" s="47"/>
      <c r="PUL40" s="47"/>
      <c r="PUM40" s="47"/>
      <c r="PUN40" s="47"/>
      <c r="PUO40" s="47"/>
      <c r="PUP40" s="47"/>
      <c r="PUQ40" s="47"/>
      <c r="PUR40" s="47"/>
      <c r="PUS40" s="47"/>
      <c r="PUT40" s="47"/>
      <c r="PUU40" s="47"/>
      <c r="PUV40" s="47"/>
      <c r="PUW40" s="47"/>
      <c r="PUX40" s="47"/>
      <c r="PUY40" s="47"/>
      <c r="PUZ40" s="47"/>
      <c r="PVA40" s="47"/>
      <c r="PVB40" s="47"/>
      <c r="PVC40" s="47"/>
      <c r="PVD40" s="47"/>
      <c r="PVE40" s="47"/>
      <c r="PVF40" s="47"/>
      <c r="PVG40" s="47"/>
      <c r="PVH40" s="47"/>
      <c r="PVI40" s="47"/>
      <c r="PVJ40" s="47"/>
      <c r="PVK40" s="47"/>
      <c r="PVL40" s="47"/>
      <c r="PVM40" s="47"/>
      <c r="PVN40" s="47"/>
      <c r="PVO40" s="47"/>
      <c r="PVP40" s="47"/>
      <c r="PVQ40" s="47"/>
      <c r="PVR40" s="47"/>
      <c r="PVS40" s="47"/>
      <c r="PVT40" s="47"/>
      <c r="PVU40" s="47"/>
      <c r="PVV40" s="47"/>
      <c r="PVW40" s="47"/>
      <c r="PVX40" s="47"/>
      <c r="PVY40" s="47"/>
      <c r="PVZ40" s="47"/>
      <c r="PWA40" s="47"/>
      <c r="PWB40" s="47"/>
      <c r="PWC40" s="47"/>
      <c r="PWD40" s="47"/>
      <c r="PWE40" s="47"/>
      <c r="PWF40" s="47"/>
      <c r="PWG40" s="47"/>
      <c r="PWH40" s="47"/>
      <c r="PWI40" s="47"/>
      <c r="PWJ40" s="47"/>
      <c r="PWK40" s="47"/>
      <c r="PWL40" s="47"/>
      <c r="PWM40" s="47"/>
      <c r="PWN40" s="47"/>
      <c r="PWO40" s="47"/>
      <c r="PWP40" s="47"/>
      <c r="PWQ40" s="47"/>
      <c r="PWR40" s="47"/>
      <c r="PWS40" s="47"/>
      <c r="PWT40" s="47"/>
      <c r="PWU40" s="47"/>
      <c r="PWV40" s="47"/>
      <c r="PWW40" s="47"/>
      <c r="PWX40" s="47"/>
      <c r="PWY40" s="47"/>
      <c r="PWZ40" s="47"/>
      <c r="PXA40" s="47"/>
      <c r="PXB40" s="47"/>
      <c r="PXC40" s="47"/>
      <c r="PXD40" s="47"/>
      <c r="PXE40" s="47"/>
      <c r="PXF40" s="47"/>
      <c r="PXG40" s="47"/>
      <c r="PXH40" s="47"/>
      <c r="PXI40" s="47"/>
      <c r="PXJ40" s="47"/>
      <c r="PXK40" s="47"/>
      <c r="PXL40" s="47"/>
      <c r="PXM40" s="47"/>
      <c r="PXN40" s="47"/>
      <c r="PXO40" s="47"/>
      <c r="PXP40" s="47"/>
      <c r="PXQ40" s="47"/>
      <c r="PXR40" s="47"/>
      <c r="PXS40" s="47"/>
      <c r="PXT40" s="47"/>
      <c r="PXU40" s="47"/>
      <c r="PXV40" s="47"/>
      <c r="PXW40" s="47"/>
      <c r="PXX40" s="47"/>
      <c r="PXY40" s="47"/>
      <c r="PXZ40" s="47"/>
      <c r="PYA40" s="47"/>
      <c r="PYB40" s="47"/>
      <c r="PYC40" s="47"/>
      <c r="PYD40" s="47"/>
      <c r="PYE40" s="47"/>
      <c r="PYF40" s="47"/>
      <c r="PYG40" s="47"/>
      <c r="PYH40" s="47"/>
      <c r="PYI40" s="47"/>
      <c r="PYJ40" s="47"/>
      <c r="PYK40" s="47"/>
      <c r="PYL40" s="47"/>
      <c r="PYM40" s="47"/>
      <c r="PYN40" s="47"/>
      <c r="PYO40" s="47"/>
      <c r="PYP40" s="47"/>
      <c r="PYQ40" s="47"/>
      <c r="PYR40" s="47"/>
      <c r="PYS40" s="47"/>
      <c r="PYT40" s="47"/>
      <c r="PYU40" s="47"/>
      <c r="PYV40" s="47"/>
      <c r="PYW40" s="47"/>
      <c r="PYX40" s="47"/>
      <c r="PYY40" s="47"/>
      <c r="PYZ40" s="47"/>
      <c r="PZA40" s="47"/>
      <c r="PZB40" s="47"/>
      <c r="PZC40" s="47"/>
      <c r="PZD40" s="47"/>
      <c r="PZE40" s="47"/>
      <c r="PZF40" s="47"/>
      <c r="PZG40" s="47"/>
      <c r="PZH40" s="47"/>
      <c r="PZI40" s="47"/>
      <c r="PZJ40" s="47"/>
      <c r="PZK40" s="47"/>
      <c r="PZL40" s="47"/>
      <c r="PZM40" s="47"/>
      <c r="PZN40" s="47"/>
      <c r="PZO40" s="47"/>
      <c r="PZP40" s="47"/>
      <c r="PZQ40" s="47"/>
      <c r="PZR40" s="47"/>
      <c r="PZS40" s="47"/>
      <c r="PZT40" s="47"/>
      <c r="PZU40" s="47"/>
      <c r="PZV40" s="47"/>
      <c r="PZW40" s="47"/>
      <c r="PZX40" s="47"/>
      <c r="PZY40" s="47"/>
      <c r="PZZ40" s="47"/>
      <c r="QAA40" s="47"/>
      <c r="QAB40" s="47"/>
      <c r="QAC40" s="47"/>
      <c r="QAD40" s="47"/>
      <c r="QAE40" s="47"/>
      <c r="QAF40" s="47"/>
      <c r="QAG40" s="47"/>
      <c r="QAH40" s="47"/>
      <c r="QAI40" s="47"/>
      <c r="QAJ40" s="47"/>
      <c r="QAK40" s="47"/>
      <c r="QAL40" s="47"/>
      <c r="QAM40" s="47"/>
      <c r="QAN40" s="47"/>
      <c r="QAO40" s="47"/>
      <c r="QAP40" s="47"/>
      <c r="QAQ40" s="47"/>
      <c r="QAR40" s="47"/>
      <c r="QAS40" s="47"/>
      <c r="QAT40" s="47"/>
      <c r="QAU40" s="47"/>
      <c r="QAV40" s="47"/>
      <c r="QAW40" s="47"/>
      <c r="QAX40" s="47"/>
      <c r="QAY40" s="47"/>
      <c r="QAZ40" s="47"/>
      <c r="QBA40" s="47"/>
      <c r="QBB40" s="47"/>
      <c r="QBC40" s="47"/>
      <c r="QBD40" s="47"/>
      <c r="QBE40" s="47"/>
      <c r="QBF40" s="47"/>
      <c r="QBG40" s="47"/>
      <c r="QBH40" s="47"/>
      <c r="QBI40" s="47"/>
      <c r="QBJ40" s="47"/>
      <c r="QBK40" s="47"/>
      <c r="QBL40" s="47"/>
      <c r="QBM40" s="47"/>
      <c r="QBN40" s="47"/>
      <c r="QBO40" s="47"/>
      <c r="QBP40" s="47"/>
      <c r="QBQ40" s="47"/>
      <c r="QBR40" s="47"/>
      <c r="QBS40" s="47"/>
      <c r="QBT40" s="47"/>
      <c r="QBU40" s="47"/>
      <c r="QBV40" s="47"/>
      <c r="QBW40" s="47"/>
      <c r="QBX40" s="47"/>
      <c r="QBY40" s="47"/>
      <c r="QBZ40" s="47"/>
      <c r="QCA40" s="47"/>
      <c r="QCB40" s="47"/>
      <c r="QCC40" s="47"/>
      <c r="QCD40" s="47"/>
      <c r="QCE40" s="47"/>
      <c r="QCF40" s="47"/>
      <c r="QCG40" s="47"/>
      <c r="QCH40" s="47"/>
      <c r="QCI40" s="47"/>
      <c r="QCJ40" s="47"/>
      <c r="QCK40" s="47"/>
      <c r="QCL40" s="47"/>
      <c r="QCM40" s="47"/>
      <c r="QCN40" s="47"/>
      <c r="QCO40" s="47"/>
      <c r="QCP40" s="47"/>
      <c r="QCQ40" s="47"/>
      <c r="QCR40" s="47"/>
      <c r="QCS40" s="47"/>
      <c r="QCT40" s="47"/>
      <c r="QCU40" s="47"/>
      <c r="QCV40" s="47"/>
      <c r="QCW40" s="47"/>
      <c r="QCX40" s="47"/>
      <c r="QCY40" s="47"/>
      <c r="QCZ40" s="47"/>
      <c r="QDA40" s="47"/>
      <c r="QDB40" s="47"/>
      <c r="QDC40" s="47"/>
      <c r="QDD40" s="47"/>
      <c r="QDE40" s="47"/>
      <c r="QDF40" s="47"/>
      <c r="QDG40" s="47"/>
      <c r="QDH40" s="47"/>
      <c r="QDI40" s="47"/>
      <c r="QDJ40" s="47"/>
      <c r="QDK40" s="47"/>
      <c r="QDL40" s="47"/>
      <c r="QDM40" s="47"/>
      <c r="QDN40" s="47"/>
      <c r="QDO40" s="47"/>
      <c r="QDP40" s="47"/>
      <c r="QDQ40" s="47"/>
      <c r="QDR40" s="47"/>
      <c r="QDS40" s="47"/>
      <c r="QDT40" s="47"/>
      <c r="QDU40" s="47"/>
      <c r="QDV40" s="47"/>
      <c r="QDW40" s="47"/>
      <c r="QDX40" s="47"/>
      <c r="QDY40" s="47"/>
      <c r="QDZ40" s="47"/>
      <c r="QEA40" s="47"/>
      <c r="QEB40" s="47"/>
      <c r="QEC40" s="47"/>
      <c r="QED40" s="47"/>
      <c r="QEE40" s="47"/>
      <c r="QEF40" s="47"/>
      <c r="QEG40" s="47"/>
      <c r="QEH40" s="47"/>
      <c r="QEI40" s="47"/>
      <c r="QEJ40" s="47"/>
      <c r="QEK40" s="47"/>
      <c r="QEL40" s="47"/>
      <c r="QEM40" s="47"/>
      <c r="QEN40" s="47"/>
      <c r="QEO40" s="47"/>
      <c r="QEP40" s="47"/>
      <c r="QEQ40" s="47"/>
      <c r="QER40" s="47"/>
      <c r="QES40" s="47"/>
      <c r="QET40" s="47"/>
      <c r="QEU40" s="47"/>
      <c r="QEV40" s="47"/>
      <c r="QEW40" s="47"/>
      <c r="QEX40" s="47"/>
      <c r="QEY40" s="47"/>
      <c r="QEZ40" s="47"/>
      <c r="QFA40" s="47"/>
      <c r="QFB40" s="47"/>
      <c r="QFC40" s="47"/>
      <c r="QFD40" s="47"/>
      <c r="QFE40" s="47"/>
      <c r="QFF40" s="47"/>
      <c r="QFG40" s="47"/>
      <c r="QFH40" s="47"/>
      <c r="QFI40" s="47"/>
      <c r="QFJ40" s="47"/>
      <c r="QFK40" s="47"/>
      <c r="QFL40" s="47"/>
      <c r="QFM40" s="47"/>
      <c r="QFN40" s="47"/>
      <c r="QFO40" s="47"/>
      <c r="QFP40" s="47"/>
      <c r="QFQ40" s="47"/>
      <c r="QFR40" s="47"/>
      <c r="QFS40" s="47"/>
      <c r="QFT40" s="47"/>
      <c r="QFU40" s="47"/>
      <c r="QFV40" s="47"/>
      <c r="QFW40" s="47"/>
      <c r="QFX40" s="47"/>
      <c r="QFY40" s="47"/>
      <c r="QFZ40" s="47"/>
      <c r="QGA40" s="47"/>
      <c r="QGB40" s="47"/>
      <c r="QGC40" s="47"/>
      <c r="QGD40" s="47"/>
      <c r="QGE40" s="47"/>
      <c r="QGF40" s="47"/>
      <c r="QGG40" s="47"/>
      <c r="QGH40" s="47"/>
      <c r="QGI40" s="47"/>
      <c r="QGJ40" s="47"/>
      <c r="QGK40" s="47"/>
      <c r="QGL40" s="47"/>
      <c r="QGM40" s="47"/>
      <c r="QGN40" s="47"/>
      <c r="QGO40" s="47"/>
      <c r="QGP40" s="47"/>
      <c r="QGQ40" s="47"/>
      <c r="QGR40" s="47"/>
      <c r="QGS40" s="47"/>
      <c r="QGT40" s="47"/>
      <c r="QGU40" s="47"/>
      <c r="QGV40" s="47"/>
      <c r="QGW40" s="47"/>
      <c r="QGX40" s="47"/>
      <c r="QGY40" s="47"/>
      <c r="QGZ40" s="47"/>
      <c r="QHA40" s="47"/>
      <c r="QHB40" s="47"/>
      <c r="QHC40" s="47"/>
      <c r="QHD40" s="47"/>
      <c r="QHE40" s="47"/>
      <c r="QHF40" s="47"/>
      <c r="QHG40" s="47"/>
      <c r="QHH40" s="47"/>
      <c r="QHI40" s="47"/>
      <c r="QHJ40" s="47"/>
      <c r="QHK40" s="47"/>
      <c r="QHL40" s="47"/>
      <c r="QHM40" s="47"/>
      <c r="QHN40" s="47"/>
      <c r="QHO40" s="47"/>
      <c r="QHP40" s="47"/>
      <c r="QHQ40" s="47"/>
      <c r="QHR40" s="47"/>
      <c r="QHS40" s="47"/>
      <c r="QHT40" s="47"/>
      <c r="QHU40" s="47"/>
      <c r="QHV40" s="47"/>
      <c r="QHW40" s="47"/>
      <c r="QHX40" s="47"/>
      <c r="QHY40" s="47"/>
      <c r="QHZ40" s="47"/>
      <c r="QIA40" s="47"/>
      <c r="QIB40" s="47"/>
      <c r="QIC40" s="47"/>
      <c r="QID40" s="47"/>
      <c r="QIE40" s="47"/>
      <c r="QIF40" s="47"/>
      <c r="QIG40" s="47"/>
      <c r="QIH40" s="47"/>
      <c r="QII40" s="47"/>
      <c r="QIJ40" s="47"/>
      <c r="QIK40" s="47"/>
      <c r="QIL40" s="47"/>
      <c r="QIM40" s="47"/>
      <c r="QIN40" s="47"/>
      <c r="QIO40" s="47"/>
      <c r="QIP40" s="47"/>
      <c r="QIQ40" s="47"/>
      <c r="QIR40" s="47"/>
      <c r="QIS40" s="47"/>
      <c r="QIT40" s="47"/>
      <c r="QIU40" s="47"/>
      <c r="QIV40" s="47"/>
      <c r="QIW40" s="47"/>
      <c r="QIX40" s="47"/>
      <c r="QIY40" s="47"/>
      <c r="QIZ40" s="47"/>
      <c r="QJA40" s="47"/>
      <c r="QJB40" s="47"/>
      <c r="QJC40" s="47"/>
      <c r="QJD40" s="47"/>
      <c r="QJE40" s="47"/>
      <c r="QJF40" s="47"/>
      <c r="QJG40" s="47"/>
      <c r="QJH40" s="47"/>
      <c r="QJI40" s="47"/>
      <c r="QJJ40" s="47"/>
      <c r="QJK40" s="47"/>
      <c r="QJL40" s="47"/>
      <c r="QJM40" s="47"/>
      <c r="QJN40" s="47"/>
      <c r="QJO40" s="47"/>
      <c r="QJP40" s="47"/>
      <c r="QJQ40" s="47"/>
      <c r="QJR40" s="47"/>
      <c r="QJS40" s="47"/>
      <c r="QJT40" s="47"/>
      <c r="QJU40" s="47"/>
      <c r="QJV40" s="47"/>
      <c r="QJW40" s="47"/>
      <c r="QJX40" s="47"/>
      <c r="QJY40" s="47"/>
      <c r="QJZ40" s="47"/>
      <c r="QKA40" s="47"/>
      <c r="QKB40" s="47"/>
      <c r="QKC40" s="47"/>
      <c r="QKD40" s="47"/>
      <c r="QKE40" s="47"/>
      <c r="QKF40" s="47"/>
      <c r="QKG40" s="47"/>
      <c r="QKH40" s="47"/>
      <c r="QKI40" s="47"/>
      <c r="QKJ40" s="47"/>
      <c r="QKK40" s="47"/>
      <c r="QKL40" s="47"/>
      <c r="QKM40" s="47"/>
      <c r="QKN40" s="47"/>
      <c r="QKO40" s="47"/>
      <c r="QKP40" s="47"/>
      <c r="QKQ40" s="47"/>
      <c r="QKR40" s="47"/>
      <c r="QKS40" s="47"/>
      <c r="QKT40" s="47"/>
      <c r="QKU40" s="47"/>
      <c r="QKV40" s="47"/>
      <c r="QKW40" s="47"/>
      <c r="QKX40" s="47"/>
      <c r="QKY40" s="47"/>
      <c r="QKZ40" s="47"/>
      <c r="QLA40" s="47"/>
      <c r="QLB40" s="47"/>
      <c r="QLC40" s="47"/>
      <c r="QLD40" s="47"/>
      <c r="QLE40" s="47"/>
      <c r="QLF40" s="47"/>
      <c r="QLG40" s="47"/>
      <c r="QLH40" s="47"/>
      <c r="QLI40" s="47"/>
      <c r="QLJ40" s="47"/>
      <c r="QLK40" s="47"/>
      <c r="QLL40" s="47"/>
      <c r="QLM40" s="47"/>
      <c r="QLN40" s="47"/>
      <c r="QLO40" s="47"/>
      <c r="QLP40" s="47"/>
      <c r="QLQ40" s="47"/>
      <c r="QLR40" s="47"/>
      <c r="QLS40" s="47"/>
      <c r="QLT40" s="47"/>
      <c r="QLU40" s="47"/>
      <c r="QLV40" s="47"/>
      <c r="QLW40" s="47"/>
      <c r="QLX40" s="47"/>
      <c r="QLY40" s="47"/>
      <c r="QLZ40" s="47"/>
      <c r="QMA40" s="47"/>
      <c r="QMB40" s="47"/>
      <c r="QMC40" s="47"/>
      <c r="QMD40" s="47"/>
      <c r="QME40" s="47"/>
      <c r="QMF40" s="47"/>
      <c r="QMG40" s="47"/>
      <c r="QMH40" s="47"/>
      <c r="QMI40" s="47"/>
      <c r="QMJ40" s="47"/>
      <c r="QMK40" s="47"/>
      <c r="QML40" s="47"/>
      <c r="QMM40" s="47"/>
      <c r="QMN40" s="47"/>
      <c r="QMO40" s="47"/>
      <c r="QMP40" s="47"/>
      <c r="QMQ40" s="47"/>
      <c r="QMR40" s="47"/>
      <c r="QMS40" s="47"/>
      <c r="QMT40" s="47"/>
      <c r="QMU40" s="47"/>
      <c r="QMV40" s="47"/>
      <c r="QMW40" s="47"/>
      <c r="QMX40" s="47"/>
      <c r="QMY40" s="47"/>
      <c r="QMZ40" s="47"/>
      <c r="QNA40" s="47"/>
      <c r="QNB40" s="47"/>
      <c r="QNC40" s="47"/>
      <c r="QND40" s="47"/>
      <c r="QNE40" s="47"/>
      <c r="QNF40" s="47"/>
      <c r="QNG40" s="47"/>
      <c r="QNH40" s="47"/>
      <c r="QNI40" s="47"/>
      <c r="QNJ40" s="47"/>
      <c r="QNK40" s="47"/>
      <c r="QNL40" s="47"/>
      <c r="QNM40" s="47"/>
      <c r="QNN40" s="47"/>
      <c r="QNO40" s="47"/>
      <c r="QNP40" s="47"/>
      <c r="QNQ40" s="47"/>
      <c r="QNR40" s="47"/>
      <c r="QNS40" s="47"/>
      <c r="QNT40" s="47"/>
      <c r="QNU40" s="47"/>
      <c r="QNV40" s="47"/>
      <c r="QNW40" s="47"/>
      <c r="QNX40" s="47"/>
      <c r="QNY40" s="47"/>
      <c r="QNZ40" s="47"/>
      <c r="QOA40" s="47"/>
      <c r="QOB40" s="47"/>
      <c r="QOC40" s="47"/>
      <c r="QOD40" s="47"/>
      <c r="QOE40" s="47"/>
      <c r="QOF40" s="47"/>
      <c r="QOG40" s="47"/>
      <c r="QOH40" s="47"/>
      <c r="QOI40" s="47"/>
      <c r="QOJ40" s="47"/>
      <c r="QOK40" s="47"/>
      <c r="QOL40" s="47"/>
      <c r="QOM40" s="47"/>
      <c r="QON40" s="47"/>
      <c r="QOO40" s="47"/>
      <c r="QOP40" s="47"/>
      <c r="QOQ40" s="47"/>
      <c r="QOR40" s="47"/>
      <c r="QOS40" s="47"/>
      <c r="QOT40" s="47"/>
      <c r="QOU40" s="47"/>
      <c r="QOV40" s="47"/>
      <c r="QOW40" s="47"/>
      <c r="QOX40" s="47"/>
      <c r="QOY40" s="47"/>
      <c r="QOZ40" s="47"/>
      <c r="QPA40" s="47"/>
      <c r="QPB40" s="47"/>
      <c r="QPC40" s="47"/>
      <c r="QPD40" s="47"/>
      <c r="QPE40" s="47"/>
      <c r="QPF40" s="47"/>
      <c r="QPG40" s="47"/>
      <c r="QPH40" s="47"/>
      <c r="QPI40" s="47"/>
      <c r="QPJ40" s="47"/>
      <c r="QPK40" s="47"/>
      <c r="QPL40" s="47"/>
      <c r="QPM40" s="47"/>
      <c r="QPN40" s="47"/>
      <c r="QPO40" s="47"/>
      <c r="QPP40" s="47"/>
      <c r="QPQ40" s="47"/>
      <c r="QPR40" s="47"/>
      <c r="QPS40" s="47"/>
      <c r="QPT40" s="47"/>
      <c r="QPU40" s="47"/>
      <c r="QPV40" s="47"/>
      <c r="QPW40" s="47"/>
      <c r="QPX40" s="47"/>
      <c r="QPY40" s="47"/>
      <c r="QPZ40" s="47"/>
      <c r="QQA40" s="47"/>
      <c r="QQB40" s="47"/>
      <c r="QQC40" s="47"/>
      <c r="QQD40" s="47"/>
      <c r="QQE40" s="47"/>
      <c r="QQF40" s="47"/>
      <c r="QQG40" s="47"/>
      <c r="QQH40" s="47"/>
      <c r="QQI40" s="47"/>
      <c r="QQJ40" s="47"/>
      <c r="QQK40" s="47"/>
      <c r="QQL40" s="47"/>
      <c r="QQM40" s="47"/>
      <c r="QQN40" s="47"/>
      <c r="QQO40" s="47"/>
      <c r="QQP40" s="47"/>
      <c r="QQQ40" s="47"/>
      <c r="QQR40" s="47"/>
      <c r="QQS40" s="47"/>
      <c r="QQT40" s="47"/>
      <c r="QQU40" s="47"/>
      <c r="QQV40" s="47"/>
      <c r="QQW40" s="47"/>
      <c r="QQX40" s="47"/>
      <c r="QQY40" s="47"/>
      <c r="QQZ40" s="47"/>
      <c r="QRA40" s="47"/>
      <c r="QRB40" s="47"/>
      <c r="QRC40" s="47"/>
      <c r="QRD40" s="47"/>
      <c r="QRE40" s="47"/>
      <c r="QRF40" s="47"/>
      <c r="QRG40" s="47"/>
      <c r="QRH40" s="47"/>
      <c r="QRI40" s="47"/>
      <c r="QRJ40" s="47"/>
      <c r="QRK40" s="47"/>
      <c r="QRL40" s="47"/>
      <c r="QRM40" s="47"/>
      <c r="QRN40" s="47"/>
      <c r="QRO40" s="47"/>
      <c r="QRP40" s="47"/>
      <c r="QRQ40" s="47"/>
      <c r="QRR40" s="47"/>
      <c r="QRS40" s="47"/>
      <c r="QRT40" s="47"/>
      <c r="QRU40" s="47"/>
      <c r="QRV40" s="47"/>
      <c r="QRW40" s="47"/>
      <c r="QRX40" s="47"/>
      <c r="QRY40" s="47"/>
      <c r="QRZ40" s="47"/>
      <c r="QSA40" s="47"/>
      <c r="QSB40" s="47"/>
      <c r="QSC40" s="47"/>
      <c r="QSD40" s="47"/>
      <c r="QSE40" s="47"/>
      <c r="QSF40" s="47"/>
      <c r="QSG40" s="47"/>
      <c r="QSH40" s="47"/>
      <c r="QSI40" s="47"/>
      <c r="QSJ40" s="47"/>
      <c r="QSK40" s="47"/>
      <c r="QSL40" s="47"/>
      <c r="QSM40" s="47"/>
      <c r="QSN40" s="47"/>
      <c r="QSO40" s="47"/>
      <c r="QSP40" s="47"/>
      <c r="QSQ40" s="47"/>
      <c r="QSR40" s="47"/>
      <c r="QSS40" s="47"/>
      <c r="QST40" s="47"/>
      <c r="QSU40" s="47"/>
      <c r="QSV40" s="47"/>
      <c r="QSW40" s="47"/>
      <c r="QSX40" s="47"/>
      <c r="QSY40" s="47"/>
      <c r="QSZ40" s="47"/>
      <c r="QTA40" s="47"/>
      <c r="QTB40" s="47"/>
      <c r="QTC40" s="47"/>
      <c r="QTD40" s="47"/>
      <c r="QTE40" s="47"/>
      <c r="QTF40" s="47"/>
      <c r="QTG40" s="47"/>
      <c r="QTH40" s="47"/>
      <c r="QTI40" s="47"/>
      <c r="QTJ40" s="47"/>
      <c r="QTK40" s="47"/>
      <c r="QTL40" s="47"/>
      <c r="QTM40" s="47"/>
      <c r="QTN40" s="47"/>
      <c r="QTO40" s="47"/>
      <c r="QTP40" s="47"/>
      <c r="QTQ40" s="47"/>
      <c r="QTR40" s="47"/>
      <c r="QTS40" s="47"/>
      <c r="QTT40" s="47"/>
      <c r="QTU40" s="47"/>
      <c r="QTV40" s="47"/>
      <c r="QTW40" s="47"/>
      <c r="QTX40" s="47"/>
      <c r="QTY40" s="47"/>
      <c r="QTZ40" s="47"/>
      <c r="QUA40" s="47"/>
      <c r="QUB40" s="47"/>
      <c r="QUC40" s="47"/>
      <c r="QUD40" s="47"/>
      <c r="QUE40" s="47"/>
      <c r="QUF40" s="47"/>
      <c r="QUG40" s="47"/>
      <c r="QUH40" s="47"/>
      <c r="QUI40" s="47"/>
      <c r="QUJ40" s="47"/>
      <c r="QUK40" s="47"/>
      <c r="QUL40" s="47"/>
      <c r="QUM40" s="47"/>
      <c r="QUN40" s="47"/>
      <c r="QUO40" s="47"/>
      <c r="QUP40" s="47"/>
      <c r="QUQ40" s="47"/>
      <c r="QUR40" s="47"/>
      <c r="QUS40" s="47"/>
      <c r="QUT40" s="47"/>
      <c r="QUU40" s="47"/>
      <c r="QUV40" s="47"/>
      <c r="QUW40" s="47"/>
      <c r="QUX40" s="47"/>
      <c r="QUY40" s="47"/>
      <c r="QUZ40" s="47"/>
      <c r="QVA40" s="47"/>
      <c r="QVB40" s="47"/>
      <c r="QVC40" s="47"/>
      <c r="QVD40" s="47"/>
      <c r="QVE40" s="47"/>
      <c r="QVF40" s="47"/>
      <c r="QVG40" s="47"/>
      <c r="QVH40" s="47"/>
      <c r="QVI40" s="47"/>
      <c r="QVJ40" s="47"/>
      <c r="QVK40" s="47"/>
      <c r="QVL40" s="47"/>
      <c r="QVM40" s="47"/>
      <c r="QVN40" s="47"/>
      <c r="QVO40" s="47"/>
      <c r="QVP40" s="47"/>
      <c r="QVQ40" s="47"/>
      <c r="QVR40" s="47"/>
      <c r="QVS40" s="47"/>
      <c r="QVT40" s="47"/>
      <c r="QVU40" s="47"/>
      <c r="QVV40" s="47"/>
      <c r="QVW40" s="47"/>
      <c r="QVX40" s="47"/>
      <c r="QVY40" s="47"/>
      <c r="QVZ40" s="47"/>
      <c r="QWA40" s="47"/>
      <c r="QWB40" s="47"/>
      <c r="QWC40" s="47"/>
      <c r="QWD40" s="47"/>
      <c r="QWE40" s="47"/>
      <c r="QWF40" s="47"/>
      <c r="QWG40" s="47"/>
      <c r="QWH40" s="47"/>
      <c r="QWI40" s="47"/>
      <c r="QWJ40" s="47"/>
      <c r="QWK40" s="47"/>
      <c r="QWL40" s="47"/>
      <c r="QWM40" s="47"/>
      <c r="QWN40" s="47"/>
      <c r="QWO40" s="47"/>
      <c r="QWP40" s="47"/>
      <c r="QWQ40" s="47"/>
      <c r="QWR40" s="47"/>
      <c r="QWS40" s="47"/>
      <c r="QWT40" s="47"/>
      <c r="QWU40" s="47"/>
      <c r="QWV40" s="47"/>
      <c r="QWW40" s="47"/>
      <c r="QWX40" s="47"/>
      <c r="QWY40" s="47"/>
      <c r="QWZ40" s="47"/>
      <c r="QXA40" s="47"/>
      <c r="QXB40" s="47"/>
      <c r="QXC40" s="47"/>
      <c r="QXD40" s="47"/>
      <c r="QXE40" s="47"/>
      <c r="QXF40" s="47"/>
      <c r="QXG40" s="47"/>
      <c r="QXH40" s="47"/>
      <c r="QXI40" s="47"/>
      <c r="QXJ40" s="47"/>
      <c r="QXK40" s="47"/>
      <c r="QXL40" s="47"/>
      <c r="QXM40" s="47"/>
      <c r="QXN40" s="47"/>
      <c r="QXO40" s="47"/>
      <c r="QXP40" s="47"/>
      <c r="QXQ40" s="47"/>
      <c r="QXR40" s="47"/>
      <c r="QXS40" s="47"/>
      <c r="QXT40" s="47"/>
      <c r="QXU40" s="47"/>
      <c r="QXV40" s="47"/>
      <c r="QXW40" s="47"/>
      <c r="QXX40" s="47"/>
      <c r="QXY40" s="47"/>
      <c r="QXZ40" s="47"/>
      <c r="QYA40" s="47"/>
      <c r="QYB40" s="47"/>
      <c r="QYC40" s="47"/>
      <c r="QYD40" s="47"/>
      <c r="QYE40" s="47"/>
      <c r="QYF40" s="47"/>
      <c r="QYG40" s="47"/>
      <c r="QYH40" s="47"/>
      <c r="QYI40" s="47"/>
      <c r="QYJ40" s="47"/>
      <c r="QYK40" s="47"/>
      <c r="QYL40" s="47"/>
      <c r="QYM40" s="47"/>
      <c r="QYN40" s="47"/>
      <c r="QYO40" s="47"/>
      <c r="QYP40" s="47"/>
      <c r="QYQ40" s="47"/>
      <c r="QYR40" s="47"/>
      <c r="QYS40" s="47"/>
      <c r="QYT40" s="47"/>
      <c r="QYU40" s="47"/>
      <c r="QYV40" s="47"/>
      <c r="QYW40" s="47"/>
      <c r="QYX40" s="47"/>
      <c r="QYY40" s="47"/>
      <c r="QYZ40" s="47"/>
      <c r="QZA40" s="47"/>
      <c r="QZB40" s="47"/>
      <c r="QZC40" s="47"/>
      <c r="QZD40" s="47"/>
      <c r="QZE40" s="47"/>
      <c r="QZF40" s="47"/>
      <c r="QZG40" s="47"/>
      <c r="QZH40" s="47"/>
      <c r="QZI40" s="47"/>
      <c r="QZJ40" s="47"/>
      <c r="QZK40" s="47"/>
      <c r="QZL40" s="47"/>
      <c r="QZM40" s="47"/>
      <c r="QZN40" s="47"/>
      <c r="QZO40" s="47"/>
      <c r="QZP40" s="47"/>
      <c r="QZQ40" s="47"/>
      <c r="QZR40" s="47"/>
      <c r="QZS40" s="47"/>
      <c r="QZT40" s="47"/>
      <c r="QZU40" s="47"/>
      <c r="QZV40" s="47"/>
      <c r="QZW40" s="47"/>
      <c r="QZX40" s="47"/>
      <c r="QZY40" s="47"/>
      <c r="QZZ40" s="47"/>
      <c r="RAA40" s="47"/>
      <c r="RAB40" s="47"/>
      <c r="RAC40" s="47"/>
      <c r="RAD40" s="47"/>
      <c r="RAE40" s="47"/>
      <c r="RAF40" s="47"/>
      <c r="RAG40" s="47"/>
      <c r="RAH40" s="47"/>
      <c r="RAI40" s="47"/>
      <c r="RAJ40" s="47"/>
      <c r="RAK40" s="47"/>
      <c r="RAL40" s="47"/>
      <c r="RAM40" s="47"/>
      <c r="RAN40" s="47"/>
      <c r="RAO40" s="47"/>
      <c r="RAP40" s="47"/>
      <c r="RAQ40" s="47"/>
      <c r="RAR40" s="47"/>
      <c r="RAS40" s="47"/>
      <c r="RAT40" s="47"/>
      <c r="RAU40" s="47"/>
      <c r="RAV40" s="47"/>
      <c r="RAW40" s="47"/>
      <c r="RAX40" s="47"/>
      <c r="RAY40" s="47"/>
      <c r="RAZ40" s="47"/>
      <c r="RBA40" s="47"/>
      <c r="RBB40" s="47"/>
      <c r="RBC40" s="47"/>
      <c r="RBD40" s="47"/>
      <c r="RBE40" s="47"/>
      <c r="RBF40" s="47"/>
      <c r="RBG40" s="47"/>
      <c r="RBH40" s="47"/>
      <c r="RBI40" s="47"/>
      <c r="RBJ40" s="47"/>
      <c r="RBK40" s="47"/>
      <c r="RBL40" s="47"/>
      <c r="RBM40" s="47"/>
      <c r="RBN40" s="47"/>
      <c r="RBO40" s="47"/>
      <c r="RBP40" s="47"/>
      <c r="RBQ40" s="47"/>
      <c r="RBR40" s="47"/>
      <c r="RBS40" s="47"/>
      <c r="RBT40" s="47"/>
      <c r="RBU40" s="47"/>
      <c r="RBV40" s="47"/>
      <c r="RBW40" s="47"/>
      <c r="RBX40" s="47"/>
      <c r="RBY40" s="47"/>
      <c r="RBZ40" s="47"/>
      <c r="RCA40" s="47"/>
      <c r="RCB40" s="47"/>
      <c r="RCC40" s="47"/>
      <c r="RCD40" s="47"/>
      <c r="RCE40" s="47"/>
      <c r="RCF40" s="47"/>
      <c r="RCG40" s="47"/>
      <c r="RCH40" s="47"/>
      <c r="RCI40" s="47"/>
      <c r="RCJ40" s="47"/>
      <c r="RCK40" s="47"/>
      <c r="RCL40" s="47"/>
      <c r="RCM40" s="47"/>
      <c r="RCN40" s="47"/>
      <c r="RCO40" s="47"/>
      <c r="RCP40" s="47"/>
      <c r="RCQ40" s="47"/>
      <c r="RCR40" s="47"/>
      <c r="RCS40" s="47"/>
      <c r="RCT40" s="47"/>
      <c r="RCU40" s="47"/>
      <c r="RCV40" s="47"/>
      <c r="RCW40" s="47"/>
      <c r="RCX40" s="47"/>
      <c r="RCY40" s="47"/>
      <c r="RCZ40" s="47"/>
      <c r="RDA40" s="47"/>
      <c r="RDB40" s="47"/>
      <c r="RDC40" s="47"/>
      <c r="RDD40" s="47"/>
      <c r="RDE40" s="47"/>
      <c r="RDF40" s="47"/>
      <c r="RDG40" s="47"/>
      <c r="RDH40" s="47"/>
      <c r="RDI40" s="47"/>
      <c r="RDJ40" s="47"/>
      <c r="RDK40" s="47"/>
      <c r="RDL40" s="47"/>
      <c r="RDM40" s="47"/>
      <c r="RDN40" s="47"/>
      <c r="RDO40" s="47"/>
      <c r="RDP40" s="47"/>
      <c r="RDQ40" s="47"/>
      <c r="RDR40" s="47"/>
      <c r="RDS40" s="47"/>
      <c r="RDT40" s="47"/>
      <c r="RDU40" s="47"/>
      <c r="RDV40" s="47"/>
      <c r="RDW40" s="47"/>
      <c r="RDX40" s="47"/>
      <c r="RDY40" s="47"/>
      <c r="RDZ40" s="47"/>
      <c r="REA40" s="47"/>
      <c r="REB40" s="47"/>
      <c r="REC40" s="47"/>
      <c r="RED40" s="47"/>
      <c r="REE40" s="47"/>
      <c r="REF40" s="47"/>
      <c r="REG40" s="47"/>
      <c r="REH40" s="47"/>
      <c r="REI40" s="47"/>
      <c r="REJ40" s="47"/>
      <c r="REK40" s="47"/>
      <c r="REL40" s="47"/>
      <c r="REM40" s="47"/>
      <c r="REN40" s="47"/>
      <c r="REO40" s="47"/>
      <c r="REP40" s="47"/>
      <c r="REQ40" s="47"/>
      <c r="RER40" s="47"/>
      <c r="RES40" s="47"/>
      <c r="RET40" s="47"/>
      <c r="REU40" s="47"/>
      <c r="REV40" s="47"/>
      <c r="REW40" s="47"/>
      <c r="REX40" s="47"/>
      <c r="REY40" s="47"/>
      <c r="REZ40" s="47"/>
      <c r="RFA40" s="47"/>
      <c r="RFB40" s="47"/>
      <c r="RFC40" s="47"/>
      <c r="RFD40" s="47"/>
      <c r="RFE40" s="47"/>
      <c r="RFF40" s="47"/>
      <c r="RFG40" s="47"/>
      <c r="RFH40" s="47"/>
      <c r="RFI40" s="47"/>
      <c r="RFJ40" s="47"/>
      <c r="RFK40" s="47"/>
      <c r="RFL40" s="47"/>
      <c r="RFM40" s="47"/>
      <c r="RFN40" s="47"/>
      <c r="RFO40" s="47"/>
      <c r="RFP40" s="47"/>
      <c r="RFQ40" s="47"/>
      <c r="RFR40" s="47"/>
      <c r="RFS40" s="47"/>
      <c r="RFT40" s="47"/>
      <c r="RFU40" s="47"/>
      <c r="RFV40" s="47"/>
      <c r="RFW40" s="47"/>
      <c r="RFX40" s="47"/>
      <c r="RFY40" s="47"/>
      <c r="RFZ40" s="47"/>
      <c r="RGA40" s="47"/>
      <c r="RGB40" s="47"/>
      <c r="RGC40" s="47"/>
      <c r="RGD40" s="47"/>
      <c r="RGE40" s="47"/>
      <c r="RGF40" s="47"/>
      <c r="RGG40" s="47"/>
      <c r="RGH40" s="47"/>
      <c r="RGI40" s="47"/>
      <c r="RGJ40" s="47"/>
      <c r="RGK40" s="47"/>
      <c r="RGL40" s="47"/>
      <c r="RGM40" s="47"/>
      <c r="RGN40" s="47"/>
      <c r="RGO40" s="47"/>
      <c r="RGP40" s="47"/>
      <c r="RGQ40" s="47"/>
      <c r="RGR40" s="47"/>
      <c r="RGS40" s="47"/>
      <c r="RGT40" s="47"/>
      <c r="RGU40" s="47"/>
      <c r="RGV40" s="47"/>
      <c r="RGW40" s="47"/>
      <c r="RGX40" s="47"/>
      <c r="RGY40" s="47"/>
      <c r="RGZ40" s="47"/>
      <c r="RHA40" s="47"/>
      <c r="RHB40" s="47"/>
      <c r="RHC40" s="47"/>
      <c r="RHD40" s="47"/>
      <c r="RHE40" s="47"/>
      <c r="RHF40" s="47"/>
      <c r="RHG40" s="47"/>
      <c r="RHH40" s="47"/>
      <c r="RHI40" s="47"/>
      <c r="RHJ40" s="47"/>
      <c r="RHK40" s="47"/>
      <c r="RHL40" s="47"/>
      <c r="RHM40" s="47"/>
      <c r="RHN40" s="47"/>
      <c r="RHO40" s="47"/>
      <c r="RHP40" s="47"/>
      <c r="RHQ40" s="47"/>
      <c r="RHR40" s="47"/>
      <c r="RHS40" s="47"/>
      <c r="RHT40" s="47"/>
      <c r="RHU40" s="47"/>
      <c r="RHV40" s="47"/>
      <c r="RHW40" s="47"/>
      <c r="RHX40" s="47"/>
      <c r="RHY40" s="47"/>
      <c r="RHZ40" s="47"/>
      <c r="RIA40" s="47"/>
      <c r="RIB40" s="47"/>
      <c r="RIC40" s="47"/>
      <c r="RID40" s="47"/>
      <c r="RIE40" s="47"/>
      <c r="RIF40" s="47"/>
      <c r="RIG40" s="47"/>
      <c r="RIH40" s="47"/>
      <c r="RII40" s="47"/>
      <c r="RIJ40" s="47"/>
      <c r="RIK40" s="47"/>
      <c r="RIL40" s="47"/>
      <c r="RIM40" s="47"/>
      <c r="RIN40" s="47"/>
      <c r="RIO40" s="47"/>
      <c r="RIP40" s="47"/>
      <c r="RIQ40" s="47"/>
      <c r="RIR40" s="47"/>
      <c r="RIS40" s="47"/>
      <c r="RIT40" s="47"/>
      <c r="RIU40" s="47"/>
      <c r="RIV40" s="47"/>
      <c r="RIW40" s="47"/>
      <c r="RIX40" s="47"/>
      <c r="RIY40" s="47"/>
      <c r="RIZ40" s="47"/>
      <c r="RJA40" s="47"/>
      <c r="RJB40" s="47"/>
      <c r="RJC40" s="47"/>
      <c r="RJD40" s="47"/>
      <c r="RJE40" s="47"/>
      <c r="RJF40" s="47"/>
      <c r="RJG40" s="47"/>
      <c r="RJH40" s="47"/>
      <c r="RJI40" s="47"/>
      <c r="RJJ40" s="47"/>
      <c r="RJK40" s="47"/>
      <c r="RJL40" s="47"/>
      <c r="RJM40" s="47"/>
      <c r="RJN40" s="47"/>
      <c r="RJO40" s="47"/>
      <c r="RJP40" s="47"/>
      <c r="RJQ40" s="47"/>
      <c r="RJR40" s="47"/>
      <c r="RJS40" s="47"/>
      <c r="RJT40" s="47"/>
      <c r="RJU40" s="47"/>
      <c r="RJV40" s="47"/>
      <c r="RJW40" s="47"/>
      <c r="RJX40" s="47"/>
      <c r="RJY40" s="47"/>
      <c r="RJZ40" s="47"/>
      <c r="RKA40" s="47"/>
      <c r="RKB40" s="47"/>
      <c r="RKC40" s="47"/>
      <c r="RKD40" s="47"/>
      <c r="RKE40" s="47"/>
      <c r="RKF40" s="47"/>
      <c r="RKG40" s="47"/>
      <c r="RKH40" s="47"/>
      <c r="RKI40" s="47"/>
      <c r="RKJ40" s="47"/>
      <c r="RKK40" s="47"/>
      <c r="RKL40" s="47"/>
      <c r="RKM40" s="47"/>
      <c r="RKN40" s="47"/>
      <c r="RKO40" s="47"/>
      <c r="RKP40" s="47"/>
      <c r="RKQ40" s="47"/>
      <c r="RKR40" s="47"/>
      <c r="RKS40" s="47"/>
      <c r="RKT40" s="47"/>
      <c r="RKU40" s="47"/>
      <c r="RKV40" s="47"/>
      <c r="RKW40" s="47"/>
      <c r="RKX40" s="47"/>
      <c r="RKY40" s="47"/>
      <c r="RKZ40" s="47"/>
      <c r="RLA40" s="47"/>
      <c r="RLB40" s="47"/>
      <c r="RLC40" s="47"/>
      <c r="RLD40" s="47"/>
      <c r="RLE40" s="47"/>
      <c r="RLF40" s="47"/>
      <c r="RLG40" s="47"/>
      <c r="RLH40" s="47"/>
      <c r="RLI40" s="47"/>
      <c r="RLJ40" s="47"/>
      <c r="RLK40" s="47"/>
      <c r="RLL40" s="47"/>
      <c r="RLM40" s="47"/>
      <c r="RLN40" s="47"/>
      <c r="RLO40" s="47"/>
      <c r="RLP40" s="47"/>
      <c r="RLQ40" s="47"/>
      <c r="RLR40" s="47"/>
      <c r="RLS40" s="47"/>
      <c r="RLT40" s="47"/>
      <c r="RLU40" s="47"/>
      <c r="RLV40" s="47"/>
      <c r="RLW40" s="47"/>
      <c r="RLX40" s="47"/>
      <c r="RLY40" s="47"/>
      <c r="RLZ40" s="47"/>
      <c r="RMA40" s="47"/>
      <c r="RMB40" s="47"/>
      <c r="RMC40" s="47"/>
      <c r="RMD40" s="47"/>
      <c r="RME40" s="47"/>
      <c r="RMF40" s="47"/>
      <c r="RMG40" s="47"/>
      <c r="RMH40" s="47"/>
      <c r="RMI40" s="47"/>
      <c r="RMJ40" s="47"/>
      <c r="RMK40" s="47"/>
      <c r="RML40" s="47"/>
      <c r="RMM40" s="47"/>
      <c r="RMN40" s="47"/>
      <c r="RMO40" s="47"/>
      <c r="RMP40" s="47"/>
      <c r="RMQ40" s="47"/>
      <c r="RMR40" s="47"/>
      <c r="RMS40" s="47"/>
      <c r="RMT40" s="47"/>
      <c r="RMU40" s="47"/>
      <c r="RMV40" s="47"/>
      <c r="RMW40" s="47"/>
      <c r="RMX40" s="47"/>
      <c r="RMY40" s="47"/>
      <c r="RMZ40" s="47"/>
      <c r="RNA40" s="47"/>
      <c r="RNB40" s="47"/>
      <c r="RNC40" s="47"/>
      <c r="RND40" s="47"/>
      <c r="RNE40" s="47"/>
      <c r="RNF40" s="47"/>
      <c r="RNG40" s="47"/>
      <c r="RNH40" s="47"/>
      <c r="RNI40" s="47"/>
      <c r="RNJ40" s="47"/>
      <c r="RNK40" s="47"/>
      <c r="RNL40" s="47"/>
      <c r="RNM40" s="47"/>
      <c r="RNN40" s="47"/>
      <c r="RNO40" s="47"/>
      <c r="RNP40" s="47"/>
      <c r="RNQ40" s="47"/>
      <c r="RNR40" s="47"/>
      <c r="RNS40" s="47"/>
      <c r="RNT40" s="47"/>
      <c r="RNU40" s="47"/>
      <c r="RNV40" s="47"/>
      <c r="RNW40" s="47"/>
      <c r="RNX40" s="47"/>
      <c r="RNY40" s="47"/>
      <c r="RNZ40" s="47"/>
      <c r="ROA40" s="47"/>
      <c r="ROB40" s="47"/>
      <c r="ROC40" s="47"/>
      <c r="ROD40" s="47"/>
      <c r="ROE40" s="47"/>
      <c r="ROF40" s="47"/>
      <c r="ROG40" s="47"/>
      <c r="ROH40" s="47"/>
      <c r="ROI40" s="47"/>
      <c r="ROJ40" s="47"/>
      <c r="ROK40" s="47"/>
      <c r="ROL40" s="47"/>
      <c r="ROM40" s="47"/>
      <c r="RON40" s="47"/>
      <c r="ROO40" s="47"/>
      <c r="ROP40" s="47"/>
      <c r="ROQ40" s="47"/>
      <c r="ROR40" s="47"/>
      <c r="ROS40" s="47"/>
      <c r="ROT40" s="47"/>
      <c r="ROU40" s="47"/>
      <c r="ROV40" s="47"/>
      <c r="ROW40" s="47"/>
      <c r="ROX40" s="47"/>
      <c r="ROY40" s="47"/>
      <c r="ROZ40" s="47"/>
      <c r="RPA40" s="47"/>
      <c r="RPB40" s="47"/>
      <c r="RPC40" s="47"/>
      <c r="RPD40" s="47"/>
      <c r="RPE40" s="47"/>
      <c r="RPF40" s="47"/>
      <c r="RPG40" s="47"/>
      <c r="RPH40" s="47"/>
      <c r="RPI40" s="47"/>
      <c r="RPJ40" s="47"/>
      <c r="RPK40" s="47"/>
      <c r="RPL40" s="47"/>
      <c r="RPM40" s="47"/>
      <c r="RPN40" s="47"/>
      <c r="RPO40" s="47"/>
      <c r="RPP40" s="47"/>
      <c r="RPQ40" s="47"/>
      <c r="RPR40" s="47"/>
      <c r="RPS40" s="47"/>
      <c r="RPT40" s="47"/>
      <c r="RPU40" s="47"/>
      <c r="RPV40" s="47"/>
      <c r="RPW40" s="47"/>
      <c r="RPX40" s="47"/>
      <c r="RPY40" s="47"/>
      <c r="RPZ40" s="47"/>
      <c r="RQA40" s="47"/>
      <c r="RQB40" s="47"/>
      <c r="RQC40" s="47"/>
      <c r="RQD40" s="47"/>
      <c r="RQE40" s="47"/>
      <c r="RQF40" s="47"/>
      <c r="RQG40" s="47"/>
      <c r="RQH40" s="47"/>
      <c r="RQI40" s="47"/>
      <c r="RQJ40" s="47"/>
      <c r="RQK40" s="47"/>
      <c r="RQL40" s="47"/>
      <c r="RQM40" s="47"/>
      <c r="RQN40" s="47"/>
      <c r="RQO40" s="47"/>
      <c r="RQP40" s="47"/>
      <c r="RQQ40" s="47"/>
      <c r="RQR40" s="47"/>
      <c r="RQS40" s="47"/>
      <c r="RQT40" s="47"/>
      <c r="RQU40" s="47"/>
      <c r="RQV40" s="47"/>
      <c r="RQW40" s="47"/>
      <c r="RQX40" s="47"/>
      <c r="RQY40" s="47"/>
      <c r="RQZ40" s="47"/>
      <c r="RRA40" s="47"/>
      <c r="RRB40" s="47"/>
      <c r="RRC40" s="47"/>
      <c r="RRD40" s="47"/>
      <c r="RRE40" s="47"/>
      <c r="RRF40" s="47"/>
      <c r="RRG40" s="47"/>
      <c r="RRH40" s="47"/>
      <c r="RRI40" s="47"/>
      <c r="RRJ40" s="47"/>
      <c r="RRK40" s="47"/>
      <c r="RRL40" s="47"/>
      <c r="RRM40" s="47"/>
      <c r="RRN40" s="47"/>
      <c r="RRO40" s="47"/>
      <c r="RRP40" s="47"/>
      <c r="RRQ40" s="47"/>
      <c r="RRR40" s="47"/>
      <c r="RRS40" s="47"/>
      <c r="RRT40" s="47"/>
      <c r="RRU40" s="47"/>
      <c r="RRV40" s="47"/>
      <c r="RRW40" s="47"/>
      <c r="RRX40" s="47"/>
      <c r="RRY40" s="47"/>
      <c r="RRZ40" s="47"/>
      <c r="RSA40" s="47"/>
      <c r="RSB40" s="47"/>
      <c r="RSC40" s="47"/>
      <c r="RSD40" s="47"/>
      <c r="RSE40" s="47"/>
      <c r="RSF40" s="47"/>
      <c r="RSG40" s="47"/>
      <c r="RSH40" s="47"/>
      <c r="RSI40" s="47"/>
      <c r="RSJ40" s="47"/>
      <c r="RSK40" s="47"/>
      <c r="RSL40" s="47"/>
      <c r="RSM40" s="47"/>
      <c r="RSN40" s="47"/>
      <c r="RSO40" s="47"/>
      <c r="RSP40" s="47"/>
      <c r="RSQ40" s="47"/>
      <c r="RSR40" s="47"/>
      <c r="RSS40" s="47"/>
      <c r="RST40" s="47"/>
      <c r="RSU40" s="47"/>
      <c r="RSV40" s="47"/>
      <c r="RSW40" s="47"/>
      <c r="RSX40" s="47"/>
      <c r="RSY40" s="47"/>
      <c r="RSZ40" s="47"/>
      <c r="RTA40" s="47"/>
      <c r="RTB40" s="47"/>
      <c r="RTC40" s="47"/>
      <c r="RTD40" s="47"/>
      <c r="RTE40" s="47"/>
      <c r="RTF40" s="47"/>
      <c r="RTG40" s="47"/>
      <c r="RTH40" s="47"/>
      <c r="RTI40" s="47"/>
      <c r="RTJ40" s="47"/>
      <c r="RTK40" s="47"/>
      <c r="RTL40" s="47"/>
      <c r="RTM40" s="47"/>
      <c r="RTN40" s="47"/>
      <c r="RTO40" s="47"/>
      <c r="RTP40" s="47"/>
      <c r="RTQ40" s="47"/>
      <c r="RTR40" s="47"/>
      <c r="RTS40" s="47"/>
      <c r="RTT40" s="47"/>
      <c r="RTU40" s="47"/>
      <c r="RTV40" s="47"/>
      <c r="RTW40" s="47"/>
      <c r="RTX40" s="47"/>
      <c r="RTY40" s="47"/>
      <c r="RTZ40" s="47"/>
      <c r="RUA40" s="47"/>
      <c r="RUB40" s="47"/>
      <c r="RUC40" s="47"/>
      <c r="RUD40" s="47"/>
      <c r="RUE40" s="47"/>
      <c r="RUF40" s="47"/>
      <c r="RUG40" s="47"/>
      <c r="RUH40" s="47"/>
      <c r="RUI40" s="47"/>
      <c r="RUJ40" s="47"/>
      <c r="RUK40" s="47"/>
      <c r="RUL40" s="47"/>
      <c r="RUM40" s="47"/>
      <c r="RUN40" s="47"/>
      <c r="RUO40" s="47"/>
      <c r="RUP40" s="47"/>
      <c r="RUQ40" s="47"/>
      <c r="RUR40" s="47"/>
      <c r="RUS40" s="47"/>
      <c r="RUT40" s="47"/>
      <c r="RUU40" s="47"/>
      <c r="RUV40" s="47"/>
      <c r="RUW40" s="47"/>
      <c r="RUX40" s="47"/>
      <c r="RUY40" s="47"/>
      <c r="RUZ40" s="47"/>
      <c r="RVA40" s="47"/>
      <c r="RVB40" s="47"/>
      <c r="RVC40" s="47"/>
      <c r="RVD40" s="47"/>
      <c r="RVE40" s="47"/>
      <c r="RVF40" s="47"/>
      <c r="RVG40" s="47"/>
      <c r="RVH40" s="47"/>
      <c r="RVI40" s="47"/>
      <c r="RVJ40" s="47"/>
      <c r="RVK40" s="47"/>
      <c r="RVL40" s="47"/>
      <c r="RVM40" s="47"/>
      <c r="RVN40" s="47"/>
      <c r="RVO40" s="47"/>
      <c r="RVP40" s="47"/>
      <c r="RVQ40" s="47"/>
      <c r="RVR40" s="47"/>
      <c r="RVS40" s="47"/>
      <c r="RVT40" s="47"/>
      <c r="RVU40" s="47"/>
      <c r="RVV40" s="47"/>
      <c r="RVW40" s="47"/>
      <c r="RVX40" s="47"/>
      <c r="RVY40" s="47"/>
      <c r="RVZ40" s="47"/>
      <c r="RWA40" s="47"/>
      <c r="RWB40" s="47"/>
      <c r="RWC40" s="47"/>
      <c r="RWD40" s="47"/>
      <c r="RWE40" s="47"/>
      <c r="RWF40" s="47"/>
      <c r="RWG40" s="47"/>
      <c r="RWH40" s="47"/>
      <c r="RWI40" s="47"/>
      <c r="RWJ40" s="47"/>
      <c r="RWK40" s="47"/>
      <c r="RWL40" s="47"/>
      <c r="RWM40" s="47"/>
      <c r="RWN40" s="47"/>
      <c r="RWO40" s="47"/>
      <c r="RWP40" s="47"/>
      <c r="RWQ40" s="47"/>
      <c r="RWR40" s="47"/>
      <c r="RWS40" s="47"/>
      <c r="RWT40" s="47"/>
      <c r="RWU40" s="47"/>
      <c r="RWV40" s="47"/>
      <c r="RWW40" s="47"/>
      <c r="RWX40" s="47"/>
      <c r="RWY40" s="47"/>
      <c r="RWZ40" s="47"/>
      <c r="RXA40" s="47"/>
      <c r="RXB40" s="47"/>
      <c r="RXC40" s="47"/>
      <c r="RXD40" s="47"/>
      <c r="RXE40" s="47"/>
      <c r="RXF40" s="47"/>
      <c r="RXG40" s="47"/>
      <c r="RXH40" s="47"/>
      <c r="RXI40" s="47"/>
      <c r="RXJ40" s="47"/>
      <c r="RXK40" s="47"/>
      <c r="RXL40" s="47"/>
      <c r="RXM40" s="47"/>
      <c r="RXN40" s="47"/>
      <c r="RXO40" s="47"/>
      <c r="RXP40" s="47"/>
      <c r="RXQ40" s="47"/>
      <c r="RXR40" s="47"/>
      <c r="RXS40" s="47"/>
      <c r="RXT40" s="47"/>
      <c r="RXU40" s="47"/>
      <c r="RXV40" s="47"/>
      <c r="RXW40" s="47"/>
      <c r="RXX40" s="47"/>
      <c r="RXY40" s="47"/>
      <c r="RXZ40" s="47"/>
      <c r="RYA40" s="47"/>
      <c r="RYB40" s="47"/>
      <c r="RYC40" s="47"/>
      <c r="RYD40" s="47"/>
      <c r="RYE40" s="47"/>
      <c r="RYF40" s="47"/>
      <c r="RYG40" s="47"/>
      <c r="RYH40" s="47"/>
      <c r="RYI40" s="47"/>
      <c r="RYJ40" s="47"/>
      <c r="RYK40" s="47"/>
      <c r="RYL40" s="47"/>
      <c r="RYM40" s="47"/>
      <c r="RYN40" s="47"/>
      <c r="RYO40" s="47"/>
      <c r="RYP40" s="47"/>
      <c r="RYQ40" s="47"/>
      <c r="RYR40" s="47"/>
      <c r="RYS40" s="47"/>
      <c r="RYT40" s="47"/>
      <c r="RYU40" s="47"/>
      <c r="RYV40" s="47"/>
      <c r="RYW40" s="47"/>
      <c r="RYX40" s="47"/>
      <c r="RYY40" s="47"/>
      <c r="RYZ40" s="47"/>
      <c r="RZA40" s="47"/>
      <c r="RZB40" s="47"/>
      <c r="RZC40" s="47"/>
      <c r="RZD40" s="47"/>
      <c r="RZE40" s="47"/>
      <c r="RZF40" s="47"/>
      <c r="RZG40" s="47"/>
      <c r="RZH40" s="47"/>
      <c r="RZI40" s="47"/>
      <c r="RZJ40" s="47"/>
      <c r="RZK40" s="47"/>
      <c r="RZL40" s="47"/>
      <c r="RZM40" s="47"/>
      <c r="RZN40" s="47"/>
      <c r="RZO40" s="47"/>
      <c r="RZP40" s="47"/>
      <c r="RZQ40" s="47"/>
      <c r="RZR40" s="47"/>
      <c r="RZS40" s="47"/>
      <c r="RZT40" s="47"/>
      <c r="RZU40" s="47"/>
      <c r="RZV40" s="47"/>
      <c r="RZW40" s="47"/>
      <c r="RZX40" s="47"/>
      <c r="RZY40" s="47"/>
      <c r="RZZ40" s="47"/>
      <c r="SAA40" s="47"/>
      <c r="SAB40" s="47"/>
      <c r="SAC40" s="47"/>
      <c r="SAD40" s="47"/>
      <c r="SAE40" s="47"/>
      <c r="SAF40" s="47"/>
      <c r="SAG40" s="47"/>
      <c r="SAH40" s="47"/>
      <c r="SAI40" s="47"/>
      <c r="SAJ40" s="47"/>
      <c r="SAK40" s="47"/>
      <c r="SAL40" s="47"/>
      <c r="SAM40" s="47"/>
      <c r="SAN40" s="47"/>
      <c r="SAO40" s="47"/>
      <c r="SAP40" s="47"/>
      <c r="SAQ40" s="47"/>
      <c r="SAR40" s="47"/>
      <c r="SAS40" s="47"/>
      <c r="SAT40" s="47"/>
      <c r="SAU40" s="47"/>
      <c r="SAV40" s="47"/>
      <c r="SAW40" s="47"/>
      <c r="SAX40" s="47"/>
      <c r="SAY40" s="47"/>
      <c r="SAZ40" s="47"/>
      <c r="SBA40" s="47"/>
      <c r="SBB40" s="47"/>
      <c r="SBC40" s="47"/>
      <c r="SBD40" s="47"/>
      <c r="SBE40" s="47"/>
      <c r="SBF40" s="47"/>
      <c r="SBG40" s="47"/>
      <c r="SBH40" s="47"/>
      <c r="SBI40" s="47"/>
      <c r="SBJ40" s="47"/>
      <c r="SBK40" s="47"/>
      <c r="SBL40" s="47"/>
      <c r="SBM40" s="47"/>
      <c r="SBN40" s="47"/>
      <c r="SBO40" s="47"/>
      <c r="SBP40" s="47"/>
      <c r="SBQ40" s="47"/>
      <c r="SBR40" s="47"/>
      <c r="SBS40" s="47"/>
      <c r="SBT40" s="47"/>
      <c r="SBU40" s="47"/>
      <c r="SBV40" s="47"/>
      <c r="SBW40" s="47"/>
      <c r="SBX40" s="47"/>
      <c r="SBY40" s="47"/>
      <c r="SBZ40" s="47"/>
      <c r="SCA40" s="47"/>
      <c r="SCB40" s="47"/>
      <c r="SCC40" s="47"/>
      <c r="SCD40" s="47"/>
      <c r="SCE40" s="47"/>
      <c r="SCF40" s="47"/>
      <c r="SCG40" s="47"/>
      <c r="SCH40" s="47"/>
      <c r="SCI40" s="47"/>
      <c r="SCJ40" s="47"/>
      <c r="SCK40" s="47"/>
      <c r="SCL40" s="47"/>
      <c r="SCM40" s="47"/>
      <c r="SCN40" s="47"/>
      <c r="SCO40" s="47"/>
      <c r="SCP40" s="47"/>
      <c r="SCQ40" s="47"/>
      <c r="SCR40" s="47"/>
      <c r="SCS40" s="47"/>
      <c r="SCT40" s="47"/>
      <c r="SCU40" s="47"/>
      <c r="SCV40" s="47"/>
      <c r="SCW40" s="47"/>
      <c r="SCX40" s="47"/>
      <c r="SCY40" s="47"/>
      <c r="SCZ40" s="47"/>
      <c r="SDA40" s="47"/>
      <c r="SDB40" s="47"/>
      <c r="SDC40" s="47"/>
      <c r="SDD40" s="47"/>
      <c r="SDE40" s="47"/>
      <c r="SDF40" s="47"/>
      <c r="SDG40" s="47"/>
      <c r="SDH40" s="47"/>
      <c r="SDI40" s="47"/>
      <c r="SDJ40" s="47"/>
      <c r="SDK40" s="47"/>
      <c r="SDL40" s="47"/>
      <c r="SDM40" s="47"/>
      <c r="SDN40" s="47"/>
      <c r="SDO40" s="47"/>
      <c r="SDP40" s="47"/>
      <c r="SDQ40" s="47"/>
      <c r="SDR40" s="47"/>
      <c r="SDS40" s="47"/>
      <c r="SDT40" s="47"/>
      <c r="SDU40" s="47"/>
      <c r="SDV40" s="47"/>
      <c r="SDW40" s="47"/>
      <c r="SDX40" s="47"/>
      <c r="SDY40" s="47"/>
      <c r="SDZ40" s="47"/>
      <c r="SEA40" s="47"/>
      <c r="SEB40" s="47"/>
      <c r="SEC40" s="47"/>
      <c r="SED40" s="47"/>
      <c r="SEE40" s="47"/>
      <c r="SEF40" s="47"/>
      <c r="SEG40" s="47"/>
      <c r="SEH40" s="47"/>
      <c r="SEI40" s="47"/>
      <c r="SEJ40" s="47"/>
      <c r="SEK40" s="47"/>
      <c r="SEL40" s="47"/>
      <c r="SEM40" s="47"/>
      <c r="SEN40" s="47"/>
      <c r="SEO40" s="47"/>
      <c r="SEP40" s="47"/>
      <c r="SEQ40" s="47"/>
      <c r="SER40" s="47"/>
      <c r="SES40" s="47"/>
      <c r="SET40" s="47"/>
      <c r="SEU40" s="47"/>
      <c r="SEV40" s="47"/>
      <c r="SEW40" s="47"/>
      <c r="SEX40" s="47"/>
      <c r="SEY40" s="47"/>
      <c r="SEZ40" s="47"/>
      <c r="SFA40" s="47"/>
      <c r="SFB40" s="47"/>
      <c r="SFC40" s="47"/>
      <c r="SFD40" s="47"/>
      <c r="SFE40" s="47"/>
      <c r="SFF40" s="47"/>
      <c r="SFG40" s="47"/>
      <c r="SFH40" s="47"/>
      <c r="SFI40" s="47"/>
      <c r="SFJ40" s="47"/>
      <c r="SFK40" s="47"/>
      <c r="SFL40" s="47"/>
      <c r="SFM40" s="47"/>
      <c r="SFN40" s="47"/>
      <c r="SFO40" s="47"/>
      <c r="SFP40" s="47"/>
      <c r="SFQ40" s="47"/>
      <c r="SFR40" s="47"/>
      <c r="SFS40" s="47"/>
      <c r="SFT40" s="47"/>
      <c r="SFU40" s="47"/>
      <c r="SFV40" s="47"/>
      <c r="SFW40" s="47"/>
      <c r="SFX40" s="47"/>
      <c r="SFY40" s="47"/>
      <c r="SFZ40" s="47"/>
      <c r="SGA40" s="47"/>
      <c r="SGB40" s="47"/>
      <c r="SGC40" s="47"/>
      <c r="SGD40" s="47"/>
      <c r="SGE40" s="47"/>
      <c r="SGF40" s="47"/>
      <c r="SGG40" s="47"/>
      <c r="SGH40" s="47"/>
      <c r="SGI40" s="47"/>
      <c r="SGJ40" s="47"/>
      <c r="SGK40" s="47"/>
      <c r="SGL40" s="47"/>
      <c r="SGM40" s="47"/>
      <c r="SGN40" s="47"/>
      <c r="SGO40" s="47"/>
      <c r="SGP40" s="47"/>
      <c r="SGQ40" s="47"/>
      <c r="SGR40" s="47"/>
      <c r="SGS40" s="47"/>
      <c r="SGT40" s="47"/>
      <c r="SGU40" s="47"/>
      <c r="SGV40" s="47"/>
      <c r="SGW40" s="47"/>
      <c r="SGX40" s="47"/>
      <c r="SGY40" s="47"/>
      <c r="SGZ40" s="47"/>
      <c r="SHA40" s="47"/>
      <c r="SHB40" s="47"/>
      <c r="SHC40" s="47"/>
      <c r="SHD40" s="47"/>
      <c r="SHE40" s="47"/>
      <c r="SHF40" s="47"/>
      <c r="SHG40" s="47"/>
      <c r="SHH40" s="47"/>
      <c r="SHI40" s="47"/>
      <c r="SHJ40" s="47"/>
      <c r="SHK40" s="47"/>
      <c r="SHL40" s="47"/>
      <c r="SHM40" s="47"/>
      <c r="SHN40" s="47"/>
      <c r="SHO40" s="47"/>
      <c r="SHP40" s="47"/>
      <c r="SHQ40" s="47"/>
      <c r="SHR40" s="47"/>
      <c r="SHS40" s="47"/>
      <c r="SHT40" s="47"/>
      <c r="SHU40" s="47"/>
      <c r="SHV40" s="47"/>
      <c r="SHW40" s="47"/>
      <c r="SHX40" s="47"/>
      <c r="SHY40" s="47"/>
      <c r="SHZ40" s="47"/>
      <c r="SIA40" s="47"/>
      <c r="SIB40" s="47"/>
      <c r="SIC40" s="47"/>
      <c r="SID40" s="47"/>
      <c r="SIE40" s="47"/>
      <c r="SIF40" s="47"/>
      <c r="SIG40" s="47"/>
      <c r="SIH40" s="47"/>
      <c r="SII40" s="47"/>
      <c r="SIJ40" s="47"/>
      <c r="SIK40" s="47"/>
      <c r="SIL40" s="47"/>
      <c r="SIM40" s="47"/>
      <c r="SIN40" s="47"/>
      <c r="SIO40" s="47"/>
      <c r="SIP40" s="47"/>
      <c r="SIQ40" s="47"/>
      <c r="SIR40" s="47"/>
      <c r="SIS40" s="47"/>
      <c r="SIT40" s="47"/>
      <c r="SIU40" s="47"/>
      <c r="SIV40" s="47"/>
      <c r="SIW40" s="47"/>
      <c r="SIX40" s="47"/>
      <c r="SIY40" s="47"/>
      <c r="SIZ40" s="47"/>
      <c r="SJA40" s="47"/>
      <c r="SJB40" s="47"/>
      <c r="SJC40" s="47"/>
      <c r="SJD40" s="47"/>
      <c r="SJE40" s="47"/>
      <c r="SJF40" s="47"/>
      <c r="SJG40" s="47"/>
      <c r="SJH40" s="47"/>
      <c r="SJI40" s="47"/>
      <c r="SJJ40" s="47"/>
      <c r="SJK40" s="47"/>
      <c r="SJL40" s="47"/>
      <c r="SJM40" s="47"/>
      <c r="SJN40" s="47"/>
      <c r="SJO40" s="47"/>
      <c r="SJP40" s="47"/>
      <c r="SJQ40" s="47"/>
      <c r="SJR40" s="47"/>
      <c r="SJS40" s="47"/>
      <c r="SJT40" s="47"/>
      <c r="SJU40" s="47"/>
      <c r="SJV40" s="47"/>
      <c r="SJW40" s="47"/>
      <c r="SJX40" s="47"/>
      <c r="SJY40" s="47"/>
      <c r="SJZ40" s="47"/>
      <c r="SKA40" s="47"/>
      <c r="SKB40" s="47"/>
      <c r="SKC40" s="47"/>
      <c r="SKD40" s="47"/>
      <c r="SKE40" s="47"/>
      <c r="SKF40" s="47"/>
      <c r="SKG40" s="47"/>
      <c r="SKH40" s="47"/>
      <c r="SKI40" s="47"/>
      <c r="SKJ40" s="47"/>
      <c r="SKK40" s="47"/>
      <c r="SKL40" s="47"/>
      <c r="SKM40" s="47"/>
      <c r="SKN40" s="47"/>
      <c r="SKO40" s="47"/>
      <c r="SKP40" s="47"/>
      <c r="SKQ40" s="47"/>
      <c r="SKR40" s="47"/>
      <c r="SKS40" s="47"/>
      <c r="SKT40" s="47"/>
      <c r="SKU40" s="47"/>
      <c r="SKV40" s="47"/>
      <c r="SKW40" s="47"/>
      <c r="SKX40" s="47"/>
      <c r="SKY40" s="47"/>
      <c r="SKZ40" s="47"/>
      <c r="SLA40" s="47"/>
      <c r="SLB40" s="47"/>
      <c r="SLC40" s="47"/>
      <c r="SLD40" s="47"/>
      <c r="SLE40" s="47"/>
      <c r="SLF40" s="47"/>
      <c r="SLG40" s="47"/>
      <c r="SLH40" s="47"/>
      <c r="SLI40" s="47"/>
      <c r="SLJ40" s="47"/>
      <c r="SLK40" s="47"/>
      <c r="SLL40" s="47"/>
      <c r="SLM40" s="47"/>
      <c r="SLN40" s="47"/>
      <c r="SLO40" s="47"/>
      <c r="SLP40" s="47"/>
      <c r="SLQ40" s="47"/>
      <c r="SLR40" s="47"/>
      <c r="SLS40" s="47"/>
      <c r="SLT40" s="47"/>
      <c r="SLU40" s="47"/>
      <c r="SLV40" s="47"/>
      <c r="SLW40" s="47"/>
      <c r="SLX40" s="47"/>
      <c r="SLY40" s="47"/>
      <c r="SLZ40" s="47"/>
      <c r="SMA40" s="47"/>
      <c r="SMB40" s="47"/>
      <c r="SMC40" s="47"/>
      <c r="SMD40" s="47"/>
      <c r="SME40" s="47"/>
      <c r="SMF40" s="47"/>
      <c r="SMG40" s="47"/>
      <c r="SMH40" s="47"/>
      <c r="SMI40" s="47"/>
      <c r="SMJ40" s="47"/>
      <c r="SMK40" s="47"/>
      <c r="SML40" s="47"/>
      <c r="SMM40" s="47"/>
      <c r="SMN40" s="47"/>
      <c r="SMO40" s="47"/>
      <c r="SMP40" s="47"/>
      <c r="SMQ40" s="47"/>
      <c r="SMR40" s="47"/>
      <c r="SMS40" s="47"/>
      <c r="SMT40" s="47"/>
      <c r="SMU40" s="47"/>
      <c r="SMV40" s="47"/>
      <c r="SMW40" s="47"/>
      <c r="SMX40" s="47"/>
      <c r="SMY40" s="47"/>
      <c r="SMZ40" s="47"/>
      <c r="SNA40" s="47"/>
      <c r="SNB40" s="47"/>
      <c r="SNC40" s="47"/>
      <c r="SND40" s="47"/>
      <c r="SNE40" s="47"/>
      <c r="SNF40" s="47"/>
      <c r="SNG40" s="47"/>
      <c r="SNH40" s="47"/>
      <c r="SNI40" s="47"/>
      <c r="SNJ40" s="47"/>
      <c r="SNK40" s="47"/>
      <c r="SNL40" s="47"/>
      <c r="SNM40" s="47"/>
      <c r="SNN40" s="47"/>
      <c r="SNO40" s="47"/>
      <c r="SNP40" s="47"/>
      <c r="SNQ40" s="47"/>
      <c r="SNR40" s="47"/>
      <c r="SNS40" s="47"/>
      <c r="SNT40" s="47"/>
      <c r="SNU40" s="47"/>
      <c r="SNV40" s="47"/>
      <c r="SNW40" s="47"/>
      <c r="SNX40" s="47"/>
      <c r="SNY40" s="47"/>
      <c r="SNZ40" s="47"/>
      <c r="SOA40" s="47"/>
      <c r="SOB40" s="47"/>
      <c r="SOC40" s="47"/>
      <c r="SOD40" s="47"/>
      <c r="SOE40" s="47"/>
      <c r="SOF40" s="47"/>
      <c r="SOG40" s="47"/>
      <c r="SOH40" s="47"/>
      <c r="SOI40" s="47"/>
      <c r="SOJ40" s="47"/>
      <c r="SOK40" s="47"/>
      <c r="SOL40" s="47"/>
      <c r="SOM40" s="47"/>
      <c r="SON40" s="47"/>
      <c r="SOO40" s="47"/>
      <c r="SOP40" s="47"/>
      <c r="SOQ40" s="47"/>
      <c r="SOR40" s="47"/>
      <c r="SOS40" s="47"/>
      <c r="SOT40" s="47"/>
      <c r="SOU40" s="47"/>
      <c r="SOV40" s="47"/>
      <c r="SOW40" s="47"/>
      <c r="SOX40" s="47"/>
      <c r="SOY40" s="47"/>
      <c r="SOZ40" s="47"/>
      <c r="SPA40" s="47"/>
      <c r="SPB40" s="47"/>
      <c r="SPC40" s="47"/>
      <c r="SPD40" s="47"/>
      <c r="SPE40" s="47"/>
      <c r="SPF40" s="47"/>
      <c r="SPG40" s="47"/>
      <c r="SPH40" s="47"/>
      <c r="SPI40" s="47"/>
      <c r="SPJ40" s="47"/>
      <c r="SPK40" s="47"/>
      <c r="SPL40" s="47"/>
      <c r="SPM40" s="47"/>
      <c r="SPN40" s="47"/>
      <c r="SPO40" s="47"/>
      <c r="SPP40" s="47"/>
      <c r="SPQ40" s="47"/>
      <c r="SPR40" s="47"/>
      <c r="SPS40" s="47"/>
      <c r="SPT40" s="47"/>
      <c r="SPU40" s="47"/>
      <c r="SPV40" s="47"/>
      <c r="SPW40" s="47"/>
      <c r="SPX40" s="47"/>
      <c r="SPY40" s="47"/>
      <c r="SPZ40" s="47"/>
      <c r="SQA40" s="47"/>
      <c r="SQB40" s="47"/>
      <c r="SQC40" s="47"/>
      <c r="SQD40" s="47"/>
      <c r="SQE40" s="47"/>
      <c r="SQF40" s="47"/>
      <c r="SQG40" s="47"/>
      <c r="SQH40" s="47"/>
      <c r="SQI40" s="47"/>
      <c r="SQJ40" s="47"/>
      <c r="SQK40" s="47"/>
      <c r="SQL40" s="47"/>
      <c r="SQM40" s="47"/>
      <c r="SQN40" s="47"/>
      <c r="SQO40" s="47"/>
      <c r="SQP40" s="47"/>
      <c r="SQQ40" s="47"/>
      <c r="SQR40" s="47"/>
      <c r="SQS40" s="47"/>
      <c r="SQT40" s="47"/>
      <c r="SQU40" s="47"/>
      <c r="SQV40" s="47"/>
      <c r="SQW40" s="47"/>
      <c r="SQX40" s="47"/>
      <c r="SQY40" s="47"/>
      <c r="SQZ40" s="47"/>
      <c r="SRA40" s="47"/>
      <c r="SRB40" s="47"/>
      <c r="SRC40" s="47"/>
      <c r="SRD40" s="47"/>
      <c r="SRE40" s="47"/>
      <c r="SRF40" s="47"/>
      <c r="SRG40" s="47"/>
      <c r="SRH40" s="47"/>
      <c r="SRI40" s="47"/>
      <c r="SRJ40" s="47"/>
      <c r="SRK40" s="47"/>
      <c r="SRL40" s="47"/>
      <c r="SRM40" s="47"/>
      <c r="SRN40" s="47"/>
      <c r="SRO40" s="47"/>
      <c r="SRP40" s="47"/>
      <c r="SRQ40" s="47"/>
      <c r="SRR40" s="47"/>
      <c r="SRS40" s="47"/>
      <c r="SRT40" s="47"/>
      <c r="SRU40" s="47"/>
      <c r="SRV40" s="47"/>
      <c r="SRW40" s="47"/>
      <c r="SRX40" s="47"/>
      <c r="SRY40" s="47"/>
      <c r="SRZ40" s="47"/>
      <c r="SSA40" s="47"/>
      <c r="SSB40" s="47"/>
      <c r="SSC40" s="47"/>
      <c r="SSD40" s="47"/>
      <c r="SSE40" s="47"/>
      <c r="SSF40" s="47"/>
      <c r="SSG40" s="47"/>
      <c r="SSH40" s="47"/>
      <c r="SSI40" s="47"/>
      <c r="SSJ40" s="47"/>
      <c r="SSK40" s="47"/>
      <c r="SSL40" s="47"/>
      <c r="SSM40" s="47"/>
      <c r="SSN40" s="47"/>
      <c r="SSO40" s="47"/>
      <c r="SSP40" s="47"/>
      <c r="SSQ40" s="47"/>
      <c r="SSR40" s="47"/>
      <c r="SSS40" s="47"/>
      <c r="SST40" s="47"/>
      <c r="SSU40" s="47"/>
      <c r="SSV40" s="47"/>
      <c r="SSW40" s="47"/>
      <c r="SSX40" s="47"/>
      <c r="SSY40" s="47"/>
      <c r="SSZ40" s="47"/>
      <c r="STA40" s="47"/>
      <c r="STB40" s="47"/>
      <c r="STC40" s="47"/>
      <c r="STD40" s="47"/>
      <c r="STE40" s="47"/>
      <c r="STF40" s="47"/>
      <c r="STG40" s="47"/>
      <c r="STH40" s="47"/>
      <c r="STI40" s="47"/>
      <c r="STJ40" s="47"/>
      <c r="STK40" s="47"/>
      <c r="STL40" s="47"/>
      <c r="STM40" s="47"/>
      <c r="STN40" s="47"/>
      <c r="STO40" s="47"/>
      <c r="STP40" s="47"/>
      <c r="STQ40" s="47"/>
      <c r="STR40" s="47"/>
      <c r="STS40" s="47"/>
      <c r="STT40" s="47"/>
      <c r="STU40" s="47"/>
      <c r="STV40" s="47"/>
      <c r="STW40" s="47"/>
      <c r="STX40" s="47"/>
      <c r="STY40" s="47"/>
      <c r="STZ40" s="47"/>
      <c r="SUA40" s="47"/>
      <c r="SUB40" s="47"/>
      <c r="SUC40" s="47"/>
      <c r="SUD40" s="47"/>
      <c r="SUE40" s="47"/>
      <c r="SUF40" s="47"/>
      <c r="SUG40" s="47"/>
      <c r="SUH40" s="47"/>
      <c r="SUI40" s="47"/>
      <c r="SUJ40" s="47"/>
      <c r="SUK40" s="47"/>
      <c r="SUL40" s="47"/>
      <c r="SUM40" s="47"/>
      <c r="SUN40" s="47"/>
      <c r="SUO40" s="47"/>
      <c r="SUP40" s="47"/>
      <c r="SUQ40" s="47"/>
      <c r="SUR40" s="47"/>
      <c r="SUS40" s="47"/>
      <c r="SUT40" s="47"/>
      <c r="SUU40" s="47"/>
      <c r="SUV40" s="47"/>
      <c r="SUW40" s="47"/>
      <c r="SUX40" s="47"/>
      <c r="SUY40" s="47"/>
      <c r="SUZ40" s="47"/>
      <c r="SVA40" s="47"/>
      <c r="SVB40" s="47"/>
      <c r="SVC40" s="47"/>
      <c r="SVD40" s="47"/>
      <c r="SVE40" s="47"/>
      <c r="SVF40" s="47"/>
      <c r="SVG40" s="47"/>
      <c r="SVH40" s="47"/>
      <c r="SVI40" s="47"/>
      <c r="SVJ40" s="47"/>
      <c r="SVK40" s="47"/>
      <c r="SVL40" s="47"/>
      <c r="SVM40" s="47"/>
      <c r="SVN40" s="47"/>
      <c r="SVO40" s="47"/>
      <c r="SVP40" s="47"/>
      <c r="SVQ40" s="47"/>
      <c r="SVR40" s="47"/>
      <c r="SVS40" s="47"/>
      <c r="SVT40" s="47"/>
      <c r="SVU40" s="47"/>
      <c r="SVV40" s="47"/>
      <c r="SVW40" s="47"/>
      <c r="SVX40" s="47"/>
      <c r="SVY40" s="47"/>
      <c r="SVZ40" s="47"/>
      <c r="SWA40" s="47"/>
      <c r="SWB40" s="47"/>
      <c r="SWC40" s="47"/>
      <c r="SWD40" s="47"/>
      <c r="SWE40" s="47"/>
      <c r="SWF40" s="47"/>
      <c r="SWG40" s="47"/>
      <c r="SWH40" s="47"/>
      <c r="SWI40" s="47"/>
      <c r="SWJ40" s="47"/>
      <c r="SWK40" s="47"/>
      <c r="SWL40" s="47"/>
      <c r="SWM40" s="47"/>
      <c r="SWN40" s="47"/>
      <c r="SWO40" s="47"/>
      <c r="SWP40" s="47"/>
      <c r="SWQ40" s="47"/>
      <c r="SWR40" s="47"/>
      <c r="SWS40" s="47"/>
      <c r="SWT40" s="47"/>
      <c r="SWU40" s="47"/>
      <c r="SWV40" s="47"/>
      <c r="SWW40" s="47"/>
      <c r="SWX40" s="47"/>
      <c r="SWY40" s="47"/>
      <c r="SWZ40" s="47"/>
      <c r="SXA40" s="47"/>
      <c r="SXB40" s="47"/>
      <c r="SXC40" s="47"/>
      <c r="SXD40" s="47"/>
      <c r="SXE40" s="47"/>
      <c r="SXF40" s="47"/>
      <c r="SXG40" s="47"/>
      <c r="SXH40" s="47"/>
      <c r="SXI40" s="47"/>
      <c r="SXJ40" s="47"/>
      <c r="SXK40" s="47"/>
      <c r="SXL40" s="47"/>
      <c r="SXM40" s="47"/>
      <c r="SXN40" s="47"/>
      <c r="SXO40" s="47"/>
      <c r="SXP40" s="47"/>
      <c r="SXQ40" s="47"/>
      <c r="SXR40" s="47"/>
      <c r="SXS40" s="47"/>
      <c r="SXT40" s="47"/>
      <c r="SXU40" s="47"/>
      <c r="SXV40" s="47"/>
      <c r="SXW40" s="47"/>
      <c r="SXX40" s="47"/>
      <c r="SXY40" s="47"/>
      <c r="SXZ40" s="47"/>
      <c r="SYA40" s="47"/>
      <c r="SYB40" s="47"/>
      <c r="SYC40" s="47"/>
      <c r="SYD40" s="47"/>
      <c r="SYE40" s="47"/>
      <c r="SYF40" s="47"/>
      <c r="SYG40" s="47"/>
      <c r="SYH40" s="47"/>
      <c r="SYI40" s="47"/>
      <c r="SYJ40" s="47"/>
      <c r="SYK40" s="47"/>
      <c r="SYL40" s="47"/>
      <c r="SYM40" s="47"/>
      <c r="SYN40" s="47"/>
      <c r="SYO40" s="47"/>
      <c r="SYP40" s="47"/>
      <c r="SYQ40" s="47"/>
      <c r="SYR40" s="47"/>
      <c r="SYS40" s="47"/>
      <c r="SYT40" s="47"/>
      <c r="SYU40" s="47"/>
      <c r="SYV40" s="47"/>
      <c r="SYW40" s="47"/>
      <c r="SYX40" s="47"/>
      <c r="SYY40" s="47"/>
      <c r="SYZ40" s="47"/>
      <c r="SZA40" s="47"/>
      <c r="SZB40" s="47"/>
      <c r="SZC40" s="47"/>
      <c r="SZD40" s="47"/>
      <c r="SZE40" s="47"/>
      <c r="SZF40" s="47"/>
      <c r="SZG40" s="47"/>
      <c r="SZH40" s="47"/>
      <c r="SZI40" s="47"/>
      <c r="SZJ40" s="47"/>
      <c r="SZK40" s="47"/>
      <c r="SZL40" s="47"/>
      <c r="SZM40" s="47"/>
      <c r="SZN40" s="47"/>
      <c r="SZO40" s="47"/>
      <c r="SZP40" s="47"/>
      <c r="SZQ40" s="47"/>
      <c r="SZR40" s="47"/>
      <c r="SZS40" s="47"/>
      <c r="SZT40" s="47"/>
      <c r="SZU40" s="47"/>
      <c r="SZV40" s="47"/>
      <c r="SZW40" s="47"/>
      <c r="SZX40" s="47"/>
      <c r="SZY40" s="47"/>
      <c r="SZZ40" s="47"/>
      <c r="TAA40" s="47"/>
      <c r="TAB40" s="47"/>
      <c r="TAC40" s="47"/>
      <c r="TAD40" s="47"/>
      <c r="TAE40" s="47"/>
      <c r="TAF40" s="47"/>
      <c r="TAG40" s="47"/>
      <c r="TAH40" s="47"/>
      <c r="TAI40" s="47"/>
      <c r="TAJ40" s="47"/>
      <c r="TAK40" s="47"/>
      <c r="TAL40" s="47"/>
      <c r="TAM40" s="47"/>
      <c r="TAN40" s="47"/>
      <c r="TAO40" s="47"/>
      <c r="TAP40" s="47"/>
      <c r="TAQ40" s="47"/>
      <c r="TAR40" s="47"/>
      <c r="TAS40" s="47"/>
      <c r="TAT40" s="47"/>
      <c r="TAU40" s="47"/>
      <c r="TAV40" s="47"/>
      <c r="TAW40" s="47"/>
      <c r="TAX40" s="47"/>
      <c r="TAY40" s="47"/>
      <c r="TAZ40" s="47"/>
      <c r="TBA40" s="47"/>
      <c r="TBB40" s="47"/>
      <c r="TBC40" s="47"/>
      <c r="TBD40" s="47"/>
      <c r="TBE40" s="47"/>
      <c r="TBF40" s="47"/>
      <c r="TBG40" s="47"/>
      <c r="TBH40" s="47"/>
      <c r="TBI40" s="47"/>
      <c r="TBJ40" s="47"/>
      <c r="TBK40" s="47"/>
      <c r="TBL40" s="47"/>
      <c r="TBM40" s="47"/>
      <c r="TBN40" s="47"/>
      <c r="TBO40" s="47"/>
      <c r="TBP40" s="47"/>
      <c r="TBQ40" s="47"/>
      <c r="TBR40" s="47"/>
      <c r="TBS40" s="47"/>
      <c r="TBT40" s="47"/>
      <c r="TBU40" s="47"/>
      <c r="TBV40" s="47"/>
      <c r="TBW40" s="47"/>
      <c r="TBX40" s="47"/>
      <c r="TBY40" s="47"/>
      <c r="TBZ40" s="47"/>
      <c r="TCA40" s="47"/>
      <c r="TCB40" s="47"/>
      <c r="TCC40" s="47"/>
      <c r="TCD40" s="47"/>
      <c r="TCE40" s="47"/>
      <c r="TCF40" s="47"/>
      <c r="TCG40" s="47"/>
      <c r="TCH40" s="47"/>
      <c r="TCI40" s="47"/>
      <c r="TCJ40" s="47"/>
      <c r="TCK40" s="47"/>
      <c r="TCL40" s="47"/>
      <c r="TCM40" s="47"/>
      <c r="TCN40" s="47"/>
      <c r="TCO40" s="47"/>
      <c r="TCP40" s="47"/>
      <c r="TCQ40" s="47"/>
      <c r="TCR40" s="47"/>
      <c r="TCS40" s="47"/>
      <c r="TCT40" s="47"/>
      <c r="TCU40" s="47"/>
      <c r="TCV40" s="47"/>
      <c r="TCW40" s="47"/>
      <c r="TCX40" s="47"/>
      <c r="TCY40" s="47"/>
      <c r="TCZ40" s="47"/>
      <c r="TDA40" s="47"/>
      <c r="TDB40" s="47"/>
      <c r="TDC40" s="47"/>
      <c r="TDD40" s="47"/>
      <c r="TDE40" s="47"/>
      <c r="TDF40" s="47"/>
      <c r="TDG40" s="47"/>
      <c r="TDH40" s="47"/>
      <c r="TDI40" s="47"/>
      <c r="TDJ40" s="47"/>
      <c r="TDK40" s="47"/>
      <c r="TDL40" s="47"/>
      <c r="TDM40" s="47"/>
      <c r="TDN40" s="47"/>
      <c r="TDO40" s="47"/>
      <c r="TDP40" s="47"/>
      <c r="TDQ40" s="47"/>
      <c r="TDR40" s="47"/>
      <c r="TDS40" s="47"/>
      <c r="TDT40" s="47"/>
      <c r="TDU40" s="47"/>
      <c r="TDV40" s="47"/>
      <c r="TDW40" s="47"/>
      <c r="TDX40" s="47"/>
      <c r="TDY40" s="47"/>
      <c r="TDZ40" s="47"/>
      <c r="TEA40" s="47"/>
      <c r="TEB40" s="47"/>
      <c r="TEC40" s="47"/>
      <c r="TED40" s="47"/>
      <c r="TEE40" s="47"/>
      <c r="TEF40" s="47"/>
      <c r="TEG40" s="47"/>
      <c r="TEH40" s="47"/>
      <c r="TEI40" s="47"/>
      <c r="TEJ40" s="47"/>
      <c r="TEK40" s="47"/>
      <c r="TEL40" s="47"/>
      <c r="TEM40" s="47"/>
      <c r="TEN40" s="47"/>
      <c r="TEO40" s="47"/>
      <c r="TEP40" s="47"/>
      <c r="TEQ40" s="47"/>
      <c r="TER40" s="47"/>
      <c r="TES40" s="47"/>
      <c r="TET40" s="47"/>
      <c r="TEU40" s="47"/>
      <c r="TEV40" s="47"/>
      <c r="TEW40" s="47"/>
      <c r="TEX40" s="47"/>
      <c r="TEY40" s="47"/>
      <c r="TEZ40" s="47"/>
      <c r="TFA40" s="47"/>
      <c r="TFB40" s="47"/>
      <c r="TFC40" s="47"/>
      <c r="TFD40" s="47"/>
      <c r="TFE40" s="47"/>
      <c r="TFF40" s="47"/>
      <c r="TFG40" s="47"/>
      <c r="TFH40" s="47"/>
      <c r="TFI40" s="47"/>
      <c r="TFJ40" s="47"/>
      <c r="TFK40" s="47"/>
      <c r="TFL40" s="47"/>
      <c r="TFM40" s="47"/>
      <c r="TFN40" s="47"/>
      <c r="TFO40" s="47"/>
      <c r="TFP40" s="47"/>
      <c r="TFQ40" s="47"/>
      <c r="TFR40" s="47"/>
      <c r="TFS40" s="47"/>
      <c r="TFT40" s="47"/>
      <c r="TFU40" s="47"/>
      <c r="TFV40" s="47"/>
      <c r="TFW40" s="47"/>
      <c r="TFX40" s="47"/>
      <c r="TFY40" s="47"/>
      <c r="TFZ40" s="47"/>
      <c r="TGA40" s="47"/>
      <c r="TGB40" s="47"/>
      <c r="TGC40" s="47"/>
      <c r="TGD40" s="47"/>
      <c r="TGE40" s="47"/>
      <c r="TGF40" s="47"/>
      <c r="TGG40" s="47"/>
      <c r="TGH40" s="47"/>
      <c r="TGI40" s="47"/>
      <c r="TGJ40" s="47"/>
      <c r="TGK40" s="47"/>
      <c r="TGL40" s="47"/>
      <c r="TGM40" s="47"/>
      <c r="TGN40" s="47"/>
      <c r="TGO40" s="47"/>
      <c r="TGP40" s="47"/>
      <c r="TGQ40" s="47"/>
      <c r="TGR40" s="47"/>
      <c r="TGS40" s="47"/>
      <c r="TGT40" s="47"/>
      <c r="TGU40" s="47"/>
      <c r="TGV40" s="47"/>
      <c r="TGW40" s="47"/>
      <c r="TGX40" s="47"/>
      <c r="TGY40" s="47"/>
      <c r="TGZ40" s="47"/>
      <c r="THA40" s="47"/>
      <c r="THB40" s="47"/>
      <c r="THC40" s="47"/>
      <c r="THD40" s="47"/>
      <c r="THE40" s="47"/>
      <c r="THF40" s="47"/>
      <c r="THG40" s="47"/>
      <c r="THH40" s="47"/>
      <c r="THI40" s="47"/>
      <c r="THJ40" s="47"/>
      <c r="THK40" s="47"/>
      <c r="THL40" s="47"/>
      <c r="THM40" s="47"/>
      <c r="THN40" s="47"/>
      <c r="THO40" s="47"/>
      <c r="THP40" s="47"/>
      <c r="THQ40" s="47"/>
      <c r="THR40" s="47"/>
      <c r="THS40" s="47"/>
      <c r="THT40" s="47"/>
      <c r="THU40" s="47"/>
      <c r="THV40" s="47"/>
      <c r="THW40" s="47"/>
      <c r="THX40" s="47"/>
      <c r="THY40" s="47"/>
      <c r="THZ40" s="47"/>
      <c r="TIA40" s="47"/>
      <c r="TIB40" s="47"/>
      <c r="TIC40" s="47"/>
      <c r="TID40" s="47"/>
      <c r="TIE40" s="47"/>
      <c r="TIF40" s="47"/>
      <c r="TIG40" s="47"/>
      <c r="TIH40" s="47"/>
      <c r="TII40" s="47"/>
      <c r="TIJ40" s="47"/>
      <c r="TIK40" s="47"/>
      <c r="TIL40" s="47"/>
      <c r="TIM40" s="47"/>
      <c r="TIN40" s="47"/>
      <c r="TIO40" s="47"/>
      <c r="TIP40" s="47"/>
      <c r="TIQ40" s="47"/>
      <c r="TIR40" s="47"/>
      <c r="TIS40" s="47"/>
      <c r="TIT40" s="47"/>
      <c r="TIU40" s="47"/>
      <c r="TIV40" s="47"/>
      <c r="TIW40" s="47"/>
      <c r="TIX40" s="47"/>
      <c r="TIY40" s="47"/>
      <c r="TIZ40" s="47"/>
      <c r="TJA40" s="47"/>
      <c r="TJB40" s="47"/>
      <c r="TJC40" s="47"/>
      <c r="TJD40" s="47"/>
      <c r="TJE40" s="47"/>
      <c r="TJF40" s="47"/>
      <c r="TJG40" s="47"/>
      <c r="TJH40" s="47"/>
      <c r="TJI40" s="47"/>
      <c r="TJJ40" s="47"/>
      <c r="TJK40" s="47"/>
      <c r="TJL40" s="47"/>
      <c r="TJM40" s="47"/>
      <c r="TJN40" s="47"/>
      <c r="TJO40" s="47"/>
      <c r="TJP40" s="47"/>
      <c r="TJQ40" s="47"/>
      <c r="TJR40" s="47"/>
      <c r="TJS40" s="47"/>
      <c r="TJT40" s="47"/>
      <c r="TJU40" s="47"/>
      <c r="TJV40" s="47"/>
      <c r="TJW40" s="47"/>
      <c r="TJX40" s="47"/>
      <c r="TJY40" s="47"/>
      <c r="TJZ40" s="47"/>
      <c r="TKA40" s="47"/>
      <c r="TKB40" s="47"/>
      <c r="TKC40" s="47"/>
      <c r="TKD40" s="47"/>
      <c r="TKE40" s="47"/>
      <c r="TKF40" s="47"/>
      <c r="TKG40" s="47"/>
      <c r="TKH40" s="47"/>
      <c r="TKI40" s="47"/>
      <c r="TKJ40" s="47"/>
      <c r="TKK40" s="47"/>
      <c r="TKL40" s="47"/>
      <c r="TKM40" s="47"/>
      <c r="TKN40" s="47"/>
      <c r="TKO40" s="47"/>
      <c r="TKP40" s="47"/>
      <c r="TKQ40" s="47"/>
      <c r="TKR40" s="47"/>
      <c r="TKS40" s="47"/>
      <c r="TKT40" s="47"/>
      <c r="TKU40" s="47"/>
      <c r="TKV40" s="47"/>
      <c r="TKW40" s="47"/>
      <c r="TKX40" s="47"/>
      <c r="TKY40" s="47"/>
      <c r="TKZ40" s="47"/>
      <c r="TLA40" s="47"/>
      <c r="TLB40" s="47"/>
      <c r="TLC40" s="47"/>
      <c r="TLD40" s="47"/>
      <c r="TLE40" s="47"/>
      <c r="TLF40" s="47"/>
      <c r="TLG40" s="47"/>
      <c r="TLH40" s="47"/>
      <c r="TLI40" s="47"/>
      <c r="TLJ40" s="47"/>
      <c r="TLK40" s="47"/>
      <c r="TLL40" s="47"/>
      <c r="TLM40" s="47"/>
      <c r="TLN40" s="47"/>
      <c r="TLO40" s="47"/>
      <c r="TLP40" s="47"/>
      <c r="TLQ40" s="47"/>
      <c r="TLR40" s="47"/>
      <c r="TLS40" s="47"/>
      <c r="TLT40" s="47"/>
      <c r="TLU40" s="47"/>
      <c r="TLV40" s="47"/>
      <c r="TLW40" s="47"/>
      <c r="TLX40" s="47"/>
      <c r="TLY40" s="47"/>
      <c r="TLZ40" s="47"/>
      <c r="TMA40" s="47"/>
      <c r="TMB40" s="47"/>
      <c r="TMC40" s="47"/>
      <c r="TMD40" s="47"/>
      <c r="TME40" s="47"/>
      <c r="TMF40" s="47"/>
      <c r="TMG40" s="47"/>
      <c r="TMH40" s="47"/>
      <c r="TMI40" s="47"/>
      <c r="TMJ40" s="47"/>
      <c r="TMK40" s="47"/>
      <c r="TML40" s="47"/>
      <c r="TMM40" s="47"/>
      <c r="TMN40" s="47"/>
      <c r="TMO40" s="47"/>
      <c r="TMP40" s="47"/>
      <c r="TMQ40" s="47"/>
      <c r="TMR40" s="47"/>
      <c r="TMS40" s="47"/>
      <c r="TMT40" s="47"/>
      <c r="TMU40" s="47"/>
      <c r="TMV40" s="47"/>
      <c r="TMW40" s="47"/>
      <c r="TMX40" s="47"/>
      <c r="TMY40" s="47"/>
      <c r="TMZ40" s="47"/>
      <c r="TNA40" s="47"/>
      <c r="TNB40" s="47"/>
      <c r="TNC40" s="47"/>
      <c r="TND40" s="47"/>
      <c r="TNE40" s="47"/>
      <c r="TNF40" s="47"/>
      <c r="TNG40" s="47"/>
      <c r="TNH40" s="47"/>
      <c r="TNI40" s="47"/>
      <c r="TNJ40" s="47"/>
      <c r="TNK40" s="47"/>
      <c r="TNL40" s="47"/>
      <c r="TNM40" s="47"/>
      <c r="TNN40" s="47"/>
      <c r="TNO40" s="47"/>
      <c r="TNP40" s="47"/>
      <c r="TNQ40" s="47"/>
      <c r="TNR40" s="47"/>
      <c r="TNS40" s="47"/>
      <c r="TNT40" s="47"/>
      <c r="TNU40" s="47"/>
      <c r="TNV40" s="47"/>
      <c r="TNW40" s="47"/>
      <c r="TNX40" s="47"/>
      <c r="TNY40" s="47"/>
      <c r="TNZ40" s="47"/>
      <c r="TOA40" s="47"/>
      <c r="TOB40" s="47"/>
      <c r="TOC40" s="47"/>
      <c r="TOD40" s="47"/>
      <c r="TOE40" s="47"/>
      <c r="TOF40" s="47"/>
      <c r="TOG40" s="47"/>
      <c r="TOH40" s="47"/>
      <c r="TOI40" s="47"/>
      <c r="TOJ40" s="47"/>
      <c r="TOK40" s="47"/>
      <c r="TOL40" s="47"/>
      <c r="TOM40" s="47"/>
      <c r="TON40" s="47"/>
      <c r="TOO40" s="47"/>
      <c r="TOP40" s="47"/>
      <c r="TOQ40" s="47"/>
      <c r="TOR40" s="47"/>
      <c r="TOS40" s="47"/>
      <c r="TOT40" s="47"/>
      <c r="TOU40" s="47"/>
      <c r="TOV40" s="47"/>
      <c r="TOW40" s="47"/>
      <c r="TOX40" s="47"/>
      <c r="TOY40" s="47"/>
      <c r="TOZ40" s="47"/>
      <c r="TPA40" s="47"/>
      <c r="TPB40" s="47"/>
      <c r="TPC40" s="47"/>
      <c r="TPD40" s="47"/>
      <c r="TPE40" s="47"/>
      <c r="TPF40" s="47"/>
      <c r="TPG40" s="47"/>
      <c r="TPH40" s="47"/>
      <c r="TPI40" s="47"/>
      <c r="TPJ40" s="47"/>
      <c r="TPK40" s="47"/>
      <c r="TPL40" s="47"/>
      <c r="TPM40" s="47"/>
      <c r="TPN40" s="47"/>
      <c r="TPO40" s="47"/>
      <c r="TPP40" s="47"/>
      <c r="TPQ40" s="47"/>
      <c r="TPR40" s="47"/>
      <c r="TPS40" s="47"/>
      <c r="TPT40" s="47"/>
      <c r="TPU40" s="47"/>
      <c r="TPV40" s="47"/>
      <c r="TPW40" s="47"/>
      <c r="TPX40" s="47"/>
      <c r="TPY40" s="47"/>
      <c r="TPZ40" s="47"/>
      <c r="TQA40" s="47"/>
      <c r="TQB40" s="47"/>
      <c r="TQC40" s="47"/>
      <c r="TQD40" s="47"/>
      <c r="TQE40" s="47"/>
      <c r="TQF40" s="47"/>
      <c r="TQG40" s="47"/>
      <c r="TQH40" s="47"/>
      <c r="TQI40" s="47"/>
      <c r="TQJ40" s="47"/>
      <c r="TQK40" s="47"/>
      <c r="TQL40" s="47"/>
      <c r="TQM40" s="47"/>
      <c r="TQN40" s="47"/>
      <c r="TQO40" s="47"/>
      <c r="TQP40" s="47"/>
      <c r="TQQ40" s="47"/>
      <c r="TQR40" s="47"/>
      <c r="TQS40" s="47"/>
      <c r="TQT40" s="47"/>
      <c r="TQU40" s="47"/>
      <c r="TQV40" s="47"/>
      <c r="TQW40" s="47"/>
      <c r="TQX40" s="47"/>
      <c r="TQY40" s="47"/>
      <c r="TQZ40" s="47"/>
      <c r="TRA40" s="47"/>
      <c r="TRB40" s="47"/>
      <c r="TRC40" s="47"/>
      <c r="TRD40" s="47"/>
      <c r="TRE40" s="47"/>
      <c r="TRF40" s="47"/>
      <c r="TRG40" s="47"/>
      <c r="TRH40" s="47"/>
      <c r="TRI40" s="47"/>
      <c r="TRJ40" s="47"/>
      <c r="TRK40" s="47"/>
      <c r="TRL40" s="47"/>
      <c r="TRM40" s="47"/>
      <c r="TRN40" s="47"/>
      <c r="TRO40" s="47"/>
      <c r="TRP40" s="47"/>
      <c r="TRQ40" s="47"/>
      <c r="TRR40" s="47"/>
      <c r="TRS40" s="47"/>
      <c r="TRT40" s="47"/>
      <c r="TRU40" s="47"/>
      <c r="TRV40" s="47"/>
      <c r="TRW40" s="47"/>
      <c r="TRX40" s="47"/>
      <c r="TRY40" s="47"/>
      <c r="TRZ40" s="47"/>
      <c r="TSA40" s="47"/>
      <c r="TSB40" s="47"/>
      <c r="TSC40" s="47"/>
      <c r="TSD40" s="47"/>
      <c r="TSE40" s="47"/>
      <c r="TSF40" s="47"/>
      <c r="TSG40" s="47"/>
      <c r="TSH40" s="47"/>
      <c r="TSI40" s="47"/>
      <c r="TSJ40" s="47"/>
      <c r="TSK40" s="47"/>
      <c r="TSL40" s="47"/>
      <c r="TSM40" s="47"/>
      <c r="TSN40" s="47"/>
      <c r="TSO40" s="47"/>
      <c r="TSP40" s="47"/>
      <c r="TSQ40" s="47"/>
      <c r="TSR40" s="47"/>
      <c r="TSS40" s="47"/>
      <c r="TST40" s="47"/>
      <c r="TSU40" s="47"/>
      <c r="TSV40" s="47"/>
      <c r="TSW40" s="47"/>
      <c r="TSX40" s="47"/>
      <c r="TSY40" s="47"/>
      <c r="TSZ40" s="47"/>
      <c r="TTA40" s="47"/>
      <c r="TTB40" s="47"/>
      <c r="TTC40" s="47"/>
      <c r="TTD40" s="47"/>
      <c r="TTE40" s="47"/>
      <c r="TTF40" s="47"/>
      <c r="TTG40" s="47"/>
      <c r="TTH40" s="47"/>
      <c r="TTI40" s="47"/>
      <c r="TTJ40" s="47"/>
      <c r="TTK40" s="47"/>
      <c r="TTL40" s="47"/>
      <c r="TTM40" s="47"/>
      <c r="TTN40" s="47"/>
      <c r="TTO40" s="47"/>
      <c r="TTP40" s="47"/>
      <c r="TTQ40" s="47"/>
      <c r="TTR40" s="47"/>
      <c r="TTS40" s="47"/>
      <c r="TTT40" s="47"/>
      <c r="TTU40" s="47"/>
      <c r="TTV40" s="47"/>
      <c r="TTW40" s="47"/>
      <c r="TTX40" s="47"/>
      <c r="TTY40" s="47"/>
      <c r="TTZ40" s="47"/>
      <c r="TUA40" s="47"/>
      <c r="TUB40" s="47"/>
      <c r="TUC40" s="47"/>
      <c r="TUD40" s="47"/>
      <c r="TUE40" s="47"/>
      <c r="TUF40" s="47"/>
      <c r="TUG40" s="47"/>
      <c r="TUH40" s="47"/>
      <c r="TUI40" s="47"/>
      <c r="TUJ40" s="47"/>
      <c r="TUK40" s="47"/>
      <c r="TUL40" s="47"/>
      <c r="TUM40" s="47"/>
      <c r="TUN40" s="47"/>
      <c r="TUO40" s="47"/>
      <c r="TUP40" s="47"/>
      <c r="TUQ40" s="47"/>
      <c r="TUR40" s="47"/>
      <c r="TUS40" s="47"/>
      <c r="TUT40" s="47"/>
      <c r="TUU40" s="47"/>
      <c r="TUV40" s="47"/>
      <c r="TUW40" s="47"/>
      <c r="TUX40" s="47"/>
      <c r="TUY40" s="47"/>
      <c r="TUZ40" s="47"/>
      <c r="TVA40" s="47"/>
      <c r="TVB40" s="47"/>
      <c r="TVC40" s="47"/>
      <c r="TVD40" s="47"/>
      <c r="TVE40" s="47"/>
      <c r="TVF40" s="47"/>
      <c r="TVG40" s="47"/>
      <c r="TVH40" s="47"/>
      <c r="TVI40" s="47"/>
      <c r="TVJ40" s="47"/>
      <c r="TVK40" s="47"/>
      <c r="TVL40" s="47"/>
      <c r="TVM40" s="47"/>
      <c r="TVN40" s="47"/>
      <c r="TVO40" s="47"/>
      <c r="TVP40" s="47"/>
      <c r="TVQ40" s="47"/>
      <c r="TVR40" s="47"/>
      <c r="TVS40" s="47"/>
      <c r="TVT40" s="47"/>
      <c r="TVU40" s="47"/>
      <c r="TVV40" s="47"/>
      <c r="TVW40" s="47"/>
      <c r="TVX40" s="47"/>
      <c r="TVY40" s="47"/>
      <c r="TVZ40" s="47"/>
      <c r="TWA40" s="47"/>
      <c r="TWB40" s="47"/>
      <c r="TWC40" s="47"/>
      <c r="TWD40" s="47"/>
      <c r="TWE40" s="47"/>
      <c r="TWF40" s="47"/>
      <c r="TWG40" s="47"/>
      <c r="TWH40" s="47"/>
      <c r="TWI40" s="47"/>
      <c r="TWJ40" s="47"/>
      <c r="TWK40" s="47"/>
      <c r="TWL40" s="47"/>
      <c r="TWM40" s="47"/>
      <c r="TWN40" s="47"/>
      <c r="TWO40" s="47"/>
      <c r="TWP40" s="47"/>
      <c r="TWQ40" s="47"/>
      <c r="TWR40" s="47"/>
      <c r="TWS40" s="47"/>
      <c r="TWT40" s="47"/>
      <c r="TWU40" s="47"/>
      <c r="TWV40" s="47"/>
      <c r="TWW40" s="47"/>
      <c r="TWX40" s="47"/>
      <c r="TWY40" s="47"/>
      <c r="TWZ40" s="47"/>
      <c r="TXA40" s="47"/>
      <c r="TXB40" s="47"/>
      <c r="TXC40" s="47"/>
      <c r="TXD40" s="47"/>
      <c r="TXE40" s="47"/>
      <c r="TXF40" s="47"/>
      <c r="TXG40" s="47"/>
      <c r="TXH40" s="47"/>
      <c r="TXI40" s="47"/>
      <c r="TXJ40" s="47"/>
      <c r="TXK40" s="47"/>
      <c r="TXL40" s="47"/>
      <c r="TXM40" s="47"/>
      <c r="TXN40" s="47"/>
      <c r="TXO40" s="47"/>
      <c r="TXP40" s="47"/>
      <c r="TXQ40" s="47"/>
      <c r="TXR40" s="47"/>
      <c r="TXS40" s="47"/>
      <c r="TXT40" s="47"/>
      <c r="TXU40" s="47"/>
      <c r="TXV40" s="47"/>
      <c r="TXW40" s="47"/>
      <c r="TXX40" s="47"/>
      <c r="TXY40" s="47"/>
      <c r="TXZ40" s="47"/>
      <c r="TYA40" s="47"/>
      <c r="TYB40" s="47"/>
      <c r="TYC40" s="47"/>
      <c r="TYD40" s="47"/>
      <c r="TYE40" s="47"/>
      <c r="TYF40" s="47"/>
      <c r="TYG40" s="47"/>
      <c r="TYH40" s="47"/>
      <c r="TYI40" s="47"/>
      <c r="TYJ40" s="47"/>
      <c r="TYK40" s="47"/>
      <c r="TYL40" s="47"/>
      <c r="TYM40" s="47"/>
      <c r="TYN40" s="47"/>
      <c r="TYO40" s="47"/>
      <c r="TYP40" s="47"/>
      <c r="TYQ40" s="47"/>
      <c r="TYR40" s="47"/>
      <c r="TYS40" s="47"/>
      <c r="TYT40" s="47"/>
      <c r="TYU40" s="47"/>
      <c r="TYV40" s="47"/>
      <c r="TYW40" s="47"/>
      <c r="TYX40" s="47"/>
      <c r="TYY40" s="47"/>
      <c r="TYZ40" s="47"/>
      <c r="TZA40" s="47"/>
      <c r="TZB40" s="47"/>
      <c r="TZC40" s="47"/>
      <c r="TZD40" s="47"/>
      <c r="TZE40" s="47"/>
      <c r="TZF40" s="47"/>
      <c r="TZG40" s="47"/>
      <c r="TZH40" s="47"/>
      <c r="TZI40" s="47"/>
      <c r="TZJ40" s="47"/>
      <c r="TZK40" s="47"/>
      <c r="TZL40" s="47"/>
      <c r="TZM40" s="47"/>
      <c r="TZN40" s="47"/>
      <c r="TZO40" s="47"/>
      <c r="TZP40" s="47"/>
      <c r="TZQ40" s="47"/>
      <c r="TZR40" s="47"/>
      <c r="TZS40" s="47"/>
      <c r="TZT40" s="47"/>
      <c r="TZU40" s="47"/>
      <c r="TZV40" s="47"/>
      <c r="TZW40" s="47"/>
      <c r="TZX40" s="47"/>
      <c r="TZY40" s="47"/>
      <c r="TZZ40" s="47"/>
      <c r="UAA40" s="47"/>
      <c r="UAB40" s="47"/>
      <c r="UAC40" s="47"/>
      <c r="UAD40" s="47"/>
      <c r="UAE40" s="47"/>
      <c r="UAF40" s="47"/>
      <c r="UAG40" s="47"/>
      <c r="UAH40" s="47"/>
      <c r="UAI40" s="47"/>
      <c r="UAJ40" s="47"/>
      <c r="UAK40" s="47"/>
      <c r="UAL40" s="47"/>
      <c r="UAM40" s="47"/>
      <c r="UAN40" s="47"/>
      <c r="UAO40" s="47"/>
      <c r="UAP40" s="47"/>
      <c r="UAQ40" s="47"/>
      <c r="UAR40" s="47"/>
      <c r="UAS40" s="47"/>
      <c r="UAT40" s="47"/>
      <c r="UAU40" s="47"/>
      <c r="UAV40" s="47"/>
      <c r="UAW40" s="47"/>
      <c r="UAX40" s="47"/>
      <c r="UAY40" s="47"/>
      <c r="UAZ40" s="47"/>
      <c r="UBA40" s="47"/>
      <c r="UBB40" s="47"/>
      <c r="UBC40" s="47"/>
      <c r="UBD40" s="47"/>
      <c r="UBE40" s="47"/>
      <c r="UBF40" s="47"/>
      <c r="UBG40" s="47"/>
      <c r="UBH40" s="47"/>
      <c r="UBI40" s="47"/>
      <c r="UBJ40" s="47"/>
      <c r="UBK40" s="47"/>
      <c r="UBL40" s="47"/>
      <c r="UBM40" s="47"/>
      <c r="UBN40" s="47"/>
      <c r="UBO40" s="47"/>
      <c r="UBP40" s="47"/>
      <c r="UBQ40" s="47"/>
      <c r="UBR40" s="47"/>
      <c r="UBS40" s="47"/>
      <c r="UBT40" s="47"/>
      <c r="UBU40" s="47"/>
      <c r="UBV40" s="47"/>
      <c r="UBW40" s="47"/>
      <c r="UBX40" s="47"/>
      <c r="UBY40" s="47"/>
      <c r="UBZ40" s="47"/>
      <c r="UCA40" s="47"/>
      <c r="UCB40" s="47"/>
      <c r="UCC40" s="47"/>
      <c r="UCD40" s="47"/>
      <c r="UCE40" s="47"/>
      <c r="UCF40" s="47"/>
      <c r="UCG40" s="47"/>
      <c r="UCH40" s="47"/>
      <c r="UCI40" s="47"/>
      <c r="UCJ40" s="47"/>
      <c r="UCK40" s="47"/>
      <c r="UCL40" s="47"/>
      <c r="UCM40" s="47"/>
      <c r="UCN40" s="47"/>
      <c r="UCO40" s="47"/>
      <c r="UCP40" s="47"/>
      <c r="UCQ40" s="47"/>
      <c r="UCR40" s="47"/>
      <c r="UCS40" s="47"/>
      <c r="UCT40" s="47"/>
      <c r="UCU40" s="47"/>
      <c r="UCV40" s="47"/>
      <c r="UCW40" s="47"/>
      <c r="UCX40" s="47"/>
      <c r="UCY40" s="47"/>
      <c r="UCZ40" s="47"/>
      <c r="UDA40" s="47"/>
      <c r="UDB40" s="47"/>
      <c r="UDC40" s="47"/>
      <c r="UDD40" s="47"/>
      <c r="UDE40" s="47"/>
      <c r="UDF40" s="47"/>
      <c r="UDG40" s="47"/>
      <c r="UDH40" s="47"/>
      <c r="UDI40" s="47"/>
      <c r="UDJ40" s="47"/>
      <c r="UDK40" s="47"/>
      <c r="UDL40" s="47"/>
      <c r="UDM40" s="47"/>
      <c r="UDN40" s="47"/>
      <c r="UDO40" s="47"/>
      <c r="UDP40" s="47"/>
      <c r="UDQ40" s="47"/>
      <c r="UDR40" s="47"/>
      <c r="UDS40" s="47"/>
      <c r="UDT40" s="47"/>
      <c r="UDU40" s="47"/>
      <c r="UDV40" s="47"/>
      <c r="UDW40" s="47"/>
      <c r="UDX40" s="47"/>
      <c r="UDY40" s="47"/>
      <c r="UDZ40" s="47"/>
      <c r="UEA40" s="47"/>
      <c r="UEB40" s="47"/>
      <c r="UEC40" s="47"/>
      <c r="UED40" s="47"/>
      <c r="UEE40" s="47"/>
      <c r="UEF40" s="47"/>
      <c r="UEG40" s="47"/>
      <c r="UEH40" s="47"/>
      <c r="UEI40" s="47"/>
      <c r="UEJ40" s="47"/>
      <c r="UEK40" s="47"/>
      <c r="UEL40" s="47"/>
      <c r="UEM40" s="47"/>
      <c r="UEN40" s="47"/>
      <c r="UEO40" s="47"/>
      <c r="UEP40" s="47"/>
      <c r="UEQ40" s="47"/>
      <c r="UER40" s="47"/>
      <c r="UES40" s="47"/>
      <c r="UET40" s="47"/>
      <c r="UEU40" s="47"/>
      <c r="UEV40" s="47"/>
      <c r="UEW40" s="47"/>
      <c r="UEX40" s="47"/>
      <c r="UEY40" s="47"/>
      <c r="UEZ40" s="47"/>
      <c r="UFA40" s="47"/>
      <c r="UFB40" s="47"/>
      <c r="UFC40" s="47"/>
      <c r="UFD40" s="47"/>
      <c r="UFE40" s="47"/>
      <c r="UFF40" s="47"/>
      <c r="UFG40" s="47"/>
      <c r="UFH40" s="47"/>
      <c r="UFI40" s="47"/>
      <c r="UFJ40" s="47"/>
      <c r="UFK40" s="47"/>
      <c r="UFL40" s="47"/>
      <c r="UFM40" s="47"/>
      <c r="UFN40" s="47"/>
      <c r="UFO40" s="47"/>
      <c r="UFP40" s="47"/>
      <c r="UFQ40" s="47"/>
      <c r="UFR40" s="47"/>
      <c r="UFS40" s="47"/>
      <c r="UFT40" s="47"/>
      <c r="UFU40" s="47"/>
      <c r="UFV40" s="47"/>
      <c r="UFW40" s="47"/>
      <c r="UFX40" s="47"/>
      <c r="UFY40" s="47"/>
      <c r="UFZ40" s="47"/>
      <c r="UGA40" s="47"/>
      <c r="UGB40" s="47"/>
      <c r="UGC40" s="47"/>
      <c r="UGD40" s="47"/>
      <c r="UGE40" s="47"/>
      <c r="UGF40" s="47"/>
      <c r="UGG40" s="47"/>
      <c r="UGH40" s="47"/>
      <c r="UGI40" s="47"/>
      <c r="UGJ40" s="47"/>
      <c r="UGK40" s="47"/>
      <c r="UGL40" s="47"/>
      <c r="UGM40" s="47"/>
      <c r="UGN40" s="47"/>
      <c r="UGO40" s="47"/>
      <c r="UGP40" s="47"/>
      <c r="UGQ40" s="47"/>
      <c r="UGR40" s="47"/>
      <c r="UGS40" s="47"/>
      <c r="UGT40" s="47"/>
      <c r="UGU40" s="47"/>
      <c r="UGV40" s="47"/>
      <c r="UGW40" s="47"/>
      <c r="UGX40" s="47"/>
      <c r="UGY40" s="47"/>
      <c r="UGZ40" s="47"/>
      <c r="UHA40" s="47"/>
      <c r="UHB40" s="47"/>
      <c r="UHC40" s="47"/>
      <c r="UHD40" s="47"/>
      <c r="UHE40" s="47"/>
      <c r="UHF40" s="47"/>
      <c r="UHG40" s="47"/>
      <c r="UHH40" s="47"/>
      <c r="UHI40" s="47"/>
      <c r="UHJ40" s="47"/>
      <c r="UHK40" s="47"/>
      <c r="UHL40" s="47"/>
      <c r="UHM40" s="47"/>
      <c r="UHN40" s="47"/>
      <c r="UHO40" s="47"/>
      <c r="UHP40" s="47"/>
      <c r="UHQ40" s="47"/>
      <c r="UHR40" s="47"/>
      <c r="UHS40" s="47"/>
      <c r="UHT40" s="47"/>
      <c r="UHU40" s="47"/>
      <c r="UHV40" s="47"/>
      <c r="UHW40" s="47"/>
      <c r="UHX40" s="47"/>
      <c r="UHY40" s="47"/>
      <c r="UHZ40" s="47"/>
      <c r="UIA40" s="47"/>
      <c r="UIB40" s="47"/>
      <c r="UIC40" s="47"/>
      <c r="UID40" s="47"/>
      <c r="UIE40" s="47"/>
      <c r="UIF40" s="47"/>
      <c r="UIG40" s="47"/>
      <c r="UIH40" s="47"/>
      <c r="UII40" s="47"/>
      <c r="UIJ40" s="47"/>
      <c r="UIK40" s="47"/>
      <c r="UIL40" s="47"/>
      <c r="UIM40" s="47"/>
      <c r="UIN40" s="47"/>
      <c r="UIO40" s="47"/>
      <c r="UIP40" s="47"/>
      <c r="UIQ40" s="47"/>
      <c r="UIR40" s="47"/>
      <c r="UIS40" s="47"/>
      <c r="UIT40" s="47"/>
      <c r="UIU40" s="47"/>
      <c r="UIV40" s="47"/>
      <c r="UIW40" s="47"/>
      <c r="UIX40" s="47"/>
      <c r="UIY40" s="47"/>
      <c r="UIZ40" s="47"/>
      <c r="UJA40" s="47"/>
      <c r="UJB40" s="47"/>
      <c r="UJC40" s="47"/>
      <c r="UJD40" s="47"/>
      <c r="UJE40" s="47"/>
      <c r="UJF40" s="47"/>
      <c r="UJG40" s="47"/>
      <c r="UJH40" s="47"/>
      <c r="UJI40" s="47"/>
      <c r="UJJ40" s="47"/>
      <c r="UJK40" s="47"/>
      <c r="UJL40" s="47"/>
      <c r="UJM40" s="47"/>
      <c r="UJN40" s="47"/>
      <c r="UJO40" s="47"/>
      <c r="UJP40" s="47"/>
      <c r="UJQ40" s="47"/>
      <c r="UJR40" s="47"/>
      <c r="UJS40" s="47"/>
      <c r="UJT40" s="47"/>
      <c r="UJU40" s="47"/>
      <c r="UJV40" s="47"/>
      <c r="UJW40" s="47"/>
      <c r="UJX40" s="47"/>
      <c r="UJY40" s="47"/>
      <c r="UJZ40" s="47"/>
      <c r="UKA40" s="47"/>
      <c r="UKB40" s="47"/>
      <c r="UKC40" s="47"/>
      <c r="UKD40" s="47"/>
      <c r="UKE40" s="47"/>
      <c r="UKF40" s="47"/>
      <c r="UKG40" s="47"/>
      <c r="UKH40" s="47"/>
      <c r="UKI40" s="47"/>
      <c r="UKJ40" s="47"/>
      <c r="UKK40" s="47"/>
      <c r="UKL40" s="47"/>
      <c r="UKM40" s="47"/>
      <c r="UKN40" s="47"/>
      <c r="UKO40" s="47"/>
      <c r="UKP40" s="47"/>
      <c r="UKQ40" s="47"/>
      <c r="UKR40" s="47"/>
      <c r="UKS40" s="47"/>
      <c r="UKT40" s="47"/>
      <c r="UKU40" s="47"/>
      <c r="UKV40" s="47"/>
      <c r="UKW40" s="47"/>
      <c r="UKX40" s="47"/>
      <c r="UKY40" s="47"/>
      <c r="UKZ40" s="47"/>
      <c r="ULA40" s="47"/>
      <c r="ULB40" s="47"/>
      <c r="ULC40" s="47"/>
      <c r="ULD40" s="47"/>
      <c r="ULE40" s="47"/>
      <c r="ULF40" s="47"/>
      <c r="ULG40" s="47"/>
      <c r="ULH40" s="47"/>
      <c r="ULI40" s="47"/>
      <c r="ULJ40" s="47"/>
      <c r="ULK40" s="47"/>
      <c r="ULL40" s="47"/>
      <c r="ULM40" s="47"/>
      <c r="ULN40" s="47"/>
      <c r="ULO40" s="47"/>
      <c r="ULP40" s="47"/>
      <c r="ULQ40" s="47"/>
      <c r="ULR40" s="47"/>
      <c r="ULS40" s="47"/>
      <c r="ULT40" s="47"/>
      <c r="ULU40" s="47"/>
      <c r="ULV40" s="47"/>
      <c r="ULW40" s="47"/>
      <c r="ULX40" s="47"/>
      <c r="ULY40" s="47"/>
      <c r="ULZ40" s="47"/>
      <c r="UMA40" s="47"/>
      <c r="UMB40" s="47"/>
      <c r="UMC40" s="47"/>
      <c r="UMD40" s="47"/>
      <c r="UME40" s="47"/>
      <c r="UMF40" s="47"/>
      <c r="UMG40" s="47"/>
      <c r="UMH40" s="47"/>
      <c r="UMI40" s="47"/>
      <c r="UMJ40" s="47"/>
      <c r="UMK40" s="47"/>
      <c r="UML40" s="47"/>
      <c r="UMM40" s="47"/>
      <c r="UMN40" s="47"/>
      <c r="UMO40" s="47"/>
      <c r="UMP40" s="47"/>
      <c r="UMQ40" s="47"/>
      <c r="UMR40" s="47"/>
      <c r="UMS40" s="47"/>
      <c r="UMT40" s="47"/>
      <c r="UMU40" s="47"/>
      <c r="UMV40" s="47"/>
      <c r="UMW40" s="47"/>
      <c r="UMX40" s="47"/>
      <c r="UMY40" s="47"/>
      <c r="UMZ40" s="47"/>
      <c r="UNA40" s="47"/>
      <c r="UNB40" s="47"/>
      <c r="UNC40" s="47"/>
      <c r="UND40" s="47"/>
      <c r="UNE40" s="47"/>
      <c r="UNF40" s="47"/>
      <c r="UNG40" s="47"/>
      <c r="UNH40" s="47"/>
      <c r="UNI40" s="47"/>
      <c r="UNJ40" s="47"/>
      <c r="UNK40" s="47"/>
      <c r="UNL40" s="47"/>
      <c r="UNM40" s="47"/>
      <c r="UNN40" s="47"/>
      <c r="UNO40" s="47"/>
      <c r="UNP40" s="47"/>
      <c r="UNQ40" s="47"/>
      <c r="UNR40" s="47"/>
      <c r="UNS40" s="47"/>
      <c r="UNT40" s="47"/>
      <c r="UNU40" s="47"/>
      <c r="UNV40" s="47"/>
      <c r="UNW40" s="47"/>
      <c r="UNX40" s="47"/>
      <c r="UNY40" s="47"/>
      <c r="UNZ40" s="47"/>
      <c r="UOA40" s="47"/>
      <c r="UOB40" s="47"/>
      <c r="UOC40" s="47"/>
      <c r="UOD40" s="47"/>
      <c r="UOE40" s="47"/>
      <c r="UOF40" s="47"/>
      <c r="UOG40" s="47"/>
      <c r="UOH40" s="47"/>
      <c r="UOI40" s="47"/>
      <c r="UOJ40" s="47"/>
      <c r="UOK40" s="47"/>
      <c r="UOL40" s="47"/>
      <c r="UOM40" s="47"/>
      <c r="UON40" s="47"/>
      <c r="UOO40" s="47"/>
      <c r="UOP40" s="47"/>
      <c r="UOQ40" s="47"/>
      <c r="UOR40" s="47"/>
      <c r="UOS40" s="47"/>
      <c r="UOT40" s="47"/>
      <c r="UOU40" s="47"/>
      <c r="UOV40" s="47"/>
      <c r="UOW40" s="47"/>
      <c r="UOX40" s="47"/>
      <c r="UOY40" s="47"/>
      <c r="UOZ40" s="47"/>
      <c r="UPA40" s="47"/>
      <c r="UPB40" s="47"/>
      <c r="UPC40" s="47"/>
      <c r="UPD40" s="47"/>
      <c r="UPE40" s="47"/>
      <c r="UPF40" s="47"/>
      <c r="UPG40" s="47"/>
      <c r="UPH40" s="47"/>
      <c r="UPI40" s="47"/>
      <c r="UPJ40" s="47"/>
      <c r="UPK40" s="47"/>
      <c r="UPL40" s="47"/>
      <c r="UPM40" s="47"/>
      <c r="UPN40" s="47"/>
      <c r="UPO40" s="47"/>
      <c r="UPP40" s="47"/>
      <c r="UPQ40" s="47"/>
      <c r="UPR40" s="47"/>
      <c r="UPS40" s="47"/>
      <c r="UPT40" s="47"/>
      <c r="UPU40" s="47"/>
      <c r="UPV40" s="47"/>
      <c r="UPW40" s="47"/>
      <c r="UPX40" s="47"/>
      <c r="UPY40" s="47"/>
      <c r="UPZ40" s="47"/>
      <c r="UQA40" s="47"/>
      <c r="UQB40" s="47"/>
      <c r="UQC40" s="47"/>
      <c r="UQD40" s="47"/>
      <c r="UQE40" s="47"/>
      <c r="UQF40" s="47"/>
      <c r="UQG40" s="47"/>
      <c r="UQH40" s="47"/>
      <c r="UQI40" s="47"/>
      <c r="UQJ40" s="47"/>
      <c r="UQK40" s="47"/>
      <c r="UQL40" s="47"/>
      <c r="UQM40" s="47"/>
      <c r="UQN40" s="47"/>
      <c r="UQO40" s="47"/>
      <c r="UQP40" s="47"/>
      <c r="UQQ40" s="47"/>
      <c r="UQR40" s="47"/>
      <c r="UQS40" s="47"/>
      <c r="UQT40" s="47"/>
      <c r="UQU40" s="47"/>
      <c r="UQV40" s="47"/>
      <c r="UQW40" s="47"/>
      <c r="UQX40" s="47"/>
      <c r="UQY40" s="47"/>
      <c r="UQZ40" s="47"/>
      <c r="URA40" s="47"/>
      <c r="URB40" s="47"/>
      <c r="URC40" s="47"/>
      <c r="URD40" s="47"/>
      <c r="URE40" s="47"/>
      <c r="URF40" s="47"/>
      <c r="URG40" s="47"/>
      <c r="URH40" s="47"/>
      <c r="URI40" s="47"/>
      <c r="URJ40" s="47"/>
      <c r="URK40" s="47"/>
      <c r="URL40" s="47"/>
      <c r="URM40" s="47"/>
      <c r="URN40" s="47"/>
      <c r="URO40" s="47"/>
      <c r="URP40" s="47"/>
      <c r="URQ40" s="47"/>
      <c r="URR40" s="47"/>
      <c r="URS40" s="47"/>
      <c r="URT40" s="47"/>
      <c r="URU40" s="47"/>
      <c r="URV40" s="47"/>
      <c r="URW40" s="47"/>
      <c r="URX40" s="47"/>
      <c r="URY40" s="47"/>
      <c r="URZ40" s="47"/>
      <c r="USA40" s="47"/>
      <c r="USB40" s="47"/>
      <c r="USC40" s="47"/>
      <c r="USD40" s="47"/>
      <c r="USE40" s="47"/>
      <c r="USF40" s="47"/>
      <c r="USG40" s="47"/>
      <c r="USH40" s="47"/>
      <c r="USI40" s="47"/>
      <c r="USJ40" s="47"/>
      <c r="USK40" s="47"/>
      <c r="USL40" s="47"/>
      <c r="USM40" s="47"/>
      <c r="USN40" s="47"/>
      <c r="USO40" s="47"/>
      <c r="USP40" s="47"/>
      <c r="USQ40" s="47"/>
      <c r="USR40" s="47"/>
      <c r="USS40" s="47"/>
      <c r="UST40" s="47"/>
      <c r="USU40" s="47"/>
      <c r="USV40" s="47"/>
      <c r="USW40" s="47"/>
      <c r="USX40" s="47"/>
      <c r="USY40" s="47"/>
      <c r="USZ40" s="47"/>
      <c r="UTA40" s="47"/>
      <c r="UTB40" s="47"/>
      <c r="UTC40" s="47"/>
      <c r="UTD40" s="47"/>
      <c r="UTE40" s="47"/>
      <c r="UTF40" s="47"/>
      <c r="UTG40" s="47"/>
      <c r="UTH40" s="47"/>
      <c r="UTI40" s="47"/>
      <c r="UTJ40" s="47"/>
      <c r="UTK40" s="47"/>
      <c r="UTL40" s="47"/>
      <c r="UTM40" s="47"/>
      <c r="UTN40" s="47"/>
      <c r="UTO40" s="47"/>
      <c r="UTP40" s="47"/>
      <c r="UTQ40" s="47"/>
      <c r="UTR40" s="47"/>
      <c r="UTS40" s="47"/>
      <c r="UTT40" s="47"/>
      <c r="UTU40" s="47"/>
      <c r="UTV40" s="47"/>
      <c r="UTW40" s="47"/>
      <c r="UTX40" s="47"/>
      <c r="UTY40" s="47"/>
      <c r="UTZ40" s="47"/>
      <c r="UUA40" s="47"/>
      <c r="UUB40" s="47"/>
      <c r="UUC40" s="47"/>
      <c r="UUD40" s="47"/>
      <c r="UUE40" s="47"/>
      <c r="UUF40" s="47"/>
      <c r="UUG40" s="47"/>
      <c r="UUH40" s="47"/>
      <c r="UUI40" s="47"/>
      <c r="UUJ40" s="47"/>
      <c r="UUK40" s="47"/>
      <c r="UUL40" s="47"/>
      <c r="UUM40" s="47"/>
      <c r="UUN40" s="47"/>
      <c r="UUO40" s="47"/>
      <c r="UUP40" s="47"/>
      <c r="UUQ40" s="47"/>
      <c r="UUR40" s="47"/>
      <c r="UUS40" s="47"/>
      <c r="UUT40" s="47"/>
      <c r="UUU40" s="47"/>
      <c r="UUV40" s="47"/>
      <c r="UUW40" s="47"/>
      <c r="UUX40" s="47"/>
      <c r="UUY40" s="47"/>
      <c r="UUZ40" s="47"/>
      <c r="UVA40" s="47"/>
      <c r="UVB40" s="47"/>
      <c r="UVC40" s="47"/>
      <c r="UVD40" s="47"/>
      <c r="UVE40" s="47"/>
      <c r="UVF40" s="47"/>
      <c r="UVG40" s="47"/>
      <c r="UVH40" s="47"/>
      <c r="UVI40" s="47"/>
      <c r="UVJ40" s="47"/>
      <c r="UVK40" s="47"/>
      <c r="UVL40" s="47"/>
      <c r="UVM40" s="47"/>
      <c r="UVN40" s="47"/>
      <c r="UVO40" s="47"/>
      <c r="UVP40" s="47"/>
      <c r="UVQ40" s="47"/>
      <c r="UVR40" s="47"/>
      <c r="UVS40" s="47"/>
      <c r="UVT40" s="47"/>
      <c r="UVU40" s="47"/>
      <c r="UVV40" s="47"/>
      <c r="UVW40" s="47"/>
      <c r="UVX40" s="47"/>
      <c r="UVY40" s="47"/>
      <c r="UVZ40" s="47"/>
      <c r="UWA40" s="47"/>
      <c r="UWB40" s="47"/>
      <c r="UWC40" s="47"/>
      <c r="UWD40" s="47"/>
      <c r="UWE40" s="47"/>
      <c r="UWF40" s="47"/>
      <c r="UWG40" s="47"/>
      <c r="UWH40" s="47"/>
      <c r="UWI40" s="47"/>
      <c r="UWJ40" s="47"/>
      <c r="UWK40" s="47"/>
      <c r="UWL40" s="47"/>
      <c r="UWM40" s="47"/>
      <c r="UWN40" s="47"/>
      <c r="UWO40" s="47"/>
      <c r="UWP40" s="47"/>
      <c r="UWQ40" s="47"/>
      <c r="UWR40" s="47"/>
      <c r="UWS40" s="47"/>
      <c r="UWT40" s="47"/>
      <c r="UWU40" s="47"/>
      <c r="UWV40" s="47"/>
      <c r="UWW40" s="47"/>
      <c r="UWX40" s="47"/>
      <c r="UWY40" s="47"/>
      <c r="UWZ40" s="47"/>
      <c r="UXA40" s="47"/>
      <c r="UXB40" s="47"/>
      <c r="UXC40" s="47"/>
      <c r="UXD40" s="47"/>
      <c r="UXE40" s="47"/>
      <c r="UXF40" s="47"/>
      <c r="UXG40" s="47"/>
      <c r="UXH40" s="47"/>
      <c r="UXI40" s="47"/>
      <c r="UXJ40" s="47"/>
      <c r="UXK40" s="47"/>
      <c r="UXL40" s="47"/>
      <c r="UXM40" s="47"/>
      <c r="UXN40" s="47"/>
      <c r="UXO40" s="47"/>
      <c r="UXP40" s="47"/>
      <c r="UXQ40" s="47"/>
      <c r="UXR40" s="47"/>
      <c r="UXS40" s="47"/>
      <c r="UXT40" s="47"/>
      <c r="UXU40" s="47"/>
      <c r="UXV40" s="47"/>
      <c r="UXW40" s="47"/>
      <c r="UXX40" s="47"/>
      <c r="UXY40" s="47"/>
      <c r="UXZ40" s="47"/>
      <c r="UYA40" s="47"/>
      <c r="UYB40" s="47"/>
      <c r="UYC40" s="47"/>
      <c r="UYD40" s="47"/>
      <c r="UYE40" s="47"/>
      <c r="UYF40" s="47"/>
      <c r="UYG40" s="47"/>
      <c r="UYH40" s="47"/>
      <c r="UYI40" s="47"/>
      <c r="UYJ40" s="47"/>
      <c r="UYK40" s="47"/>
      <c r="UYL40" s="47"/>
      <c r="UYM40" s="47"/>
      <c r="UYN40" s="47"/>
      <c r="UYO40" s="47"/>
      <c r="UYP40" s="47"/>
      <c r="UYQ40" s="47"/>
      <c r="UYR40" s="47"/>
      <c r="UYS40" s="47"/>
      <c r="UYT40" s="47"/>
      <c r="UYU40" s="47"/>
      <c r="UYV40" s="47"/>
      <c r="UYW40" s="47"/>
      <c r="UYX40" s="47"/>
      <c r="UYY40" s="47"/>
      <c r="UYZ40" s="47"/>
      <c r="UZA40" s="47"/>
      <c r="UZB40" s="47"/>
      <c r="UZC40" s="47"/>
      <c r="UZD40" s="47"/>
      <c r="UZE40" s="47"/>
      <c r="UZF40" s="47"/>
      <c r="UZG40" s="47"/>
      <c r="UZH40" s="47"/>
      <c r="UZI40" s="47"/>
      <c r="UZJ40" s="47"/>
      <c r="UZK40" s="47"/>
      <c r="UZL40" s="47"/>
      <c r="UZM40" s="47"/>
      <c r="UZN40" s="47"/>
      <c r="UZO40" s="47"/>
      <c r="UZP40" s="47"/>
      <c r="UZQ40" s="47"/>
      <c r="UZR40" s="47"/>
      <c r="UZS40" s="47"/>
      <c r="UZT40" s="47"/>
      <c r="UZU40" s="47"/>
      <c r="UZV40" s="47"/>
      <c r="UZW40" s="47"/>
      <c r="UZX40" s="47"/>
      <c r="UZY40" s="47"/>
      <c r="UZZ40" s="47"/>
      <c r="VAA40" s="47"/>
      <c r="VAB40" s="47"/>
      <c r="VAC40" s="47"/>
      <c r="VAD40" s="47"/>
      <c r="VAE40" s="47"/>
      <c r="VAF40" s="47"/>
      <c r="VAG40" s="47"/>
      <c r="VAH40" s="47"/>
      <c r="VAI40" s="47"/>
      <c r="VAJ40" s="47"/>
      <c r="VAK40" s="47"/>
      <c r="VAL40" s="47"/>
      <c r="VAM40" s="47"/>
      <c r="VAN40" s="47"/>
      <c r="VAO40" s="47"/>
      <c r="VAP40" s="47"/>
      <c r="VAQ40" s="47"/>
      <c r="VAR40" s="47"/>
      <c r="VAS40" s="47"/>
      <c r="VAT40" s="47"/>
      <c r="VAU40" s="47"/>
      <c r="VAV40" s="47"/>
      <c r="VAW40" s="47"/>
      <c r="VAX40" s="47"/>
      <c r="VAY40" s="47"/>
      <c r="VAZ40" s="47"/>
      <c r="VBA40" s="47"/>
      <c r="VBB40" s="47"/>
      <c r="VBC40" s="47"/>
      <c r="VBD40" s="47"/>
      <c r="VBE40" s="47"/>
      <c r="VBF40" s="47"/>
      <c r="VBG40" s="47"/>
      <c r="VBH40" s="47"/>
      <c r="VBI40" s="47"/>
      <c r="VBJ40" s="47"/>
      <c r="VBK40" s="47"/>
      <c r="VBL40" s="47"/>
      <c r="VBM40" s="47"/>
      <c r="VBN40" s="47"/>
      <c r="VBO40" s="47"/>
      <c r="VBP40" s="47"/>
      <c r="VBQ40" s="47"/>
      <c r="VBR40" s="47"/>
      <c r="VBS40" s="47"/>
      <c r="VBT40" s="47"/>
      <c r="VBU40" s="47"/>
      <c r="VBV40" s="47"/>
      <c r="VBW40" s="47"/>
      <c r="VBX40" s="47"/>
      <c r="VBY40" s="47"/>
      <c r="VBZ40" s="47"/>
      <c r="VCA40" s="47"/>
      <c r="VCB40" s="47"/>
      <c r="VCC40" s="47"/>
      <c r="VCD40" s="47"/>
      <c r="VCE40" s="47"/>
      <c r="VCF40" s="47"/>
      <c r="VCG40" s="47"/>
      <c r="VCH40" s="47"/>
      <c r="VCI40" s="47"/>
      <c r="VCJ40" s="47"/>
      <c r="VCK40" s="47"/>
      <c r="VCL40" s="47"/>
      <c r="VCM40" s="47"/>
      <c r="VCN40" s="47"/>
      <c r="VCO40" s="47"/>
      <c r="VCP40" s="47"/>
      <c r="VCQ40" s="47"/>
      <c r="VCR40" s="47"/>
      <c r="VCS40" s="47"/>
      <c r="VCT40" s="47"/>
      <c r="VCU40" s="47"/>
      <c r="VCV40" s="47"/>
      <c r="VCW40" s="47"/>
      <c r="VCX40" s="47"/>
      <c r="VCY40" s="47"/>
      <c r="VCZ40" s="47"/>
      <c r="VDA40" s="47"/>
      <c r="VDB40" s="47"/>
      <c r="VDC40" s="47"/>
      <c r="VDD40" s="47"/>
      <c r="VDE40" s="47"/>
      <c r="VDF40" s="47"/>
      <c r="VDG40" s="47"/>
      <c r="VDH40" s="47"/>
      <c r="VDI40" s="47"/>
      <c r="VDJ40" s="47"/>
      <c r="VDK40" s="47"/>
      <c r="VDL40" s="47"/>
      <c r="VDM40" s="47"/>
      <c r="VDN40" s="47"/>
      <c r="VDO40" s="47"/>
      <c r="VDP40" s="47"/>
      <c r="VDQ40" s="47"/>
      <c r="VDR40" s="47"/>
      <c r="VDS40" s="47"/>
      <c r="VDT40" s="47"/>
      <c r="VDU40" s="47"/>
      <c r="VDV40" s="47"/>
      <c r="VDW40" s="47"/>
      <c r="VDX40" s="47"/>
      <c r="VDY40" s="47"/>
      <c r="VDZ40" s="47"/>
      <c r="VEA40" s="47"/>
      <c r="VEB40" s="47"/>
      <c r="VEC40" s="47"/>
      <c r="VED40" s="47"/>
      <c r="VEE40" s="47"/>
      <c r="VEF40" s="47"/>
      <c r="VEG40" s="47"/>
      <c r="VEH40" s="47"/>
      <c r="VEI40" s="47"/>
      <c r="VEJ40" s="47"/>
      <c r="VEK40" s="47"/>
      <c r="VEL40" s="47"/>
      <c r="VEM40" s="47"/>
      <c r="VEN40" s="47"/>
      <c r="VEO40" s="47"/>
      <c r="VEP40" s="47"/>
      <c r="VEQ40" s="47"/>
      <c r="VER40" s="47"/>
      <c r="VES40" s="47"/>
      <c r="VET40" s="47"/>
      <c r="VEU40" s="47"/>
      <c r="VEV40" s="47"/>
      <c r="VEW40" s="47"/>
      <c r="VEX40" s="47"/>
      <c r="VEY40" s="47"/>
      <c r="VEZ40" s="47"/>
      <c r="VFA40" s="47"/>
      <c r="VFB40" s="47"/>
      <c r="VFC40" s="47"/>
      <c r="VFD40" s="47"/>
      <c r="VFE40" s="47"/>
      <c r="VFF40" s="47"/>
      <c r="VFG40" s="47"/>
      <c r="VFH40" s="47"/>
      <c r="VFI40" s="47"/>
      <c r="VFJ40" s="47"/>
      <c r="VFK40" s="47"/>
      <c r="VFL40" s="47"/>
      <c r="VFM40" s="47"/>
      <c r="VFN40" s="47"/>
      <c r="VFO40" s="47"/>
      <c r="VFP40" s="47"/>
      <c r="VFQ40" s="47"/>
      <c r="VFR40" s="47"/>
      <c r="VFS40" s="47"/>
      <c r="VFT40" s="47"/>
      <c r="VFU40" s="47"/>
      <c r="VFV40" s="47"/>
      <c r="VFW40" s="47"/>
      <c r="VFX40" s="47"/>
      <c r="VFY40" s="47"/>
      <c r="VFZ40" s="47"/>
      <c r="VGA40" s="47"/>
      <c r="VGB40" s="47"/>
      <c r="VGC40" s="47"/>
      <c r="VGD40" s="47"/>
      <c r="VGE40" s="47"/>
      <c r="VGF40" s="47"/>
      <c r="VGG40" s="47"/>
      <c r="VGH40" s="47"/>
      <c r="VGI40" s="47"/>
      <c r="VGJ40" s="47"/>
      <c r="VGK40" s="47"/>
      <c r="VGL40" s="47"/>
      <c r="VGM40" s="47"/>
      <c r="VGN40" s="47"/>
      <c r="VGO40" s="47"/>
      <c r="VGP40" s="47"/>
      <c r="VGQ40" s="47"/>
      <c r="VGR40" s="47"/>
      <c r="VGS40" s="47"/>
      <c r="VGT40" s="47"/>
      <c r="VGU40" s="47"/>
      <c r="VGV40" s="47"/>
      <c r="VGW40" s="47"/>
      <c r="VGX40" s="47"/>
      <c r="VGY40" s="47"/>
      <c r="VGZ40" s="47"/>
    </row>
    <row r="41" spans="1:15128" s="1" customFormat="1" x14ac:dyDescent="0.25">
      <c r="B41" s="128"/>
      <c r="C41" s="133" t="s">
        <v>82</v>
      </c>
      <c r="D41" s="137">
        <f>SUM(D42:D43)</f>
        <v>1128336.1585714291</v>
      </c>
      <c r="E41" s="272" t="s">
        <v>16</v>
      </c>
      <c r="F41" s="122">
        <f>SUM(F42:F43)</f>
        <v>0</v>
      </c>
      <c r="G41" s="122">
        <f t="shared" ref="G41:O41" si="8">SUM(G42:G43)</f>
        <v>0</v>
      </c>
      <c r="H41" s="122">
        <f t="shared" si="8"/>
        <v>0</v>
      </c>
      <c r="I41" s="122">
        <f t="shared" si="8"/>
        <v>0</v>
      </c>
      <c r="J41" s="122">
        <f t="shared" si="8"/>
        <v>0</v>
      </c>
      <c r="K41" s="122">
        <f t="shared" si="8"/>
        <v>0</v>
      </c>
      <c r="L41" s="122">
        <f t="shared" si="8"/>
        <v>0</v>
      </c>
      <c r="M41" s="122">
        <f t="shared" si="8"/>
        <v>0</v>
      </c>
      <c r="N41" s="122">
        <f t="shared" si="8"/>
        <v>0</v>
      </c>
      <c r="O41" s="122">
        <f t="shared" si="8"/>
        <v>0</v>
      </c>
      <c r="P41" s="122">
        <v>0</v>
      </c>
      <c r="Q41" s="122">
        <v>0</v>
      </c>
      <c r="R41" s="122">
        <v>0</v>
      </c>
      <c r="S41" s="122">
        <v>0</v>
      </c>
      <c r="T41" s="122">
        <v>0</v>
      </c>
      <c r="U41" s="122">
        <v>0</v>
      </c>
      <c r="V41" s="122">
        <f>V42+V43</f>
        <v>268900</v>
      </c>
      <c r="W41" s="122">
        <v>0</v>
      </c>
      <c r="X41" s="122">
        <f>SUM(X42:X43)</f>
        <v>0</v>
      </c>
      <c r="Y41" s="122">
        <v>0</v>
      </c>
      <c r="Z41" s="122">
        <v>0</v>
      </c>
      <c r="AA41" s="122">
        <v>0</v>
      </c>
      <c r="AB41" s="122">
        <v>0</v>
      </c>
      <c r="AC41" s="122">
        <v>0</v>
      </c>
      <c r="AD41" s="122">
        <v>0</v>
      </c>
      <c r="AE41" s="122">
        <v>0</v>
      </c>
      <c r="AF41" s="122">
        <v>0</v>
      </c>
      <c r="AG41" s="122">
        <v>0</v>
      </c>
      <c r="AH41" s="122">
        <v>0</v>
      </c>
      <c r="AI41" s="122">
        <v>0</v>
      </c>
      <c r="AJ41" s="122">
        <v>0</v>
      </c>
      <c r="AK41" s="9"/>
      <c r="AL41" s="314">
        <f>SUM(F41:AJ41)</f>
        <v>268900</v>
      </c>
      <c r="AM41" s="147"/>
      <c r="AN41" s="29"/>
    </row>
    <row r="42" spans="1:15128" s="1" customFormat="1" x14ac:dyDescent="0.25">
      <c r="B42" s="128"/>
      <c r="C42" s="133" t="s">
        <v>86</v>
      </c>
      <c r="D42" s="137">
        <f>789.835311*1000</f>
        <v>789835.3110000001</v>
      </c>
      <c r="E42" s="272" t="s">
        <v>16</v>
      </c>
      <c r="F42" s="122">
        <v>0</v>
      </c>
      <c r="G42" s="122">
        <v>0</v>
      </c>
      <c r="H42" s="122">
        <v>0</v>
      </c>
      <c r="I42" s="122">
        <v>0</v>
      </c>
      <c r="J42" s="122">
        <v>0</v>
      </c>
      <c r="K42" s="122">
        <v>0</v>
      </c>
      <c r="L42" s="122">
        <v>0</v>
      </c>
      <c r="M42" s="122">
        <v>0</v>
      </c>
      <c r="N42" s="122">
        <v>0</v>
      </c>
      <c r="O42" s="122"/>
      <c r="P42" s="122"/>
      <c r="Q42" s="122"/>
      <c r="R42" s="122"/>
      <c r="S42" s="122"/>
      <c r="T42" s="122"/>
      <c r="U42" s="122"/>
      <c r="V42" s="122">
        <v>189700</v>
      </c>
      <c r="W42" s="122">
        <v>0</v>
      </c>
      <c r="X42" s="122">
        <v>0</v>
      </c>
      <c r="Y42" s="122">
        <v>0</v>
      </c>
      <c r="Z42" s="122">
        <v>0</v>
      </c>
      <c r="AA42" s="122">
        <v>0</v>
      </c>
      <c r="AB42" s="122">
        <v>0</v>
      </c>
      <c r="AC42" s="122">
        <v>0</v>
      </c>
      <c r="AD42" s="122">
        <v>0</v>
      </c>
      <c r="AE42" s="122">
        <v>0</v>
      </c>
      <c r="AF42" s="122">
        <v>0</v>
      </c>
      <c r="AG42" s="122"/>
      <c r="AH42" s="122"/>
      <c r="AI42" s="122"/>
      <c r="AJ42" s="122"/>
      <c r="AK42" s="9"/>
      <c r="AL42" s="315">
        <f>SUM(F42:AJ42)</f>
        <v>189700</v>
      </c>
      <c r="AM42" s="242"/>
      <c r="AN42" s="29"/>
    </row>
    <row r="43" spans="1:15128" s="1" customFormat="1" x14ac:dyDescent="0.25">
      <c r="B43" s="128"/>
      <c r="C43" s="120" t="s">
        <v>85</v>
      </c>
      <c r="D43" s="137">
        <f>338.500847571429*1000</f>
        <v>338500.84757142898</v>
      </c>
      <c r="E43" s="272" t="s">
        <v>16</v>
      </c>
      <c r="F43" s="122">
        <v>0</v>
      </c>
      <c r="G43" s="122">
        <v>0</v>
      </c>
      <c r="H43" s="122">
        <v>0</v>
      </c>
      <c r="I43" s="122">
        <v>0</v>
      </c>
      <c r="J43" s="122">
        <v>0</v>
      </c>
      <c r="K43" s="122">
        <v>0</v>
      </c>
      <c r="L43" s="122">
        <v>0</v>
      </c>
      <c r="M43" s="122">
        <v>0</v>
      </c>
      <c r="N43" s="122">
        <v>0</v>
      </c>
      <c r="O43" s="122"/>
      <c r="P43" s="122"/>
      <c r="Q43" s="122"/>
      <c r="R43" s="122"/>
      <c r="S43" s="122"/>
      <c r="T43" s="122"/>
      <c r="U43" s="122"/>
      <c r="V43" s="122">
        <v>79200</v>
      </c>
      <c r="W43" s="122">
        <v>0</v>
      </c>
      <c r="X43" s="122">
        <v>0</v>
      </c>
      <c r="Y43" s="122">
        <v>0</v>
      </c>
      <c r="Z43" s="122">
        <v>0</v>
      </c>
      <c r="AA43" s="122">
        <v>0</v>
      </c>
      <c r="AB43" s="122">
        <v>0</v>
      </c>
      <c r="AC43" s="122">
        <v>0</v>
      </c>
      <c r="AD43" s="122">
        <v>0</v>
      </c>
      <c r="AE43" s="122">
        <v>0</v>
      </c>
      <c r="AF43" s="122">
        <v>0</v>
      </c>
      <c r="AG43" s="122"/>
      <c r="AH43" s="122"/>
      <c r="AI43" s="122"/>
      <c r="AJ43" s="122"/>
      <c r="AK43" s="9"/>
      <c r="AL43" s="314">
        <f>SUM(F43:AJ43)</f>
        <v>79200</v>
      </c>
      <c r="AM43" s="147"/>
      <c r="AN43" s="28"/>
    </row>
    <row r="44" spans="1:15128" x14ac:dyDescent="0.25">
      <c r="B44" s="128"/>
      <c r="C44" s="134" t="s">
        <v>84</v>
      </c>
      <c r="D44" s="138"/>
      <c r="E44" s="273"/>
      <c r="F44" s="115"/>
      <c r="G44" s="115"/>
      <c r="H44" s="115"/>
      <c r="I44" s="139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40"/>
      <c r="AE44" s="140"/>
      <c r="AF44" s="140"/>
      <c r="AG44" s="140"/>
      <c r="AH44" s="140"/>
      <c r="AI44" s="140"/>
      <c r="AJ44" s="140"/>
      <c r="AK44" s="9"/>
      <c r="AL44" s="136" t="s">
        <v>71</v>
      </c>
      <c r="AM44" s="241"/>
    </row>
    <row r="45" spans="1:15128" s="146" customFormat="1" x14ac:dyDescent="0.2">
      <c r="A45" s="47"/>
      <c r="B45" s="98"/>
      <c r="C45" s="143" t="s">
        <v>83</v>
      </c>
      <c r="D45" s="144"/>
      <c r="E45" s="274" t="s">
        <v>16</v>
      </c>
      <c r="F45" s="122"/>
      <c r="G45" s="122">
        <v>317162</v>
      </c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>
        <v>0</v>
      </c>
      <c r="W45" s="122"/>
      <c r="X45" s="122"/>
      <c r="Y45" s="122"/>
      <c r="Z45" s="122"/>
      <c r="AA45" s="122"/>
      <c r="AB45" s="122"/>
      <c r="AC45" s="122"/>
      <c r="AD45" s="145"/>
      <c r="AE45" s="145"/>
      <c r="AF45" s="145"/>
      <c r="AG45" s="145"/>
      <c r="AH45" s="145"/>
      <c r="AI45" s="145"/>
      <c r="AJ45" s="145"/>
      <c r="AK45" s="37"/>
      <c r="AL45" s="314">
        <f>SUM(F45:AJ45)</f>
        <v>317162</v>
      </c>
      <c r="AM45" s="1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13"/>
      <c r="AZ45" s="13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  <c r="BT45" s="47"/>
      <c r="BU45" s="47"/>
      <c r="BV45" s="47"/>
      <c r="BW45" s="47"/>
      <c r="BX45" s="47"/>
      <c r="BY45" s="47"/>
      <c r="BZ45" s="47"/>
      <c r="CA45" s="47"/>
      <c r="CB45" s="47"/>
      <c r="CC45" s="47"/>
      <c r="CD45" s="147"/>
      <c r="CE45" s="47"/>
      <c r="CF45" s="47"/>
      <c r="CG45" s="47"/>
      <c r="CH45" s="47"/>
      <c r="CI45" s="47"/>
      <c r="CJ45" s="47"/>
      <c r="CK45" s="47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47"/>
      <c r="CZ45" s="47"/>
      <c r="DA45" s="47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47"/>
      <c r="DN45" s="47"/>
      <c r="DO45" s="47"/>
      <c r="DP45" s="47"/>
      <c r="DQ45" s="47"/>
      <c r="DR45" s="47"/>
      <c r="DS45" s="47"/>
      <c r="DT45" s="47"/>
      <c r="DU45" s="47"/>
      <c r="DV45" s="47"/>
      <c r="DW45" s="47"/>
      <c r="DX45" s="47"/>
      <c r="DY45" s="47"/>
      <c r="DZ45" s="47"/>
      <c r="EA45" s="47"/>
      <c r="EB45" s="47"/>
      <c r="EC45" s="47"/>
      <c r="ED45" s="47"/>
      <c r="EE45" s="47"/>
      <c r="EF45" s="47"/>
      <c r="EG45" s="47"/>
      <c r="EH45" s="47"/>
      <c r="EI45" s="47"/>
      <c r="EJ45" s="47"/>
      <c r="EK45" s="47"/>
      <c r="EL45" s="47"/>
      <c r="EM45" s="47"/>
      <c r="EN45" s="47"/>
      <c r="EO45" s="47"/>
      <c r="EP45" s="47"/>
      <c r="EQ45" s="47"/>
      <c r="ER45" s="47"/>
      <c r="ES45" s="47"/>
      <c r="ET45" s="47"/>
      <c r="EU45" s="47"/>
      <c r="EV45" s="47"/>
      <c r="EW45" s="47"/>
      <c r="EX45" s="47"/>
      <c r="EY45" s="47"/>
      <c r="EZ45" s="47"/>
      <c r="FA45" s="47"/>
      <c r="FB45" s="47"/>
      <c r="FC45" s="47"/>
      <c r="FD45" s="47"/>
      <c r="FE45" s="47"/>
      <c r="FF45" s="47"/>
      <c r="FG45" s="47"/>
      <c r="FH45" s="47"/>
      <c r="FI45" s="47"/>
      <c r="FJ45" s="47"/>
      <c r="FK45" s="47"/>
      <c r="FL45" s="47"/>
      <c r="FM45" s="47"/>
      <c r="FN45" s="47"/>
      <c r="FO45" s="47"/>
      <c r="FP45" s="47"/>
      <c r="FQ45" s="47"/>
      <c r="FR45" s="47"/>
      <c r="FS45" s="47"/>
      <c r="FT45" s="47"/>
      <c r="FU45" s="47"/>
      <c r="FV45" s="47"/>
      <c r="FW45" s="47"/>
      <c r="FX45" s="47"/>
      <c r="FY45" s="47"/>
      <c r="FZ45" s="47"/>
      <c r="GA45" s="47"/>
      <c r="GB45" s="47"/>
      <c r="GC45" s="47"/>
      <c r="GD45" s="47"/>
      <c r="GE45" s="47"/>
      <c r="GF45" s="47"/>
      <c r="GG45" s="47"/>
      <c r="GH45" s="47"/>
      <c r="GI45" s="47"/>
      <c r="GJ45" s="47"/>
      <c r="GK45" s="47"/>
      <c r="GL45" s="47"/>
      <c r="GM45" s="47"/>
      <c r="GN45" s="47"/>
      <c r="GO45" s="47"/>
      <c r="GP45" s="47"/>
      <c r="GQ45" s="47"/>
      <c r="GR45" s="47"/>
      <c r="GS45" s="47"/>
      <c r="GT45" s="47"/>
      <c r="GU45" s="47"/>
      <c r="GV45" s="47"/>
      <c r="GW45" s="47"/>
      <c r="GX45" s="47"/>
      <c r="GY45" s="47"/>
      <c r="GZ45" s="47"/>
      <c r="HA45" s="47"/>
      <c r="HB45" s="47"/>
      <c r="HC45" s="47"/>
      <c r="HD45" s="47"/>
      <c r="HE45" s="47"/>
      <c r="HF45" s="47"/>
      <c r="HG45" s="47"/>
      <c r="HH45" s="47"/>
      <c r="HI45" s="47"/>
      <c r="HJ45" s="47"/>
      <c r="HK45" s="47"/>
      <c r="HL45" s="47"/>
      <c r="HM45" s="47"/>
      <c r="HN45" s="47"/>
      <c r="HO45" s="47"/>
      <c r="HP45" s="47"/>
      <c r="HQ45" s="47"/>
      <c r="HR45" s="47"/>
      <c r="HS45" s="47"/>
      <c r="HT45" s="47"/>
      <c r="HU45" s="47"/>
      <c r="HV45" s="47"/>
      <c r="HW45" s="47"/>
      <c r="HX45" s="47"/>
      <c r="HY45" s="47"/>
      <c r="HZ45" s="47"/>
      <c r="IA45" s="47"/>
      <c r="IB45" s="47"/>
      <c r="IC45" s="47"/>
      <c r="ID45" s="47"/>
      <c r="IE45" s="47"/>
      <c r="IF45" s="47"/>
      <c r="IG45" s="47"/>
      <c r="IH45" s="47"/>
      <c r="II45" s="47"/>
      <c r="IJ45" s="47"/>
      <c r="IK45" s="47"/>
      <c r="IL45" s="47"/>
      <c r="IM45" s="47"/>
      <c r="IN45" s="47"/>
      <c r="IO45" s="47"/>
      <c r="IP45" s="47"/>
      <c r="IQ45" s="47"/>
      <c r="IR45" s="47"/>
      <c r="IS45" s="47"/>
      <c r="IT45" s="47"/>
      <c r="IU45" s="47"/>
      <c r="IV45" s="47"/>
      <c r="IW45" s="47"/>
      <c r="IX45" s="47"/>
      <c r="IY45" s="47"/>
      <c r="IZ45" s="47"/>
      <c r="JA45" s="47"/>
      <c r="JB45" s="47"/>
      <c r="JC45" s="47"/>
      <c r="JD45" s="47"/>
      <c r="JE45" s="47"/>
      <c r="JF45" s="47"/>
      <c r="JG45" s="47"/>
      <c r="JH45" s="47"/>
      <c r="JI45" s="47"/>
      <c r="JJ45" s="47"/>
      <c r="JK45" s="47"/>
      <c r="JL45" s="47"/>
      <c r="JM45" s="47"/>
      <c r="JN45" s="47"/>
      <c r="JO45" s="47"/>
      <c r="JP45" s="47"/>
      <c r="JQ45" s="47"/>
      <c r="JR45" s="47"/>
      <c r="JS45" s="47"/>
      <c r="JT45" s="47"/>
      <c r="JU45" s="47"/>
      <c r="JV45" s="47"/>
      <c r="JW45" s="47"/>
      <c r="JX45" s="47"/>
      <c r="JY45" s="47"/>
      <c r="JZ45" s="47"/>
      <c r="KA45" s="47"/>
      <c r="KB45" s="47"/>
      <c r="KC45" s="47"/>
      <c r="KD45" s="47"/>
      <c r="KE45" s="47"/>
      <c r="KF45" s="47"/>
      <c r="KG45" s="47"/>
      <c r="KH45" s="47"/>
      <c r="KI45" s="47"/>
      <c r="KJ45" s="47"/>
      <c r="KK45" s="47"/>
      <c r="KL45" s="47"/>
      <c r="KM45" s="47"/>
      <c r="KN45" s="47"/>
      <c r="KO45" s="47"/>
      <c r="KP45" s="47"/>
      <c r="KQ45" s="47"/>
      <c r="KR45" s="47"/>
      <c r="KS45" s="47"/>
      <c r="KT45" s="47"/>
      <c r="KU45" s="47"/>
      <c r="KV45" s="47"/>
      <c r="KW45" s="47"/>
      <c r="KX45" s="47"/>
      <c r="KY45" s="47"/>
      <c r="KZ45" s="47"/>
      <c r="LA45" s="47"/>
      <c r="LB45" s="47"/>
      <c r="LC45" s="47"/>
      <c r="LD45" s="47"/>
      <c r="LE45" s="47"/>
      <c r="LF45" s="47"/>
      <c r="LG45" s="47"/>
      <c r="LH45" s="47"/>
      <c r="LI45" s="47"/>
      <c r="LJ45" s="47"/>
      <c r="LK45" s="47"/>
      <c r="LL45" s="47"/>
      <c r="LM45" s="47"/>
      <c r="LN45" s="47"/>
      <c r="LO45" s="47"/>
      <c r="LP45" s="47"/>
      <c r="LQ45" s="47"/>
      <c r="LR45" s="47"/>
      <c r="LS45" s="47"/>
      <c r="LT45" s="47"/>
      <c r="LU45" s="47"/>
      <c r="LV45" s="47"/>
      <c r="LW45" s="47"/>
      <c r="LX45" s="47"/>
      <c r="LY45" s="47"/>
      <c r="LZ45" s="47"/>
      <c r="MA45" s="47"/>
      <c r="MB45" s="47"/>
      <c r="MC45" s="47"/>
      <c r="MD45" s="47"/>
      <c r="ME45" s="47"/>
      <c r="MF45" s="47"/>
      <c r="MG45" s="47"/>
      <c r="MH45" s="47"/>
      <c r="MI45" s="47"/>
      <c r="MJ45" s="47"/>
      <c r="MK45" s="47"/>
      <c r="ML45" s="47"/>
      <c r="MM45" s="47"/>
      <c r="MN45" s="47"/>
      <c r="MO45" s="47"/>
      <c r="MP45" s="47"/>
      <c r="MQ45" s="47"/>
      <c r="MR45" s="47"/>
      <c r="MS45" s="47"/>
      <c r="MT45" s="47"/>
      <c r="MU45" s="47"/>
      <c r="MV45" s="47"/>
      <c r="MW45" s="47"/>
      <c r="MX45" s="47"/>
      <c r="MY45" s="47"/>
      <c r="MZ45" s="47"/>
      <c r="NA45" s="47"/>
      <c r="NB45" s="47"/>
      <c r="NC45" s="47"/>
      <c r="ND45" s="47"/>
      <c r="NE45" s="47"/>
      <c r="NF45" s="47"/>
      <c r="NG45" s="47"/>
      <c r="NH45" s="47"/>
      <c r="NI45" s="47"/>
      <c r="NJ45" s="47"/>
      <c r="NK45" s="47"/>
      <c r="NL45" s="47"/>
      <c r="NM45" s="47"/>
      <c r="NN45" s="47"/>
      <c r="NO45" s="47"/>
      <c r="NP45" s="47"/>
      <c r="NQ45" s="47"/>
      <c r="NR45" s="47"/>
      <c r="NS45" s="47"/>
      <c r="NT45" s="47"/>
      <c r="NU45" s="47"/>
      <c r="NV45" s="47"/>
      <c r="NW45" s="47"/>
      <c r="NX45" s="47"/>
      <c r="NY45" s="47"/>
      <c r="NZ45" s="47"/>
      <c r="OA45" s="47"/>
      <c r="OB45" s="47"/>
      <c r="OC45" s="47"/>
      <c r="OD45" s="47"/>
      <c r="OE45" s="47"/>
      <c r="OF45" s="47"/>
      <c r="OG45" s="47"/>
      <c r="OH45" s="47"/>
      <c r="OI45" s="47"/>
      <c r="OJ45" s="47"/>
      <c r="OK45" s="47"/>
      <c r="OL45" s="47"/>
      <c r="OM45" s="47"/>
      <c r="ON45" s="47"/>
      <c r="OO45" s="47"/>
      <c r="OP45" s="47"/>
      <c r="OQ45" s="47"/>
      <c r="OR45" s="47"/>
      <c r="OS45" s="47"/>
      <c r="OT45" s="47"/>
      <c r="OU45" s="47"/>
      <c r="OV45" s="47"/>
      <c r="OW45" s="47"/>
      <c r="OX45" s="47"/>
      <c r="OY45" s="47"/>
      <c r="OZ45" s="47"/>
      <c r="PA45" s="47"/>
      <c r="PB45" s="47"/>
      <c r="PC45" s="47"/>
      <c r="PD45" s="47"/>
      <c r="PE45" s="47"/>
      <c r="PF45" s="47"/>
      <c r="PG45" s="47"/>
      <c r="PH45" s="47"/>
      <c r="PI45" s="47"/>
      <c r="PJ45" s="47"/>
      <c r="PK45" s="47"/>
      <c r="PL45" s="47"/>
      <c r="PM45" s="47"/>
      <c r="PN45" s="47"/>
      <c r="PO45" s="47"/>
      <c r="PP45" s="47"/>
      <c r="PQ45" s="47"/>
      <c r="PR45" s="47"/>
      <c r="PS45" s="47"/>
      <c r="PT45" s="47"/>
      <c r="PU45" s="47"/>
      <c r="PV45" s="47"/>
      <c r="PW45" s="47"/>
      <c r="PX45" s="47"/>
      <c r="PY45" s="47"/>
      <c r="PZ45" s="47"/>
      <c r="QA45" s="47"/>
      <c r="QB45" s="47"/>
      <c r="QC45" s="47"/>
      <c r="QD45" s="47"/>
      <c r="QE45" s="47"/>
      <c r="QF45" s="47"/>
      <c r="QG45" s="47"/>
      <c r="QH45" s="47"/>
      <c r="QI45" s="47"/>
      <c r="QJ45" s="47"/>
      <c r="QK45" s="47"/>
      <c r="QL45" s="47"/>
      <c r="QM45" s="47"/>
      <c r="QN45" s="47"/>
      <c r="QO45" s="47"/>
      <c r="QP45" s="47"/>
      <c r="QQ45" s="47"/>
      <c r="QR45" s="47"/>
      <c r="QS45" s="47"/>
      <c r="QT45" s="47"/>
      <c r="QU45" s="47"/>
      <c r="QV45" s="47"/>
      <c r="QW45" s="47"/>
      <c r="QX45" s="47"/>
      <c r="QY45" s="47"/>
      <c r="QZ45" s="47"/>
      <c r="RA45" s="47"/>
      <c r="RB45" s="47"/>
      <c r="RC45" s="47"/>
      <c r="RD45" s="47"/>
      <c r="RE45" s="47"/>
      <c r="RF45" s="47"/>
      <c r="RG45" s="47"/>
      <c r="RH45" s="47"/>
      <c r="RI45" s="47"/>
      <c r="RJ45" s="47"/>
      <c r="RK45" s="47"/>
      <c r="RL45" s="47"/>
      <c r="RM45" s="47"/>
      <c r="RN45" s="47"/>
      <c r="RO45" s="47"/>
      <c r="RP45" s="47"/>
      <c r="RQ45" s="47"/>
      <c r="RR45" s="47"/>
      <c r="RS45" s="47"/>
      <c r="RT45" s="47"/>
      <c r="RU45" s="47"/>
      <c r="RV45" s="47"/>
      <c r="RW45" s="47"/>
      <c r="RX45" s="47"/>
      <c r="RY45" s="47"/>
      <c r="RZ45" s="47"/>
      <c r="SA45" s="47"/>
      <c r="SB45" s="47"/>
      <c r="SC45" s="47"/>
      <c r="SD45" s="47"/>
      <c r="SE45" s="47"/>
      <c r="SF45" s="47"/>
      <c r="SG45" s="47"/>
      <c r="SH45" s="47"/>
      <c r="SI45" s="47"/>
      <c r="SJ45" s="47"/>
      <c r="SK45" s="47"/>
      <c r="SL45" s="47"/>
      <c r="SM45" s="47"/>
      <c r="SN45" s="47"/>
      <c r="SO45" s="47"/>
      <c r="SP45" s="47"/>
      <c r="SQ45" s="47"/>
      <c r="SR45" s="47"/>
      <c r="SS45" s="47"/>
      <c r="ST45" s="47"/>
      <c r="SU45" s="47"/>
      <c r="SV45" s="47"/>
      <c r="SW45" s="47"/>
      <c r="SX45" s="47"/>
      <c r="SY45" s="47"/>
      <c r="SZ45" s="47"/>
      <c r="TA45" s="47"/>
      <c r="TB45" s="47"/>
      <c r="TC45" s="47"/>
      <c r="TD45" s="47"/>
      <c r="TE45" s="47"/>
      <c r="TF45" s="47"/>
      <c r="TG45" s="47"/>
      <c r="TH45" s="47"/>
      <c r="TI45" s="47"/>
      <c r="TJ45" s="47"/>
      <c r="TK45" s="47"/>
      <c r="TL45" s="47"/>
      <c r="TM45" s="47"/>
      <c r="TN45" s="47"/>
      <c r="TO45" s="47"/>
      <c r="TP45" s="47"/>
      <c r="TQ45" s="47"/>
      <c r="TR45" s="47"/>
      <c r="TS45" s="47"/>
      <c r="TT45" s="47"/>
      <c r="TU45" s="47"/>
      <c r="TV45" s="47"/>
      <c r="TW45" s="47"/>
      <c r="TX45" s="47"/>
      <c r="TY45" s="47"/>
      <c r="TZ45" s="47"/>
      <c r="UA45" s="47"/>
      <c r="UB45" s="47"/>
      <c r="UC45" s="47"/>
      <c r="UD45" s="47"/>
      <c r="UE45" s="47"/>
      <c r="UF45" s="47"/>
      <c r="UG45" s="47"/>
      <c r="UH45" s="47"/>
      <c r="UI45" s="47"/>
      <c r="UJ45" s="47"/>
      <c r="UK45" s="47"/>
      <c r="UL45" s="47"/>
      <c r="UM45" s="47"/>
      <c r="UN45" s="47"/>
      <c r="UO45" s="47"/>
      <c r="UP45" s="47"/>
      <c r="UQ45" s="47"/>
      <c r="UR45" s="47"/>
      <c r="US45" s="47"/>
      <c r="UT45" s="47"/>
      <c r="UU45" s="47"/>
      <c r="UV45" s="47"/>
      <c r="UW45" s="47"/>
      <c r="UX45" s="47"/>
      <c r="UY45" s="47"/>
      <c r="UZ45" s="47"/>
      <c r="VA45" s="47"/>
      <c r="VB45" s="47"/>
      <c r="VC45" s="47"/>
      <c r="VD45" s="47"/>
      <c r="VE45" s="47"/>
      <c r="VF45" s="47"/>
      <c r="VG45" s="47"/>
      <c r="VH45" s="47"/>
      <c r="VI45" s="47"/>
      <c r="VJ45" s="47"/>
      <c r="VK45" s="47"/>
      <c r="VL45" s="47"/>
      <c r="VM45" s="47"/>
      <c r="VN45" s="47"/>
      <c r="VO45" s="47"/>
      <c r="VP45" s="47"/>
      <c r="VQ45" s="47"/>
      <c r="VR45" s="47"/>
      <c r="VS45" s="47"/>
      <c r="VT45" s="47"/>
      <c r="VU45" s="47"/>
      <c r="VV45" s="47"/>
      <c r="VW45" s="47"/>
      <c r="VX45" s="47"/>
      <c r="VY45" s="47"/>
      <c r="VZ45" s="47"/>
      <c r="WA45" s="47"/>
      <c r="WB45" s="47"/>
      <c r="WC45" s="47"/>
      <c r="WD45" s="47"/>
      <c r="WE45" s="47"/>
      <c r="WF45" s="47"/>
      <c r="WG45" s="47"/>
      <c r="WH45" s="47"/>
      <c r="WI45" s="47"/>
      <c r="WJ45" s="47"/>
      <c r="WK45" s="47"/>
      <c r="WL45" s="47"/>
      <c r="WM45" s="47"/>
      <c r="WN45" s="47"/>
      <c r="WO45" s="47"/>
      <c r="WP45" s="47"/>
      <c r="WQ45" s="47"/>
      <c r="WR45" s="47"/>
      <c r="WS45" s="47"/>
      <c r="WT45" s="47"/>
      <c r="WU45" s="47"/>
      <c r="WV45" s="47"/>
      <c r="WW45" s="47"/>
      <c r="WX45" s="47"/>
      <c r="WY45" s="47"/>
      <c r="WZ45" s="47"/>
      <c r="XA45" s="47"/>
      <c r="XB45" s="47"/>
      <c r="XC45" s="47"/>
      <c r="XD45" s="47"/>
      <c r="XE45" s="47"/>
      <c r="XF45" s="47"/>
      <c r="XG45" s="47"/>
      <c r="XH45" s="47"/>
      <c r="XI45" s="47"/>
      <c r="XJ45" s="47"/>
      <c r="XK45" s="47"/>
      <c r="XL45" s="47"/>
      <c r="XM45" s="47"/>
      <c r="XN45" s="47"/>
      <c r="XO45" s="47"/>
      <c r="XP45" s="47"/>
      <c r="XQ45" s="47"/>
      <c r="XR45" s="47"/>
      <c r="XS45" s="47"/>
      <c r="XT45" s="47"/>
      <c r="XU45" s="47"/>
      <c r="XV45" s="47"/>
      <c r="XW45" s="47"/>
      <c r="XX45" s="47"/>
      <c r="XY45" s="47"/>
      <c r="XZ45" s="47"/>
      <c r="YA45" s="47"/>
      <c r="YB45" s="47"/>
      <c r="YC45" s="47"/>
      <c r="YD45" s="47"/>
      <c r="YE45" s="47"/>
      <c r="YF45" s="47"/>
      <c r="YG45" s="47"/>
      <c r="YH45" s="47"/>
      <c r="YI45" s="47"/>
      <c r="YJ45" s="47"/>
      <c r="YK45" s="47"/>
      <c r="YL45" s="47"/>
      <c r="YM45" s="47"/>
      <c r="YN45" s="47"/>
      <c r="YO45" s="47"/>
      <c r="YP45" s="47"/>
      <c r="YQ45" s="47"/>
      <c r="YR45" s="47"/>
      <c r="YS45" s="47"/>
      <c r="YT45" s="47"/>
      <c r="YU45" s="47"/>
      <c r="YV45" s="47"/>
      <c r="YW45" s="47"/>
      <c r="YX45" s="47"/>
      <c r="YY45" s="47"/>
      <c r="YZ45" s="47"/>
      <c r="ZA45" s="47"/>
      <c r="ZB45" s="47"/>
      <c r="ZC45" s="47"/>
      <c r="ZD45" s="47"/>
      <c r="ZE45" s="47"/>
      <c r="ZF45" s="47"/>
      <c r="ZG45" s="47"/>
      <c r="ZH45" s="47"/>
      <c r="ZI45" s="47"/>
      <c r="ZJ45" s="47"/>
      <c r="ZK45" s="47"/>
      <c r="ZL45" s="47"/>
      <c r="ZM45" s="47"/>
      <c r="ZN45" s="47"/>
      <c r="ZO45" s="47"/>
      <c r="ZP45" s="47"/>
      <c r="ZQ45" s="47"/>
      <c r="ZR45" s="47"/>
      <c r="ZS45" s="47"/>
      <c r="ZT45" s="47"/>
      <c r="ZU45" s="47"/>
      <c r="ZV45" s="47"/>
      <c r="ZW45" s="47"/>
      <c r="ZX45" s="47"/>
      <c r="ZY45" s="47"/>
      <c r="ZZ45" s="47"/>
      <c r="AAA45" s="47"/>
      <c r="AAB45" s="47"/>
      <c r="AAC45" s="47"/>
      <c r="AAD45" s="47"/>
      <c r="AAE45" s="47"/>
      <c r="AAF45" s="47"/>
      <c r="AAG45" s="47"/>
      <c r="AAH45" s="47"/>
      <c r="AAI45" s="47"/>
      <c r="AAJ45" s="47"/>
      <c r="AAK45" s="47"/>
      <c r="AAL45" s="47"/>
      <c r="AAM45" s="47"/>
      <c r="AAN45" s="47"/>
      <c r="AAO45" s="47"/>
      <c r="AAP45" s="47"/>
      <c r="AAQ45" s="47"/>
      <c r="AAR45" s="47"/>
      <c r="AAS45" s="47"/>
      <c r="AAT45" s="47"/>
      <c r="AAU45" s="47"/>
      <c r="AAV45" s="47"/>
      <c r="AAW45" s="47"/>
      <c r="AAX45" s="47"/>
      <c r="AAY45" s="47"/>
      <c r="AAZ45" s="47"/>
      <c r="ABA45" s="47"/>
      <c r="ABB45" s="47"/>
      <c r="ABC45" s="47"/>
      <c r="ABD45" s="47"/>
      <c r="ABE45" s="47"/>
      <c r="ABF45" s="47"/>
      <c r="ABG45" s="47"/>
      <c r="ABH45" s="47"/>
      <c r="ABI45" s="47"/>
      <c r="ABJ45" s="47"/>
      <c r="ABK45" s="47"/>
      <c r="ABL45" s="47"/>
      <c r="ABM45" s="47"/>
      <c r="ABN45" s="47"/>
      <c r="ABO45" s="47"/>
      <c r="ABP45" s="47"/>
      <c r="ABQ45" s="47"/>
      <c r="ABR45" s="47"/>
      <c r="ABS45" s="47"/>
      <c r="ABT45" s="47"/>
      <c r="ABU45" s="47"/>
      <c r="ABV45" s="47"/>
      <c r="ABW45" s="47"/>
      <c r="ABX45" s="47"/>
      <c r="ABY45" s="47"/>
      <c r="ABZ45" s="47"/>
      <c r="ACA45" s="47"/>
      <c r="ACB45" s="47"/>
      <c r="ACC45" s="47"/>
      <c r="ACD45" s="47"/>
      <c r="ACE45" s="47"/>
      <c r="ACF45" s="47"/>
      <c r="ACG45" s="47"/>
      <c r="ACH45" s="47"/>
      <c r="ACI45" s="47"/>
      <c r="ACJ45" s="47"/>
      <c r="ACK45" s="47"/>
      <c r="ACL45" s="47"/>
      <c r="ACM45" s="47"/>
      <c r="ACN45" s="47"/>
      <c r="ACO45" s="47"/>
      <c r="ACP45" s="47"/>
      <c r="ACQ45" s="47"/>
      <c r="ACR45" s="47"/>
      <c r="ACS45" s="47"/>
      <c r="ACT45" s="47"/>
      <c r="ACU45" s="47"/>
      <c r="ACV45" s="47"/>
      <c r="ACW45" s="47"/>
      <c r="ACX45" s="47"/>
      <c r="ACY45" s="47"/>
      <c r="ACZ45" s="47"/>
      <c r="ADA45" s="47"/>
      <c r="ADB45" s="47"/>
      <c r="ADC45" s="47"/>
      <c r="ADD45" s="47"/>
      <c r="ADE45" s="47"/>
      <c r="ADF45" s="47"/>
      <c r="ADG45" s="47"/>
      <c r="ADH45" s="47"/>
      <c r="ADI45" s="47"/>
      <c r="ADJ45" s="47"/>
      <c r="ADK45" s="47"/>
      <c r="ADL45" s="47"/>
      <c r="ADM45" s="47"/>
      <c r="ADN45" s="47"/>
      <c r="ADO45" s="47"/>
      <c r="ADP45" s="47"/>
      <c r="ADQ45" s="47"/>
      <c r="ADR45" s="47"/>
      <c r="ADS45" s="47"/>
      <c r="ADT45" s="47"/>
      <c r="ADU45" s="47"/>
      <c r="ADV45" s="47"/>
      <c r="ADW45" s="47"/>
      <c r="ADX45" s="47"/>
      <c r="ADY45" s="47"/>
      <c r="ADZ45" s="47"/>
      <c r="AEA45" s="47"/>
      <c r="AEB45" s="47"/>
      <c r="AEC45" s="47"/>
      <c r="AED45" s="47"/>
      <c r="AEE45" s="47"/>
      <c r="AEF45" s="47"/>
      <c r="AEG45" s="47"/>
      <c r="AEH45" s="47"/>
      <c r="AEI45" s="47"/>
      <c r="AEJ45" s="47"/>
      <c r="AEK45" s="47"/>
      <c r="AEL45" s="47"/>
      <c r="AEM45" s="47"/>
      <c r="AEN45" s="47"/>
      <c r="AEO45" s="47"/>
      <c r="AEP45" s="47"/>
      <c r="AEQ45" s="47"/>
      <c r="AER45" s="47"/>
      <c r="AES45" s="47"/>
      <c r="AET45" s="47"/>
      <c r="AEU45" s="47"/>
      <c r="AEV45" s="47"/>
      <c r="AEW45" s="47"/>
      <c r="AEX45" s="47"/>
      <c r="AEY45" s="47"/>
      <c r="AEZ45" s="47"/>
      <c r="AFA45" s="47"/>
      <c r="AFB45" s="47"/>
      <c r="AFC45" s="47"/>
      <c r="AFD45" s="47"/>
      <c r="AFE45" s="47"/>
      <c r="AFF45" s="47"/>
      <c r="AFG45" s="47"/>
      <c r="AFH45" s="47"/>
      <c r="AFI45" s="47"/>
      <c r="AFJ45" s="47"/>
      <c r="AFK45" s="47"/>
      <c r="AFL45" s="47"/>
      <c r="AFM45" s="47"/>
      <c r="AFN45" s="47"/>
      <c r="AFO45" s="47"/>
      <c r="AFP45" s="47"/>
      <c r="AFQ45" s="47"/>
      <c r="AFR45" s="47"/>
      <c r="AFS45" s="47"/>
      <c r="AFT45" s="47"/>
      <c r="AFU45" s="47"/>
      <c r="AFV45" s="47"/>
      <c r="AFW45" s="47"/>
      <c r="AFX45" s="47"/>
      <c r="AFY45" s="47"/>
      <c r="AFZ45" s="47"/>
      <c r="AGA45" s="47"/>
      <c r="AGB45" s="47"/>
      <c r="AGC45" s="47"/>
      <c r="AGD45" s="47"/>
      <c r="AGE45" s="47"/>
      <c r="AGF45" s="47"/>
      <c r="AGG45" s="47"/>
      <c r="AGH45" s="47"/>
      <c r="AGI45" s="47"/>
      <c r="AGJ45" s="47"/>
      <c r="AGK45" s="47"/>
      <c r="AGL45" s="47"/>
      <c r="AGM45" s="47"/>
      <c r="AGN45" s="47"/>
      <c r="AGO45" s="47"/>
      <c r="AGP45" s="47"/>
      <c r="AGQ45" s="47"/>
      <c r="AGR45" s="47"/>
      <c r="AGS45" s="47"/>
      <c r="AGT45" s="47"/>
      <c r="AGU45" s="47"/>
      <c r="AGV45" s="47"/>
      <c r="AGW45" s="47"/>
      <c r="AGX45" s="47"/>
      <c r="AGY45" s="47"/>
      <c r="AGZ45" s="47"/>
      <c r="AHA45" s="47"/>
      <c r="AHB45" s="47"/>
      <c r="AHC45" s="47"/>
      <c r="AHD45" s="47"/>
      <c r="AHE45" s="47"/>
      <c r="AHF45" s="47"/>
      <c r="AHG45" s="47"/>
      <c r="AHH45" s="47"/>
      <c r="AHI45" s="47"/>
      <c r="AHJ45" s="47"/>
      <c r="AHK45" s="47"/>
      <c r="AHL45" s="47"/>
      <c r="AHM45" s="47"/>
      <c r="AHN45" s="47"/>
      <c r="AHO45" s="47"/>
      <c r="AHP45" s="47"/>
      <c r="AHQ45" s="47"/>
      <c r="AHR45" s="47"/>
      <c r="AHS45" s="47"/>
      <c r="AHT45" s="47"/>
      <c r="AHU45" s="47"/>
      <c r="AHV45" s="47"/>
      <c r="AHW45" s="47"/>
      <c r="AHX45" s="47"/>
      <c r="AHY45" s="47"/>
      <c r="AHZ45" s="47"/>
      <c r="AIA45" s="47"/>
      <c r="AIB45" s="47"/>
      <c r="AIC45" s="47"/>
      <c r="AID45" s="47"/>
      <c r="AIE45" s="47"/>
      <c r="AIF45" s="47"/>
      <c r="AIG45" s="47"/>
      <c r="AIH45" s="47"/>
      <c r="AII45" s="47"/>
      <c r="AIJ45" s="47"/>
      <c r="AIK45" s="47"/>
      <c r="AIL45" s="47"/>
      <c r="AIM45" s="47"/>
      <c r="AIN45" s="47"/>
      <c r="AIO45" s="47"/>
      <c r="AIP45" s="47"/>
      <c r="AIQ45" s="47"/>
      <c r="AIR45" s="47"/>
      <c r="AIS45" s="47"/>
      <c r="AIT45" s="47"/>
      <c r="AIU45" s="47"/>
      <c r="AIV45" s="47"/>
      <c r="AIW45" s="47"/>
      <c r="AIX45" s="47"/>
      <c r="AIY45" s="47"/>
      <c r="AIZ45" s="47"/>
      <c r="AJA45" s="47"/>
      <c r="AJB45" s="47"/>
      <c r="AJC45" s="47"/>
      <c r="AJD45" s="47"/>
      <c r="AJE45" s="47"/>
      <c r="AJF45" s="47"/>
      <c r="AJG45" s="47"/>
      <c r="AJH45" s="47"/>
      <c r="AJI45" s="47"/>
      <c r="AJJ45" s="47"/>
      <c r="AJK45" s="47"/>
      <c r="AJL45" s="47"/>
      <c r="AJM45" s="47"/>
      <c r="AJN45" s="47"/>
      <c r="AJO45" s="47"/>
      <c r="AJP45" s="47"/>
      <c r="AJQ45" s="47"/>
      <c r="AJR45" s="47"/>
      <c r="AJS45" s="47"/>
      <c r="AJT45" s="47"/>
      <c r="AJU45" s="47"/>
      <c r="AJV45" s="47"/>
      <c r="AJW45" s="47"/>
      <c r="AJX45" s="47"/>
      <c r="AJY45" s="47"/>
      <c r="AJZ45" s="47"/>
      <c r="AKA45" s="47"/>
      <c r="AKB45" s="47"/>
      <c r="AKC45" s="47"/>
      <c r="AKD45" s="47"/>
      <c r="AKE45" s="47"/>
      <c r="AKF45" s="47"/>
      <c r="AKG45" s="47"/>
      <c r="AKH45" s="47"/>
      <c r="AKI45" s="47"/>
      <c r="AKJ45" s="47"/>
      <c r="AKK45" s="47"/>
      <c r="AKL45" s="47"/>
      <c r="AKM45" s="47"/>
      <c r="AKN45" s="47"/>
      <c r="AKO45" s="47"/>
      <c r="AKP45" s="47"/>
      <c r="AKQ45" s="47"/>
      <c r="AKR45" s="47"/>
      <c r="AKS45" s="47"/>
      <c r="AKT45" s="47"/>
      <c r="AKU45" s="47"/>
      <c r="AKV45" s="47"/>
      <c r="AKW45" s="47"/>
      <c r="AKX45" s="47"/>
      <c r="AKY45" s="47"/>
      <c r="AKZ45" s="47"/>
      <c r="ALA45" s="47"/>
      <c r="ALB45" s="47"/>
      <c r="ALC45" s="47"/>
      <c r="ALD45" s="47"/>
      <c r="ALE45" s="47"/>
      <c r="ALF45" s="47"/>
      <c r="ALG45" s="47"/>
      <c r="ALH45" s="47"/>
      <c r="ALI45" s="47"/>
      <c r="ALJ45" s="47"/>
      <c r="ALK45" s="47"/>
      <c r="ALL45" s="47"/>
      <c r="ALM45" s="47"/>
      <c r="ALN45" s="47"/>
      <c r="ALO45" s="47"/>
      <c r="ALP45" s="47"/>
      <c r="ALQ45" s="47"/>
      <c r="ALR45" s="47"/>
      <c r="ALS45" s="47"/>
      <c r="ALT45" s="47"/>
      <c r="ALU45" s="47"/>
      <c r="ALV45" s="47"/>
      <c r="ALW45" s="47"/>
      <c r="ALX45" s="47"/>
      <c r="ALY45" s="47"/>
      <c r="ALZ45" s="47"/>
      <c r="AMA45" s="47"/>
      <c r="AMB45" s="47"/>
      <c r="AMC45" s="47"/>
      <c r="AMD45" s="47"/>
      <c r="AME45" s="47"/>
      <c r="AMF45" s="47"/>
      <c r="AMG45" s="47"/>
      <c r="AMH45" s="47"/>
      <c r="AMI45" s="47"/>
      <c r="AMJ45" s="47"/>
      <c r="AMK45" s="47"/>
      <c r="AML45" s="47"/>
      <c r="AMM45" s="47"/>
      <c r="AMN45" s="47"/>
      <c r="AMO45" s="47"/>
      <c r="AMP45" s="47"/>
      <c r="AMQ45" s="47"/>
      <c r="AMR45" s="47"/>
      <c r="AMS45" s="47"/>
      <c r="AMT45" s="47"/>
      <c r="AMU45" s="47"/>
      <c r="AMV45" s="47"/>
      <c r="AMW45" s="47"/>
      <c r="AMX45" s="47"/>
      <c r="AMY45" s="47"/>
      <c r="AMZ45" s="47"/>
      <c r="ANA45" s="47"/>
      <c r="ANB45" s="47"/>
      <c r="ANC45" s="47"/>
      <c r="AND45" s="47"/>
      <c r="ANE45" s="47"/>
      <c r="ANF45" s="47"/>
      <c r="ANG45" s="47"/>
      <c r="ANH45" s="47"/>
      <c r="ANI45" s="47"/>
      <c r="ANJ45" s="47"/>
      <c r="ANK45" s="47"/>
      <c r="ANL45" s="47"/>
      <c r="ANM45" s="47"/>
      <c r="ANN45" s="47"/>
      <c r="ANO45" s="47"/>
      <c r="ANP45" s="47"/>
      <c r="ANQ45" s="47"/>
      <c r="ANR45" s="47"/>
      <c r="ANS45" s="47"/>
      <c r="ANT45" s="47"/>
      <c r="ANU45" s="47"/>
      <c r="ANV45" s="47"/>
      <c r="ANW45" s="47"/>
      <c r="ANX45" s="47"/>
      <c r="ANY45" s="47"/>
      <c r="ANZ45" s="47"/>
      <c r="AOA45" s="47"/>
      <c r="AOB45" s="47"/>
      <c r="AOC45" s="47"/>
      <c r="AOD45" s="47"/>
      <c r="AOE45" s="47"/>
      <c r="AOF45" s="47"/>
      <c r="AOG45" s="47"/>
      <c r="AOH45" s="47"/>
      <c r="AOI45" s="47"/>
      <c r="AOJ45" s="47"/>
      <c r="AOK45" s="47"/>
      <c r="AOL45" s="47"/>
      <c r="AOM45" s="47"/>
      <c r="AON45" s="47"/>
      <c r="AOO45" s="47"/>
      <c r="AOP45" s="47"/>
      <c r="AOQ45" s="47"/>
      <c r="AOR45" s="47"/>
      <c r="AOS45" s="47"/>
      <c r="AOT45" s="47"/>
      <c r="AOU45" s="47"/>
      <c r="AOV45" s="47"/>
      <c r="AOW45" s="47"/>
      <c r="AOX45" s="47"/>
      <c r="AOY45" s="47"/>
      <c r="AOZ45" s="47"/>
      <c r="APA45" s="47"/>
      <c r="APB45" s="47"/>
      <c r="APC45" s="47"/>
      <c r="APD45" s="47"/>
      <c r="APE45" s="47"/>
      <c r="APF45" s="47"/>
      <c r="APG45" s="47"/>
      <c r="APH45" s="47"/>
      <c r="API45" s="47"/>
      <c r="APJ45" s="47"/>
      <c r="APK45" s="47"/>
      <c r="APL45" s="47"/>
      <c r="APM45" s="47"/>
      <c r="APN45" s="47"/>
      <c r="APO45" s="47"/>
      <c r="APP45" s="47"/>
      <c r="APQ45" s="47"/>
      <c r="APR45" s="47"/>
      <c r="APS45" s="47"/>
      <c r="APT45" s="47"/>
      <c r="APU45" s="47"/>
      <c r="APV45" s="47"/>
      <c r="APW45" s="47"/>
      <c r="APX45" s="47"/>
      <c r="APY45" s="47"/>
      <c r="APZ45" s="47"/>
      <c r="AQA45" s="47"/>
      <c r="AQB45" s="47"/>
      <c r="AQC45" s="47"/>
      <c r="AQD45" s="47"/>
      <c r="AQE45" s="47"/>
      <c r="AQF45" s="47"/>
      <c r="AQG45" s="47"/>
      <c r="AQH45" s="47"/>
      <c r="AQI45" s="47"/>
      <c r="AQJ45" s="47"/>
      <c r="AQK45" s="47"/>
      <c r="AQL45" s="47"/>
      <c r="AQM45" s="47"/>
      <c r="AQN45" s="47"/>
      <c r="AQO45" s="47"/>
      <c r="AQP45" s="47"/>
      <c r="AQQ45" s="47"/>
      <c r="AQR45" s="47"/>
      <c r="AQS45" s="47"/>
      <c r="AQT45" s="47"/>
      <c r="AQU45" s="47"/>
      <c r="AQV45" s="47"/>
      <c r="AQW45" s="47"/>
      <c r="AQX45" s="47"/>
      <c r="AQY45" s="47"/>
      <c r="AQZ45" s="47"/>
      <c r="ARA45" s="47"/>
      <c r="ARB45" s="47"/>
      <c r="ARC45" s="47"/>
      <c r="ARD45" s="47"/>
      <c r="ARE45" s="47"/>
      <c r="ARF45" s="47"/>
      <c r="ARG45" s="47"/>
      <c r="ARH45" s="47"/>
      <c r="ARI45" s="47"/>
      <c r="ARJ45" s="47"/>
      <c r="ARK45" s="47"/>
      <c r="ARL45" s="47"/>
      <c r="ARM45" s="47"/>
      <c r="ARN45" s="47"/>
      <c r="ARO45" s="47"/>
      <c r="ARP45" s="47"/>
      <c r="ARQ45" s="47"/>
      <c r="ARR45" s="47"/>
      <c r="ARS45" s="47"/>
      <c r="ART45" s="47"/>
      <c r="ARU45" s="47"/>
      <c r="ARV45" s="47"/>
      <c r="ARW45" s="47"/>
      <c r="ARX45" s="47"/>
      <c r="ARY45" s="47"/>
      <c r="ARZ45" s="47"/>
      <c r="ASA45" s="47"/>
      <c r="ASB45" s="47"/>
      <c r="ASC45" s="47"/>
      <c r="ASD45" s="47"/>
      <c r="ASE45" s="47"/>
      <c r="ASF45" s="47"/>
      <c r="ASG45" s="47"/>
      <c r="ASH45" s="47"/>
      <c r="ASI45" s="47"/>
      <c r="ASJ45" s="47"/>
      <c r="ASK45" s="47"/>
      <c r="ASL45" s="47"/>
      <c r="ASM45" s="47"/>
      <c r="ASN45" s="47"/>
      <c r="ASO45" s="47"/>
      <c r="ASP45" s="47"/>
      <c r="ASQ45" s="47"/>
      <c r="ASR45" s="47"/>
      <c r="ASS45" s="47"/>
      <c r="AST45" s="47"/>
      <c r="ASU45" s="47"/>
      <c r="ASV45" s="47"/>
      <c r="ASW45" s="47"/>
      <c r="ASX45" s="47"/>
      <c r="ASY45" s="47"/>
      <c r="ASZ45" s="47"/>
      <c r="ATA45" s="47"/>
      <c r="ATB45" s="47"/>
      <c r="ATC45" s="47"/>
      <c r="ATD45" s="47"/>
      <c r="ATE45" s="47"/>
      <c r="ATF45" s="47"/>
      <c r="ATG45" s="47"/>
      <c r="ATH45" s="47"/>
      <c r="ATI45" s="47"/>
      <c r="ATJ45" s="47"/>
      <c r="ATK45" s="47"/>
      <c r="ATL45" s="47"/>
      <c r="ATM45" s="47"/>
      <c r="ATN45" s="47"/>
      <c r="ATO45" s="47"/>
      <c r="ATP45" s="47"/>
      <c r="ATQ45" s="47"/>
      <c r="ATR45" s="47"/>
      <c r="ATS45" s="47"/>
      <c r="ATT45" s="47"/>
      <c r="ATU45" s="47"/>
      <c r="ATV45" s="47"/>
      <c r="ATW45" s="47"/>
      <c r="ATX45" s="47"/>
      <c r="ATY45" s="47"/>
      <c r="ATZ45" s="47"/>
      <c r="AUA45" s="47"/>
      <c r="AUB45" s="47"/>
      <c r="AUC45" s="47"/>
      <c r="AUD45" s="47"/>
      <c r="AUE45" s="47"/>
      <c r="AUF45" s="47"/>
      <c r="AUG45" s="47"/>
      <c r="AUH45" s="47"/>
      <c r="AUI45" s="47"/>
      <c r="AUJ45" s="47"/>
      <c r="AUK45" s="47"/>
      <c r="AUL45" s="47"/>
      <c r="AUM45" s="47"/>
      <c r="AUN45" s="47"/>
      <c r="AUO45" s="47"/>
      <c r="AUP45" s="47"/>
      <c r="AUQ45" s="47"/>
      <c r="AUR45" s="47"/>
      <c r="AUS45" s="47"/>
      <c r="AUT45" s="47"/>
      <c r="AUU45" s="47"/>
      <c r="AUV45" s="47"/>
      <c r="AUW45" s="47"/>
      <c r="AUX45" s="47"/>
      <c r="AUY45" s="47"/>
      <c r="AUZ45" s="47"/>
      <c r="AVA45" s="47"/>
      <c r="AVB45" s="47"/>
      <c r="AVC45" s="47"/>
      <c r="AVD45" s="47"/>
      <c r="AVE45" s="47"/>
      <c r="AVF45" s="47"/>
      <c r="AVG45" s="47"/>
      <c r="AVH45" s="47"/>
      <c r="AVI45" s="47"/>
      <c r="AVJ45" s="47"/>
      <c r="AVK45" s="47"/>
      <c r="AVL45" s="47"/>
      <c r="AVM45" s="47"/>
      <c r="AVN45" s="47"/>
      <c r="AVO45" s="47"/>
      <c r="AVP45" s="47"/>
      <c r="AVQ45" s="47"/>
      <c r="AVR45" s="47"/>
      <c r="AVS45" s="47"/>
      <c r="AVT45" s="47"/>
      <c r="AVU45" s="47"/>
      <c r="AVV45" s="47"/>
      <c r="AVW45" s="47"/>
      <c r="AVX45" s="47"/>
      <c r="AVY45" s="47"/>
      <c r="AVZ45" s="47"/>
      <c r="AWA45" s="47"/>
      <c r="AWB45" s="47"/>
      <c r="AWC45" s="47"/>
      <c r="AWD45" s="47"/>
      <c r="AWE45" s="47"/>
      <c r="AWF45" s="47"/>
      <c r="AWG45" s="47"/>
      <c r="AWH45" s="47"/>
      <c r="AWI45" s="47"/>
      <c r="AWJ45" s="47"/>
      <c r="AWK45" s="47"/>
      <c r="AWL45" s="47"/>
      <c r="AWM45" s="47"/>
      <c r="AWN45" s="47"/>
      <c r="AWO45" s="47"/>
      <c r="AWP45" s="47"/>
      <c r="AWQ45" s="47"/>
      <c r="AWR45" s="47"/>
      <c r="AWS45" s="47"/>
      <c r="AWT45" s="47"/>
      <c r="AWU45" s="47"/>
      <c r="AWV45" s="47"/>
      <c r="AWW45" s="47"/>
      <c r="AWX45" s="47"/>
      <c r="AWY45" s="47"/>
      <c r="AWZ45" s="47"/>
      <c r="AXA45" s="47"/>
      <c r="AXB45" s="47"/>
      <c r="AXC45" s="47"/>
      <c r="AXD45" s="47"/>
      <c r="AXE45" s="47"/>
      <c r="AXF45" s="47"/>
      <c r="AXG45" s="47"/>
      <c r="AXH45" s="47"/>
      <c r="AXI45" s="47"/>
      <c r="AXJ45" s="47"/>
      <c r="AXK45" s="47"/>
      <c r="AXL45" s="47"/>
      <c r="AXM45" s="47"/>
      <c r="AXN45" s="47"/>
      <c r="AXO45" s="47"/>
      <c r="AXP45" s="47"/>
      <c r="AXQ45" s="47"/>
      <c r="AXR45" s="47"/>
      <c r="AXS45" s="47"/>
      <c r="AXT45" s="47"/>
      <c r="AXU45" s="47"/>
      <c r="AXV45" s="47"/>
      <c r="AXW45" s="47"/>
      <c r="AXX45" s="47"/>
      <c r="AXY45" s="47"/>
      <c r="AXZ45" s="47"/>
      <c r="AYA45" s="47"/>
      <c r="AYB45" s="47"/>
      <c r="AYC45" s="47"/>
      <c r="AYD45" s="47"/>
      <c r="AYE45" s="47"/>
      <c r="AYF45" s="47"/>
      <c r="AYG45" s="47"/>
      <c r="AYH45" s="47"/>
      <c r="AYI45" s="47"/>
      <c r="AYJ45" s="47"/>
      <c r="AYK45" s="47"/>
      <c r="AYL45" s="47"/>
      <c r="AYM45" s="47"/>
      <c r="AYN45" s="47"/>
      <c r="AYO45" s="47"/>
      <c r="AYP45" s="47"/>
      <c r="AYQ45" s="47"/>
      <c r="AYR45" s="47"/>
      <c r="AYS45" s="47"/>
      <c r="AYT45" s="47"/>
      <c r="AYU45" s="47"/>
      <c r="AYV45" s="47"/>
      <c r="AYW45" s="47"/>
      <c r="AYX45" s="47"/>
      <c r="AYY45" s="47"/>
      <c r="AYZ45" s="47"/>
      <c r="AZA45" s="47"/>
      <c r="AZB45" s="47"/>
      <c r="AZC45" s="47"/>
      <c r="AZD45" s="47"/>
      <c r="AZE45" s="47"/>
      <c r="AZF45" s="47"/>
      <c r="AZG45" s="47"/>
      <c r="AZH45" s="47"/>
      <c r="AZI45" s="47"/>
      <c r="AZJ45" s="47"/>
      <c r="AZK45" s="47"/>
      <c r="AZL45" s="47"/>
      <c r="AZM45" s="47"/>
      <c r="AZN45" s="47"/>
      <c r="AZO45" s="47"/>
      <c r="AZP45" s="47"/>
      <c r="AZQ45" s="47"/>
      <c r="AZR45" s="47"/>
      <c r="AZS45" s="47"/>
      <c r="AZT45" s="47"/>
      <c r="AZU45" s="47"/>
      <c r="AZV45" s="47"/>
      <c r="AZW45" s="47"/>
      <c r="AZX45" s="47"/>
      <c r="AZY45" s="47"/>
      <c r="AZZ45" s="47"/>
      <c r="BAA45" s="47"/>
      <c r="BAB45" s="47"/>
      <c r="BAC45" s="47"/>
      <c r="BAD45" s="47"/>
      <c r="BAE45" s="47"/>
      <c r="BAF45" s="47"/>
      <c r="BAG45" s="47"/>
      <c r="BAH45" s="47"/>
      <c r="BAI45" s="47"/>
      <c r="BAJ45" s="47"/>
      <c r="BAK45" s="47"/>
      <c r="BAL45" s="47"/>
      <c r="BAM45" s="47"/>
      <c r="BAN45" s="47"/>
      <c r="BAO45" s="47"/>
      <c r="BAP45" s="47"/>
      <c r="BAQ45" s="47"/>
      <c r="BAR45" s="47"/>
      <c r="BAS45" s="47"/>
      <c r="BAT45" s="47"/>
      <c r="BAU45" s="47"/>
      <c r="BAV45" s="47"/>
      <c r="BAW45" s="47"/>
      <c r="BAX45" s="47"/>
      <c r="BAY45" s="47"/>
      <c r="BAZ45" s="47"/>
      <c r="BBA45" s="47"/>
      <c r="BBB45" s="47"/>
      <c r="BBC45" s="47"/>
      <c r="BBD45" s="47"/>
      <c r="BBE45" s="47"/>
      <c r="BBF45" s="47"/>
      <c r="BBG45" s="47"/>
      <c r="BBH45" s="47"/>
      <c r="BBI45" s="47"/>
      <c r="BBJ45" s="47"/>
      <c r="BBK45" s="47"/>
      <c r="BBL45" s="47"/>
      <c r="BBM45" s="47"/>
      <c r="BBN45" s="47"/>
      <c r="BBO45" s="47"/>
      <c r="BBP45" s="47"/>
      <c r="BBQ45" s="47"/>
      <c r="BBR45" s="47"/>
      <c r="BBS45" s="47"/>
      <c r="BBT45" s="47"/>
      <c r="BBU45" s="47"/>
      <c r="BBV45" s="47"/>
      <c r="BBW45" s="47"/>
      <c r="BBX45" s="47"/>
      <c r="BBY45" s="47"/>
      <c r="BBZ45" s="47"/>
      <c r="BCA45" s="47"/>
      <c r="BCB45" s="47"/>
      <c r="BCC45" s="47"/>
      <c r="BCD45" s="47"/>
      <c r="BCE45" s="47"/>
      <c r="BCF45" s="47"/>
      <c r="BCG45" s="47"/>
      <c r="BCH45" s="47"/>
      <c r="BCI45" s="47"/>
      <c r="BCJ45" s="47"/>
      <c r="BCK45" s="47"/>
      <c r="BCL45" s="47"/>
      <c r="BCM45" s="47"/>
      <c r="BCN45" s="47"/>
      <c r="BCO45" s="47"/>
      <c r="BCP45" s="47"/>
      <c r="BCQ45" s="47"/>
      <c r="BCR45" s="47"/>
      <c r="BCS45" s="47"/>
      <c r="BCT45" s="47"/>
      <c r="BCU45" s="47"/>
      <c r="BCV45" s="47"/>
      <c r="BCW45" s="47"/>
      <c r="BCX45" s="47"/>
      <c r="BCY45" s="47"/>
      <c r="BCZ45" s="47"/>
      <c r="BDA45" s="47"/>
      <c r="BDB45" s="47"/>
      <c r="BDC45" s="47"/>
      <c r="BDD45" s="47"/>
      <c r="BDE45" s="47"/>
      <c r="BDF45" s="47"/>
      <c r="BDG45" s="47"/>
      <c r="BDH45" s="47"/>
      <c r="BDI45" s="47"/>
      <c r="BDJ45" s="47"/>
      <c r="BDK45" s="47"/>
      <c r="BDL45" s="47"/>
      <c r="BDM45" s="47"/>
      <c r="BDN45" s="47"/>
      <c r="BDO45" s="47"/>
      <c r="BDP45" s="47"/>
      <c r="BDQ45" s="47"/>
      <c r="BDR45" s="47"/>
      <c r="BDS45" s="47"/>
      <c r="BDT45" s="47"/>
      <c r="BDU45" s="47"/>
      <c r="BDV45" s="47"/>
      <c r="BDW45" s="47"/>
      <c r="BDX45" s="47"/>
      <c r="BDY45" s="47"/>
      <c r="BDZ45" s="47"/>
      <c r="BEA45" s="47"/>
      <c r="BEB45" s="47"/>
      <c r="BEC45" s="47"/>
      <c r="BED45" s="47"/>
      <c r="BEE45" s="47"/>
      <c r="BEF45" s="47"/>
      <c r="BEG45" s="47"/>
      <c r="BEH45" s="47"/>
      <c r="BEI45" s="47"/>
      <c r="BEJ45" s="47"/>
      <c r="BEK45" s="47"/>
      <c r="BEL45" s="47"/>
      <c r="BEM45" s="47"/>
      <c r="BEN45" s="47"/>
      <c r="BEO45" s="47"/>
      <c r="BEP45" s="47"/>
      <c r="BEQ45" s="47"/>
      <c r="BER45" s="47"/>
      <c r="BES45" s="47"/>
      <c r="BET45" s="47"/>
      <c r="BEU45" s="47"/>
      <c r="BEV45" s="47"/>
      <c r="BEW45" s="47"/>
      <c r="BEX45" s="47"/>
      <c r="BEY45" s="47"/>
      <c r="BEZ45" s="47"/>
      <c r="BFA45" s="47"/>
      <c r="BFB45" s="47"/>
      <c r="BFC45" s="47"/>
      <c r="BFD45" s="47"/>
      <c r="BFE45" s="47"/>
      <c r="BFF45" s="47"/>
      <c r="BFG45" s="47"/>
      <c r="BFH45" s="47"/>
      <c r="BFI45" s="47"/>
      <c r="BFJ45" s="47"/>
      <c r="BFK45" s="47"/>
      <c r="BFL45" s="47"/>
      <c r="BFM45" s="47"/>
      <c r="BFN45" s="47"/>
      <c r="BFO45" s="47"/>
      <c r="BFP45" s="47"/>
      <c r="BFQ45" s="47"/>
      <c r="BFR45" s="47"/>
      <c r="BFS45" s="47"/>
      <c r="BFT45" s="47"/>
      <c r="BFU45" s="47"/>
      <c r="BFV45" s="47"/>
      <c r="BFW45" s="47"/>
      <c r="BFX45" s="47"/>
      <c r="BFY45" s="47"/>
      <c r="BFZ45" s="47"/>
      <c r="BGA45" s="47"/>
      <c r="BGB45" s="47"/>
      <c r="BGC45" s="47"/>
      <c r="BGD45" s="47"/>
      <c r="BGE45" s="47"/>
      <c r="BGF45" s="47"/>
      <c r="BGG45" s="47"/>
      <c r="BGH45" s="47"/>
      <c r="BGI45" s="47"/>
      <c r="BGJ45" s="47"/>
      <c r="BGK45" s="47"/>
      <c r="BGL45" s="47"/>
      <c r="BGM45" s="47"/>
      <c r="BGN45" s="47"/>
      <c r="BGO45" s="47"/>
      <c r="BGP45" s="47"/>
      <c r="BGQ45" s="47"/>
      <c r="BGR45" s="47"/>
      <c r="BGS45" s="47"/>
      <c r="BGT45" s="47"/>
      <c r="BGU45" s="47"/>
      <c r="BGV45" s="47"/>
      <c r="BGW45" s="47"/>
      <c r="BGX45" s="47"/>
      <c r="BGY45" s="47"/>
      <c r="BGZ45" s="47"/>
      <c r="BHA45" s="47"/>
      <c r="BHB45" s="47"/>
      <c r="BHC45" s="47"/>
      <c r="BHD45" s="47"/>
      <c r="BHE45" s="47"/>
      <c r="BHF45" s="47"/>
      <c r="BHG45" s="47"/>
      <c r="BHH45" s="47"/>
      <c r="BHI45" s="47"/>
      <c r="BHJ45" s="47"/>
      <c r="BHK45" s="47"/>
      <c r="BHL45" s="47"/>
      <c r="BHM45" s="47"/>
      <c r="BHN45" s="47"/>
      <c r="BHO45" s="47"/>
      <c r="BHP45" s="47"/>
      <c r="BHQ45" s="47"/>
      <c r="BHR45" s="47"/>
      <c r="BHS45" s="47"/>
      <c r="BHT45" s="47"/>
      <c r="BHU45" s="47"/>
      <c r="BHV45" s="47"/>
      <c r="BHW45" s="47"/>
      <c r="BHX45" s="47"/>
      <c r="BHY45" s="47"/>
      <c r="BHZ45" s="47"/>
      <c r="BIA45" s="47"/>
      <c r="BIB45" s="47"/>
      <c r="BIC45" s="47"/>
      <c r="BID45" s="47"/>
      <c r="BIE45" s="47"/>
      <c r="BIF45" s="47"/>
      <c r="BIG45" s="47"/>
      <c r="BIH45" s="47"/>
      <c r="BII45" s="47"/>
      <c r="BIJ45" s="47"/>
      <c r="BIK45" s="47"/>
      <c r="BIL45" s="47"/>
      <c r="BIM45" s="47"/>
      <c r="BIN45" s="47"/>
      <c r="BIO45" s="47"/>
      <c r="BIP45" s="47"/>
      <c r="BIQ45" s="47"/>
      <c r="BIR45" s="47"/>
      <c r="BIS45" s="47"/>
      <c r="BIT45" s="47"/>
      <c r="BIU45" s="47"/>
      <c r="BIV45" s="47"/>
      <c r="BIW45" s="47"/>
      <c r="BIX45" s="47"/>
      <c r="BIY45" s="47"/>
      <c r="BIZ45" s="47"/>
      <c r="BJA45" s="47"/>
      <c r="BJB45" s="47"/>
      <c r="BJC45" s="47"/>
      <c r="BJD45" s="47"/>
      <c r="BJE45" s="47"/>
      <c r="BJF45" s="47"/>
      <c r="BJG45" s="47"/>
      <c r="BJH45" s="47"/>
      <c r="BJI45" s="47"/>
      <c r="BJJ45" s="47"/>
      <c r="BJK45" s="47"/>
      <c r="BJL45" s="47"/>
      <c r="BJM45" s="47"/>
      <c r="BJN45" s="47"/>
      <c r="BJO45" s="47"/>
      <c r="BJP45" s="47"/>
      <c r="BJQ45" s="47"/>
      <c r="BJR45" s="47"/>
      <c r="BJS45" s="47"/>
      <c r="BJT45" s="47"/>
      <c r="BJU45" s="47"/>
      <c r="BJV45" s="47"/>
      <c r="BJW45" s="47"/>
      <c r="BJX45" s="47"/>
      <c r="BJY45" s="47"/>
      <c r="BJZ45" s="47"/>
      <c r="BKA45" s="47"/>
      <c r="BKB45" s="47"/>
      <c r="BKC45" s="47"/>
      <c r="BKD45" s="47"/>
      <c r="BKE45" s="47"/>
      <c r="BKF45" s="47"/>
      <c r="BKG45" s="47"/>
      <c r="BKH45" s="47"/>
      <c r="BKI45" s="47"/>
      <c r="BKJ45" s="47"/>
      <c r="BKK45" s="47"/>
      <c r="BKL45" s="47"/>
      <c r="BKM45" s="47"/>
      <c r="BKN45" s="47"/>
      <c r="BKO45" s="47"/>
      <c r="BKP45" s="47"/>
      <c r="BKQ45" s="47"/>
      <c r="BKR45" s="47"/>
      <c r="BKS45" s="47"/>
      <c r="BKT45" s="47"/>
      <c r="BKU45" s="47"/>
      <c r="BKV45" s="47"/>
      <c r="BKW45" s="47"/>
      <c r="BKX45" s="47"/>
      <c r="BKY45" s="47"/>
      <c r="BKZ45" s="47"/>
      <c r="BLA45" s="47"/>
      <c r="BLB45" s="47"/>
      <c r="BLC45" s="47"/>
      <c r="BLD45" s="47"/>
      <c r="BLE45" s="47"/>
      <c r="BLF45" s="47"/>
      <c r="BLG45" s="47"/>
      <c r="BLH45" s="47"/>
      <c r="BLI45" s="47"/>
      <c r="BLJ45" s="47"/>
      <c r="BLK45" s="47"/>
      <c r="BLL45" s="47"/>
      <c r="BLM45" s="47"/>
      <c r="BLN45" s="47"/>
      <c r="BLO45" s="47"/>
      <c r="BLP45" s="47"/>
      <c r="BLQ45" s="47"/>
      <c r="BLR45" s="47"/>
      <c r="BLS45" s="47"/>
      <c r="BLT45" s="47"/>
      <c r="BLU45" s="47"/>
      <c r="BLV45" s="47"/>
      <c r="BLW45" s="47"/>
      <c r="BLX45" s="47"/>
      <c r="BLY45" s="47"/>
      <c r="BLZ45" s="47"/>
      <c r="BMA45" s="47"/>
      <c r="BMB45" s="47"/>
      <c r="BMC45" s="47"/>
      <c r="BMD45" s="47"/>
      <c r="BME45" s="47"/>
      <c r="BMF45" s="47"/>
      <c r="BMG45" s="47"/>
      <c r="BMH45" s="47"/>
      <c r="BMI45" s="47"/>
      <c r="BMJ45" s="47"/>
      <c r="BMK45" s="47"/>
      <c r="BML45" s="47"/>
      <c r="BMM45" s="47"/>
      <c r="BMN45" s="47"/>
      <c r="BMO45" s="47"/>
      <c r="BMP45" s="47"/>
      <c r="BMQ45" s="47"/>
      <c r="BMR45" s="47"/>
      <c r="BMS45" s="47"/>
      <c r="BMT45" s="47"/>
      <c r="BMU45" s="47"/>
      <c r="BMV45" s="47"/>
      <c r="BMW45" s="47"/>
      <c r="BMX45" s="47"/>
      <c r="BMY45" s="47"/>
      <c r="BMZ45" s="47"/>
      <c r="BNA45" s="47"/>
      <c r="BNB45" s="47"/>
      <c r="BNC45" s="47"/>
      <c r="BND45" s="47"/>
      <c r="BNE45" s="47"/>
      <c r="BNF45" s="47"/>
      <c r="BNG45" s="47"/>
      <c r="BNH45" s="47"/>
      <c r="BNI45" s="47"/>
      <c r="BNJ45" s="47"/>
      <c r="BNK45" s="47"/>
      <c r="BNL45" s="47"/>
      <c r="BNM45" s="47"/>
      <c r="BNN45" s="47"/>
      <c r="BNO45" s="47"/>
      <c r="BNP45" s="47"/>
      <c r="BNQ45" s="47"/>
      <c r="BNR45" s="47"/>
      <c r="BNS45" s="47"/>
      <c r="BNT45" s="47"/>
      <c r="BNU45" s="47"/>
      <c r="BNV45" s="47"/>
      <c r="BNW45" s="47"/>
      <c r="BNX45" s="47"/>
      <c r="BNY45" s="47"/>
      <c r="BNZ45" s="47"/>
      <c r="BOA45" s="47"/>
      <c r="BOB45" s="47"/>
      <c r="BOC45" s="47"/>
      <c r="BOD45" s="47"/>
      <c r="BOE45" s="47"/>
      <c r="BOF45" s="47"/>
      <c r="BOG45" s="47"/>
      <c r="BOH45" s="47"/>
      <c r="BOI45" s="47"/>
      <c r="BOJ45" s="47"/>
      <c r="BOK45" s="47"/>
      <c r="BOL45" s="47"/>
      <c r="BOM45" s="47"/>
      <c r="BON45" s="47"/>
      <c r="BOO45" s="47"/>
      <c r="BOP45" s="47"/>
      <c r="BOQ45" s="47"/>
      <c r="BOR45" s="47"/>
      <c r="BOS45" s="47"/>
      <c r="BOT45" s="47"/>
      <c r="BOU45" s="47"/>
      <c r="BOV45" s="47"/>
      <c r="BOW45" s="47"/>
      <c r="BOX45" s="47"/>
      <c r="BOY45" s="47"/>
      <c r="BOZ45" s="47"/>
      <c r="BPA45" s="47"/>
      <c r="BPB45" s="47"/>
      <c r="BPC45" s="47"/>
      <c r="BPD45" s="47"/>
      <c r="BPE45" s="47"/>
      <c r="BPF45" s="47"/>
      <c r="BPG45" s="47"/>
      <c r="BPH45" s="47"/>
      <c r="BPI45" s="47"/>
      <c r="BPJ45" s="47"/>
      <c r="BPK45" s="47"/>
      <c r="BPL45" s="47"/>
      <c r="BPM45" s="47"/>
      <c r="BPN45" s="47"/>
      <c r="BPO45" s="47"/>
      <c r="BPP45" s="47"/>
      <c r="BPQ45" s="47"/>
      <c r="BPR45" s="47"/>
      <c r="BPS45" s="47"/>
      <c r="BPT45" s="47"/>
      <c r="BPU45" s="47"/>
      <c r="BPV45" s="47"/>
      <c r="BPW45" s="47"/>
      <c r="BPX45" s="47"/>
      <c r="BPY45" s="47"/>
      <c r="BPZ45" s="47"/>
      <c r="BQA45" s="47"/>
      <c r="BQB45" s="47"/>
      <c r="BQC45" s="47"/>
      <c r="BQD45" s="47"/>
      <c r="BQE45" s="47"/>
      <c r="BQF45" s="47"/>
      <c r="BQG45" s="47"/>
      <c r="BQH45" s="47"/>
      <c r="BQI45" s="47"/>
      <c r="BQJ45" s="47"/>
      <c r="BQK45" s="47"/>
      <c r="BQL45" s="47"/>
      <c r="BQM45" s="47"/>
      <c r="BQN45" s="47"/>
      <c r="BQO45" s="47"/>
      <c r="BQP45" s="47"/>
      <c r="BQQ45" s="47"/>
      <c r="BQR45" s="47"/>
      <c r="BQS45" s="47"/>
      <c r="BQT45" s="47"/>
      <c r="BQU45" s="47"/>
      <c r="BQV45" s="47"/>
      <c r="BQW45" s="47"/>
      <c r="BQX45" s="47"/>
      <c r="BQY45" s="47"/>
      <c r="BQZ45" s="47"/>
      <c r="BRA45" s="47"/>
      <c r="BRB45" s="47"/>
      <c r="BRC45" s="47"/>
      <c r="BRD45" s="47"/>
      <c r="BRE45" s="47"/>
      <c r="BRF45" s="47"/>
      <c r="BRG45" s="47"/>
      <c r="BRH45" s="47"/>
      <c r="BRI45" s="47"/>
      <c r="BRJ45" s="47"/>
      <c r="BRK45" s="47"/>
      <c r="BRL45" s="47"/>
      <c r="BRM45" s="47"/>
      <c r="BRN45" s="47"/>
      <c r="BRO45" s="47"/>
      <c r="BRP45" s="47"/>
      <c r="BRQ45" s="47"/>
      <c r="BRR45" s="47"/>
      <c r="BRS45" s="47"/>
      <c r="BRT45" s="47"/>
      <c r="BRU45" s="47"/>
      <c r="BRV45" s="47"/>
      <c r="BRW45" s="47"/>
      <c r="BRX45" s="47"/>
      <c r="BRY45" s="47"/>
      <c r="BRZ45" s="47"/>
      <c r="BSA45" s="47"/>
      <c r="BSB45" s="47"/>
      <c r="BSC45" s="47"/>
      <c r="BSD45" s="47"/>
      <c r="BSE45" s="47"/>
      <c r="BSF45" s="47"/>
      <c r="BSG45" s="47"/>
      <c r="BSH45" s="47"/>
      <c r="BSI45" s="47"/>
      <c r="BSJ45" s="47"/>
      <c r="BSK45" s="47"/>
      <c r="BSL45" s="47"/>
      <c r="BSM45" s="47"/>
      <c r="BSN45" s="47"/>
      <c r="BSO45" s="47"/>
      <c r="BSP45" s="47"/>
      <c r="BSQ45" s="47"/>
      <c r="BSR45" s="47"/>
      <c r="BSS45" s="47"/>
      <c r="BST45" s="47"/>
      <c r="BSU45" s="47"/>
      <c r="BSV45" s="47"/>
      <c r="BSW45" s="47"/>
      <c r="BSX45" s="47"/>
      <c r="BSY45" s="47"/>
      <c r="BSZ45" s="47"/>
      <c r="BTA45" s="47"/>
      <c r="BTB45" s="47"/>
      <c r="BTC45" s="47"/>
      <c r="BTD45" s="47"/>
      <c r="BTE45" s="47"/>
      <c r="BTF45" s="47"/>
      <c r="BTG45" s="47"/>
      <c r="BTH45" s="47"/>
      <c r="BTI45" s="47"/>
      <c r="BTJ45" s="47"/>
      <c r="BTK45" s="47"/>
      <c r="BTL45" s="47"/>
      <c r="BTM45" s="47"/>
      <c r="BTN45" s="47"/>
      <c r="BTO45" s="47"/>
      <c r="BTP45" s="47"/>
      <c r="BTQ45" s="47"/>
      <c r="BTR45" s="47"/>
      <c r="BTS45" s="47"/>
      <c r="BTT45" s="47"/>
      <c r="BTU45" s="47"/>
      <c r="BTV45" s="47"/>
      <c r="BTW45" s="47"/>
      <c r="BTX45" s="47"/>
      <c r="BTY45" s="47"/>
      <c r="BTZ45" s="47"/>
      <c r="BUA45" s="47"/>
      <c r="BUB45" s="47"/>
      <c r="BUC45" s="47"/>
      <c r="BUD45" s="47"/>
      <c r="BUE45" s="47"/>
      <c r="BUF45" s="47"/>
      <c r="BUG45" s="47"/>
      <c r="BUH45" s="47"/>
      <c r="BUI45" s="47"/>
      <c r="BUJ45" s="47"/>
      <c r="BUK45" s="47"/>
      <c r="BUL45" s="47"/>
      <c r="BUM45" s="47"/>
      <c r="BUN45" s="47"/>
      <c r="BUO45" s="47"/>
      <c r="BUP45" s="47"/>
      <c r="BUQ45" s="47"/>
      <c r="BUR45" s="47"/>
      <c r="BUS45" s="47"/>
      <c r="BUT45" s="47"/>
      <c r="BUU45" s="47"/>
      <c r="BUV45" s="47"/>
      <c r="BUW45" s="47"/>
      <c r="BUX45" s="47"/>
      <c r="BUY45" s="47"/>
      <c r="BUZ45" s="47"/>
      <c r="BVA45" s="47"/>
      <c r="BVB45" s="47"/>
      <c r="BVC45" s="47"/>
      <c r="BVD45" s="47"/>
      <c r="BVE45" s="47"/>
      <c r="BVF45" s="47"/>
      <c r="BVG45" s="47"/>
      <c r="BVH45" s="47"/>
      <c r="BVI45" s="47"/>
      <c r="BVJ45" s="47"/>
      <c r="BVK45" s="47"/>
      <c r="BVL45" s="47"/>
      <c r="BVM45" s="47"/>
      <c r="BVN45" s="47"/>
      <c r="BVO45" s="47"/>
      <c r="BVP45" s="47"/>
      <c r="BVQ45" s="47"/>
      <c r="BVR45" s="47"/>
      <c r="BVS45" s="47"/>
      <c r="BVT45" s="47"/>
      <c r="BVU45" s="47"/>
      <c r="BVV45" s="47"/>
      <c r="BVW45" s="47"/>
      <c r="BVX45" s="47"/>
      <c r="BVY45" s="47"/>
      <c r="BVZ45" s="47"/>
      <c r="BWA45" s="47"/>
      <c r="BWB45" s="47"/>
      <c r="BWC45" s="47"/>
      <c r="BWD45" s="47"/>
      <c r="BWE45" s="47"/>
      <c r="BWF45" s="47"/>
      <c r="BWG45" s="47"/>
      <c r="BWH45" s="47"/>
      <c r="BWI45" s="47"/>
      <c r="BWJ45" s="47"/>
      <c r="BWK45" s="47"/>
      <c r="BWL45" s="47"/>
      <c r="BWM45" s="47"/>
      <c r="BWN45" s="47"/>
      <c r="BWO45" s="47"/>
      <c r="BWP45" s="47"/>
      <c r="BWQ45" s="47"/>
      <c r="BWR45" s="47"/>
      <c r="BWS45" s="47"/>
      <c r="BWT45" s="47"/>
      <c r="BWU45" s="47"/>
      <c r="BWV45" s="47"/>
      <c r="BWW45" s="47"/>
      <c r="BWX45" s="47"/>
      <c r="BWY45" s="47"/>
      <c r="BWZ45" s="47"/>
      <c r="BXA45" s="47"/>
      <c r="BXB45" s="47"/>
      <c r="BXC45" s="47"/>
      <c r="BXD45" s="47"/>
      <c r="BXE45" s="47"/>
      <c r="BXF45" s="47"/>
      <c r="BXG45" s="47"/>
      <c r="BXH45" s="47"/>
      <c r="BXI45" s="47"/>
      <c r="BXJ45" s="47"/>
      <c r="BXK45" s="47"/>
      <c r="BXL45" s="47"/>
      <c r="BXM45" s="47"/>
      <c r="BXN45" s="47"/>
      <c r="BXO45" s="47"/>
      <c r="BXP45" s="47"/>
      <c r="BXQ45" s="47"/>
      <c r="BXR45" s="47"/>
      <c r="BXS45" s="47"/>
      <c r="BXT45" s="47"/>
      <c r="BXU45" s="47"/>
      <c r="BXV45" s="47"/>
      <c r="BXW45" s="47"/>
      <c r="BXX45" s="47"/>
      <c r="BXY45" s="47"/>
      <c r="BXZ45" s="47"/>
      <c r="BYA45" s="47"/>
      <c r="BYB45" s="47"/>
      <c r="BYC45" s="47"/>
      <c r="BYD45" s="47"/>
      <c r="BYE45" s="47"/>
      <c r="BYF45" s="47"/>
      <c r="BYG45" s="47"/>
      <c r="BYH45" s="47"/>
      <c r="BYI45" s="47"/>
      <c r="BYJ45" s="47"/>
      <c r="BYK45" s="47"/>
      <c r="BYL45" s="47"/>
      <c r="BYM45" s="47"/>
      <c r="BYN45" s="47"/>
      <c r="BYO45" s="47"/>
      <c r="BYP45" s="47"/>
      <c r="BYQ45" s="47"/>
      <c r="BYR45" s="47"/>
      <c r="BYS45" s="47"/>
      <c r="BYT45" s="47"/>
      <c r="BYU45" s="47"/>
      <c r="BYV45" s="47"/>
      <c r="BYW45" s="47"/>
      <c r="BYX45" s="47"/>
      <c r="BYY45" s="47"/>
      <c r="BYZ45" s="47"/>
      <c r="BZA45" s="47"/>
      <c r="BZB45" s="47"/>
      <c r="BZC45" s="47"/>
      <c r="BZD45" s="47"/>
      <c r="BZE45" s="47"/>
      <c r="BZF45" s="47"/>
      <c r="BZG45" s="47"/>
      <c r="BZH45" s="47"/>
      <c r="BZI45" s="47"/>
      <c r="BZJ45" s="47"/>
      <c r="BZK45" s="47"/>
      <c r="BZL45" s="47"/>
      <c r="BZM45" s="47"/>
      <c r="BZN45" s="47"/>
      <c r="BZO45" s="47"/>
      <c r="BZP45" s="47"/>
      <c r="BZQ45" s="47"/>
      <c r="BZR45" s="47"/>
      <c r="BZS45" s="47"/>
      <c r="BZT45" s="47"/>
      <c r="BZU45" s="47"/>
      <c r="BZV45" s="47"/>
      <c r="BZW45" s="47"/>
      <c r="BZX45" s="47"/>
      <c r="BZY45" s="47"/>
      <c r="BZZ45" s="47"/>
      <c r="CAA45" s="47"/>
      <c r="CAB45" s="47"/>
      <c r="CAC45" s="47"/>
      <c r="CAD45" s="47"/>
      <c r="CAE45" s="47"/>
      <c r="CAF45" s="47"/>
      <c r="CAG45" s="47"/>
      <c r="CAH45" s="47"/>
      <c r="CAI45" s="47"/>
      <c r="CAJ45" s="47"/>
      <c r="CAK45" s="47"/>
      <c r="CAL45" s="47"/>
      <c r="CAM45" s="47"/>
      <c r="CAN45" s="47"/>
      <c r="CAO45" s="47"/>
      <c r="CAP45" s="47"/>
      <c r="CAQ45" s="47"/>
      <c r="CAR45" s="47"/>
      <c r="CAS45" s="47"/>
      <c r="CAT45" s="47"/>
      <c r="CAU45" s="47"/>
      <c r="CAV45" s="47"/>
      <c r="CAW45" s="47"/>
      <c r="CAX45" s="47"/>
      <c r="CAY45" s="47"/>
      <c r="CAZ45" s="47"/>
      <c r="CBA45" s="47"/>
      <c r="CBB45" s="47"/>
      <c r="CBC45" s="47"/>
      <c r="CBD45" s="47"/>
      <c r="CBE45" s="47"/>
      <c r="CBF45" s="47"/>
      <c r="CBG45" s="47"/>
      <c r="CBH45" s="47"/>
      <c r="CBI45" s="47"/>
      <c r="CBJ45" s="47"/>
      <c r="CBK45" s="47"/>
      <c r="CBL45" s="47"/>
      <c r="CBM45" s="47"/>
      <c r="CBN45" s="47"/>
      <c r="CBO45" s="47"/>
      <c r="CBP45" s="47"/>
      <c r="CBQ45" s="47"/>
      <c r="CBR45" s="47"/>
      <c r="CBS45" s="47"/>
      <c r="CBT45" s="47"/>
      <c r="CBU45" s="47"/>
      <c r="CBV45" s="47"/>
      <c r="CBW45" s="47"/>
      <c r="CBX45" s="47"/>
      <c r="CBY45" s="47"/>
      <c r="CBZ45" s="47"/>
      <c r="CCA45" s="47"/>
      <c r="CCB45" s="47"/>
      <c r="CCC45" s="47"/>
      <c r="CCD45" s="47"/>
      <c r="CCE45" s="47"/>
      <c r="CCF45" s="47"/>
      <c r="CCG45" s="47"/>
      <c r="CCH45" s="47"/>
      <c r="CCI45" s="47"/>
      <c r="CCJ45" s="47"/>
      <c r="CCK45" s="47"/>
      <c r="CCL45" s="47"/>
      <c r="CCM45" s="47"/>
      <c r="CCN45" s="47"/>
      <c r="CCO45" s="47"/>
      <c r="CCP45" s="47"/>
      <c r="CCQ45" s="47"/>
      <c r="CCR45" s="47"/>
      <c r="CCS45" s="47"/>
      <c r="CCT45" s="47"/>
      <c r="CCU45" s="47"/>
      <c r="CCV45" s="47"/>
      <c r="CCW45" s="47"/>
      <c r="CCX45" s="47"/>
      <c r="CCY45" s="47"/>
      <c r="CCZ45" s="47"/>
      <c r="CDA45" s="47"/>
      <c r="CDB45" s="47"/>
      <c r="CDC45" s="47"/>
      <c r="CDD45" s="47"/>
      <c r="CDE45" s="47"/>
      <c r="CDF45" s="47"/>
      <c r="CDG45" s="47"/>
      <c r="CDH45" s="47"/>
      <c r="CDI45" s="47"/>
      <c r="CDJ45" s="47"/>
      <c r="CDK45" s="47"/>
      <c r="CDL45" s="47"/>
      <c r="CDM45" s="47"/>
      <c r="CDN45" s="47"/>
      <c r="CDO45" s="47"/>
      <c r="CDP45" s="47"/>
      <c r="CDQ45" s="47"/>
      <c r="CDR45" s="47"/>
      <c r="CDS45" s="47"/>
      <c r="CDT45" s="47"/>
      <c r="CDU45" s="47"/>
      <c r="CDV45" s="47"/>
      <c r="CDW45" s="47"/>
      <c r="CDX45" s="47"/>
      <c r="CDY45" s="47"/>
      <c r="CDZ45" s="47"/>
      <c r="CEA45" s="47"/>
      <c r="CEB45" s="47"/>
      <c r="CEC45" s="47"/>
      <c r="CED45" s="47"/>
      <c r="CEE45" s="47"/>
      <c r="CEF45" s="47"/>
      <c r="CEG45" s="47"/>
      <c r="CEH45" s="47"/>
      <c r="CEI45" s="47"/>
      <c r="CEJ45" s="47"/>
      <c r="CEK45" s="47"/>
      <c r="CEL45" s="47"/>
      <c r="CEM45" s="47"/>
      <c r="CEN45" s="47"/>
      <c r="CEO45" s="47"/>
      <c r="CEP45" s="47"/>
      <c r="CEQ45" s="47"/>
      <c r="CER45" s="47"/>
      <c r="CES45" s="47"/>
      <c r="CET45" s="47"/>
      <c r="CEU45" s="47"/>
      <c r="CEV45" s="47"/>
      <c r="CEW45" s="47"/>
      <c r="CEX45" s="47"/>
      <c r="CEY45" s="47"/>
      <c r="CEZ45" s="47"/>
      <c r="CFA45" s="47"/>
      <c r="CFB45" s="47"/>
      <c r="CFC45" s="47"/>
      <c r="CFD45" s="47"/>
      <c r="CFE45" s="47"/>
      <c r="CFF45" s="47"/>
      <c r="CFG45" s="47"/>
      <c r="CFH45" s="47"/>
      <c r="CFI45" s="47"/>
      <c r="CFJ45" s="47"/>
      <c r="CFK45" s="47"/>
      <c r="CFL45" s="47"/>
      <c r="CFM45" s="47"/>
      <c r="CFN45" s="47"/>
      <c r="CFO45" s="47"/>
      <c r="CFP45" s="47"/>
      <c r="CFQ45" s="47"/>
      <c r="CFR45" s="47"/>
      <c r="CFS45" s="47"/>
      <c r="CFT45" s="47"/>
      <c r="CFU45" s="47"/>
      <c r="CFV45" s="47"/>
      <c r="CFW45" s="47"/>
      <c r="CFX45" s="47"/>
      <c r="CFY45" s="47"/>
      <c r="CFZ45" s="47"/>
      <c r="CGA45" s="47"/>
      <c r="CGB45" s="47"/>
      <c r="CGC45" s="47"/>
      <c r="CGD45" s="47"/>
      <c r="CGE45" s="47"/>
      <c r="CGF45" s="47"/>
      <c r="CGG45" s="47"/>
      <c r="CGH45" s="47"/>
      <c r="CGI45" s="47"/>
      <c r="CGJ45" s="47"/>
      <c r="CGK45" s="47"/>
      <c r="CGL45" s="47"/>
      <c r="CGM45" s="47"/>
      <c r="CGN45" s="47"/>
      <c r="CGO45" s="47"/>
      <c r="CGP45" s="47"/>
      <c r="CGQ45" s="47"/>
      <c r="CGR45" s="47"/>
      <c r="CGS45" s="47"/>
      <c r="CGT45" s="47"/>
      <c r="CGU45" s="47"/>
      <c r="CGV45" s="47"/>
      <c r="CGW45" s="47"/>
      <c r="CGX45" s="47"/>
      <c r="CGY45" s="47"/>
      <c r="CGZ45" s="47"/>
      <c r="CHA45" s="47"/>
      <c r="CHB45" s="47"/>
      <c r="CHC45" s="47"/>
      <c r="CHD45" s="47"/>
      <c r="CHE45" s="47"/>
      <c r="CHF45" s="47"/>
      <c r="CHG45" s="47"/>
      <c r="CHH45" s="47"/>
      <c r="CHI45" s="47"/>
      <c r="CHJ45" s="47"/>
      <c r="CHK45" s="47"/>
      <c r="CHL45" s="47"/>
      <c r="CHM45" s="47"/>
      <c r="CHN45" s="47"/>
      <c r="CHO45" s="47"/>
      <c r="CHP45" s="47"/>
      <c r="CHQ45" s="47"/>
      <c r="CHR45" s="47"/>
      <c r="CHS45" s="47"/>
      <c r="CHT45" s="47"/>
      <c r="CHU45" s="47"/>
      <c r="CHV45" s="47"/>
      <c r="CHW45" s="47"/>
      <c r="CHX45" s="47"/>
      <c r="CHY45" s="47"/>
      <c r="CHZ45" s="47"/>
      <c r="CIA45" s="47"/>
      <c r="CIB45" s="47"/>
      <c r="CIC45" s="47"/>
      <c r="CID45" s="47"/>
      <c r="CIE45" s="47"/>
      <c r="CIF45" s="47"/>
      <c r="CIG45" s="47"/>
      <c r="CIH45" s="47"/>
      <c r="CII45" s="47"/>
      <c r="CIJ45" s="47"/>
      <c r="CIK45" s="47"/>
      <c r="CIL45" s="47"/>
      <c r="CIM45" s="47"/>
      <c r="CIN45" s="47"/>
      <c r="CIO45" s="47"/>
      <c r="CIP45" s="47"/>
      <c r="CIQ45" s="47"/>
      <c r="CIR45" s="47"/>
      <c r="CIS45" s="47"/>
      <c r="CIT45" s="47"/>
      <c r="CIU45" s="47"/>
      <c r="CIV45" s="47"/>
      <c r="CIW45" s="47"/>
      <c r="CIX45" s="47"/>
      <c r="CIY45" s="47"/>
      <c r="CIZ45" s="47"/>
      <c r="CJA45" s="47"/>
      <c r="CJB45" s="47"/>
      <c r="CJC45" s="47"/>
      <c r="CJD45" s="47"/>
      <c r="CJE45" s="47"/>
      <c r="CJF45" s="47"/>
      <c r="CJG45" s="47"/>
      <c r="CJH45" s="47"/>
      <c r="CJI45" s="47"/>
      <c r="CJJ45" s="47"/>
      <c r="CJK45" s="47"/>
      <c r="CJL45" s="47"/>
      <c r="CJM45" s="47"/>
      <c r="CJN45" s="47"/>
      <c r="CJO45" s="47"/>
      <c r="CJP45" s="47"/>
      <c r="CJQ45" s="47"/>
      <c r="CJR45" s="47"/>
      <c r="CJS45" s="47"/>
      <c r="CJT45" s="47"/>
      <c r="CJU45" s="47"/>
      <c r="CJV45" s="47"/>
      <c r="CJW45" s="47"/>
      <c r="CJX45" s="47"/>
      <c r="CJY45" s="47"/>
      <c r="CJZ45" s="47"/>
      <c r="CKA45" s="47"/>
      <c r="CKB45" s="47"/>
      <c r="CKC45" s="47"/>
      <c r="CKD45" s="47"/>
      <c r="CKE45" s="47"/>
      <c r="CKF45" s="47"/>
      <c r="CKG45" s="47"/>
      <c r="CKH45" s="47"/>
      <c r="CKI45" s="47"/>
      <c r="CKJ45" s="47"/>
      <c r="CKK45" s="47"/>
      <c r="CKL45" s="47"/>
      <c r="CKM45" s="47"/>
      <c r="CKN45" s="47"/>
      <c r="CKO45" s="47"/>
      <c r="CKP45" s="47"/>
      <c r="CKQ45" s="47"/>
      <c r="CKR45" s="47"/>
      <c r="CKS45" s="47"/>
      <c r="CKT45" s="47"/>
      <c r="CKU45" s="47"/>
      <c r="CKV45" s="47"/>
      <c r="CKW45" s="47"/>
      <c r="CKX45" s="47"/>
      <c r="CKY45" s="47"/>
      <c r="CKZ45" s="47"/>
      <c r="CLA45" s="47"/>
      <c r="CLB45" s="47"/>
      <c r="CLC45" s="47"/>
      <c r="CLD45" s="47"/>
      <c r="CLE45" s="47"/>
      <c r="CLF45" s="47"/>
      <c r="CLG45" s="47"/>
      <c r="CLH45" s="47"/>
      <c r="CLI45" s="47"/>
      <c r="CLJ45" s="47"/>
      <c r="CLK45" s="47"/>
      <c r="CLL45" s="47"/>
      <c r="CLM45" s="47"/>
      <c r="CLN45" s="47"/>
      <c r="CLO45" s="47"/>
      <c r="CLP45" s="47"/>
      <c r="CLQ45" s="47"/>
      <c r="CLR45" s="47"/>
      <c r="CLS45" s="47"/>
      <c r="CLT45" s="47"/>
      <c r="CLU45" s="47"/>
      <c r="CLV45" s="47"/>
      <c r="CLW45" s="47"/>
      <c r="CLX45" s="47"/>
      <c r="CLY45" s="47"/>
      <c r="CLZ45" s="47"/>
      <c r="CMA45" s="47"/>
      <c r="CMB45" s="47"/>
      <c r="CMC45" s="47"/>
      <c r="CMD45" s="47"/>
      <c r="CME45" s="47"/>
      <c r="CMF45" s="47"/>
      <c r="CMG45" s="47"/>
      <c r="CMH45" s="47"/>
      <c r="CMI45" s="47"/>
      <c r="CMJ45" s="47"/>
      <c r="CMK45" s="47"/>
      <c r="CML45" s="47"/>
      <c r="CMM45" s="47"/>
      <c r="CMN45" s="47"/>
      <c r="CMO45" s="47"/>
      <c r="CMP45" s="47"/>
      <c r="CMQ45" s="47"/>
      <c r="CMR45" s="47"/>
      <c r="CMS45" s="47"/>
      <c r="CMT45" s="47"/>
      <c r="CMU45" s="47"/>
      <c r="CMV45" s="47"/>
      <c r="CMW45" s="47"/>
      <c r="CMX45" s="47"/>
      <c r="CMY45" s="47"/>
      <c r="CMZ45" s="47"/>
      <c r="CNA45" s="47"/>
      <c r="CNB45" s="47"/>
      <c r="CNC45" s="47"/>
      <c r="CND45" s="47"/>
      <c r="CNE45" s="47"/>
      <c r="CNF45" s="47"/>
      <c r="CNG45" s="47"/>
      <c r="CNH45" s="47"/>
      <c r="CNI45" s="47"/>
      <c r="CNJ45" s="47"/>
      <c r="CNK45" s="47"/>
      <c r="CNL45" s="47"/>
      <c r="CNM45" s="47"/>
      <c r="CNN45" s="47"/>
      <c r="CNO45" s="47"/>
      <c r="CNP45" s="47"/>
      <c r="CNQ45" s="47"/>
      <c r="CNR45" s="47"/>
      <c r="CNS45" s="47"/>
      <c r="CNT45" s="47"/>
      <c r="CNU45" s="47"/>
      <c r="CNV45" s="47"/>
      <c r="CNW45" s="47"/>
      <c r="CNX45" s="47"/>
      <c r="CNY45" s="47"/>
      <c r="CNZ45" s="47"/>
      <c r="COA45" s="47"/>
      <c r="COB45" s="47"/>
      <c r="COC45" s="47"/>
      <c r="COD45" s="47"/>
      <c r="COE45" s="47"/>
      <c r="COF45" s="47"/>
      <c r="COG45" s="47"/>
      <c r="COH45" s="47"/>
      <c r="COI45" s="47"/>
      <c r="COJ45" s="47"/>
      <c r="COK45" s="47"/>
      <c r="COL45" s="47"/>
      <c r="COM45" s="47"/>
      <c r="CON45" s="47"/>
      <c r="COO45" s="47"/>
      <c r="COP45" s="47"/>
      <c r="COQ45" s="47"/>
      <c r="COR45" s="47"/>
      <c r="COS45" s="47"/>
      <c r="COT45" s="47"/>
      <c r="COU45" s="47"/>
      <c r="COV45" s="47"/>
      <c r="COW45" s="47"/>
      <c r="COX45" s="47"/>
      <c r="COY45" s="47"/>
      <c r="COZ45" s="47"/>
      <c r="CPA45" s="47"/>
      <c r="CPB45" s="47"/>
      <c r="CPC45" s="47"/>
      <c r="CPD45" s="47"/>
      <c r="CPE45" s="47"/>
      <c r="CPF45" s="47"/>
      <c r="CPG45" s="47"/>
      <c r="CPH45" s="47"/>
      <c r="CPI45" s="47"/>
      <c r="CPJ45" s="47"/>
      <c r="CPK45" s="47"/>
      <c r="CPL45" s="47"/>
      <c r="CPM45" s="47"/>
      <c r="CPN45" s="47"/>
      <c r="CPO45" s="47"/>
      <c r="CPP45" s="47"/>
      <c r="CPQ45" s="47"/>
      <c r="CPR45" s="47"/>
      <c r="CPS45" s="47"/>
      <c r="CPT45" s="47"/>
      <c r="CPU45" s="47"/>
      <c r="CPV45" s="47"/>
      <c r="CPW45" s="47"/>
      <c r="CPX45" s="47"/>
      <c r="CPY45" s="47"/>
      <c r="CPZ45" s="47"/>
      <c r="CQA45" s="47"/>
      <c r="CQB45" s="47"/>
      <c r="CQC45" s="47"/>
      <c r="CQD45" s="47"/>
      <c r="CQE45" s="47"/>
      <c r="CQF45" s="47"/>
      <c r="CQG45" s="47"/>
      <c r="CQH45" s="47"/>
      <c r="CQI45" s="47"/>
      <c r="CQJ45" s="47"/>
      <c r="CQK45" s="47"/>
      <c r="CQL45" s="47"/>
      <c r="CQM45" s="47"/>
      <c r="CQN45" s="47"/>
      <c r="CQO45" s="47"/>
      <c r="CQP45" s="47"/>
      <c r="CQQ45" s="47"/>
      <c r="CQR45" s="47"/>
      <c r="CQS45" s="47"/>
      <c r="CQT45" s="47"/>
      <c r="CQU45" s="47"/>
      <c r="CQV45" s="47"/>
      <c r="CQW45" s="47"/>
      <c r="CQX45" s="47"/>
      <c r="CQY45" s="47"/>
      <c r="CQZ45" s="47"/>
      <c r="CRA45" s="47"/>
      <c r="CRB45" s="47"/>
      <c r="CRC45" s="47"/>
      <c r="CRD45" s="47"/>
      <c r="CRE45" s="47"/>
      <c r="CRF45" s="47"/>
      <c r="CRG45" s="47"/>
      <c r="CRH45" s="47"/>
      <c r="CRI45" s="47"/>
      <c r="CRJ45" s="47"/>
      <c r="CRK45" s="47"/>
      <c r="CRL45" s="47"/>
      <c r="CRM45" s="47"/>
      <c r="CRN45" s="47"/>
      <c r="CRO45" s="47"/>
      <c r="CRP45" s="47"/>
      <c r="CRQ45" s="47"/>
      <c r="CRR45" s="47"/>
      <c r="CRS45" s="47"/>
      <c r="CRT45" s="47"/>
      <c r="CRU45" s="47"/>
      <c r="CRV45" s="47"/>
      <c r="CRW45" s="47"/>
      <c r="CRX45" s="47"/>
      <c r="CRY45" s="47"/>
      <c r="CRZ45" s="47"/>
      <c r="CSA45" s="47"/>
      <c r="CSB45" s="47"/>
      <c r="CSC45" s="47"/>
      <c r="CSD45" s="47"/>
      <c r="CSE45" s="47"/>
      <c r="CSF45" s="47"/>
      <c r="CSG45" s="47"/>
      <c r="CSH45" s="47"/>
      <c r="CSI45" s="47"/>
      <c r="CSJ45" s="47"/>
      <c r="CSK45" s="47"/>
      <c r="CSL45" s="47"/>
      <c r="CSM45" s="47"/>
      <c r="CSN45" s="47"/>
      <c r="CSO45" s="47"/>
      <c r="CSP45" s="47"/>
      <c r="CSQ45" s="47"/>
      <c r="CSR45" s="47"/>
      <c r="CSS45" s="47"/>
      <c r="CST45" s="47"/>
      <c r="CSU45" s="47"/>
      <c r="CSV45" s="47"/>
      <c r="CSW45" s="47"/>
      <c r="CSX45" s="47"/>
      <c r="CSY45" s="47"/>
      <c r="CSZ45" s="47"/>
      <c r="CTA45" s="47"/>
      <c r="CTB45" s="47"/>
      <c r="CTC45" s="47"/>
      <c r="CTD45" s="47"/>
      <c r="CTE45" s="47"/>
      <c r="CTF45" s="47"/>
      <c r="CTG45" s="47"/>
      <c r="CTH45" s="47"/>
      <c r="CTI45" s="47"/>
      <c r="CTJ45" s="47"/>
      <c r="CTK45" s="47"/>
      <c r="CTL45" s="47"/>
      <c r="CTM45" s="47"/>
      <c r="CTN45" s="47"/>
      <c r="CTO45" s="47"/>
      <c r="CTP45" s="47"/>
      <c r="CTQ45" s="47"/>
      <c r="CTR45" s="47"/>
      <c r="CTS45" s="47"/>
      <c r="CTT45" s="47"/>
      <c r="CTU45" s="47"/>
      <c r="CTV45" s="47"/>
      <c r="CTW45" s="47"/>
      <c r="CTX45" s="47"/>
      <c r="CTY45" s="47"/>
      <c r="CTZ45" s="47"/>
      <c r="CUA45" s="47"/>
      <c r="CUB45" s="47"/>
      <c r="CUC45" s="47"/>
      <c r="CUD45" s="47"/>
      <c r="CUE45" s="47"/>
      <c r="CUF45" s="47"/>
      <c r="CUG45" s="47"/>
      <c r="CUH45" s="47"/>
      <c r="CUI45" s="47"/>
      <c r="CUJ45" s="47"/>
      <c r="CUK45" s="47"/>
      <c r="CUL45" s="47"/>
      <c r="CUM45" s="47"/>
      <c r="CUN45" s="47"/>
      <c r="CUO45" s="47"/>
      <c r="CUP45" s="47"/>
      <c r="CUQ45" s="47"/>
      <c r="CUR45" s="47"/>
      <c r="CUS45" s="47"/>
      <c r="CUT45" s="47"/>
      <c r="CUU45" s="47"/>
      <c r="CUV45" s="47"/>
      <c r="CUW45" s="47"/>
      <c r="CUX45" s="47"/>
      <c r="CUY45" s="47"/>
      <c r="CUZ45" s="47"/>
      <c r="CVA45" s="47"/>
      <c r="CVB45" s="47"/>
      <c r="CVC45" s="47"/>
      <c r="CVD45" s="47"/>
      <c r="CVE45" s="47"/>
      <c r="CVF45" s="47"/>
      <c r="CVG45" s="47"/>
      <c r="CVH45" s="47"/>
      <c r="CVI45" s="47"/>
      <c r="CVJ45" s="47"/>
      <c r="CVK45" s="47"/>
      <c r="CVL45" s="47"/>
      <c r="CVM45" s="47"/>
      <c r="CVN45" s="47"/>
      <c r="CVO45" s="47"/>
      <c r="CVP45" s="47"/>
      <c r="CVQ45" s="47"/>
      <c r="CVR45" s="47"/>
      <c r="CVS45" s="47"/>
      <c r="CVT45" s="47"/>
      <c r="CVU45" s="47"/>
      <c r="CVV45" s="47"/>
      <c r="CVW45" s="47"/>
      <c r="CVX45" s="47"/>
      <c r="CVY45" s="47"/>
      <c r="CVZ45" s="47"/>
      <c r="CWA45" s="47"/>
      <c r="CWB45" s="47"/>
      <c r="CWC45" s="47"/>
      <c r="CWD45" s="47"/>
      <c r="CWE45" s="47"/>
      <c r="CWF45" s="47"/>
      <c r="CWG45" s="47"/>
      <c r="CWH45" s="47"/>
      <c r="CWI45" s="47"/>
      <c r="CWJ45" s="47"/>
      <c r="CWK45" s="47"/>
      <c r="CWL45" s="47"/>
      <c r="CWM45" s="47"/>
      <c r="CWN45" s="47"/>
      <c r="CWO45" s="47"/>
      <c r="CWP45" s="47"/>
      <c r="CWQ45" s="47"/>
      <c r="CWR45" s="47"/>
      <c r="CWS45" s="47"/>
      <c r="CWT45" s="47"/>
      <c r="CWU45" s="47"/>
      <c r="CWV45" s="47"/>
      <c r="CWW45" s="47"/>
      <c r="CWX45" s="47"/>
      <c r="CWY45" s="47"/>
      <c r="CWZ45" s="47"/>
      <c r="CXA45" s="47"/>
      <c r="CXB45" s="47"/>
      <c r="CXC45" s="47"/>
      <c r="CXD45" s="47"/>
      <c r="CXE45" s="47"/>
      <c r="CXF45" s="47"/>
      <c r="CXG45" s="47"/>
      <c r="CXH45" s="47"/>
      <c r="CXI45" s="47"/>
      <c r="CXJ45" s="47"/>
      <c r="CXK45" s="47"/>
      <c r="CXL45" s="47"/>
      <c r="CXM45" s="47"/>
      <c r="CXN45" s="47"/>
      <c r="CXO45" s="47"/>
      <c r="CXP45" s="47"/>
      <c r="CXQ45" s="47"/>
      <c r="CXR45" s="47"/>
      <c r="CXS45" s="47"/>
      <c r="CXT45" s="47"/>
      <c r="CXU45" s="47"/>
      <c r="CXV45" s="47"/>
      <c r="CXW45" s="47"/>
      <c r="CXX45" s="47"/>
      <c r="CXY45" s="47"/>
      <c r="CXZ45" s="47"/>
      <c r="CYA45" s="47"/>
      <c r="CYB45" s="47"/>
      <c r="CYC45" s="47"/>
      <c r="CYD45" s="47"/>
      <c r="CYE45" s="47"/>
      <c r="CYF45" s="47"/>
      <c r="CYG45" s="47"/>
      <c r="CYH45" s="47"/>
      <c r="CYI45" s="47"/>
      <c r="CYJ45" s="47"/>
      <c r="CYK45" s="47"/>
      <c r="CYL45" s="47"/>
      <c r="CYM45" s="47"/>
      <c r="CYN45" s="47"/>
      <c r="CYO45" s="47"/>
      <c r="CYP45" s="47"/>
      <c r="CYQ45" s="47"/>
      <c r="CYR45" s="47"/>
      <c r="CYS45" s="47"/>
      <c r="CYT45" s="47"/>
      <c r="CYU45" s="47"/>
      <c r="CYV45" s="47"/>
      <c r="CYW45" s="47"/>
      <c r="CYX45" s="47"/>
      <c r="CYY45" s="47"/>
      <c r="CYZ45" s="47"/>
      <c r="CZA45" s="47"/>
      <c r="CZB45" s="47"/>
      <c r="CZC45" s="47"/>
      <c r="CZD45" s="47"/>
      <c r="CZE45" s="47"/>
      <c r="CZF45" s="47"/>
      <c r="CZG45" s="47"/>
      <c r="CZH45" s="47"/>
      <c r="CZI45" s="47"/>
      <c r="CZJ45" s="47"/>
      <c r="CZK45" s="47"/>
      <c r="CZL45" s="47"/>
      <c r="CZM45" s="47"/>
      <c r="CZN45" s="47"/>
      <c r="CZO45" s="47"/>
      <c r="CZP45" s="47"/>
      <c r="CZQ45" s="47"/>
      <c r="CZR45" s="47"/>
      <c r="CZS45" s="47"/>
      <c r="CZT45" s="47"/>
      <c r="CZU45" s="47"/>
      <c r="CZV45" s="47"/>
      <c r="CZW45" s="47"/>
      <c r="CZX45" s="47"/>
      <c r="CZY45" s="47"/>
      <c r="CZZ45" s="47"/>
      <c r="DAA45" s="47"/>
      <c r="DAB45" s="47"/>
      <c r="DAC45" s="47"/>
      <c r="DAD45" s="47"/>
      <c r="DAE45" s="47"/>
      <c r="DAF45" s="47"/>
      <c r="DAG45" s="47"/>
      <c r="DAH45" s="47"/>
      <c r="DAI45" s="47"/>
      <c r="DAJ45" s="47"/>
      <c r="DAK45" s="47"/>
      <c r="DAL45" s="47"/>
      <c r="DAM45" s="47"/>
      <c r="DAN45" s="47"/>
      <c r="DAO45" s="47"/>
      <c r="DAP45" s="47"/>
      <c r="DAQ45" s="47"/>
      <c r="DAR45" s="47"/>
      <c r="DAS45" s="47"/>
      <c r="DAT45" s="47"/>
      <c r="DAU45" s="47"/>
      <c r="DAV45" s="47"/>
      <c r="DAW45" s="47"/>
      <c r="DAX45" s="47"/>
      <c r="DAY45" s="47"/>
      <c r="DAZ45" s="47"/>
      <c r="DBA45" s="47"/>
      <c r="DBB45" s="47"/>
      <c r="DBC45" s="47"/>
      <c r="DBD45" s="47"/>
      <c r="DBE45" s="47"/>
      <c r="DBF45" s="47"/>
      <c r="DBG45" s="47"/>
      <c r="DBH45" s="47"/>
      <c r="DBI45" s="47"/>
      <c r="DBJ45" s="47"/>
      <c r="DBK45" s="47"/>
      <c r="DBL45" s="47"/>
      <c r="DBM45" s="47"/>
      <c r="DBN45" s="47"/>
      <c r="DBO45" s="47"/>
      <c r="DBP45" s="47"/>
      <c r="DBQ45" s="47"/>
      <c r="DBR45" s="47"/>
      <c r="DBS45" s="47"/>
      <c r="DBT45" s="47"/>
      <c r="DBU45" s="47"/>
      <c r="DBV45" s="47"/>
      <c r="DBW45" s="47"/>
      <c r="DBX45" s="47"/>
      <c r="DBY45" s="47"/>
      <c r="DBZ45" s="47"/>
      <c r="DCA45" s="47"/>
      <c r="DCB45" s="47"/>
      <c r="DCC45" s="47"/>
      <c r="DCD45" s="47"/>
      <c r="DCE45" s="47"/>
      <c r="DCF45" s="47"/>
      <c r="DCG45" s="47"/>
      <c r="DCH45" s="47"/>
      <c r="DCI45" s="47"/>
      <c r="DCJ45" s="47"/>
      <c r="DCK45" s="47"/>
      <c r="DCL45" s="47"/>
      <c r="DCM45" s="47"/>
      <c r="DCN45" s="47"/>
      <c r="DCO45" s="47"/>
      <c r="DCP45" s="47"/>
      <c r="DCQ45" s="47"/>
      <c r="DCR45" s="47"/>
      <c r="DCS45" s="47"/>
      <c r="DCT45" s="47"/>
      <c r="DCU45" s="47"/>
      <c r="DCV45" s="47"/>
      <c r="DCW45" s="47"/>
      <c r="DCX45" s="47"/>
      <c r="DCY45" s="47"/>
      <c r="DCZ45" s="47"/>
      <c r="DDA45" s="47"/>
      <c r="DDB45" s="47"/>
      <c r="DDC45" s="47"/>
      <c r="DDD45" s="47"/>
      <c r="DDE45" s="47"/>
      <c r="DDF45" s="47"/>
      <c r="DDG45" s="47"/>
      <c r="DDH45" s="47"/>
      <c r="DDI45" s="47"/>
      <c r="DDJ45" s="47"/>
      <c r="DDK45" s="47"/>
      <c r="DDL45" s="47"/>
      <c r="DDM45" s="47"/>
      <c r="DDN45" s="47"/>
      <c r="DDO45" s="47"/>
      <c r="DDP45" s="47"/>
      <c r="DDQ45" s="47"/>
      <c r="DDR45" s="47"/>
      <c r="DDS45" s="47"/>
      <c r="DDT45" s="47"/>
      <c r="DDU45" s="47"/>
      <c r="DDV45" s="47"/>
      <c r="DDW45" s="47"/>
      <c r="DDX45" s="47"/>
      <c r="DDY45" s="47"/>
      <c r="DDZ45" s="47"/>
      <c r="DEA45" s="47"/>
      <c r="DEB45" s="47"/>
      <c r="DEC45" s="47"/>
      <c r="DED45" s="47"/>
      <c r="DEE45" s="47"/>
      <c r="DEF45" s="47"/>
      <c r="DEG45" s="47"/>
      <c r="DEH45" s="47"/>
      <c r="DEI45" s="47"/>
      <c r="DEJ45" s="47"/>
      <c r="DEK45" s="47"/>
      <c r="DEL45" s="47"/>
      <c r="DEM45" s="47"/>
      <c r="DEN45" s="47"/>
      <c r="DEO45" s="47"/>
      <c r="DEP45" s="47"/>
      <c r="DEQ45" s="47"/>
      <c r="DER45" s="47"/>
      <c r="DES45" s="47"/>
      <c r="DET45" s="47"/>
      <c r="DEU45" s="47"/>
      <c r="DEV45" s="47"/>
      <c r="DEW45" s="47"/>
      <c r="DEX45" s="47"/>
      <c r="DEY45" s="47"/>
      <c r="DEZ45" s="47"/>
      <c r="DFA45" s="47"/>
      <c r="DFB45" s="47"/>
      <c r="DFC45" s="47"/>
      <c r="DFD45" s="47"/>
      <c r="DFE45" s="47"/>
      <c r="DFF45" s="47"/>
      <c r="DFG45" s="47"/>
      <c r="DFH45" s="47"/>
      <c r="DFI45" s="47"/>
      <c r="DFJ45" s="47"/>
      <c r="DFK45" s="47"/>
      <c r="DFL45" s="47"/>
      <c r="DFM45" s="47"/>
      <c r="DFN45" s="47"/>
      <c r="DFO45" s="47"/>
      <c r="DFP45" s="47"/>
      <c r="DFQ45" s="47"/>
      <c r="DFR45" s="47"/>
      <c r="DFS45" s="47"/>
      <c r="DFT45" s="47"/>
      <c r="DFU45" s="47"/>
      <c r="DFV45" s="47"/>
      <c r="DFW45" s="47"/>
      <c r="DFX45" s="47"/>
      <c r="DFY45" s="47"/>
      <c r="DFZ45" s="47"/>
      <c r="DGA45" s="47"/>
      <c r="DGB45" s="47"/>
      <c r="DGC45" s="47"/>
      <c r="DGD45" s="47"/>
      <c r="DGE45" s="47"/>
      <c r="DGF45" s="47"/>
      <c r="DGG45" s="47"/>
      <c r="DGH45" s="47"/>
      <c r="DGI45" s="47"/>
      <c r="DGJ45" s="47"/>
      <c r="DGK45" s="47"/>
      <c r="DGL45" s="47"/>
      <c r="DGM45" s="47"/>
      <c r="DGN45" s="47"/>
      <c r="DGO45" s="47"/>
      <c r="DGP45" s="47"/>
      <c r="DGQ45" s="47"/>
      <c r="DGR45" s="47"/>
      <c r="DGS45" s="47"/>
      <c r="DGT45" s="47"/>
      <c r="DGU45" s="47"/>
      <c r="DGV45" s="47"/>
      <c r="DGW45" s="47"/>
      <c r="DGX45" s="47"/>
      <c r="DGY45" s="47"/>
      <c r="DGZ45" s="47"/>
      <c r="DHA45" s="47"/>
      <c r="DHB45" s="47"/>
      <c r="DHC45" s="47"/>
      <c r="DHD45" s="47"/>
      <c r="DHE45" s="47"/>
      <c r="DHF45" s="47"/>
      <c r="DHG45" s="47"/>
      <c r="DHH45" s="47"/>
      <c r="DHI45" s="47"/>
      <c r="DHJ45" s="47"/>
      <c r="DHK45" s="47"/>
      <c r="DHL45" s="47"/>
      <c r="DHM45" s="47"/>
      <c r="DHN45" s="47"/>
      <c r="DHO45" s="47"/>
      <c r="DHP45" s="47"/>
      <c r="DHQ45" s="47"/>
      <c r="DHR45" s="47"/>
      <c r="DHS45" s="47"/>
      <c r="DHT45" s="47"/>
      <c r="DHU45" s="47"/>
      <c r="DHV45" s="47"/>
      <c r="DHW45" s="47"/>
      <c r="DHX45" s="47"/>
      <c r="DHY45" s="47"/>
      <c r="DHZ45" s="47"/>
      <c r="DIA45" s="47"/>
      <c r="DIB45" s="47"/>
      <c r="DIC45" s="47"/>
      <c r="DID45" s="47"/>
      <c r="DIE45" s="47"/>
      <c r="DIF45" s="47"/>
      <c r="DIG45" s="47"/>
      <c r="DIH45" s="47"/>
      <c r="DII45" s="47"/>
      <c r="DIJ45" s="47"/>
      <c r="DIK45" s="47"/>
      <c r="DIL45" s="47"/>
      <c r="DIM45" s="47"/>
      <c r="DIN45" s="47"/>
      <c r="DIO45" s="47"/>
      <c r="DIP45" s="47"/>
      <c r="DIQ45" s="47"/>
      <c r="DIR45" s="47"/>
      <c r="DIS45" s="47"/>
      <c r="DIT45" s="47"/>
      <c r="DIU45" s="47"/>
      <c r="DIV45" s="47"/>
      <c r="DIW45" s="47"/>
      <c r="DIX45" s="47"/>
      <c r="DIY45" s="47"/>
      <c r="DIZ45" s="47"/>
      <c r="DJA45" s="47"/>
      <c r="DJB45" s="47"/>
      <c r="DJC45" s="47"/>
      <c r="DJD45" s="47"/>
      <c r="DJE45" s="47"/>
      <c r="DJF45" s="47"/>
      <c r="DJG45" s="47"/>
      <c r="DJH45" s="47"/>
      <c r="DJI45" s="47"/>
      <c r="DJJ45" s="47"/>
      <c r="DJK45" s="47"/>
      <c r="DJL45" s="47"/>
      <c r="DJM45" s="47"/>
      <c r="DJN45" s="47"/>
      <c r="DJO45" s="47"/>
      <c r="DJP45" s="47"/>
      <c r="DJQ45" s="47"/>
      <c r="DJR45" s="47"/>
      <c r="DJS45" s="47"/>
      <c r="DJT45" s="47"/>
      <c r="DJU45" s="47"/>
      <c r="DJV45" s="47"/>
      <c r="DJW45" s="47"/>
      <c r="DJX45" s="47"/>
      <c r="DJY45" s="47"/>
      <c r="DJZ45" s="47"/>
      <c r="DKA45" s="47"/>
      <c r="DKB45" s="47"/>
      <c r="DKC45" s="47"/>
      <c r="DKD45" s="47"/>
      <c r="DKE45" s="47"/>
      <c r="DKF45" s="47"/>
      <c r="DKG45" s="47"/>
      <c r="DKH45" s="47"/>
      <c r="DKI45" s="47"/>
      <c r="DKJ45" s="47"/>
      <c r="DKK45" s="47"/>
      <c r="DKL45" s="47"/>
      <c r="DKM45" s="47"/>
      <c r="DKN45" s="47"/>
      <c r="DKO45" s="47"/>
      <c r="DKP45" s="47"/>
      <c r="DKQ45" s="47"/>
      <c r="DKR45" s="47"/>
      <c r="DKS45" s="47"/>
      <c r="DKT45" s="47"/>
      <c r="DKU45" s="47"/>
      <c r="DKV45" s="47"/>
      <c r="DKW45" s="47"/>
      <c r="DKX45" s="47"/>
      <c r="DKY45" s="47"/>
      <c r="DKZ45" s="47"/>
      <c r="DLA45" s="47"/>
      <c r="DLB45" s="47"/>
      <c r="DLC45" s="47"/>
      <c r="DLD45" s="47"/>
      <c r="DLE45" s="47"/>
      <c r="DLF45" s="47"/>
      <c r="DLG45" s="47"/>
      <c r="DLH45" s="47"/>
      <c r="DLI45" s="47"/>
      <c r="DLJ45" s="47"/>
      <c r="DLK45" s="47"/>
      <c r="DLL45" s="47"/>
      <c r="DLM45" s="47"/>
      <c r="DLN45" s="47"/>
      <c r="DLO45" s="47"/>
      <c r="DLP45" s="47"/>
      <c r="DLQ45" s="47"/>
      <c r="DLR45" s="47"/>
      <c r="DLS45" s="47"/>
      <c r="DLT45" s="47"/>
      <c r="DLU45" s="47"/>
      <c r="DLV45" s="47"/>
      <c r="DLW45" s="47"/>
      <c r="DLX45" s="47"/>
      <c r="DLY45" s="47"/>
      <c r="DLZ45" s="47"/>
      <c r="DMA45" s="47"/>
      <c r="DMB45" s="47"/>
      <c r="DMC45" s="47"/>
      <c r="DMD45" s="47"/>
      <c r="DME45" s="47"/>
      <c r="DMF45" s="47"/>
      <c r="DMG45" s="47"/>
      <c r="DMH45" s="47"/>
      <c r="DMI45" s="47"/>
      <c r="DMJ45" s="47"/>
      <c r="DMK45" s="47"/>
      <c r="DML45" s="47"/>
      <c r="DMM45" s="47"/>
      <c r="DMN45" s="47"/>
      <c r="DMO45" s="47"/>
      <c r="DMP45" s="47"/>
      <c r="DMQ45" s="47"/>
      <c r="DMR45" s="47"/>
      <c r="DMS45" s="47"/>
      <c r="DMT45" s="47"/>
      <c r="DMU45" s="47"/>
      <c r="DMV45" s="47"/>
      <c r="DMW45" s="47"/>
      <c r="DMX45" s="47"/>
      <c r="DMY45" s="47"/>
      <c r="DMZ45" s="47"/>
      <c r="DNA45" s="47"/>
      <c r="DNB45" s="47"/>
      <c r="DNC45" s="47"/>
      <c r="DND45" s="47"/>
      <c r="DNE45" s="47"/>
      <c r="DNF45" s="47"/>
      <c r="DNG45" s="47"/>
      <c r="DNH45" s="47"/>
      <c r="DNI45" s="47"/>
      <c r="DNJ45" s="47"/>
      <c r="DNK45" s="47"/>
      <c r="DNL45" s="47"/>
      <c r="DNM45" s="47"/>
      <c r="DNN45" s="47"/>
      <c r="DNO45" s="47"/>
      <c r="DNP45" s="47"/>
      <c r="DNQ45" s="47"/>
      <c r="DNR45" s="47"/>
      <c r="DNS45" s="47"/>
      <c r="DNT45" s="47"/>
      <c r="DNU45" s="47"/>
      <c r="DNV45" s="47"/>
      <c r="DNW45" s="47"/>
      <c r="DNX45" s="47"/>
      <c r="DNY45" s="47"/>
      <c r="DNZ45" s="47"/>
      <c r="DOA45" s="47"/>
      <c r="DOB45" s="47"/>
      <c r="DOC45" s="47"/>
      <c r="DOD45" s="47"/>
      <c r="DOE45" s="47"/>
      <c r="DOF45" s="47"/>
      <c r="DOG45" s="47"/>
      <c r="DOH45" s="47"/>
      <c r="DOI45" s="47"/>
      <c r="DOJ45" s="47"/>
      <c r="DOK45" s="47"/>
      <c r="DOL45" s="47"/>
      <c r="DOM45" s="47"/>
      <c r="DON45" s="47"/>
      <c r="DOO45" s="47"/>
      <c r="DOP45" s="47"/>
      <c r="DOQ45" s="47"/>
      <c r="DOR45" s="47"/>
      <c r="DOS45" s="47"/>
      <c r="DOT45" s="47"/>
      <c r="DOU45" s="47"/>
      <c r="DOV45" s="47"/>
      <c r="DOW45" s="47"/>
      <c r="DOX45" s="47"/>
      <c r="DOY45" s="47"/>
      <c r="DOZ45" s="47"/>
      <c r="DPA45" s="47"/>
      <c r="DPB45" s="47"/>
      <c r="DPC45" s="47"/>
      <c r="DPD45" s="47"/>
      <c r="DPE45" s="47"/>
      <c r="DPF45" s="47"/>
      <c r="DPG45" s="47"/>
      <c r="DPH45" s="47"/>
      <c r="DPI45" s="47"/>
      <c r="DPJ45" s="47"/>
      <c r="DPK45" s="47"/>
      <c r="DPL45" s="47"/>
      <c r="DPM45" s="47"/>
      <c r="DPN45" s="47"/>
      <c r="DPO45" s="47"/>
      <c r="DPP45" s="47"/>
      <c r="DPQ45" s="47"/>
      <c r="DPR45" s="47"/>
      <c r="DPS45" s="47"/>
      <c r="DPT45" s="47"/>
      <c r="DPU45" s="47"/>
      <c r="DPV45" s="47"/>
      <c r="DPW45" s="47"/>
      <c r="DPX45" s="47"/>
      <c r="DPY45" s="47"/>
      <c r="DPZ45" s="47"/>
      <c r="DQA45" s="47"/>
      <c r="DQB45" s="47"/>
      <c r="DQC45" s="47"/>
      <c r="DQD45" s="47"/>
      <c r="DQE45" s="47"/>
      <c r="DQF45" s="47"/>
      <c r="DQG45" s="47"/>
      <c r="DQH45" s="47"/>
      <c r="DQI45" s="47"/>
      <c r="DQJ45" s="47"/>
      <c r="DQK45" s="47"/>
      <c r="DQL45" s="47"/>
      <c r="DQM45" s="47"/>
      <c r="DQN45" s="47"/>
      <c r="DQO45" s="47"/>
      <c r="DQP45" s="47"/>
      <c r="DQQ45" s="47"/>
      <c r="DQR45" s="47"/>
      <c r="DQS45" s="47"/>
      <c r="DQT45" s="47"/>
      <c r="DQU45" s="47"/>
      <c r="DQV45" s="47"/>
      <c r="DQW45" s="47"/>
      <c r="DQX45" s="47"/>
      <c r="DQY45" s="47"/>
      <c r="DQZ45" s="47"/>
      <c r="DRA45" s="47"/>
      <c r="DRB45" s="47"/>
      <c r="DRC45" s="47"/>
      <c r="DRD45" s="47"/>
      <c r="DRE45" s="47"/>
      <c r="DRF45" s="47"/>
      <c r="DRG45" s="47"/>
      <c r="DRH45" s="47"/>
      <c r="DRI45" s="47"/>
      <c r="DRJ45" s="47"/>
      <c r="DRK45" s="47"/>
      <c r="DRL45" s="47"/>
      <c r="DRM45" s="47"/>
      <c r="DRN45" s="47"/>
      <c r="DRO45" s="47"/>
      <c r="DRP45" s="47"/>
      <c r="DRQ45" s="47"/>
      <c r="DRR45" s="47"/>
      <c r="DRS45" s="47"/>
      <c r="DRT45" s="47"/>
      <c r="DRU45" s="47"/>
      <c r="DRV45" s="47"/>
      <c r="DRW45" s="47"/>
      <c r="DRX45" s="47"/>
      <c r="DRY45" s="47"/>
      <c r="DRZ45" s="47"/>
      <c r="DSA45" s="47"/>
      <c r="DSB45" s="47"/>
      <c r="DSC45" s="47"/>
      <c r="DSD45" s="47"/>
      <c r="DSE45" s="47"/>
      <c r="DSF45" s="47"/>
      <c r="DSG45" s="47"/>
      <c r="DSH45" s="47"/>
      <c r="DSI45" s="47"/>
      <c r="DSJ45" s="47"/>
      <c r="DSK45" s="47"/>
      <c r="DSL45" s="47"/>
      <c r="DSM45" s="47"/>
      <c r="DSN45" s="47"/>
      <c r="DSO45" s="47"/>
      <c r="DSP45" s="47"/>
      <c r="DSQ45" s="47"/>
      <c r="DSR45" s="47"/>
      <c r="DSS45" s="47"/>
      <c r="DST45" s="47"/>
      <c r="DSU45" s="47"/>
      <c r="DSV45" s="47"/>
      <c r="DSW45" s="47"/>
      <c r="DSX45" s="47"/>
      <c r="DSY45" s="47"/>
      <c r="DSZ45" s="47"/>
      <c r="DTA45" s="47"/>
      <c r="DTB45" s="47"/>
      <c r="DTC45" s="47"/>
      <c r="DTD45" s="47"/>
      <c r="DTE45" s="47"/>
      <c r="DTF45" s="47"/>
      <c r="DTG45" s="47"/>
      <c r="DTH45" s="47"/>
      <c r="DTI45" s="47"/>
      <c r="DTJ45" s="47"/>
      <c r="DTK45" s="47"/>
      <c r="DTL45" s="47"/>
      <c r="DTM45" s="47"/>
      <c r="DTN45" s="47"/>
      <c r="DTO45" s="47"/>
      <c r="DTP45" s="47"/>
      <c r="DTQ45" s="47"/>
      <c r="DTR45" s="47"/>
      <c r="DTS45" s="47"/>
      <c r="DTT45" s="47"/>
      <c r="DTU45" s="47"/>
      <c r="DTV45" s="47"/>
      <c r="DTW45" s="47"/>
      <c r="DTX45" s="47"/>
      <c r="DTY45" s="47"/>
      <c r="DTZ45" s="47"/>
      <c r="DUA45" s="47"/>
      <c r="DUB45" s="47"/>
      <c r="DUC45" s="47"/>
      <c r="DUD45" s="47"/>
      <c r="DUE45" s="47"/>
      <c r="DUF45" s="47"/>
      <c r="DUG45" s="47"/>
      <c r="DUH45" s="47"/>
      <c r="DUI45" s="47"/>
      <c r="DUJ45" s="47"/>
      <c r="DUK45" s="47"/>
      <c r="DUL45" s="47"/>
      <c r="DUM45" s="47"/>
      <c r="DUN45" s="47"/>
      <c r="DUO45" s="47"/>
      <c r="DUP45" s="47"/>
      <c r="DUQ45" s="47"/>
      <c r="DUR45" s="47"/>
      <c r="DUS45" s="47"/>
      <c r="DUT45" s="47"/>
      <c r="DUU45" s="47"/>
      <c r="DUV45" s="47"/>
      <c r="DUW45" s="47"/>
      <c r="DUX45" s="47"/>
      <c r="DUY45" s="47"/>
      <c r="DUZ45" s="47"/>
      <c r="DVA45" s="47"/>
      <c r="DVB45" s="47"/>
      <c r="DVC45" s="47"/>
      <c r="DVD45" s="47"/>
      <c r="DVE45" s="47"/>
      <c r="DVF45" s="47"/>
      <c r="DVG45" s="47"/>
      <c r="DVH45" s="47"/>
      <c r="DVI45" s="47"/>
      <c r="DVJ45" s="47"/>
      <c r="DVK45" s="47"/>
      <c r="DVL45" s="47"/>
      <c r="DVM45" s="47"/>
      <c r="DVN45" s="47"/>
      <c r="DVO45" s="47"/>
      <c r="DVP45" s="47"/>
      <c r="DVQ45" s="47"/>
      <c r="DVR45" s="47"/>
      <c r="DVS45" s="47"/>
      <c r="DVT45" s="47"/>
      <c r="DVU45" s="47"/>
      <c r="DVV45" s="47"/>
      <c r="DVW45" s="47"/>
      <c r="DVX45" s="47"/>
      <c r="DVY45" s="47"/>
      <c r="DVZ45" s="47"/>
      <c r="DWA45" s="47"/>
      <c r="DWB45" s="47"/>
      <c r="DWC45" s="47"/>
      <c r="DWD45" s="47"/>
      <c r="DWE45" s="47"/>
      <c r="DWF45" s="47"/>
      <c r="DWG45" s="47"/>
      <c r="DWH45" s="47"/>
      <c r="DWI45" s="47"/>
      <c r="DWJ45" s="47"/>
      <c r="DWK45" s="47"/>
      <c r="DWL45" s="47"/>
      <c r="DWM45" s="47"/>
      <c r="DWN45" s="47"/>
      <c r="DWO45" s="47"/>
      <c r="DWP45" s="47"/>
      <c r="DWQ45" s="47"/>
      <c r="DWR45" s="47"/>
      <c r="DWS45" s="47"/>
      <c r="DWT45" s="47"/>
      <c r="DWU45" s="47"/>
      <c r="DWV45" s="47"/>
      <c r="DWW45" s="47"/>
      <c r="DWX45" s="47"/>
      <c r="DWY45" s="47"/>
      <c r="DWZ45" s="47"/>
      <c r="DXA45" s="47"/>
      <c r="DXB45" s="47"/>
      <c r="DXC45" s="47"/>
      <c r="DXD45" s="47"/>
      <c r="DXE45" s="47"/>
      <c r="DXF45" s="47"/>
      <c r="DXG45" s="47"/>
      <c r="DXH45" s="47"/>
      <c r="DXI45" s="47"/>
      <c r="DXJ45" s="47"/>
      <c r="DXK45" s="47"/>
      <c r="DXL45" s="47"/>
      <c r="DXM45" s="47"/>
      <c r="DXN45" s="47"/>
      <c r="DXO45" s="47"/>
      <c r="DXP45" s="47"/>
      <c r="DXQ45" s="47"/>
      <c r="DXR45" s="47"/>
      <c r="DXS45" s="47"/>
      <c r="DXT45" s="47"/>
      <c r="DXU45" s="47"/>
      <c r="DXV45" s="47"/>
      <c r="DXW45" s="47"/>
      <c r="DXX45" s="47"/>
      <c r="DXY45" s="47"/>
      <c r="DXZ45" s="47"/>
      <c r="DYA45" s="47"/>
      <c r="DYB45" s="47"/>
      <c r="DYC45" s="47"/>
      <c r="DYD45" s="47"/>
      <c r="DYE45" s="47"/>
      <c r="DYF45" s="47"/>
      <c r="DYG45" s="47"/>
      <c r="DYH45" s="47"/>
      <c r="DYI45" s="47"/>
      <c r="DYJ45" s="47"/>
      <c r="DYK45" s="47"/>
      <c r="DYL45" s="47"/>
      <c r="DYM45" s="47"/>
      <c r="DYN45" s="47"/>
      <c r="DYO45" s="47"/>
      <c r="DYP45" s="47"/>
      <c r="DYQ45" s="47"/>
      <c r="DYR45" s="47"/>
      <c r="DYS45" s="47"/>
      <c r="DYT45" s="47"/>
      <c r="DYU45" s="47"/>
      <c r="DYV45" s="47"/>
      <c r="DYW45" s="47"/>
      <c r="DYX45" s="47"/>
      <c r="DYY45" s="47"/>
      <c r="DYZ45" s="47"/>
      <c r="DZA45" s="47"/>
      <c r="DZB45" s="47"/>
      <c r="DZC45" s="47"/>
      <c r="DZD45" s="47"/>
      <c r="DZE45" s="47"/>
      <c r="DZF45" s="47"/>
      <c r="DZG45" s="47"/>
      <c r="DZH45" s="47"/>
      <c r="DZI45" s="47"/>
      <c r="DZJ45" s="47"/>
      <c r="DZK45" s="47"/>
      <c r="DZL45" s="47"/>
      <c r="DZM45" s="47"/>
      <c r="DZN45" s="47"/>
      <c r="DZO45" s="47"/>
      <c r="DZP45" s="47"/>
      <c r="DZQ45" s="47"/>
      <c r="DZR45" s="47"/>
      <c r="DZS45" s="47"/>
      <c r="DZT45" s="47"/>
      <c r="DZU45" s="47"/>
      <c r="DZV45" s="47"/>
      <c r="DZW45" s="47"/>
      <c r="DZX45" s="47"/>
      <c r="DZY45" s="47"/>
      <c r="DZZ45" s="47"/>
      <c r="EAA45" s="47"/>
      <c r="EAB45" s="47"/>
      <c r="EAC45" s="47"/>
      <c r="EAD45" s="47"/>
      <c r="EAE45" s="47"/>
      <c r="EAF45" s="47"/>
      <c r="EAG45" s="47"/>
      <c r="EAH45" s="47"/>
      <c r="EAI45" s="47"/>
      <c r="EAJ45" s="47"/>
      <c r="EAK45" s="47"/>
      <c r="EAL45" s="47"/>
      <c r="EAM45" s="47"/>
      <c r="EAN45" s="47"/>
      <c r="EAO45" s="47"/>
      <c r="EAP45" s="47"/>
      <c r="EAQ45" s="47"/>
      <c r="EAR45" s="47"/>
      <c r="EAS45" s="47"/>
      <c r="EAT45" s="47"/>
      <c r="EAU45" s="47"/>
      <c r="EAV45" s="47"/>
      <c r="EAW45" s="47"/>
      <c r="EAX45" s="47"/>
      <c r="EAY45" s="47"/>
      <c r="EAZ45" s="47"/>
      <c r="EBA45" s="47"/>
      <c r="EBB45" s="47"/>
      <c r="EBC45" s="47"/>
      <c r="EBD45" s="47"/>
      <c r="EBE45" s="47"/>
      <c r="EBF45" s="47"/>
      <c r="EBG45" s="47"/>
      <c r="EBH45" s="47"/>
      <c r="EBI45" s="47"/>
      <c r="EBJ45" s="47"/>
      <c r="EBK45" s="47"/>
      <c r="EBL45" s="47"/>
      <c r="EBM45" s="47"/>
      <c r="EBN45" s="47"/>
      <c r="EBO45" s="47"/>
      <c r="EBP45" s="47"/>
      <c r="EBQ45" s="47"/>
      <c r="EBR45" s="47"/>
      <c r="EBS45" s="47"/>
      <c r="EBT45" s="47"/>
      <c r="EBU45" s="47"/>
      <c r="EBV45" s="47"/>
      <c r="EBW45" s="47"/>
      <c r="EBX45" s="47"/>
      <c r="EBY45" s="47"/>
      <c r="EBZ45" s="47"/>
      <c r="ECA45" s="47"/>
      <c r="ECB45" s="47"/>
      <c r="ECC45" s="47"/>
      <c r="ECD45" s="47"/>
      <c r="ECE45" s="47"/>
      <c r="ECF45" s="47"/>
      <c r="ECG45" s="47"/>
      <c r="ECH45" s="47"/>
      <c r="ECI45" s="47"/>
      <c r="ECJ45" s="47"/>
      <c r="ECK45" s="47"/>
      <c r="ECL45" s="47"/>
      <c r="ECM45" s="47"/>
      <c r="ECN45" s="47"/>
      <c r="ECO45" s="47"/>
      <c r="ECP45" s="47"/>
      <c r="ECQ45" s="47"/>
      <c r="ECR45" s="47"/>
      <c r="ECS45" s="47"/>
      <c r="ECT45" s="47"/>
      <c r="ECU45" s="47"/>
      <c r="ECV45" s="47"/>
      <c r="ECW45" s="47"/>
      <c r="ECX45" s="47"/>
      <c r="ECY45" s="47"/>
      <c r="ECZ45" s="47"/>
      <c r="EDA45" s="47"/>
      <c r="EDB45" s="47"/>
      <c r="EDC45" s="47"/>
      <c r="EDD45" s="47"/>
      <c r="EDE45" s="47"/>
      <c r="EDF45" s="47"/>
      <c r="EDG45" s="47"/>
      <c r="EDH45" s="47"/>
      <c r="EDI45" s="47"/>
      <c r="EDJ45" s="47"/>
      <c r="EDK45" s="47"/>
      <c r="EDL45" s="47"/>
      <c r="EDM45" s="47"/>
      <c r="EDN45" s="47"/>
      <c r="EDO45" s="47"/>
      <c r="EDP45" s="47"/>
      <c r="EDQ45" s="47"/>
      <c r="EDR45" s="47"/>
      <c r="EDS45" s="47"/>
      <c r="EDT45" s="47"/>
      <c r="EDU45" s="47"/>
      <c r="EDV45" s="47"/>
      <c r="EDW45" s="47"/>
      <c r="EDX45" s="47"/>
      <c r="EDY45" s="47"/>
      <c r="EDZ45" s="47"/>
      <c r="EEA45" s="47"/>
      <c r="EEB45" s="47"/>
      <c r="EEC45" s="47"/>
      <c r="EED45" s="47"/>
      <c r="EEE45" s="47"/>
      <c r="EEF45" s="47"/>
      <c r="EEG45" s="47"/>
      <c r="EEH45" s="47"/>
      <c r="EEI45" s="47"/>
      <c r="EEJ45" s="47"/>
      <c r="EEK45" s="47"/>
      <c r="EEL45" s="47"/>
      <c r="EEM45" s="47"/>
      <c r="EEN45" s="47"/>
      <c r="EEO45" s="47"/>
      <c r="EEP45" s="47"/>
      <c r="EEQ45" s="47"/>
      <c r="EER45" s="47"/>
      <c r="EES45" s="47"/>
      <c r="EET45" s="47"/>
      <c r="EEU45" s="47"/>
      <c r="EEV45" s="47"/>
      <c r="EEW45" s="47"/>
      <c r="EEX45" s="47"/>
      <c r="EEY45" s="47"/>
      <c r="EEZ45" s="47"/>
      <c r="EFA45" s="47"/>
      <c r="EFB45" s="47"/>
      <c r="EFC45" s="47"/>
      <c r="EFD45" s="47"/>
      <c r="EFE45" s="47"/>
      <c r="EFF45" s="47"/>
      <c r="EFG45" s="47"/>
      <c r="EFH45" s="47"/>
      <c r="EFI45" s="47"/>
      <c r="EFJ45" s="47"/>
      <c r="EFK45" s="47"/>
      <c r="EFL45" s="47"/>
      <c r="EFM45" s="47"/>
      <c r="EFN45" s="47"/>
      <c r="EFO45" s="47"/>
      <c r="EFP45" s="47"/>
      <c r="EFQ45" s="47"/>
      <c r="EFR45" s="47"/>
      <c r="EFS45" s="47"/>
      <c r="EFT45" s="47"/>
      <c r="EFU45" s="47"/>
      <c r="EFV45" s="47"/>
      <c r="EFW45" s="47"/>
      <c r="EFX45" s="47"/>
      <c r="EFY45" s="47"/>
      <c r="EFZ45" s="47"/>
      <c r="EGA45" s="47"/>
      <c r="EGB45" s="47"/>
      <c r="EGC45" s="47"/>
      <c r="EGD45" s="47"/>
      <c r="EGE45" s="47"/>
      <c r="EGF45" s="47"/>
      <c r="EGG45" s="47"/>
      <c r="EGH45" s="47"/>
      <c r="EGI45" s="47"/>
      <c r="EGJ45" s="47"/>
      <c r="EGK45" s="47"/>
      <c r="EGL45" s="47"/>
      <c r="EGM45" s="47"/>
      <c r="EGN45" s="47"/>
      <c r="EGO45" s="47"/>
      <c r="EGP45" s="47"/>
      <c r="EGQ45" s="47"/>
      <c r="EGR45" s="47"/>
      <c r="EGS45" s="47"/>
      <c r="EGT45" s="47"/>
      <c r="EGU45" s="47"/>
      <c r="EGV45" s="47"/>
      <c r="EGW45" s="47"/>
      <c r="EGX45" s="47"/>
      <c r="EGY45" s="47"/>
      <c r="EGZ45" s="47"/>
      <c r="EHA45" s="47"/>
      <c r="EHB45" s="47"/>
      <c r="EHC45" s="47"/>
      <c r="EHD45" s="47"/>
      <c r="EHE45" s="47"/>
      <c r="EHF45" s="47"/>
      <c r="EHG45" s="47"/>
      <c r="EHH45" s="47"/>
      <c r="EHI45" s="47"/>
      <c r="EHJ45" s="47"/>
      <c r="EHK45" s="47"/>
      <c r="EHL45" s="47"/>
      <c r="EHM45" s="47"/>
      <c r="EHN45" s="47"/>
      <c r="EHO45" s="47"/>
      <c r="EHP45" s="47"/>
      <c r="EHQ45" s="47"/>
      <c r="EHR45" s="47"/>
      <c r="EHS45" s="47"/>
      <c r="EHT45" s="47"/>
      <c r="EHU45" s="47"/>
      <c r="EHV45" s="47"/>
      <c r="EHW45" s="47"/>
      <c r="EHX45" s="47"/>
      <c r="EHY45" s="47"/>
      <c r="EHZ45" s="47"/>
      <c r="EIA45" s="47"/>
      <c r="EIB45" s="47"/>
      <c r="EIC45" s="47"/>
      <c r="EID45" s="47"/>
      <c r="EIE45" s="47"/>
      <c r="EIF45" s="47"/>
      <c r="EIG45" s="47"/>
      <c r="EIH45" s="47"/>
      <c r="EII45" s="47"/>
      <c r="EIJ45" s="47"/>
      <c r="EIK45" s="47"/>
      <c r="EIL45" s="47"/>
      <c r="EIM45" s="47"/>
      <c r="EIN45" s="47"/>
      <c r="EIO45" s="47"/>
      <c r="EIP45" s="47"/>
      <c r="EIQ45" s="47"/>
      <c r="EIR45" s="47"/>
      <c r="EIS45" s="47"/>
      <c r="EIT45" s="47"/>
      <c r="EIU45" s="47"/>
      <c r="EIV45" s="47"/>
      <c r="EIW45" s="47"/>
      <c r="EIX45" s="47"/>
      <c r="EIY45" s="47"/>
      <c r="EIZ45" s="47"/>
      <c r="EJA45" s="47"/>
      <c r="EJB45" s="47"/>
      <c r="EJC45" s="47"/>
      <c r="EJD45" s="47"/>
      <c r="EJE45" s="47"/>
      <c r="EJF45" s="47"/>
      <c r="EJG45" s="47"/>
      <c r="EJH45" s="47"/>
      <c r="EJI45" s="47"/>
      <c r="EJJ45" s="47"/>
      <c r="EJK45" s="47"/>
      <c r="EJL45" s="47"/>
      <c r="EJM45" s="47"/>
      <c r="EJN45" s="47"/>
      <c r="EJO45" s="47"/>
      <c r="EJP45" s="47"/>
      <c r="EJQ45" s="47"/>
      <c r="EJR45" s="47"/>
      <c r="EJS45" s="47"/>
      <c r="EJT45" s="47"/>
      <c r="EJU45" s="47"/>
      <c r="EJV45" s="47"/>
      <c r="EJW45" s="47"/>
      <c r="EJX45" s="47"/>
      <c r="EJY45" s="47"/>
      <c r="EJZ45" s="47"/>
      <c r="EKA45" s="47"/>
      <c r="EKB45" s="47"/>
      <c r="EKC45" s="47"/>
      <c r="EKD45" s="47"/>
      <c r="EKE45" s="47"/>
      <c r="EKF45" s="47"/>
      <c r="EKG45" s="47"/>
      <c r="EKH45" s="47"/>
      <c r="EKI45" s="47"/>
      <c r="EKJ45" s="47"/>
      <c r="EKK45" s="47"/>
      <c r="EKL45" s="47"/>
      <c r="EKM45" s="47"/>
      <c r="EKN45" s="47"/>
      <c r="EKO45" s="47"/>
      <c r="EKP45" s="47"/>
      <c r="EKQ45" s="47"/>
      <c r="EKR45" s="47"/>
      <c r="EKS45" s="47"/>
      <c r="EKT45" s="47"/>
      <c r="EKU45" s="47"/>
      <c r="EKV45" s="47"/>
      <c r="EKW45" s="47"/>
      <c r="EKX45" s="47"/>
      <c r="EKY45" s="47"/>
      <c r="EKZ45" s="47"/>
      <c r="ELA45" s="47"/>
      <c r="ELB45" s="47"/>
      <c r="ELC45" s="47"/>
      <c r="ELD45" s="47"/>
      <c r="ELE45" s="47"/>
      <c r="ELF45" s="47"/>
      <c r="ELG45" s="47"/>
      <c r="ELH45" s="47"/>
      <c r="ELI45" s="47"/>
      <c r="ELJ45" s="47"/>
      <c r="ELK45" s="47"/>
      <c r="ELL45" s="47"/>
      <c r="ELM45" s="47"/>
      <c r="ELN45" s="47"/>
      <c r="ELO45" s="47"/>
      <c r="ELP45" s="47"/>
      <c r="ELQ45" s="47"/>
      <c r="ELR45" s="47"/>
      <c r="ELS45" s="47"/>
      <c r="ELT45" s="47"/>
      <c r="ELU45" s="47"/>
      <c r="ELV45" s="47"/>
      <c r="ELW45" s="47"/>
      <c r="ELX45" s="47"/>
      <c r="ELY45" s="47"/>
      <c r="ELZ45" s="47"/>
      <c r="EMA45" s="47"/>
      <c r="EMB45" s="47"/>
      <c r="EMC45" s="47"/>
      <c r="EMD45" s="47"/>
      <c r="EME45" s="47"/>
      <c r="EMF45" s="47"/>
      <c r="EMG45" s="47"/>
      <c r="EMH45" s="47"/>
      <c r="EMI45" s="47"/>
      <c r="EMJ45" s="47"/>
      <c r="EMK45" s="47"/>
      <c r="EML45" s="47"/>
      <c r="EMM45" s="47"/>
      <c r="EMN45" s="47"/>
      <c r="EMO45" s="47"/>
      <c r="EMP45" s="47"/>
      <c r="EMQ45" s="47"/>
      <c r="EMR45" s="47"/>
      <c r="EMS45" s="47"/>
      <c r="EMT45" s="47"/>
      <c r="EMU45" s="47"/>
      <c r="EMV45" s="47"/>
      <c r="EMW45" s="47"/>
      <c r="EMX45" s="47"/>
      <c r="EMY45" s="47"/>
      <c r="EMZ45" s="47"/>
      <c r="ENA45" s="47"/>
      <c r="ENB45" s="47"/>
      <c r="ENC45" s="47"/>
      <c r="END45" s="47"/>
      <c r="ENE45" s="47"/>
      <c r="ENF45" s="47"/>
      <c r="ENG45" s="47"/>
      <c r="ENH45" s="47"/>
      <c r="ENI45" s="47"/>
      <c r="ENJ45" s="47"/>
      <c r="ENK45" s="47"/>
      <c r="ENL45" s="47"/>
      <c r="ENM45" s="47"/>
      <c r="ENN45" s="47"/>
      <c r="ENO45" s="47"/>
      <c r="ENP45" s="47"/>
      <c r="ENQ45" s="47"/>
      <c r="ENR45" s="47"/>
      <c r="ENS45" s="47"/>
      <c r="ENT45" s="47"/>
      <c r="ENU45" s="47"/>
      <c r="ENV45" s="47"/>
      <c r="ENW45" s="47"/>
      <c r="ENX45" s="47"/>
      <c r="ENY45" s="47"/>
      <c r="ENZ45" s="47"/>
      <c r="EOA45" s="47"/>
      <c r="EOB45" s="47"/>
      <c r="EOC45" s="47"/>
      <c r="EOD45" s="47"/>
      <c r="EOE45" s="47"/>
      <c r="EOF45" s="47"/>
      <c r="EOG45" s="47"/>
      <c r="EOH45" s="47"/>
      <c r="EOI45" s="47"/>
      <c r="EOJ45" s="47"/>
      <c r="EOK45" s="47"/>
      <c r="EOL45" s="47"/>
      <c r="EOM45" s="47"/>
      <c r="EON45" s="47"/>
      <c r="EOO45" s="47"/>
      <c r="EOP45" s="47"/>
      <c r="EOQ45" s="47"/>
      <c r="EOR45" s="47"/>
      <c r="EOS45" s="47"/>
      <c r="EOT45" s="47"/>
      <c r="EOU45" s="47"/>
      <c r="EOV45" s="47"/>
      <c r="EOW45" s="47"/>
      <c r="EOX45" s="47"/>
      <c r="EOY45" s="47"/>
      <c r="EOZ45" s="47"/>
      <c r="EPA45" s="47"/>
      <c r="EPB45" s="47"/>
      <c r="EPC45" s="47"/>
      <c r="EPD45" s="47"/>
      <c r="EPE45" s="47"/>
      <c r="EPF45" s="47"/>
      <c r="EPG45" s="47"/>
      <c r="EPH45" s="47"/>
      <c r="EPI45" s="47"/>
      <c r="EPJ45" s="47"/>
      <c r="EPK45" s="47"/>
      <c r="EPL45" s="47"/>
      <c r="EPM45" s="47"/>
      <c r="EPN45" s="47"/>
      <c r="EPO45" s="47"/>
      <c r="EPP45" s="47"/>
      <c r="EPQ45" s="47"/>
      <c r="EPR45" s="47"/>
      <c r="EPS45" s="47"/>
      <c r="EPT45" s="47"/>
      <c r="EPU45" s="47"/>
      <c r="EPV45" s="47"/>
      <c r="EPW45" s="47"/>
      <c r="EPX45" s="47"/>
      <c r="EPY45" s="47"/>
      <c r="EPZ45" s="47"/>
      <c r="EQA45" s="47"/>
      <c r="EQB45" s="47"/>
      <c r="EQC45" s="47"/>
      <c r="EQD45" s="47"/>
      <c r="EQE45" s="47"/>
      <c r="EQF45" s="47"/>
      <c r="EQG45" s="47"/>
      <c r="EQH45" s="47"/>
      <c r="EQI45" s="47"/>
      <c r="EQJ45" s="47"/>
      <c r="EQK45" s="47"/>
      <c r="EQL45" s="47"/>
      <c r="EQM45" s="47"/>
      <c r="EQN45" s="47"/>
      <c r="EQO45" s="47"/>
      <c r="EQP45" s="47"/>
      <c r="EQQ45" s="47"/>
      <c r="EQR45" s="47"/>
      <c r="EQS45" s="47"/>
      <c r="EQT45" s="47"/>
      <c r="EQU45" s="47"/>
      <c r="EQV45" s="47"/>
      <c r="EQW45" s="47"/>
      <c r="EQX45" s="47"/>
      <c r="EQY45" s="47"/>
      <c r="EQZ45" s="47"/>
      <c r="ERA45" s="47"/>
      <c r="ERB45" s="47"/>
      <c r="ERC45" s="47"/>
      <c r="ERD45" s="47"/>
      <c r="ERE45" s="47"/>
      <c r="ERF45" s="47"/>
      <c r="ERG45" s="47"/>
      <c r="ERH45" s="47"/>
      <c r="ERI45" s="47"/>
      <c r="ERJ45" s="47"/>
      <c r="ERK45" s="47"/>
      <c r="ERL45" s="47"/>
      <c r="ERM45" s="47"/>
      <c r="ERN45" s="47"/>
      <c r="ERO45" s="47"/>
      <c r="ERP45" s="47"/>
      <c r="ERQ45" s="47"/>
      <c r="ERR45" s="47"/>
      <c r="ERS45" s="47"/>
      <c r="ERT45" s="47"/>
      <c r="ERU45" s="47"/>
      <c r="ERV45" s="47"/>
      <c r="ERW45" s="47"/>
      <c r="ERX45" s="47"/>
      <c r="ERY45" s="47"/>
      <c r="ERZ45" s="47"/>
      <c r="ESA45" s="47"/>
      <c r="ESB45" s="47"/>
      <c r="ESC45" s="47"/>
      <c r="ESD45" s="47"/>
      <c r="ESE45" s="47"/>
      <c r="ESF45" s="47"/>
      <c r="ESG45" s="47"/>
      <c r="ESH45" s="47"/>
      <c r="ESI45" s="47"/>
      <c r="ESJ45" s="47"/>
      <c r="ESK45" s="47"/>
      <c r="ESL45" s="47"/>
      <c r="ESM45" s="47"/>
      <c r="ESN45" s="47"/>
      <c r="ESO45" s="47"/>
      <c r="ESP45" s="47"/>
      <c r="ESQ45" s="47"/>
      <c r="ESR45" s="47"/>
      <c r="ESS45" s="47"/>
      <c r="EST45" s="47"/>
      <c r="ESU45" s="47"/>
      <c r="ESV45" s="47"/>
      <c r="ESW45" s="47"/>
      <c r="ESX45" s="47"/>
      <c r="ESY45" s="47"/>
      <c r="ESZ45" s="47"/>
      <c r="ETA45" s="47"/>
      <c r="ETB45" s="47"/>
      <c r="ETC45" s="47"/>
      <c r="ETD45" s="47"/>
      <c r="ETE45" s="47"/>
      <c r="ETF45" s="47"/>
      <c r="ETG45" s="47"/>
      <c r="ETH45" s="47"/>
      <c r="ETI45" s="47"/>
      <c r="ETJ45" s="47"/>
      <c r="ETK45" s="47"/>
      <c r="ETL45" s="47"/>
      <c r="ETM45" s="47"/>
      <c r="ETN45" s="47"/>
      <c r="ETO45" s="47"/>
      <c r="ETP45" s="47"/>
      <c r="ETQ45" s="47"/>
      <c r="ETR45" s="47"/>
      <c r="ETS45" s="47"/>
      <c r="ETT45" s="47"/>
      <c r="ETU45" s="47"/>
      <c r="ETV45" s="47"/>
      <c r="ETW45" s="47"/>
      <c r="ETX45" s="47"/>
      <c r="ETY45" s="47"/>
      <c r="ETZ45" s="47"/>
      <c r="EUA45" s="47"/>
      <c r="EUB45" s="47"/>
      <c r="EUC45" s="47"/>
      <c r="EUD45" s="47"/>
      <c r="EUE45" s="47"/>
      <c r="EUF45" s="47"/>
      <c r="EUG45" s="47"/>
      <c r="EUH45" s="47"/>
      <c r="EUI45" s="47"/>
      <c r="EUJ45" s="47"/>
      <c r="EUK45" s="47"/>
      <c r="EUL45" s="47"/>
      <c r="EUM45" s="47"/>
      <c r="EUN45" s="47"/>
      <c r="EUO45" s="47"/>
      <c r="EUP45" s="47"/>
      <c r="EUQ45" s="47"/>
      <c r="EUR45" s="47"/>
      <c r="EUS45" s="47"/>
      <c r="EUT45" s="47"/>
      <c r="EUU45" s="47"/>
      <c r="EUV45" s="47"/>
      <c r="EUW45" s="47"/>
      <c r="EUX45" s="47"/>
      <c r="EUY45" s="47"/>
      <c r="EUZ45" s="47"/>
      <c r="EVA45" s="47"/>
      <c r="EVB45" s="47"/>
      <c r="EVC45" s="47"/>
      <c r="EVD45" s="47"/>
      <c r="EVE45" s="47"/>
      <c r="EVF45" s="47"/>
      <c r="EVG45" s="47"/>
      <c r="EVH45" s="47"/>
      <c r="EVI45" s="47"/>
      <c r="EVJ45" s="47"/>
      <c r="EVK45" s="47"/>
      <c r="EVL45" s="47"/>
      <c r="EVM45" s="47"/>
      <c r="EVN45" s="47"/>
      <c r="EVO45" s="47"/>
      <c r="EVP45" s="47"/>
      <c r="EVQ45" s="47"/>
      <c r="EVR45" s="47"/>
      <c r="EVS45" s="47"/>
      <c r="EVT45" s="47"/>
      <c r="EVU45" s="47"/>
      <c r="EVV45" s="47"/>
      <c r="EVW45" s="47"/>
      <c r="EVX45" s="47"/>
      <c r="EVY45" s="47"/>
      <c r="EVZ45" s="47"/>
      <c r="EWA45" s="47"/>
      <c r="EWB45" s="47"/>
      <c r="EWC45" s="47"/>
      <c r="EWD45" s="47"/>
      <c r="EWE45" s="47"/>
      <c r="EWF45" s="47"/>
      <c r="EWG45" s="47"/>
      <c r="EWH45" s="47"/>
      <c r="EWI45" s="47"/>
      <c r="EWJ45" s="47"/>
      <c r="EWK45" s="47"/>
      <c r="EWL45" s="47"/>
      <c r="EWM45" s="47"/>
      <c r="EWN45" s="47"/>
      <c r="EWO45" s="47"/>
      <c r="EWP45" s="47"/>
      <c r="EWQ45" s="47"/>
      <c r="EWR45" s="47"/>
      <c r="EWS45" s="47"/>
      <c r="EWT45" s="47"/>
      <c r="EWU45" s="47"/>
      <c r="EWV45" s="47"/>
      <c r="EWW45" s="47"/>
      <c r="EWX45" s="47"/>
      <c r="EWY45" s="47"/>
      <c r="EWZ45" s="47"/>
      <c r="EXA45" s="47"/>
      <c r="EXB45" s="47"/>
      <c r="EXC45" s="47"/>
      <c r="EXD45" s="47"/>
      <c r="EXE45" s="47"/>
      <c r="EXF45" s="47"/>
      <c r="EXG45" s="47"/>
      <c r="EXH45" s="47"/>
      <c r="EXI45" s="47"/>
      <c r="EXJ45" s="47"/>
      <c r="EXK45" s="47"/>
      <c r="EXL45" s="47"/>
      <c r="EXM45" s="47"/>
      <c r="EXN45" s="47"/>
      <c r="EXO45" s="47"/>
      <c r="EXP45" s="47"/>
      <c r="EXQ45" s="47"/>
      <c r="EXR45" s="47"/>
      <c r="EXS45" s="47"/>
      <c r="EXT45" s="47"/>
      <c r="EXU45" s="47"/>
      <c r="EXV45" s="47"/>
      <c r="EXW45" s="47"/>
      <c r="EXX45" s="47"/>
      <c r="EXY45" s="47"/>
      <c r="EXZ45" s="47"/>
      <c r="EYA45" s="47"/>
      <c r="EYB45" s="47"/>
      <c r="EYC45" s="47"/>
      <c r="EYD45" s="47"/>
      <c r="EYE45" s="47"/>
      <c r="EYF45" s="47"/>
      <c r="EYG45" s="47"/>
      <c r="EYH45" s="47"/>
      <c r="EYI45" s="47"/>
      <c r="EYJ45" s="47"/>
      <c r="EYK45" s="47"/>
      <c r="EYL45" s="47"/>
      <c r="EYM45" s="47"/>
      <c r="EYN45" s="47"/>
      <c r="EYO45" s="47"/>
      <c r="EYP45" s="47"/>
      <c r="EYQ45" s="47"/>
      <c r="EYR45" s="47"/>
      <c r="EYS45" s="47"/>
      <c r="EYT45" s="47"/>
      <c r="EYU45" s="47"/>
      <c r="EYV45" s="47"/>
      <c r="EYW45" s="47"/>
      <c r="EYX45" s="47"/>
      <c r="EYY45" s="47"/>
      <c r="EYZ45" s="47"/>
      <c r="EZA45" s="47"/>
      <c r="EZB45" s="47"/>
      <c r="EZC45" s="47"/>
      <c r="EZD45" s="47"/>
      <c r="EZE45" s="47"/>
      <c r="EZF45" s="47"/>
      <c r="EZG45" s="47"/>
      <c r="EZH45" s="47"/>
      <c r="EZI45" s="47"/>
      <c r="EZJ45" s="47"/>
      <c r="EZK45" s="47"/>
      <c r="EZL45" s="47"/>
      <c r="EZM45" s="47"/>
      <c r="EZN45" s="47"/>
      <c r="EZO45" s="47"/>
      <c r="EZP45" s="47"/>
      <c r="EZQ45" s="47"/>
      <c r="EZR45" s="47"/>
      <c r="EZS45" s="47"/>
      <c r="EZT45" s="47"/>
      <c r="EZU45" s="47"/>
      <c r="EZV45" s="47"/>
      <c r="EZW45" s="47"/>
      <c r="EZX45" s="47"/>
      <c r="EZY45" s="47"/>
      <c r="EZZ45" s="47"/>
      <c r="FAA45" s="47"/>
      <c r="FAB45" s="47"/>
      <c r="FAC45" s="47"/>
      <c r="FAD45" s="47"/>
      <c r="FAE45" s="47"/>
      <c r="FAF45" s="47"/>
      <c r="FAG45" s="47"/>
      <c r="FAH45" s="47"/>
      <c r="FAI45" s="47"/>
      <c r="FAJ45" s="47"/>
      <c r="FAK45" s="47"/>
      <c r="FAL45" s="47"/>
      <c r="FAM45" s="47"/>
      <c r="FAN45" s="47"/>
      <c r="FAO45" s="47"/>
      <c r="FAP45" s="47"/>
      <c r="FAQ45" s="47"/>
      <c r="FAR45" s="47"/>
      <c r="FAS45" s="47"/>
      <c r="FAT45" s="47"/>
      <c r="FAU45" s="47"/>
      <c r="FAV45" s="47"/>
      <c r="FAW45" s="47"/>
      <c r="FAX45" s="47"/>
      <c r="FAY45" s="47"/>
      <c r="FAZ45" s="47"/>
      <c r="FBA45" s="47"/>
      <c r="FBB45" s="47"/>
      <c r="FBC45" s="47"/>
      <c r="FBD45" s="47"/>
      <c r="FBE45" s="47"/>
      <c r="FBF45" s="47"/>
      <c r="FBG45" s="47"/>
      <c r="FBH45" s="47"/>
      <c r="FBI45" s="47"/>
      <c r="FBJ45" s="47"/>
      <c r="FBK45" s="47"/>
      <c r="FBL45" s="47"/>
      <c r="FBM45" s="47"/>
      <c r="FBN45" s="47"/>
      <c r="FBO45" s="47"/>
      <c r="FBP45" s="47"/>
      <c r="FBQ45" s="47"/>
      <c r="FBR45" s="47"/>
      <c r="FBS45" s="47"/>
      <c r="FBT45" s="47"/>
      <c r="FBU45" s="47"/>
      <c r="FBV45" s="47"/>
      <c r="FBW45" s="47"/>
      <c r="FBX45" s="47"/>
      <c r="FBY45" s="47"/>
      <c r="FBZ45" s="47"/>
      <c r="FCA45" s="47"/>
      <c r="FCB45" s="47"/>
      <c r="FCC45" s="47"/>
      <c r="FCD45" s="47"/>
      <c r="FCE45" s="47"/>
      <c r="FCF45" s="47"/>
      <c r="FCG45" s="47"/>
      <c r="FCH45" s="47"/>
      <c r="FCI45" s="47"/>
      <c r="FCJ45" s="47"/>
      <c r="FCK45" s="47"/>
      <c r="FCL45" s="47"/>
      <c r="FCM45" s="47"/>
      <c r="FCN45" s="47"/>
      <c r="FCO45" s="47"/>
      <c r="FCP45" s="47"/>
      <c r="FCQ45" s="47"/>
      <c r="FCR45" s="47"/>
      <c r="FCS45" s="47"/>
      <c r="FCT45" s="47"/>
      <c r="FCU45" s="47"/>
      <c r="FCV45" s="47"/>
      <c r="FCW45" s="47"/>
      <c r="FCX45" s="47"/>
      <c r="FCY45" s="47"/>
      <c r="FCZ45" s="47"/>
      <c r="FDA45" s="47"/>
      <c r="FDB45" s="47"/>
      <c r="FDC45" s="47"/>
      <c r="FDD45" s="47"/>
      <c r="FDE45" s="47"/>
      <c r="FDF45" s="47"/>
      <c r="FDG45" s="47"/>
      <c r="FDH45" s="47"/>
      <c r="FDI45" s="47"/>
      <c r="FDJ45" s="47"/>
      <c r="FDK45" s="47"/>
      <c r="FDL45" s="47"/>
      <c r="FDM45" s="47"/>
      <c r="FDN45" s="47"/>
      <c r="FDO45" s="47"/>
      <c r="FDP45" s="47"/>
      <c r="FDQ45" s="47"/>
      <c r="FDR45" s="47"/>
      <c r="FDS45" s="47"/>
      <c r="FDT45" s="47"/>
      <c r="FDU45" s="47"/>
      <c r="FDV45" s="47"/>
      <c r="FDW45" s="47"/>
      <c r="FDX45" s="47"/>
      <c r="FDY45" s="47"/>
      <c r="FDZ45" s="47"/>
      <c r="FEA45" s="47"/>
      <c r="FEB45" s="47"/>
      <c r="FEC45" s="47"/>
      <c r="FED45" s="47"/>
      <c r="FEE45" s="47"/>
      <c r="FEF45" s="47"/>
      <c r="FEG45" s="47"/>
      <c r="FEH45" s="47"/>
      <c r="FEI45" s="47"/>
      <c r="FEJ45" s="47"/>
      <c r="FEK45" s="47"/>
      <c r="FEL45" s="47"/>
      <c r="FEM45" s="47"/>
      <c r="FEN45" s="47"/>
      <c r="FEO45" s="47"/>
      <c r="FEP45" s="47"/>
      <c r="FEQ45" s="47"/>
      <c r="FER45" s="47"/>
      <c r="FES45" s="47"/>
      <c r="FET45" s="47"/>
      <c r="FEU45" s="47"/>
      <c r="FEV45" s="47"/>
      <c r="FEW45" s="47"/>
      <c r="FEX45" s="47"/>
      <c r="FEY45" s="47"/>
      <c r="FEZ45" s="47"/>
      <c r="FFA45" s="47"/>
      <c r="FFB45" s="47"/>
      <c r="FFC45" s="47"/>
      <c r="FFD45" s="47"/>
      <c r="FFE45" s="47"/>
      <c r="FFF45" s="47"/>
      <c r="FFG45" s="47"/>
      <c r="FFH45" s="47"/>
      <c r="FFI45" s="47"/>
      <c r="FFJ45" s="47"/>
      <c r="FFK45" s="47"/>
      <c r="FFL45" s="47"/>
      <c r="FFM45" s="47"/>
      <c r="FFN45" s="47"/>
      <c r="FFO45" s="47"/>
      <c r="FFP45" s="47"/>
      <c r="FFQ45" s="47"/>
      <c r="FFR45" s="47"/>
      <c r="FFS45" s="47"/>
      <c r="FFT45" s="47"/>
      <c r="FFU45" s="47"/>
      <c r="FFV45" s="47"/>
      <c r="FFW45" s="47"/>
      <c r="FFX45" s="47"/>
      <c r="FFY45" s="47"/>
      <c r="FFZ45" s="47"/>
      <c r="FGA45" s="47"/>
      <c r="FGB45" s="47"/>
      <c r="FGC45" s="47"/>
      <c r="FGD45" s="47"/>
      <c r="FGE45" s="47"/>
      <c r="FGF45" s="47"/>
      <c r="FGG45" s="47"/>
      <c r="FGH45" s="47"/>
      <c r="FGI45" s="47"/>
      <c r="FGJ45" s="47"/>
      <c r="FGK45" s="47"/>
      <c r="FGL45" s="47"/>
      <c r="FGM45" s="47"/>
      <c r="FGN45" s="47"/>
      <c r="FGO45" s="47"/>
      <c r="FGP45" s="47"/>
      <c r="FGQ45" s="47"/>
      <c r="FGR45" s="47"/>
      <c r="FGS45" s="47"/>
      <c r="FGT45" s="47"/>
      <c r="FGU45" s="47"/>
      <c r="FGV45" s="47"/>
      <c r="FGW45" s="47"/>
      <c r="FGX45" s="47"/>
      <c r="FGY45" s="47"/>
      <c r="FGZ45" s="47"/>
      <c r="FHA45" s="47"/>
      <c r="FHB45" s="47"/>
      <c r="FHC45" s="47"/>
      <c r="FHD45" s="47"/>
      <c r="FHE45" s="47"/>
      <c r="FHF45" s="47"/>
      <c r="FHG45" s="47"/>
      <c r="FHH45" s="47"/>
      <c r="FHI45" s="47"/>
      <c r="FHJ45" s="47"/>
      <c r="FHK45" s="47"/>
      <c r="FHL45" s="47"/>
      <c r="FHM45" s="47"/>
      <c r="FHN45" s="47"/>
      <c r="FHO45" s="47"/>
      <c r="FHP45" s="47"/>
      <c r="FHQ45" s="47"/>
      <c r="FHR45" s="47"/>
      <c r="FHS45" s="47"/>
      <c r="FHT45" s="47"/>
      <c r="FHU45" s="47"/>
      <c r="FHV45" s="47"/>
      <c r="FHW45" s="47"/>
      <c r="FHX45" s="47"/>
      <c r="FHY45" s="47"/>
      <c r="FHZ45" s="47"/>
      <c r="FIA45" s="47"/>
      <c r="FIB45" s="47"/>
      <c r="FIC45" s="47"/>
      <c r="FID45" s="47"/>
      <c r="FIE45" s="47"/>
      <c r="FIF45" s="47"/>
      <c r="FIG45" s="47"/>
      <c r="FIH45" s="47"/>
      <c r="FII45" s="47"/>
      <c r="FIJ45" s="47"/>
      <c r="FIK45" s="47"/>
      <c r="FIL45" s="47"/>
      <c r="FIM45" s="47"/>
      <c r="FIN45" s="47"/>
      <c r="FIO45" s="47"/>
      <c r="FIP45" s="47"/>
      <c r="FIQ45" s="47"/>
      <c r="FIR45" s="47"/>
      <c r="FIS45" s="47"/>
      <c r="FIT45" s="47"/>
      <c r="FIU45" s="47"/>
      <c r="FIV45" s="47"/>
      <c r="FIW45" s="47"/>
      <c r="FIX45" s="47"/>
      <c r="FIY45" s="47"/>
      <c r="FIZ45" s="47"/>
      <c r="FJA45" s="47"/>
      <c r="FJB45" s="47"/>
      <c r="FJC45" s="47"/>
      <c r="FJD45" s="47"/>
      <c r="FJE45" s="47"/>
      <c r="FJF45" s="47"/>
      <c r="FJG45" s="47"/>
      <c r="FJH45" s="47"/>
      <c r="FJI45" s="47"/>
      <c r="FJJ45" s="47"/>
      <c r="FJK45" s="47"/>
      <c r="FJL45" s="47"/>
      <c r="FJM45" s="47"/>
      <c r="FJN45" s="47"/>
      <c r="FJO45" s="47"/>
      <c r="FJP45" s="47"/>
      <c r="FJQ45" s="47"/>
      <c r="FJR45" s="47"/>
      <c r="FJS45" s="47"/>
      <c r="FJT45" s="47"/>
      <c r="FJU45" s="47"/>
      <c r="FJV45" s="47"/>
      <c r="FJW45" s="47"/>
      <c r="FJX45" s="47"/>
      <c r="FJY45" s="47"/>
      <c r="FJZ45" s="47"/>
      <c r="FKA45" s="47"/>
      <c r="FKB45" s="47"/>
      <c r="FKC45" s="47"/>
      <c r="FKD45" s="47"/>
      <c r="FKE45" s="47"/>
      <c r="FKF45" s="47"/>
      <c r="FKG45" s="47"/>
      <c r="FKH45" s="47"/>
      <c r="FKI45" s="47"/>
      <c r="FKJ45" s="47"/>
      <c r="FKK45" s="47"/>
      <c r="FKL45" s="47"/>
      <c r="FKM45" s="47"/>
      <c r="FKN45" s="47"/>
      <c r="FKO45" s="47"/>
      <c r="FKP45" s="47"/>
      <c r="FKQ45" s="47"/>
      <c r="FKR45" s="47"/>
      <c r="FKS45" s="47"/>
      <c r="FKT45" s="47"/>
      <c r="FKU45" s="47"/>
      <c r="FKV45" s="47"/>
      <c r="FKW45" s="47"/>
      <c r="FKX45" s="47"/>
      <c r="FKY45" s="47"/>
      <c r="FKZ45" s="47"/>
      <c r="FLA45" s="47"/>
      <c r="FLB45" s="47"/>
      <c r="FLC45" s="47"/>
      <c r="FLD45" s="47"/>
      <c r="FLE45" s="47"/>
      <c r="FLF45" s="47"/>
      <c r="FLG45" s="47"/>
      <c r="FLH45" s="47"/>
      <c r="FLI45" s="47"/>
      <c r="FLJ45" s="47"/>
      <c r="FLK45" s="47"/>
      <c r="FLL45" s="47"/>
      <c r="FLM45" s="47"/>
      <c r="FLN45" s="47"/>
      <c r="FLO45" s="47"/>
      <c r="FLP45" s="47"/>
      <c r="FLQ45" s="47"/>
      <c r="FLR45" s="47"/>
      <c r="FLS45" s="47"/>
      <c r="FLT45" s="47"/>
      <c r="FLU45" s="47"/>
      <c r="FLV45" s="47"/>
      <c r="FLW45" s="47"/>
      <c r="FLX45" s="47"/>
      <c r="FLY45" s="47"/>
      <c r="FLZ45" s="47"/>
      <c r="FMA45" s="47"/>
      <c r="FMB45" s="47"/>
      <c r="FMC45" s="47"/>
      <c r="FMD45" s="47"/>
      <c r="FME45" s="47"/>
      <c r="FMF45" s="47"/>
      <c r="FMG45" s="47"/>
      <c r="FMH45" s="47"/>
      <c r="FMI45" s="47"/>
      <c r="FMJ45" s="47"/>
      <c r="FMK45" s="47"/>
      <c r="FML45" s="47"/>
      <c r="FMM45" s="47"/>
      <c r="FMN45" s="47"/>
      <c r="FMO45" s="47"/>
      <c r="FMP45" s="47"/>
      <c r="FMQ45" s="47"/>
      <c r="FMR45" s="47"/>
      <c r="FMS45" s="47"/>
      <c r="FMT45" s="47"/>
      <c r="FMU45" s="47"/>
      <c r="FMV45" s="47"/>
      <c r="FMW45" s="47"/>
      <c r="FMX45" s="47"/>
      <c r="FMY45" s="47"/>
      <c r="FMZ45" s="47"/>
      <c r="FNA45" s="47"/>
      <c r="FNB45" s="47"/>
      <c r="FNC45" s="47"/>
      <c r="FND45" s="47"/>
      <c r="FNE45" s="47"/>
      <c r="FNF45" s="47"/>
      <c r="FNG45" s="47"/>
      <c r="FNH45" s="47"/>
      <c r="FNI45" s="47"/>
      <c r="FNJ45" s="47"/>
      <c r="FNK45" s="47"/>
      <c r="FNL45" s="47"/>
      <c r="FNM45" s="47"/>
      <c r="FNN45" s="47"/>
      <c r="FNO45" s="47"/>
      <c r="FNP45" s="47"/>
      <c r="FNQ45" s="47"/>
      <c r="FNR45" s="47"/>
      <c r="FNS45" s="47"/>
      <c r="FNT45" s="47"/>
      <c r="FNU45" s="47"/>
      <c r="FNV45" s="47"/>
      <c r="FNW45" s="47"/>
      <c r="FNX45" s="47"/>
      <c r="FNY45" s="47"/>
      <c r="FNZ45" s="47"/>
      <c r="FOA45" s="47"/>
      <c r="FOB45" s="47"/>
      <c r="FOC45" s="47"/>
      <c r="FOD45" s="47"/>
      <c r="FOE45" s="47"/>
      <c r="FOF45" s="47"/>
      <c r="FOG45" s="47"/>
      <c r="FOH45" s="47"/>
      <c r="FOI45" s="47"/>
      <c r="FOJ45" s="47"/>
      <c r="FOK45" s="47"/>
      <c r="FOL45" s="47"/>
      <c r="FOM45" s="47"/>
      <c r="FON45" s="47"/>
      <c r="FOO45" s="47"/>
      <c r="FOP45" s="47"/>
      <c r="FOQ45" s="47"/>
      <c r="FOR45" s="47"/>
      <c r="FOS45" s="47"/>
      <c r="FOT45" s="47"/>
      <c r="FOU45" s="47"/>
      <c r="FOV45" s="47"/>
      <c r="FOW45" s="47"/>
      <c r="FOX45" s="47"/>
      <c r="FOY45" s="47"/>
      <c r="FOZ45" s="47"/>
      <c r="FPA45" s="47"/>
      <c r="FPB45" s="47"/>
      <c r="FPC45" s="47"/>
      <c r="FPD45" s="47"/>
      <c r="FPE45" s="47"/>
      <c r="FPF45" s="47"/>
      <c r="FPG45" s="47"/>
      <c r="FPH45" s="47"/>
      <c r="FPI45" s="47"/>
      <c r="FPJ45" s="47"/>
      <c r="FPK45" s="47"/>
      <c r="FPL45" s="47"/>
      <c r="FPM45" s="47"/>
      <c r="FPN45" s="47"/>
      <c r="FPO45" s="47"/>
      <c r="FPP45" s="47"/>
      <c r="FPQ45" s="47"/>
      <c r="FPR45" s="47"/>
      <c r="FPS45" s="47"/>
      <c r="FPT45" s="47"/>
      <c r="FPU45" s="47"/>
      <c r="FPV45" s="47"/>
      <c r="FPW45" s="47"/>
      <c r="FPX45" s="47"/>
      <c r="FPY45" s="47"/>
      <c r="FPZ45" s="47"/>
      <c r="FQA45" s="47"/>
      <c r="FQB45" s="47"/>
      <c r="FQC45" s="47"/>
      <c r="FQD45" s="47"/>
      <c r="FQE45" s="47"/>
      <c r="FQF45" s="47"/>
      <c r="FQG45" s="47"/>
      <c r="FQH45" s="47"/>
      <c r="FQI45" s="47"/>
      <c r="FQJ45" s="47"/>
      <c r="FQK45" s="47"/>
      <c r="FQL45" s="47"/>
      <c r="FQM45" s="47"/>
      <c r="FQN45" s="47"/>
      <c r="FQO45" s="47"/>
      <c r="FQP45" s="47"/>
      <c r="FQQ45" s="47"/>
      <c r="FQR45" s="47"/>
      <c r="FQS45" s="47"/>
      <c r="FQT45" s="47"/>
      <c r="FQU45" s="47"/>
      <c r="FQV45" s="47"/>
      <c r="FQW45" s="47"/>
      <c r="FQX45" s="47"/>
      <c r="FQY45" s="47"/>
      <c r="FQZ45" s="47"/>
      <c r="FRA45" s="47"/>
      <c r="FRB45" s="47"/>
      <c r="FRC45" s="47"/>
      <c r="FRD45" s="47"/>
      <c r="FRE45" s="47"/>
      <c r="FRF45" s="47"/>
      <c r="FRG45" s="47"/>
      <c r="FRH45" s="47"/>
      <c r="FRI45" s="47"/>
      <c r="FRJ45" s="47"/>
      <c r="FRK45" s="47"/>
      <c r="FRL45" s="47"/>
      <c r="FRM45" s="47"/>
      <c r="FRN45" s="47"/>
      <c r="FRO45" s="47"/>
      <c r="FRP45" s="47"/>
      <c r="FRQ45" s="47"/>
      <c r="FRR45" s="47"/>
      <c r="FRS45" s="47"/>
      <c r="FRT45" s="47"/>
      <c r="FRU45" s="47"/>
      <c r="FRV45" s="47"/>
      <c r="FRW45" s="47"/>
      <c r="FRX45" s="47"/>
      <c r="FRY45" s="47"/>
      <c r="FRZ45" s="47"/>
      <c r="FSA45" s="47"/>
      <c r="FSB45" s="47"/>
      <c r="FSC45" s="47"/>
      <c r="FSD45" s="47"/>
      <c r="FSE45" s="47"/>
      <c r="FSF45" s="47"/>
      <c r="FSG45" s="47"/>
      <c r="FSH45" s="47"/>
      <c r="FSI45" s="47"/>
      <c r="FSJ45" s="47"/>
      <c r="FSK45" s="47"/>
      <c r="FSL45" s="47"/>
      <c r="FSM45" s="47"/>
      <c r="FSN45" s="47"/>
      <c r="FSO45" s="47"/>
      <c r="FSP45" s="47"/>
      <c r="FSQ45" s="47"/>
      <c r="FSR45" s="47"/>
      <c r="FSS45" s="47"/>
      <c r="FST45" s="47"/>
      <c r="FSU45" s="47"/>
      <c r="FSV45" s="47"/>
      <c r="FSW45" s="47"/>
      <c r="FSX45" s="47"/>
      <c r="FSY45" s="47"/>
      <c r="FSZ45" s="47"/>
      <c r="FTA45" s="47"/>
      <c r="FTB45" s="47"/>
      <c r="FTC45" s="47"/>
      <c r="FTD45" s="47"/>
      <c r="FTE45" s="47"/>
      <c r="FTF45" s="47"/>
      <c r="FTG45" s="47"/>
      <c r="FTH45" s="47"/>
      <c r="FTI45" s="47"/>
      <c r="FTJ45" s="47"/>
      <c r="FTK45" s="47"/>
      <c r="FTL45" s="47"/>
      <c r="FTM45" s="47"/>
      <c r="FTN45" s="47"/>
      <c r="FTO45" s="47"/>
      <c r="FTP45" s="47"/>
      <c r="FTQ45" s="47"/>
      <c r="FTR45" s="47"/>
      <c r="FTS45" s="47"/>
      <c r="FTT45" s="47"/>
      <c r="FTU45" s="47"/>
      <c r="FTV45" s="47"/>
      <c r="FTW45" s="47"/>
      <c r="FTX45" s="47"/>
      <c r="FTY45" s="47"/>
      <c r="FTZ45" s="47"/>
      <c r="FUA45" s="47"/>
      <c r="FUB45" s="47"/>
      <c r="FUC45" s="47"/>
      <c r="FUD45" s="47"/>
      <c r="FUE45" s="47"/>
      <c r="FUF45" s="47"/>
      <c r="FUG45" s="47"/>
      <c r="FUH45" s="47"/>
      <c r="FUI45" s="47"/>
      <c r="FUJ45" s="47"/>
      <c r="FUK45" s="47"/>
      <c r="FUL45" s="47"/>
      <c r="FUM45" s="47"/>
      <c r="FUN45" s="47"/>
      <c r="FUO45" s="47"/>
      <c r="FUP45" s="47"/>
      <c r="FUQ45" s="47"/>
      <c r="FUR45" s="47"/>
      <c r="FUS45" s="47"/>
      <c r="FUT45" s="47"/>
      <c r="FUU45" s="47"/>
      <c r="FUV45" s="47"/>
      <c r="FUW45" s="47"/>
      <c r="FUX45" s="47"/>
      <c r="FUY45" s="47"/>
      <c r="FUZ45" s="47"/>
      <c r="FVA45" s="47"/>
      <c r="FVB45" s="47"/>
      <c r="FVC45" s="47"/>
      <c r="FVD45" s="47"/>
      <c r="FVE45" s="47"/>
      <c r="FVF45" s="47"/>
      <c r="FVG45" s="47"/>
      <c r="FVH45" s="47"/>
      <c r="FVI45" s="47"/>
      <c r="FVJ45" s="47"/>
      <c r="FVK45" s="47"/>
      <c r="FVL45" s="47"/>
      <c r="FVM45" s="47"/>
      <c r="FVN45" s="47"/>
      <c r="FVO45" s="47"/>
      <c r="FVP45" s="47"/>
      <c r="FVQ45" s="47"/>
      <c r="FVR45" s="47"/>
      <c r="FVS45" s="47"/>
      <c r="FVT45" s="47"/>
      <c r="FVU45" s="47"/>
      <c r="FVV45" s="47"/>
      <c r="FVW45" s="47"/>
      <c r="FVX45" s="47"/>
      <c r="FVY45" s="47"/>
      <c r="FVZ45" s="47"/>
      <c r="FWA45" s="47"/>
      <c r="FWB45" s="47"/>
      <c r="FWC45" s="47"/>
      <c r="FWD45" s="47"/>
      <c r="FWE45" s="47"/>
      <c r="FWF45" s="47"/>
      <c r="FWG45" s="47"/>
      <c r="FWH45" s="47"/>
      <c r="FWI45" s="47"/>
      <c r="FWJ45" s="47"/>
      <c r="FWK45" s="47"/>
      <c r="FWL45" s="47"/>
      <c r="FWM45" s="47"/>
      <c r="FWN45" s="47"/>
      <c r="FWO45" s="47"/>
      <c r="FWP45" s="47"/>
      <c r="FWQ45" s="47"/>
      <c r="FWR45" s="47"/>
      <c r="FWS45" s="47"/>
      <c r="FWT45" s="47"/>
      <c r="FWU45" s="47"/>
      <c r="FWV45" s="47"/>
      <c r="FWW45" s="47"/>
      <c r="FWX45" s="47"/>
      <c r="FWY45" s="47"/>
      <c r="FWZ45" s="47"/>
      <c r="FXA45" s="47"/>
      <c r="FXB45" s="47"/>
      <c r="FXC45" s="47"/>
      <c r="FXD45" s="47"/>
      <c r="FXE45" s="47"/>
      <c r="FXF45" s="47"/>
      <c r="FXG45" s="47"/>
      <c r="FXH45" s="47"/>
      <c r="FXI45" s="47"/>
      <c r="FXJ45" s="47"/>
      <c r="FXK45" s="47"/>
      <c r="FXL45" s="47"/>
      <c r="FXM45" s="47"/>
      <c r="FXN45" s="47"/>
      <c r="FXO45" s="47"/>
      <c r="FXP45" s="47"/>
      <c r="FXQ45" s="47"/>
      <c r="FXR45" s="47"/>
      <c r="FXS45" s="47"/>
      <c r="FXT45" s="47"/>
      <c r="FXU45" s="47"/>
      <c r="FXV45" s="47"/>
      <c r="FXW45" s="47"/>
      <c r="FXX45" s="47"/>
      <c r="FXY45" s="47"/>
      <c r="FXZ45" s="47"/>
      <c r="FYA45" s="47"/>
      <c r="FYB45" s="47"/>
      <c r="FYC45" s="47"/>
      <c r="FYD45" s="47"/>
      <c r="FYE45" s="47"/>
      <c r="FYF45" s="47"/>
      <c r="FYG45" s="47"/>
      <c r="FYH45" s="47"/>
      <c r="FYI45" s="47"/>
      <c r="FYJ45" s="47"/>
      <c r="FYK45" s="47"/>
      <c r="FYL45" s="47"/>
      <c r="FYM45" s="47"/>
      <c r="FYN45" s="47"/>
      <c r="FYO45" s="47"/>
      <c r="FYP45" s="47"/>
      <c r="FYQ45" s="47"/>
      <c r="FYR45" s="47"/>
      <c r="FYS45" s="47"/>
      <c r="FYT45" s="47"/>
      <c r="FYU45" s="47"/>
      <c r="FYV45" s="47"/>
      <c r="FYW45" s="47"/>
      <c r="FYX45" s="47"/>
      <c r="FYY45" s="47"/>
      <c r="FYZ45" s="47"/>
      <c r="FZA45" s="47"/>
      <c r="FZB45" s="47"/>
      <c r="FZC45" s="47"/>
      <c r="FZD45" s="47"/>
      <c r="FZE45" s="47"/>
      <c r="FZF45" s="47"/>
      <c r="FZG45" s="47"/>
      <c r="FZH45" s="47"/>
      <c r="FZI45" s="47"/>
      <c r="FZJ45" s="47"/>
      <c r="FZK45" s="47"/>
      <c r="FZL45" s="47"/>
      <c r="FZM45" s="47"/>
      <c r="FZN45" s="47"/>
      <c r="FZO45" s="47"/>
      <c r="FZP45" s="47"/>
      <c r="FZQ45" s="47"/>
      <c r="FZR45" s="47"/>
      <c r="FZS45" s="47"/>
      <c r="FZT45" s="47"/>
      <c r="FZU45" s="47"/>
      <c r="FZV45" s="47"/>
      <c r="FZW45" s="47"/>
      <c r="FZX45" s="47"/>
      <c r="FZY45" s="47"/>
      <c r="FZZ45" s="47"/>
      <c r="GAA45" s="47"/>
      <c r="GAB45" s="47"/>
      <c r="GAC45" s="47"/>
      <c r="GAD45" s="47"/>
      <c r="GAE45" s="47"/>
      <c r="GAF45" s="47"/>
      <c r="GAG45" s="47"/>
      <c r="GAH45" s="47"/>
      <c r="GAI45" s="47"/>
      <c r="GAJ45" s="47"/>
      <c r="GAK45" s="47"/>
      <c r="GAL45" s="47"/>
      <c r="GAM45" s="47"/>
      <c r="GAN45" s="47"/>
      <c r="GAO45" s="47"/>
      <c r="GAP45" s="47"/>
      <c r="GAQ45" s="47"/>
      <c r="GAR45" s="47"/>
      <c r="GAS45" s="47"/>
      <c r="GAT45" s="47"/>
      <c r="GAU45" s="47"/>
      <c r="GAV45" s="47"/>
      <c r="GAW45" s="47"/>
      <c r="GAX45" s="47"/>
      <c r="GAY45" s="47"/>
      <c r="GAZ45" s="47"/>
      <c r="GBA45" s="47"/>
      <c r="GBB45" s="47"/>
      <c r="GBC45" s="47"/>
      <c r="GBD45" s="47"/>
      <c r="GBE45" s="47"/>
      <c r="GBF45" s="47"/>
      <c r="GBG45" s="47"/>
      <c r="GBH45" s="47"/>
      <c r="GBI45" s="47"/>
      <c r="GBJ45" s="47"/>
      <c r="GBK45" s="47"/>
      <c r="GBL45" s="47"/>
      <c r="GBM45" s="47"/>
      <c r="GBN45" s="47"/>
      <c r="GBO45" s="47"/>
      <c r="GBP45" s="47"/>
      <c r="GBQ45" s="47"/>
      <c r="GBR45" s="47"/>
      <c r="GBS45" s="47"/>
      <c r="GBT45" s="47"/>
      <c r="GBU45" s="47"/>
      <c r="GBV45" s="47"/>
      <c r="GBW45" s="47"/>
      <c r="GBX45" s="47"/>
      <c r="GBY45" s="47"/>
      <c r="GBZ45" s="47"/>
      <c r="GCA45" s="47"/>
      <c r="GCB45" s="47"/>
      <c r="GCC45" s="47"/>
      <c r="GCD45" s="47"/>
      <c r="GCE45" s="47"/>
      <c r="GCF45" s="47"/>
      <c r="GCG45" s="47"/>
      <c r="GCH45" s="47"/>
      <c r="GCI45" s="47"/>
      <c r="GCJ45" s="47"/>
      <c r="GCK45" s="47"/>
      <c r="GCL45" s="47"/>
      <c r="GCM45" s="47"/>
      <c r="GCN45" s="47"/>
      <c r="GCO45" s="47"/>
      <c r="GCP45" s="47"/>
      <c r="GCQ45" s="47"/>
      <c r="GCR45" s="47"/>
      <c r="GCS45" s="47"/>
      <c r="GCT45" s="47"/>
      <c r="GCU45" s="47"/>
      <c r="GCV45" s="47"/>
      <c r="GCW45" s="47"/>
      <c r="GCX45" s="47"/>
      <c r="GCY45" s="47"/>
      <c r="GCZ45" s="47"/>
      <c r="GDA45" s="47"/>
      <c r="GDB45" s="47"/>
      <c r="GDC45" s="47"/>
      <c r="GDD45" s="47"/>
      <c r="GDE45" s="47"/>
      <c r="GDF45" s="47"/>
      <c r="GDG45" s="47"/>
      <c r="GDH45" s="47"/>
      <c r="GDI45" s="47"/>
      <c r="GDJ45" s="47"/>
      <c r="GDK45" s="47"/>
      <c r="GDL45" s="47"/>
      <c r="GDM45" s="47"/>
      <c r="GDN45" s="47"/>
      <c r="GDO45" s="47"/>
      <c r="GDP45" s="47"/>
      <c r="GDQ45" s="47"/>
      <c r="GDR45" s="47"/>
      <c r="GDS45" s="47"/>
      <c r="GDT45" s="47"/>
      <c r="GDU45" s="47"/>
      <c r="GDV45" s="47"/>
      <c r="GDW45" s="47"/>
      <c r="GDX45" s="47"/>
      <c r="GDY45" s="47"/>
      <c r="GDZ45" s="47"/>
      <c r="GEA45" s="47"/>
      <c r="GEB45" s="47"/>
      <c r="GEC45" s="47"/>
      <c r="GED45" s="47"/>
      <c r="GEE45" s="47"/>
      <c r="GEF45" s="47"/>
      <c r="GEG45" s="47"/>
      <c r="GEH45" s="47"/>
      <c r="GEI45" s="47"/>
      <c r="GEJ45" s="47"/>
      <c r="GEK45" s="47"/>
      <c r="GEL45" s="47"/>
      <c r="GEM45" s="47"/>
      <c r="GEN45" s="47"/>
      <c r="GEO45" s="47"/>
      <c r="GEP45" s="47"/>
      <c r="GEQ45" s="47"/>
      <c r="GER45" s="47"/>
      <c r="GES45" s="47"/>
      <c r="GET45" s="47"/>
      <c r="GEU45" s="47"/>
      <c r="GEV45" s="47"/>
      <c r="GEW45" s="47"/>
      <c r="GEX45" s="47"/>
      <c r="GEY45" s="47"/>
      <c r="GEZ45" s="47"/>
      <c r="GFA45" s="47"/>
      <c r="GFB45" s="47"/>
      <c r="GFC45" s="47"/>
      <c r="GFD45" s="47"/>
      <c r="GFE45" s="47"/>
      <c r="GFF45" s="47"/>
      <c r="GFG45" s="47"/>
      <c r="GFH45" s="47"/>
      <c r="GFI45" s="47"/>
      <c r="GFJ45" s="47"/>
      <c r="GFK45" s="47"/>
      <c r="GFL45" s="47"/>
      <c r="GFM45" s="47"/>
      <c r="GFN45" s="47"/>
      <c r="GFO45" s="47"/>
      <c r="GFP45" s="47"/>
      <c r="GFQ45" s="47"/>
      <c r="GFR45" s="47"/>
      <c r="GFS45" s="47"/>
      <c r="GFT45" s="47"/>
      <c r="GFU45" s="47"/>
      <c r="GFV45" s="47"/>
      <c r="GFW45" s="47"/>
      <c r="GFX45" s="47"/>
      <c r="GFY45" s="47"/>
      <c r="GFZ45" s="47"/>
      <c r="GGA45" s="47"/>
      <c r="GGB45" s="47"/>
      <c r="GGC45" s="47"/>
      <c r="GGD45" s="47"/>
      <c r="GGE45" s="47"/>
      <c r="GGF45" s="47"/>
      <c r="GGG45" s="47"/>
      <c r="GGH45" s="47"/>
      <c r="GGI45" s="47"/>
      <c r="GGJ45" s="47"/>
      <c r="GGK45" s="47"/>
      <c r="GGL45" s="47"/>
      <c r="GGM45" s="47"/>
      <c r="GGN45" s="47"/>
      <c r="GGO45" s="47"/>
      <c r="GGP45" s="47"/>
      <c r="GGQ45" s="47"/>
      <c r="GGR45" s="47"/>
      <c r="GGS45" s="47"/>
      <c r="GGT45" s="47"/>
      <c r="GGU45" s="47"/>
      <c r="GGV45" s="47"/>
      <c r="GGW45" s="47"/>
      <c r="GGX45" s="47"/>
      <c r="GGY45" s="47"/>
      <c r="GGZ45" s="47"/>
      <c r="GHA45" s="47"/>
      <c r="GHB45" s="47"/>
      <c r="GHC45" s="47"/>
      <c r="GHD45" s="47"/>
      <c r="GHE45" s="47"/>
      <c r="GHF45" s="47"/>
      <c r="GHG45" s="47"/>
      <c r="GHH45" s="47"/>
      <c r="GHI45" s="47"/>
      <c r="GHJ45" s="47"/>
      <c r="GHK45" s="47"/>
      <c r="GHL45" s="47"/>
      <c r="GHM45" s="47"/>
      <c r="GHN45" s="47"/>
      <c r="GHO45" s="47"/>
      <c r="GHP45" s="47"/>
      <c r="GHQ45" s="47"/>
      <c r="GHR45" s="47"/>
      <c r="GHS45" s="47"/>
      <c r="GHT45" s="47"/>
      <c r="GHU45" s="47"/>
      <c r="GHV45" s="47"/>
      <c r="GHW45" s="47"/>
      <c r="GHX45" s="47"/>
      <c r="GHY45" s="47"/>
      <c r="GHZ45" s="47"/>
      <c r="GIA45" s="47"/>
      <c r="GIB45" s="47"/>
      <c r="GIC45" s="47"/>
      <c r="GID45" s="47"/>
      <c r="GIE45" s="47"/>
      <c r="GIF45" s="47"/>
      <c r="GIG45" s="47"/>
      <c r="GIH45" s="47"/>
      <c r="GII45" s="47"/>
      <c r="GIJ45" s="47"/>
      <c r="GIK45" s="47"/>
      <c r="GIL45" s="47"/>
      <c r="GIM45" s="47"/>
      <c r="GIN45" s="47"/>
      <c r="GIO45" s="47"/>
      <c r="GIP45" s="47"/>
      <c r="GIQ45" s="47"/>
      <c r="GIR45" s="47"/>
      <c r="GIS45" s="47"/>
      <c r="GIT45" s="47"/>
      <c r="GIU45" s="47"/>
      <c r="GIV45" s="47"/>
      <c r="GIW45" s="47"/>
      <c r="GIX45" s="47"/>
      <c r="GIY45" s="47"/>
      <c r="GIZ45" s="47"/>
      <c r="GJA45" s="47"/>
      <c r="GJB45" s="47"/>
      <c r="GJC45" s="47"/>
      <c r="GJD45" s="47"/>
      <c r="GJE45" s="47"/>
      <c r="GJF45" s="47"/>
      <c r="GJG45" s="47"/>
      <c r="GJH45" s="47"/>
      <c r="GJI45" s="47"/>
      <c r="GJJ45" s="47"/>
      <c r="GJK45" s="47"/>
      <c r="GJL45" s="47"/>
      <c r="GJM45" s="47"/>
      <c r="GJN45" s="47"/>
      <c r="GJO45" s="47"/>
      <c r="GJP45" s="47"/>
      <c r="GJQ45" s="47"/>
      <c r="GJR45" s="47"/>
      <c r="GJS45" s="47"/>
      <c r="GJT45" s="47"/>
      <c r="GJU45" s="47"/>
      <c r="GJV45" s="47"/>
      <c r="GJW45" s="47"/>
      <c r="GJX45" s="47"/>
      <c r="GJY45" s="47"/>
      <c r="GJZ45" s="47"/>
      <c r="GKA45" s="47"/>
      <c r="GKB45" s="47"/>
      <c r="GKC45" s="47"/>
      <c r="GKD45" s="47"/>
      <c r="GKE45" s="47"/>
      <c r="GKF45" s="47"/>
      <c r="GKG45" s="47"/>
      <c r="GKH45" s="47"/>
      <c r="GKI45" s="47"/>
      <c r="GKJ45" s="47"/>
      <c r="GKK45" s="47"/>
      <c r="GKL45" s="47"/>
      <c r="GKM45" s="47"/>
      <c r="GKN45" s="47"/>
      <c r="GKO45" s="47"/>
      <c r="GKP45" s="47"/>
      <c r="GKQ45" s="47"/>
      <c r="GKR45" s="47"/>
      <c r="GKS45" s="47"/>
      <c r="GKT45" s="47"/>
      <c r="GKU45" s="47"/>
      <c r="GKV45" s="47"/>
      <c r="GKW45" s="47"/>
      <c r="GKX45" s="47"/>
      <c r="GKY45" s="47"/>
      <c r="GKZ45" s="47"/>
      <c r="GLA45" s="47"/>
      <c r="GLB45" s="47"/>
      <c r="GLC45" s="47"/>
      <c r="GLD45" s="47"/>
      <c r="GLE45" s="47"/>
      <c r="GLF45" s="47"/>
      <c r="GLG45" s="47"/>
      <c r="GLH45" s="47"/>
      <c r="GLI45" s="47"/>
      <c r="GLJ45" s="47"/>
      <c r="GLK45" s="47"/>
      <c r="GLL45" s="47"/>
      <c r="GLM45" s="47"/>
      <c r="GLN45" s="47"/>
      <c r="GLO45" s="47"/>
      <c r="GLP45" s="47"/>
      <c r="GLQ45" s="47"/>
      <c r="GLR45" s="47"/>
      <c r="GLS45" s="47"/>
      <c r="GLT45" s="47"/>
      <c r="GLU45" s="47"/>
      <c r="GLV45" s="47"/>
      <c r="GLW45" s="47"/>
      <c r="GLX45" s="47"/>
      <c r="GLY45" s="47"/>
      <c r="GLZ45" s="47"/>
      <c r="GMA45" s="47"/>
      <c r="GMB45" s="47"/>
      <c r="GMC45" s="47"/>
      <c r="GMD45" s="47"/>
      <c r="GME45" s="47"/>
      <c r="GMF45" s="47"/>
      <c r="GMG45" s="47"/>
      <c r="GMH45" s="47"/>
      <c r="GMI45" s="47"/>
      <c r="GMJ45" s="47"/>
      <c r="GMK45" s="47"/>
      <c r="GML45" s="47"/>
      <c r="GMM45" s="47"/>
      <c r="GMN45" s="47"/>
      <c r="GMO45" s="47"/>
      <c r="GMP45" s="47"/>
      <c r="GMQ45" s="47"/>
      <c r="GMR45" s="47"/>
      <c r="GMS45" s="47"/>
      <c r="GMT45" s="47"/>
      <c r="GMU45" s="47"/>
      <c r="GMV45" s="47"/>
      <c r="GMW45" s="47"/>
      <c r="GMX45" s="47"/>
      <c r="GMY45" s="47"/>
      <c r="GMZ45" s="47"/>
      <c r="GNA45" s="47"/>
      <c r="GNB45" s="47"/>
      <c r="GNC45" s="47"/>
      <c r="GND45" s="47"/>
      <c r="GNE45" s="47"/>
      <c r="GNF45" s="47"/>
      <c r="GNG45" s="47"/>
      <c r="GNH45" s="47"/>
      <c r="GNI45" s="47"/>
      <c r="GNJ45" s="47"/>
      <c r="GNK45" s="47"/>
      <c r="GNL45" s="47"/>
      <c r="GNM45" s="47"/>
      <c r="GNN45" s="47"/>
      <c r="GNO45" s="47"/>
      <c r="GNP45" s="47"/>
      <c r="GNQ45" s="47"/>
      <c r="GNR45" s="47"/>
      <c r="GNS45" s="47"/>
      <c r="GNT45" s="47"/>
      <c r="GNU45" s="47"/>
      <c r="GNV45" s="47"/>
      <c r="GNW45" s="47"/>
      <c r="GNX45" s="47"/>
      <c r="GNY45" s="47"/>
      <c r="GNZ45" s="47"/>
      <c r="GOA45" s="47"/>
      <c r="GOB45" s="47"/>
      <c r="GOC45" s="47"/>
      <c r="GOD45" s="47"/>
      <c r="GOE45" s="47"/>
      <c r="GOF45" s="47"/>
      <c r="GOG45" s="47"/>
      <c r="GOH45" s="47"/>
      <c r="GOI45" s="47"/>
      <c r="GOJ45" s="47"/>
      <c r="GOK45" s="47"/>
      <c r="GOL45" s="47"/>
      <c r="GOM45" s="47"/>
      <c r="GON45" s="47"/>
      <c r="GOO45" s="47"/>
      <c r="GOP45" s="47"/>
      <c r="GOQ45" s="47"/>
      <c r="GOR45" s="47"/>
      <c r="GOS45" s="47"/>
      <c r="GOT45" s="47"/>
      <c r="GOU45" s="47"/>
      <c r="GOV45" s="47"/>
      <c r="GOW45" s="47"/>
      <c r="GOX45" s="47"/>
      <c r="GOY45" s="47"/>
      <c r="GOZ45" s="47"/>
      <c r="GPA45" s="47"/>
      <c r="GPB45" s="47"/>
      <c r="GPC45" s="47"/>
      <c r="GPD45" s="47"/>
      <c r="GPE45" s="47"/>
      <c r="GPF45" s="47"/>
      <c r="GPG45" s="47"/>
      <c r="GPH45" s="47"/>
      <c r="GPI45" s="47"/>
      <c r="GPJ45" s="47"/>
      <c r="GPK45" s="47"/>
      <c r="GPL45" s="47"/>
      <c r="GPM45" s="47"/>
      <c r="GPN45" s="47"/>
      <c r="GPO45" s="47"/>
      <c r="GPP45" s="47"/>
      <c r="GPQ45" s="47"/>
      <c r="GPR45" s="47"/>
      <c r="GPS45" s="47"/>
      <c r="GPT45" s="47"/>
      <c r="GPU45" s="47"/>
      <c r="GPV45" s="47"/>
      <c r="GPW45" s="47"/>
      <c r="GPX45" s="47"/>
      <c r="GPY45" s="47"/>
      <c r="GPZ45" s="47"/>
      <c r="GQA45" s="47"/>
      <c r="GQB45" s="47"/>
      <c r="GQC45" s="47"/>
      <c r="GQD45" s="47"/>
      <c r="GQE45" s="47"/>
      <c r="GQF45" s="47"/>
      <c r="GQG45" s="47"/>
      <c r="GQH45" s="47"/>
      <c r="GQI45" s="47"/>
      <c r="GQJ45" s="47"/>
      <c r="GQK45" s="47"/>
      <c r="GQL45" s="47"/>
      <c r="GQM45" s="47"/>
      <c r="GQN45" s="47"/>
      <c r="GQO45" s="47"/>
      <c r="GQP45" s="47"/>
      <c r="GQQ45" s="47"/>
      <c r="GQR45" s="47"/>
      <c r="GQS45" s="47"/>
      <c r="GQT45" s="47"/>
      <c r="GQU45" s="47"/>
      <c r="GQV45" s="47"/>
      <c r="GQW45" s="47"/>
      <c r="GQX45" s="47"/>
      <c r="GQY45" s="47"/>
      <c r="GQZ45" s="47"/>
      <c r="GRA45" s="47"/>
      <c r="GRB45" s="47"/>
      <c r="GRC45" s="47"/>
      <c r="GRD45" s="47"/>
      <c r="GRE45" s="47"/>
      <c r="GRF45" s="47"/>
      <c r="GRG45" s="47"/>
      <c r="GRH45" s="47"/>
      <c r="GRI45" s="47"/>
      <c r="GRJ45" s="47"/>
      <c r="GRK45" s="47"/>
      <c r="GRL45" s="47"/>
      <c r="GRM45" s="47"/>
      <c r="GRN45" s="47"/>
      <c r="GRO45" s="47"/>
      <c r="GRP45" s="47"/>
      <c r="GRQ45" s="47"/>
      <c r="GRR45" s="47"/>
      <c r="GRS45" s="47"/>
      <c r="GRT45" s="47"/>
      <c r="GRU45" s="47"/>
      <c r="GRV45" s="47"/>
      <c r="GRW45" s="47"/>
      <c r="GRX45" s="47"/>
      <c r="GRY45" s="47"/>
      <c r="GRZ45" s="47"/>
      <c r="GSA45" s="47"/>
      <c r="GSB45" s="47"/>
      <c r="GSC45" s="47"/>
      <c r="GSD45" s="47"/>
      <c r="GSE45" s="47"/>
      <c r="GSF45" s="47"/>
      <c r="GSG45" s="47"/>
      <c r="GSH45" s="47"/>
      <c r="GSI45" s="47"/>
      <c r="GSJ45" s="47"/>
      <c r="GSK45" s="47"/>
      <c r="GSL45" s="47"/>
      <c r="GSM45" s="47"/>
      <c r="GSN45" s="47"/>
      <c r="GSO45" s="47"/>
      <c r="GSP45" s="47"/>
      <c r="GSQ45" s="47"/>
      <c r="GSR45" s="47"/>
      <c r="GSS45" s="47"/>
      <c r="GST45" s="47"/>
      <c r="GSU45" s="47"/>
      <c r="GSV45" s="47"/>
      <c r="GSW45" s="47"/>
      <c r="GSX45" s="47"/>
      <c r="GSY45" s="47"/>
      <c r="GSZ45" s="47"/>
      <c r="GTA45" s="47"/>
      <c r="GTB45" s="47"/>
      <c r="GTC45" s="47"/>
      <c r="GTD45" s="47"/>
      <c r="GTE45" s="47"/>
      <c r="GTF45" s="47"/>
      <c r="GTG45" s="47"/>
      <c r="GTH45" s="47"/>
      <c r="GTI45" s="47"/>
      <c r="GTJ45" s="47"/>
      <c r="GTK45" s="47"/>
      <c r="GTL45" s="47"/>
      <c r="GTM45" s="47"/>
      <c r="GTN45" s="47"/>
      <c r="GTO45" s="47"/>
      <c r="GTP45" s="47"/>
      <c r="GTQ45" s="47"/>
      <c r="GTR45" s="47"/>
      <c r="GTS45" s="47"/>
      <c r="GTT45" s="47"/>
      <c r="GTU45" s="47"/>
      <c r="GTV45" s="47"/>
      <c r="GTW45" s="47"/>
      <c r="GTX45" s="47"/>
      <c r="GTY45" s="47"/>
      <c r="GTZ45" s="47"/>
      <c r="GUA45" s="47"/>
      <c r="GUB45" s="47"/>
      <c r="GUC45" s="47"/>
      <c r="GUD45" s="47"/>
      <c r="GUE45" s="47"/>
      <c r="GUF45" s="47"/>
      <c r="GUG45" s="47"/>
      <c r="GUH45" s="47"/>
      <c r="GUI45" s="47"/>
      <c r="GUJ45" s="47"/>
      <c r="GUK45" s="47"/>
      <c r="GUL45" s="47"/>
      <c r="GUM45" s="47"/>
      <c r="GUN45" s="47"/>
      <c r="GUO45" s="47"/>
      <c r="GUP45" s="47"/>
      <c r="GUQ45" s="47"/>
      <c r="GUR45" s="47"/>
      <c r="GUS45" s="47"/>
      <c r="GUT45" s="47"/>
      <c r="GUU45" s="47"/>
      <c r="GUV45" s="47"/>
      <c r="GUW45" s="47"/>
      <c r="GUX45" s="47"/>
      <c r="GUY45" s="47"/>
      <c r="GUZ45" s="47"/>
      <c r="GVA45" s="47"/>
      <c r="GVB45" s="47"/>
      <c r="GVC45" s="47"/>
      <c r="GVD45" s="47"/>
      <c r="GVE45" s="47"/>
      <c r="GVF45" s="47"/>
      <c r="GVG45" s="47"/>
      <c r="GVH45" s="47"/>
      <c r="GVI45" s="47"/>
      <c r="GVJ45" s="47"/>
      <c r="GVK45" s="47"/>
      <c r="GVL45" s="47"/>
      <c r="GVM45" s="47"/>
      <c r="GVN45" s="47"/>
      <c r="GVO45" s="47"/>
      <c r="GVP45" s="47"/>
      <c r="GVQ45" s="47"/>
      <c r="GVR45" s="47"/>
      <c r="GVS45" s="47"/>
      <c r="GVT45" s="47"/>
      <c r="GVU45" s="47"/>
      <c r="GVV45" s="47"/>
      <c r="GVW45" s="47"/>
      <c r="GVX45" s="47"/>
      <c r="GVY45" s="47"/>
      <c r="GVZ45" s="47"/>
      <c r="GWA45" s="47"/>
      <c r="GWB45" s="47"/>
      <c r="GWC45" s="47"/>
      <c r="GWD45" s="47"/>
      <c r="GWE45" s="47"/>
      <c r="GWF45" s="47"/>
      <c r="GWG45" s="47"/>
      <c r="GWH45" s="47"/>
      <c r="GWI45" s="47"/>
      <c r="GWJ45" s="47"/>
      <c r="GWK45" s="47"/>
      <c r="GWL45" s="47"/>
      <c r="GWM45" s="47"/>
      <c r="GWN45" s="47"/>
      <c r="GWO45" s="47"/>
      <c r="GWP45" s="47"/>
      <c r="GWQ45" s="47"/>
      <c r="GWR45" s="47"/>
      <c r="GWS45" s="47"/>
      <c r="GWT45" s="47"/>
      <c r="GWU45" s="47"/>
      <c r="GWV45" s="47"/>
      <c r="GWW45" s="47"/>
      <c r="GWX45" s="47"/>
      <c r="GWY45" s="47"/>
      <c r="GWZ45" s="47"/>
      <c r="GXA45" s="47"/>
      <c r="GXB45" s="47"/>
      <c r="GXC45" s="47"/>
      <c r="GXD45" s="47"/>
      <c r="GXE45" s="47"/>
      <c r="GXF45" s="47"/>
      <c r="GXG45" s="47"/>
      <c r="GXH45" s="47"/>
      <c r="GXI45" s="47"/>
      <c r="GXJ45" s="47"/>
      <c r="GXK45" s="47"/>
      <c r="GXL45" s="47"/>
      <c r="GXM45" s="47"/>
      <c r="GXN45" s="47"/>
      <c r="GXO45" s="47"/>
      <c r="GXP45" s="47"/>
      <c r="GXQ45" s="47"/>
      <c r="GXR45" s="47"/>
      <c r="GXS45" s="47"/>
      <c r="GXT45" s="47"/>
      <c r="GXU45" s="47"/>
      <c r="GXV45" s="47"/>
      <c r="GXW45" s="47"/>
      <c r="GXX45" s="47"/>
      <c r="GXY45" s="47"/>
      <c r="GXZ45" s="47"/>
      <c r="GYA45" s="47"/>
      <c r="GYB45" s="47"/>
      <c r="GYC45" s="47"/>
      <c r="GYD45" s="47"/>
      <c r="GYE45" s="47"/>
      <c r="GYF45" s="47"/>
      <c r="GYG45" s="47"/>
      <c r="GYH45" s="47"/>
      <c r="GYI45" s="47"/>
      <c r="GYJ45" s="47"/>
      <c r="GYK45" s="47"/>
      <c r="GYL45" s="47"/>
      <c r="GYM45" s="47"/>
      <c r="GYN45" s="47"/>
      <c r="GYO45" s="47"/>
      <c r="GYP45" s="47"/>
      <c r="GYQ45" s="47"/>
      <c r="GYR45" s="47"/>
      <c r="GYS45" s="47"/>
      <c r="GYT45" s="47"/>
      <c r="GYU45" s="47"/>
      <c r="GYV45" s="47"/>
      <c r="GYW45" s="47"/>
      <c r="GYX45" s="47"/>
      <c r="GYY45" s="47"/>
      <c r="GYZ45" s="47"/>
      <c r="GZA45" s="47"/>
      <c r="GZB45" s="47"/>
      <c r="GZC45" s="47"/>
      <c r="GZD45" s="47"/>
      <c r="GZE45" s="47"/>
      <c r="GZF45" s="47"/>
      <c r="GZG45" s="47"/>
      <c r="GZH45" s="47"/>
      <c r="GZI45" s="47"/>
      <c r="GZJ45" s="47"/>
      <c r="GZK45" s="47"/>
      <c r="GZL45" s="47"/>
      <c r="GZM45" s="47"/>
      <c r="GZN45" s="47"/>
      <c r="GZO45" s="47"/>
      <c r="GZP45" s="47"/>
      <c r="GZQ45" s="47"/>
      <c r="GZR45" s="47"/>
      <c r="GZS45" s="47"/>
      <c r="GZT45" s="47"/>
      <c r="GZU45" s="47"/>
      <c r="GZV45" s="47"/>
      <c r="GZW45" s="47"/>
      <c r="GZX45" s="47"/>
      <c r="GZY45" s="47"/>
      <c r="GZZ45" s="47"/>
      <c r="HAA45" s="47"/>
      <c r="HAB45" s="47"/>
      <c r="HAC45" s="47"/>
      <c r="HAD45" s="47"/>
      <c r="HAE45" s="47"/>
      <c r="HAF45" s="47"/>
      <c r="HAG45" s="47"/>
      <c r="HAH45" s="47"/>
      <c r="HAI45" s="47"/>
      <c r="HAJ45" s="47"/>
      <c r="HAK45" s="47"/>
      <c r="HAL45" s="47"/>
      <c r="HAM45" s="47"/>
      <c r="HAN45" s="47"/>
      <c r="HAO45" s="47"/>
      <c r="HAP45" s="47"/>
      <c r="HAQ45" s="47"/>
      <c r="HAR45" s="47"/>
      <c r="HAS45" s="47"/>
      <c r="HAT45" s="47"/>
      <c r="HAU45" s="47"/>
      <c r="HAV45" s="47"/>
      <c r="HAW45" s="47"/>
      <c r="HAX45" s="47"/>
      <c r="HAY45" s="47"/>
      <c r="HAZ45" s="47"/>
      <c r="HBA45" s="47"/>
      <c r="HBB45" s="47"/>
      <c r="HBC45" s="47"/>
      <c r="HBD45" s="47"/>
      <c r="HBE45" s="47"/>
      <c r="HBF45" s="47"/>
      <c r="HBG45" s="47"/>
      <c r="HBH45" s="47"/>
      <c r="HBI45" s="47"/>
      <c r="HBJ45" s="47"/>
      <c r="HBK45" s="47"/>
      <c r="HBL45" s="47"/>
      <c r="HBM45" s="47"/>
      <c r="HBN45" s="47"/>
      <c r="HBO45" s="47"/>
      <c r="HBP45" s="47"/>
      <c r="HBQ45" s="47"/>
      <c r="HBR45" s="47"/>
      <c r="HBS45" s="47"/>
      <c r="HBT45" s="47"/>
      <c r="HBU45" s="47"/>
      <c r="HBV45" s="47"/>
      <c r="HBW45" s="47"/>
      <c r="HBX45" s="47"/>
      <c r="HBY45" s="47"/>
      <c r="HBZ45" s="47"/>
      <c r="HCA45" s="47"/>
      <c r="HCB45" s="47"/>
      <c r="HCC45" s="47"/>
      <c r="HCD45" s="47"/>
      <c r="HCE45" s="47"/>
      <c r="HCF45" s="47"/>
      <c r="HCG45" s="47"/>
      <c r="HCH45" s="47"/>
      <c r="HCI45" s="47"/>
      <c r="HCJ45" s="47"/>
      <c r="HCK45" s="47"/>
      <c r="HCL45" s="47"/>
      <c r="HCM45" s="47"/>
      <c r="HCN45" s="47"/>
      <c r="HCO45" s="47"/>
      <c r="HCP45" s="47"/>
      <c r="HCQ45" s="47"/>
      <c r="HCR45" s="47"/>
      <c r="HCS45" s="47"/>
      <c r="HCT45" s="47"/>
      <c r="HCU45" s="47"/>
      <c r="HCV45" s="47"/>
      <c r="HCW45" s="47"/>
      <c r="HCX45" s="47"/>
      <c r="HCY45" s="47"/>
      <c r="HCZ45" s="47"/>
      <c r="HDA45" s="47"/>
      <c r="HDB45" s="47"/>
      <c r="HDC45" s="47"/>
      <c r="HDD45" s="47"/>
      <c r="HDE45" s="47"/>
      <c r="HDF45" s="47"/>
      <c r="HDG45" s="47"/>
      <c r="HDH45" s="47"/>
      <c r="HDI45" s="47"/>
      <c r="HDJ45" s="47"/>
      <c r="HDK45" s="47"/>
      <c r="HDL45" s="47"/>
      <c r="HDM45" s="47"/>
      <c r="HDN45" s="47"/>
      <c r="HDO45" s="47"/>
      <c r="HDP45" s="47"/>
      <c r="HDQ45" s="47"/>
      <c r="HDR45" s="47"/>
      <c r="HDS45" s="47"/>
      <c r="HDT45" s="47"/>
      <c r="HDU45" s="47"/>
      <c r="HDV45" s="47"/>
      <c r="HDW45" s="47"/>
      <c r="HDX45" s="47"/>
      <c r="HDY45" s="47"/>
      <c r="HDZ45" s="47"/>
      <c r="HEA45" s="47"/>
      <c r="HEB45" s="47"/>
      <c r="HEC45" s="47"/>
      <c r="HED45" s="47"/>
      <c r="HEE45" s="47"/>
      <c r="HEF45" s="47"/>
      <c r="HEG45" s="47"/>
      <c r="HEH45" s="47"/>
      <c r="HEI45" s="47"/>
      <c r="HEJ45" s="47"/>
      <c r="HEK45" s="47"/>
      <c r="HEL45" s="47"/>
      <c r="HEM45" s="47"/>
      <c r="HEN45" s="47"/>
      <c r="HEO45" s="47"/>
      <c r="HEP45" s="47"/>
      <c r="HEQ45" s="47"/>
      <c r="HER45" s="47"/>
      <c r="HES45" s="47"/>
      <c r="HET45" s="47"/>
      <c r="HEU45" s="47"/>
      <c r="HEV45" s="47"/>
      <c r="HEW45" s="47"/>
      <c r="HEX45" s="47"/>
      <c r="HEY45" s="47"/>
      <c r="HEZ45" s="47"/>
      <c r="HFA45" s="47"/>
      <c r="HFB45" s="47"/>
      <c r="HFC45" s="47"/>
      <c r="HFD45" s="47"/>
      <c r="HFE45" s="47"/>
      <c r="HFF45" s="47"/>
      <c r="HFG45" s="47"/>
      <c r="HFH45" s="47"/>
      <c r="HFI45" s="47"/>
      <c r="HFJ45" s="47"/>
      <c r="HFK45" s="47"/>
      <c r="HFL45" s="47"/>
      <c r="HFM45" s="47"/>
      <c r="HFN45" s="47"/>
      <c r="HFO45" s="47"/>
      <c r="HFP45" s="47"/>
      <c r="HFQ45" s="47"/>
      <c r="HFR45" s="47"/>
      <c r="HFS45" s="47"/>
      <c r="HFT45" s="47"/>
      <c r="HFU45" s="47"/>
      <c r="HFV45" s="47"/>
      <c r="HFW45" s="47"/>
      <c r="HFX45" s="47"/>
      <c r="HFY45" s="47"/>
      <c r="HFZ45" s="47"/>
      <c r="HGA45" s="47"/>
      <c r="HGB45" s="47"/>
      <c r="HGC45" s="47"/>
      <c r="HGD45" s="47"/>
      <c r="HGE45" s="47"/>
      <c r="HGF45" s="47"/>
      <c r="HGG45" s="47"/>
      <c r="HGH45" s="47"/>
      <c r="HGI45" s="47"/>
      <c r="HGJ45" s="47"/>
      <c r="HGK45" s="47"/>
      <c r="HGL45" s="47"/>
      <c r="HGM45" s="47"/>
      <c r="HGN45" s="47"/>
      <c r="HGO45" s="47"/>
      <c r="HGP45" s="47"/>
      <c r="HGQ45" s="47"/>
      <c r="HGR45" s="47"/>
      <c r="HGS45" s="47"/>
      <c r="HGT45" s="47"/>
      <c r="HGU45" s="47"/>
      <c r="HGV45" s="47"/>
      <c r="HGW45" s="47"/>
      <c r="HGX45" s="47"/>
      <c r="HGY45" s="47"/>
      <c r="HGZ45" s="47"/>
      <c r="HHA45" s="47"/>
      <c r="HHB45" s="47"/>
      <c r="HHC45" s="47"/>
      <c r="HHD45" s="47"/>
      <c r="HHE45" s="47"/>
      <c r="HHF45" s="47"/>
      <c r="HHG45" s="47"/>
      <c r="HHH45" s="47"/>
      <c r="HHI45" s="47"/>
      <c r="HHJ45" s="47"/>
      <c r="HHK45" s="47"/>
      <c r="HHL45" s="47"/>
      <c r="HHM45" s="47"/>
      <c r="HHN45" s="47"/>
      <c r="HHO45" s="47"/>
      <c r="HHP45" s="47"/>
      <c r="HHQ45" s="47"/>
      <c r="HHR45" s="47"/>
      <c r="HHS45" s="47"/>
      <c r="HHT45" s="47"/>
      <c r="HHU45" s="47"/>
      <c r="HHV45" s="47"/>
      <c r="HHW45" s="47"/>
      <c r="HHX45" s="47"/>
      <c r="HHY45" s="47"/>
      <c r="HHZ45" s="47"/>
      <c r="HIA45" s="47"/>
      <c r="HIB45" s="47"/>
      <c r="HIC45" s="47"/>
      <c r="HID45" s="47"/>
      <c r="HIE45" s="47"/>
      <c r="HIF45" s="47"/>
      <c r="HIG45" s="47"/>
      <c r="HIH45" s="47"/>
      <c r="HII45" s="47"/>
      <c r="HIJ45" s="47"/>
      <c r="HIK45" s="47"/>
      <c r="HIL45" s="47"/>
      <c r="HIM45" s="47"/>
      <c r="HIN45" s="47"/>
      <c r="HIO45" s="47"/>
      <c r="HIP45" s="47"/>
      <c r="HIQ45" s="47"/>
      <c r="HIR45" s="47"/>
      <c r="HIS45" s="47"/>
      <c r="HIT45" s="47"/>
      <c r="HIU45" s="47"/>
      <c r="HIV45" s="47"/>
      <c r="HIW45" s="47"/>
      <c r="HIX45" s="47"/>
      <c r="HIY45" s="47"/>
      <c r="HIZ45" s="47"/>
      <c r="HJA45" s="47"/>
      <c r="HJB45" s="47"/>
      <c r="HJC45" s="47"/>
      <c r="HJD45" s="47"/>
      <c r="HJE45" s="47"/>
      <c r="HJF45" s="47"/>
      <c r="HJG45" s="47"/>
      <c r="HJH45" s="47"/>
      <c r="HJI45" s="47"/>
      <c r="HJJ45" s="47"/>
      <c r="HJK45" s="47"/>
      <c r="HJL45" s="47"/>
      <c r="HJM45" s="47"/>
      <c r="HJN45" s="47"/>
      <c r="HJO45" s="47"/>
      <c r="HJP45" s="47"/>
      <c r="HJQ45" s="47"/>
      <c r="HJR45" s="47"/>
      <c r="HJS45" s="47"/>
      <c r="HJT45" s="47"/>
      <c r="HJU45" s="47"/>
      <c r="HJV45" s="47"/>
      <c r="HJW45" s="47"/>
      <c r="HJX45" s="47"/>
      <c r="HJY45" s="47"/>
      <c r="HJZ45" s="47"/>
      <c r="HKA45" s="47"/>
      <c r="HKB45" s="47"/>
      <c r="HKC45" s="47"/>
      <c r="HKD45" s="47"/>
      <c r="HKE45" s="47"/>
      <c r="HKF45" s="47"/>
      <c r="HKG45" s="47"/>
      <c r="HKH45" s="47"/>
      <c r="HKI45" s="47"/>
      <c r="HKJ45" s="47"/>
      <c r="HKK45" s="47"/>
      <c r="HKL45" s="47"/>
      <c r="HKM45" s="47"/>
      <c r="HKN45" s="47"/>
      <c r="HKO45" s="47"/>
      <c r="HKP45" s="47"/>
      <c r="HKQ45" s="47"/>
      <c r="HKR45" s="47"/>
      <c r="HKS45" s="47"/>
      <c r="HKT45" s="47"/>
      <c r="HKU45" s="47"/>
      <c r="HKV45" s="47"/>
      <c r="HKW45" s="47"/>
      <c r="HKX45" s="47"/>
      <c r="HKY45" s="47"/>
      <c r="HKZ45" s="47"/>
      <c r="HLA45" s="47"/>
      <c r="HLB45" s="47"/>
      <c r="HLC45" s="47"/>
      <c r="HLD45" s="47"/>
      <c r="HLE45" s="47"/>
      <c r="HLF45" s="47"/>
      <c r="HLG45" s="47"/>
      <c r="HLH45" s="47"/>
      <c r="HLI45" s="47"/>
      <c r="HLJ45" s="47"/>
      <c r="HLK45" s="47"/>
      <c r="HLL45" s="47"/>
      <c r="HLM45" s="47"/>
      <c r="HLN45" s="47"/>
      <c r="HLO45" s="47"/>
      <c r="HLP45" s="47"/>
      <c r="HLQ45" s="47"/>
      <c r="HLR45" s="47"/>
      <c r="HLS45" s="47"/>
      <c r="HLT45" s="47"/>
      <c r="HLU45" s="47"/>
      <c r="HLV45" s="47"/>
      <c r="HLW45" s="47"/>
      <c r="HLX45" s="47"/>
      <c r="HLY45" s="47"/>
      <c r="HLZ45" s="47"/>
      <c r="HMA45" s="47"/>
      <c r="HMB45" s="47"/>
      <c r="HMC45" s="47"/>
      <c r="HMD45" s="47"/>
      <c r="HME45" s="47"/>
      <c r="HMF45" s="47"/>
      <c r="HMG45" s="47"/>
      <c r="HMH45" s="47"/>
      <c r="HMI45" s="47"/>
      <c r="HMJ45" s="47"/>
      <c r="HMK45" s="47"/>
      <c r="HML45" s="47"/>
      <c r="HMM45" s="47"/>
      <c r="HMN45" s="47"/>
      <c r="HMO45" s="47"/>
      <c r="HMP45" s="47"/>
      <c r="HMQ45" s="47"/>
      <c r="HMR45" s="47"/>
      <c r="HMS45" s="47"/>
      <c r="HMT45" s="47"/>
      <c r="HMU45" s="47"/>
      <c r="HMV45" s="47"/>
      <c r="HMW45" s="47"/>
      <c r="HMX45" s="47"/>
      <c r="HMY45" s="47"/>
      <c r="HMZ45" s="47"/>
      <c r="HNA45" s="47"/>
      <c r="HNB45" s="47"/>
      <c r="HNC45" s="47"/>
      <c r="HND45" s="47"/>
      <c r="HNE45" s="47"/>
      <c r="HNF45" s="47"/>
      <c r="HNG45" s="47"/>
      <c r="HNH45" s="47"/>
      <c r="HNI45" s="47"/>
      <c r="HNJ45" s="47"/>
      <c r="HNK45" s="47"/>
      <c r="HNL45" s="47"/>
      <c r="HNM45" s="47"/>
      <c r="HNN45" s="47"/>
      <c r="HNO45" s="47"/>
      <c r="HNP45" s="47"/>
      <c r="HNQ45" s="47"/>
      <c r="HNR45" s="47"/>
      <c r="HNS45" s="47"/>
      <c r="HNT45" s="47"/>
      <c r="HNU45" s="47"/>
      <c r="HNV45" s="47"/>
      <c r="HNW45" s="47"/>
      <c r="HNX45" s="47"/>
      <c r="HNY45" s="47"/>
      <c r="HNZ45" s="47"/>
      <c r="HOA45" s="47"/>
      <c r="HOB45" s="47"/>
      <c r="HOC45" s="47"/>
      <c r="HOD45" s="47"/>
      <c r="HOE45" s="47"/>
      <c r="HOF45" s="47"/>
      <c r="HOG45" s="47"/>
      <c r="HOH45" s="47"/>
      <c r="HOI45" s="47"/>
      <c r="HOJ45" s="47"/>
      <c r="HOK45" s="47"/>
      <c r="HOL45" s="47"/>
      <c r="HOM45" s="47"/>
      <c r="HON45" s="47"/>
      <c r="HOO45" s="47"/>
      <c r="HOP45" s="47"/>
      <c r="HOQ45" s="47"/>
      <c r="HOR45" s="47"/>
      <c r="HOS45" s="47"/>
      <c r="HOT45" s="47"/>
      <c r="HOU45" s="47"/>
      <c r="HOV45" s="47"/>
      <c r="HOW45" s="47"/>
      <c r="HOX45" s="47"/>
      <c r="HOY45" s="47"/>
      <c r="HOZ45" s="47"/>
      <c r="HPA45" s="47"/>
      <c r="HPB45" s="47"/>
      <c r="HPC45" s="47"/>
      <c r="HPD45" s="47"/>
      <c r="HPE45" s="47"/>
      <c r="HPF45" s="47"/>
      <c r="HPG45" s="47"/>
      <c r="HPH45" s="47"/>
      <c r="HPI45" s="47"/>
      <c r="HPJ45" s="47"/>
      <c r="HPK45" s="47"/>
      <c r="HPL45" s="47"/>
      <c r="HPM45" s="47"/>
      <c r="HPN45" s="47"/>
      <c r="HPO45" s="47"/>
      <c r="HPP45" s="47"/>
      <c r="HPQ45" s="47"/>
      <c r="HPR45" s="47"/>
      <c r="HPS45" s="47"/>
      <c r="HPT45" s="47"/>
      <c r="HPU45" s="47"/>
      <c r="HPV45" s="47"/>
      <c r="HPW45" s="47"/>
      <c r="HPX45" s="47"/>
      <c r="HPY45" s="47"/>
      <c r="HPZ45" s="47"/>
      <c r="HQA45" s="47"/>
      <c r="HQB45" s="47"/>
      <c r="HQC45" s="47"/>
      <c r="HQD45" s="47"/>
      <c r="HQE45" s="47"/>
      <c r="HQF45" s="47"/>
      <c r="HQG45" s="47"/>
      <c r="HQH45" s="47"/>
      <c r="HQI45" s="47"/>
      <c r="HQJ45" s="47"/>
      <c r="HQK45" s="47"/>
      <c r="HQL45" s="47"/>
      <c r="HQM45" s="47"/>
      <c r="HQN45" s="47"/>
      <c r="HQO45" s="47"/>
      <c r="HQP45" s="47"/>
      <c r="HQQ45" s="47"/>
      <c r="HQR45" s="47"/>
      <c r="HQS45" s="47"/>
      <c r="HQT45" s="47"/>
      <c r="HQU45" s="47"/>
      <c r="HQV45" s="47"/>
      <c r="HQW45" s="47"/>
      <c r="HQX45" s="47"/>
      <c r="HQY45" s="47"/>
      <c r="HQZ45" s="47"/>
      <c r="HRA45" s="47"/>
      <c r="HRB45" s="47"/>
      <c r="HRC45" s="47"/>
      <c r="HRD45" s="47"/>
      <c r="HRE45" s="47"/>
      <c r="HRF45" s="47"/>
      <c r="HRG45" s="47"/>
      <c r="HRH45" s="47"/>
      <c r="HRI45" s="47"/>
      <c r="HRJ45" s="47"/>
      <c r="HRK45" s="47"/>
      <c r="HRL45" s="47"/>
      <c r="HRM45" s="47"/>
      <c r="HRN45" s="47"/>
      <c r="HRO45" s="47"/>
      <c r="HRP45" s="47"/>
      <c r="HRQ45" s="47"/>
      <c r="HRR45" s="47"/>
      <c r="HRS45" s="47"/>
      <c r="HRT45" s="47"/>
      <c r="HRU45" s="47"/>
      <c r="HRV45" s="47"/>
      <c r="HRW45" s="47"/>
      <c r="HRX45" s="47"/>
      <c r="HRY45" s="47"/>
      <c r="HRZ45" s="47"/>
      <c r="HSA45" s="47"/>
      <c r="HSB45" s="47"/>
      <c r="HSC45" s="47"/>
      <c r="HSD45" s="47"/>
      <c r="HSE45" s="47"/>
      <c r="HSF45" s="47"/>
      <c r="HSG45" s="47"/>
      <c r="HSH45" s="47"/>
      <c r="HSI45" s="47"/>
      <c r="HSJ45" s="47"/>
      <c r="HSK45" s="47"/>
      <c r="HSL45" s="47"/>
      <c r="HSM45" s="47"/>
      <c r="HSN45" s="47"/>
      <c r="HSO45" s="47"/>
      <c r="HSP45" s="47"/>
      <c r="HSQ45" s="47"/>
      <c r="HSR45" s="47"/>
      <c r="HSS45" s="47"/>
      <c r="HST45" s="47"/>
      <c r="HSU45" s="47"/>
      <c r="HSV45" s="47"/>
      <c r="HSW45" s="47"/>
      <c r="HSX45" s="47"/>
      <c r="HSY45" s="47"/>
      <c r="HSZ45" s="47"/>
      <c r="HTA45" s="47"/>
      <c r="HTB45" s="47"/>
      <c r="HTC45" s="47"/>
      <c r="HTD45" s="47"/>
      <c r="HTE45" s="47"/>
      <c r="HTF45" s="47"/>
      <c r="HTG45" s="47"/>
      <c r="HTH45" s="47"/>
      <c r="HTI45" s="47"/>
      <c r="HTJ45" s="47"/>
      <c r="HTK45" s="47"/>
      <c r="HTL45" s="47"/>
      <c r="HTM45" s="47"/>
      <c r="HTN45" s="47"/>
      <c r="HTO45" s="47"/>
      <c r="HTP45" s="47"/>
      <c r="HTQ45" s="47"/>
      <c r="HTR45" s="47"/>
      <c r="HTS45" s="47"/>
      <c r="HTT45" s="47"/>
      <c r="HTU45" s="47"/>
      <c r="HTV45" s="47"/>
      <c r="HTW45" s="47"/>
      <c r="HTX45" s="47"/>
      <c r="HTY45" s="47"/>
      <c r="HTZ45" s="47"/>
      <c r="HUA45" s="47"/>
      <c r="HUB45" s="47"/>
      <c r="HUC45" s="47"/>
      <c r="HUD45" s="47"/>
      <c r="HUE45" s="47"/>
      <c r="HUF45" s="47"/>
      <c r="HUG45" s="47"/>
      <c r="HUH45" s="47"/>
      <c r="HUI45" s="47"/>
      <c r="HUJ45" s="47"/>
      <c r="HUK45" s="47"/>
      <c r="HUL45" s="47"/>
      <c r="HUM45" s="47"/>
      <c r="HUN45" s="47"/>
      <c r="HUO45" s="47"/>
      <c r="HUP45" s="47"/>
      <c r="HUQ45" s="47"/>
      <c r="HUR45" s="47"/>
      <c r="HUS45" s="47"/>
      <c r="HUT45" s="47"/>
      <c r="HUU45" s="47"/>
      <c r="HUV45" s="47"/>
      <c r="HUW45" s="47"/>
      <c r="HUX45" s="47"/>
      <c r="HUY45" s="47"/>
      <c r="HUZ45" s="47"/>
      <c r="HVA45" s="47"/>
      <c r="HVB45" s="47"/>
      <c r="HVC45" s="47"/>
      <c r="HVD45" s="47"/>
      <c r="HVE45" s="47"/>
      <c r="HVF45" s="47"/>
      <c r="HVG45" s="47"/>
      <c r="HVH45" s="47"/>
      <c r="HVI45" s="47"/>
      <c r="HVJ45" s="47"/>
      <c r="HVK45" s="47"/>
      <c r="HVL45" s="47"/>
      <c r="HVM45" s="47"/>
      <c r="HVN45" s="47"/>
      <c r="HVO45" s="47"/>
      <c r="HVP45" s="47"/>
      <c r="HVQ45" s="47"/>
      <c r="HVR45" s="47"/>
      <c r="HVS45" s="47"/>
      <c r="HVT45" s="47"/>
      <c r="HVU45" s="47"/>
      <c r="HVV45" s="47"/>
      <c r="HVW45" s="47"/>
      <c r="HVX45" s="47"/>
      <c r="HVY45" s="47"/>
      <c r="HVZ45" s="47"/>
      <c r="HWA45" s="47"/>
      <c r="HWB45" s="47"/>
      <c r="HWC45" s="47"/>
      <c r="HWD45" s="47"/>
      <c r="HWE45" s="47"/>
      <c r="HWF45" s="47"/>
      <c r="HWG45" s="47"/>
      <c r="HWH45" s="47"/>
      <c r="HWI45" s="47"/>
      <c r="HWJ45" s="47"/>
      <c r="HWK45" s="47"/>
      <c r="HWL45" s="47"/>
      <c r="HWM45" s="47"/>
      <c r="HWN45" s="47"/>
      <c r="HWO45" s="47"/>
      <c r="HWP45" s="47"/>
      <c r="HWQ45" s="47"/>
      <c r="HWR45" s="47"/>
      <c r="HWS45" s="47"/>
      <c r="HWT45" s="47"/>
      <c r="HWU45" s="47"/>
      <c r="HWV45" s="47"/>
      <c r="HWW45" s="47"/>
      <c r="HWX45" s="47"/>
      <c r="HWY45" s="47"/>
      <c r="HWZ45" s="47"/>
      <c r="HXA45" s="47"/>
      <c r="HXB45" s="47"/>
      <c r="HXC45" s="47"/>
      <c r="HXD45" s="47"/>
      <c r="HXE45" s="47"/>
      <c r="HXF45" s="47"/>
      <c r="HXG45" s="47"/>
      <c r="HXH45" s="47"/>
      <c r="HXI45" s="47"/>
      <c r="HXJ45" s="47"/>
      <c r="HXK45" s="47"/>
      <c r="HXL45" s="47"/>
      <c r="HXM45" s="47"/>
      <c r="HXN45" s="47"/>
      <c r="HXO45" s="47"/>
      <c r="HXP45" s="47"/>
      <c r="HXQ45" s="47"/>
      <c r="HXR45" s="47"/>
      <c r="HXS45" s="47"/>
      <c r="HXT45" s="47"/>
      <c r="HXU45" s="47"/>
      <c r="HXV45" s="47"/>
      <c r="HXW45" s="47"/>
      <c r="HXX45" s="47"/>
      <c r="HXY45" s="47"/>
      <c r="HXZ45" s="47"/>
      <c r="HYA45" s="47"/>
      <c r="HYB45" s="47"/>
      <c r="HYC45" s="47"/>
      <c r="HYD45" s="47"/>
      <c r="HYE45" s="47"/>
      <c r="HYF45" s="47"/>
      <c r="HYG45" s="47"/>
      <c r="HYH45" s="47"/>
      <c r="HYI45" s="47"/>
      <c r="HYJ45" s="47"/>
      <c r="HYK45" s="47"/>
      <c r="HYL45" s="47"/>
      <c r="HYM45" s="47"/>
      <c r="HYN45" s="47"/>
      <c r="HYO45" s="47"/>
      <c r="HYP45" s="47"/>
      <c r="HYQ45" s="47"/>
      <c r="HYR45" s="47"/>
      <c r="HYS45" s="47"/>
      <c r="HYT45" s="47"/>
      <c r="HYU45" s="47"/>
      <c r="HYV45" s="47"/>
      <c r="HYW45" s="47"/>
      <c r="HYX45" s="47"/>
      <c r="HYY45" s="47"/>
      <c r="HYZ45" s="47"/>
      <c r="HZA45" s="47"/>
      <c r="HZB45" s="47"/>
      <c r="HZC45" s="47"/>
      <c r="HZD45" s="47"/>
      <c r="HZE45" s="47"/>
      <c r="HZF45" s="47"/>
      <c r="HZG45" s="47"/>
      <c r="HZH45" s="47"/>
      <c r="HZI45" s="47"/>
      <c r="HZJ45" s="47"/>
      <c r="HZK45" s="47"/>
      <c r="HZL45" s="47"/>
      <c r="HZM45" s="47"/>
      <c r="HZN45" s="47"/>
      <c r="HZO45" s="47"/>
      <c r="HZP45" s="47"/>
      <c r="HZQ45" s="47"/>
      <c r="HZR45" s="47"/>
      <c r="HZS45" s="47"/>
      <c r="HZT45" s="47"/>
      <c r="HZU45" s="47"/>
      <c r="HZV45" s="47"/>
      <c r="HZW45" s="47"/>
      <c r="HZX45" s="47"/>
      <c r="HZY45" s="47"/>
      <c r="HZZ45" s="47"/>
      <c r="IAA45" s="47"/>
      <c r="IAB45" s="47"/>
      <c r="IAC45" s="47"/>
      <c r="IAD45" s="47"/>
      <c r="IAE45" s="47"/>
      <c r="IAF45" s="47"/>
      <c r="IAG45" s="47"/>
      <c r="IAH45" s="47"/>
      <c r="IAI45" s="47"/>
      <c r="IAJ45" s="47"/>
      <c r="IAK45" s="47"/>
      <c r="IAL45" s="47"/>
      <c r="IAM45" s="47"/>
      <c r="IAN45" s="47"/>
      <c r="IAO45" s="47"/>
      <c r="IAP45" s="47"/>
      <c r="IAQ45" s="47"/>
      <c r="IAR45" s="47"/>
      <c r="IAS45" s="47"/>
      <c r="IAT45" s="47"/>
      <c r="IAU45" s="47"/>
      <c r="IAV45" s="47"/>
      <c r="IAW45" s="47"/>
      <c r="IAX45" s="47"/>
      <c r="IAY45" s="47"/>
      <c r="IAZ45" s="47"/>
      <c r="IBA45" s="47"/>
      <c r="IBB45" s="47"/>
      <c r="IBC45" s="47"/>
      <c r="IBD45" s="47"/>
      <c r="IBE45" s="47"/>
      <c r="IBF45" s="47"/>
      <c r="IBG45" s="47"/>
      <c r="IBH45" s="47"/>
      <c r="IBI45" s="47"/>
      <c r="IBJ45" s="47"/>
      <c r="IBK45" s="47"/>
      <c r="IBL45" s="47"/>
      <c r="IBM45" s="47"/>
      <c r="IBN45" s="47"/>
      <c r="IBO45" s="47"/>
      <c r="IBP45" s="47"/>
      <c r="IBQ45" s="47"/>
      <c r="IBR45" s="47"/>
      <c r="IBS45" s="47"/>
      <c r="IBT45" s="47"/>
      <c r="IBU45" s="47"/>
      <c r="IBV45" s="47"/>
      <c r="IBW45" s="47"/>
      <c r="IBX45" s="47"/>
      <c r="IBY45" s="47"/>
      <c r="IBZ45" s="47"/>
      <c r="ICA45" s="47"/>
      <c r="ICB45" s="47"/>
      <c r="ICC45" s="47"/>
      <c r="ICD45" s="47"/>
      <c r="ICE45" s="47"/>
      <c r="ICF45" s="47"/>
      <c r="ICG45" s="47"/>
      <c r="ICH45" s="47"/>
      <c r="ICI45" s="47"/>
      <c r="ICJ45" s="47"/>
      <c r="ICK45" s="47"/>
      <c r="ICL45" s="47"/>
      <c r="ICM45" s="47"/>
      <c r="ICN45" s="47"/>
      <c r="ICO45" s="47"/>
      <c r="ICP45" s="47"/>
      <c r="ICQ45" s="47"/>
      <c r="ICR45" s="47"/>
      <c r="ICS45" s="47"/>
      <c r="ICT45" s="47"/>
      <c r="ICU45" s="47"/>
      <c r="ICV45" s="47"/>
      <c r="ICW45" s="47"/>
      <c r="ICX45" s="47"/>
      <c r="ICY45" s="47"/>
      <c r="ICZ45" s="47"/>
      <c r="IDA45" s="47"/>
      <c r="IDB45" s="47"/>
      <c r="IDC45" s="47"/>
      <c r="IDD45" s="47"/>
      <c r="IDE45" s="47"/>
      <c r="IDF45" s="47"/>
      <c r="IDG45" s="47"/>
      <c r="IDH45" s="47"/>
      <c r="IDI45" s="47"/>
      <c r="IDJ45" s="47"/>
      <c r="IDK45" s="47"/>
      <c r="IDL45" s="47"/>
      <c r="IDM45" s="47"/>
      <c r="IDN45" s="47"/>
      <c r="IDO45" s="47"/>
      <c r="IDP45" s="47"/>
      <c r="IDQ45" s="47"/>
      <c r="IDR45" s="47"/>
      <c r="IDS45" s="47"/>
      <c r="IDT45" s="47"/>
      <c r="IDU45" s="47"/>
      <c r="IDV45" s="47"/>
      <c r="IDW45" s="47"/>
      <c r="IDX45" s="47"/>
      <c r="IDY45" s="47"/>
      <c r="IDZ45" s="47"/>
      <c r="IEA45" s="47"/>
      <c r="IEB45" s="47"/>
      <c r="IEC45" s="47"/>
      <c r="IED45" s="47"/>
      <c r="IEE45" s="47"/>
      <c r="IEF45" s="47"/>
      <c r="IEG45" s="47"/>
      <c r="IEH45" s="47"/>
      <c r="IEI45" s="47"/>
      <c r="IEJ45" s="47"/>
      <c r="IEK45" s="47"/>
      <c r="IEL45" s="47"/>
      <c r="IEM45" s="47"/>
      <c r="IEN45" s="47"/>
      <c r="IEO45" s="47"/>
      <c r="IEP45" s="47"/>
      <c r="IEQ45" s="47"/>
      <c r="IER45" s="47"/>
      <c r="IES45" s="47"/>
      <c r="IET45" s="47"/>
      <c r="IEU45" s="47"/>
      <c r="IEV45" s="47"/>
      <c r="IEW45" s="47"/>
      <c r="IEX45" s="47"/>
      <c r="IEY45" s="47"/>
      <c r="IEZ45" s="47"/>
      <c r="IFA45" s="47"/>
      <c r="IFB45" s="47"/>
      <c r="IFC45" s="47"/>
      <c r="IFD45" s="47"/>
      <c r="IFE45" s="47"/>
      <c r="IFF45" s="47"/>
      <c r="IFG45" s="47"/>
      <c r="IFH45" s="47"/>
      <c r="IFI45" s="47"/>
      <c r="IFJ45" s="47"/>
      <c r="IFK45" s="47"/>
      <c r="IFL45" s="47"/>
      <c r="IFM45" s="47"/>
      <c r="IFN45" s="47"/>
      <c r="IFO45" s="47"/>
      <c r="IFP45" s="47"/>
      <c r="IFQ45" s="47"/>
      <c r="IFR45" s="47"/>
      <c r="IFS45" s="47"/>
      <c r="IFT45" s="47"/>
      <c r="IFU45" s="47"/>
      <c r="IFV45" s="47"/>
      <c r="IFW45" s="47"/>
      <c r="IFX45" s="47"/>
      <c r="IFY45" s="47"/>
      <c r="IFZ45" s="47"/>
      <c r="IGA45" s="47"/>
      <c r="IGB45" s="47"/>
      <c r="IGC45" s="47"/>
      <c r="IGD45" s="47"/>
      <c r="IGE45" s="47"/>
      <c r="IGF45" s="47"/>
      <c r="IGG45" s="47"/>
      <c r="IGH45" s="47"/>
      <c r="IGI45" s="47"/>
      <c r="IGJ45" s="47"/>
      <c r="IGK45" s="47"/>
      <c r="IGL45" s="47"/>
      <c r="IGM45" s="47"/>
      <c r="IGN45" s="47"/>
      <c r="IGO45" s="47"/>
      <c r="IGP45" s="47"/>
      <c r="IGQ45" s="47"/>
      <c r="IGR45" s="47"/>
      <c r="IGS45" s="47"/>
      <c r="IGT45" s="47"/>
      <c r="IGU45" s="47"/>
      <c r="IGV45" s="47"/>
      <c r="IGW45" s="47"/>
      <c r="IGX45" s="47"/>
      <c r="IGY45" s="47"/>
      <c r="IGZ45" s="47"/>
      <c r="IHA45" s="47"/>
      <c r="IHB45" s="47"/>
      <c r="IHC45" s="47"/>
      <c r="IHD45" s="47"/>
      <c r="IHE45" s="47"/>
      <c r="IHF45" s="47"/>
      <c r="IHG45" s="47"/>
      <c r="IHH45" s="47"/>
      <c r="IHI45" s="47"/>
      <c r="IHJ45" s="47"/>
      <c r="IHK45" s="47"/>
      <c r="IHL45" s="47"/>
      <c r="IHM45" s="47"/>
      <c r="IHN45" s="47"/>
      <c r="IHO45" s="47"/>
      <c r="IHP45" s="47"/>
      <c r="IHQ45" s="47"/>
      <c r="IHR45" s="47"/>
      <c r="IHS45" s="47"/>
      <c r="IHT45" s="47"/>
      <c r="IHU45" s="47"/>
      <c r="IHV45" s="47"/>
      <c r="IHW45" s="47"/>
      <c r="IHX45" s="47"/>
      <c r="IHY45" s="47"/>
      <c r="IHZ45" s="47"/>
      <c r="IIA45" s="47"/>
      <c r="IIB45" s="47"/>
      <c r="IIC45" s="47"/>
      <c r="IID45" s="47"/>
      <c r="IIE45" s="47"/>
      <c r="IIF45" s="47"/>
      <c r="IIG45" s="47"/>
      <c r="IIH45" s="47"/>
      <c r="III45" s="47"/>
      <c r="IIJ45" s="47"/>
      <c r="IIK45" s="47"/>
      <c r="IIL45" s="47"/>
      <c r="IIM45" s="47"/>
      <c r="IIN45" s="47"/>
      <c r="IIO45" s="47"/>
      <c r="IIP45" s="47"/>
      <c r="IIQ45" s="47"/>
      <c r="IIR45" s="47"/>
      <c r="IIS45" s="47"/>
      <c r="IIT45" s="47"/>
      <c r="IIU45" s="47"/>
      <c r="IIV45" s="47"/>
      <c r="IIW45" s="47"/>
      <c r="IIX45" s="47"/>
      <c r="IIY45" s="47"/>
      <c r="IIZ45" s="47"/>
      <c r="IJA45" s="47"/>
      <c r="IJB45" s="47"/>
      <c r="IJC45" s="47"/>
      <c r="IJD45" s="47"/>
      <c r="IJE45" s="47"/>
      <c r="IJF45" s="47"/>
      <c r="IJG45" s="47"/>
      <c r="IJH45" s="47"/>
      <c r="IJI45" s="47"/>
      <c r="IJJ45" s="47"/>
      <c r="IJK45" s="47"/>
      <c r="IJL45" s="47"/>
      <c r="IJM45" s="47"/>
      <c r="IJN45" s="47"/>
      <c r="IJO45" s="47"/>
      <c r="IJP45" s="47"/>
      <c r="IJQ45" s="47"/>
      <c r="IJR45" s="47"/>
      <c r="IJS45" s="47"/>
      <c r="IJT45" s="47"/>
      <c r="IJU45" s="47"/>
      <c r="IJV45" s="47"/>
      <c r="IJW45" s="47"/>
      <c r="IJX45" s="47"/>
      <c r="IJY45" s="47"/>
      <c r="IJZ45" s="47"/>
      <c r="IKA45" s="47"/>
      <c r="IKB45" s="47"/>
      <c r="IKC45" s="47"/>
      <c r="IKD45" s="47"/>
      <c r="IKE45" s="47"/>
      <c r="IKF45" s="47"/>
      <c r="IKG45" s="47"/>
      <c r="IKH45" s="47"/>
      <c r="IKI45" s="47"/>
      <c r="IKJ45" s="47"/>
      <c r="IKK45" s="47"/>
      <c r="IKL45" s="47"/>
      <c r="IKM45" s="47"/>
      <c r="IKN45" s="47"/>
      <c r="IKO45" s="47"/>
      <c r="IKP45" s="47"/>
      <c r="IKQ45" s="47"/>
      <c r="IKR45" s="47"/>
      <c r="IKS45" s="47"/>
      <c r="IKT45" s="47"/>
      <c r="IKU45" s="47"/>
      <c r="IKV45" s="47"/>
      <c r="IKW45" s="47"/>
      <c r="IKX45" s="47"/>
      <c r="IKY45" s="47"/>
      <c r="IKZ45" s="47"/>
      <c r="ILA45" s="47"/>
      <c r="ILB45" s="47"/>
      <c r="ILC45" s="47"/>
      <c r="ILD45" s="47"/>
      <c r="ILE45" s="47"/>
      <c r="ILF45" s="47"/>
      <c r="ILG45" s="47"/>
      <c r="ILH45" s="47"/>
      <c r="ILI45" s="47"/>
      <c r="ILJ45" s="47"/>
      <c r="ILK45" s="47"/>
      <c r="ILL45" s="47"/>
      <c r="ILM45" s="47"/>
      <c r="ILN45" s="47"/>
      <c r="ILO45" s="47"/>
      <c r="ILP45" s="47"/>
      <c r="ILQ45" s="47"/>
      <c r="ILR45" s="47"/>
      <c r="ILS45" s="47"/>
      <c r="ILT45" s="47"/>
      <c r="ILU45" s="47"/>
      <c r="ILV45" s="47"/>
      <c r="ILW45" s="47"/>
      <c r="ILX45" s="47"/>
      <c r="ILY45" s="47"/>
      <c r="ILZ45" s="47"/>
      <c r="IMA45" s="47"/>
      <c r="IMB45" s="47"/>
      <c r="IMC45" s="47"/>
      <c r="IMD45" s="47"/>
      <c r="IME45" s="47"/>
      <c r="IMF45" s="47"/>
      <c r="IMG45" s="47"/>
      <c r="IMH45" s="47"/>
      <c r="IMI45" s="47"/>
      <c r="IMJ45" s="47"/>
      <c r="IMK45" s="47"/>
      <c r="IML45" s="47"/>
      <c r="IMM45" s="47"/>
      <c r="IMN45" s="47"/>
      <c r="IMO45" s="47"/>
      <c r="IMP45" s="47"/>
      <c r="IMQ45" s="47"/>
      <c r="IMR45" s="47"/>
      <c r="IMS45" s="47"/>
      <c r="IMT45" s="47"/>
      <c r="IMU45" s="47"/>
      <c r="IMV45" s="47"/>
      <c r="IMW45" s="47"/>
      <c r="IMX45" s="47"/>
      <c r="IMY45" s="47"/>
      <c r="IMZ45" s="47"/>
      <c r="INA45" s="47"/>
      <c r="INB45" s="47"/>
      <c r="INC45" s="47"/>
      <c r="IND45" s="47"/>
      <c r="INE45" s="47"/>
      <c r="INF45" s="47"/>
      <c r="ING45" s="47"/>
      <c r="INH45" s="47"/>
      <c r="INI45" s="47"/>
      <c r="INJ45" s="47"/>
      <c r="INK45" s="47"/>
      <c r="INL45" s="47"/>
      <c r="INM45" s="47"/>
      <c r="INN45" s="47"/>
      <c r="INO45" s="47"/>
      <c r="INP45" s="47"/>
      <c r="INQ45" s="47"/>
      <c r="INR45" s="47"/>
      <c r="INS45" s="47"/>
      <c r="INT45" s="47"/>
      <c r="INU45" s="47"/>
      <c r="INV45" s="47"/>
      <c r="INW45" s="47"/>
      <c r="INX45" s="47"/>
      <c r="INY45" s="47"/>
      <c r="INZ45" s="47"/>
      <c r="IOA45" s="47"/>
      <c r="IOB45" s="47"/>
      <c r="IOC45" s="47"/>
      <c r="IOD45" s="47"/>
      <c r="IOE45" s="47"/>
      <c r="IOF45" s="47"/>
      <c r="IOG45" s="47"/>
      <c r="IOH45" s="47"/>
      <c r="IOI45" s="47"/>
      <c r="IOJ45" s="47"/>
      <c r="IOK45" s="47"/>
      <c r="IOL45" s="47"/>
      <c r="IOM45" s="47"/>
      <c r="ION45" s="47"/>
      <c r="IOO45" s="47"/>
      <c r="IOP45" s="47"/>
      <c r="IOQ45" s="47"/>
      <c r="IOR45" s="47"/>
      <c r="IOS45" s="47"/>
      <c r="IOT45" s="47"/>
      <c r="IOU45" s="47"/>
      <c r="IOV45" s="47"/>
      <c r="IOW45" s="47"/>
      <c r="IOX45" s="47"/>
      <c r="IOY45" s="47"/>
      <c r="IOZ45" s="47"/>
      <c r="IPA45" s="47"/>
      <c r="IPB45" s="47"/>
      <c r="IPC45" s="47"/>
      <c r="IPD45" s="47"/>
      <c r="IPE45" s="47"/>
      <c r="IPF45" s="47"/>
      <c r="IPG45" s="47"/>
      <c r="IPH45" s="47"/>
      <c r="IPI45" s="47"/>
      <c r="IPJ45" s="47"/>
      <c r="IPK45" s="47"/>
      <c r="IPL45" s="47"/>
      <c r="IPM45" s="47"/>
      <c r="IPN45" s="47"/>
      <c r="IPO45" s="47"/>
      <c r="IPP45" s="47"/>
      <c r="IPQ45" s="47"/>
      <c r="IPR45" s="47"/>
      <c r="IPS45" s="47"/>
      <c r="IPT45" s="47"/>
      <c r="IPU45" s="47"/>
      <c r="IPV45" s="47"/>
      <c r="IPW45" s="47"/>
      <c r="IPX45" s="47"/>
      <c r="IPY45" s="47"/>
      <c r="IPZ45" s="47"/>
      <c r="IQA45" s="47"/>
      <c r="IQB45" s="47"/>
      <c r="IQC45" s="47"/>
      <c r="IQD45" s="47"/>
      <c r="IQE45" s="47"/>
      <c r="IQF45" s="47"/>
      <c r="IQG45" s="47"/>
      <c r="IQH45" s="47"/>
      <c r="IQI45" s="47"/>
      <c r="IQJ45" s="47"/>
      <c r="IQK45" s="47"/>
      <c r="IQL45" s="47"/>
      <c r="IQM45" s="47"/>
      <c r="IQN45" s="47"/>
      <c r="IQO45" s="47"/>
      <c r="IQP45" s="47"/>
      <c r="IQQ45" s="47"/>
      <c r="IQR45" s="47"/>
      <c r="IQS45" s="47"/>
      <c r="IQT45" s="47"/>
      <c r="IQU45" s="47"/>
      <c r="IQV45" s="47"/>
      <c r="IQW45" s="47"/>
      <c r="IQX45" s="47"/>
      <c r="IQY45" s="47"/>
      <c r="IQZ45" s="47"/>
      <c r="IRA45" s="47"/>
      <c r="IRB45" s="47"/>
      <c r="IRC45" s="47"/>
      <c r="IRD45" s="47"/>
      <c r="IRE45" s="47"/>
      <c r="IRF45" s="47"/>
      <c r="IRG45" s="47"/>
      <c r="IRH45" s="47"/>
      <c r="IRI45" s="47"/>
      <c r="IRJ45" s="47"/>
      <c r="IRK45" s="47"/>
      <c r="IRL45" s="47"/>
      <c r="IRM45" s="47"/>
      <c r="IRN45" s="47"/>
      <c r="IRO45" s="47"/>
      <c r="IRP45" s="47"/>
      <c r="IRQ45" s="47"/>
      <c r="IRR45" s="47"/>
      <c r="IRS45" s="47"/>
      <c r="IRT45" s="47"/>
      <c r="IRU45" s="47"/>
      <c r="IRV45" s="47"/>
      <c r="IRW45" s="47"/>
      <c r="IRX45" s="47"/>
      <c r="IRY45" s="47"/>
      <c r="IRZ45" s="47"/>
      <c r="ISA45" s="47"/>
      <c r="ISB45" s="47"/>
      <c r="ISC45" s="47"/>
      <c r="ISD45" s="47"/>
      <c r="ISE45" s="47"/>
      <c r="ISF45" s="47"/>
      <c r="ISG45" s="47"/>
      <c r="ISH45" s="47"/>
      <c r="ISI45" s="47"/>
      <c r="ISJ45" s="47"/>
      <c r="ISK45" s="47"/>
      <c r="ISL45" s="47"/>
      <c r="ISM45" s="47"/>
      <c r="ISN45" s="47"/>
      <c r="ISO45" s="47"/>
      <c r="ISP45" s="47"/>
      <c r="ISQ45" s="47"/>
      <c r="ISR45" s="47"/>
      <c r="ISS45" s="47"/>
      <c r="IST45" s="47"/>
      <c r="ISU45" s="47"/>
      <c r="ISV45" s="47"/>
      <c r="ISW45" s="47"/>
      <c r="ISX45" s="47"/>
      <c r="ISY45" s="47"/>
      <c r="ISZ45" s="47"/>
      <c r="ITA45" s="47"/>
      <c r="ITB45" s="47"/>
      <c r="ITC45" s="47"/>
      <c r="ITD45" s="47"/>
      <c r="ITE45" s="47"/>
      <c r="ITF45" s="47"/>
      <c r="ITG45" s="47"/>
      <c r="ITH45" s="47"/>
      <c r="ITI45" s="47"/>
      <c r="ITJ45" s="47"/>
      <c r="ITK45" s="47"/>
      <c r="ITL45" s="47"/>
      <c r="ITM45" s="47"/>
      <c r="ITN45" s="47"/>
      <c r="ITO45" s="47"/>
      <c r="ITP45" s="47"/>
      <c r="ITQ45" s="47"/>
      <c r="ITR45" s="47"/>
      <c r="ITS45" s="47"/>
      <c r="ITT45" s="47"/>
      <c r="ITU45" s="47"/>
      <c r="ITV45" s="47"/>
      <c r="ITW45" s="47"/>
      <c r="ITX45" s="47"/>
      <c r="ITY45" s="47"/>
      <c r="ITZ45" s="47"/>
      <c r="IUA45" s="47"/>
      <c r="IUB45" s="47"/>
      <c r="IUC45" s="47"/>
      <c r="IUD45" s="47"/>
      <c r="IUE45" s="47"/>
      <c r="IUF45" s="47"/>
      <c r="IUG45" s="47"/>
      <c r="IUH45" s="47"/>
      <c r="IUI45" s="47"/>
      <c r="IUJ45" s="47"/>
      <c r="IUK45" s="47"/>
      <c r="IUL45" s="47"/>
      <c r="IUM45" s="47"/>
      <c r="IUN45" s="47"/>
      <c r="IUO45" s="47"/>
      <c r="IUP45" s="47"/>
      <c r="IUQ45" s="47"/>
      <c r="IUR45" s="47"/>
      <c r="IUS45" s="47"/>
      <c r="IUT45" s="47"/>
      <c r="IUU45" s="47"/>
      <c r="IUV45" s="47"/>
      <c r="IUW45" s="47"/>
      <c r="IUX45" s="47"/>
      <c r="IUY45" s="47"/>
      <c r="IUZ45" s="47"/>
      <c r="IVA45" s="47"/>
      <c r="IVB45" s="47"/>
      <c r="IVC45" s="47"/>
      <c r="IVD45" s="47"/>
      <c r="IVE45" s="47"/>
      <c r="IVF45" s="47"/>
      <c r="IVG45" s="47"/>
      <c r="IVH45" s="47"/>
      <c r="IVI45" s="47"/>
      <c r="IVJ45" s="47"/>
      <c r="IVK45" s="47"/>
      <c r="IVL45" s="47"/>
      <c r="IVM45" s="47"/>
      <c r="IVN45" s="47"/>
      <c r="IVO45" s="47"/>
      <c r="IVP45" s="47"/>
      <c r="IVQ45" s="47"/>
      <c r="IVR45" s="47"/>
      <c r="IVS45" s="47"/>
      <c r="IVT45" s="47"/>
      <c r="IVU45" s="47"/>
      <c r="IVV45" s="47"/>
      <c r="IVW45" s="47"/>
      <c r="IVX45" s="47"/>
      <c r="IVY45" s="47"/>
      <c r="IVZ45" s="47"/>
      <c r="IWA45" s="47"/>
      <c r="IWB45" s="47"/>
      <c r="IWC45" s="47"/>
      <c r="IWD45" s="47"/>
      <c r="IWE45" s="47"/>
      <c r="IWF45" s="47"/>
      <c r="IWG45" s="47"/>
      <c r="IWH45" s="47"/>
      <c r="IWI45" s="47"/>
      <c r="IWJ45" s="47"/>
      <c r="IWK45" s="47"/>
      <c r="IWL45" s="47"/>
      <c r="IWM45" s="47"/>
      <c r="IWN45" s="47"/>
      <c r="IWO45" s="47"/>
      <c r="IWP45" s="47"/>
      <c r="IWQ45" s="47"/>
      <c r="IWR45" s="47"/>
      <c r="IWS45" s="47"/>
      <c r="IWT45" s="47"/>
      <c r="IWU45" s="47"/>
      <c r="IWV45" s="47"/>
      <c r="IWW45" s="47"/>
      <c r="IWX45" s="47"/>
      <c r="IWY45" s="47"/>
      <c r="IWZ45" s="47"/>
      <c r="IXA45" s="47"/>
      <c r="IXB45" s="47"/>
      <c r="IXC45" s="47"/>
      <c r="IXD45" s="47"/>
      <c r="IXE45" s="47"/>
      <c r="IXF45" s="47"/>
      <c r="IXG45" s="47"/>
      <c r="IXH45" s="47"/>
      <c r="IXI45" s="47"/>
      <c r="IXJ45" s="47"/>
      <c r="IXK45" s="47"/>
      <c r="IXL45" s="47"/>
      <c r="IXM45" s="47"/>
      <c r="IXN45" s="47"/>
      <c r="IXO45" s="47"/>
      <c r="IXP45" s="47"/>
      <c r="IXQ45" s="47"/>
      <c r="IXR45" s="47"/>
      <c r="IXS45" s="47"/>
      <c r="IXT45" s="47"/>
      <c r="IXU45" s="47"/>
      <c r="IXV45" s="47"/>
      <c r="IXW45" s="47"/>
      <c r="IXX45" s="47"/>
      <c r="IXY45" s="47"/>
      <c r="IXZ45" s="47"/>
      <c r="IYA45" s="47"/>
      <c r="IYB45" s="47"/>
      <c r="IYC45" s="47"/>
      <c r="IYD45" s="47"/>
      <c r="IYE45" s="47"/>
      <c r="IYF45" s="47"/>
      <c r="IYG45" s="47"/>
      <c r="IYH45" s="47"/>
      <c r="IYI45" s="47"/>
      <c r="IYJ45" s="47"/>
      <c r="IYK45" s="47"/>
      <c r="IYL45" s="47"/>
      <c r="IYM45" s="47"/>
      <c r="IYN45" s="47"/>
      <c r="IYO45" s="47"/>
      <c r="IYP45" s="47"/>
      <c r="IYQ45" s="47"/>
      <c r="IYR45" s="47"/>
      <c r="IYS45" s="47"/>
      <c r="IYT45" s="47"/>
      <c r="IYU45" s="47"/>
      <c r="IYV45" s="47"/>
      <c r="IYW45" s="47"/>
      <c r="IYX45" s="47"/>
      <c r="IYY45" s="47"/>
      <c r="IYZ45" s="47"/>
      <c r="IZA45" s="47"/>
      <c r="IZB45" s="47"/>
      <c r="IZC45" s="47"/>
      <c r="IZD45" s="47"/>
      <c r="IZE45" s="47"/>
      <c r="IZF45" s="47"/>
      <c r="IZG45" s="47"/>
      <c r="IZH45" s="47"/>
      <c r="IZI45" s="47"/>
      <c r="IZJ45" s="47"/>
      <c r="IZK45" s="47"/>
      <c r="IZL45" s="47"/>
      <c r="IZM45" s="47"/>
      <c r="IZN45" s="47"/>
      <c r="IZO45" s="47"/>
      <c r="IZP45" s="47"/>
      <c r="IZQ45" s="47"/>
      <c r="IZR45" s="47"/>
      <c r="IZS45" s="47"/>
      <c r="IZT45" s="47"/>
      <c r="IZU45" s="47"/>
      <c r="IZV45" s="47"/>
      <c r="IZW45" s="47"/>
      <c r="IZX45" s="47"/>
      <c r="IZY45" s="47"/>
      <c r="IZZ45" s="47"/>
      <c r="JAA45" s="47"/>
      <c r="JAB45" s="47"/>
      <c r="JAC45" s="47"/>
      <c r="JAD45" s="47"/>
      <c r="JAE45" s="47"/>
      <c r="JAF45" s="47"/>
      <c r="JAG45" s="47"/>
      <c r="JAH45" s="47"/>
      <c r="JAI45" s="47"/>
      <c r="JAJ45" s="47"/>
      <c r="JAK45" s="47"/>
      <c r="JAL45" s="47"/>
      <c r="JAM45" s="47"/>
      <c r="JAN45" s="47"/>
      <c r="JAO45" s="47"/>
      <c r="JAP45" s="47"/>
      <c r="JAQ45" s="47"/>
      <c r="JAR45" s="47"/>
      <c r="JAS45" s="47"/>
      <c r="JAT45" s="47"/>
      <c r="JAU45" s="47"/>
      <c r="JAV45" s="47"/>
      <c r="JAW45" s="47"/>
      <c r="JAX45" s="47"/>
      <c r="JAY45" s="47"/>
      <c r="JAZ45" s="47"/>
      <c r="JBA45" s="47"/>
      <c r="JBB45" s="47"/>
      <c r="JBC45" s="47"/>
      <c r="JBD45" s="47"/>
      <c r="JBE45" s="47"/>
      <c r="JBF45" s="47"/>
      <c r="JBG45" s="47"/>
      <c r="JBH45" s="47"/>
      <c r="JBI45" s="47"/>
      <c r="JBJ45" s="47"/>
      <c r="JBK45" s="47"/>
      <c r="JBL45" s="47"/>
      <c r="JBM45" s="47"/>
      <c r="JBN45" s="47"/>
      <c r="JBO45" s="47"/>
      <c r="JBP45" s="47"/>
      <c r="JBQ45" s="47"/>
      <c r="JBR45" s="47"/>
      <c r="JBS45" s="47"/>
      <c r="JBT45" s="47"/>
      <c r="JBU45" s="47"/>
      <c r="JBV45" s="47"/>
      <c r="JBW45" s="47"/>
      <c r="JBX45" s="47"/>
      <c r="JBY45" s="47"/>
      <c r="JBZ45" s="47"/>
      <c r="JCA45" s="47"/>
      <c r="JCB45" s="47"/>
      <c r="JCC45" s="47"/>
      <c r="JCD45" s="47"/>
      <c r="JCE45" s="47"/>
      <c r="JCF45" s="47"/>
      <c r="JCG45" s="47"/>
      <c r="JCH45" s="47"/>
      <c r="JCI45" s="47"/>
      <c r="JCJ45" s="47"/>
      <c r="JCK45" s="47"/>
      <c r="JCL45" s="47"/>
      <c r="JCM45" s="47"/>
      <c r="JCN45" s="47"/>
      <c r="JCO45" s="47"/>
      <c r="JCP45" s="47"/>
      <c r="JCQ45" s="47"/>
      <c r="JCR45" s="47"/>
      <c r="JCS45" s="47"/>
      <c r="JCT45" s="47"/>
      <c r="JCU45" s="47"/>
      <c r="JCV45" s="47"/>
      <c r="JCW45" s="47"/>
      <c r="JCX45" s="47"/>
      <c r="JCY45" s="47"/>
      <c r="JCZ45" s="47"/>
      <c r="JDA45" s="47"/>
      <c r="JDB45" s="47"/>
      <c r="JDC45" s="47"/>
      <c r="JDD45" s="47"/>
      <c r="JDE45" s="47"/>
      <c r="JDF45" s="47"/>
      <c r="JDG45" s="47"/>
      <c r="JDH45" s="47"/>
      <c r="JDI45" s="47"/>
      <c r="JDJ45" s="47"/>
      <c r="JDK45" s="47"/>
      <c r="JDL45" s="47"/>
      <c r="JDM45" s="47"/>
      <c r="JDN45" s="47"/>
      <c r="JDO45" s="47"/>
      <c r="JDP45" s="47"/>
      <c r="JDQ45" s="47"/>
      <c r="JDR45" s="47"/>
      <c r="JDS45" s="47"/>
      <c r="JDT45" s="47"/>
      <c r="JDU45" s="47"/>
      <c r="JDV45" s="47"/>
      <c r="JDW45" s="47"/>
      <c r="JDX45" s="47"/>
      <c r="JDY45" s="47"/>
      <c r="JDZ45" s="47"/>
      <c r="JEA45" s="47"/>
      <c r="JEB45" s="47"/>
      <c r="JEC45" s="47"/>
      <c r="JED45" s="47"/>
      <c r="JEE45" s="47"/>
      <c r="JEF45" s="47"/>
      <c r="JEG45" s="47"/>
      <c r="JEH45" s="47"/>
      <c r="JEI45" s="47"/>
      <c r="JEJ45" s="47"/>
      <c r="JEK45" s="47"/>
      <c r="JEL45" s="47"/>
      <c r="JEM45" s="47"/>
      <c r="JEN45" s="47"/>
      <c r="JEO45" s="47"/>
      <c r="JEP45" s="47"/>
      <c r="JEQ45" s="47"/>
      <c r="JER45" s="47"/>
      <c r="JES45" s="47"/>
      <c r="JET45" s="47"/>
      <c r="JEU45" s="47"/>
      <c r="JEV45" s="47"/>
      <c r="JEW45" s="47"/>
      <c r="JEX45" s="47"/>
      <c r="JEY45" s="47"/>
      <c r="JEZ45" s="47"/>
      <c r="JFA45" s="47"/>
      <c r="JFB45" s="47"/>
      <c r="JFC45" s="47"/>
      <c r="JFD45" s="47"/>
      <c r="JFE45" s="47"/>
      <c r="JFF45" s="47"/>
      <c r="JFG45" s="47"/>
      <c r="JFH45" s="47"/>
      <c r="JFI45" s="47"/>
      <c r="JFJ45" s="47"/>
      <c r="JFK45" s="47"/>
      <c r="JFL45" s="47"/>
      <c r="JFM45" s="47"/>
      <c r="JFN45" s="47"/>
      <c r="JFO45" s="47"/>
      <c r="JFP45" s="47"/>
      <c r="JFQ45" s="47"/>
      <c r="JFR45" s="47"/>
      <c r="JFS45" s="47"/>
      <c r="JFT45" s="47"/>
      <c r="JFU45" s="47"/>
      <c r="JFV45" s="47"/>
      <c r="JFW45" s="47"/>
      <c r="JFX45" s="47"/>
      <c r="JFY45" s="47"/>
      <c r="JFZ45" s="47"/>
      <c r="JGA45" s="47"/>
      <c r="JGB45" s="47"/>
      <c r="JGC45" s="47"/>
      <c r="JGD45" s="47"/>
      <c r="JGE45" s="47"/>
      <c r="JGF45" s="47"/>
      <c r="JGG45" s="47"/>
      <c r="JGH45" s="47"/>
      <c r="JGI45" s="47"/>
      <c r="JGJ45" s="47"/>
      <c r="JGK45" s="47"/>
      <c r="JGL45" s="47"/>
      <c r="JGM45" s="47"/>
      <c r="JGN45" s="47"/>
      <c r="JGO45" s="47"/>
      <c r="JGP45" s="47"/>
      <c r="JGQ45" s="47"/>
      <c r="JGR45" s="47"/>
      <c r="JGS45" s="47"/>
      <c r="JGT45" s="47"/>
      <c r="JGU45" s="47"/>
      <c r="JGV45" s="47"/>
      <c r="JGW45" s="47"/>
      <c r="JGX45" s="47"/>
      <c r="JGY45" s="47"/>
      <c r="JGZ45" s="47"/>
      <c r="JHA45" s="47"/>
      <c r="JHB45" s="47"/>
      <c r="JHC45" s="47"/>
      <c r="JHD45" s="47"/>
      <c r="JHE45" s="47"/>
      <c r="JHF45" s="47"/>
      <c r="JHG45" s="47"/>
      <c r="JHH45" s="47"/>
      <c r="JHI45" s="47"/>
      <c r="JHJ45" s="47"/>
      <c r="JHK45" s="47"/>
      <c r="JHL45" s="47"/>
      <c r="JHM45" s="47"/>
      <c r="JHN45" s="47"/>
      <c r="JHO45" s="47"/>
      <c r="JHP45" s="47"/>
      <c r="JHQ45" s="47"/>
      <c r="JHR45" s="47"/>
      <c r="JHS45" s="47"/>
      <c r="JHT45" s="47"/>
      <c r="JHU45" s="47"/>
      <c r="JHV45" s="47"/>
      <c r="JHW45" s="47"/>
      <c r="JHX45" s="47"/>
      <c r="JHY45" s="47"/>
      <c r="JHZ45" s="47"/>
      <c r="JIA45" s="47"/>
      <c r="JIB45" s="47"/>
      <c r="JIC45" s="47"/>
      <c r="JID45" s="47"/>
      <c r="JIE45" s="47"/>
      <c r="JIF45" s="47"/>
      <c r="JIG45" s="47"/>
      <c r="JIH45" s="47"/>
      <c r="JII45" s="47"/>
      <c r="JIJ45" s="47"/>
      <c r="JIK45" s="47"/>
      <c r="JIL45" s="47"/>
      <c r="JIM45" s="47"/>
      <c r="JIN45" s="47"/>
      <c r="JIO45" s="47"/>
      <c r="JIP45" s="47"/>
      <c r="JIQ45" s="47"/>
      <c r="JIR45" s="47"/>
      <c r="JIS45" s="47"/>
      <c r="JIT45" s="47"/>
      <c r="JIU45" s="47"/>
      <c r="JIV45" s="47"/>
      <c r="JIW45" s="47"/>
      <c r="JIX45" s="47"/>
      <c r="JIY45" s="47"/>
      <c r="JIZ45" s="47"/>
      <c r="JJA45" s="47"/>
      <c r="JJB45" s="47"/>
      <c r="JJC45" s="47"/>
      <c r="JJD45" s="47"/>
      <c r="JJE45" s="47"/>
      <c r="JJF45" s="47"/>
      <c r="JJG45" s="47"/>
      <c r="JJH45" s="47"/>
      <c r="JJI45" s="47"/>
      <c r="JJJ45" s="47"/>
      <c r="JJK45" s="47"/>
      <c r="JJL45" s="47"/>
      <c r="JJM45" s="47"/>
      <c r="JJN45" s="47"/>
      <c r="JJO45" s="47"/>
      <c r="JJP45" s="47"/>
      <c r="JJQ45" s="47"/>
      <c r="JJR45" s="47"/>
      <c r="JJS45" s="47"/>
      <c r="JJT45" s="47"/>
      <c r="JJU45" s="47"/>
      <c r="JJV45" s="47"/>
      <c r="JJW45" s="47"/>
      <c r="JJX45" s="47"/>
      <c r="JJY45" s="47"/>
      <c r="JJZ45" s="47"/>
      <c r="JKA45" s="47"/>
      <c r="JKB45" s="47"/>
      <c r="JKC45" s="47"/>
      <c r="JKD45" s="47"/>
      <c r="JKE45" s="47"/>
      <c r="JKF45" s="47"/>
      <c r="JKG45" s="47"/>
      <c r="JKH45" s="47"/>
      <c r="JKI45" s="47"/>
      <c r="JKJ45" s="47"/>
      <c r="JKK45" s="47"/>
      <c r="JKL45" s="47"/>
      <c r="JKM45" s="47"/>
      <c r="JKN45" s="47"/>
      <c r="JKO45" s="47"/>
      <c r="JKP45" s="47"/>
      <c r="JKQ45" s="47"/>
      <c r="JKR45" s="47"/>
      <c r="JKS45" s="47"/>
      <c r="JKT45" s="47"/>
      <c r="JKU45" s="47"/>
      <c r="JKV45" s="47"/>
      <c r="JKW45" s="47"/>
      <c r="JKX45" s="47"/>
      <c r="JKY45" s="47"/>
      <c r="JKZ45" s="47"/>
      <c r="JLA45" s="47"/>
      <c r="JLB45" s="47"/>
      <c r="JLC45" s="47"/>
      <c r="JLD45" s="47"/>
      <c r="JLE45" s="47"/>
      <c r="JLF45" s="47"/>
      <c r="JLG45" s="47"/>
      <c r="JLH45" s="47"/>
      <c r="JLI45" s="47"/>
      <c r="JLJ45" s="47"/>
      <c r="JLK45" s="47"/>
      <c r="JLL45" s="47"/>
      <c r="JLM45" s="47"/>
      <c r="JLN45" s="47"/>
      <c r="JLO45" s="47"/>
      <c r="JLP45" s="47"/>
      <c r="JLQ45" s="47"/>
      <c r="JLR45" s="47"/>
      <c r="JLS45" s="47"/>
      <c r="JLT45" s="47"/>
      <c r="JLU45" s="47"/>
      <c r="JLV45" s="47"/>
      <c r="JLW45" s="47"/>
      <c r="JLX45" s="47"/>
      <c r="JLY45" s="47"/>
      <c r="JLZ45" s="47"/>
      <c r="JMA45" s="47"/>
      <c r="JMB45" s="47"/>
      <c r="JMC45" s="47"/>
      <c r="JMD45" s="47"/>
      <c r="JME45" s="47"/>
      <c r="JMF45" s="47"/>
      <c r="JMG45" s="47"/>
      <c r="JMH45" s="47"/>
      <c r="JMI45" s="47"/>
      <c r="JMJ45" s="47"/>
      <c r="JMK45" s="47"/>
      <c r="JML45" s="47"/>
      <c r="JMM45" s="47"/>
      <c r="JMN45" s="47"/>
      <c r="JMO45" s="47"/>
      <c r="JMP45" s="47"/>
      <c r="JMQ45" s="47"/>
      <c r="JMR45" s="47"/>
      <c r="JMS45" s="47"/>
      <c r="JMT45" s="47"/>
      <c r="JMU45" s="47"/>
      <c r="JMV45" s="47"/>
      <c r="JMW45" s="47"/>
      <c r="JMX45" s="47"/>
      <c r="JMY45" s="47"/>
      <c r="JMZ45" s="47"/>
      <c r="JNA45" s="47"/>
      <c r="JNB45" s="47"/>
      <c r="JNC45" s="47"/>
      <c r="JND45" s="47"/>
      <c r="JNE45" s="47"/>
      <c r="JNF45" s="47"/>
      <c r="JNG45" s="47"/>
      <c r="JNH45" s="47"/>
      <c r="JNI45" s="47"/>
      <c r="JNJ45" s="47"/>
      <c r="JNK45" s="47"/>
      <c r="JNL45" s="47"/>
      <c r="JNM45" s="47"/>
      <c r="JNN45" s="47"/>
      <c r="JNO45" s="47"/>
      <c r="JNP45" s="47"/>
      <c r="JNQ45" s="47"/>
      <c r="JNR45" s="47"/>
      <c r="JNS45" s="47"/>
      <c r="JNT45" s="47"/>
      <c r="JNU45" s="47"/>
      <c r="JNV45" s="47"/>
      <c r="JNW45" s="47"/>
      <c r="JNX45" s="47"/>
      <c r="JNY45" s="47"/>
      <c r="JNZ45" s="47"/>
      <c r="JOA45" s="47"/>
      <c r="JOB45" s="47"/>
      <c r="JOC45" s="47"/>
      <c r="JOD45" s="47"/>
      <c r="JOE45" s="47"/>
      <c r="JOF45" s="47"/>
      <c r="JOG45" s="47"/>
      <c r="JOH45" s="47"/>
      <c r="JOI45" s="47"/>
      <c r="JOJ45" s="47"/>
      <c r="JOK45" s="47"/>
      <c r="JOL45" s="47"/>
      <c r="JOM45" s="47"/>
      <c r="JON45" s="47"/>
      <c r="JOO45" s="47"/>
      <c r="JOP45" s="47"/>
      <c r="JOQ45" s="47"/>
      <c r="JOR45" s="47"/>
      <c r="JOS45" s="47"/>
      <c r="JOT45" s="47"/>
      <c r="JOU45" s="47"/>
      <c r="JOV45" s="47"/>
      <c r="JOW45" s="47"/>
      <c r="JOX45" s="47"/>
      <c r="JOY45" s="47"/>
      <c r="JOZ45" s="47"/>
      <c r="JPA45" s="47"/>
      <c r="JPB45" s="47"/>
      <c r="JPC45" s="47"/>
      <c r="JPD45" s="47"/>
      <c r="JPE45" s="47"/>
      <c r="JPF45" s="47"/>
      <c r="JPG45" s="47"/>
      <c r="JPH45" s="47"/>
      <c r="JPI45" s="47"/>
      <c r="JPJ45" s="47"/>
      <c r="JPK45" s="47"/>
      <c r="JPL45" s="47"/>
      <c r="JPM45" s="47"/>
      <c r="JPN45" s="47"/>
      <c r="JPO45" s="47"/>
      <c r="JPP45" s="47"/>
      <c r="JPQ45" s="47"/>
      <c r="JPR45" s="47"/>
      <c r="JPS45" s="47"/>
      <c r="JPT45" s="47"/>
      <c r="JPU45" s="47"/>
      <c r="JPV45" s="47"/>
      <c r="JPW45" s="47"/>
      <c r="JPX45" s="47"/>
      <c r="JPY45" s="47"/>
      <c r="JPZ45" s="47"/>
      <c r="JQA45" s="47"/>
      <c r="JQB45" s="47"/>
      <c r="JQC45" s="47"/>
      <c r="JQD45" s="47"/>
      <c r="JQE45" s="47"/>
      <c r="JQF45" s="47"/>
      <c r="JQG45" s="47"/>
      <c r="JQH45" s="47"/>
      <c r="JQI45" s="47"/>
      <c r="JQJ45" s="47"/>
      <c r="JQK45" s="47"/>
      <c r="JQL45" s="47"/>
      <c r="JQM45" s="47"/>
      <c r="JQN45" s="47"/>
      <c r="JQO45" s="47"/>
      <c r="JQP45" s="47"/>
      <c r="JQQ45" s="47"/>
      <c r="JQR45" s="47"/>
      <c r="JQS45" s="47"/>
      <c r="JQT45" s="47"/>
      <c r="JQU45" s="47"/>
      <c r="JQV45" s="47"/>
      <c r="JQW45" s="47"/>
      <c r="JQX45" s="47"/>
      <c r="JQY45" s="47"/>
      <c r="JQZ45" s="47"/>
      <c r="JRA45" s="47"/>
      <c r="JRB45" s="47"/>
      <c r="JRC45" s="47"/>
      <c r="JRD45" s="47"/>
      <c r="JRE45" s="47"/>
      <c r="JRF45" s="47"/>
      <c r="JRG45" s="47"/>
      <c r="JRH45" s="47"/>
      <c r="JRI45" s="47"/>
      <c r="JRJ45" s="47"/>
      <c r="JRK45" s="47"/>
      <c r="JRL45" s="47"/>
      <c r="JRM45" s="47"/>
      <c r="JRN45" s="47"/>
      <c r="JRO45" s="47"/>
      <c r="JRP45" s="47"/>
      <c r="JRQ45" s="47"/>
      <c r="JRR45" s="47"/>
      <c r="JRS45" s="47"/>
      <c r="JRT45" s="47"/>
      <c r="JRU45" s="47"/>
      <c r="JRV45" s="47"/>
      <c r="JRW45" s="47"/>
      <c r="JRX45" s="47"/>
      <c r="JRY45" s="47"/>
      <c r="JRZ45" s="47"/>
      <c r="JSA45" s="47"/>
      <c r="JSB45" s="47"/>
      <c r="JSC45" s="47"/>
      <c r="JSD45" s="47"/>
      <c r="JSE45" s="47"/>
      <c r="JSF45" s="47"/>
      <c r="JSG45" s="47"/>
      <c r="JSH45" s="47"/>
      <c r="JSI45" s="47"/>
      <c r="JSJ45" s="47"/>
      <c r="JSK45" s="47"/>
      <c r="JSL45" s="47"/>
      <c r="JSM45" s="47"/>
      <c r="JSN45" s="47"/>
      <c r="JSO45" s="47"/>
      <c r="JSP45" s="47"/>
      <c r="JSQ45" s="47"/>
      <c r="JSR45" s="47"/>
      <c r="JSS45" s="47"/>
      <c r="JST45" s="47"/>
      <c r="JSU45" s="47"/>
      <c r="JSV45" s="47"/>
      <c r="JSW45" s="47"/>
      <c r="JSX45" s="47"/>
      <c r="JSY45" s="47"/>
      <c r="JSZ45" s="47"/>
      <c r="JTA45" s="47"/>
      <c r="JTB45" s="47"/>
      <c r="JTC45" s="47"/>
      <c r="JTD45" s="47"/>
      <c r="JTE45" s="47"/>
      <c r="JTF45" s="47"/>
      <c r="JTG45" s="47"/>
      <c r="JTH45" s="47"/>
      <c r="JTI45" s="47"/>
      <c r="JTJ45" s="47"/>
      <c r="JTK45" s="47"/>
      <c r="JTL45" s="47"/>
      <c r="JTM45" s="47"/>
      <c r="JTN45" s="47"/>
      <c r="JTO45" s="47"/>
      <c r="JTP45" s="47"/>
      <c r="JTQ45" s="47"/>
      <c r="JTR45" s="47"/>
      <c r="JTS45" s="47"/>
      <c r="JTT45" s="47"/>
      <c r="JTU45" s="47"/>
      <c r="JTV45" s="47"/>
      <c r="JTW45" s="47"/>
      <c r="JTX45" s="47"/>
      <c r="JTY45" s="47"/>
      <c r="JTZ45" s="47"/>
      <c r="JUA45" s="47"/>
      <c r="JUB45" s="47"/>
      <c r="JUC45" s="47"/>
      <c r="JUD45" s="47"/>
      <c r="JUE45" s="47"/>
      <c r="JUF45" s="47"/>
      <c r="JUG45" s="47"/>
      <c r="JUH45" s="47"/>
      <c r="JUI45" s="47"/>
      <c r="JUJ45" s="47"/>
      <c r="JUK45" s="47"/>
      <c r="JUL45" s="47"/>
      <c r="JUM45" s="47"/>
      <c r="JUN45" s="47"/>
      <c r="JUO45" s="47"/>
      <c r="JUP45" s="47"/>
      <c r="JUQ45" s="47"/>
      <c r="JUR45" s="47"/>
      <c r="JUS45" s="47"/>
      <c r="JUT45" s="47"/>
      <c r="JUU45" s="47"/>
      <c r="JUV45" s="47"/>
      <c r="JUW45" s="47"/>
      <c r="JUX45" s="47"/>
      <c r="JUY45" s="47"/>
      <c r="JUZ45" s="47"/>
      <c r="JVA45" s="47"/>
      <c r="JVB45" s="47"/>
      <c r="JVC45" s="47"/>
      <c r="JVD45" s="47"/>
      <c r="JVE45" s="47"/>
      <c r="JVF45" s="47"/>
      <c r="JVG45" s="47"/>
      <c r="JVH45" s="47"/>
      <c r="JVI45" s="47"/>
      <c r="JVJ45" s="47"/>
      <c r="JVK45" s="47"/>
      <c r="JVL45" s="47"/>
      <c r="JVM45" s="47"/>
      <c r="JVN45" s="47"/>
      <c r="JVO45" s="47"/>
      <c r="JVP45" s="47"/>
      <c r="JVQ45" s="47"/>
      <c r="JVR45" s="47"/>
      <c r="JVS45" s="47"/>
      <c r="JVT45" s="47"/>
      <c r="JVU45" s="47"/>
      <c r="JVV45" s="47"/>
      <c r="JVW45" s="47"/>
      <c r="JVX45" s="47"/>
      <c r="JVY45" s="47"/>
      <c r="JVZ45" s="47"/>
      <c r="JWA45" s="47"/>
      <c r="JWB45" s="47"/>
      <c r="JWC45" s="47"/>
      <c r="JWD45" s="47"/>
      <c r="JWE45" s="47"/>
      <c r="JWF45" s="47"/>
      <c r="JWG45" s="47"/>
      <c r="JWH45" s="47"/>
      <c r="JWI45" s="47"/>
      <c r="JWJ45" s="47"/>
      <c r="JWK45" s="47"/>
      <c r="JWL45" s="47"/>
      <c r="JWM45" s="47"/>
      <c r="JWN45" s="47"/>
      <c r="JWO45" s="47"/>
      <c r="JWP45" s="47"/>
      <c r="JWQ45" s="47"/>
      <c r="JWR45" s="47"/>
      <c r="JWS45" s="47"/>
      <c r="JWT45" s="47"/>
      <c r="JWU45" s="47"/>
      <c r="JWV45" s="47"/>
      <c r="JWW45" s="47"/>
      <c r="JWX45" s="47"/>
      <c r="JWY45" s="47"/>
      <c r="JWZ45" s="47"/>
      <c r="JXA45" s="47"/>
      <c r="JXB45" s="47"/>
      <c r="JXC45" s="47"/>
      <c r="JXD45" s="47"/>
      <c r="JXE45" s="47"/>
      <c r="JXF45" s="47"/>
      <c r="JXG45" s="47"/>
      <c r="JXH45" s="47"/>
      <c r="JXI45" s="47"/>
      <c r="JXJ45" s="47"/>
      <c r="JXK45" s="47"/>
      <c r="JXL45" s="47"/>
      <c r="JXM45" s="47"/>
      <c r="JXN45" s="47"/>
      <c r="JXO45" s="47"/>
      <c r="JXP45" s="47"/>
      <c r="JXQ45" s="47"/>
      <c r="JXR45" s="47"/>
      <c r="JXS45" s="47"/>
      <c r="JXT45" s="47"/>
      <c r="JXU45" s="47"/>
      <c r="JXV45" s="47"/>
      <c r="JXW45" s="47"/>
      <c r="JXX45" s="47"/>
      <c r="JXY45" s="47"/>
      <c r="JXZ45" s="47"/>
      <c r="JYA45" s="47"/>
      <c r="JYB45" s="47"/>
      <c r="JYC45" s="47"/>
      <c r="JYD45" s="47"/>
      <c r="JYE45" s="47"/>
      <c r="JYF45" s="47"/>
      <c r="JYG45" s="47"/>
      <c r="JYH45" s="47"/>
      <c r="JYI45" s="47"/>
      <c r="JYJ45" s="47"/>
      <c r="JYK45" s="47"/>
      <c r="JYL45" s="47"/>
      <c r="JYM45" s="47"/>
      <c r="JYN45" s="47"/>
      <c r="JYO45" s="47"/>
      <c r="JYP45" s="47"/>
      <c r="JYQ45" s="47"/>
      <c r="JYR45" s="47"/>
      <c r="JYS45" s="47"/>
      <c r="JYT45" s="47"/>
      <c r="JYU45" s="47"/>
      <c r="JYV45" s="47"/>
      <c r="JYW45" s="47"/>
      <c r="JYX45" s="47"/>
      <c r="JYY45" s="47"/>
      <c r="JYZ45" s="47"/>
      <c r="JZA45" s="47"/>
      <c r="JZB45" s="47"/>
      <c r="JZC45" s="47"/>
      <c r="JZD45" s="47"/>
      <c r="JZE45" s="47"/>
      <c r="JZF45" s="47"/>
      <c r="JZG45" s="47"/>
      <c r="JZH45" s="47"/>
      <c r="JZI45" s="47"/>
      <c r="JZJ45" s="47"/>
      <c r="JZK45" s="47"/>
      <c r="JZL45" s="47"/>
      <c r="JZM45" s="47"/>
      <c r="JZN45" s="47"/>
      <c r="JZO45" s="47"/>
      <c r="JZP45" s="47"/>
      <c r="JZQ45" s="47"/>
      <c r="JZR45" s="47"/>
      <c r="JZS45" s="47"/>
      <c r="JZT45" s="47"/>
      <c r="JZU45" s="47"/>
      <c r="JZV45" s="47"/>
      <c r="JZW45" s="47"/>
      <c r="JZX45" s="47"/>
      <c r="JZY45" s="47"/>
      <c r="JZZ45" s="47"/>
      <c r="KAA45" s="47"/>
      <c r="KAB45" s="47"/>
      <c r="KAC45" s="47"/>
      <c r="KAD45" s="47"/>
      <c r="KAE45" s="47"/>
      <c r="KAF45" s="47"/>
      <c r="KAG45" s="47"/>
      <c r="KAH45" s="47"/>
      <c r="KAI45" s="47"/>
      <c r="KAJ45" s="47"/>
      <c r="KAK45" s="47"/>
      <c r="KAL45" s="47"/>
      <c r="KAM45" s="47"/>
      <c r="KAN45" s="47"/>
      <c r="KAO45" s="47"/>
      <c r="KAP45" s="47"/>
      <c r="KAQ45" s="47"/>
      <c r="KAR45" s="47"/>
      <c r="KAS45" s="47"/>
      <c r="KAT45" s="47"/>
      <c r="KAU45" s="47"/>
      <c r="KAV45" s="47"/>
      <c r="KAW45" s="47"/>
      <c r="KAX45" s="47"/>
      <c r="KAY45" s="47"/>
      <c r="KAZ45" s="47"/>
      <c r="KBA45" s="47"/>
      <c r="KBB45" s="47"/>
      <c r="KBC45" s="47"/>
      <c r="KBD45" s="47"/>
      <c r="KBE45" s="47"/>
      <c r="KBF45" s="47"/>
      <c r="KBG45" s="47"/>
      <c r="KBH45" s="47"/>
      <c r="KBI45" s="47"/>
      <c r="KBJ45" s="47"/>
      <c r="KBK45" s="47"/>
      <c r="KBL45" s="47"/>
      <c r="KBM45" s="47"/>
      <c r="KBN45" s="47"/>
      <c r="KBO45" s="47"/>
      <c r="KBP45" s="47"/>
      <c r="KBQ45" s="47"/>
      <c r="KBR45" s="47"/>
      <c r="KBS45" s="47"/>
      <c r="KBT45" s="47"/>
      <c r="KBU45" s="47"/>
      <c r="KBV45" s="47"/>
      <c r="KBW45" s="47"/>
      <c r="KBX45" s="47"/>
      <c r="KBY45" s="47"/>
      <c r="KBZ45" s="47"/>
      <c r="KCA45" s="47"/>
      <c r="KCB45" s="47"/>
      <c r="KCC45" s="47"/>
      <c r="KCD45" s="47"/>
      <c r="KCE45" s="47"/>
      <c r="KCF45" s="47"/>
      <c r="KCG45" s="47"/>
      <c r="KCH45" s="47"/>
      <c r="KCI45" s="47"/>
      <c r="KCJ45" s="47"/>
      <c r="KCK45" s="47"/>
      <c r="KCL45" s="47"/>
      <c r="KCM45" s="47"/>
      <c r="KCN45" s="47"/>
      <c r="KCO45" s="47"/>
      <c r="KCP45" s="47"/>
      <c r="KCQ45" s="47"/>
      <c r="KCR45" s="47"/>
      <c r="KCS45" s="47"/>
      <c r="KCT45" s="47"/>
      <c r="KCU45" s="47"/>
      <c r="KCV45" s="47"/>
      <c r="KCW45" s="47"/>
      <c r="KCX45" s="47"/>
      <c r="KCY45" s="47"/>
      <c r="KCZ45" s="47"/>
      <c r="KDA45" s="47"/>
      <c r="KDB45" s="47"/>
      <c r="KDC45" s="47"/>
      <c r="KDD45" s="47"/>
      <c r="KDE45" s="47"/>
      <c r="KDF45" s="47"/>
      <c r="KDG45" s="47"/>
      <c r="KDH45" s="47"/>
      <c r="KDI45" s="47"/>
      <c r="KDJ45" s="47"/>
      <c r="KDK45" s="47"/>
      <c r="KDL45" s="47"/>
      <c r="KDM45" s="47"/>
      <c r="KDN45" s="47"/>
      <c r="KDO45" s="47"/>
      <c r="KDP45" s="47"/>
      <c r="KDQ45" s="47"/>
      <c r="KDR45" s="47"/>
      <c r="KDS45" s="47"/>
      <c r="KDT45" s="47"/>
      <c r="KDU45" s="47"/>
      <c r="KDV45" s="47"/>
      <c r="KDW45" s="47"/>
      <c r="KDX45" s="47"/>
      <c r="KDY45" s="47"/>
      <c r="KDZ45" s="47"/>
      <c r="KEA45" s="47"/>
      <c r="KEB45" s="47"/>
      <c r="KEC45" s="47"/>
      <c r="KED45" s="47"/>
      <c r="KEE45" s="47"/>
      <c r="KEF45" s="47"/>
      <c r="KEG45" s="47"/>
      <c r="KEH45" s="47"/>
      <c r="KEI45" s="47"/>
      <c r="KEJ45" s="47"/>
      <c r="KEK45" s="47"/>
      <c r="KEL45" s="47"/>
      <c r="KEM45" s="47"/>
      <c r="KEN45" s="47"/>
      <c r="KEO45" s="47"/>
      <c r="KEP45" s="47"/>
      <c r="KEQ45" s="47"/>
      <c r="KER45" s="47"/>
      <c r="KES45" s="47"/>
      <c r="KET45" s="47"/>
      <c r="KEU45" s="47"/>
      <c r="KEV45" s="47"/>
      <c r="KEW45" s="47"/>
      <c r="KEX45" s="47"/>
      <c r="KEY45" s="47"/>
      <c r="KEZ45" s="47"/>
      <c r="KFA45" s="47"/>
      <c r="KFB45" s="47"/>
      <c r="KFC45" s="47"/>
      <c r="KFD45" s="47"/>
      <c r="KFE45" s="47"/>
      <c r="KFF45" s="47"/>
      <c r="KFG45" s="47"/>
      <c r="KFH45" s="47"/>
      <c r="KFI45" s="47"/>
      <c r="KFJ45" s="47"/>
      <c r="KFK45" s="47"/>
      <c r="KFL45" s="47"/>
      <c r="KFM45" s="47"/>
      <c r="KFN45" s="47"/>
      <c r="KFO45" s="47"/>
      <c r="KFP45" s="47"/>
      <c r="KFQ45" s="47"/>
      <c r="KFR45" s="47"/>
      <c r="KFS45" s="47"/>
      <c r="KFT45" s="47"/>
      <c r="KFU45" s="47"/>
      <c r="KFV45" s="47"/>
      <c r="KFW45" s="47"/>
      <c r="KFX45" s="47"/>
      <c r="KFY45" s="47"/>
      <c r="KFZ45" s="47"/>
      <c r="KGA45" s="47"/>
      <c r="KGB45" s="47"/>
      <c r="KGC45" s="47"/>
      <c r="KGD45" s="47"/>
      <c r="KGE45" s="47"/>
      <c r="KGF45" s="47"/>
      <c r="KGG45" s="47"/>
      <c r="KGH45" s="47"/>
      <c r="KGI45" s="47"/>
      <c r="KGJ45" s="47"/>
      <c r="KGK45" s="47"/>
      <c r="KGL45" s="47"/>
      <c r="KGM45" s="47"/>
      <c r="KGN45" s="47"/>
      <c r="KGO45" s="47"/>
      <c r="KGP45" s="47"/>
      <c r="KGQ45" s="47"/>
      <c r="KGR45" s="47"/>
      <c r="KGS45" s="47"/>
      <c r="KGT45" s="47"/>
      <c r="KGU45" s="47"/>
      <c r="KGV45" s="47"/>
      <c r="KGW45" s="47"/>
      <c r="KGX45" s="47"/>
      <c r="KGY45" s="47"/>
      <c r="KGZ45" s="47"/>
      <c r="KHA45" s="47"/>
      <c r="KHB45" s="47"/>
      <c r="KHC45" s="47"/>
      <c r="KHD45" s="47"/>
      <c r="KHE45" s="47"/>
      <c r="KHF45" s="47"/>
      <c r="KHG45" s="47"/>
      <c r="KHH45" s="47"/>
      <c r="KHI45" s="47"/>
      <c r="KHJ45" s="47"/>
      <c r="KHK45" s="47"/>
      <c r="KHL45" s="47"/>
      <c r="KHM45" s="47"/>
      <c r="KHN45" s="47"/>
      <c r="KHO45" s="47"/>
      <c r="KHP45" s="47"/>
      <c r="KHQ45" s="47"/>
      <c r="KHR45" s="47"/>
      <c r="KHS45" s="47"/>
      <c r="KHT45" s="47"/>
      <c r="KHU45" s="47"/>
      <c r="KHV45" s="47"/>
      <c r="KHW45" s="47"/>
      <c r="KHX45" s="47"/>
      <c r="KHY45" s="47"/>
      <c r="KHZ45" s="47"/>
      <c r="KIA45" s="47"/>
      <c r="KIB45" s="47"/>
      <c r="KIC45" s="47"/>
      <c r="KID45" s="47"/>
      <c r="KIE45" s="47"/>
      <c r="KIF45" s="47"/>
      <c r="KIG45" s="47"/>
      <c r="KIH45" s="47"/>
      <c r="KII45" s="47"/>
      <c r="KIJ45" s="47"/>
      <c r="KIK45" s="47"/>
      <c r="KIL45" s="47"/>
      <c r="KIM45" s="47"/>
      <c r="KIN45" s="47"/>
      <c r="KIO45" s="47"/>
      <c r="KIP45" s="47"/>
      <c r="KIQ45" s="47"/>
      <c r="KIR45" s="47"/>
      <c r="KIS45" s="47"/>
      <c r="KIT45" s="47"/>
      <c r="KIU45" s="47"/>
      <c r="KIV45" s="47"/>
      <c r="KIW45" s="47"/>
      <c r="KIX45" s="47"/>
      <c r="KIY45" s="47"/>
      <c r="KIZ45" s="47"/>
      <c r="KJA45" s="47"/>
      <c r="KJB45" s="47"/>
      <c r="KJC45" s="47"/>
      <c r="KJD45" s="47"/>
      <c r="KJE45" s="47"/>
      <c r="KJF45" s="47"/>
      <c r="KJG45" s="47"/>
      <c r="KJH45" s="47"/>
      <c r="KJI45" s="47"/>
      <c r="KJJ45" s="47"/>
      <c r="KJK45" s="47"/>
      <c r="KJL45" s="47"/>
      <c r="KJM45" s="47"/>
      <c r="KJN45" s="47"/>
      <c r="KJO45" s="47"/>
      <c r="KJP45" s="47"/>
      <c r="KJQ45" s="47"/>
      <c r="KJR45" s="47"/>
      <c r="KJS45" s="47"/>
      <c r="KJT45" s="47"/>
      <c r="KJU45" s="47"/>
      <c r="KJV45" s="47"/>
      <c r="KJW45" s="47"/>
      <c r="KJX45" s="47"/>
      <c r="KJY45" s="47"/>
      <c r="KJZ45" s="47"/>
      <c r="KKA45" s="47"/>
      <c r="KKB45" s="47"/>
      <c r="KKC45" s="47"/>
      <c r="KKD45" s="47"/>
      <c r="KKE45" s="47"/>
      <c r="KKF45" s="47"/>
      <c r="KKG45" s="47"/>
      <c r="KKH45" s="47"/>
      <c r="KKI45" s="47"/>
      <c r="KKJ45" s="47"/>
      <c r="KKK45" s="47"/>
      <c r="KKL45" s="47"/>
      <c r="KKM45" s="47"/>
      <c r="KKN45" s="47"/>
      <c r="KKO45" s="47"/>
      <c r="KKP45" s="47"/>
      <c r="KKQ45" s="47"/>
      <c r="KKR45" s="47"/>
      <c r="KKS45" s="47"/>
      <c r="KKT45" s="47"/>
      <c r="KKU45" s="47"/>
      <c r="KKV45" s="47"/>
      <c r="KKW45" s="47"/>
      <c r="KKX45" s="47"/>
      <c r="KKY45" s="47"/>
      <c r="KKZ45" s="47"/>
      <c r="KLA45" s="47"/>
      <c r="KLB45" s="47"/>
      <c r="KLC45" s="47"/>
      <c r="KLD45" s="47"/>
      <c r="KLE45" s="47"/>
      <c r="KLF45" s="47"/>
      <c r="KLG45" s="47"/>
      <c r="KLH45" s="47"/>
      <c r="KLI45" s="47"/>
      <c r="KLJ45" s="47"/>
      <c r="KLK45" s="47"/>
      <c r="KLL45" s="47"/>
      <c r="KLM45" s="47"/>
      <c r="KLN45" s="47"/>
      <c r="KLO45" s="47"/>
      <c r="KLP45" s="47"/>
      <c r="KLQ45" s="47"/>
      <c r="KLR45" s="47"/>
      <c r="KLS45" s="47"/>
      <c r="KLT45" s="47"/>
      <c r="KLU45" s="47"/>
      <c r="KLV45" s="47"/>
      <c r="KLW45" s="47"/>
      <c r="KLX45" s="47"/>
      <c r="KLY45" s="47"/>
      <c r="KLZ45" s="47"/>
      <c r="KMA45" s="47"/>
      <c r="KMB45" s="47"/>
      <c r="KMC45" s="47"/>
      <c r="KMD45" s="47"/>
      <c r="KME45" s="47"/>
      <c r="KMF45" s="47"/>
      <c r="KMG45" s="47"/>
      <c r="KMH45" s="47"/>
      <c r="KMI45" s="47"/>
      <c r="KMJ45" s="47"/>
      <c r="KMK45" s="47"/>
      <c r="KML45" s="47"/>
      <c r="KMM45" s="47"/>
      <c r="KMN45" s="47"/>
      <c r="KMO45" s="47"/>
      <c r="KMP45" s="47"/>
      <c r="KMQ45" s="47"/>
      <c r="KMR45" s="47"/>
      <c r="KMS45" s="47"/>
      <c r="KMT45" s="47"/>
      <c r="KMU45" s="47"/>
      <c r="KMV45" s="47"/>
      <c r="KMW45" s="47"/>
      <c r="KMX45" s="47"/>
      <c r="KMY45" s="47"/>
      <c r="KMZ45" s="47"/>
      <c r="KNA45" s="47"/>
      <c r="KNB45" s="47"/>
      <c r="KNC45" s="47"/>
      <c r="KND45" s="47"/>
      <c r="KNE45" s="47"/>
      <c r="KNF45" s="47"/>
      <c r="KNG45" s="47"/>
      <c r="KNH45" s="47"/>
      <c r="KNI45" s="47"/>
      <c r="KNJ45" s="47"/>
      <c r="KNK45" s="47"/>
      <c r="KNL45" s="47"/>
      <c r="KNM45" s="47"/>
      <c r="KNN45" s="47"/>
      <c r="KNO45" s="47"/>
      <c r="KNP45" s="47"/>
      <c r="KNQ45" s="47"/>
      <c r="KNR45" s="47"/>
      <c r="KNS45" s="47"/>
      <c r="KNT45" s="47"/>
      <c r="KNU45" s="47"/>
      <c r="KNV45" s="47"/>
      <c r="KNW45" s="47"/>
      <c r="KNX45" s="47"/>
      <c r="KNY45" s="47"/>
      <c r="KNZ45" s="47"/>
      <c r="KOA45" s="47"/>
      <c r="KOB45" s="47"/>
      <c r="KOC45" s="47"/>
      <c r="KOD45" s="47"/>
      <c r="KOE45" s="47"/>
      <c r="KOF45" s="47"/>
      <c r="KOG45" s="47"/>
      <c r="KOH45" s="47"/>
      <c r="KOI45" s="47"/>
      <c r="KOJ45" s="47"/>
      <c r="KOK45" s="47"/>
      <c r="KOL45" s="47"/>
      <c r="KOM45" s="47"/>
      <c r="KON45" s="47"/>
      <c r="KOO45" s="47"/>
      <c r="KOP45" s="47"/>
      <c r="KOQ45" s="47"/>
      <c r="KOR45" s="47"/>
      <c r="KOS45" s="47"/>
      <c r="KOT45" s="47"/>
      <c r="KOU45" s="47"/>
      <c r="KOV45" s="47"/>
      <c r="KOW45" s="47"/>
      <c r="KOX45" s="47"/>
      <c r="KOY45" s="47"/>
      <c r="KOZ45" s="47"/>
      <c r="KPA45" s="47"/>
      <c r="KPB45" s="47"/>
      <c r="KPC45" s="47"/>
      <c r="KPD45" s="47"/>
      <c r="KPE45" s="47"/>
      <c r="KPF45" s="47"/>
      <c r="KPG45" s="47"/>
      <c r="KPH45" s="47"/>
      <c r="KPI45" s="47"/>
      <c r="KPJ45" s="47"/>
      <c r="KPK45" s="47"/>
      <c r="KPL45" s="47"/>
      <c r="KPM45" s="47"/>
      <c r="KPN45" s="47"/>
      <c r="KPO45" s="47"/>
      <c r="KPP45" s="47"/>
      <c r="KPQ45" s="47"/>
      <c r="KPR45" s="47"/>
      <c r="KPS45" s="47"/>
      <c r="KPT45" s="47"/>
      <c r="KPU45" s="47"/>
      <c r="KPV45" s="47"/>
      <c r="KPW45" s="47"/>
      <c r="KPX45" s="47"/>
      <c r="KPY45" s="47"/>
      <c r="KPZ45" s="47"/>
      <c r="KQA45" s="47"/>
      <c r="KQB45" s="47"/>
      <c r="KQC45" s="47"/>
      <c r="KQD45" s="47"/>
      <c r="KQE45" s="47"/>
      <c r="KQF45" s="47"/>
      <c r="KQG45" s="47"/>
      <c r="KQH45" s="47"/>
      <c r="KQI45" s="47"/>
      <c r="KQJ45" s="47"/>
      <c r="KQK45" s="47"/>
      <c r="KQL45" s="47"/>
      <c r="KQM45" s="47"/>
      <c r="KQN45" s="47"/>
      <c r="KQO45" s="47"/>
      <c r="KQP45" s="47"/>
      <c r="KQQ45" s="47"/>
      <c r="KQR45" s="47"/>
      <c r="KQS45" s="47"/>
      <c r="KQT45" s="47"/>
      <c r="KQU45" s="47"/>
      <c r="KQV45" s="47"/>
      <c r="KQW45" s="47"/>
      <c r="KQX45" s="47"/>
      <c r="KQY45" s="47"/>
      <c r="KQZ45" s="47"/>
      <c r="KRA45" s="47"/>
      <c r="KRB45" s="47"/>
      <c r="KRC45" s="47"/>
      <c r="KRD45" s="47"/>
      <c r="KRE45" s="47"/>
      <c r="KRF45" s="47"/>
      <c r="KRG45" s="47"/>
      <c r="KRH45" s="47"/>
      <c r="KRI45" s="47"/>
      <c r="KRJ45" s="47"/>
      <c r="KRK45" s="47"/>
      <c r="KRL45" s="47"/>
      <c r="KRM45" s="47"/>
      <c r="KRN45" s="47"/>
      <c r="KRO45" s="47"/>
      <c r="KRP45" s="47"/>
      <c r="KRQ45" s="47"/>
      <c r="KRR45" s="47"/>
      <c r="KRS45" s="47"/>
      <c r="KRT45" s="47"/>
      <c r="KRU45" s="47"/>
      <c r="KRV45" s="47"/>
      <c r="KRW45" s="47"/>
      <c r="KRX45" s="47"/>
      <c r="KRY45" s="47"/>
      <c r="KRZ45" s="47"/>
      <c r="KSA45" s="47"/>
      <c r="KSB45" s="47"/>
      <c r="KSC45" s="47"/>
      <c r="KSD45" s="47"/>
      <c r="KSE45" s="47"/>
      <c r="KSF45" s="47"/>
      <c r="KSG45" s="47"/>
      <c r="KSH45" s="47"/>
      <c r="KSI45" s="47"/>
      <c r="KSJ45" s="47"/>
      <c r="KSK45" s="47"/>
      <c r="KSL45" s="47"/>
      <c r="KSM45" s="47"/>
      <c r="KSN45" s="47"/>
      <c r="KSO45" s="47"/>
      <c r="KSP45" s="47"/>
      <c r="KSQ45" s="47"/>
      <c r="KSR45" s="47"/>
      <c r="KSS45" s="47"/>
      <c r="KST45" s="47"/>
      <c r="KSU45" s="47"/>
      <c r="KSV45" s="47"/>
      <c r="KSW45" s="47"/>
      <c r="KSX45" s="47"/>
      <c r="KSY45" s="47"/>
      <c r="KSZ45" s="47"/>
      <c r="KTA45" s="47"/>
      <c r="KTB45" s="47"/>
      <c r="KTC45" s="47"/>
      <c r="KTD45" s="47"/>
      <c r="KTE45" s="47"/>
      <c r="KTF45" s="47"/>
      <c r="KTG45" s="47"/>
      <c r="KTH45" s="47"/>
      <c r="KTI45" s="47"/>
      <c r="KTJ45" s="47"/>
      <c r="KTK45" s="47"/>
      <c r="KTL45" s="47"/>
      <c r="KTM45" s="47"/>
      <c r="KTN45" s="47"/>
      <c r="KTO45" s="47"/>
      <c r="KTP45" s="47"/>
      <c r="KTQ45" s="47"/>
      <c r="KTR45" s="47"/>
      <c r="KTS45" s="47"/>
      <c r="KTT45" s="47"/>
      <c r="KTU45" s="47"/>
      <c r="KTV45" s="47"/>
      <c r="KTW45" s="47"/>
      <c r="KTX45" s="47"/>
      <c r="KTY45" s="47"/>
      <c r="KTZ45" s="47"/>
      <c r="KUA45" s="47"/>
      <c r="KUB45" s="47"/>
      <c r="KUC45" s="47"/>
      <c r="KUD45" s="47"/>
      <c r="KUE45" s="47"/>
      <c r="KUF45" s="47"/>
      <c r="KUG45" s="47"/>
      <c r="KUH45" s="47"/>
      <c r="KUI45" s="47"/>
      <c r="KUJ45" s="47"/>
      <c r="KUK45" s="47"/>
      <c r="KUL45" s="47"/>
      <c r="KUM45" s="47"/>
      <c r="KUN45" s="47"/>
      <c r="KUO45" s="47"/>
      <c r="KUP45" s="47"/>
      <c r="KUQ45" s="47"/>
      <c r="KUR45" s="47"/>
      <c r="KUS45" s="47"/>
      <c r="KUT45" s="47"/>
      <c r="KUU45" s="47"/>
      <c r="KUV45" s="47"/>
      <c r="KUW45" s="47"/>
      <c r="KUX45" s="47"/>
      <c r="KUY45" s="47"/>
      <c r="KUZ45" s="47"/>
      <c r="KVA45" s="47"/>
      <c r="KVB45" s="47"/>
      <c r="KVC45" s="47"/>
      <c r="KVD45" s="47"/>
      <c r="KVE45" s="47"/>
      <c r="KVF45" s="47"/>
      <c r="KVG45" s="47"/>
      <c r="KVH45" s="47"/>
      <c r="KVI45" s="47"/>
      <c r="KVJ45" s="47"/>
      <c r="KVK45" s="47"/>
      <c r="KVL45" s="47"/>
      <c r="KVM45" s="47"/>
      <c r="KVN45" s="47"/>
      <c r="KVO45" s="47"/>
      <c r="KVP45" s="47"/>
      <c r="KVQ45" s="47"/>
      <c r="KVR45" s="47"/>
      <c r="KVS45" s="47"/>
      <c r="KVT45" s="47"/>
      <c r="KVU45" s="47"/>
      <c r="KVV45" s="47"/>
      <c r="KVW45" s="47"/>
      <c r="KVX45" s="47"/>
      <c r="KVY45" s="47"/>
      <c r="KVZ45" s="47"/>
      <c r="KWA45" s="47"/>
      <c r="KWB45" s="47"/>
      <c r="KWC45" s="47"/>
      <c r="KWD45" s="47"/>
      <c r="KWE45" s="47"/>
      <c r="KWF45" s="47"/>
      <c r="KWG45" s="47"/>
      <c r="KWH45" s="47"/>
      <c r="KWI45" s="47"/>
      <c r="KWJ45" s="47"/>
      <c r="KWK45" s="47"/>
      <c r="KWL45" s="47"/>
      <c r="KWM45" s="47"/>
      <c r="KWN45" s="47"/>
      <c r="KWO45" s="47"/>
      <c r="KWP45" s="47"/>
      <c r="KWQ45" s="47"/>
      <c r="KWR45" s="47"/>
      <c r="KWS45" s="47"/>
      <c r="KWT45" s="47"/>
      <c r="KWU45" s="47"/>
      <c r="KWV45" s="47"/>
      <c r="KWW45" s="47"/>
      <c r="KWX45" s="47"/>
      <c r="KWY45" s="47"/>
      <c r="KWZ45" s="47"/>
      <c r="KXA45" s="47"/>
      <c r="KXB45" s="47"/>
      <c r="KXC45" s="47"/>
      <c r="KXD45" s="47"/>
      <c r="KXE45" s="47"/>
      <c r="KXF45" s="47"/>
      <c r="KXG45" s="47"/>
      <c r="KXH45" s="47"/>
      <c r="KXI45" s="47"/>
      <c r="KXJ45" s="47"/>
      <c r="KXK45" s="47"/>
      <c r="KXL45" s="47"/>
      <c r="KXM45" s="47"/>
      <c r="KXN45" s="47"/>
      <c r="KXO45" s="47"/>
      <c r="KXP45" s="47"/>
      <c r="KXQ45" s="47"/>
      <c r="KXR45" s="47"/>
      <c r="KXS45" s="47"/>
      <c r="KXT45" s="47"/>
      <c r="KXU45" s="47"/>
      <c r="KXV45" s="47"/>
      <c r="KXW45" s="47"/>
      <c r="KXX45" s="47"/>
      <c r="KXY45" s="47"/>
      <c r="KXZ45" s="47"/>
      <c r="KYA45" s="47"/>
      <c r="KYB45" s="47"/>
      <c r="KYC45" s="47"/>
      <c r="KYD45" s="47"/>
      <c r="KYE45" s="47"/>
      <c r="KYF45" s="47"/>
      <c r="KYG45" s="47"/>
      <c r="KYH45" s="47"/>
      <c r="KYI45" s="47"/>
      <c r="KYJ45" s="47"/>
      <c r="KYK45" s="47"/>
      <c r="KYL45" s="47"/>
      <c r="KYM45" s="47"/>
      <c r="KYN45" s="47"/>
      <c r="KYO45" s="47"/>
      <c r="KYP45" s="47"/>
      <c r="KYQ45" s="47"/>
      <c r="KYR45" s="47"/>
      <c r="KYS45" s="47"/>
      <c r="KYT45" s="47"/>
      <c r="KYU45" s="47"/>
      <c r="KYV45" s="47"/>
      <c r="KYW45" s="47"/>
      <c r="KYX45" s="47"/>
      <c r="KYY45" s="47"/>
      <c r="KYZ45" s="47"/>
      <c r="KZA45" s="47"/>
      <c r="KZB45" s="47"/>
      <c r="KZC45" s="47"/>
      <c r="KZD45" s="47"/>
      <c r="KZE45" s="47"/>
      <c r="KZF45" s="47"/>
      <c r="KZG45" s="47"/>
      <c r="KZH45" s="47"/>
      <c r="KZI45" s="47"/>
      <c r="KZJ45" s="47"/>
      <c r="KZK45" s="47"/>
      <c r="KZL45" s="47"/>
      <c r="KZM45" s="47"/>
      <c r="KZN45" s="47"/>
      <c r="KZO45" s="47"/>
      <c r="KZP45" s="47"/>
      <c r="KZQ45" s="47"/>
      <c r="KZR45" s="47"/>
      <c r="KZS45" s="47"/>
      <c r="KZT45" s="47"/>
      <c r="KZU45" s="47"/>
      <c r="KZV45" s="47"/>
      <c r="KZW45" s="47"/>
      <c r="KZX45" s="47"/>
      <c r="KZY45" s="47"/>
      <c r="KZZ45" s="47"/>
      <c r="LAA45" s="47"/>
      <c r="LAB45" s="47"/>
      <c r="LAC45" s="47"/>
      <c r="LAD45" s="47"/>
      <c r="LAE45" s="47"/>
      <c r="LAF45" s="47"/>
      <c r="LAG45" s="47"/>
      <c r="LAH45" s="47"/>
      <c r="LAI45" s="47"/>
      <c r="LAJ45" s="47"/>
      <c r="LAK45" s="47"/>
      <c r="LAL45" s="47"/>
      <c r="LAM45" s="47"/>
      <c r="LAN45" s="47"/>
      <c r="LAO45" s="47"/>
      <c r="LAP45" s="47"/>
      <c r="LAQ45" s="47"/>
      <c r="LAR45" s="47"/>
      <c r="LAS45" s="47"/>
      <c r="LAT45" s="47"/>
      <c r="LAU45" s="47"/>
      <c r="LAV45" s="47"/>
      <c r="LAW45" s="47"/>
      <c r="LAX45" s="47"/>
      <c r="LAY45" s="47"/>
      <c r="LAZ45" s="47"/>
      <c r="LBA45" s="47"/>
      <c r="LBB45" s="47"/>
      <c r="LBC45" s="47"/>
      <c r="LBD45" s="47"/>
      <c r="LBE45" s="47"/>
      <c r="LBF45" s="47"/>
      <c r="LBG45" s="47"/>
      <c r="LBH45" s="47"/>
      <c r="LBI45" s="47"/>
      <c r="LBJ45" s="47"/>
      <c r="LBK45" s="47"/>
      <c r="LBL45" s="47"/>
      <c r="LBM45" s="47"/>
      <c r="LBN45" s="47"/>
      <c r="LBO45" s="47"/>
      <c r="LBP45" s="47"/>
      <c r="LBQ45" s="47"/>
      <c r="LBR45" s="47"/>
      <c r="LBS45" s="47"/>
      <c r="LBT45" s="47"/>
      <c r="LBU45" s="47"/>
      <c r="LBV45" s="47"/>
      <c r="LBW45" s="47"/>
      <c r="LBX45" s="47"/>
      <c r="LBY45" s="47"/>
      <c r="LBZ45" s="47"/>
      <c r="LCA45" s="47"/>
      <c r="LCB45" s="47"/>
      <c r="LCC45" s="47"/>
      <c r="LCD45" s="47"/>
      <c r="LCE45" s="47"/>
      <c r="LCF45" s="47"/>
      <c r="LCG45" s="47"/>
      <c r="LCH45" s="47"/>
      <c r="LCI45" s="47"/>
      <c r="LCJ45" s="47"/>
      <c r="LCK45" s="47"/>
      <c r="LCL45" s="47"/>
      <c r="LCM45" s="47"/>
      <c r="LCN45" s="47"/>
      <c r="LCO45" s="47"/>
      <c r="LCP45" s="47"/>
      <c r="LCQ45" s="47"/>
      <c r="LCR45" s="47"/>
      <c r="LCS45" s="47"/>
      <c r="LCT45" s="47"/>
      <c r="LCU45" s="47"/>
      <c r="LCV45" s="47"/>
      <c r="LCW45" s="47"/>
      <c r="LCX45" s="47"/>
      <c r="LCY45" s="47"/>
      <c r="LCZ45" s="47"/>
      <c r="LDA45" s="47"/>
      <c r="LDB45" s="47"/>
      <c r="LDC45" s="47"/>
      <c r="LDD45" s="47"/>
      <c r="LDE45" s="47"/>
      <c r="LDF45" s="47"/>
      <c r="LDG45" s="47"/>
      <c r="LDH45" s="47"/>
      <c r="LDI45" s="47"/>
      <c r="LDJ45" s="47"/>
      <c r="LDK45" s="47"/>
      <c r="LDL45" s="47"/>
      <c r="LDM45" s="47"/>
      <c r="LDN45" s="47"/>
      <c r="LDO45" s="47"/>
      <c r="LDP45" s="47"/>
      <c r="LDQ45" s="47"/>
      <c r="LDR45" s="47"/>
      <c r="LDS45" s="47"/>
      <c r="LDT45" s="47"/>
      <c r="LDU45" s="47"/>
      <c r="LDV45" s="47"/>
      <c r="LDW45" s="47"/>
      <c r="LDX45" s="47"/>
      <c r="LDY45" s="47"/>
      <c r="LDZ45" s="47"/>
      <c r="LEA45" s="47"/>
      <c r="LEB45" s="47"/>
      <c r="LEC45" s="47"/>
      <c r="LED45" s="47"/>
      <c r="LEE45" s="47"/>
      <c r="LEF45" s="47"/>
      <c r="LEG45" s="47"/>
      <c r="LEH45" s="47"/>
      <c r="LEI45" s="47"/>
      <c r="LEJ45" s="47"/>
      <c r="LEK45" s="47"/>
      <c r="LEL45" s="47"/>
      <c r="LEM45" s="47"/>
      <c r="LEN45" s="47"/>
      <c r="LEO45" s="47"/>
      <c r="LEP45" s="47"/>
      <c r="LEQ45" s="47"/>
      <c r="LER45" s="47"/>
      <c r="LES45" s="47"/>
      <c r="LET45" s="47"/>
      <c r="LEU45" s="47"/>
      <c r="LEV45" s="47"/>
      <c r="LEW45" s="47"/>
      <c r="LEX45" s="47"/>
      <c r="LEY45" s="47"/>
      <c r="LEZ45" s="47"/>
      <c r="LFA45" s="47"/>
      <c r="LFB45" s="47"/>
      <c r="LFC45" s="47"/>
      <c r="LFD45" s="47"/>
      <c r="LFE45" s="47"/>
      <c r="LFF45" s="47"/>
      <c r="LFG45" s="47"/>
      <c r="LFH45" s="47"/>
      <c r="LFI45" s="47"/>
      <c r="LFJ45" s="47"/>
      <c r="LFK45" s="47"/>
      <c r="LFL45" s="47"/>
      <c r="LFM45" s="47"/>
      <c r="LFN45" s="47"/>
      <c r="LFO45" s="47"/>
      <c r="LFP45" s="47"/>
      <c r="LFQ45" s="47"/>
      <c r="LFR45" s="47"/>
      <c r="LFS45" s="47"/>
      <c r="LFT45" s="47"/>
      <c r="LFU45" s="47"/>
      <c r="LFV45" s="47"/>
      <c r="LFW45" s="47"/>
      <c r="LFX45" s="47"/>
      <c r="LFY45" s="47"/>
      <c r="LFZ45" s="47"/>
      <c r="LGA45" s="47"/>
      <c r="LGB45" s="47"/>
      <c r="LGC45" s="47"/>
      <c r="LGD45" s="47"/>
      <c r="LGE45" s="47"/>
      <c r="LGF45" s="47"/>
      <c r="LGG45" s="47"/>
      <c r="LGH45" s="47"/>
      <c r="LGI45" s="47"/>
      <c r="LGJ45" s="47"/>
      <c r="LGK45" s="47"/>
      <c r="LGL45" s="47"/>
      <c r="LGM45" s="47"/>
      <c r="LGN45" s="47"/>
      <c r="LGO45" s="47"/>
      <c r="LGP45" s="47"/>
      <c r="LGQ45" s="47"/>
      <c r="LGR45" s="47"/>
      <c r="LGS45" s="47"/>
      <c r="LGT45" s="47"/>
      <c r="LGU45" s="47"/>
      <c r="LGV45" s="47"/>
      <c r="LGW45" s="47"/>
      <c r="LGX45" s="47"/>
      <c r="LGY45" s="47"/>
      <c r="LGZ45" s="47"/>
      <c r="LHA45" s="47"/>
      <c r="LHB45" s="47"/>
      <c r="LHC45" s="47"/>
      <c r="LHD45" s="47"/>
      <c r="LHE45" s="47"/>
      <c r="LHF45" s="47"/>
      <c r="LHG45" s="47"/>
      <c r="LHH45" s="47"/>
      <c r="LHI45" s="47"/>
      <c r="LHJ45" s="47"/>
      <c r="LHK45" s="47"/>
      <c r="LHL45" s="47"/>
      <c r="LHM45" s="47"/>
      <c r="LHN45" s="47"/>
      <c r="LHO45" s="47"/>
      <c r="LHP45" s="47"/>
      <c r="LHQ45" s="47"/>
      <c r="LHR45" s="47"/>
      <c r="LHS45" s="47"/>
      <c r="LHT45" s="47"/>
      <c r="LHU45" s="47"/>
      <c r="LHV45" s="47"/>
      <c r="LHW45" s="47"/>
      <c r="LHX45" s="47"/>
      <c r="LHY45" s="47"/>
      <c r="LHZ45" s="47"/>
      <c r="LIA45" s="47"/>
      <c r="LIB45" s="47"/>
      <c r="LIC45" s="47"/>
      <c r="LID45" s="47"/>
      <c r="LIE45" s="47"/>
      <c r="LIF45" s="47"/>
      <c r="LIG45" s="47"/>
      <c r="LIH45" s="47"/>
      <c r="LII45" s="47"/>
      <c r="LIJ45" s="47"/>
      <c r="LIK45" s="47"/>
      <c r="LIL45" s="47"/>
      <c r="LIM45" s="47"/>
      <c r="LIN45" s="47"/>
      <c r="LIO45" s="47"/>
      <c r="LIP45" s="47"/>
      <c r="LIQ45" s="47"/>
      <c r="LIR45" s="47"/>
      <c r="LIS45" s="47"/>
      <c r="LIT45" s="47"/>
      <c r="LIU45" s="47"/>
      <c r="LIV45" s="47"/>
      <c r="LIW45" s="47"/>
      <c r="LIX45" s="47"/>
      <c r="LIY45" s="47"/>
      <c r="LIZ45" s="47"/>
      <c r="LJA45" s="47"/>
      <c r="LJB45" s="47"/>
      <c r="LJC45" s="47"/>
      <c r="LJD45" s="47"/>
      <c r="LJE45" s="47"/>
      <c r="LJF45" s="47"/>
      <c r="LJG45" s="47"/>
      <c r="LJH45" s="47"/>
      <c r="LJI45" s="47"/>
      <c r="LJJ45" s="47"/>
      <c r="LJK45" s="47"/>
      <c r="LJL45" s="47"/>
      <c r="LJM45" s="47"/>
      <c r="LJN45" s="47"/>
      <c r="LJO45" s="47"/>
      <c r="LJP45" s="47"/>
      <c r="LJQ45" s="47"/>
      <c r="LJR45" s="47"/>
      <c r="LJS45" s="47"/>
      <c r="LJT45" s="47"/>
      <c r="LJU45" s="47"/>
      <c r="LJV45" s="47"/>
      <c r="LJW45" s="47"/>
      <c r="LJX45" s="47"/>
      <c r="LJY45" s="47"/>
      <c r="LJZ45" s="47"/>
      <c r="LKA45" s="47"/>
      <c r="LKB45" s="47"/>
      <c r="LKC45" s="47"/>
      <c r="LKD45" s="47"/>
      <c r="LKE45" s="47"/>
      <c r="LKF45" s="47"/>
      <c r="LKG45" s="47"/>
      <c r="LKH45" s="47"/>
      <c r="LKI45" s="47"/>
      <c r="LKJ45" s="47"/>
      <c r="LKK45" s="47"/>
      <c r="LKL45" s="47"/>
      <c r="LKM45" s="47"/>
      <c r="LKN45" s="47"/>
      <c r="LKO45" s="47"/>
      <c r="LKP45" s="47"/>
      <c r="LKQ45" s="47"/>
      <c r="LKR45" s="47"/>
      <c r="LKS45" s="47"/>
      <c r="LKT45" s="47"/>
      <c r="LKU45" s="47"/>
      <c r="LKV45" s="47"/>
      <c r="LKW45" s="47"/>
      <c r="LKX45" s="47"/>
      <c r="LKY45" s="47"/>
      <c r="LKZ45" s="47"/>
      <c r="LLA45" s="47"/>
      <c r="LLB45" s="47"/>
      <c r="LLC45" s="47"/>
      <c r="LLD45" s="47"/>
      <c r="LLE45" s="47"/>
      <c r="LLF45" s="47"/>
      <c r="LLG45" s="47"/>
      <c r="LLH45" s="47"/>
      <c r="LLI45" s="47"/>
      <c r="LLJ45" s="47"/>
      <c r="LLK45" s="47"/>
      <c r="LLL45" s="47"/>
      <c r="LLM45" s="47"/>
      <c r="LLN45" s="47"/>
      <c r="LLO45" s="47"/>
      <c r="LLP45" s="47"/>
      <c r="LLQ45" s="47"/>
      <c r="LLR45" s="47"/>
      <c r="LLS45" s="47"/>
      <c r="LLT45" s="47"/>
      <c r="LLU45" s="47"/>
      <c r="LLV45" s="47"/>
      <c r="LLW45" s="47"/>
      <c r="LLX45" s="47"/>
      <c r="LLY45" s="47"/>
      <c r="LLZ45" s="47"/>
      <c r="LMA45" s="47"/>
      <c r="LMB45" s="47"/>
      <c r="LMC45" s="47"/>
      <c r="LMD45" s="47"/>
      <c r="LME45" s="47"/>
      <c r="LMF45" s="47"/>
      <c r="LMG45" s="47"/>
      <c r="LMH45" s="47"/>
      <c r="LMI45" s="47"/>
      <c r="LMJ45" s="47"/>
      <c r="LMK45" s="47"/>
      <c r="LML45" s="47"/>
      <c r="LMM45" s="47"/>
      <c r="LMN45" s="47"/>
      <c r="LMO45" s="47"/>
      <c r="LMP45" s="47"/>
      <c r="LMQ45" s="47"/>
      <c r="LMR45" s="47"/>
      <c r="LMS45" s="47"/>
      <c r="LMT45" s="47"/>
      <c r="LMU45" s="47"/>
      <c r="LMV45" s="47"/>
      <c r="LMW45" s="47"/>
      <c r="LMX45" s="47"/>
      <c r="LMY45" s="47"/>
      <c r="LMZ45" s="47"/>
      <c r="LNA45" s="47"/>
      <c r="LNB45" s="47"/>
      <c r="LNC45" s="47"/>
      <c r="LND45" s="47"/>
      <c r="LNE45" s="47"/>
      <c r="LNF45" s="47"/>
      <c r="LNG45" s="47"/>
      <c r="LNH45" s="47"/>
      <c r="LNI45" s="47"/>
      <c r="LNJ45" s="47"/>
      <c r="LNK45" s="47"/>
      <c r="LNL45" s="47"/>
      <c r="LNM45" s="47"/>
      <c r="LNN45" s="47"/>
      <c r="LNO45" s="47"/>
      <c r="LNP45" s="47"/>
      <c r="LNQ45" s="47"/>
      <c r="LNR45" s="47"/>
      <c r="LNS45" s="47"/>
      <c r="LNT45" s="47"/>
      <c r="LNU45" s="47"/>
      <c r="LNV45" s="47"/>
      <c r="LNW45" s="47"/>
      <c r="LNX45" s="47"/>
      <c r="LNY45" s="47"/>
      <c r="LNZ45" s="47"/>
      <c r="LOA45" s="47"/>
      <c r="LOB45" s="47"/>
      <c r="LOC45" s="47"/>
      <c r="LOD45" s="47"/>
      <c r="LOE45" s="47"/>
      <c r="LOF45" s="47"/>
      <c r="LOG45" s="47"/>
      <c r="LOH45" s="47"/>
      <c r="LOI45" s="47"/>
      <c r="LOJ45" s="47"/>
      <c r="LOK45" s="47"/>
      <c r="LOL45" s="47"/>
      <c r="LOM45" s="47"/>
      <c r="LON45" s="47"/>
      <c r="LOO45" s="47"/>
      <c r="LOP45" s="47"/>
      <c r="LOQ45" s="47"/>
      <c r="LOR45" s="47"/>
      <c r="LOS45" s="47"/>
      <c r="LOT45" s="47"/>
      <c r="LOU45" s="47"/>
      <c r="LOV45" s="47"/>
      <c r="LOW45" s="47"/>
      <c r="LOX45" s="47"/>
      <c r="LOY45" s="47"/>
      <c r="LOZ45" s="47"/>
      <c r="LPA45" s="47"/>
      <c r="LPB45" s="47"/>
      <c r="LPC45" s="47"/>
      <c r="LPD45" s="47"/>
      <c r="LPE45" s="47"/>
      <c r="LPF45" s="47"/>
      <c r="LPG45" s="47"/>
      <c r="LPH45" s="47"/>
      <c r="LPI45" s="47"/>
      <c r="LPJ45" s="47"/>
      <c r="LPK45" s="47"/>
      <c r="LPL45" s="47"/>
      <c r="LPM45" s="47"/>
      <c r="LPN45" s="47"/>
      <c r="LPO45" s="47"/>
      <c r="LPP45" s="47"/>
      <c r="LPQ45" s="47"/>
      <c r="LPR45" s="47"/>
      <c r="LPS45" s="47"/>
      <c r="LPT45" s="47"/>
      <c r="LPU45" s="47"/>
      <c r="LPV45" s="47"/>
      <c r="LPW45" s="47"/>
      <c r="LPX45" s="47"/>
      <c r="LPY45" s="47"/>
      <c r="LPZ45" s="47"/>
      <c r="LQA45" s="47"/>
      <c r="LQB45" s="47"/>
      <c r="LQC45" s="47"/>
      <c r="LQD45" s="47"/>
      <c r="LQE45" s="47"/>
      <c r="LQF45" s="47"/>
      <c r="LQG45" s="47"/>
      <c r="LQH45" s="47"/>
      <c r="LQI45" s="47"/>
      <c r="LQJ45" s="47"/>
      <c r="LQK45" s="47"/>
      <c r="LQL45" s="47"/>
      <c r="LQM45" s="47"/>
      <c r="LQN45" s="47"/>
      <c r="LQO45" s="47"/>
      <c r="LQP45" s="47"/>
      <c r="LQQ45" s="47"/>
      <c r="LQR45" s="47"/>
      <c r="LQS45" s="47"/>
      <c r="LQT45" s="47"/>
      <c r="LQU45" s="47"/>
      <c r="LQV45" s="47"/>
      <c r="LQW45" s="47"/>
      <c r="LQX45" s="47"/>
      <c r="LQY45" s="47"/>
      <c r="LQZ45" s="47"/>
      <c r="LRA45" s="47"/>
      <c r="LRB45" s="47"/>
      <c r="LRC45" s="47"/>
      <c r="LRD45" s="47"/>
      <c r="LRE45" s="47"/>
      <c r="LRF45" s="47"/>
      <c r="LRG45" s="47"/>
      <c r="LRH45" s="47"/>
      <c r="LRI45" s="47"/>
      <c r="LRJ45" s="47"/>
      <c r="LRK45" s="47"/>
      <c r="LRL45" s="47"/>
      <c r="LRM45" s="47"/>
      <c r="LRN45" s="47"/>
      <c r="LRO45" s="47"/>
      <c r="LRP45" s="47"/>
      <c r="LRQ45" s="47"/>
      <c r="LRR45" s="47"/>
      <c r="LRS45" s="47"/>
      <c r="LRT45" s="47"/>
      <c r="LRU45" s="47"/>
      <c r="LRV45" s="47"/>
      <c r="LRW45" s="47"/>
      <c r="LRX45" s="47"/>
      <c r="LRY45" s="47"/>
      <c r="LRZ45" s="47"/>
      <c r="LSA45" s="47"/>
      <c r="LSB45" s="47"/>
      <c r="LSC45" s="47"/>
      <c r="LSD45" s="47"/>
      <c r="LSE45" s="47"/>
      <c r="LSF45" s="47"/>
      <c r="LSG45" s="47"/>
      <c r="LSH45" s="47"/>
      <c r="LSI45" s="47"/>
      <c r="LSJ45" s="47"/>
      <c r="LSK45" s="47"/>
      <c r="LSL45" s="47"/>
      <c r="LSM45" s="47"/>
      <c r="LSN45" s="47"/>
      <c r="LSO45" s="47"/>
      <c r="LSP45" s="47"/>
      <c r="LSQ45" s="47"/>
      <c r="LSR45" s="47"/>
      <c r="LSS45" s="47"/>
      <c r="LST45" s="47"/>
      <c r="LSU45" s="47"/>
      <c r="LSV45" s="47"/>
      <c r="LSW45" s="47"/>
      <c r="LSX45" s="47"/>
      <c r="LSY45" s="47"/>
      <c r="LSZ45" s="47"/>
      <c r="LTA45" s="47"/>
      <c r="LTB45" s="47"/>
      <c r="LTC45" s="47"/>
      <c r="LTD45" s="47"/>
      <c r="LTE45" s="47"/>
      <c r="LTF45" s="47"/>
      <c r="LTG45" s="47"/>
      <c r="LTH45" s="47"/>
      <c r="LTI45" s="47"/>
      <c r="LTJ45" s="47"/>
      <c r="LTK45" s="47"/>
      <c r="LTL45" s="47"/>
      <c r="LTM45" s="47"/>
      <c r="LTN45" s="47"/>
      <c r="LTO45" s="47"/>
      <c r="LTP45" s="47"/>
      <c r="LTQ45" s="47"/>
      <c r="LTR45" s="47"/>
      <c r="LTS45" s="47"/>
      <c r="LTT45" s="47"/>
      <c r="LTU45" s="47"/>
      <c r="LTV45" s="47"/>
      <c r="LTW45" s="47"/>
      <c r="LTX45" s="47"/>
      <c r="LTY45" s="47"/>
      <c r="LTZ45" s="47"/>
      <c r="LUA45" s="47"/>
      <c r="LUB45" s="47"/>
      <c r="LUC45" s="47"/>
      <c r="LUD45" s="47"/>
      <c r="LUE45" s="47"/>
      <c r="LUF45" s="47"/>
      <c r="LUG45" s="47"/>
      <c r="LUH45" s="47"/>
      <c r="LUI45" s="47"/>
      <c r="LUJ45" s="47"/>
      <c r="LUK45" s="47"/>
      <c r="LUL45" s="47"/>
      <c r="LUM45" s="47"/>
      <c r="LUN45" s="47"/>
      <c r="LUO45" s="47"/>
      <c r="LUP45" s="47"/>
      <c r="LUQ45" s="47"/>
      <c r="LUR45" s="47"/>
      <c r="LUS45" s="47"/>
      <c r="LUT45" s="47"/>
      <c r="LUU45" s="47"/>
      <c r="LUV45" s="47"/>
      <c r="LUW45" s="47"/>
      <c r="LUX45" s="47"/>
      <c r="LUY45" s="47"/>
      <c r="LUZ45" s="47"/>
      <c r="LVA45" s="47"/>
      <c r="LVB45" s="47"/>
      <c r="LVC45" s="47"/>
      <c r="LVD45" s="47"/>
      <c r="LVE45" s="47"/>
      <c r="LVF45" s="47"/>
      <c r="LVG45" s="47"/>
      <c r="LVH45" s="47"/>
      <c r="LVI45" s="47"/>
      <c r="LVJ45" s="47"/>
      <c r="LVK45" s="47"/>
      <c r="LVL45" s="47"/>
      <c r="LVM45" s="47"/>
      <c r="LVN45" s="47"/>
      <c r="LVO45" s="47"/>
      <c r="LVP45" s="47"/>
      <c r="LVQ45" s="47"/>
      <c r="LVR45" s="47"/>
      <c r="LVS45" s="47"/>
      <c r="LVT45" s="47"/>
      <c r="LVU45" s="47"/>
      <c r="LVV45" s="47"/>
      <c r="LVW45" s="47"/>
      <c r="LVX45" s="47"/>
      <c r="LVY45" s="47"/>
      <c r="LVZ45" s="47"/>
      <c r="LWA45" s="47"/>
      <c r="LWB45" s="47"/>
      <c r="LWC45" s="47"/>
      <c r="LWD45" s="47"/>
      <c r="LWE45" s="47"/>
      <c r="LWF45" s="47"/>
      <c r="LWG45" s="47"/>
      <c r="LWH45" s="47"/>
      <c r="LWI45" s="47"/>
      <c r="LWJ45" s="47"/>
      <c r="LWK45" s="47"/>
      <c r="LWL45" s="47"/>
      <c r="LWM45" s="47"/>
      <c r="LWN45" s="47"/>
      <c r="LWO45" s="47"/>
      <c r="LWP45" s="47"/>
      <c r="LWQ45" s="47"/>
      <c r="LWR45" s="47"/>
      <c r="LWS45" s="47"/>
      <c r="LWT45" s="47"/>
      <c r="LWU45" s="47"/>
      <c r="LWV45" s="47"/>
      <c r="LWW45" s="47"/>
      <c r="LWX45" s="47"/>
      <c r="LWY45" s="47"/>
      <c r="LWZ45" s="47"/>
      <c r="LXA45" s="47"/>
      <c r="LXB45" s="47"/>
      <c r="LXC45" s="47"/>
      <c r="LXD45" s="47"/>
      <c r="LXE45" s="47"/>
      <c r="LXF45" s="47"/>
      <c r="LXG45" s="47"/>
      <c r="LXH45" s="47"/>
      <c r="LXI45" s="47"/>
      <c r="LXJ45" s="47"/>
      <c r="LXK45" s="47"/>
      <c r="LXL45" s="47"/>
      <c r="LXM45" s="47"/>
      <c r="LXN45" s="47"/>
      <c r="LXO45" s="47"/>
      <c r="LXP45" s="47"/>
      <c r="LXQ45" s="47"/>
      <c r="LXR45" s="47"/>
      <c r="LXS45" s="47"/>
      <c r="LXT45" s="47"/>
      <c r="LXU45" s="47"/>
      <c r="LXV45" s="47"/>
      <c r="LXW45" s="47"/>
      <c r="LXX45" s="47"/>
      <c r="LXY45" s="47"/>
      <c r="LXZ45" s="47"/>
      <c r="LYA45" s="47"/>
      <c r="LYB45" s="47"/>
      <c r="LYC45" s="47"/>
      <c r="LYD45" s="47"/>
      <c r="LYE45" s="47"/>
      <c r="LYF45" s="47"/>
      <c r="LYG45" s="47"/>
      <c r="LYH45" s="47"/>
      <c r="LYI45" s="47"/>
      <c r="LYJ45" s="47"/>
      <c r="LYK45" s="47"/>
      <c r="LYL45" s="47"/>
      <c r="LYM45" s="47"/>
      <c r="LYN45" s="47"/>
      <c r="LYO45" s="47"/>
      <c r="LYP45" s="47"/>
      <c r="LYQ45" s="47"/>
      <c r="LYR45" s="47"/>
      <c r="LYS45" s="47"/>
      <c r="LYT45" s="47"/>
      <c r="LYU45" s="47"/>
      <c r="LYV45" s="47"/>
      <c r="LYW45" s="47"/>
      <c r="LYX45" s="47"/>
      <c r="LYY45" s="47"/>
      <c r="LYZ45" s="47"/>
      <c r="LZA45" s="47"/>
      <c r="LZB45" s="47"/>
      <c r="LZC45" s="47"/>
      <c r="LZD45" s="47"/>
      <c r="LZE45" s="47"/>
      <c r="LZF45" s="47"/>
      <c r="LZG45" s="47"/>
      <c r="LZH45" s="47"/>
      <c r="LZI45" s="47"/>
      <c r="LZJ45" s="47"/>
      <c r="LZK45" s="47"/>
      <c r="LZL45" s="47"/>
      <c r="LZM45" s="47"/>
      <c r="LZN45" s="47"/>
      <c r="LZO45" s="47"/>
      <c r="LZP45" s="47"/>
      <c r="LZQ45" s="47"/>
      <c r="LZR45" s="47"/>
      <c r="LZS45" s="47"/>
      <c r="LZT45" s="47"/>
      <c r="LZU45" s="47"/>
      <c r="LZV45" s="47"/>
      <c r="LZW45" s="47"/>
      <c r="LZX45" s="47"/>
      <c r="LZY45" s="47"/>
      <c r="LZZ45" s="47"/>
      <c r="MAA45" s="47"/>
      <c r="MAB45" s="47"/>
      <c r="MAC45" s="47"/>
      <c r="MAD45" s="47"/>
      <c r="MAE45" s="47"/>
      <c r="MAF45" s="47"/>
      <c r="MAG45" s="47"/>
      <c r="MAH45" s="47"/>
      <c r="MAI45" s="47"/>
      <c r="MAJ45" s="47"/>
      <c r="MAK45" s="47"/>
      <c r="MAL45" s="47"/>
      <c r="MAM45" s="47"/>
      <c r="MAN45" s="47"/>
      <c r="MAO45" s="47"/>
      <c r="MAP45" s="47"/>
      <c r="MAQ45" s="47"/>
      <c r="MAR45" s="47"/>
      <c r="MAS45" s="47"/>
      <c r="MAT45" s="47"/>
      <c r="MAU45" s="47"/>
      <c r="MAV45" s="47"/>
      <c r="MAW45" s="47"/>
      <c r="MAX45" s="47"/>
      <c r="MAY45" s="47"/>
      <c r="MAZ45" s="47"/>
      <c r="MBA45" s="47"/>
      <c r="MBB45" s="47"/>
      <c r="MBC45" s="47"/>
      <c r="MBD45" s="47"/>
      <c r="MBE45" s="47"/>
      <c r="MBF45" s="47"/>
      <c r="MBG45" s="47"/>
      <c r="MBH45" s="47"/>
      <c r="MBI45" s="47"/>
      <c r="MBJ45" s="47"/>
      <c r="MBK45" s="47"/>
      <c r="MBL45" s="47"/>
      <c r="MBM45" s="47"/>
      <c r="MBN45" s="47"/>
      <c r="MBO45" s="47"/>
      <c r="MBP45" s="47"/>
      <c r="MBQ45" s="47"/>
      <c r="MBR45" s="47"/>
      <c r="MBS45" s="47"/>
      <c r="MBT45" s="47"/>
      <c r="MBU45" s="47"/>
      <c r="MBV45" s="47"/>
      <c r="MBW45" s="47"/>
      <c r="MBX45" s="47"/>
      <c r="MBY45" s="47"/>
      <c r="MBZ45" s="47"/>
      <c r="MCA45" s="47"/>
      <c r="MCB45" s="47"/>
      <c r="MCC45" s="47"/>
      <c r="MCD45" s="47"/>
      <c r="MCE45" s="47"/>
      <c r="MCF45" s="47"/>
      <c r="MCG45" s="47"/>
      <c r="MCH45" s="47"/>
      <c r="MCI45" s="47"/>
      <c r="MCJ45" s="47"/>
      <c r="MCK45" s="47"/>
      <c r="MCL45" s="47"/>
      <c r="MCM45" s="47"/>
      <c r="MCN45" s="47"/>
      <c r="MCO45" s="47"/>
      <c r="MCP45" s="47"/>
      <c r="MCQ45" s="47"/>
      <c r="MCR45" s="47"/>
      <c r="MCS45" s="47"/>
      <c r="MCT45" s="47"/>
      <c r="MCU45" s="47"/>
      <c r="MCV45" s="47"/>
      <c r="MCW45" s="47"/>
      <c r="MCX45" s="47"/>
      <c r="MCY45" s="47"/>
      <c r="MCZ45" s="47"/>
      <c r="MDA45" s="47"/>
      <c r="MDB45" s="47"/>
      <c r="MDC45" s="47"/>
      <c r="MDD45" s="47"/>
      <c r="MDE45" s="47"/>
      <c r="MDF45" s="47"/>
      <c r="MDG45" s="47"/>
      <c r="MDH45" s="47"/>
      <c r="MDI45" s="47"/>
      <c r="MDJ45" s="47"/>
      <c r="MDK45" s="47"/>
      <c r="MDL45" s="47"/>
      <c r="MDM45" s="47"/>
      <c r="MDN45" s="47"/>
      <c r="MDO45" s="47"/>
      <c r="MDP45" s="47"/>
      <c r="MDQ45" s="47"/>
      <c r="MDR45" s="47"/>
      <c r="MDS45" s="47"/>
      <c r="MDT45" s="47"/>
      <c r="MDU45" s="47"/>
      <c r="MDV45" s="47"/>
      <c r="MDW45" s="47"/>
      <c r="MDX45" s="47"/>
      <c r="MDY45" s="47"/>
      <c r="MDZ45" s="47"/>
      <c r="MEA45" s="47"/>
      <c r="MEB45" s="47"/>
      <c r="MEC45" s="47"/>
      <c r="MED45" s="47"/>
      <c r="MEE45" s="47"/>
      <c r="MEF45" s="47"/>
      <c r="MEG45" s="47"/>
      <c r="MEH45" s="47"/>
      <c r="MEI45" s="47"/>
      <c r="MEJ45" s="47"/>
      <c r="MEK45" s="47"/>
      <c r="MEL45" s="47"/>
      <c r="MEM45" s="47"/>
      <c r="MEN45" s="47"/>
      <c r="MEO45" s="47"/>
      <c r="MEP45" s="47"/>
      <c r="MEQ45" s="47"/>
      <c r="MER45" s="47"/>
      <c r="MES45" s="47"/>
      <c r="MET45" s="47"/>
      <c r="MEU45" s="47"/>
      <c r="MEV45" s="47"/>
      <c r="MEW45" s="47"/>
      <c r="MEX45" s="47"/>
      <c r="MEY45" s="47"/>
      <c r="MEZ45" s="47"/>
      <c r="MFA45" s="47"/>
      <c r="MFB45" s="47"/>
      <c r="MFC45" s="47"/>
      <c r="MFD45" s="47"/>
      <c r="MFE45" s="47"/>
      <c r="MFF45" s="47"/>
      <c r="MFG45" s="47"/>
      <c r="MFH45" s="47"/>
      <c r="MFI45" s="47"/>
      <c r="MFJ45" s="47"/>
      <c r="MFK45" s="47"/>
      <c r="MFL45" s="47"/>
      <c r="MFM45" s="47"/>
      <c r="MFN45" s="47"/>
      <c r="MFO45" s="47"/>
      <c r="MFP45" s="47"/>
      <c r="MFQ45" s="47"/>
      <c r="MFR45" s="47"/>
      <c r="MFS45" s="47"/>
      <c r="MFT45" s="47"/>
      <c r="MFU45" s="47"/>
      <c r="MFV45" s="47"/>
      <c r="MFW45" s="47"/>
      <c r="MFX45" s="47"/>
      <c r="MFY45" s="47"/>
      <c r="MFZ45" s="47"/>
      <c r="MGA45" s="47"/>
      <c r="MGB45" s="47"/>
      <c r="MGC45" s="47"/>
      <c r="MGD45" s="47"/>
      <c r="MGE45" s="47"/>
      <c r="MGF45" s="47"/>
      <c r="MGG45" s="47"/>
      <c r="MGH45" s="47"/>
      <c r="MGI45" s="47"/>
      <c r="MGJ45" s="47"/>
      <c r="MGK45" s="47"/>
      <c r="MGL45" s="47"/>
      <c r="MGM45" s="47"/>
      <c r="MGN45" s="47"/>
      <c r="MGO45" s="47"/>
      <c r="MGP45" s="47"/>
      <c r="MGQ45" s="47"/>
      <c r="MGR45" s="47"/>
      <c r="MGS45" s="47"/>
      <c r="MGT45" s="47"/>
      <c r="MGU45" s="47"/>
      <c r="MGV45" s="47"/>
      <c r="MGW45" s="47"/>
      <c r="MGX45" s="47"/>
      <c r="MGY45" s="47"/>
      <c r="MGZ45" s="47"/>
      <c r="MHA45" s="47"/>
      <c r="MHB45" s="47"/>
      <c r="MHC45" s="47"/>
      <c r="MHD45" s="47"/>
      <c r="MHE45" s="47"/>
      <c r="MHF45" s="47"/>
      <c r="MHG45" s="47"/>
      <c r="MHH45" s="47"/>
      <c r="MHI45" s="47"/>
      <c r="MHJ45" s="47"/>
      <c r="MHK45" s="47"/>
      <c r="MHL45" s="47"/>
      <c r="MHM45" s="47"/>
      <c r="MHN45" s="47"/>
      <c r="MHO45" s="47"/>
      <c r="MHP45" s="47"/>
      <c r="MHQ45" s="47"/>
      <c r="MHR45" s="47"/>
      <c r="MHS45" s="47"/>
      <c r="MHT45" s="47"/>
      <c r="MHU45" s="47"/>
      <c r="MHV45" s="47"/>
      <c r="MHW45" s="47"/>
      <c r="MHX45" s="47"/>
      <c r="MHY45" s="47"/>
      <c r="MHZ45" s="47"/>
      <c r="MIA45" s="47"/>
      <c r="MIB45" s="47"/>
      <c r="MIC45" s="47"/>
      <c r="MID45" s="47"/>
      <c r="MIE45" s="47"/>
      <c r="MIF45" s="47"/>
      <c r="MIG45" s="47"/>
      <c r="MIH45" s="47"/>
      <c r="MII45" s="47"/>
      <c r="MIJ45" s="47"/>
      <c r="MIK45" s="47"/>
      <c r="MIL45" s="47"/>
      <c r="MIM45" s="47"/>
      <c r="MIN45" s="47"/>
      <c r="MIO45" s="47"/>
      <c r="MIP45" s="47"/>
      <c r="MIQ45" s="47"/>
      <c r="MIR45" s="47"/>
      <c r="MIS45" s="47"/>
      <c r="MIT45" s="47"/>
      <c r="MIU45" s="47"/>
      <c r="MIV45" s="47"/>
      <c r="MIW45" s="47"/>
      <c r="MIX45" s="47"/>
      <c r="MIY45" s="47"/>
      <c r="MIZ45" s="47"/>
      <c r="MJA45" s="47"/>
      <c r="MJB45" s="47"/>
      <c r="MJC45" s="47"/>
      <c r="MJD45" s="47"/>
      <c r="MJE45" s="47"/>
      <c r="MJF45" s="47"/>
      <c r="MJG45" s="47"/>
      <c r="MJH45" s="47"/>
      <c r="MJI45" s="47"/>
      <c r="MJJ45" s="47"/>
      <c r="MJK45" s="47"/>
      <c r="MJL45" s="47"/>
      <c r="MJM45" s="47"/>
      <c r="MJN45" s="47"/>
      <c r="MJO45" s="47"/>
      <c r="MJP45" s="47"/>
      <c r="MJQ45" s="47"/>
      <c r="MJR45" s="47"/>
      <c r="MJS45" s="47"/>
      <c r="MJT45" s="47"/>
      <c r="MJU45" s="47"/>
      <c r="MJV45" s="47"/>
      <c r="MJW45" s="47"/>
      <c r="MJX45" s="47"/>
      <c r="MJY45" s="47"/>
      <c r="MJZ45" s="47"/>
      <c r="MKA45" s="47"/>
      <c r="MKB45" s="47"/>
      <c r="MKC45" s="47"/>
      <c r="MKD45" s="47"/>
      <c r="MKE45" s="47"/>
      <c r="MKF45" s="47"/>
      <c r="MKG45" s="47"/>
      <c r="MKH45" s="47"/>
      <c r="MKI45" s="47"/>
      <c r="MKJ45" s="47"/>
      <c r="MKK45" s="47"/>
      <c r="MKL45" s="47"/>
      <c r="MKM45" s="47"/>
      <c r="MKN45" s="47"/>
      <c r="MKO45" s="47"/>
      <c r="MKP45" s="47"/>
      <c r="MKQ45" s="47"/>
      <c r="MKR45" s="47"/>
      <c r="MKS45" s="47"/>
      <c r="MKT45" s="47"/>
      <c r="MKU45" s="47"/>
      <c r="MKV45" s="47"/>
      <c r="MKW45" s="47"/>
      <c r="MKX45" s="47"/>
      <c r="MKY45" s="47"/>
      <c r="MKZ45" s="47"/>
      <c r="MLA45" s="47"/>
      <c r="MLB45" s="47"/>
      <c r="MLC45" s="47"/>
      <c r="MLD45" s="47"/>
      <c r="MLE45" s="47"/>
      <c r="MLF45" s="47"/>
      <c r="MLG45" s="47"/>
      <c r="MLH45" s="47"/>
      <c r="MLI45" s="47"/>
      <c r="MLJ45" s="47"/>
      <c r="MLK45" s="47"/>
      <c r="MLL45" s="47"/>
      <c r="MLM45" s="47"/>
      <c r="MLN45" s="47"/>
      <c r="MLO45" s="47"/>
      <c r="MLP45" s="47"/>
      <c r="MLQ45" s="47"/>
      <c r="MLR45" s="47"/>
      <c r="MLS45" s="47"/>
      <c r="MLT45" s="47"/>
      <c r="MLU45" s="47"/>
      <c r="MLV45" s="47"/>
      <c r="MLW45" s="47"/>
      <c r="MLX45" s="47"/>
      <c r="MLY45" s="47"/>
      <c r="MLZ45" s="47"/>
      <c r="MMA45" s="47"/>
      <c r="MMB45" s="47"/>
      <c r="MMC45" s="47"/>
      <c r="MMD45" s="47"/>
      <c r="MME45" s="47"/>
      <c r="MMF45" s="47"/>
      <c r="MMG45" s="47"/>
      <c r="MMH45" s="47"/>
      <c r="MMI45" s="47"/>
      <c r="MMJ45" s="47"/>
      <c r="MMK45" s="47"/>
      <c r="MML45" s="47"/>
      <c r="MMM45" s="47"/>
      <c r="MMN45" s="47"/>
      <c r="MMO45" s="47"/>
      <c r="MMP45" s="47"/>
      <c r="MMQ45" s="47"/>
      <c r="MMR45" s="47"/>
      <c r="MMS45" s="47"/>
      <c r="MMT45" s="47"/>
      <c r="MMU45" s="47"/>
      <c r="MMV45" s="47"/>
      <c r="MMW45" s="47"/>
      <c r="MMX45" s="47"/>
      <c r="MMY45" s="47"/>
      <c r="MMZ45" s="47"/>
      <c r="MNA45" s="47"/>
      <c r="MNB45" s="47"/>
      <c r="MNC45" s="47"/>
      <c r="MND45" s="47"/>
      <c r="MNE45" s="47"/>
      <c r="MNF45" s="47"/>
      <c r="MNG45" s="47"/>
      <c r="MNH45" s="47"/>
      <c r="MNI45" s="47"/>
      <c r="MNJ45" s="47"/>
      <c r="MNK45" s="47"/>
      <c r="MNL45" s="47"/>
      <c r="MNM45" s="47"/>
      <c r="MNN45" s="47"/>
      <c r="MNO45" s="47"/>
      <c r="MNP45" s="47"/>
      <c r="MNQ45" s="47"/>
      <c r="MNR45" s="47"/>
      <c r="MNS45" s="47"/>
      <c r="MNT45" s="47"/>
      <c r="MNU45" s="47"/>
      <c r="MNV45" s="47"/>
      <c r="MNW45" s="47"/>
      <c r="MNX45" s="47"/>
      <c r="MNY45" s="47"/>
      <c r="MNZ45" s="47"/>
      <c r="MOA45" s="47"/>
      <c r="MOB45" s="47"/>
      <c r="MOC45" s="47"/>
      <c r="MOD45" s="47"/>
      <c r="MOE45" s="47"/>
      <c r="MOF45" s="47"/>
      <c r="MOG45" s="47"/>
      <c r="MOH45" s="47"/>
      <c r="MOI45" s="47"/>
      <c r="MOJ45" s="47"/>
      <c r="MOK45" s="47"/>
      <c r="MOL45" s="47"/>
      <c r="MOM45" s="47"/>
      <c r="MON45" s="47"/>
      <c r="MOO45" s="47"/>
      <c r="MOP45" s="47"/>
      <c r="MOQ45" s="47"/>
      <c r="MOR45" s="47"/>
      <c r="MOS45" s="47"/>
      <c r="MOT45" s="47"/>
      <c r="MOU45" s="47"/>
      <c r="MOV45" s="47"/>
      <c r="MOW45" s="47"/>
      <c r="MOX45" s="47"/>
      <c r="MOY45" s="47"/>
      <c r="MOZ45" s="47"/>
      <c r="MPA45" s="47"/>
      <c r="MPB45" s="47"/>
      <c r="MPC45" s="47"/>
      <c r="MPD45" s="47"/>
      <c r="MPE45" s="47"/>
      <c r="MPF45" s="47"/>
      <c r="MPG45" s="47"/>
      <c r="MPH45" s="47"/>
      <c r="MPI45" s="47"/>
      <c r="MPJ45" s="47"/>
      <c r="MPK45" s="47"/>
      <c r="MPL45" s="47"/>
      <c r="MPM45" s="47"/>
      <c r="MPN45" s="47"/>
      <c r="MPO45" s="47"/>
      <c r="MPP45" s="47"/>
      <c r="MPQ45" s="47"/>
      <c r="MPR45" s="47"/>
      <c r="MPS45" s="47"/>
      <c r="MPT45" s="47"/>
      <c r="MPU45" s="47"/>
      <c r="MPV45" s="47"/>
      <c r="MPW45" s="47"/>
      <c r="MPX45" s="47"/>
      <c r="MPY45" s="47"/>
      <c r="MPZ45" s="47"/>
      <c r="MQA45" s="47"/>
      <c r="MQB45" s="47"/>
      <c r="MQC45" s="47"/>
      <c r="MQD45" s="47"/>
      <c r="MQE45" s="47"/>
      <c r="MQF45" s="47"/>
      <c r="MQG45" s="47"/>
      <c r="MQH45" s="47"/>
      <c r="MQI45" s="47"/>
      <c r="MQJ45" s="47"/>
      <c r="MQK45" s="47"/>
      <c r="MQL45" s="47"/>
      <c r="MQM45" s="47"/>
      <c r="MQN45" s="47"/>
      <c r="MQO45" s="47"/>
      <c r="MQP45" s="47"/>
      <c r="MQQ45" s="47"/>
      <c r="MQR45" s="47"/>
      <c r="MQS45" s="47"/>
      <c r="MQT45" s="47"/>
      <c r="MQU45" s="47"/>
      <c r="MQV45" s="47"/>
      <c r="MQW45" s="47"/>
      <c r="MQX45" s="47"/>
      <c r="MQY45" s="47"/>
      <c r="MQZ45" s="47"/>
      <c r="MRA45" s="47"/>
      <c r="MRB45" s="47"/>
      <c r="MRC45" s="47"/>
      <c r="MRD45" s="47"/>
      <c r="MRE45" s="47"/>
      <c r="MRF45" s="47"/>
      <c r="MRG45" s="47"/>
      <c r="MRH45" s="47"/>
      <c r="MRI45" s="47"/>
      <c r="MRJ45" s="47"/>
      <c r="MRK45" s="47"/>
      <c r="MRL45" s="47"/>
      <c r="MRM45" s="47"/>
      <c r="MRN45" s="47"/>
      <c r="MRO45" s="47"/>
      <c r="MRP45" s="47"/>
      <c r="MRQ45" s="47"/>
      <c r="MRR45" s="47"/>
      <c r="MRS45" s="47"/>
      <c r="MRT45" s="47"/>
      <c r="MRU45" s="47"/>
      <c r="MRV45" s="47"/>
      <c r="MRW45" s="47"/>
      <c r="MRX45" s="47"/>
      <c r="MRY45" s="47"/>
      <c r="MRZ45" s="47"/>
      <c r="MSA45" s="47"/>
      <c r="MSB45" s="47"/>
      <c r="MSC45" s="47"/>
      <c r="MSD45" s="47"/>
      <c r="MSE45" s="47"/>
      <c r="MSF45" s="47"/>
      <c r="MSG45" s="47"/>
      <c r="MSH45" s="47"/>
      <c r="MSI45" s="47"/>
      <c r="MSJ45" s="47"/>
      <c r="MSK45" s="47"/>
      <c r="MSL45" s="47"/>
      <c r="MSM45" s="47"/>
      <c r="MSN45" s="47"/>
      <c r="MSO45" s="47"/>
      <c r="MSP45" s="47"/>
      <c r="MSQ45" s="47"/>
      <c r="MSR45" s="47"/>
      <c r="MSS45" s="47"/>
      <c r="MST45" s="47"/>
      <c r="MSU45" s="47"/>
      <c r="MSV45" s="47"/>
      <c r="MSW45" s="47"/>
      <c r="MSX45" s="47"/>
      <c r="MSY45" s="47"/>
      <c r="MSZ45" s="47"/>
      <c r="MTA45" s="47"/>
      <c r="MTB45" s="47"/>
      <c r="MTC45" s="47"/>
      <c r="MTD45" s="47"/>
      <c r="MTE45" s="47"/>
      <c r="MTF45" s="47"/>
      <c r="MTG45" s="47"/>
      <c r="MTH45" s="47"/>
      <c r="MTI45" s="47"/>
      <c r="MTJ45" s="47"/>
      <c r="MTK45" s="47"/>
      <c r="MTL45" s="47"/>
      <c r="MTM45" s="47"/>
      <c r="MTN45" s="47"/>
      <c r="MTO45" s="47"/>
      <c r="MTP45" s="47"/>
      <c r="MTQ45" s="47"/>
      <c r="MTR45" s="47"/>
      <c r="MTS45" s="47"/>
      <c r="MTT45" s="47"/>
      <c r="MTU45" s="47"/>
      <c r="MTV45" s="47"/>
      <c r="MTW45" s="47"/>
      <c r="MTX45" s="47"/>
      <c r="MTY45" s="47"/>
      <c r="MTZ45" s="47"/>
      <c r="MUA45" s="47"/>
      <c r="MUB45" s="47"/>
      <c r="MUC45" s="47"/>
      <c r="MUD45" s="47"/>
      <c r="MUE45" s="47"/>
      <c r="MUF45" s="47"/>
      <c r="MUG45" s="47"/>
      <c r="MUH45" s="47"/>
      <c r="MUI45" s="47"/>
      <c r="MUJ45" s="47"/>
      <c r="MUK45" s="47"/>
      <c r="MUL45" s="47"/>
      <c r="MUM45" s="47"/>
      <c r="MUN45" s="47"/>
      <c r="MUO45" s="47"/>
      <c r="MUP45" s="47"/>
      <c r="MUQ45" s="47"/>
      <c r="MUR45" s="47"/>
      <c r="MUS45" s="47"/>
      <c r="MUT45" s="47"/>
      <c r="MUU45" s="47"/>
      <c r="MUV45" s="47"/>
      <c r="MUW45" s="47"/>
      <c r="MUX45" s="47"/>
      <c r="MUY45" s="47"/>
      <c r="MUZ45" s="47"/>
      <c r="MVA45" s="47"/>
      <c r="MVB45" s="47"/>
      <c r="MVC45" s="47"/>
      <c r="MVD45" s="47"/>
      <c r="MVE45" s="47"/>
      <c r="MVF45" s="47"/>
      <c r="MVG45" s="47"/>
      <c r="MVH45" s="47"/>
      <c r="MVI45" s="47"/>
      <c r="MVJ45" s="47"/>
      <c r="MVK45" s="47"/>
      <c r="MVL45" s="47"/>
      <c r="MVM45" s="47"/>
      <c r="MVN45" s="47"/>
      <c r="MVO45" s="47"/>
      <c r="MVP45" s="47"/>
      <c r="MVQ45" s="47"/>
      <c r="MVR45" s="47"/>
      <c r="MVS45" s="47"/>
      <c r="MVT45" s="47"/>
      <c r="MVU45" s="47"/>
      <c r="MVV45" s="47"/>
      <c r="MVW45" s="47"/>
      <c r="MVX45" s="47"/>
      <c r="MVY45" s="47"/>
      <c r="MVZ45" s="47"/>
      <c r="MWA45" s="47"/>
      <c r="MWB45" s="47"/>
      <c r="MWC45" s="47"/>
      <c r="MWD45" s="47"/>
      <c r="MWE45" s="47"/>
      <c r="MWF45" s="47"/>
      <c r="MWG45" s="47"/>
      <c r="MWH45" s="47"/>
      <c r="MWI45" s="47"/>
      <c r="MWJ45" s="47"/>
      <c r="MWK45" s="47"/>
      <c r="MWL45" s="47"/>
      <c r="MWM45" s="47"/>
      <c r="MWN45" s="47"/>
      <c r="MWO45" s="47"/>
      <c r="MWP45" s="47"/>
      <c r="MWQ45" s="47"/>
      <c r="MWR45" s="47"/>
      <c r="MWS45" s="47"/>
      <c r="MWT45" s="47"/>
      <c r="MWU45" s="47"/>
      <c r="MWV45" s="47"/>
      <c r="MWW45" s="47"/>
      <c r="MWX45" s="47"/>
      <c r="MWY45" s="47"/>
      <c r="MWZ45" s="47"/>
      <c r="MXA45" s="47"/>
      <c r="MXB45" s="47"/>
      <c r="MXC45" s="47"/>
      <c r="MXD45" s="47"/>
      <c r="MXE45" s="47"/>
      <c r="MXF45" s="47"/>
      <c r="MXG45" s="47"/>
      <c r="MXH45" s="47"/>
      <c r="MXI45" s="47"/>
      <c r="MXJ45" s="47"/>
      <c r="MXK45" s="47"/>
      <c r="MXL45" s="47"/>
      <c r="MXM45" s="47"/>
      <c r="MXN45" s="47"/>
      <c r="MXO45" s="47"/>
      <c r="MXP45" s="47"/>
      <c r="MXQ45" s="47"/>
      <c r="MXR45" s="47"/>
      <c r="MXS45" s="47"/>
      <c r="MXT45" s="47"/>
      <c r="MXU45" s="47"/>
      <c r="MXV45" s="47"/>
      <c r="MXW45" s="47"/>
      <c r="MXX45" s="47"/>
      <c r="MXY45" s="47"/>
      <c r="MXZ45" s="47"/>
      <c r="MYA45" s="47"/>
      <c r="MYB45" s="47"/>
      <c r="MYC45" s="47"/>
      <c r="MYD45" s="47"/>
      <c r="MYE45" s="47"/>
      <c r="MYF45" s="47"/>
      <c r="MYG45" s="47"/>
      <c r="MYH45" s="47"/>
      <c r="MYI45" s="47"/>
      <c r="MYJ45" s="47"/>
      <c r="MYK45" s="47"/>
      <c r="MYL45" s="47"/>
      <c r="MYM45" s="47"/>
      <c r="MYN45" s="47"/>
      <c r="MYO45" s="47"/>
      <c r="MYP45" s="47"/>
      <c r="MYQ45" s="47"/>
      <c r="MYR45" s="47"/>
      <c r="MYS45" s="47"/>
      <c r="MYT45" s="47"/>
      <c r="MYU45" s="47"/>
      <c r="MYV45" s="47"/>
      <c r="MYW45" s="47"/>
      <c r="MYX45" s="47"/>
      <c r="MYY45" s="47"/>
      <c r="MYZ45" s="47"/>
      <c r="MZA45" s="47"/>
      <c r="MZB45" s="47"/>
      <c r="MZC45" s="47"/>
      <c r="MZD45" s="47"/>
      <c r="MZE45" s="47"/>
      <c r="MZF45" s="47"/>
      <c r="MZG45" s="47"/>
      <c r="MZH45" s="47"/>
      <c r="MZI45" s="47"/>
      <c r="MZJ45" s="47"/>
      <c r="MZK45" s="47"/>
      <c r="MZL45" s="47"/>
      <c r="MZM45" s="47"/>
      <c r="MZN45" s="47"/>
      <c r="MZO45" s="47"/>
      <c r="MZP45" s="47"/>
      <c r="MZQ45" s="47"/>
      <c r="MZR45" s="47"/>
      <c r="MZS45" s="47"/>
      <c r="MZT45" s="47"/>
      <c r="MZU45" s="47"/>
      <c r="MZV45" s="47"/>
      <c r="MZW45" s="47"/>
      <c r="MZX45" s="47"/>
      <c r="MZY45" s="47"/>
      <c r="MZZ45" s="47"/>
      <c r="NAA45" s="47"/>
      <c r="NAB45" s="47"/>
      <c r="NAC45" s="47"/>
      <c r="NAD45" s="47"/>
      <c r="NAE45" s="47"/>
      <c r="NAF45" s="47"/>
      <c r="NAG45" s="47"/>
      <c r="NAH45" s="47"/>
      <c r="NAI45" s="47"/>
      <c r="NAJ45" s="47"/>
      <c r="NAK45" s="47"/>
      <c r="NAL45" s="47"/>
      <c r="NAM45" s="47"/>
      <c r="NAN45" s="47"/>
      <c r="NAO45" s="47"/>
      <c r="NAP45" s="47"/>
      <c r="NAQ45" s="47"/>
      <c r="NAR45" s="47"/>
      <c r="NAS45" s="47"/>
      <c r="NAT45" s="47"/>
      <c r="NAU45" s="47"/>
      <c r="NAV45" s="47"/>
      <c r="NAW45" s="47"/>
      <c r="NAX45" s="47"/>
      <c r="NAY45" s="47"/>
      <c r="NAZ45" s="47"/>
      <c r="NBA45" s="47"/>
      <c r="NBB45" s="47"/>
      <c r="NBC45" s="47"/>
      <c r="NBD45" s="47"/>
      <c r="NBE45" s="47"/>
      <c r="NBF45" s="47"/>
      <c r="NBG45" s="47"/>
      <c r="NBH45" s="47"/>
      <c r="NBI45" s="47"/>
      <c r="NBJ45" s="47"/>
      <c r="NBK45" s="47"/>
      <c r="NBL45" s="47"/>
      <c r="NBM45" s="47"/>
      <c r="NBN45" s="47"/>
      <c r="NBO45" s="47"/>
      <c r="NBP45" s="47"/>
      <c r="NBQ45" s="47"/>
      <c r="NBR45" s="47"/>
      <c r="NBS45" s="47"/>
      <c r="NBT45" s="47"/>
      <c r="NBU45" s="47"/>
      <c r="NBV45" s="47"/>
      <c r="NBW45" s="47"/>
      <c r="NBX45" s="47"/>
      <c r="NBY45" s="47"/>
      <c r="NBZ45" s="47"/>
      <c r="NCA45" s="47"/>
      <c r="NCB45" s="47"/>
      <c r="NCC45" s="47"/>
      <c r="NCD45" s="47"/>
      <c r="NCE45" s="47"/>
      <c r="NCF45" s="47"/>
      <c r="NCG45" s="47"/>
      <c r="NCH45" s="47"/>
      <c r="NCI45" s="47"/>
      <c r="NCJ45" s="47"/>
      <c r="NCK45" s="47"/>
      <c r="NCL45" s="47"/>
      <c r="NCM45" s="47"/>
      <c r="NCN45" s="47"/>
      <c r="NCO45" s="47"/>
      <c r="NCP45" s="47"/>
      <c r="NCQ45" s="47"/>
      <c r="NCR45" s="47"/>
      <c r="NCS45" s="47"/>
      <c r="NCT45" s="47"/>
      <c r="NCU45" s="47"/>
      <c r="NCV45" s="47"/>
      <c r="NCW45" s="47"/>
      <c r="NCX45" s="47"/>
      <c r="NCY45" s="47"/>
      <c r="NCZ45" s="47"/>
      <c r="NDA45" s="47"/>
      <c r="NDB45" s="47"/>
      <c r="NDC45" s="47"/>
      <c r="NDD45" s="47"/>
      <c r="NDE45" s="47"/>
      <c r="NDF45" s="47"/>
      <c r="NDG45" s="47"/>
      <c r="NDH45" s="47"/>
      <c r="NDI45" s="47"/>
      <c r="NDJ45" s="47"/>
      <c r="NDK45" s="47"/>
      <c r="NDL45" s="47"/>
      <c r="NDM45" s="47"/>
      <c r="NDN45" s="47"/>
      <c r="NDO45" s="47"/>
      <c r="NDP45" s="47"/>
      <c r="NDQ45" s="47"/>
      <c r="NDR45" s="47"/>
      <c r="NDS45" s="47"/>
      <c r="NDT45" s="47"/>
      <c r="NDU45" s="47"/>
      <c r="NDV45" s="47"/>
      <c r="NDW45" s="47"/>
      <c r="NDX45" s="47"/>
      <c r="NDY45" s="47"/>
      <c r="NDZ45" s="47"/>
      <c r="NEA45" s="47"/>
      <c r="NEB45" s="47"/>
      <c r="NEC45" s="47"/>
      <c r="NED45" s="47"/>
      <c r="NEE45" s="47"/>
      <c r="NEF45" s="47"/>
      <c r="NEG45" s="47"/>
      <c r="NEH45" s="47"/>
      <c r="NEI45" s="47"/>
      <c r="NEJ45" s="47"/>
      <c r="NEK45" s="47"/>
      <c r="NEL45" s="47"/>
      <c r="NEM45" s="47"/>
      <c r="NEN45" s="47"/>
      <c r="NEO45" s="47"/>
      <c r="NEP45" s="47"/>
      <c r="NEQ45" s="47"/>
      <c r="NER45" s="47"/>
      <c r="NES45" s="47"/>
      <c r="NET45" s="47"/>
      <c r="NEU45" s="47"/>
      <c r="NEV45" s="47"/>
      <c r="NEW45" s="47"/>
      <c r="NEX45" s="47"/>
      <c r="NEY45" s="47"/>
      <c r="NEZ45" s="47"/>
      <c r="NFA45" s="47"/>
      <c r="NFB45" s="47"/>
      <c r="NFC45" s="47"/>
      <c r="NFD45" s="47"/>
      <c r="NFE45" s="47"/>
      <c r="NFF45" s="47"/>
      <c r="NFG45" s="47"/>
      <c r="NFH45" s="47"/>
      <c r="NFI45" s="47"/>
      <c r="NFJ45" s="47"/>
      <c r="NFK45" s="47"/>
      <c r="NFL45" s="47"/>
      <c r="NFM45" s="47"/>
      <c r="NFN45" s="47"/>
      <c r="NFO45" s="47"/>
      <c r="NFP45" s="47"/>
      <c r="NFQ45" s="47"/>
      <c r="NFR45" s="47"/>
      <c r="NFS45" s="47"/>
      <c r="NFT45" s="47"/>
      <c r="NFU45" s="47"/>
      <c r="NFV45" s="47"/>
      <c r="NFW45" s="47"/>
      <c r="NFX45" s="47"/>
      <c r="NFY45" s="47"/>
      <c r="NFZ45" s="47"/>
      <c r="NGA45" s="47"/>
      <c r="NGB45" s="47"/>
      <c r="NGC45" s="47"/>
      <c r="NGD45" s="47"/>
      <c r="NGE45" s="47"/>
      <c r="NGF45" s="47"/>
      <c r="NGG45" s="47"/>
      <c r="NGH45" s="47"/>
      <c r="NGI45" s="47"/>
      <c r="NGJ45" s="47"/>
      <c r="NGK45" s="47"/>
      <c r="NGL45" s="47"/>
      <c r="NGM45" s="47"/>
      <c r="NGN45" s="47"/>
      <c r="NGO45" s="47"/>
      <c r="NGP45" s="47"/>
      <c r="NGQ45" s="47"/>
      <c r="NGR45" s="47"/>
      <c r="NGS45" s="47"/>
      <c r="NGT45" s="47"/>
      <c r="NGU45" s="47"/>
      <c r="NGV45" s="47"/>
      <c r="NGW45" s="47"/>
      <c r="NGX45" s="47"/>
      <c r="NGY45" s="47"/>
      <c r="NGZ45" s="47"/>
      <c r="NHA45" s="47"/>
      <c r="NHB45" s="47"/>
      <c r="NHC45" s="47"/>
      <c r="NHD45" s="47"/>
      <c r="NHE45" s="47"/>
      <c r="NHF45" s="47"/>
      <c r="NHG45" s="47"/>
      <c r="NHH45" s="47"/>
      <c r="NHI45" s="47"/>
      <c r="NHJ45" s="47"/>
      <c r="NHK45" s="47"/>
      <c r="NHL45" s="47"/>
      <c r="NHM45" s="47"/>
      <c r="NHN45" s="47"/>
      <c r="NHO45" s="47"/>
      <c r="NHP45" s="47"/>
      <c r="NHQ45" s="47"/>
      <c r="NHR45" s="47"/>
      <c r="NHS45" s="47"/>
      <c r="NHT45" s="47"/>
      <c r="NHU45" s="47"/>
      <c r="NHV45" s="47"/>
      <c r="NHW45" s="47"/>
      <c r="NHX45" s="47"/>
      <c r="NHY45" s="47"/>
      <c r="NHZ45" s="47"/>
      <c r="NIA45" s="47"/>
      <c r="NIB45" s="47"/>
      <c r="NIC45" s="47"/>
      <c r="NID45" s="47"/>
      <c r="NIE45" s="47"/>
      <c r="NIF45" s="47"/>
      <c r="NIG45" s="47"/>
      <c r="NIH45" s="47"/>
      <c r="NII45" s="47"/>
      <c r="NIJ45" s="47"/>
      <c r="NIK45" s="47"/>
      <c r="NIL45" s="47"/>
      <c r="NIM45" s="47"/>
      <c r="NIN45" s="47"/>
      <c r="NIO45" s="47"/>
      <c r="NIP45" s="47"/>
      <c r="NIQ45" s="47"/>
      <c r="NIR45" s="47"/>
      <c r="NIS45" s="47"/>
      <c r="NIT45" s="47"/>
      <c r="NIU45" s="47"/>
      <c r="NIV45" s="47"/>
      <c r="NIW45" s="47"/>
      <c r="NIX45" s="47"/>
      <c r="NIY45" s="47"/>
      <c r="NIZ45" s="47"/>
      <c r="NJA45" s="47"/>
      <c r="NJB45" s="47"/>
      <c r="NJC45" s="47"/>
      <c r="NJD45" s="47"/>
      <c r="NJE45" s="47"/>
      <c r="NJF45" s="47"/>
      <c r="NJG45" s="47"/>
      <c r="NJH45" s="47"/>
      <c r="NJI45" s="47"/>
      <c r="NJJ45" s="47"/>
      <c r="NJK45" s="47"/>
      <c r="NJL45" s="47"/>
      <c r="NJM45" s="47"/>
      <c r="NJN45" s="47"/>
      <c r="NJO45" s="47"/>
      <c r="NJP45" s="47"/>
      <c r="NJQ45" s="47"/>
      <c r="NJR45" s="47"/>
      <c r="NJS45" s="47"/>
      <c r="NJT45" s="47"/>
      <c r="NJU45" s="47"/>
      <c r="NJV45" s="47"/>
      <c r="NJW45" s="47"/>
      <c r="NJX45" s="47"/>
      <c r="NJY45" s="47"/>
      <c r="NJZ45" s="47"/>
      <c r="NKA45" s="47"/>
      <c r="NKB45" s="47"/>
      <c r="NKC45" s="47"/>
      <c r="NKD45" s="47"/>
      <c r="NKE45" s="47"/>
      <c r="NKF45" s="47"/>
      <c r="NKG45" s="47"/>
      <c r="NKH45" s="47"/>
      <c r="NKI45" s="47"/>
      <c r="NKJ45" s="47"/>
      <c r="NKK45" s="47"/>
      <c r="NKL45" s="47"/>
      <c r="NKM45" s="47"/>
      <c r="NKN45" s="47"/>
      <c r="NKO45" s="47"/>
      <c r="NKP45" s="47"/>
      <c r="NKQ45" s="47"/>
      <c r="NKR45" s="47"/>
      <c r="NKS45" s="47"/>
      <c r="NKT45" s="47"/>
      <c r="NKU45" s="47"/>
      <c r="NKV45" s="47"/>
      <c r="NKW45" s="47"/>
      <c r="NKX45" s="47"/>
      <c r="NKY45" s="47"/>
      <c r="NKZ45" s="47"/>
      <c r="NLA45" s="47"/>
      <c r="NLB45" s="47"/>
      <c r="NLC45" s="47"/>
      <c r="NLD45" s="47"/>
      <c r="NLE45" s="47"/>
      <c r="NLF45" s="47"/>
      <c r="NLG45" s="47"/>
      <c r="NLH45" s="47"/>
      <c r="NLI45" s="47"/>
      <c r="NLJ45" s="47"/>
      <c r="NLK45" s="47"/>
      <c r="NLL45" s="47"/>
      <c r="NLM45" s="47"/>
      <c r="NLN45" s="47"/>
      <c r="NLO45" s="47"/>
      <c r="NLP45" s="47"/>
      <c r="NLQ45" s="47"/>
      <c r="NLR45" s="47"/>
      <c r="NLS45" s="47"/>
      <c r="NLT45" s="47"/>
      <c r="NLU45" s="47"/>
      <c r="NLV45" s="47"/>
      <c r="NLW45" s="47"/>
      <c r="NLX45" s="47"/>
      <c r="NLY45" s="47"/>
      <c r="NLZ45" s="47"/>
      <c r="NMA45" s="47"/>
      <c r="NMB45" s="47"/>
      <c r="NMC45" s="47"/>
      <c r="NMD45" s="47"/>
      <c r="NME45" s="47"/>
      <c r="NMF45" s="47"/>
      <c r="NMG45" s="47"/>
      <c r="NMH45" s="47"/>
      <c r="NMI45" s="47"/>
      <c r="NMJ45" s="47"/>
      <c r="NMK45" s="47"/>
      <c r="NML45" s="47"/>
      <c r="NMM45" s="47"/>
      <c r="NMN45" s="47"/>
      <c r="NMO45" s="47"/>
      <c r="NMP45" s="47"/>
      <c r="NMQ45" s="47"/>
      <c r="NMR45" s="47"/>
      <c r="NMS45" s="47"/>
      <c r="NMT45" s="47"/>
      <c r="NMU45" s="47"/>
      <c r="NMV45" s="47"/>
      <c r="NMW45" s="47"/>
      <c r="NMX45" s="47"/>
      <c r="NMY45" s="47"/>
      <c r="NMZ45" s="47"/>
      <c r="NNA45" s="47"/>
      <c r="NNB45" s="47"/>
      <c r="NNC45" s="47"/>
      <c r="NND45" s="47"/>
      <c r="NNE45" s="47"/>
      <c r="NNF45" s="47"/>
      <c r="NNG45" s="47"/>
      <c r="NNH45" s="47"/>
      <c r="NNI45" s="47"/>
      <c r="NNJ45" s="47"/>
      <c r="NNK45" s="47"/>
      <c r="NNL45" s="47"/>
      <c r="NNM45" s="47"/>
      <c r="NNN45" s="47"/>
      <c r="NNO45" s="47"/>
      <c r="NNP45" s="47"/>
      <c r="NNQ45" s="47"/>
      <c r="NNR45" s="47"/>
      <c r="NNS45" s="47"/>
      <c r="NNT45" s="47"/>
      <c r="NNU45" s="47"/>
      <c r="NNV45" s="47"/>
      <c r="NNW45" s="47"/>
      <c r="NNX45" s="47"/>
      <c r="NNY45" s="47"/>
      <c r="NNZ45" s="47"/>
      <c r="NOA45" s="47"/>
      <c r="NOB45" s="47"/>
      <c r="NOC45" s="47"/>
      <c r="NOD45" s="47"/>
      <c r="NOE45" s="47"/>
      <c r="NOF45" s="47"/>
      <c r="NOG45" s="47"/>
      <c r="NOH45" s="47"/>
      <c r="NOI45" s="47"/>
      <c r="NOJ45" s="47"/>
      <c r="NOK45" s="47"/>
      <c r="NOL45" s="47"/>
      <c r="NOM45" s="47"/>
      <c r="NON45" s="47"/>
      <c r="NOO45" s="47"/>
      <c r="NOP45" s="47"/>
      <c r="NOQ45" s="47"/>
      <c r="NOR45" s="47"/>
      <c r="NOS45" s="47"/>
      <c r="NOT45" s="47"/>
      <c r="NOU45" s="47"/>
      <c r="NOV45" s="47"/>
      <c r="NOW45" s="47"/>
      <c r="NOX45" s="47"/>
      <c r="NOY45" s="47"/>
      <c r="NOZ45" s="47"/>
      <c r="NPA45" s="47"/>
      <c r="NPB45" s="47"/>
      <c r="NPC45" s="47"/>
      <c r="NPD45" s="47"/>
      <c r="NPE45" s="47"/>
      <c r="NPF45" s="47"/>
      <c r="NPG45" s="47"/>
      <c r="NPH45" s="47"/>
      <c r="NPI45" s="47"/>
      <c r="NPJ45" s="47"/>
      <c r="NPK45" s="47"/>
      <c r="NPL45" s="47"/>
      <c r="NPM45" s="47"/>
      <c r="NPN45" s="47"/>
      <c r="NPO45" s="47"/>
      <c r="NPP45" s="47"/>
      <c r="NPQ45" s="47"/>
      <c r="NPR45" s="47"/>
      <c r="NPS45" s="47"/>
      <c r="NPT45" s="47"/>
      <c r="NPU45" s="47"/>
      <c r="NPV45" s="47"/>
      <c r="NPW45" s="47"/>
      <c r="NPX45" s="47"/>
      <c r="NPY45" s="47"/>
      <c r="NPZ45" s="47"/>
      <c r="NQA45" s="47"/>
      <c r="NQB45" s="47"/>
      <c r="NQC45" s="47"/>
      <c r="NQD45" s="47"/>
      <c r="NQE45" s="47"/>
      <c r="NQF45" s="47"/>
      <c r="NQG45" s="47"/>
      <c r="NQH45" s="47"/>
      <c r="NQI45" s="47"/>
      <c r="NQJ45" s="47"/>
      <c r="NQK45" s="47"/>
      <c r="NQL45" s="47"/>
      <c r="NQM45" s="47"/>
      <c r="NQN45" s="47"/>
      <c r="NQO45" s="47"/>
      <c r="NQP45" s="47"/>
      <c r="NQQ45" s="47"/>
      <c r="NQR45" s="47"/>
      <c r="NQS45" s="47"/>
      <c r="NQT45" s="47"/>
      <c r="NQU45" s="47"/>
      <c r="NQV45" s="47"/>
      <c r="NQW45" s="47"/>
      <c r="NQX45" s="47"/>
      <c r="NQY45" s="47"/>
      <c r="NQZ45" s="47"/>
      <c r="NRA45" s="47"/>
      <c r="NRB45" s="47"/>
      <c r="NRC45" s="47"/>
      <c r="NRD45" s="47"/>
      <c r="NRE45" s="47"/>
      <c r="NRF45" s="47"/>
      <c r="NRG45" s="47"/>
      <c r="NRH45" s="47"/>
      <c r="NRI45" s="47"/>
      <c r="NRJ45" s="47"/>
      <c r="NRK45" s="47"/>
      <c r="NRL45" s="47"/>
      <c r="NRM45" s="47"/>
      <c r="NRN45" s="47"/>
      <c r="NRO45" s="47"/>
      <c r="NRP45" s="47"/>
      <c r="NRQ45" s="47"/>
      <c r="NRR45" s="47"/>
      <c r="NRS45" s="47"/>
      <c r="NRT45" s="47"/>
      <c r="NRU45" s="47"/>
      <c r="NRV45" s="47"/>
      <c r="NRW45" s="47"/>
      <c r="NRX45" s="47"/>
      <c r="NRY45" s="47"/>
      <c r="NRZ45" s="47"/>
      <c r="NSA45" s="47"/>
      <c r="NSB45" s="47"/>
      <c r="NSC45" s="47"/>
      <c r="NSD45" s="47"/>
      <c r="NSE45" s="47"/>
      <c r="NSF45" s="47"/>
      <c r="NSG45" s="47"/>
      <c r="NSH45" s="47"/>
      <c r="NSI45" s="47"/>
      <c r="NSJ45" s="47"/>
      <c r="NSK45" s="47"/>
      <c r="NSL45" s="47"/>
      <c r="NSM45" s="47"/>
      <c r="NSN45" s="47"/>
      <c r="NSO45" s="47"/>
      <c r="NSP45" s="47"/>
      <c r="NSQ45" s="47"/>
      <c r="NSR45" s="47"/>
      <c r="NSS45" s="47"/>
      <c r="NST45" s="47"/>
      <c r="NSU45" s="47"/>
      <c r="NSV45" s="47"/>
      <c r="NSW45" s="47"/>
      <c r="NSX45" s="47"/>
      <c r="NSY45" s="47"/>
      <c r="NSZ45" s="47"/>
      <c r="NTA45" s="47"/>
      <c r="NTB45" s="47"/>
      <c r="NTC45" s="47"/>
      <c r="NTD45" s="47"/>
      <c r="NTE45" s="47"/>
      <c r="NTF45" s="47"/>
      <c r="NTG45" s="47"/>
      <c r="NTH45" s="47"/>
      <c r="NTI45" s="47"/>
      <c r="NTJ45" s="47"/>
      <c r="NTK45" s="47"/>
      <c r="NTL45" s="47"/>
      <c r="NTM45" s="47"/>
      <c r="NTN45" s="47"/>
      <c r="NTO45" s="47"/>
      <c r="NTP45" s="47"/>
      <c r="NTQ45" s="47"/>
      <c r="NTR45" s="47"/>
      <c r="NTS45" s="47"/>
      <c r="NTT45" s="47"/>
      <c r="NTU45" s="47"/>
      <c r="NTV45" s="47"/>
      <c r="NTW45" s="47"/>
      <c r="NTX45" s="47"/>
      <c r="NTY45" s="47"/>
      <c r="NTZ45" s="47"/>
      <c r="NUA45" s="47"/>
      <c r="NUB45" s="47"/>
      <c r="NUC45" s="47"/>
      <c r="NUD45" s="47"/>
      <c r="NUE45" s="47"/>
      <c r="NUF45" s="47"/>
      <c r="NUG45" s="47"/>
      <c r="NUH45" s="47"/>
      <c r="NUI45" s="47"/>
      <c r="NUJ45" s="47"/>
      <c r="NUK45" s="47"/>
      <c r="NUL45" s="47"/>
      <c r="NUM45" s="47"/>
      <c r="NUN45" s="47"/>
      <c r="NUO45" s="47"/>
      <c r="NUP45" s="47"/>
      <c r="NUQ45" s="47"/>
      <c r="NUR45" s="47"/>
      <c r="NUS45" s="47"/>
      <c r="NUT45" s="47"/>
      <c r="NUU45" s="47"/>
      <c r="NUV45" s="47"/>
      <c r="NUW45" s="47"/>
      <c r="NUX45" s="47"/>
      <c r="NUY45" s="47"/>
      <c r="NUZ45" s="47"/>
      <c r="NVA45" s="47"/>
      <c r="NVB45" s="47"/>
      <c r="NVC45" s="47"/>
      <c r="NVD45" s="47"/>
      <c r="NVE45" s="47"/>
      <c r="NVF45" s="47"/>
      <c r="NVG45" s="47"/>
      <c r="NVH45" s="47"/>
      <c r="NVI45" s="47"/>
      <c r="NVJ45" s="47"/>
      <c r="NVK45" s="47"/>
      <c r="NVL45" s="47"/>
      <c r="NVM45" s="47"/>
      <c r="NVN45" s="47"/>
      <c r="NVO45" s="47"/>
      <c r="NVP45" s="47"/>
      <c r="NVQ45" s="47"/>
      <c r="NVR45" s="47"/>
      <c r="NVS45" s="47"/>
      <c r="NVT45" s="47"/>
      <c r="NVU45" s="47"/>
      <c r="NVV45" s="47"/>
      <c r="NVW45" s="47"/>
      <c r="NVX45" s="47"/>
      <c r="NVY45" s="47"/>
      <c r="NVZ45" s="47"/>
      <c r="NWA45" s="47"/>
      <c r="NWB45" s="47"/>
      <c r="NWC45" s="47"/>
      <c r="NWD45" s="47"/>
      <c r="NWE45" s="47"/>
      <c r="NWF45" s="47"/>
      <c r="NWG45" s="47"/>
      <c r="NWH45" s="47"/>
      <c r="NWI45" s="47"/>
      <c r="NWJ45" s="47"/>
      <c r="NWK45" s="47"/>
      <c r="NWL45" s="47"/>
      <c r="NWM45" s="47"/>
      <c r="NWN45" s="47"/>
      <c r="NWO45" s="47"/>
      <c r="NWP45" s="47"/>
      <c r="NWQ45" s="47"/>
      <c r="NWR45" s="47"/>
      <c r="NWS45" s="47"/>
      <c r="NWT45" s="47"/>
      <c r="NWU45" s="47"/>
      <c r="NWV45" s="47"/>
      <c r="NWW45" s="47"/>
      <c r="NWX45" s="47"/>
      <c r="NWY45" s="47"/>
      <c r="NWZ45" s="47"/>
      <c r="NXA45" s="47"/>
      <c r="NXB45" s="47"/>
      <c r="NXC45" s="47"/>
      <c r="NXD45" s="47"/>
      <c r="NXE45" s="47"/>
      <c r="NXF45" s="47"/>
      <c r="NXG45" s="47"/>
      <c r="NXH45" s="47"/>
      <c r="NXI45" s="47"/>
      <c r="NXJ45" s="47"/>
      <c r="NXK45" s="47"/>
      <c r="NXL45" s="47"/>
      <c r="NXM45" s="47"/>
      <c r="NXN45" s="47"/>
      <c r="NXO45" s="47"/>
      <c r="NXP45" s="47"/>
      <c r="NXQ45" s="47"/>
      <c r="NXR45" s="47"/>
      <c r="NXS45" s="47"/>
      <c r="NXT45" s="47"/>
      <c r="NXU45" s="47"/>
      <c r="NXV45" s="47"/>
      <c r="NXW45" s="47"/>
      <c r="NXX45" s="47"/>
      <c r="NXY45" s="47"/>
      <c r="NXZ45" s="47"/>
      <c r="NYA45" s="47"/>
      <c r="NYB45" s="47"/>
      <c r="NYC45" s="47"/>
      <c r="NYD45" s="47"/>
      <c r="NYE45" s="47"/>
      <c r="NYF45" s="47"/>
      <c r="NYG45" s="47"/>
      <c r="NYH45" s="47"/>
      <c r="NYI45" s="47"/>
      <c r="NYJ45" s="47"/>
      <c r="NYK45" s="47"/>
      <c r="NYL45" s="47"/>
      <c r="NYM45" s="47"/>
      <c r="NYN45" s="47"/>
      <c r="NYO45" s="47"/>
      <c r="NYP45" s="47"/>
      <c r="NYQ45" s="47"/>
      <c r="NYR45" s="47"/>
      <c r="NYS45" s="47"/>
      <c r="NYT45" s="47"/>
      <c r="NYU45" s="47"/>
      <c r="NYV45" s="47"/>
      <c r="NYW45" s="47"/>
      <c r="NYX45" s="47"/>
      <c r="NYY45" s="47"/>
      <c r="NYZ45" s="47"/>
      <c r="NZA45" s="47"/>
      <c r="NZB45" s="47"/>
      <c r="NZC45" s="47"/>
      <c r="NZD45" s="47"/>
      <c r="NZE45" s="47"/>
      <c r="NZF45" s="47"/>
      <c r="NZG45" s="47"/>
      <c r="NZH45" s="47"/>
      <c r="NZI45" s="47"/>
      <c r="NZJ45" s="47"/>
      <c r="NZK45" s="47"/>
      <c r="NZL45" s="47"/>
      <c r="NZM45" s="47"/>
      <c r="NZN45" s="47"/>
      <c r="NZO45" s="47"/>
      <c r="NZP45" s="47"/>
      <c r="NZQ45" s="47"/>
      <c r="NZR45" s="47"/>
      <c r="NZS45" s="47"/>
      <c r="NZT45" s="47"/>
      <c r="NZU45" s="47"/>
      <c r="NZV45" s="47"/>
      <c r="NZW45" s="47"/>
      <c r="NZX45" s="47"/>
      <c r="NZY45" s="47"/>
      <c r="NZZ45" s="47"/>
      <c r="OAA45" s="47"/>
      <c r="OAB45" s="47"/>
      <c r="OAC45" s="47"/>
      <c r="OAD45" s="47"/>
      <c r="OAE45" s="47"/>
      <c r="OAF45" s="47"/>
      <c r="OAG45" s="47"/>
      <c r="OAH45" s="47"/>
      <c r="OAI45" s="47"/>
      <c r="OAJ45" s="47"/>
      <c r="OAK45" s="47"/>
      <c r="OAL45" s="47"/>
      <c r="OAM45" s="47"/>
      <c r="OAN45" s="47"/>
      <c r="OAO45" s="47"/>
      <c r="OAP45" s="47"/>
      <c r="OAQ45" s="47"/>
      <c r="OAR45" s="47"/>
      <c r="OAS45" s="47"/>
      <c r="OAT45" s="47"/>
      <c r="OAU45" s="47"/>
      <c r="OAV45" s="47"/>
      <c r="OAW45" s="47"/>
      <c r="OAX45" s="47"/>
      <c r="OAY45" s="47"/>
      <c r="OAZ45" s="47"/>
      <c r="OBA45" s="47"/>
      <c r="OBB45" s="47"/>
      <c r="OBC45" s="47"/>
      <c r="OBD45" s="47"/>
      <c r="OBE45" s="47"/>
      <c r="OBF45" s="47"/>
      <c r="OBG45" s="47"/>
      <c r="OBH45" s="47"/>
      <c r="OBI45" s="47"/>
      <c r="OBJ45" s="47"/>
      <c r="OBK45" s="47"/>
      <c r="OBL45" s="47"/>
      <c r="OBM45" s="47"/>
      <c r="OBN45" s="47"/>
      <c r="OBO45" s="47"/>
      <c r="OBP45" s="47"/>
      <c r="OBQ45" s="47"/>
      <c r="OBR45" s="47"/>
      <c r="OBS45" s="47"/>
      <c r="OBT45" s="47"/>
      <c r="OBU45" s="47"/>
      <c r="OBV45" s="47"/>
      <c r="OBW45" s="47"/>
      <c r="OBX45" s="47"/>
      <c r="OBY45" s="47"/>
      <c r="OBZ45" s="47"/>
      <c r="OCA45" s="47"/>
      <c r="OCB45" s="47"/>
      <c r="OCC45" s="47"/>
      <c r="OCD45" s="47"/>
      <c r="OCE45" s="47"/>
      <c r="OCF45" s="47"/>
      <c r="OCG45" s="47"/>
      <c r="OCH45" s="47"/>
      <c r="OCI45" s="47"/>
      <c r="OCJ45" s="47"/>
      <c r="OCK45" s="47"/>
      <c r="OCL45" s="47"/>
      <c r="OCM45" s="47"/>
      <c r="OCN45" s="47"/>
      <c r="OCO45" s="47"/>
      <c r="OCP45" s="47"/>
      <c r="OCQ45" s="47"/>
      <c r="OCR45" s="47"/>
      <c r="OCS45" s="47"/>
      <c r="OCT45" s="47"/>
      <c r="OCU45" s="47"/>
      <c r="OCV45" s="47"/>
      <c r="OCW45" s="47"/>
      <c r="OCX45" s="47"/>
      <c r="OCY45" s="47"/>
      <c r="OCZ45" s="47"/>
      <c r="ODA45" s="47"/>
      <c r="ODB45" s="47"/>
      <c r="ODC45" s="47"/>
      <c r="ODD45" s="47"/>
      <c r="ODE45" s="47"/>
      <c r="ODF45" s="47"/>
      <c r="ODG45" s="47"/>
      <c r="ODH45" s="47"/>
      <c r="ODI45" s="47"/>
      <c r="ODJ45" s="47"/>
      <c r="ODK45" s="47"/>
      <c r="ODL45" s="47"/>
      <c r="ODM45" s="47"/>
      <c r="ODN45" s="47"/>
      <c r="ODO45" s="47"/>
      <c r="ODP45" s="47"/>
      <c r="ODQ45" s="47"/>
      <c r="ODR45" s="47"/>
      <c r="ODS45" s="47"/>
      <c r="ODT45" s="47"/>
      <c r="ODU45" s="47"/>
      <c r="ODV45" s="47"/>
      <c r="ODW45" s="47"/>
      <c r="ODX45" s="47"/>
      <c r="ODY45" s="47"/>
      <c r="ODZ45" s="47"/>
      <c r="OEA45" s="47"/>
      <c r="OEB45" s="47"/>
      <c r="OEC45" s="47"/>
      <c r="OED45" s="47"/>
      <c r="OEE45" s="47"/>
      <c r="OEF45" s="47"/>
      <c r="OEG45" s="47"/>
      <c r="OEH45" s="47"/>
      <c r="OEI45" s="47"/>
      <c r="OEJ45" s="47"/>
      <c r="OEK45" s="47"/>
      <c r="OEL45" s="47"/>
      <c r="OEM45" s="47"/>
      <c r="OEN45" s="47"/>
      <c r="OEO45" s="47"/>
      <c r="OEP45" s="47"/>
      <c r="OEQ45" s="47"/>
      <c r="OER45" s="47"/>
      <c r="OES45" s="47"/>
      <c r="OET45" s="47"/>
      <c r="OEU45" s="47"/>
      <c r="OEV45" s="47"/>
      <c r="OEW45" s="47"/>
      <c r="OEX45" s="47"/>
      <c r="OEY45" s="47"/>
      <c r="OEZ45" s="47"/>
      <c r="OFA45" s="47"/>
      <c r="OFB45" s="47"/>
      <c r="OFC45" s="47"/>
      <c r="OFD45" s="47"/>
      <c r="OFE45" s="47"/>
      <c r="OFF45" s="47"/>
      <c r="OFG45" s="47"/>
      <c r="OFH45" s="47"/>
      <c r="OFI45" s="47"/>
      <c r="OFJ45" s="47"/>
      <c r="OFK45" s="47"/>
      <c r="OFL45" s="47"/>
      <c r="OFM45" s="47"/>
      <c r="OFN45" s="47"/>
      <c r="OFO45" s="47"/>
      <c r="OFP45" s="47"/>
      <c r="OFQ45" s="47"/>
      <c r="OFR45" s="47"/>
      <c r="OFS45" s="47"/>
      <c r="OFT45" s="47"/>
      <c r="OFU45" s="47"/>
      <c r="OFV45" s="47"/>
      <c r="OFW45" s="47"/>
      <c r="OFX45" s="47"/>
      <c r="OFY45" s="47"/>
      <c r="OFZ45" s="47"/>
      <c r="OGA45" s="47"/>
      <c r="OGB45" s="47"/>
      <c r="OGC45" s="47"/>
      <c r="OGD45" s="47"/>
      <c r="OGE45" s="47"/>
      <c r="OGF45" s="47"/>
      <c r="OGG45" s="47"/>
      <c r="OGH45" s="47"/>
      <c r="OGI45" s="47"/>
      <c r="OGJ45" s="47"/>
      <c r="OGK45" s="47"/>
      <c r="OGL45" s="47"/>
      <c r="OGM45" s="47"/>
      <c r="OGN45" s="47"/>
      <c r="OGO45" s="47"/>
      <c r="OGP45" s="47"/>
      <c r="OGQ45" s="47"/>
      <c r="OGR45" s="47"/>
      <c r="OGS45" s="47"/>
      <c r="OGT45" s="47"/>
      <c r="OGU45" s="47"/>
      <c r="OGV45" s="47"/>
      <c r="OGW45" s="47"/>
      <c r="OGX45" s="47"/>
      <c r="OGY45" s="47"/>
      <c r="OGZ45" s="47"/>
      <c r="OHA45" s="47"/>
      <c r="OHB45" s="47"/>
      <c r="OHC45" s="47"/>
      <c r="OHD45" s="47"/>
      <c r="OHE45" s="47"/>
      <c r="OHF45" s="47"/>
      <c r="OHG45" s="47"/>
      <c r="OHH45" s="47"/>
      <c r="OHI45" s="47"/>
      <c r="OHJ45" s="47"/>
      <c r="OHK45" s="47"/>
      <c r="OHL45" s="47"/>
      <c r="OHM45" s="47"/>
      <c r="OHN45" s="47"/>
      <c r="OHO45" s="47"/>
      <c r="OHP45" s="47"/>
      <c r="OHQ45" s="47"/>
      <c r="OHR45" s="47"/>
      <c r="OHS45" s="47"/>
      <c r="OHT45" s="47"/>
      <c r="OHU45" s="47"/>
      <c r="OHV45" s="47"/>
      <c r="OHW45" s="47"/>
      <c r="OHX45" s="47"/>
      <c r="OHY45" s="47"/>
      <c r="OHZ45" s="47"/>
      <c r="OIA45" s="47"/>
      <c r="OIB45" s="47"/>
      <c r="OIC45" s="47"/>
      <c r="OID45" s="47"/>
      <c r="OIE45" s="47"/>
      <c r="OIF45" s="47"/>
      <c r="OIG45" s="47"/>
      <c r="OIH45" s="47"/>
      <c r="OII45" s="47"/>
      <c r="OIJ45" s="47"/>
      <c r="OIK45" s="47"/>
      <c r="OIL45" s="47"/>
      <c r="OIM45" s="47"/>
      <c r="OIN45" s="47"/>
      <c r="OIO45" s="47"/>
      <c r="OIP45" s="47"/>
      <c r="OIQ45" s="47"/>
      <c r="OIR45" s="47"/>
      <c r="OIS45" s="47"/>
      <c r="OIT45" s="47"/>
      <c r="OIU45" s="47"/>
      <c r="OIV45" s="47"/>
      <c r="OIW45" s="47"/>
      <c r="OIX45" s="47"/>
      <c r="OIY45" s="47"/>
      <c r="OIZ45" s="47"/>
      <c r="OJA45" s="47"/>
      <c r="OJB45" s="47"/>
      <c r="OJC45" s="47"/>
      <c r="OJD45" s="47"/>
      <c r="OJE45" s="47"/>
      <c r="OJF45" s="47"/>
      <c r="OJG45" s="47"/>
      <c r="OJH45" s="47"/>
      <c r="OJI45" s="47"/>
      <c r="OJJ45" s="47"/>
      <c r="OJK45" s="47"/>
      <c r="OJL45" s="47"/>
      <c r="OJM45" s="47"/>
      <c r="OJN45" s="47"/>
      <c r="OJO45" s="47"/>
      <c r="OJP45" s="47"/>
      <c r="OJQ45" s="47"/>
      <c r="OJR45" s="47"/>
      <c r="OJS45" s="47"/>
      <c r="OJT45" s="47"/>
      <c r="OJU45" s="47"/>
      <c r="OJV45" s="47"/>
      <c r="OJW45" s="47"/>
      <c r="OJX45" s="47"/>
      <c r="OJY45" s="47"/>
      <c r="OJZ45" s="47"/>
      <c r="OKA45" s="47"/>
      <c r="OKB45" s="47"/>
      <c r="OKC45" s="47"/>
      <c r="OKD45" s="47"/>
      <c r="OKE45" s="47"/>
      <c r="OKF45" s="47"/>
      <c r="OKG45" s="47"/>
      <c r="OKH45" s="47"/>
      <c r="OKI45" s="47"/>
      <c r="OKJ45" s="47"/>
      <c r="OKK45" s="47"/>
      <c r="OKL45" s="47"/>
      <c r="OKM45" s="47"/>
      <c r="OKN45" s="47"/>
      <c r="OKO45" s="47"/>
      <c r="OKP45" s="47"/>
      <c r="OKQ45" s="47"/>
      <c r="OKR45" s="47"/>
      <c r="OKS45" s="47"/>
      <c r="OKT45" s="47"/>
      <c r="OKU45" s="47"/>
      <c r="OKV45" s="47"/>
      <c r="OKW45" s="47"/>
      <c r="OKX45" s="47"/>
      <c r="OKY45" s="47"/>
      <c r="OKZ45" s="47"/>
      <c r="OLA45" s="47"/>
      <c r="OLB45" s="47"/>
      <c r="OLC45" s="47"/>
      <c r="OLD45" s="47"/>
      <c r="OLE45" s="47"/>
      <c r="OLF45" s="47"/>
      <c r="OLG45" s="47"/>
      <c r="OLH45" s="47"/>
      <c r="OLI45" s="47"/>
      <c r="OLJ45" s="47"/>
      <c r="OLK45" s="47"/>
      <c r="OLL45" s="47"/>
      <c r="OLM45" s="47"/>
      <c r="OLN45" s="47"/>
      <c r="OLO45" s="47"/>
      <c r="OLP45" s="47"/>
      <c r="OLQ45" s="47"/>
      <c r="OLR45" s="47"/>
      <c r="OLS45" s="47"/>
      <c r="OLT45" s="47"/>
      <c r="OLU45" s="47"/>
      <c r="OLV45" s="47"/>
      <c r="OLW45" s="47"/>
      <c r="OLX45" s="47"/>
      <c r="OLY45" s="47"/>
      <c r="OLZ45" s="47"/>
      <c r="OMA45" s="47"/>
      <c r="OMB45" s="47"/>
      <c r="OMC45" s="47"/>
      <c r="OMD45" s="47"/>
      <c r="OME45" s="47"/>
      <c r="OMF45" s="47"/>
      <c r="OMG45" s="47"/>
      <c r="OMH45" s="47"/>
      <c r="OMI45" s="47"/>
      <c r="OMJ45" s="47"/>
      <c r="OMK45" s="47"/>
      <c r="OML45" s="47"/>
      <c r="OMM45" s="47"/>
      <c r="OMN45" s="47"/>
      <c r="OMO45" s="47"/>
      <c r="OMP45" s="47"/>
      <c r="OMQ45" s="47"/>
      <c r="OMR45" s="47"/>
      <c r="OMS45" s="47"/>
      <c r="OMT45" s="47"/>
      <c r="OMU45" s="47"/>
      <c r="OMV45" s="47"/>
      <c r="OMW45" s="47"/>
      <c r="OMX45" s="47"/>
      <c r="OMY45" s="47"/>
      <c r="OMZ45" s="47"/>
      <c r="ONA45" s="47"/>
      <c r="ONB45" s="47"/>
      <c r="ONC45" s="47"/>
      <c r="OND45" s="47"/>
      <c r="ONE45" s="47"/>
      <c r="ONF45" s="47"/>
      <c r="ONG45" s="47"/>
      <c r="ONH45" s="47"/>
      <c r="ONI45" s="47"/>
      <c r="ONJ45" s="47"/>
      <c r="ONK45" s="47"/>
      <c r="ONL45" s="47"/>
      <c r="ONM45" s="47"/>
      <c r="ONN45" s="47"/>
      <c r="ONO45" s="47"/>
      <c r="ONP45" s="47"/>
      <c r="ONQ45" s="47"/>
      <c r="ONR45" s="47"/>
      <c r="ONS45" s="47"/>
      <c r="ONT45" s="47"/>
      <c r="ONU45" s="47"/>
      <c r="ONV45" s="47"/>
      <c r="ONW45" s="47"/>
      <c r="ONX45" s="47"/>
      <c r="ONY45" s="47"/>
      <c r="ONZ45" s="47"/>
      <c r="OOA45" s="47"/>
      <c r="OOB45" s="47"/>
      <c r="OOC45" s="47"/>
      <c r="OOD45" s="47"/>
      <c r="OOE45" s="47"/>
      <c r="OOF45" s="47"/>
      <c r="OOG45" s="47"/>
      <c r="OOH45" s="47"/>
      <c r="OOI45" s="47"/>
      <c r="OOJ45" s="47"/>
      <c r="OOK45" s="47"/>
      <c r="OOL45" s="47"/>
      <c r="OOM45" s="47"/>
      <c r="OON45" s="47"/>
      <c r="OOO45" s="47"/>
      <c r="OOP45" s="47"/>
      <c r="OOQ45" s="47"/>
      <c r="OOR45" s="47"/>
      <c r="OOS45" s="47"/>
      <c r="OOT45" s="47"/>
      <c r="OOU45" s="47"/>
      <c r="OOV45" s="47"/>
      <c r="OOW45" s="47"/>
      <c r="OOX45" s="47"/>
      <c r="OOY45" s="47"/>
      <c r="OOZ45" s="47"/>
      <c r="OPA45" s="47"/>
      <c r="OPB45" s="47"/>
      <c r="OPC45" s="47"/>
      <c r="OPD45" s="47"/>
      <c r="OPE45" s="47"/>
      <c r="OPF45" s="47"/>
      <c r="OPG45" s="47"/>
      <c r="OPH45" s="47"/>
      <c r="OPI45" s="47"/>
      <c r="OPJ45" s="47"/>
      <c r="OPK45" s="47"/>
      <c r="OPL45" s="47"/>
      <c r="OPM45" s="47"/>
      <c r="OPN45" s="47"/>
      <c r="OPO45" s="47"/>
      <c r="OPP45" s="47"/>
      <c r="OPQ45" s="47"/>
      <c r="OPR45" s="47"/>
      <c r="OPS45" s="47"/>
      <c r="OPT45" s="47"/>
      <c r="OPU45" s="47"/>
      <c r="OPV45" s="47"/>
      <c r="OPW45" s="47"/>
      <c r="OPX45" s="47"/>
      <c r="OPY45" s="47"/>
      <c r="OPZ45" s="47"/>
      <c r="OQA45" s="47"/>
      <c r="OQB45" s="47"/>
      <c r="OQC45" s="47"/>
      <c r="OQD45" s="47"/>
      <c r="OQE45" s="47"/>
      <c r="OQF45" s="47"/>
      <c r="OQG45" s="47"/>
      <c r="OQH45" s="47"/>
      <c r="OQI45" s="47"/>
      <c r="OQJ45" s="47"/>
      <c r="OQK45" s="47"/>
      <c r="OQL45" s="47"/>
      <c r="OQM45" s="47"/>
      <c r="OQN45" s="47"/>
      <c r="OQO45" s="47"/>
      <c r="OQP45" s="47"/>
      <c r="OQQ45" s="47"/>
      <c r="OQR45" s="47"/>
      <c r="OQS45" s="47"/>
      <c r="OQT45" s="47"/>
      <c r="OQU45" s="47"/>
      <c r="OQV45" s="47"/>
      <c r="OQW45" s="47"/>
      <c r="OQX45" s="47"/>
      <c r="OQY45" s="47"/>
      <c r="OQZ45" s="47"/>
      <c r="ORA45" s="47"/>
      <c r="ORB45" s="47"/>
      <c r="ORC45" s="47"/>
      <c r="ORD45" s="47"/>
      <c r="ORE45" s="47"/>
      <c r="ORF45" s="47"/>
      <c r="ORG45" s="47"/>
      <c r="ORH45" s="47"/>
      <c r="ORI45" s="47"/>
      <c r="ORJ45" s="47"/>
      <c r="ORK45" s="47"/>
      <c r="ORL45" s="47"/>
      <c r="ORM45" s="47"/>
      <c r="ORN45" s="47"/>
      <c r="ORO45" s="47"/>
      <c r="ORP45" s="47"/>
      <c r="ORQ45" s="47"/>
      <c r="ORR45" s="47"/>
      <c r="ORS45" s="47"/>
      <c r="ORT45" s="47"/>
      <c r="ORU45" s="47"/>
      <c r="ORV45" s="47"/>
      <c r="ORW45" s="47"/>
      <c r="ORX45" s="47"/>
      <c r="ORY45" s="47"/>
      <c r="ORZ45" s="47"/>
      <c r="OSA45" s="47"/>
      <c r="OSB45" s="47"/>
      <c r="OSC45" s="47"/>
      <c r="OSD45" s="47"/>
      <c r="OSE45" s="47"/>
      <c r="OSF45" s="47"/>
      <c r="OSG45" s="47"/>
      <c r="OSH45" s="47"/>
      <c r="OSI45" s="47"/>
      <c r="OSJ45" s="47"/>
      <c r="OSK45" s="47"/>
      <c r="OSL45" s="47"/>
      <c r="OSM45" s="47"/>
      <c r="OSN45" s="47"/>
      <c r="OSO45" s="47"/>
      <c r="OSP45" s="47"/>
      <c r="OSQ45" s="47"/>
      <c r="OSR45" s="47"/>
      <c r="OSS45" s="47"/>
      <c r="OST45" s="47"/>
      <c r="OSU45" s="47"/>
      <c r="OSV45" s="47"/>
      <c r="OSW45" s="47"/>
      <c r="OSX45" s="47"/>
      <c r="OSY45" s="47"/>
      <c r="OSZ45" s="47"/>
      <c r="OTA45" s="47"/>
      <c r="OTB45" s="47"/>
      <c r="OTC45" s="47"/>
      <c r="OTD45" s="47"/>
      <c r="OTE45" s="47"/>
      <c r="OTF45" s="47"/>
      <c r="OTG45" s="47"/>
      <c r="OTH45" s="47"/>
      <c r="OTI45" s="47"/>
      <c r="OTJ45" s="47"/>
      <c r="OTK45" s="47"/>
      <c r="OTL45" s="47"/>
      <c r="OTM45" s="47"/>
      <c r="OTN45" s="47"/>
      <c r="OTO45" s="47"/>
      <c r="OTP45" s="47"/>
      <c r="OTQ45" s="47"/>
      <c r="OTR45" s="47"/>
      <c r="OTS45" s="47"/>
      <c r="OTT45" s="47"/>
      <c r="OTU45" s="47"/>
      <c r="OTV45" s="47"/>
      <c r="OTW45" s="47"/>
      <c r="OTX45" s="47"/>
      <c r="OTY45" s="47"/>
      <c r="OTZ45" s="47"/>
      <c r="OUA45" s="47"/>
      <c r="OUB45" s="47"/>
      <c r="OUC45" s="47"/>
      <c r="OUD45" s="47"/>
      <c r="OUE45" s="47"/>
      <c r="OUF45" s="47"/>
      <c r="OUG45" s="47"/>
      <c r="OUH45" s="47"/>
      <c r="OUI45" s="47"/>
      <c r="OUJ45" s="47"/>
      <c r="OUK45" s="47"/>
      <c r="OUL45" s="47"/>
      <c r="OUM45" s="47"/>
      <c r="OUN45" s="47"/>
      <c r="OUO45" s="47"/>
      <c r="OUP45" s="47"/>
      <c r="OUQ45" s="47"/>
      <c r="OUR45" s="47"/>
      <c r="OUS45" s="47"/>
      <c r="OUT45" s="47"/>
      <c r="OUU45" s="47"/>
      <c r="OUV45" s="47"/>
      <c r="OUW45" s="47"/>
      <c r="OUX45" s="47"/>
      <c r="OUY45" s="47"/>
      <c r="OUZ45" s="47"/>
      <c r="OVA45" s="47"/>
      <c r="OVB45" s="47"/>
      <c r="OVC45" s="47"/>
      <c r="OVD45" s="47"/>
      <c r="OVE45" s="47"/>
      <c r="OVF45" s="47"/>
      <c r="OVG45" s="47"/>
      <c r="OVH45" s="47"/>
      <c r="OVI45" s="47"/>
      <c r="OVJ45" s="47"/>
      <c r="OVK45" s="47"/>
      <c r="OVL45" s="47"/>
      <c r="OVM45" s="47"/>
      <c r="OVN45" s="47"/>
      <c r="OVO45" s="47"/>
      <c r="OVP45" s="47"/>
      <c r="OVQ45" s="47"/>
      <c r="OVR45" s="47"/>
      <c r="OVS45" s="47"/>
      <c r="OVT45" s="47"/>
      <c r="OVU45" s="47"/>
      <c r="OVV45" s="47"/>
      <c r="OVW45" s="47"/>
      <c r="OVX45" s="47"/>
      <c r="OVY45" s="47"/>
      <c r="OVZ45" s="47"/>
      <c r="OWA45" s="47"/>
      <c r="OWB45" s="47"/>
      <c r="OWC45" s="47"/>
      <c r="OWD45" s="47"/>
      <c r="OWE45" s="47"/>
      <c r="OWF45" s="47"/>
      <c r="OWG45" s="47"/>
      <c r="OWH45" s="47"/>
      <c r="OWI45" s="47"/>
      <c r="OWJ45" s="47"/>
      <c r="OWK45" s="47"/>
      <c r="OWL45" s="47"/>
      <c r="OWM45" s="47"/>
      <c r="OWN45" s="47"/>
      <c r="OWO45" s="47"/>
      <c r="OWP45" s="47"/>
      <c r="OWQ45" s="47"/>
      <c r="OWR45" s="47"/>
      <c r="OWS45" s="47"/>
      <c r="OWT45" s="47"/>
      <c r="OWU45" s="47"/>
      <c r="OWV45" s="47"/>
      <c r="OWW45" s="47"/>
      <c r="OWX45" s="47"/>
      <c r="OWY45" s="47"/>
      <c r="OWZ45" s="47"/>
      <c r="OXA45" s="47"/>
      <c r="OXB45" s="47"/>
      <c r="OXC45" s="47"/>
      <c r="OXD45" s="47"/>
      <c r="OXE45" s="47"/>
      <c r="OXF45" s="47"/>
      <c r="OXG45" s="47"/>
      <c r="OXH45" s="47"/>
      <c r="OXI45" s="47"/>
      <c r="OXJ45" s="47"/>
      <c r="OXK45" s="47"/>
      <c r="OXL45" s="47"/>
      <c r="OXM45" s="47"/>
      <c r="OXN45" s="47"/>
      <c r="OXO45" s="47"/>
      <c r="OXP45" s="47"/>
      <c r="OXQ45" s="47"/>
      <c r="OXR45" s="47"/>
      <c r="OXS45" s="47"/>
      <c r="OXT45" s="47"/>
      <c r="OXU45" s="47"/>
      <c r="OXV45" s="47"/>
      <c r="OXW45" s="47"/>
      <c r="OXX45" s="47"/>
      <c r="OXY45" s="47"/>
      <c r="OXZ45" s="47"/>
      <c r="OYA45" s="47"/>
      <c r="OYB45" s="47"/>
      <c r="OYC45" s="47"/>
      <c r="OYD45" s="47"/>
      <c r="OYE45" s="47"/>
      <c r="OYF45" s="47"/>
      <c r="OYG45" s="47"/>
      <c r="OYH45" s="47"/>
      <c r="OYI45" s="47"/>
      <c r="OYJ45" s="47"/>
      <c r="OYK45" s="47"/>
      <c r="OYL45" s="47"/>
      <c r="OYM45" s="47"/>
      <c r="OYN45" s="47"/>
      <c r="OYO45" s="47"/>
      <c r="OYP45" s="47"/>
      <c r="OYQ45" s="47"/>
      <c r="OYR45" s="47"/>
      <c r="OYS45" s="47"/>
      <c r="OYT45" s="47"/>
      <c r="OYU45" s="47"/>
      <c r="OYV45" s="47"/>
      <c r="OYW45" s="47"/>
      <c r="OYX45" s="47"/>
      <c r="OYY45" s="47"/>
      <c r="OYZ45" s="47"/>
      <c r="OZA45" s="47"/>
      <c r="OZB45" s="47"/>
      <c r="OZC45" s="47"/>
      <c r="OZD45" s="47"/>
      <c r="OZE45" s="47"/>
      <c r="OZF45" s="47"/>
      <c r="OZG45" s="47"/>
      <c r="OZH45" s="47"/>
      <c r="OZI45" s="47"/>
      <c r="OZJ45" s="47"/>
      <c r="OZK45" s="47"/>
      <c r="OZL45" s="47"/>
      <c r="OZM45" s="47"/>
      <c r="OZN45" s="47"/>
      <c r="OZO45" s="47"/>
      <c r="OZP45" s="47"/>
      <c r="OZQ45" s="47"/>
      <c r="OZR45" s="47"/>
      <c r="OZS45" s="47"/>
      <c r="OZT45" s="47"/>
      <c r="OZU45" s="47"/>
      <c r="OZV45" s="47"/>
      <c r="OZW45" s="47"/>
      <c r="OZX45" s="47"/>
      <c r="OZY45" s="47"/>
      <c r="OZZ45" s="47"/>
      <c r="PAA45" s="47"/>
      <c r="PAB45" s="47"/>
      <c r="PAC45" s="47"/>
      <c r="PAD45" s="47"/>
      <c r="PAE45" s="47"/>
      <c r="PAF45" s="47"/>
      <c r="PAG45" s="47"/>
      <c r="PAH45" s="47"/>
      <c r="PAI45" s="47"/>
      <c r="PAJ45" s="47"/>
      <c r="PAK45" s="47"/>
      <c r="PAL45" s="47"/>
      <c r="PAM45" s="47"/>
      <c r="PAN45" s="47"/>
      <c r="PAO45" s="47"/>
      <c r="PAP45" s="47"/>
      <c r="PAQ45" s="47"/>
      <c r="PAR45" s="47"/>
      <c r="PAS45" s="47"/>
      <c r="PAT45" s="47"/>
      <c r="PAU45" s="47"/>
      <c r="PAV45" s="47"/>
      <c r="PAW45" s="47"/>
      <c r="PAX45" s="47"/>
      <c r="PAY45" s="47"/>
      <c r="PAZ45" s="47"/>
      <c r="PBA45" s="47"/>
      <c r="PBB45" s="47"/>
      <c r="PBC45" s="47"/>
      <c r="PBD45" s="47"/>
      <c r="PBE45" s="47"/>
      <c r="PBF45" s="47"/>
      <c r="PBG45" s="47"/>
      <c r="PBH45" s="47"/>
      <c r="PBI45" s="47"/>
      <c r="PBJ45" s="47"/>
      <c r="PBK45" s="47"/>
      <c r="PBL45" s="47"/>
      <c r="PBM45" s="47"/>
      <c r="PBN45" s="47"/>
      <c r="PBO45" s="47"/>
      <c r="PBP45" s="47"/>
      <c r="PBQ45" s="47"/>
      <c r="PBR45" s="47"/>
      <c r="PBS45" s="47"/>
      <c r="PBT45" s="47"/>
      <c r="PBU45" s="47"/>
      <c r="PBV45" s="47"/>
      <c r="PBW45" s="47"/>
      <c r="PBX45" s="47"/>
      <c r="PBY45" s="47"/>
      <c r="PBZ45" s="47"/>
      <c r="PCA45" s="47"/>
      <c r="PCB45" s="47"/>
      <c r="PCC45" s="47"/>
      <c r="PCD45" s="47"/>
      <c r="PCE45" s="47"/>
      <c r="PCF45" s="47"/>
      <c r="PCG45" s="47"/>
      <c r="PCH45" s="47"/>
      <c r="PCI45" s="47"/>
      <c r="PCJ45" s="47"/>
      <c r="PCK45" s="47"/>
      <c r="PCL45" s="47"/>
      <c r="PCM45" s="47"/>
      <c r="PCN45" s="47"/>
      <c r="PCO45" s="47"/>
      <c r="PCP45" s="47"/>
      <c r="PCQ45" s="47"/>
      <c r="PCR45" s="47"/>
      <c r="PCS45" s="47"/>
      <c r="PCT45" s="47"/>
      <c r="PCU45" s="47"/>
      <c r="PCV45" s="47"/>
      <c r="PCW45" s="47"/>
      <c r="PCX45" s="47"/>
      <c r="PCY45" s="47"/>
      <c r="PCZ45" s="47"/>
      <c r="PDA45" s="47"/>
      <c r="PDB45" s="47"/>
      <c r="PDC45" s="47"/>
      <c r="PDD45" s="47"/>
      <c r="PDE45" s="47"/>
      <c r="PDF45" s="47"/>
      <c r="PDG45" s="47"/>
      <c r="PDH45" s="47"/>
      <c r="PDI45" s="47"/>
      <c r="PDJ45" s="47"/>
      <c r="PDK45" s="47"/>
      <c r="PDL45" s="47"/>
      <c r="PDM45" s="47"/>
      <c r="PDN45" s="47"/>
      <c r="PDO45" s="47"/>
      <c r="PDP45" s="47"/>
      <c r="PDQ45" s="47"/>
      <c r="PDR45" s="47"/>
      <c r="PDS45" s="47"/>
      <c r="PDT45" s="47"/>
      <c r="PDU45" s="47"/>
      <c r="PDV45" s="47"/>
      <c r="PDW45" s="47"/>
      <c r="PDX45" s="47"/>
      <c r="PDY45" s="47"/>
      <c r="PDZ45" s="47"/>
      <c r="PEA45" s="47"/>
      <c r="PEB45" s="47"/>
      <c r="PEC45" s="47"/>
      <c r="PED45" s="47"/>
      <c r="PEE45" s="47"/>
      <c r="PEF45" s="47"/>
      <c r="PEG45" s="47"/>
      <c r="PEH45" s="47"/>
      <c r="PEI45" s="47"/>
      <c r="PEJ45" s="47"/>
      <c r="PEK45" s="47"/>
      <c r="PEL45" s="47"/>
      <c r="PEM45" s="47"/>
      <c r="PEN45" s="47"/>
      <c r="PEO45" s="47"/>
      <c r="PEP45" s="47"/>
      <c r="PEQ45" s="47"/>
      <c r="PER45" s="47"/>
      <c r="PES45" s="47"/>
      <c r="PET45" s="47"/>
      <c r="PEU45" s="47"/>
      <c r="PEV45" s="47"/>
      <c r="PEW45" s="47"/>
      <c r="PEX45" s="47"/>
      <c r="PEY45" s="47"/>
      <c r="PEZ45" s="47"/>
      <c r="PFA45" s="47"/>
      <c r="PFB45" s="47"/>
      <c r="PFC45" s="47"/>
      <c r="PFD45" s="47"/>
      <c r="PFE45" s="47"/>
      <c r="PFF45" s="47"/>
      <c r="PFG45" s="47"/>
      <c r="PFH45" s="47"/>
      <c r="PFI45" s="47"/>
      <c r="PFJ45" s="47"/>
      <c r="PFK45" s="47"/>
      <c r="PFL45" s="47"/>
      <c r="PFM45" s="47"/>
      <c r="PFN45" s="47"/>
      <c r="PFO45" s="47"/>
      <c r="PFP45" s="47"/>
      <c r="PFQ45" s="47"/>
      <c r="PFR45" s="47"/>
      <c r="PFS45" s="47"/>
      <c r="PFT45" s="47"/>
      <c r="PFU45" s="47"/>
      <c r="PFV45" s="47"/>
      <c r="PFW45" s="47"/>
      <c r="PFX45" s="47"/>
      <c r="PFY45" s="47"/>
      <c r="PFZ45" s="47"/>
      <c r="PGA45" s="47"/>
      <c r="PGB45" s="47"/>
      <c r="PGC45" s="47"/>
      <c r="PGD45" s="47"/>
      <c r="PGE45" s="47"/>
      <c r="PGF45" s="47"/>
      <c r="PGG45" s="47"/>
      <c r="PGH45" s="47"/>
      <c r="PGI45" s="47"/>
      <c r="PGJ45" s="47"/>
      <c r="PGK45" s="47"/>
      <c r="PGL45" s="47"/>
      <c r="PGM45" s="47"/>
      <c r="PGN45" s="47"/>
      <c r="PGO45" s="47"/>
      <c r="PGP45" s="47"/>
      <c r="PGQ45" s="47"/>
      <c r="PGR45" s="47"/>
      <c r="PGS45" s="47"/>
      <c r="PGT45" s="47"/>
      <c r="PGU45" s="47"/>
      <c r="PGV45" s="47"/>
      <c r="PGW45" s="47"/>
      <c r="PGX45" s="47"/>
      <c r="PGY45" s="47"/>
      <c r="PGZ45" s="47"/>
      <c r="PHA45" s="47"/>
      <c r="PHB45" s="47"/>
      <c r="PHC45" s="47"/>
      <c r="PHD45" s="47"/>
      <c r="PHE45" s="47"/>
      <c r="PHF45" s="47"/>
      <c r="PHG45" s="47"/>
      <c r="PHH45" s="47"/>
      <c r="PHI45" s="47"/>
      <c r="PHJ45" s="47"/>
      <c r="PHK45" s="47"/>
      <c r="PHL45" s="47"/>
      <c r="PHM45" s="47"/>
      <c r="PHN45" s="47"/>
      <c r="PHO45" s="47"/>
      <c r="PHP45" s="47"/>
      <c r="PHQ45" s="47"/>
      <c r="PHR45" s="47"/>
      <c r="PHS45" s="47"/>
      <c r="PHT45" s="47"/>
      <c r="PHU45" s="47"/>
      <c r="PHV45" s="47"/>
      <c r="PHW45" s="47"/>
      <c r="PHX45" s="47"/>
      <c r="PHY45" s="47"/>
      <c r="PHZ45" s="47"/>
      <c r="PIA45" s="47"/>
      <c r="PIB45" s="47"/>
      <c r="PIC45" s="47"/>
      <c r="PID45" s="47"/>
      <c r="PIE45" s="47"/>
      <c r="PIF45" s="47"/>
      <c r="PIG45" s="47"/>
      <c r="PIH45" s="47"/>
      <c r="PII45" s="47"/>
      <c r="PIJ45" s="47"/>
      <c r="PIK45" s="47"/>
      <c r="PIL45" s="47"/>
      <c r="PIM45" s="47"/>
      <c r="PIN45" s="47"/>
      <c r="PIO45" s="47"/>
      <c r="PIP45" s="47"/>
      <c r="PIQ45" s="47"/>
      <c r="PIR45" s="47"/>
      <c r="PIS45" s="47"/>
      <c r="PIT45" s="47"/>
      <c r="PIU45" s="47"/>
      <c r="PIV45" s="47"/>
      <c r="PIW45" s="47"/>
      <c r="PIX45" s="47"/>
      <c r="PIY45" s="47"/>
      <c r="PIZ45" s="47"/>
      <c r="PJA45" s="47"/>
      <c r="PJB45" s="47"/>
      <c r="PJC45" s="47"/>
      <c r="PJD45" s="47"/>
      <c r="PJE45" s="47"/>
      <c r="PJF45" s="47"/>
      <c r="PJG45" s="47"/>
      <c r="PJH45" s="47"/>
      <c r="PJI45" s="47"/>
      <c r="PJJ45" s="47"/>
      <c r="PJK45" s="47"/>
      <c r="PJL45" s="47"/>
      <c r="PJM45" s="47"/>
      <c r="PJN45" s="47"/>
      <c r="PJO45" s="47"/>
      <c r="PJP45" s="47"/>
      <c r="PJQ45" s="47"/>
      <c r="PJR45" s="47"/>
      <c r="PJS45" s="47"/>
      <c r="PJT45" s="47"/>
      <c r="PJU45" s="47"/>
      <c r="PJV45" s="47"/>
      <c r="PJW45" s="47"/>
      <c r="PJX45" s="47"/>
      <c r="PJY45" s="47"/>
      <c r="PJZ45" s="47"/>
      <c r="PKA45" s="47"/>
      <c r="PKB45" s="47"/>
      <c r="PKC45" s="47"/>
      <c r="PKD45" s="47"/>
      <c r="PKE45" s="47"/>
      <c r="PKF45" s="47"/>
      <c r="PKG45" s="47"/>
      <c r="PKH45" s="47"/>
      <c r="PKI45" s="47"/>
      <c r="PKJ45" s="47"/>
      <c r="PKK45" s="47"/>
      <c r="PKL45" s="47"/>
      <c r="PKM45" s="47"/>
      <c r="PKN45" s="47"/>
      <c r="PKO45" s="47"/>
      <c r="PKP45" s="47"/>
      <c r="PKQ45" s="47"/>
      <c r="PKR45" s="47"/>
      <c r="PKS45" s="47"/>
      <c r="PKT45" s="47"/>
      <c r="PKU45" s="47"/>
      <c r="PKV45" s="47"/>
      <c r="PKW45" s="47"/>
      <c r="PKX45" s="47"/>
      <c r="PKY45" s="47"/>
      <c r="PKZ45" s="47"/>
      <c r="PLA45" s="47"/>
      <c r="PLB45" s="47"/>
      <c r="PLC45" s="47"/>
      <c r="PLD45" s="47"/>
      <c r="PLE45" s="47"/>
      <c r="PLF45" s="47"/>
      <c r="PLG45" s="47"/>
      <c r="PLH45" s="47"/>
      <c r="PLI45" s="47"/>
      <c r="PLJ45" s="47"/>
      <c r="PLK45" s="47"/>
      <c r="PLL45" s="47"/>
      <c r="PLM45" s="47"/>
      <c r="PLN45" s="47"/>
      <c r="PLO45" s="47"/>
      <c r="PLP45" s="47"/>
      <c r="PLQ45" s="47"/>
      <c r="PLR45" s="47"/>
      <c r="PLS45" s="47"/>
      <c r="PLT45" s="47"/>
      <c r="PLU45" s="47"/>
      <c r="PLV45" s="47"/>
      <c r="PLW45" s="47"/>
      <c r="PLX45" s="47"/>
      <c r="PLY45" s="47"/>
      <c r="PLZ45" s="47"/>
      <c r="PMA45" s="47"/>
      <c r="PMB45" s="47"/>
      <c r="PMC45" s="47"/>
      <c r="PMD45" s="47"/>
      <c r="PME45" s="47"/>
      <c r="PMF45" s="47"/>
      <c r="PMG45" s="47"/>
      <c r="PMH45" s="47"/>
      <c r="PMI45" s="47"/>
      <c r="PMJ45" s="47"/>
      <c r="PMK45" s="47"/>
      <c r="PML45" s="47"/>
      <c r="PMM45" s="47"/>
      <c r="PMN45" s="47"/>
      <c r="PMO45" s="47"/>
      <c r="PMP45" s="47"/>
      <c r="PMQ45" s="47"/>
      <c r="PMR45" s="47"/>
      <c r="PMS45" s="47"/>
      <c r="PMT45" s="47"/>
      <c r="PMU45" s="47"/>
      <c r="PMV45" s="47"/>
      <c r="PMW45" s="47"/>
      <c r="PMX45" s="47"/>
      <c r="PMY45" s="47"/>
      <c r="PMZ45" s="47"/>
      <c r="PNA45" s="47"/>
      <c r="PNB45" s="47"/>
      <c r="PNC45" s="47"/>
      <c r="PND45" s="47"/>
      <c r="PNE45" s="47"/>
      <c r="PNF45" s="47"/>
      <c r="PNG45" s="47"/>
      <c r="PNH45" s="47"/>
      <c r="PNI45" s="47"/>
      <c r="PNJ45" s="47"/>
      <c r="PNK45" s="47"/>
      <c r="PNL45" s="47"/>
      <c r="PNM45" s="47"/>
      <c r="PNN45" s="47"/>
      <c r="PNO45" s="47"/>
      <c r="PNP45" s="47"/>
      <c r="PNQ45" s="47"/>
      <c r="PNR45" s="47"/>
      <c r="PNS45" s="47"/>
      <c r="PNT45" s="47"/>
      <c r="PNU45" s="47"/>
      <c r="PNV45" s="47"/>
      <c r="PNW45" s="47"/>
      <c r="PNX45" s="47"/>
      <c r="PNY45" s="47"/>
      <c r="PNZ45" s="47"/>
      <c r="POA45" s="47"/>
      <c r="POB45" s="47"/>
      <c r="POC45" s="47"/>
      <c r="POD45" s="47"/>
      <c r="POE45" s="47"/>
      <c r="POF45" s="47"/>
      <c r="POG45" s="47"/>
      <c r="POH45" s="47"/>
      <c r="POI45" s="47"/>
      <c r="POJ45" s="47"/>
      <c r="POK45" s="47"/>
      <c r="POL45" s="47"/>
      <c r="POM45" s="47"/>
      <c r="PON45" s="47"/>
      <c r="POO45" s="47"/>
      <c r="POP45" s="47"/>
      <c r="POQ45" s="47"/>
      <c r="POR45" s="47"/>
      <c r="POS45" s="47"/>
      <c r="POT45" s="47"/>
      <c r="POU45" s="47"/>
      <c r="POV45" s="47"/>
      <c r="POW45" s="47"/>
      <c r="POX45" s="47"/>
      <c r="POY45" s="47"/>
      <c r="POZ45" s="47"/>
      <c r="PPA45" s="47"/>
      <c r="PPB45" s="47"/>
      <c r="PPC45" s="47"/>
      <c r="PPD45" s="47"/>
      <c r="PPE45" s="47"/>
      <c r="PPF45" s="47"/>
      <c r="PPG45" s="47"/>
      <c r="PPH45" s="47"/>
      <c r="PPI45" s="47"/>
      <c r="PPJ45" s="47"/>
      <c r="PPK45" s="47"/>
      <c r="PPL45" s="47"/>
      <c r="PPM45" s="47"/>
      <c r="PPN45" s="47"/>
      <c r="PPO45" s="47"/>
      <c r="PPP45" s="47"/>
      <c r="PPQ45" s="47"/>
      <c r="PPR45" s="47"/>
      <c r="PPS45" s="47"/>
      <c r="PPT45" s="47"/>
      <c r="PPU45" s="47"/>
      <c r="PPV45" s="47"/>
      <c r="PPW45" s="47"/>
      <c r="PPX45" s="47"/>
      <c r="PPY45" s="47"/>
      <c r="PPZ45" s="47"/>
      <c r="PQA45" s="47"/>
      <c r="PQB45" s="47"/>
      <c r="PQC45" s="47"/>
      <c r="PQD45" s="47"/>
      <c r="PQE45" s="47"/>
      <c r="PQF45" s="47"/>
      <c r="PQG45" s="47"/>
      <c r="PQH45" s="47"/>
      <c r="PQI45" s="47"/>
      <c r="PQJ45" s="47"/>
      <c r="PQK45" s="47"/>
      <c r="PQL45" s="47"/>
      <c r="PQM45" s="47"/>
      <c r="PQN45" s="47"/>
      <c r="PQO45" s="47"/>
      <c r="PQP45" s="47"/>
      <c r="PQQ45" s="47"/>
      <c r="PQR45" s="47"/>
      <c r="PQS45" s="47"/>
      <c r="PQT45" s="47"/>
      <c r="PQU45" s="47"/>
      <c r="PQV45" s="47"/>
      <c r="PQW45" s="47"/>
      <c r="PQX45" s="47"/>
      <c r="PQY45" s="47"/>
      <c r="PQZ45" s="47"/>
      <c r="PRA45" s="47"/>
      <c r="PRB45" s="47"/>
      <c r="PRC45" s="47"/>
      <c r="PRD45" s="47"/>
      <c r="PRE45" s="47"/>
      <c r="PRF45" s="47"/>
      <c r="PRG45" s="47"/>
      <c r="PRH45" s="47"/>
      <c r="PRI45" s="47"/>
      <c r="PRJ45" s="47"/>
      <c r="PRK45" s="47"/>
      <c r="PRL45" s="47"/>
      <c r="PRM45" s="47"/>
      <c r="PRN45" s="47"/>
      <c r="PRO45" s="47"/>
      <c r="PRP45" s="47"/>
      <c r="PRQ45" s="47"/>
      <c r="PRR45" s="47"/>
      <c r="PRS45" s="47"/>
      <c r="PRT45" s="47"/>
      <c r="PRU45" s="47"/>
      <c r="PRV45" s="47"/>
      <c r="PRW45" s="47"/>
      <c r="PRX45" s="47"/>
      <c r="PRY45" s="47"/>
      <c r="PRZ45" s="47"/>
      <c r="PSA45" s="47"/>
      <c r="PSB45" s="47"/>
      <c r="PSC45" s="47"/>
      <c r="PSD45" s="47"/>
      <c r="PSE45" s="47"/>
      <c r="PSF45" s="47"/>
      <c r="PSG45" s="47"/>
      <c r="PSH45" s="47"/>
      <c r="PSI45" s="47"/>
      <c r="PSJ45" s="47"/>
      <c r="PSK45" s="47"/>
      <c r="PSL45" s="47"/>
      <c r="PSM45" s="47"/>
      <c r="PSN45" s="47"/>
      <c r="PSO45" s="47"/>
      <c r="PSP45" s="47"/>
      <c r="PSQ45" s="47"/>
      <c r="PSR45" s="47"/>
      <c r="PSS45" s="47"/>
      <c r="PST45" s="47"/>
      <c r="PSU45" s="47"/>
      <c r="PSV45" s="47"/>
      <c r="PSW45" s="47"/>
      <c r="PSX45" s="47"/>
      <c r="PSY45" s="47"/>
      <c r="PSZ45" s="47"/>
      <c r="PTA45" s="47"/>
      <c r="PTB45" s="47"/>
      <c r="PTC45" s="47"/>
      <c r="PTD45" s="47"/>
      <c r="PTE45" s="47"/>
      <c r="PTF45" s="47"/>
      <c r="PTG45" s="47"/>
      <c r="PTH45" s="47"/>
      <c r="PTI45" s="47"/>
      <c r="PTJ45" s="47"/>
      <c r="PTK45" s="47"/>
      <c r="PTL45" s="47"/>
      <c r="PTM45" s="47"/>
      <c r="PTN45" s="47"/>
      <c r="PTO45" s="47"/>
      <c r="PTP45" s="47"/>
      <c r="PTQ45" s="47"/>
      <c r="PTR45" s="47"/>
      <c r="PTS45" s="47"/>
      <c r="PTT45" s="47"/>
      <c r="PTU45" s="47"/>
      <c r="PTV45" s="47"/>
      <c r="PTW45" s="47"/>
      <c r="PTX45" s="47"/>
      <c r="PTY45" s="47"/>
      <c r="PTZ45" s="47"/>
      <c r="PUA45" s="47"/>
      <c r="PUB45" s="47"/>
      <c r="PUC45" s="47"/>
      <c r="PUD45" s="47"/>
      <c r="PUE45" s="47"/>
      <c r="PUF45" s="47"/>
      <c r="PUG45" s="47"/>
      <c r="PUH45" s="47"/>
      <c r="PUI45" s="47"/>
      <c r="PUJ45" s="47"/>
      <c r="PUK45" s="47"/>
      <c r="PUL45" s="47"/>
      <c r="PUM45" s="47"/>
      <c r="PUN45" s="47"/>
      <c r="PUO45" s="47"/>
      <c r="PUP45" s="47"/>
      <c r="PUQ45" s="47"/>
      <c r="PUR45" s="47"/>
      <c r="PUS45" s="47"/>
      <c r="PUT45" s="47"/>
      <c r="PUU45" s="47"/>
      <c r="PUV45" s="47"/>
      <c r="PUW45" s="47"/>
      <c r="PUX45" s="47"/>
      <c r="PUY45" s="47"/>
      <c r="PUZ45" s="47"/>
      <c r="PVA45" s="47"/>
      <c r="PVB45" s="47"/>
      <c r="PVC45" s="47"/>
      <c r="PVD45" s="47"/>
      <c r="PVE45" s="47"/>
      <c r="PVF45" s="47"/>
      <c r="PVG45" s="47"/>
      <c r="PVH45" s="47"/>
      <c r="PVI45" s="47"/>
      <c r="PVJ45" s="47"/>
      <c r="PVK45" s="47"/>
      <c r="PVL45" s="47"/>
      <c r="PVM45" s="47"/>
      <c r="PVN45" s="47"/>
      <c r="PVO45" s="47"/>
      <c r="PVP45" s="47"/>
      <c r="PVQ45" s="47"/>
      <c r="PVR45" s="47"/>
      <c r="PVS45" s="47"/>
      <c r="PVT45" s="47"/>
      <c r="PVU45" s="47"/>
      <c r="PVV45" s="47"/>
      <c r="PVW45" s="47"/>
      <c r="PVX45" s="47"/>
      <c r="PVY45" s="47"/>
      <c r="PVZ45" s="47"/>
      <c r="PWA45" s="47"/>
      <c r="PWB45" s="47"/>
      <c r="PWC45" s="47"/>
      <c r="PWD45" s="47"/>
      <c r="PWE45" s="47"/>
      <c r="PWF45" s="47"/>
      <c r="PWG45" s="47"/>
      <c r="PWH45" s="47"/>
      <c r="PWI45" s="47"/>
      <c r="PWJ45" s="47"/>
      <c r="PWK45" s="47"/>
      <c r="PWL45" s="47"/>
      <c r="PWM45" s="47"/>
      <c r="PWN45" s="47"/>
      <c r="PWO45" s="47"/>
      <c r="PWP45" s="47"/>
      <c r="PWQ45" s="47"/>
      <c r="PWR45" s="47"/>
      <c r="PWS45" s="47"/>
      <c r="PWT45" s="47"/>
      <c r="PWU45" s="47"/>
      <c r="PWV45" s="47"/>
      <c r="PWW45" s="47"/>
      <c r="PWX45" s="47"/>
      <c r="PWY45" s="47"/>
      <c r="PWZ45" s="47"/>
      <c r="PXA45" s="47"/>
      <c r="PXB45" s="47"/>
      <c r="PXC45" s="47"/>
      <c r="PXD45" s="47"/>
      <c r="PXE45" s="47"/>
      <c r="PXF45" s="47"/>
      <c r="PXG45" s="47"/>
      <c r="PXH45" s="47"/>
      <c r="PXI45" s="47"/>
      <c r="PXJ45" s="47"/>
      <c r="PXK45" s="47"/>
      <c r="PXL45" s="47"/>
      <c r="PXM45" s="47"/>
      <c r="PXN45" s="47"/>
      <c r="PXO45" s="47"/>
      <c r="PXP45" s="47"/>
      <c r="PXQ45" s="47"/>
      <c r="PXR45" s="47"/>
      <c r="PXS45" s="47"/>
      <c r="PXT45" s="47"/>
      <c r="PXU45" s="47"/>
      <c r="PXV45" s="47"/>
      <c r="PXW45" s="47"/>
      <c r="PXX45" s="47"/>
      <c r="PXY45" s="47"/>
      <c r="PXZ45" s="47"/>
      <c r="PYA45" s="47"/>
      <c r="PYB45" s="47"/>
      <c r="PYC45" s="47"/>
      <c r="PYD45" s="47"/>
      <c r="PYE45" s="47"/>
      <c r="PYF45" s="47"/>
      <c r="PYG45" s="47"/>
      <c r="PYH45" s="47"/>
      <c r="PYI45" s="47"/>
      <c r="PYJ45" s="47"/>
      <c r="PYK45" s="47"/>
      <c r="PYL45" s="47"/>
      <c r="PYM45" s="47"/>
      <c r="PYN45" s="47"/>
      <c r="PYO45" s="47"/>
      <c r="PYP45" s="47"/>
      <c r="PYQ45" s="47"/>
      <c r="PYR45" s="47"/>
      <c r="PYS45" s="47"/>
      <c r="PYT45" s="47"/>
      <c r="PYU45" s="47"/>
      <c r="PYV45" s="47"/>
      <c r="PYW45" s="47"/>
      <c r="PYX45" s="47"/>
      <c r="PYY45" s="47"/>
      <c r="PYZ45" s="47"/>
      <c r="PZA45" s="47"/>
      <c r="PZB45" s="47"/>
      <c r="PZC45" s="47"/>
      <c r="PZD45" s="47"/>
      <c r="PZE45" s="47"/>
      <c r="PZF45" s="47"/>
      <c r="PZG45" s="47"/>
      <c r="PZH45" s="47"/>
      <c r="PZI45" s="47"/>
      <c r="PZJ45" s="47"/>
      <c r="PZK45" s="47"/>
      <c r="PZL45" s="47"/>
      <c r="PZM45" s="47"/>
      <c r="PZN45" s="47"/>
      <c r="PZO45" s="47"/>
      <c r="PZP45" s="47"/>
      <c r="PZQ45" s="47"/>
      <c r="PZR45" s="47"/>
      <c r="PZS45" s="47"/>
      <c r="PZT45" s="47"/>
      <c r="PZU45" s="47"/>
      <c r="PZV45" s="47"/>
      <c r="PZW45" s="47"/>
      <c r="PZX45" s="47"/>
      <c r="PZY45" s="47"/>
      <c r="PZZ45" s="47"/>
      <c r="QAA45" s="47"/>
      <c r="QAB45" s="47"/>
      <c r="QAC45" s="47"/>
      <c r="QAD45" s="47"/>
      <c r="QAE45" s="47"/>
      <c r="QAF45" s="47"/>
      <c r="QAG45" s="47"/>
      <c r="QAH45" s="47"/>
      <c r="QAI45" s="47"/>
      <c r="QAJ45" s="47"/>
      <c r="QAK45" s="47"/>
      <c r="QAL45" s="47"/>
      <c r="QAM45" s="47"/>
      <c r="QAN45" s="47"/>
      <c r="QAO45" s="47"/>
      <c r="QAP45" s="47"/>
      <c r="QAQ45" s="47"/>
      <c r="QAR45" s="47"/>
      <c r="QAS45" s="47"/>
      <c r="QAT45" s="47"/>
      <c r="QAU45" s="47"/>
      <c r="QAV45" s="47"/>
      <c r="QAW45" s="47"/>
      <c r="QAX45" s="47"/>
      <c r="QAY45" s="47"/>
      <c r="QAZ45" s="47"/>
      <c r="QBA45" s="47"/>
      <c r="QBB45" s="47"/>
      <c r="QBC45" s="47"/>
      <c r="QBD45" s="47"/>
      <c r="QBE45" s="47"/>
      <c r="QBF45" s="47"/>
      <c r="QBG45" s="47"/>
      <c r="QBH45" s="47"/>
      <c r="QBI45" s="47"/>
      <c r="QBJ45" s="47"/>
      <c r="QBK45" s="47"/>
      <c r="QBL45" s="47"/>
      <c r="QBM45" s="47"/>
      <c r="QBN45" s="47"/>
      <c r="QBO45" s="47"/>
      <c r="QBP45" s="47"/>
      <c r="QBQ45" s="47"/>
      <c r="QBR45" s="47"/>
      <c r="QBS45" s="47"/>
      <c r="QBT45" s="47"/>
      <c r="QBU45" s="47"/>
      <c r="QBV45" s="47"/>
      <c r="QBW45" s="47"/>
      <c r="QBX45" s="47"/>
      <c r="QBY45" s="47"/>
      <c r="QBZ45" s="47"/>
      <c r="QCA45" s="47"/>
      <c r="QCB45" s="47"/>
      <c r="QCC45" s="47"/>
      <c r="QCD45" s="47"/>
      <c r="QCE45" s="47"/>
      <c r="QCF45" s="47"/>
      <c r="QCG45" s="47"/>
      <c r="QCH45" s="47"/>
      <c r="QCI45" s="47"/>
      <c r="QCJ45" s="47"/>
      <c r="QCK45" s="47"/>
      <c r="QCL45" s="47"/>
      <c r="QCM45" s="47"/>
      <c r="QCN45" s="47"/>
      <c r="QCO45" s="47"/>
      <c r="QCP45" s="47"/>
      <c r="QCQ45" s="47"/>
      <c r="QCR45" s="47"/>
      <c r="QCS45" s="47"/>
      <c r="QCT45" s="47"/>
      <c r="QCU45" s="47"/>
      <c r="QCV45" s="47"/>
      <c r="QCW45" s="47"/>
      <c r="QCX45" s="47"/>
      <c r="QCY45" s="47"/>
      <c r="QCZ45" s="47"/>
      <c r="QDA45" s="47"/>
      <c r="QDB45" s="47"/>
      <c r="QDC45" s="47"/>
      <c r="QDD45" s="47"/>
      <c r="QDE45" s="47"/>
      <c r="QDF45" s="47"/>
      <c r="QDG45" s="47"/>
      <c r="QDH45" s="47"/>
      <c r="QDI45" s="47"/>
      <c r="QDJ45" s="47"/>
      <c r="QDK45" s="47"/>
      <c r="QDL45" s="47"/>
      <c r="QDM45" s="47"/>
      <c r="QDN45" s="47"/>
      <c r="QDO45" s="47"/>
      <c r="QDP45" s="47"/>
      <c r="QDQ45" s="47"/>
      <c r="QDR45" s="47"/>
      <c r="QDS45" s="47"/>
      <c r="QDT45" s="47"/>
      <c r="QDU45" s="47"/>
      <c r="QDV45" s="47"/>
      <c r="QDW45" s="47"/>
      <c r="QDX45" s="47"/>
      <c r="QDY45" s="47"/>
      <c r="QDZ45" s="47"/>
      <c r="QEA45" s="47"/>
      <c r="QEB45" s="47"/>
      <c r="QEC45" s="47"/>
      <c r="QED45" s="47"/>
      <c r="QEE45" s="47"/>
      <c r="QEF45" s="47"/>
      <c r="QEG45" s="47"/>
      <c r="QEH45" s="47"/>
      <c r="QEI45" s="47"/>
      <c r="QEJ45" s="47"/>
      <c r="QEK45" s="47"/>
      <c r="QEL45" s="47"/>
      <c r="QEM45" s="47"/>
      <c r="QEN45" s="47"/>
      <c r="QEO45" s="47"/>
      <c r="QEP45" s="47"/>
      <c r="QEQ45" s="47"/>
      <c r="QER45" s="47"/>
      <c r="QES45" s="47"/>
      <c r="QET45" s="47"/>
      <c r="QEU45" s="47"/>
      <c r="QEV45" s="47"/>
      <c r="QEW45" s="47"/>
      <c r="QEX45" s="47"/>
      <c r="QEY45" s="47"/>
      <c r="QEZ45" s="47"/>
      <c r="QFA45" s="47"/>
      <c r="QFB45" s="47"/>
      <c r="QFC45" s="47"/>
      <c r="QFD45" s="47"/>
      <c r="QFE45" s="47"/>
      <c r="QFF45" s="47"/>
      <c r="QFG45" s="47"/>
      <c r="QFH45" s="47"/>
      <c r="QFI45" s="47"/>
      <c r="QFJ45" s="47"/>
      <c r="QFK45" s="47"/>
      <c r="QFL45" s="47"/>
      <c r="QFM45" s="47"/>
      <c r="QFN45" s="47"/>
      <c r="QFO45" s="47"/>
      <c r="QFP45" s="47"/>
      <c r="QFQ45" s="47"/>
      <c r="QFR45" s="47"/>
      <c r="QFS45" s="47"/>
      <c r="QFT45" s="47"/>
      <c r="QFU45" s="47"/>
      <c r="QFV45" s="47"/>
      <c r="QFW45" s="47"/>
      <c r="QFX45" s="47"/>
      <c r="QFY45" s="47"/>
      <c r="QFZ45" s="47"/>
      <c r="QGA45" s="47"/>
      <c r="QGB45" s="47"/>
      <c r="QGC45" s="47"/>
      <c r="QGD45" s="47"/>
      <c r="QGE45" s="47"/>
      <c r="QGF45" s="47"/>
      <c r="QGG45" s="47"/>
      <c r="QGH45" s="47"/>
      <c r="QGI45" s="47"/>
      <c r="QGJ45" s="47"/>
      <c r="QGK45" s="47"/>
      <c r="QGL45" s="47"/>
      <c r="QGM45" s="47"/>
      <c r="QGN45" s="47"/>
      <c r="QGO45" s="47"/>
      <c r="QGP45" s="47"/>
      <c r="QGQ45" s="47"/>
      <c r="QGR45" s="47"/>
      <c r="QGS45" s="47"/>
      <c r="QGT45" s="47"/>
      <c r="QGU45" s="47"/>
      <c r="QGV45" s="47"/>
      <c r="QGW45" s="47"/>
      <c r="QGX45" s="47"/>
      <c r="QGY45" s="47"/>
      <c r="QGZ45" s="47"/>
      <c r="QHA45" s="47"/>
      <c r="QHB45" s="47"/>
      <c r="QHC45" s="47"/>
      <c r="QHD45" s="47"/>
      <c r="QHE45" s="47"/>
      <c r="QHF45" s="47"/>
      <c r="QHG45" s="47"/>
      <c r="QHH45" s="47"/>
      <c r="QHI45" s="47"/>
      <c r="QHJ45" s="47"/>
      <c r="QHK45" s="47"/>
      <c r="QHL45" s="47"/>
      <c r="QHM45" s="47"/>
      <c r="QHN45" s="47"/>
      <c r="QHO45" s="47"/>
      <c r="QHP45" s="47"/>
      <c r="QHQ45" s="47"/>
      <c r="QHR45" s="47"/>
      <c r="QHS45" s="47"/>
      <c r="QHT45" s="47"/>
      <c r="QHU45" s="47"/>
      <c r="QHV45" s="47"/>
      <c r="QHW45" s="47"/>
      <c r="QHX45" s="47"/>
      <c r="QHY45" s="47"/>
      <c r="QHZ45" s="47"/>
      <c r="QIA45" s="47"/>
      <c r="QIB45" s="47"/>
      <c r="QIC45" s="47"/>
      <c r="QID45" s="47"/>
      <c r="QIE45" s="47"/>
      <c r="QIF45" s="47"/>
      <c r="QIG45" s="47"/>
      <c r="QIH45" s="47"/>
      <c r="QII45" s="47"/>
      <c r="QIJ45" s="47"/>
      <c r="QIK45" s="47"/>
      <c r="QIL45" s="47"/>
      <c r="QIM45" s="47"/>
      <c r="QIN45" s="47"/>
      <c r="QIO45" s="47"/>
      <c r="QIP45" s="47"/>
      <c r="QIQ45" s="47"/>
      <c r="QIR45" s="47"/>
      <c r="QIS45" s="47"/>
      <c r="QIT45" s="47"/>
      <c r="QIU45" s="47"/>
      <c r="QIV45" s="47"/>
      <c r="QIW45" s="47"/>
      <c r="QIX45" s="47"/>
      <c r="QIY45" s="47"/>
      <c r="QIZ45" s="47"/>
      <c r="QJA45" s="47"/>
      <c r="QJB45" s="47"/>
      <c r="QJC45" s="47"/>
      <c r="QJD45" s="47"/>
      <c r="QJE45" s="47"/>
      <c r="QJF45" s="47"/>
      <c r="QJG45" s="47"/>
      <c r="QJH45" s="47"/>
      <c r="QJI45" s="47"/>
      <c r="QJJ45" s="47"/>
      <c r="QJK45" s="47"/>
      <c r="QJL45" s="47"/>
      <c r="QJM45" s="47"/>
      <c r="QJN45" s="47"/>
      <c r="QJO45" s="47"/>
      <c r="QJP45" s="47"/>
      <c r="QJQ45" s="47"/>
      <c r="QJR45" s="47"/>
      <c r="QJS45" s="47"/>
      <c r="QJT45" s="47"/>
      <c r="QJU45" s="47"/>
      <c r="QJV45" s="47"/>
      <c r="QJW45" s="47"/>
      <c r="QJX45" s="47"/>
      <c r="QJY45" s="47"/>
      <c r="QJZ45" s="47"/>
      <c r="QKA45" s="47"/>
      <c r="QKB45" s="47"/>
      <c r="QKC45" s="47"/>
      <c r="QKD45" s="47"/>
      <c r="QKE45" s="47"/>
      <c r="QKF45" s="47"/>
      <c r="QKG45" s="47"/>
      <c r="QKH45" s="47"/>
      <c r="QKI45" s="47"/>
      <c r="QKJ45" s="47"/>
      <c r="QKK45" s="47"/>
      <c r="QKL45" s="47"/>
      <c r="QKM45" s="47"/>
      <c r="QKN45" s="47"/>
      <c r="QKO45" s="47"/>
      <c r="QKP45" s="47"/>
      <c r="QKQ45" s="47"/>
      <c r="QKR45" s="47"/>
      <c r="QKS45" s="47"/>
      <c r="QKT45" s="47"/>
      <c r="QKU45" s="47"/>
      <c r="QKV45" s="47"/>
      <c r="QKW45" s="47"/>
      <c r="QKX45" s="47"/>
      <c r="QKY45" s="47"/>
      <c r="QKZ45" s="47"/>
      <c r="QLA45" s="47"/>
      <c r="QLB45" s="47"/>
      <c r="QLC45" s="47"/>
      <c r="QLD45" s="47"/>
      <c r="QLE45" s="47"/>
      <c r="QLF45" s="47"/>
      <c r="QLG45" s="47"/>
      <c r="QLH45" s="47"/>
      <c r="QLI45" s="47"/>
      <c r="QLJ45" s="47"/>
      <c r="QLK45" s="47"/>
      <c r="QLL45" s="47"/>
      <c r="QLM45" s="47"/>
      <c r="QLN45" s="47"/>
      <c r="QLO45" s="47"/>
      <c r="QLP45" s="47"/>
      <c r="QLQ45" s="47"/>
      <c r="QLR45" s="47"/>
      <c r="QLS45" s="47"/>
      <c r="QLT45" s="47"/>
      <c r="QLU45" s="47"/>
      <c r="QLV45" s="47"/>
      <c r="QLW45" s="47"/>
      <c r="QLX45" s="47"/>
      <c r="QLY45" s="47"/>
      <c r="QLZ45" s="47"/>
      <c r="QMA45" s="47"/>
      <c r="QMB45" s="47"/>
      <c r="QMC45" s="47"/>
      <c r="QMD45" s="47"/>
      <c r="QME45" s="47"/>
      <c r="QMF45" s="47"/>
      <c r="QMG45" s="47"/>
      <c r="QMH45" s="47"/>
      <c r="QMI45" s="47"/>
      <c r="QMJ45" s="47"/>
      <c r="QMK45" s="47"/>
      <c r="QML45" s="47"/>
      <c r="QMM45" s="47"/>
      <c r="QMN45" s="47"/>
      <c r="QMO45" s="47"/>
      <c r="QMP45" s="47"/>
      <c r="QMQ45" s="47"/>
      <c r="QMR45" s="47"/>
      <c r="QMS45" s="47"/>
      <c r="QMT45" s="47"/>
      <c r="QMU45" s="47"/>
      <c r="QMV45" s="47"/>
      <c r="QMW45" s="47"/>
      <c r="QMX45" s="47"/>
      <c r="QMY45" s="47"/>
      <c r="QMZ45" s="47"/>
      <c r="QNA45" s="47"/>
      <c r="QNB45" s="47"/>
      <c r="QNC45" s="47"/>
      <c r="QND45" s="47"/>
      <c r="QNE45" s="47"/>
      <c r="QNF45" s="47"/>
      <c r="QNG45" s="47"/>
      <c r="QNH45" s="47"/>
      <c r="QNI45" s="47"/>
      <c r="QNJ45" s="47"/>
      <c r="QNK45" s="47"/>
      <c r="QNL45" s="47"/>
      <c r="QNM45" s="47"/>
      <c r="QNN45" s="47"/>
      <c r="QNO45" s="47"/>
      <c r="QNP45" s="47"/>
      <c r="QNQ45" s="47"/>
      <c r="QNR45" s="47"/>
      <c r="QNS45" s="47"/>
      <c r="QNT45" s="47"/>
      <c r="QNU45" s="47"/>
      <c r="QNV45" s="47"/>
      <c r="QNW45" s="47"/>
      <c r="QNX45" s="47"/>
      <c r="QNY45" s="47"/>
      <c r="QNZ45" s="47"/>
      <c r="QOA45" s="47"/>
      <c r="QOB45" s="47"/>
      <c r="QOC45" s="47"/>
      <c r="QOD45" s="47"/>
      <c r="QOE45" s="47"/>
      <c r="QOF45" s="47"/>
      <c r="QOG45" s="47"/>
      <c r="QOH45" s="47"/>
      <c r="QOI45" s="47"/>
      <c r="QOJ45" s="47"/>
      <c r="QOK45" s="47"/>
      <c r="QOL45" s="47"/>
      <c r="QOM45" s="47"/>
      <c r="QON45" s="47"/>
      <c r="QOO45" s="47"/>
      <c r="QOP45" s="47"/>
      <c r="QOQ45" s="47"/>
      <c r="QOR45" s="47"/>
      <c r="QOS45" s="47"/>
      <c r="QOT45" s="47"/>
      <c r="QOU45" s="47"/>
      <c r="QOV45" s="47"/>
      <c r="QOW45" s="47"/>
      <c r="QOX45" s="47"/>
      <c r="QOY45" s="47"/>
      <c r="QOZ45" s="47"/>
      <c r="QPA45" s="47"/>
      <c r="QPB45" s="47"/>
      <c r="QPC45" s="47"/>
      <c r="QPD45" s="47"/>
      <c r="QPE45" s="47"/>
      <c r="QPF45" s="47"/>
      <c r="QPG45" s="47"/>
      <c r="QPH45" s="47"/>
      <c r="QPI45" s="47"/>
      <c r="QPJ45" s="47"/>
      <c r="QPK45" s="47"/>
      <c r="QPL45" s="47"/>
      <c r="QPM45" s="47"/>
      <c r="QPN45" s="47"/>
      <c r="QPO45" s="47"/>
      <c r="QPP45" s="47"/>
      <c r="QPQ45" s="47"/>
      <c r="QPR45" s="47"/>
      <c r="QPS45" s="47"/>
      <c r="QPT45" s="47"/>
      <c r="QPU45" s="47"/>
      <c r="QPV45" s="47"/>
      <c r="QPW45" s="47"/>
      <c r="QPX45" s="47"/>
      <c r="QPY45" s="47"/>
      <c r="QPZ45" s="47"/>
      <c r="QQA45" s="47"/>
      <c r="QQB45" s="47"/>
      <c r="QQC45" s="47"/>
      <c r="QQD45" s="47"/>
      <c r="QQE45" s="47"/>
      <c r="QQF45" s="47"/>
      <c r="QQG45" s="47"/>
      <c r="QQH45" s="47"/>
      <c r="QQI45" s="47"/>
      <c r="QQJ45" s="47"/>
      <c r="QQK45" s="47"/>
      <c r="QQL45" s="47"/>
      <c r="QQM45" s="47"/>
      <c r="QQN45" s="47"/>
      <c r="QQO45" s="47"/>
      <c r="QQP45" s="47"/>
      <c r="QQQ45" s="47"/>
      <c r="QQR45" s="47"/>
      <c r="QQS45" s="47"/>
      <c r="QQT45" s="47"/>
      <c r="QQU45" s="47"/>
      <c r="QQV45" s="47"/>
      <c r="QQW45" s="47"/>
      <c r="QQX45" s="47"/>
      <c r="QQY45" s="47"/>
      <c r="QQZ45" s="47"/>
      <c r="QRA45" s="47"/>
      <c r="QRB45" s="47"/>
      <c r="QRC45" s="47"/>
      <c r="QRD45" s="47"/>
      <c r="QRE45" s="47"/>
      <c r="QRF45" s="47"/>
      <c r="QRG45" s="47"/>
      <c r="QRH45" s="47"/>
      <c r="QRI45" s="47"/>
      <c r="QRJ45" s="47"/>
      <c r="QRK45" s="47"/>
      <c r="QRL45" s="47"/>
      <c r="QRM45" s="47"/>
      <c r="QRN45" s="47"/>
      <c r="QRO45" s="47"/>
      <c r="QRP45" s="47"/>
      <c r="QRQ45" s="47"/>
      <c r="QRR45" s="47"/>
      <c r="QRS45" s="47"/>
      <c r="QRT45" s="47"/>
      <c r="QRU45" s="47"/>
      <c r="QRV45" s="47"/>
      <c r="QRW45" s="47"/>
      <c r="QRX45" s="47"/>
      <c r="QRY45" s="47"/>
      <c r="QRZ45" s="47"/>
      <c r="QSA45" s="47"/>
      <c r="QSB45" s="47"/>
      <c r="QSC45" s="47"/>
      <c r="QSD45" s="47"/>
      <c r="QSE45" s="47"/>
      <c r="QSF45" s="47"/>
      <c r="QSG45" s="47"/>
      <c r="QSH45" s="47"/>
      <c r="QSI45" s="47"/>
      <c r="QSJ45" s="47"/>
      <c r="QSK45" s="47"/>
      <c r="QSL45" s="47"/>
      <c r="QSM45" s="47"/>
      <c r="QSN45" s="47"/>
      <c r="QSO45" s="47"/>
      <c r="QSP45" s="47"/>
      <c r="QSQ45" s="47"/>
      <c r="QSR45" s="47"/>
      <c r="QSS45" s="47"/>
      <c r="QST45" s="47"/>
      <c r="QSU45" s="47"/>
      <c r="QSV45" s="47"/>
      <c r="QSW45" s="47"/>
      <c r="QSX45" s="47"/>
      <c r="QSY45" s="47"/>
      <c r="QSZ45" s="47"/>
      <c r="QTA45" s="47"/>
      <c r="QTB45" s="47"/>
      <c r="QTC45" s="47"/>
      <c r="QTD45" s="47"/>
      <c r="QTE45" s="47"/>
      <c r="QTF45" s="47"/>
      <c r="QTG45" s="47"/>
      <c r="QTH45" s="47"/>
      <c r="QTI45" s="47"/>
      <c r="QTJ45" s="47"/>
      <c r="QTK45" s="47"/>
      <c r="QTL45" s="47"/>
      <c r="QTM45" s="47"/>
      <c r="QTN45" s="47"/>
      <c r="QTO45" s="47"/>
      <c r="QTP45" s="47"/>
      <c r="QTQ45" s="47"/>
      <c r="QTR45" s="47"/>
      <c r="QTS45" s="47"/>
      <c r="QTT45" s="47"/>
      <c r="QTU45" s="47"/>
      <c r="QTV45" s="47"/>
      <c r="QTW45" s="47"/>
      <c r="QTX45" s="47"/>
      <c r="QTY45" s="47"/>
      <c r="QTZ45" s="47"/>
      <c r="QUA45" s="47"/>
      <c r="QUB45" s="47"/>
      <c r="QUC45" s="47"/>
      <c r="QUD45" s="47"/>
      <c r="QUE45" s="47"/>
      <c r="QUF45" s="47"/>
      <c r="QUG45" s="47"/>
      <c r="QUH45" s="47"/>
      <c r="QUI45" s="47"/>
      <c r="QUJ45" s="47"/>
      <c r="QUK45" s="47"/>
      <c r="QUL45" s="47"/>
      <c r="QUM45" s="47"/>
      <c r="QUN45" s="47"/>
      <c r="QUO45" s="47"/>
      <c r="QUP45" s="47"/>
      <c r="QUQ45" s="47"/>
      <c r="QUR45" s="47"/>
      <c r="QUS45" s="47"/>
      <c r="QUT45" s="47"/>
      <c r="QUU45" s="47"/>
      <c r="QUV45" s="47"/>
      <c r="QUW45" s="47"/>
      <c r="QUX45" s="47"/>
      <c r="QUY45" s="47"/>
      <c r="QUZ45" s="47"/>
      <c r="QVA45" s="47"/>
      <c r="QVB45" s="47"/>
      <c r="QVC45" s="47"/>
      <c r="QVD45" s="47"/>
      <c r="QVE45" s="47"/>
      <c r="QVF45" s="47"/>
      <c r="QVG45" s="47"/>
      <c r="QVH45" s="47"/>
      <c r="QVI45" s="47"/>
      <c r="QVJ45" s="47"/>
      <c r="QVK45" s="47"/>
      <c r="QVL45" s="47"/>
      <c r="QVM45" s="47"/>
      <c r="QVN45" s="47"/>
      <c r="QVO45" s="47"/>
      <c r="QVP45" s="47"/>
      <c r="QVQ45" s="47"/>
      <c r="QVR45" s="47"/>
      <c r="QVS45" s="47"/>
      <c r="QVT45" s="47"/>
      <c r="QVU45" s="47"/>
      <c r="QVV45" s="47"/>
      <c r="QVW45" s="47"/>
      <c r="QVX45" s="47"/>
      <c r="QVY45" s="47"/>
      <c r="QVZ45" s="47"/>
      <c r="QWA45" s="47"/>
      <c r="QWB45" s="47"/>
      <c r="QWC45" s="47"/>
      <c r="QWD45" s="47"/>
      <c r="QWE45" s="47"/>
      <c r="QWF45" s="47"/>
      <c r="QWG45" s="47"/>
      <c r="QWH45" s="47"/>
      <c r="QWI45" s="47"/>
      <c r="QWJ45" s="47"/>
      <c r="QWK45" s="47"/>
      <c r="QWL45" s="47"/>
      <c r="QWM45" s="47"/>
      <c r="QWN45" s="47"/>
      <c r="QWO45" s="47"/>
      <c r="QWP45" s="47"/>
      <c r="QWQ45" s="47"/>
      <c r="QWR45" s="47"/>
      <c r="QWS45" s="47"/>
      <c r="QWT45" s="47"/>
      <c r="QWU45" s="47"/>
      <c r="QWV45" s="47"/>
      <c r="QWW45" s="47"/>
      <c r="QWX45" s="47"/>
      <c r="QWY45" s="47"/>
      <c r="QWZ45" s="47"/>
      <c r="QXA45" s="47"/>
      <c r="QXB45" s="47"/>
      <c r="QXC45" s="47"/>
      <c r="QXD45" s="47"/>
      <c r="QXE45" s="47"/>
      <c r="QXF45" s="47"/>
      <c r="QXG45" s="47"/>
      <c r="QXH45" s="47"/>
      <c r="QXI45" s="47"/>
      <c r="QXJ45" s="47"/>
      <c r="QXK45" s="47"/>
      <c r="QXL45" s="47"/>
      <c r="QXM45" s="47"/>
      <c r="QXN45" s="47"/>
      <c r="QXO45" s="47"/>
      <c r="QXP45" s="47"/>
      <c r="QXQ45" s="47"/>
      <c r="QXR45" s="47"/>
      <c r="QXS45" s="47"/>
      <c r="QXT45" s="47"/>
      <c r="QXU45" s="47"/>
      <c r="QXV45" s="47"/>
      <c r="QXW45" s="47"/>
      <c r="QXX45" s="47"/>
      <c r="QXY45" s="47"/>
      <c r="QXZ45" s="47"/>
      <c r="QYA45" s="47"/>
      <c r="QYB45" s="47"/>
      <c r="QYC45" s="47"/>
      <c r="QYD45" s="47"/>
      <c r="QYE45" s="47"/>
      <c r="QYF45" s="47"/>
      <c r="QYG45" s="47"/>
      <c r="QYH45" s="47"/>
      <c r="QYI45" s="47"/>
      <c r="QYJ45" s="47"/>
      <c r="QYK45" s="47"/>
      <c r="QYL45" s="47"/>
      <c r="QYM45" s="47"/>
      <c r="QYN45" s="47"/>
      <c r="QYO45" s="47"/>
      <c r="QYP45" s="47"/>
      <c r="QYQ45" s="47"/>
      <c r="QYR45" s="47"/>
      <c r="QYS45" s="47"/>
      <c r="QYT45" s="47"/>
      <c r="QYU45" s="47"/>
      <c r="QYV45" s="47"/>
      <c r="QYW45" s="47"/>
      <c r="QYX45" s="47"/>
      <c r="QYY45" s="47"/>
      <c r="QYZ45" s="47"/>
      <c r="QZA45" s="47"/>
      <c r="QZB45" s="47"/>
      <c r="QZC45" s="47"/>
      <c r="QZD45" s="47"/>
      <c r="QZE45" s="47"/>
      <c r="QZF45" s="47"/>
      <c r="QZG45" s="47"/>
      <c r="QZH45" s="47"/>
      <c r="QZI45" s="47"/>
      <c r="QZJ45" s="47"/>
      <c r="QZK45" s="47"/>
      <c r="QZL45" s="47"/>
      <c r="QZM45" s="47"/>
      <c r="QZN45" s="47"/>
      <c r="QZO45" s="47"/>
      <c r="QZP45" s="47"/>
      <c r="QZQ45" s="47"/>
      <c r="QZR45" s="47"/>
      <c r="QZS45" s="47"/>
      <c r="QZT45" s="47"/>
      <c r="QZU45" s="47"/>
      <c r="QZV45" s="47"/>
      <c r="QZW45" s="47"/>
      <c r="QZX45" s="47"/>
      <c r="QZY45" s="47"/>
      <c r="QZZ45" s="47"/>
      <c r="RAA45" s="47"/>
      <c r="RAB45" s="47"/>
      <c r="RAC45" s="47"/>
      <c r="RAD45" s="47"/>
      <c r="RAE45" s="47"/>
      <c r="RAF45" s="47"/>
      <c r="RAG45" s="47"/>
      <c r="RAH45" s="47"/>
      <c r="RAI45" s="47"/>
      <c r="RAJ45" s="47"/>
      <c r="RAK45" s="47"/>
      <c r="RAL45" s="47"/>
      <c r="RAM45" s="47"/>
      <c r="RAN45" s="47"/>
      <c r="RAO45" s="47"/>
      <c r="RAP45" s="47"/>
      <c r="RAQ45" s="47"/>
      <c r="RAR45" s="47"/>
      <c r="RAS45" s="47"/>
      <c r="RAT45" s="47"/>
      <c r="RAU45" s="47"/>
      <c r="RAV45" s="47"/>
      <c r="RAW45" s="47"/>
      <c r="RAX45" s="47"/>
      <c r="RAY45" s="47"/>
      <c r="RAZ45" s="47"/>
      <c r="RBA45" s="47"/>
      <c r="RBB45" s="47"/>
      <c r="RBC45" s="47"/>
      <c r="RBD45" s="47"/>
      <c r="RBE45" s="47"/>
      <c r="RBF45" s="47"/>
      <c r="RBG45" s="47"/>
      <c r="RBH45" s="47"/>
      <c r="RBI45" s="47"/>
      <c r="RBJ45" s="47"/>
      <c r="RBK45" s="47"/>
      <c r="RBL45" s="47"/>
      <c r="RBM45" s="47"/>
      <c r="RBN45" s="47"/>
      <c r="RBO45" s="47"/>
      <c r="RBP45" s="47"/>
      <c r="RBQ45" s="47"/>
      <c r="RBR45" s="47"/>
      <c r="RBS45" s="47"/>
      <c r="RBT45" s="47"/>
      <c r="RBU45" s="47"/>
      <c r="RBV45" s="47"/>
      <c r="RBW45" s="47"/>
      <c r="RBX45" s="47"/>
      <c r="RBY45" s="47"/>
      <c r="RBZ45" s="47"/>
      <c r="RCA45" s="47"/>
      <c r="RCB45" s="47"/>
      <c r="RCC45" s="47"/>
      <c r="RCD45" s="47"/>
      <c r="RCE45" s="47"/>
      <c r="RCF45" s="47"/>
      <c r="RCG45" s="47"/>
      <c r="RCH45" s="47"/>
      <c r="RCI45" s="47"/>
      <c r="RCJ45" s="47"/>
      <c r="RCK45" s="47"/>
      <c r="RCL45" s="47"/>
      <c r="RCM45" s="47"/>
      <c r="RCN45" s="47"/>
      <c r="RCO45" s="47"/>
      <c r="RCP45" s="47"/>
      <c r="RCQ45" s="47"/>
      <c r="RCR45" s="47"/>
      <c r="RCS45" s="47"/>
      <c r="RCT45" s="47"/>
      <c r="RCU45" s="47"/>
      <c r="RCV45" s="47"/>
      <c r="RCW45" s="47"/>
      <c r="RCX45" s="47"/>
      <c r="RCY45" s="47"/>
      <c r="RCZ45" s="47"/>
      <c r="RDA45" s="47"/>
      <c r="RDB45" s="47"/>
      <c r="RDC45" s="47"/>
      <c r="RDD45" s="47"/>
      <c r="RDE45" s="47"/>
      <c r="RDF45" s="47"/>
      <c r="RDG45" s="47"/>
      <c r="RDH45" s="47"/>
      <c r="RDI45" s="47"/>
      <c r="RDJ45" s="47"/>
      <c r="RDK45" s="47"/>
      <c r="RDL45" s="47"/>
      <c r="RDM45" s="47"/>
      <c r="RDN45" s="47"/>
      <c r="RDO45" s="47"/>
      <c r="RDP45" s="47"/>
      <c r="RDQ45" s="47"/>
      <c r="RDR45" s="47"/>
      <c r="RDS45" s="47"/>
      <c r="RDT45" s="47"/>
      <c r="RDU45" s="47"/>
      <c r="RDV45" s="47"/>
      <c r="RDW45" s="47"/>
      <c r="RDX45" s="47"/>
      <c r="RDY45" s="47"/>
      <c r="RDZ45" s="47"/>
      <c r="REA45" s="47"/>
      <c r="REB45" s="47"/>
      <c r="REC45" s="47"/>
      <c r="RED45" s="47"/>
      <c r="REE45" s="47"/>
      <c r="REF45" s="47"/>
      <c r="REG45" s="47"/>
      <c r="REH45" s="47"/>
      <c r="REI45" s="47"/>
      <c r="REJ45" s="47"/>
      <c r="REK45" s="47"/>
      <c r="REL45" s="47"/>
      <c r="REM45" s="47"/>
      <c r="REN45" s="47"/>
      <c r="REO45" s="47"/>
      <c r="REP45" s="47"/>
      <c r="REQ45" s="47"/>
      <c r="RER45" s="47"/>
      <c r="RES45" s="47"/>
      <c r="RET45" s="47"/>
      <c r="REU45" s="47"/>
      <c r="REV45" s="47"/>
      <c r="REW45" s="47"/>
      <c r="REX45" s="47"/>
      <c r="REY45" s="47"/>
      <c r="REZ45" s="47"/>
      <c r="RFA45" s="47"/>
      <c r="RFB45" s="47"/>
      <c r="RFC45" s="47"/>
      <c r="RFD45" s="47"/>
      <c r="RFE45" s="47"/>
      <c r="RFF45" s="47"/>
      <c r="RFG45" s="47"/>
      <c r="RFH45" s="47"/>
      <c r="RFI45" s="47"/>
      <c r="RFJ45" s="47"/>
      <c r="RFK45" s="47"/>
      <c r="RFL45" s="47"/>
      <c r="RFM45" s="47"/>
      <c r="RFN45" s="47"/>
      <c r="RFO45" s="47"/>
      <c r="RFP45" s="47"/>
      <c r="RFQ45" s="47"/>
      <c r="RFR45" s="47"/>
      <c r="RFS45" s="47"/>
      <c r="RFT45" s="47"/>
      <c r="RFU45" s="47"/>
      <c r="RFV45" s="47"/>
      <c r="RFW45" s="47"/>
      <c r="RFX45" s="47"/>
      <c r="RFY45" s="47"/>
      <c r="RFZ45" s="47"/>
      <c r="RGA45" s="47"/>
      <c r="RGB45" s="47"/>
      <c r="RGC45" s="47"/>
      <c r="RGD45" s="47"/>
      <c r="RGE45" s="47"/>
      <c r="RGF45" s="47"/>
      <c r="RGG45" s="47"/>
      <c r="RGH45" s="47"/>
      <c r="RGI45" s="47"/>
      <c r="RGJ45" s="47"/>
      <c r="RGK45" s="47"/>
      <c r="RGL45" s="47"/>
      <c r="RGM45" s="47"/>
      <c r="RGN45" s="47"/>
      <c r="RGO45" s="47"/>
      <c r="RGP45" s="47"/>
      <c r="RGQ45" s="47"/>
      <c r="RGR45" s="47"/>
      <c r="RGS45" s="47"/>
      <c r="RGT45" s="47"/>
      <c r="RGU45" s="47"/>
      <c r="RGV45" s="47"/>
      <c r="RGW45" s="47"/>
      <c r="RGX45" s="47"/>
      <c r="RGY45" s="47"/>
      <c r="RGZ45" s="47"/>
      <c r="RHA45" s="47"/>
      <c r="RHB45" s="47"/>
      <c r="RHC45" s="47"/>
      <c r="RHD45" s="47"/>
      <c r="RHE45" s="47"/>
      <c r="RHF45" s="47"/>
      <c r="RHG45" s="47"/>
      <c r="RHH45" s="47"/>
      <c r="RHI45" s="47"/>
      <c r="RHJ45" s="47"/>
      <c r="RHK45" s="47"/>
      <c r="RHL45" s="47"/>
      <c r="RHM45" s="47"/>
      <c r="RHN45" s="47"/>
      <c r="RHO45" s="47"/>
      <c r="RHP45" s="47"/>
      <c r="RHQ45" s="47"/>
      <c r="RHR45" s="47"/>
      <c r="RHS45" s="47"/>
      <c r="RHT45" s="47"/>
      <c r="RHU45" s="47"/>
      <c r="RHV45" s="47"/>
      <c r="RHW45" s="47"/>
      <c r="RHX45" s="47"/>
      <c r="RHY45" s="47"/>
      <c r="RHZ45" s="47"/>
      <c r="RIA45" s="47"/>
      <c r="RIB45" s="47"/>
      <c r="RIC45" s="47"/>
      <c r="RID45" s="47"/>
      <c r="RIE45" s="47"/>
      <c r="RIF45" s="47"/>
      <c r="RIG45" s="47"/>
      <c r="RIH45" s="47"/>
      <c r="RII45" s="47"/>
      <c r="RIJ45" s="47"/>
      <c r="RIK45" s="47"/>
      <c r="RIL45" s="47"/>
      <c r="RIM45" s="47"/>
      <c r="RIN45" s="47"/>
      <c r="RIO45" s="47"/>
      <c r="RIP45" s="47"/>
      <c r="RIQ45" s="47"/>
      <c r="RIR45" s="47"/>
      <c r="RIS45" s="47"/>
      <c r="RIT45" s="47"/>
      <c r="RIU45" s="47"/>
      <c r="RIV45" s="47"/>
      <c r="RIW45" s="47"/>
      <c r="RIX45" s="47"/>
      <c r="RIY45" s="47"/>
      <c r="RIZ45" s="47"/>
      <c r="RJA45" s="47"/>
      <c r="RJB45" s="47"/>
      <c r="RJC45" s="47"/>
      <c r="RJD45" s="47"/>
      <c r="RJE45" s="47"/>
      <c r="RJF45" s="47"/>
      <c r="RJG45" s="47"/>
      <c r="RJH45" s="47"/>
      <c r="RJI45" s="47"/>
      <c r="RJJ45" s="47"/>
      <c r="RJK45" s="47"/>
      <c r="RJL45" s="47"/>
      <c r="RJM45" s="47"/>
      <c r="RJN45" s="47"/>
      <c r="RJO45" s="47"/>
      <c r="RJP45" s="47"/>
      <c r="RJQ45" s="47"/>
      <c r="RJR45" s="47"/>
      <c r="RJS45" s="47"/>
      <c r="RJT45" s="47"/>
      <c r="RJU45" s="47"/>
      <c r="RJV45" s="47"/>
      <c r="RJW45" s="47"/>
      <c r="RJX45" s="47"/>
      <c r="RJY45" s="47"/>
      <c r="RJZ45" s="47"/>
      <c r="RKA45" s="47"/>
      <c r="RKB45" s="47"/>
      <c r="RKC45" s="47"/>
      <c r="RKD45" s="47"/>
      <c r="RKE45" s="47"/>
      <c r="RKF45" s="47"/>
      <c r="RKG45" s="47"/>
      <c r="RKH45" s="47"/>
      <c r="RKI45" s="47"/>
      <c r="RKJ45" s="47"/>
      <c r="RKK45" s="47"/>
      <c r="RKL45" s="47"/>
      <c r="RKM45" s="47"/>
      <c r="RKN45" s="47"/>
      <c r="RKO45" s="47"/>
      <c r="RKP45" s="47"/>
      <c r="RKQ45" s="47"/>
      <c r="RKR45" s="47"/>
      <c r="RKS45" s="47"/>
      <c r="RKT45" s="47"/>
      <c r="RKU45" s="47"/>
      <c r="RKV45" s="47"/>
      <c r="RKW45" s="47"/>
      <c r="RKX45" s="47"/>
      <c r="RKY45" s="47"/>
      <c r="RKZ45" s="47"/>
      <c r="RLA45" s="47"/>
      <c r="RLB45" s="47"/>
      <c r="RLC45" s="47"/>
      <c r="RLD45" s="47"/>
      <c r="RLE45" s="47"/>
      <c r="RLF45" s="47"/>
      <c r="RLG45" s="47"/>
      <c r="RLH45" s="47"/>
      <c r="RLI45" s="47"/>
      <c r="RLJ45" s="47"/>
      <c r="RLK45" s="47"/>
      <c r="RLL45" s="47"/>
      <c r="RLM45" s="47"/>
      <c r="RLN45" s="47"/>
      <c r="RLO45" s="47"/>
      <c r="RLP45" s="47"/>
      <c r="RLQ45" s="47"/>
      <c r="RLR45" s="47"/>
      <c r="RLS45" s="47"/>
      <c r="RLT45" s="47"/>
      <c r="RLU45" s="47"/>
      <c r="RLV45" s="47"/>
      <c r="RLW45" s="47"/>
      <c r="RLX45" s="47"/>
      <c r="RLY45" s="47"/>
      <c r="RLZ45" s="47"/>
      <c r="RMA45" s="47"/>
      <c r="RMB45" s="47"/>
      <c r="RMC45" s="47"/>
      <c r="RMD45" s="47"/>
      <c r="RME45" s="47"/>
      <c r="RMF45" s="47"/>
      <c r="RMG45" s="47"/>
      <c r="RMH45" s="47"/>
      <c r="RMI45" s="47"/>
      <c r="RMJ45" s="47"/>
      <c r="RMK45" s="47"/>
      <c r="RML45" s="47"/>
      <c r="RMM45" s="47"/>
      <c r="RMN45" s="47"/>
      <c r="RMO45" s="47"/>
      <c r="RMP45" s="47"/>
      <c r="RMQ45" s="47"/>
      <c r="RMR45" s="47"/>
      <c r="RMS45" s="47"/>
      <c r="RMT45" s="47"/>
      <c r="RMU45" s="47"/>
      <c r="RMV45" s="47"/>
      <c r="RMW45" s="47"/>
      <c r="RMX45" s="47"/>
      <c r="RMY45" s="47"/>
      <c r="RMZ45" s="47"/>
      <c r="RNA45" s="47"/>
      <c r="RNB45" s="47"/>
      <c r="RNC45" s="47"/>
      <c r="RND45" s="47"/>
      <c r="RNE45" s="47"/>
      <c r="RNF45" s="47"/>
      <c r="RNG45" s="47"/>
      <c r="RNH45" s="47"/>
      <c r="RNI45" s="47"/>
      <c r="RNJ45" s="47"/>
      <c r="RNK45" s="47"/>
      <c r="RNL45" s="47"/>
      <c r="RNM45" s="47"/>
      <c r="RNN45" s="47"/>
      <c r="RNO45" s="47"/>
      <c r="RNP45" s="47"/>
      <c r="RNQ45" s="47"/>
      <c r="RNR45" s="47"/>
      <c r="RNS45" s="47"/>
      <c r="RNT45" s="47"/>
      <c r="RNU45" s="47"/>
      <c r="RNV45" s="47"/>
      <c r="RNW45" s="47"/>
      <c r="RNX45" s="47"/>
      <c r="RNY45" s="47"/>
      <c r="RNZ45" s="47"/>
      <c r="ROA45" s="47"/>
      <c r="ROB45" s="47"/>
      <c r="ROC45" s="47"/>
      <c r="ROD45" s="47"/>
      <c r="ROE45" s="47"/>
      <c r="ROF45" s="47"/>
      <c r="ROG45" s="47"/>
      <c r="ROH45" s="47"/>
      <c r="ROI45" s="47"/>
      <c r="ROJ45" s="47"/>
      <c r="ROK45" s="47"/>
      <c r="ROL45" s="47"/>
      <c r="ROM45" s="47"/>
      <c r="RON45" s="47"/>
      <c r="ROO45" s="47"/>
      <c r="ROP45" s="47"/>
      <c r="ROQ45" s="47"/>
      <c r="ROR45" s="47"/>
      <c r="ROS45" s="47"/>
      <c r="ROT45" s="47"/>
      <c r="ROU45" s="47"/>
      <c r="ROV45" s="47"/>
      <c r="ROW45" s="47"/>
      <c r="ROX45" s="47"/>
      <c r="ROY45" s="47"/>
      <c r="ROZ45" s="47"/>
      <c r="RPA45" s="47"/>
      <c r="RPB45" s="47"/>
      <c r="RPC45" s="47"/>
      <c r="RPD45" s="47"/>
      <c r="RPE45" s="47"/>
      <c r="RPF45" s="47"/>
      <c r="RPG45" s="47"/>
      <c r="RPH45" s="47"/>
      <c r="RPI45" s="47"/>
      <c r="RPJ45" s="47"/>
      <c r="RPK45" s="47"/>
      <c r="RPL45" s="47"/>
      <c r="RPM45" s="47"/>
      <c r="RPN45" s="47"/>
      <c r="RPO45" s="47"/>
      <c r="RPP45" s="47"/>
      <c r="RPQ45" s="47"/>
      <c r="RPR45" s="47"/>
      <c r="RPS45" s="47"/>
      <c r="RPT45" s="47"/>
      <c r="RPU45" s="47"/>
      <c r="RPV45" s="47"/>
      <c r="RPW45" s="47"/>
      <c r="RPX45" s="47"/>
      <c r="RPY45" s="47"/>
      <c r="RPZ45" s="47"/>
      <c r="RQA45" s="47"/>
      <c r="RQB45" s="47"/>
      <c r="RQC45" s="47"/>
      <c r="RQD45" s="47"/>
      <c r="RQE45" s="47"/>
      <c r="RQF45" s="47"/>
      <c r="RQG45" s="47"/>
      <c r="RQH45" s="47"/>
      <c r="RQI45" s="47"/>
      <c r="RQJ45" s="47"/>
      <c r="RQK45" s="47"/>
      <c r="RQL45" s="47"/>
      <c r="RQM45" s="47"/>
      <c r="RQN45" s="47"/>
      <c r="RQO45" s="47"/>
      <c r="RQP45" s="47"/>
      <c r="RQQ45" s="47"/>
      <c r="RQR45" s="47"/>
      <c r="RQS45" s="47"/>
      <c r="RQT45" s="47"/>
      <c r="RQU45" s="47"/>
      <c r="RQV45" s="47"/>
      <c r="RQW45" s="47"/>
      <c r="RQX45" s="47"/>
      <c r="RQY45" s="47"/>
      <c r="RQZ45" s="47"/>
      <c r="RRA45" s="47"/>
      <c r="RRB45" s="47"/>
      <c r="RRC45" s="47"/>
      <c r="RRD45" s="47"/>
      <c r="RRE45" s="47"/>
      <c r="RRF45" s="47"/>
      <c r="RRG45" s="47"/>
      <c r="RRH45" s="47"/>
      <c r="RRI45" s="47"/>
      <c r="RRJ45" s="47"/>
      <c r="RRK45" s="47"/>
      <c r="RRL45" s="47"/>
      <c r="RRM45" s="47"/>
      <c r="RRN45" s="47"/>
      <c r="RRO45" s="47"/>
      <c r="RRP45" s="47"/>
      <c r="RRQ45" s="47"/>
      <c r="RRR45" s="47"/>
      <c r="RRS45" s="47"/>
      <c r="RRT45" s="47"/>
      <c r="RRU45" s="47"/>
      <c r="RRV45" s="47"/>
      <c r="RRW45" s="47"/>
      <c r="RRX45" s="47"/>
      <c r="RRY45" s="47"/>
      <c r="RRZ45" s="47"/>
      <c r="RSA45" s="47"/>
      <c r="RSB45" s="47"/>
      <c r="RSC45" s="47"/>
      <c r="RSD45" s="47"/>
      <c r="RSE45" s="47"/>
      <c r="RSF45" s="47"/>
      <c r="RSG45" s="47"/>
      <c r="RSH45" s="47"/>
      <c r="RSI45" s="47"/>
      <c r="RSJ45" s="47"/>
      <c r="RSK45" s="47"/>
      <c r="RSL45" s="47"/>
      <c r="RSM45" s="47"/>
      <c r="RSN45" s="47"/>
      <c r="RSO45" s="47"/>
      <c r="RSP45" s="47"/>
      <c r="RSQ45" s="47"/>
      <c r="RSR45" s="47"/>
      <c r="RSS45" s="47"/>
      <c r="RST45" s="47"/>
      <c r="RSU45" s="47"/>
      <c r="RSV45" s="47"/>
      <c r="RSW45" s="47"/>
      <c r="RSX45" s="47"/>
      <c r="RSY45" s="47"/>
      <c r="RSZ45" s="47"/>
      <c r="RTA45" s="47"/>
      <c r="RTB45" s="47"/>
      <c r="RTC45" s="47"/>
      <c r="RTD45" s="47"/>
      <c r="RTE45" s="47"/>
      <c r="RTF45" s="47"/>
      <c r="RTG45" s="47"/>
      <c r="RTH45" s="47"/>
      <c r="RTI45" s="47"/>
      <c r="RTJ45" s="47"/>
      <c r="RTK45" s="47"/>
      <c r="RTL45" s="47"/>
      <c r="RTM45" s="47"/>
      <c r="RTN45" s="47"/>
      <c r="RTO45" s="47"/>
      <c r="RTP45" s="47"/>
      <c r="RTQ45" s="47"/>
      <c r="RTR45" s="47"/>
      <c r="RTS45" s="47"/>
      <c r="RTT45" s="47"/>
      <c r="RTU45" s="47"/>
      <c r="RTV45" s="47"/>
      <c r="RTW45" s="47"/>
      <c r="RTX45" s="47"/>
      <c r="RTY45" s="47"/>
      <c r="RTZ45" s="47"/>
      <c r="RUA45" s="47"/>
      <c r="RUB45" s="47"/>
      <c r="RUC45" s="47"/>
      <c r="RUD45" s="47"/>
      <c r="RUE45" s="47"/>
      <c r="RUF45" s="47"/>
      <c r="RUG45" s="47"/>
      <c r="RUH45" s="47"/>
      <c r="RUI45" s="47"/>
      <c r="RUJ45" s="47"/>
      <c r="RUK45" s="47"/>
      <c r="RUL45" s="47"/>
      <c r="RUM45" s="47"/>
      <c r="RUN45" s="47"/>
      <c r="RUO45" s="47"/>
      <c r="RUP45" s="47"/>
      <c r="RUQ45" s="47"/>
      <c r="RUR45" s="47"/>
      <c r="RUS45" s="47"/>
      <c r="RUT45" s="47"/>
      <c r="RUU45" s="47"/>
      <c r="RUV45" s="47"/>
      <c r="RUW45" s="47"/>
      <c r="RUX45" s="47"/>
      <c r="RUY45" s="47"/>
      <c r="RUZ45" s="47"/>
      <c r="RVA45" s="47"/>
      <c r="RVB45" s="47"/>
      <c r="RVC45" s="47"/>
      <c r="RVD45" s="47"/>
      <c r="RVE45" s="47"/>
      <c r="RVF45" s="47"/>
      <c r="RVG45" s="47"/>
      <c r="RVH45" s="47"/>
      <c r="RVI45" s="47"/>
      <c r="RVJ45" s="47"/>
      <c r="RVK45" s="47"/>
      <c r="RVL45" s="47"/>
      <c r="RVM45" s="47"/>
      <c r="RVN45" s="47"/>
      <c r="RVO45" s="47"/>
      <c r="RVP45" s="47"/>
      <c r="RVQ45" s="47"/>
      <c r="RVR45" s="47"/>
      <c r="RVS45" s="47"/>
      <c r="RVT45" s="47"/>
      <c r="RVU45" s="47"/>
      <c r="RVV45" s="47"/>
      <c r="RVW45" s="47"/>
      <c r="RVX45" s="47"/>
      <c r="RVY45" s="47"/>
      <c r="RVZ45" s="47"/>
      <c r="RWA45" s="47"/>
      <c r="RWB45" s="47"/>
      <c r="RWC45" s="47"/>
      <c r="RWD45" s="47"/>
      <c r="RWE45" s="47"/>
      <c r="RWF45" s="47"/>
      <c r="RWG45" s="47"/>
      <c r="RWH45" s="47"/>
      <c r="RWI45" s="47"/>
      <c r="RWJ45" s="47"/>
      <c r="RWK45" s="47"/>
      <c r="RWL45" s="47"/>
      <c r="RWM45" s="47"/>
      <c r="RWN45" s="47"/>
      <c r="RWO45" s="47"/>
      <c r="RWP45" s="47"/>
      <c r="RWQ45" s="47"/>
      <c r="RWR45" s="47"/>
      <c r="RWS45" s="47"/>
      <c r="RWT45" s="47"/>
      <c r="RWU45" s="47"/>
      <c r="RWV45" s="47"/>
      <c r="RWW45" s="47"/>
      <c r="RWX45" s="47"/>
      <c r="RWY45" s="47"/>
      <c r="RWZ45" s="47"/>
      <c r="RXA45" s="47"/>
      <c r="RXB45" s="47"/>
      <c r="RXC45" s="47"/>
      <c r="RXD45" s="47"/>
      <c r="RXE45" s="47"/>
      <c r="RXF45" s="47"/>
      <c r="RXG45" s="47"/>
      <c r="RXH45" s="47"/>
      <c r="RXI45" s="47"/>
      <c r="RXJ45" s="47"/>
      <c r="RXK45" s="47"/>
      <c r="RXL45" s="47"/>
      <c r="RXM45" s="47"/>
      <c r="RXN45" s="47"/>
      <c r="RXO45" s="47"/>
      <c r="RXP45" s="47"/>
      <c r="RXQ45" s="47"/>
      <c r="RXR45" s="47"/>
      <c r="RXS45" s="47"/>
      <c r="RXT45" s="47"/>
      <c r="RXU45" s="47"/>
      <c r="RXV45" s="47"/>
      <c r="RXW45" s="47"/>
      <c r="RXX45" s="47"/>
      <c r="RXY45" s="47"/>
      <c r="RXZ45" s="47"/>
      <c r="RYA45" s="47"/>
      <c r="RYB45" s="47"/>
      <c r="RYC45" s="47"/>
      <c r="RYD45" s="47"/>
      <c r="RYE45" s="47"/>
      <c r="RYF45" s="47"/>
      <c r="RYG45" s="47"/>
      <c r="RYH45" s="47"/>
      <c r="RYI45" s="47"/>
      <c r="RYJ45" s="47"/>
      <c r="RYK45" s="47"/>
      <c r="RYL45" s="47"/>
      <c r="RYM45" s="47"/>
      <c r="RYN45" s="47"/>
      <c r="RYO45" s="47"/>
      <c r="RYP45" s="47"/>
      <c r="RYQ45" s="47"/>
      <c r="RYR45" s="47"/>
      <c r="RYS45" s="47"/>
      <c r="RYT45" s="47"/>
      <c r="RYU45" s="47"/>
      <c r="RYV45" s="47"/>
      <c r="RYW45" s="47"/>
      <c r="RYX45" s="47"/>
      <c r="RYY45" s="47"/>
      <c r="RYZ45" s="47"/>
      <c r="RZA45" s="47"/>
      <c r="RZB45" s="47"/>
      <c r="RZC45" s="47"/>
      <c r="RZD45" s="47"/>
      <c r="RZE45" s="47"/>
      <c r="RZF45" s="47"/>
      <c r="RZG45" s="47"/>
      <c r="RZH45" s="47"/>
      <c r="RZI45" s="47"/>
      <c r="RZJ45" s="47"/>
      <c r="RZK45" s="47"/>
      <c r="RZL45" s="47"/>
      <c r="RZM45" s="47"/>
      <c r="RZN45" s="47"/>
      <c r="RZO45" s="47"/>
      <c r="RZP45" s="47"/>
      <c r="RZQ45" s="47"/>
      <c r="RZR45" s="47"/>
      <c r="RZS45" s="47"/>
      <c r="RZT45" s="47"/>
      <c r="RZU45" s="47"/>
      <c r="RZV45" s="47"/>
      <c r="RZW45" s="47"/>
      <c r="RZX45" s="47"/>
      <c r="RZY45" s="47"/>
      <c r="RZZ45" s="47"/>
      <c r="SAA45" s="47"/>
      <c r="SAB45" s="47"/>
      <c r="SAC45" s="47"/>
      <c r="SAD45" s="47"/>
      <c r="SAE45" s="47"/>
      <c r="SAF45" s="47"/>
      <c r="SAG45" s="47"/>
      <c r="SAH45" s="47"/>
      <c r="SAI45" s="47"/>
      <c r="SAJ45" s="47"/>
      <c r="SAK45" s="47"/>
      <c r="SAL45" s="47"/>
      <c r="SAM45" s="47"/>
      <c r="SAN45" s="47"/>
      <c r="SAO45" s="47"/>
      <c r="SAP45" s="47"/>
      <c r="SAQ45" s="47"/>
      <c r="SAR45" s="47"/>
      <c r="SAS45" s="47"/>
      <c r="SAT45" s="47"/>
      <c r="SAU45" s="47"/>
      <c r="SAV45" s="47"/>
      <c r="SAW45" s="47"/>
      <c r="SAX45" s="47"/>
      <c r="SAY45" s="47"/>
      <c r="SAZ45" s="47"/>
      <c r="SBA45" s="47"/>
      <c r="SBB45" s="47"/>
      <c r="SBC45" s="47"/>
      <c r="SBD45" s="47"/>
      <c r="SBE45" s="47"/>
      <c r="SBF45" s="47"/>
      <c r="SBG45" s="47"/>
      <c r="SBH45" s="47"/>
      <c r="SBI45" s="47"/>
      <c r="SBJ45" s="47"/>
      <c r="SBK45" s="47"/>
      <c r="SBL45" s="47"/>
      <c r="SBM45" s="47"/>
      <c r="SBN45" s="47"/>
      <c r="SBO45" s="47"/>
      <c r="SBP45" s="47"/>
      <c r="SBQ45" s="47"/>
      <c r="SBR45" s="47"/>
      <c r="SBS45" s="47"/>
      <c r="SBT45" s="47"/>
      <c r="SBU45" s="47"/>
      <c r="SBV45" s="47"/>
      <c r="SBW45" s="47"/>
      <c r="SBX45" s="47"/>
      <c r="SBY45" s="47"/>
      <c r="SBZ45" s="47"/>
      <c r="SCA45" s="47"/>
      <c r="SCB45" s="47"/>
      <c r="SCC45" s="47"/>
      <c r="SCD45" s="47"/>
      <c r="SCE45" s="47"/>
      <c r="SCF45" s="47"/>
      <c r="SCG45" s="47"/>
      <c r="SCH45" s="47"/>
      <c r="SCI45" s="47"/>
      <c r="SCJ45" s="47"/>
      <c r="SCK45" s="47"/>
      <c r="SCL45" s="47"/>
      <c r="SCM45" s="47"/>
      <c r="SCN45" s="47"/>
      <c r="SCO45" s="47"/>
      <c r="SCP45" s="47"/>
      <c r="SCQ45" s="47"/>
      <c r="SCR45" s="47"/>
      <c r="SCS45" s="47"/>
      <c r="SCT45" s="47"/>
      <c r="SCU45" s="47"/>
      <c r="SCV45" s="47"/>
      <c r="SCW45" s="47"/>
      <c r="SCX45" s="47"/>
      <c r="SCY45" s="47"/>
      <c r="SCZ45" s="47"/>
      <c r="SDA45" s="47"/>
      <c r="SDB45" s="47"/>
      <c r="SDC45" s="47"/>
      <c r="SDD45" s="47"/>
      <c r="SDE45" s="47"/>
      <c r="SDF45" s="47"/>
      <c r="SDG45" s="47"/>
      <c r="SDH45" s="47"/>
      <c r="SDI45" s="47"/>
      <c r="SDJ45" s="47"/>
      <c r="SDK45" s="47"/>
      <c r="SDL45" s="47"/>
      <c r="SDM45" s="47"/>
      <c r="SDN45" s="47"/>
      <c r="SDO45" s="47"/>
      <c r="SDP45" s="47"/>
      <c r="SDQ45" s="47"/>
      <c r="SDR45" s="47"/>
      <c r="SDS45" s="47"/>
      <c r="SDT45" s="47"/>
      <c r="SDU45" s="47"/>
      <c r="SDV45" s="47"/>
      <c r="SDW45" s="47"/>
      <c r="SDX45" s="47"/>
      <c r="SDY45" s="47"/>
      <c r="SDZ45" s="47"/>
      <c r="SEA45" s="47"/>
      <c r="SEB45" s="47"/>
      <c r="SEC45" s="47"/>
      <c r="SED45" s="47"/>
      <c r="SEE45" s="47"/>
      <c r="SEF45" s="47"/>
      <c r="SEG45" s="47"/>
      <c r="SEH45" s="47"/>
      <c r="SEI45" s="47"/>
      <c r="SEJ45" s="47"/>
      <c r="SEK45" s="47"/>
      <c r="SEL45" s="47"/>
      <c r="SEM45" s="47"/>
      <c r="SEN45" s="47"/>
      <c r="SEO45" s="47"/>
      <c r="SEP45" s="47"/>
      <c r="SEQ45" s="47"/>
      <c r="SER45" s="47"/>
      <c r="SES45" s="47"/>
      <c r="SET45" s="47"/>
      <c r="SEU45" s="47"/>
      <c r="SEV45" s="47"/>
      <c r="SEW45" s="47"/>
      <c r="SEX45" s="47"/>
      <c r="SEY45" s="47"/>
      <c r="SEZ45" s="47"/>
      <c r="SFA45" s="47"/>
      <c r="SFB45" s="47"/>
      <c r="SFC45" s="47"/>
      <c r="SFD45" s="47"/>
      <c r="SFE45" s="47"/>
      <c r="SFF45" s="47"/>
      <c r="SFG45" s="47"/>
      <c r="SFH45" s="47"/>
      <c r="SFI45" s="47"/>
      <c r="SFJ45" s="47"/>
      <c r="SFK45" s="47"/>
      <c r="SFL45" s="47"/>
      <c r="SFM45" s="47"/>
      <c r="SFN45" s="47"/>
      <c r="SFO45" s="47"/>
      <c r="SFP45" s="47"/>
      <c r="SFQ45" s="47"/>
      <c r="SFR45" s="47"/>
      <c r="SFS45" s="47"/>
      <c r="SFT45" s="47"/>
      <c r="SFU45" s="47"/>
      <c r="SFV45" s="47"/>
      <c r="SFW45" s="47"/>
      <c r="SFX45" s="47"/>
      <c r="SFY45" s="47"/>
      <c r="SFZ45" s="47"/>
      <c r="SGA45" s="47"/>
      <c r="SGB45" s="47"/>
      <c r="SGC45" s="47"/>
      <c r="SGD45" s="47"/>
      <c r="SGE45" s="47"/>
      <c r="SGF45" s="47"/>
      <c r="SGG45" s="47"/>
      <c r="SGH45" s="47"/>
      <c r="SGI45" s="47"/>
      <c r="SGJ45" s="47"/>
      <c r="SGK45" s="47"/>
      <c r="SGL45" s="47"/>
      <c r="SGM45" s="47"/>
      <c r="SGN45" s="47"/>
      <c r="SGO45" s="47"/>
      <c r="SGP45" s="47"/>
      <c r="SGQ45" s="47"/>
      <c r="SGR45" s="47"/>
      <c r="SGS45" s="47"/>
      <c r="SGT45" s="47"/>
      <c r="SGU45" s="47"/>
      <c r="SGV45" s="47"/>
      <c r="SGW45" s="47"/>
      <c r="SGX45" s="47"/>
      <c r="SGY45" s="47"/>
      <c r="SGZ45" s="47"/>
      <c r="SHA45" s="47"/>
      <c r="SHB45" s="47"/>
      <c r="SHC45" s="47"/>
      <c r="SHD45" s="47"/>
      <c r="SHE45" s="47"/>
      <c r="SHF45" s="47"/>
      <c r="SHG45" s="47"/>
      <c r="SHH45" s="47"/>
      <c r="SHI45" s="47"/>
      <c r="SHJ45" s="47"/>
      <c r="SHK45" s="47"/>
      <c r="SHL45" s="47"/>
      <c r="SHM45" s="47"/>
      <c r="SHN45" s="47"/>
      <c r="SHO45" s="47"/>
      <c r="SHP45" s="47"/>
      <c r="SHQ45" s="47"/>
      <c r="SHR45" s="47"/>
      <c r="SHS45" s="47"/>
      <c r="SHT45" s="47"/>
      <c r="SHU45" s="47"/>
      <c r="SHV45" s="47"/>
      <c r="SHW45" s="47"/>
      <c r="SHX45" s="47"/>
      <c r="SHY45" s="47"/>
      <c r="SHZ45" s="47"/>
      <c r="SIA45" s="47"/>
      <c r="SIB45" s="47"/>
      <c r="SIC45" s="47"/>
      <c r="SID45" s="47"/>
      <c r="SIE45" s="47"/>
      <c r="SIF45" s="47"/>
      <c r="SIG45" s="47"/>
      <c r="SIH45" s="47"/>
      <c r="SII45" s="47"/>
      <c r="SIJ45" s="47"/>
      <c r="SIK45" s="47"/>
      <c r="SIL45" s="47"/>
      <c r="SIM45" s="47"/>
      <c r="SIN45" s="47"/>
      <c r="SIO45" s="47"/>
      <c r="SIP45" s="47"/>
      <c r="SIQ45" s="47"/>
      <c r="SIR45" s="47"/>
      <c r="SIS45" s="47"/>
      <c r="SIT45" s="47"/>
      <c r="SIU45" s="47"/>
      <c r="SIV45" s="47"/>
      <c r="SIW45" s="47"/>
      <c r="SIX45" s="47"/>
      <c r="SIY45" s="47"/>
      <c r="SIZ45" s="47"/>
      <c r="SJA45" s="47"/>
      <c r="SJB45" s="47"/>
      <c r="SJC45" s="47"/>
      <c r="SJD45" s="47"/>
      <c r="SJE45" s="47"/>
      <c r="SJF45" s="47"/>
      <c r="SJG45" s="47"/>
      <c r="SJH45" s="47"/>
      <c r="SJI45" s="47"/>
      <c r="SJJ45" s="47"/>
      <c r="SJK45" s="47"/>
      <c r="SJL45" s="47"/>
      <c r="SJM45" s="47"/>
      <c r="SJN45" s="47"/>
      <c r="SJO45" s="47"/>
      <c r="SJP45" s="47"/>
      <c r="SJQ45" s="47"/>
      <c r="SJR45" s="47"/>
      <c r="SJS45" s="47"/>
      <c r="SJT45" s="47"/>
      <c r="SJU45" s="47"/>
      <c r="SJV45" s="47"/>
      <c r="SJW45" s="47"/>
      <c r="SJX45" s="47"/>
      <c r="SJY45" s="47"/>
      <c r="SJZ45" s="47"/>
      <c r="SKA45" s="47"/>
      <c r="SKB45" s="47"/>
      <c r="SKC45" s="47"/>
      <c r="SKD45" s="47"/>
      <c r="SKE45" s="47"/>
      <c r="SKF45" s="47"/>
      <c r="SKG45" s="47"/>
      <c r="SKH45" s="47"/>
      <c r="SKI45" s="47"/>
      <c r="SKJ45" s="47"/>
      <c r="SKK45" s="47"/>
      <c r="SKL45" s="47"/>
      <c r="SKM45" s="47"/>
      <c r="SKN45" s="47"/>
      <c r="SKO45" s="47"/>
      <c r="SKP45" s="47"/>
      <c r="SKQ45" s="47"/>
      <c r="SKR45" s="47"/>
      <c r="SKS45" s="47"/>
      <c r="SKT45" s="47"/>
      <c r="SKU45" s="47"/>
      <c r="SKV45" s="47"/>
      <c r="SKW45" s="47"/>
      <c r="SKX45" s="47"/>
      <c r="SKY45" s="47"/>
      <c r="SKZ45" s="47"/>
      <c r="SLA45" s="47"/>
      <c r="SLB45" s="47"/>
      <c r="SLC45" s="47"/>
      <c r="SLD45" s="47"/>
      <c r="SLE45" s="47"/>
      <c r="SLF45" s="47"/>
      <c r="SLG45" s="47"/>
      <c r="SLH45" s="47"/>
      <c r="SLI45" s="47"/>
      <c r="SLJ45" s="47"/>
      <c r="SLK45" s="47"/>
      <c r="SLL45" s="47"/>
      <c r="SLM45" s="47"/>
      <c r="SLN45" s="47"/>
      <c r="SLO45" s="47"/>
      <c r="SLP45" s="47"/>
      <c r="SLQ45" s="47"/>
      <c r="SLR45" s="47"/>
      <c r="SLS45" s="47"/>
      <c r="SLT45" s="47"/>
      <c r="SLU45" s="47"/>
      <c r="SLV45" s="47"/>
      <c r="SLW45" s="47"/>
      <c r="SLX45" s="47"/>
      <c r="SLY45" s="47"/>
      <c r="SLZ45" s="47"/>
      <c r="SMA45" s="47"/>
      <c r="SMB45" s="47"/>
      <c r="SMC45" s="47"/>
      <c r="SMD45" s="47"/>
      <c r="SME45" s="47"/>
      <c r="SMF45" s="47"/>
      <c r="SMG45" s="47"/>
      <c r="SMH45" s="47"/>
      <c r="SMI45" s="47"/>
      <c r="SMJ45" s="47"/>
      <c r="SMK45" s="47"/>
      <c r="SML45" s="47"/>
      <c r="SMM45" s="47"/>
      <c r="SMN45" s="47"/>
      <c r="SMO45" s="47"/>
      <c r="SMP45" s="47"/>
      <c r="SMQ45" s="47"/>
      <c r="SMR45" s="47"/>
      <c r="SMS45" s="47"/>
      <c r="SMT45" s="47"/>
      <c r="SMU45" s="47"/>
      <c r="SMV45" s="47"/>
      <c r="SMW45" s="47"/>
      <c r="SMX45" s="47"/>
      <c r="SMY45" s="47"/>
      <c r="SMZ45" s="47"/>
      <c r="SNA45" s="47"/>
      <c r="SNB45" s="47"/>
      <c r="SNC45" s="47"/>
      <c r="SND45" s="47"/>
      <c r="SNE45" s="47"/>
      <c r="SNF45" s="47"/>
      <c r="SNG45" s="47"/>
      <c r="SNH45" s="47"/>
      <c r="SNI45" s="47"/>
      <c r="SNJ45" s="47"/>
      <c r="SNK45" s="47"/>
      <c r="SNL45" s="47"/>
      <c r="SNM45" s="47"/>
      <c r="SNN45" s="47"/>
      <c r="SNO45" s="47"/>
      <c r="SNP45" s="47"/>
      <c r="SNQ45" s="47"/>
      <c r="SNR45" s="47"/>
      <c r="SNS45" s="47"/>
      <c r="SNT45" s="47"/>
      <c r="SNU45" s="47"/>
      <c r="SNV45" s="47"/>
      <c r="SNW45" s="47"/>
      <c r="SNX45" s="47"/>
      <c r="SNY45" s="47"/>
      <c r="SNZ45" s="47"/>
      <c r="SOA45" s="47"/>
      <c r="SOB45" s="47"/>
      <c r="SOC45" s="47"/>
      <c r="SOD45" s="47"/>
      <c r="SOE45" s="47"/>
      <c r="SOF45" s="47"/>
      <c r="SOG45" s="47"/>
      <c r="SOH45" s="47"/>
      <c r="SOI45" s="47"/>
      <c r="SOJ45" s="47"/>
      <c r="SOK45" s="47"/>
      <c r="SOL45" s="47"/>
      <c r="SOM45" s="47"/>
      <c r="SON45" s="47"/>
      <c r="SOO45" s="47"/>
      <c r="SOP45" s="47"/>
      <c r="SOQ45" s="47"/>
      <c r="SOR45" s="47"/>
      <c r="SOS45" s="47"/>
      <c r="SOT45" s="47"/>
      <c r="SOU45" s="47"/>
      <c r="SOV45" s="47"/>
      <c r="SOW45" s="47"/>
      <c r="SOX45" s="47"/>
      <c r="SOY45" s="47"/>
      <c r="SOZ45" s="47"/>
      <c r="SPA45" s="47"/>
      <c r="SPB45" s="47"/>
      <c r="SPC45" s="47"/>
      <c r="SPD45" s="47"/>
      <c r="SPE45" s="47"/>
      <c r="SPF45" s="47"/>
      <c r="SPG45" s="47"/>
      <c r="SPH45" s="47"/>
      <c r="SPI45" s="47"/>
      <c r="SPJ45" s="47"/>
      <c r="SPK45" s="47"/>
      <c r="SPL45" s="47"/>
      <c r="SPM45" s="47"/>
      <c r="SPN45" s="47"/>
      <c r="SPO45" s="47"/>
      <c r="SPP45" s="47"/>
      <c r="SPQ45" s="47"/>
      <c r="SPR45" s="47"/>
      <c r="SPS45" s="47"/>
      <c r="SPT45" s="47"/>
      <c r="SPU45" s="47"/>
      <c r="SPV45" s="47"/>
      <c r="SPW45" s="47"/>
      <c r="SPX45" s="47"/>
      <c r="SPY45" s="47"/>
      <c r="SPZ45" s="47"/>
      <c r="SQA45" s="47"/>
      <c r="SQB45" s="47"/>
      <c r="SQC45" s="47"/>
      <c r="SQD45" s="47"/>
      <c r="SQE45" s="47"/>
      <c r="SQF45" s="47"/>
      <c r="SQG45" s="47"/>
      <c r="SQH45" s="47"/>
      <c r="SQI45" s="47"/>
      <c r="SQJ45" s="47"/>
      <c r="SQK45" s="47"/>
      <c r="SQL45" s="47"/>
      <c r="SQM45" s="47"/>
      <c r="SQN45" s="47"/>
      <c r="SQO45" s="47"/>
      <c r="SQP45" s="47"/>
      <c r="SQQ45" s="47"/>
      <c r="SQR45" s="47"/>
      <c r="SQS45" s="47"/>
      <c r="SQT45" s="47"/>
      <c r="SQU45" s="47"/>
      <c r="SQV45" s="47"/>
      <c r="SQW45" s="47"/>
      <c r="SQX45" s="47"/>
      <c r="SQY45" s="47"/>
      <c r="SQZ45" s="47"/>
      <c r="SRA45" s="47"/>
      <c r="SRB45" s="47"/>
      <c r="SRC45" s="47"/>
      <c r="SRD45" s="47"/>
      <c r="SRE45" s="47"/>
      <c r="SRF45" s="47"/>
      <c r="SRG45" s="47"/>
      <c r="SRH45" s="47"/>
      <c r="SRI45" s="47"/>
      <c r="SRJ45" s="47"/>
      <c r="SRK45" s="47"/>
      <c r="SRL45" s="47"/>
      <c r="SRM45" s="47"/>
      <c r="SRN45" s="47"/>
      <c r="SRO45" s="47"/>
      <c r="SRP45" s="47"/>
      <c r="SRQ45" s="47"/>
      <c r="SRR45" s="47"/>
      <c r="SRS45" s="47"/>
      <c r="SRT45" s="47"/>
      <c r="SRU45" s="47"/>
      <c r="SRV45" s="47"/>
      <c r="SRW45" s="47"/>
      <c r="SRX45" s="47"/>
      <c r="SRY45" s="47"/>
      <c r="SRZ45" s="47"/>
      <c r="SSA45" s="47"/>
      <c r="SSB45" s="47"/>
      <c r="SSC45" s="47"/>
      <c r="SSD45" s="47"/>
      <c r="SSE45" s="47"/>
      <c r="SSF45" s="47"/>
      <c r="SSG45" s="47"/>
      <c r="SSH45" s="47"/>
      <c r="SSI45" s="47"/>
      <c r="SSJ45" s="47"/>
      <c r="SSK45" s="47"/>
      <c r="SSL45" s="47"/>
      <c r="SSM45" s="47"/>
      <c r="SSN45" s="47"/>
      <c r="SSO45" s="47"/>
      <c r="SSP45" s="47"/>
      <c r="SSQ45" s="47"/>
      <c r="SSR45" s="47"/>
      <c r="SSS45" s="47"/>
      <c r="SST45" s="47"/>
      <c r="SSU45" s="47"/>
      <c r="SSV45" s="47"/>
      <c r="SSW45" s="47"/>
      <c r="SSX45" s="47"/>
      <c r="SSY45" s="47"/>
      <c r="SSZ45" s="47"/>
      <c r="STA45" s="47"/>
      <c r="STB45" s="47"/>
      <c r="STC45" s="47"/>
      <c r="STD45" s="47"/>
      <c r="STE45" s="47"/>
      <c r="STF45" s="47"/>
      <c r="STG45" s="47"/>
      <c r="STH45" s="47"/>
      <c r="STI45" s="47"/>
      <c r="STJ45" s="47"/>
      <c r="STK45" s="47"/>
      <c r="STL45" s="47"/>
      <c r="STM45" s="47"/>
      <c r="STN45" s="47"/>
      <c r="STO45" s="47"/>
      <c r="STP45" s="47"/>
      <c r="STQ45" s="47"/>
      <c r="STR45" s="47"/>
      <c r="STS45" s="47"/>
      <c r="STT45" s="47"/>
      <c r="STU45" s="47"/>
      <c r="STV45" s="47"/>
      <c r="STW45" s="47"/>
      <c r="STX45" s="47"/>
      <c r="STY45" s="47"/>
      <c r="STZ45" s="47"/>
      <c r="SUA45" s="47"/>
      <c r="SUB45" s="47"/>
      <c r="SUC45" s="47"/>
      <c r="SUD45" s="47"/>
      <c r="SUE45" s="47"/>
      <c r="SUF45" s="47"/>
      <c r="SUG45" s="47"/>
      <c r="SUH45" s="47"/>
      <c r="SUI45" s="47"/>
      <c r="SUJ45" s="47"/>
      <c r="SUK45" s="47"/>
      <c r="SUL45" s="47"/>
      <c r="SUM45" s="47"/>
      <c r="SUN45" s="47"/>
      <c r="SUO45" s="47"/>
      <c r="SUP45" s="47"/>
      <c r="SUQ45" s="47"/>
      <c r="SUR45" s="47"/>
      <c r="SUS45" s="47"/>
      <c r="SUT45" s="47"/>
      <c r="SUU45" s="47"/>
      <c r="SUV45" s="47"/>
      <c r="SUW45" s="47"/>
      <c r="SUX45" s="47"/>
      <c r="SUY45" s="47"/>
      <c r="SUZ45" s="47"/>
      <c r="SVA45" s="47"/>
      <c r="SVB45" s="47"/>
      <c r="SVC45" s="47"/>
      <c r="SVD45" s="47"/>
      <c r="SVE45" s="47"/>
      <c r="SVF45" s="47"/>
      <c r="SVG45" s="47"/>
      <c r="SVH45" s="47"/>
      <c r="SVI45" s="47"/>
      <c r="SVJ45" s="47"/>
      <c r="SVK45" s="47"/>
      <c r="SVL45" s="47"/>
      <c r="SVM45" s="47"/>
      <c r="SVN45" s="47"/>
      <c r="SVO45" s="47"/>
      <c r="SVP45" s="47"/>
      <c r="SVQ45" s="47"/>
      <c r="SVR45" s="47"/>
      <c r="SVS45" s="47"/>
      <c r="SVT45" s="47"/>
      <c r="SVU45" s="47"/>
      <c r="SVV45" s="47"/>
      <c r="SVW45" s="47"/>
      <c r="SVX45" s="47"/>
      <c r="SVY45" s="47"/>
      <c r="SVZ45" s="47"/>
      <c r="SWA45" s="47"/>
      <c r="SWB45" s="47"/>
      <c r="SWC45" s="47"/>
      <c r="SWD45" s="47"/>
      <c r="SWE45" s="47"/>
      <c r="SWF45" s="47"/>
      <c r="SWG45" s="47"/>
      <c r="SWH45" s="47"/>
      <c r="SWI45" s="47"/>
      <c r="SWJ45" s="47"/>
      <c r="SWK45" s="47"/>
      <c r="SWL45" s="47"/>
      <c r="SWM45" s="47"/>
      <c r="SWN45" s="47"/>
      <c r="SWO45" s="47"/>
      <c r="SWP45" s="47"/>
      <c r="SWQ45" s="47"/>
      <c r="SWR45" s="47"/>
      <c r="SWS45" s="47"/>
      <c r="SWT45" s="47"/>
      <c r="SWU45" s="47"/>
      <c r="SWV45" s="47"/>
      <c r="SWW45" s="47"/>
      <c r="SWX45" s="47"/>
      <c r="SWY45" s="47"/>
      <c r="SWZ45" s="47"/>
      <c r="SXA45" s="47"/>
      <c r="SXB45" s="47"/>
      <c r="SXC45" s="47"/>
      <c r="SXD45" s="47"/>
      <c r="SXE45" s="47"/>
      <c r="SXF45" s="47"/>
      <c r="SXG45" s="47"/>
      <c r="SXH45" s="47"/>
      <c r="SXI45" s="47"/>
      <c r="SXJ45" s="47"/>
      <c r="SXK45" s="47"/>
      <c r="SXL45" s="47"/>
      <c r="SXM45" s="47"/>
      <c r="SXN45" s="47"/>
      <c r="SXO45" s="47"/>
      <c r="SXP45" s="47"/>
      <c r="SXQ45" s="47"/>
      <c r="SXR45" s="47"/>
      <c r="SXS45" s="47"/>
      <c r="SXT45" s="47"/>
      <c r="SXU45" s="47"/>
      <c r="SXV45" s="47"/>
      <c r="SXW45" s="47"/>
      <c r="SXX45" s="47"/>
      <c r="SXY45" s="47"/>
      <c r="SXZ45" s="47"/>
      <c r="SYA45" s="47"/>
      <c r="SYB45" s="47"/>
      <c r="SYC45" s="47"/>
      <c r="SYD45" s="47"/>
      <c r="SYE45" s="47"/>
      <c r="SYF45" s="47"/>
      <c r="SYG45" s="47"/>
      <c r="SYH45" s="47"/>
      <c r="SYI45" s="47"/>
      <c r="SYJ45" s="47"/>
      <c r="SYK45" s="47"/>
      <c r="SYL45" s="47"/>
      <c r="SYM45" s="47"/>
      <c r="SYN45" s="47"/>
      <c r="SYO45" s="47"/>
      <c r="SYP45" s="47"/>
      <c r="SYQ45" s="47"/>
      <c r="SYR45" s="47"/>
      <c r="SYS45" s="47"/>
      <c r="SYT45" s="47"/>
      <c r="SYU45" s="47"/>
      <c r="SYV45" s="47"/>
      <c r="SYW45" s="47"/>
      <c r="SYX45" s="47"/>
      <c r="SYY45" s="47"/>
      <c r="SYZ45" s="47"/>
      <c r="SZA45" s="47"/>
      <c r="SZB45" s="47"/>
      <c r="SZC45" s="47"/>
      <c r="SZD45" s="47"/>
      <c r="SZE45" s="47"/>
      <c r="SZF45" s="47"/>
      <c r="SZG45" s="47"/>
      <c r="SZH45" s="47"/>
      <c r="SZI45" s="47"/>
      <c r="SZJ45" s="47"/>
      <c r="SZK45" s="47"/>
      <c r="SZL45" s="47"/>
      <c r="SZM45" s="47"/>
      <c r="SZN45" s="47"/>
      <c r="SZO45" s="47"/>
      <c r="SZP45" s="47"/>
      <c r="SZQ45" s="47"/>
      <c r="SZR45" s="47"/>
      <c r="SZS45" s="47"/>
      <c r="SZT45" s="47"/>
      <c r="SZU45" s="47"/>
      <c r="SZV45" s="47"/>
      <c r="SZW45" s="47"/>
      <c r="SZX45" s="47"/>
      <c r="SZY45" s="47"/>
      <c r="SZZ45" s="47"/>
      <c r="TAA45" s="47"/>
      <c r="TAB45" s="47"/>
      <c r="TAC45" s="47"/>
      <c r="TAD45" s="47"/>
      <c r="TAE45" s="47"/>
      <c r="TAF45" s="47"/>
      <c r="TAG45" s="47"/>
      <c r="TAH45" s="47"/>
      <c r="TAI45" s="47"/>
      <c r="TAJ45" s="47"/>
      <c r="TAK45" s="47"/>
      <c r="TAL45" s="47"/>
      <c r="TAM45" s="47"/>
      <c r="TAN45" s="47"/>
      <c r="TAO45" s="47"/>
      <c r="TAP45" s="47"/>
      <c r="TAQ45" s="47"/>
      <c r="TAR45" s="47"/>
      <c r="TAS45" s="47"/>
      <c r="TAT45" s="47"/>
      <c r="TAU45" s="47"/>
      <c r="TAV45" s="47"/>
      <c r="TAW45" s="47"/>
      <c r="TAX45" s="47"/>
      <c r="TAY45" s="47"/>
      <c r="TAZ45" s="47"/>
      <c r="TBA45" s="47"/>
      <c r="TBB45" s="47"/>
      <c r="TBC45" s="47"/>
      <c r="TBD45" s="47"/>
      <c r="TBE45" s="47"/>
      <c r="TBF45" s="47"/>
      <c r="TBG45" s="47"/>
      <c r="TBH45" s="47"/>
      <c r="TBI45" s="47"/>
      <c r="TBJ45" s="47"/>
      <c r="TBK45" s="47"/>
      <c r="TBL45" s="47"/>
      <c r="TBM45" s="47"/>
      <c r="TBN45" s="47"/>
      <c r="TBO45" s="47"/>
      <c r="TBP45" s="47"/>
      <c r="TBQ45" s="47"/>
      <c r="TBR45" s="47"/>
      <c r="TBS45" s="47"/>
      <c r="TBT45" s="47"/>
      <c r="TBU45" s="47"/>
      <c r="TBV45" s="47"/>
      <c r="TBW45" s="47"/>
      <c r="TBX45" s="47"/>
      <c r="TBY45" s="47"/>
      <c r="TBZ45" s="47"/>
      <c r="TCA45" s="47"/>
      <c r="TCB45" s="47"/>
      <c r="TCC45" s="47"/>
      <c r="TCD45" s="47"/>
      <c r="TCE45" s="47"/>
      <c r="TCF45" s="47"/>
      <c r="TCG45" s="47"/>
      <c r="TCH45" s="47"/>
      <c r="TCI45" s="47"/>
      <c r="TCJ45" s="47"/>
      <c r="TCK45" s="47"/>
      <c r="TCL45" s="47"/>
      <c r="TCM45" s="47"/>
      <c r="TCN45" s="47"/>
      <c r="TCO45" s="47"/>
      <c r="TCP45" s="47"/>
      <c r="TCQ45" s="47"/>
      <c r="TCR45" s="47"/>
      <c r="TCS45" s="47"/>
      <c r="TCT45" s="47"/>
      <c r="TCU45" s="47"/>
      <c r="TCV45" s="47"/>
      <c r="TCW45" s="47"/>
      <c r="TCX45" s="47"/>
      <c r="TCY45" s="47"/>
      <c r="TCZ45" s="47"/>
      <c r="TDA45" s="47"/>
      <c r="TDB45" s="47"/>
      <c r="TDC45" s="47"/>
      <c r="TDD45" s="47"/>
      <c r="TDE45" s="47"/>
      <c r="TDF45" s="47"/>
      <c r="TDG45" s="47"/>
      <c r="TDH45" s="47"/>
      <c r="TDI45" s="47"/>
      <c r="TDJ45" s="47"/>
      <c r="TDK45" s="47"/>
      <c r="TDL45" s="47"/>
      <c r="TDM45" s="47"/>
      <c r="TDN45" s="47"/>
      <c r="TDO45" s="47"/>
      <c r="TDP45" s="47"/>
      <c r="TDQ45" s="47"/>
      <c r="TDR45" s="47"/>
      <c r="TDS45" s="47"/>
      <c r="TDT45" s="47"/>
      <c r="TDU45" s="47"/>
      <c r="TDV45" s="47"/>
      <c r="TDW45" s="47"/>
      <c r="TDX45" s="47"/>
      <c r="TDY45" s="47"/>
      <c r="TDZ45" s="47"/>
      <c r="TEA45" s="47"/>
      <c r="TEB45" s="47"/>
      <c r="TEC45" s="47"/>
      <c r="TED45" s="47"/>
      <c r="TEE45" s="47"/>
      <c r="TEF45" s="47"/>
      <c r="TEG45" s="47"/>
      <c r="TEH45" s="47"/>
      <c r="TEI45" s="47"/>
      <c r="TEJ45" s="47"/>
      <c r="TEK45" s="47"/>
      <c r="TEL45" s="47"/>
      <c r="TEM45" s="47"/>
      <c r="TEN45" s="47"/>
      <c r="TEO45" s="47"/>
      <c r="TEP45" s="47"/>
      <c r="TEQ45" s="47"/>
      <c r="TER45" s="47"/>
      <c r="TES45" s="47"/>
      <c r="TET45" s="47"/>
      <c r="TEU45" s="47"/>
      <c r="TEV45" s="47"/>
      <c r="TEW45" s="47"/>
      <c r="TEX45" s="47"/>
      <c r="TEY45" s="47"/>
      <c r="TEZ45" s="47"/>
      <c r="TFA45" s="47"/>
      <c r="TFB45" s="47"/>
      <c r="TFC45" s="47"/>
      <c r="TFD45" s="47"/>
      <c r="TFE45" s="47"/>
      <c r="TFF45" s="47"/>
      <c r="TFG45" s="47"/>
      <c r="TFH45" s="47"/>
      <c r="TFI45" s="47"/>
      <c r="TFJ45" s="47"/>
      <c r="TFK45" s="47"/>
      <c r="TFL45" s="47"/>
      <c r="TFM45" s="47"/>
      <c r="TFN45" s="47"/>
      <c r="TFO45" s="47"/>
      <c r="TFP45" s="47"/>
      <c r="TFQ45" s="47"/>
      <c r="TFR45" s="47"/>
      <c r="TFS45" s="47"/>
      <c r="TFT45" s="47"/>
      <c r="TFU45" s="47"/>
      <c r="TFV45" s="47"/>
      <c r="TFW45" s="47"/>
      <c r="TFX45" s="47"/>
      <c r="TFY45" s="47"/>
      <c r="TFZ45" s="47"/>
      <c r="TGA45" s="47"/>
      <c r="TGB45" s="47"/>
      <c r="TGC45" s="47"/>
      <c r="TGD45" s="47"/>
      <c r="TGE45" s="47"/>
      <c r="TGF45" s="47"/>
      <c r="TGG45" s="47"/>
      <c r="TGH45" s="47"/>
      <c r="TGI45" s="47"/>
      <c r="TGJ45" s="47"/>
      <c r="TGK45" s="47"/>
      <c r="TGL45" s="47"/>
      <c r="TGM45" s="47"/>
      <c r="TGN45" s="47"/>
      <c r="TGO45" s="47"/>
      <c r="TGP45" s="47"/>
      <c r="TGQ45" s="47"/>
      <c r="TGR45" s="47"/>
      <c r="TGS45" s="47"/>
      <c r="TGT45" s="47"/>
      <c r="TGU45" s="47"/>
      <c r="TGV45" s="47"/>
      <c r="TGW45" s="47"/>
      <c r="TGX45" s="47"/>
      <c r="TGY45" s="47"/>
      <c r="TGZ45" s="47"/>
      <c r="THA45" s="47"/>
      <c r="THB45" s="47"/>
      <c r="THC45" s="47"/>
      <c r="THD45" s="47"/>
      <c r="THE45" s="47"/>
      <c r="THF45" s="47"/>
      <c r="THG45" s="47"/>
      <c r="THH45" s="47"/>
      <c r="THI45" s="47"/>
      <c r="THJ45" s="47"/>
      <c r="THK45" s="47"/>
      <c r="THL45" s="47"/>
      <c r="THM45" s="47"/>
      <c r="THN45" s="47"/>
      <c r="THO45" s="47"/>
      <c r="THP45" s="47"/>
      <c r="THQ45" s="47"/>
      <c r="THR45" s="47"/>
      <c r="THS45" s="47"/>
      <c r="THT45" s="47"/>
      <c r="THU45" s="47"/>
      <c r="THV45" s="47"/>
      <c r="THW45" s="47"/>
      <c r="THX45" s="47"/>
      <c r="THY45" s="47"/>
      <c r="THZ45" s="47"/>
      <c r="TIA45" s="47"/>
      <c r="TIB45" s="47"/>
      <c r="TIC45" s="47"/>
      <c r="TID45" s="47"/>
      <c r="TIE45" s="47"/>
      <c r="TIF45" s="47"/>
      <c r="TIG45" s="47"/>
      <c r="TIH45" s="47"/>
      <c r="TII45" s="47"/>
      <c r="TIJ45" s="47"/>
      <c r="TIK45" s="47"/>
      <c r="TIL45" s="47"/>
      <c r="TIM45" s="47"/>
      <c r="TIN45" s="47"/>
      <c r="TIO45" s="47"/>
      <c r="TIP45" s="47"/>
      <c r="TIQ45" s="47"/>
      <c r="TIR45" s="47"/>
      <c r="TIS45" s="47"/>
      <c r="TIT45" s="47"/>
      <c r="TIU45" s="47"/>
      <c r="TIV45" s="47"/>
      <c r="TIW45" s="47"/>
      <c r="TIX45" s="47"/>
      <c r="TIY45" s="47"/>
      <c r="TIZ45" s="47"/>
      <c r="TJA45" s="47"/>
      <c r="TJB45" s="47"/>
      <c r="TJC45" s="47"/>
      <c r="TJD45" s="47"/>
      <c r="TJE45" s="47"/>
      <c r="TJF45" s="47"/>
      <c r="TJG45" s="47"/>
      <c r="TJH45" s="47"/>
      <c r="TJI45" s="47"/>
      <c r="TJJ45" s="47"/>
      <c r="TJK45" s="47"/>
      <c r="TJL45" s="47"/>
      <c r="TJM45" s="47"/>
      <c r="TJN45" s="47"/>
      <c r="TJO45" s="47"/>
      <c r="TJP45" s="47"/>
      <c r="TJQ45" s="47"/>
      <c r="TJR45" s="47"/>
      <c r="TJS45" s="47"/>
      <c r="TJT45" s="47"/>
      <c r="TJU45" s="47"/>
      <c r="TJV45" s="47"/>
      <c r="TJW45" s="47"/>
      <c r="TJX45" s="47"/>
      <c r="TJY45" s="47"/>
      <c r="TJZ45" s="47"/>
      <c r="TKA45" s="47"/>
      <c r="TKB45" s="47"/>
      <c r="TKC45" s="47"/>
      <c r="TKD45" s="47"/>
      <c r="TKE45" s="47"/>
      <c r="TKF45" s="47"/>
      <c r="TKG45" s="47"/>
      <c r="TKH45" s="47"/>
      <c r="TKI45" s="47"/>
      <c r="TKJ45" s="47"/>
      <c r="TKK45" s="47"/>
      <c r="TKL45" s="47"/>
      <c r="TKM45" s="47"/>
      <c r="TKN45" s="47"/>
      <c r="TKO45" s="47"/>
      <c r="TKP45" s="47"/>
      <c r="TKQ45" s="47"/>
      <c r="TKR45" s="47"/>
      <c r="TKS45" s="47"/>
      <c r="TKT45" s="47"/>
      <c r="TKU45" s="47"/>
      <c r="TKV45" s="47"/>
      <c r="TKW45" s="47"/>
      <c r="TKX45" s="47"/>
      <c r="TKY45" s="47"/>
      <c r="TKZ45" s="47"/>
      <c r="TLA45" s="47"/>
      <c r="TLB45" s="47"/>
      <c r="TLC45" s="47"/>
      <c r="TLD45" s="47"/>
      <c r="TLE45" s="47"/>
      <c r="TLF45" s="47"/>
      <c r="TLG45" s="47"/>
      <c r="TLH45" s="47"/>
      <c r="TLI45" s="47"/>
      <c r="TLJ45" s="47"/>
      <c r="TLK45" s="47"/>
      <c r="TLL45" s="47"/>
      <c r="TLM45" s="47"/>
      <c r="TLN45" s="47"/>
      <c r="TLO45" s="47"/>
      <c r="TLP45" s="47"/>
      <c r="TLQ45" s="47"/>
      <c r="TLR45" s="47"/>
      <c r="TLS45" s="47"/>
      <c r="TLT45" s="47"/>
      <c r="TLU45" s="47"/>
      <c r="TLV45" s="47"/>
      <c r="TLW45" s="47"/>
      <c r="TLX45" s="47"/>
      <c r="TLY45" s="47"/>
      <c r="TLZ45" s="47"/>
      <c r="TMA45" s="47"/>
      <c r="TMB45" s="47"/>
      <c r="TMC45" s="47"/>
      <c r="TMD45" s="47"/>
      <c r="TME45" s="47"/>
      <c r="TMF45" s="47"/>
      <c r="TMG45" s="47"/>
      <c r="TMH45" s="47"/>
      <c r="TMI45" s="47"/>
      <c r="TMJ45" s="47"/>
      <c r="TMK45" s="47"/>
      <c r="TML45" s="47"/>
      <c r="TMM45" s="47"/>
      <c r="TMN45" s="47"/>
      <c r="TMO45" s="47"/>
      <c r="TMP45" s="47"/>
      <c r="TMQ45" s="47"/>
      <c r="TMR45" s="47"/>
      <c r="TMS45" s="47"/>
      <c r="TMT45" s="47"/>
      <c r="TMU45" s="47"/>
      <c r="TMV45" s="47"/>
      <c r="TMW45" s="47"/>
      <c r="TMX45" s="47"/>
      <c r="TMY45" s="47"/>
      <c r="TMZ45" s="47"/>
      <c r="TNA45" s="47"/>
      <c r="TNB45" s="47"/>
      <c r="TNC45" s="47"/>
      <c r="TND45" s="47"/>
      <c r="TNE45" s="47"/>
      <c r="TNF45" s="47"/>
      <c r="TNG45" s="47"/>
      <c r="TNH45" s="47"/>
      <c r="TNI45" s="47"/>
      <c r="TNJ45" s="47"/>
      <c r="TNK45" s="47"/>
      <c r="TNL45" s="47"/>
      <c r="TNM45" s="47"/>
      <c r="TNN45" s="47"/>
      <c r="TNO45" s="47"/>
      <c r="TNP45" s="47"/>
      <c r="TNQ45" s="47"/>
      <c r="TNR45" s="47"/>
      <c r="TNS45" s="47"/>
      <c r="TNT45" s="47"/>
      <c r="TNU45" s="47"/>
      <c r="TNV45" s="47"/>
      <c r="TNW45" s="47"/>
      <c r="TNX45" s="47"/>
      <c r="TNY45" s="47"/>
      <c r="TNZ45" s="47"/>
      <c r="TOA45" s="47"/>
      <c r="TOB45" s="47"/>
      <c r="TOC45" s="47"/>
      <c r="TOD45" s="47"/>
      <c r="TOE45" s="47"/>
      <c r="TOF45" s="47"/>
      <c r="TOG45" s="47"/>
      <c r="TOH45" s="47"/>
      <c r="TOI45" s="47"/>
      <c r="TOJ45" s="47"/>
      <c r="TOK45" s="47"/>
      <c r="TOL45" s="47"/>
      <c r="TOM45" s="47"/>
      <c r="TON45" s="47"/>
      <c r="TOO45" s="47"/>
      <c r="TOP45" s="47"/>
      <c r="TOQ45" s="47"/>
      <c r="TOR45" s="47"/>
      <c r="TOS45" s="47"/>
      <c r="TOT45" s="47"/>
      <c r="TOU45" s="47"/>
      <c r="TOV45" s="47"/>
      <c r="TOW45" s="47"/>
      <c r="TOX45" s="47"/>
      <c r="TOY45" s="47"/>
      <c r="TOZ45" s="47"/>
      <c r="TPA45" s="47"/>
      <c r="TPB45" s="47"/>
      <c r="TPC45" s="47"/>
      <c r="TPD45" s="47"/>
      <c r="TPE45" s="47"/>
      <c r="TPF45" s="47"/>
      <c r="TPG45" s="47"/>
      <c r="TPH45" s="47"/>
      <c r="TPI45" s="47"/>
      <c r="TPJ45" s="47"/>
      <c r="TPK45" s="47"/>
      <c r="TPL45" s="47"/>
      <c r="TPM45" s="47"/>
      <c r="TPN45" s="47"/>
      <c r="TPO45" s="47"/>
      <c r="TPP45" s="47"/>
      <c r="TPQ45" s="47"/>
      <c r="TPR45" s="47"/>
      <c r="TPS45" s="47"/>
      <c r="TPT45" s="47"/>
      <c r="TPU45" s="47"/>
      <c r="TPV45" s="47"/>
      <c r="TPW45" s="47"/>
      <c r="TPX45" s="47"/>
      <c r="TPY45" s="47"/>
      <c r="TPZ45" s="47"/>
      <c r="TQA45" s="47"/>
      <c r="TQB45" s="47"/>
      <c r="TQC45" s="47"/>
      <c r="TQD45" s="47"/>
      <c r="TQE45" s="47"/>
      <c r="TQF45" s="47"/>
      <c r="TQG45" s="47"/>
      <c r="TQH45" s="47"/>
      <c r="TQI45" s="47"/>
      <c r="TQJ45" s="47"/>
      <c r="TQK45" s="47"/>
      <c r="TQL45" s="47"/>
      <c r="TQM45" s="47"/>
      <c r="TQN45" s="47"/>
      <c r="TQO45" s="47"/>
      <c r="TQP45" s="47"/>
      <c r="TQQ45" s="47"/>
      <c r="TQR45" s="47"/>
      <c r="TQS45" s="47"/>
      <c r="TQT45" s="47"/>
      <c r="TQU45" s="47"/>
      <c r="TQV45" s="47"/>
      <c r="TQW45" s="47"/>
      <c r="TQX45" s="47"/>
      <c r="TQY45" s="47"/>
      <c r="TQZ45" s="47"/>
      <c r="TRA45" s="47"/>
      <c r="TRB45" s="47"/>
      <c r="TRC45" s="47"/>
      <c r="TRD45" s="47"/>
      <c r="TRE45" s="47"/>
      <c r="TRF45" s="47"/>
      <c r="TRG45" s="47"/>
      <c r="TRH45" s="47"/>
      <c r="TRI45" s="47"/>
      <c r="TRJ45" s="47"/>
      <c r="TRK45" s="47"/>
      <c r="TRL45" s="47"/>
      <c r="TRM45" s="47"/>
      <c r="TRN45" s="47"/>
      <c r="TRO45" s="47"/>
      <c r="TRP45" s="47"/>
      <c r="TRQ45" s="47"/>
      <c r="TRR45" s="47"/>
      <c r="TRS45" s="47"/>
      <c r="TRT45" s="47"/>
      <c r="TRU45" s="47"/>
      <c r="TRV45" s="47"/>
      <c r="TRW45" s="47"/>
      <c r="TRX45" s="47"/>
      <c r="TRY45" s="47"/>
      <c r="TRZ45" s="47"/>
      <c r="TSA45" s="47"/>
      <c r="TSB45" s="47"/>
      <c r="TSC45" s="47"/>
      <c r="TSD45" s="47"/>
      <c r="TSE45" s="47"/>
      <c r="TSF45" s="47"/>
      <c r="TSG45" s="47"/>
      <c r="TSH45" s="47"/>
      <c r="TSI45" s="47"/>
      <c r="TSJ45" s="47"/>
      <c r="TSK45" s="47"/>
      <c r="TSL45" s="47"/>
      <c r="TSM45" s="47"/>
      <c r="TSN45" s="47"/>
      <c r="TSO45" s="47"/>
      <c r="TSP45" s="47"/>
      <c r="TSQ45" s="47"/>
      <c r="TSR45" s="47"/>
      <c r="TSS45" s="47"/>
      <c r="TST45" s="47"/>
      <c r="TSU45" s="47"/>
      <c r="TSV45" s="47"/>
      <c r="TSW45" s="47"/>
      <c r="TSX45" s="47"/>
      <c r="TSY45" s="47"/>
      <c r="TSZ45" s="47"/>
      <c r="TTA45" s="47"/>
      <c r="TTB45" s="47"/>
      <c r="TTC45" s="47"/>
      <c r="TTD45" s="47"/>
      <c r="TTE45" s="47"/>
      <c r="TTF45" s="47"/>
      <c r="TTG45" s="47"/>
      <c r="TTH45" s="47"/>
      <c r="TTI45" s="47"/>
      <c r="TTJ45" s="47"/>
      <c r="TTK45" s="47"/>
      <c r="TTL45" s="47"/>
      <c r="TTM45" s="47"/>
      <c r="TTN45" s="47"/>
      <c r="TTO45" s="47"/>
      <c r="TTP45" s="47"/>
      <c r="TTQ45" s="47"/>
      <c r="TTR45" s="47"/>
      <c r="TTS45" s="47"/>
      <c r="TTT45" s="47"/>
      <c r="TTU45" s="47"/>
      <c r="TTV45" s="47"/>
      <c r="TTW45" s="47"/>
      <c r="TTX45" s="47"/>
      <c r="TTY45" s="47"/>
      <c r="TTZ45" s="47"/>
      <c r="TUA45" s="47"/>
      <c r="TUB45" s="47"/>
      <c r="TUC45" s="47"/>
      <c r="TUD45" s="47"/>
      <c r="TUE45" s="47"/>
      <c r="TUF45" s="47"/>
      <c r="TUG45" s="47"/>
      <c r="TUH45" s="47"/>
      <c r="TUI45" s="47"/>
      <c r="TUJ45" s="47"/>
      <c r="TUK45" s="47"/>
      <c r="TUL45" s="47"/>
      <c r="TUM45" s="47"/>
      <c r="TUN45" s="47"/>
      <c r="TUO45" s="47"/>
      <c r="TUP45" s="47"/>
      <c r="TUQ45" s="47"/>
      <c r="TUR45" s="47"/>
      <c r="TUS45" s="47"/>
      <c r="TUT45" s="47"/>
      <c r="TUU45" s="47"/>
      <c r="TUV45" s="47"/>
      <c r="TUW45" s="47"/>
      <c r="TUX45" s="47"/>
      <c r="TUY45" s="47"/>
      <c r="TUZ45" s="47"/>
      <c r="TVA45" s="47"/>
      <c r="TVB45" s="47"/>
      <c r="TVC45" s="47"/>
      <c r="TVD45" s="47"/>
      <c r="TVE45" s="47"/>
      <c r="TVF45" s="47"/>
      <c r="TVG45" s="47"/>
      <c r="TVH45" s="47"/>
      <c r="TVI45" s="47"/>
      <c r="TVJ45" s="47"/>
      <c r="TVK45" s="47"/>
      <c r="TVL45" s="47"/>
      <c r="TVM45" s="47"/>
      <c r="TVN45" s="47"/>
      <c r="TVO45" s="47"/>
      <c r="TVP45" s="47"/>
      <c r="TVQ45" s="47"/>
      <c r="TVR45" s="47"/>
      <c r="TVS45" s="47"/>
      <c r="TVT45" s="47"/>
      <c r="TVU45" s="47"/>
      <c r="TVV45" s="47"/>
      <c r="TVW45" s="47"/>
      <c r="TVX45" s="47"/>
      <c r="TVY45" s="47"/>
      <c r="TVZ45" s="47"/>
      <c r="TWA45" s="47"/>
      <c r="TWB45" s="47"/>
      <c r="TWC45" s="47"/>
      <c r="TWD45" s="47"/>
      <c r="TWE45" s="47"/>
      <c r="TWF45" s="47"/>
      <c r="TWG45" s="47"/>
      <c r="TWH45" s="47"/>
      <c r="TWI45" s="47"/>
      <c r="TWJ45" s="47"/>
      <c r="TWK45" s="47"/>
      <c r="TWL45" s="47"/>
      <c r="TWM45" s="47"/>
      <c r="TWN45" s="47"/>
      <c r="TWO45" s="47"/>
      <c r="TWP45" s="47"/>
      <c r="TWQ45" s="47"/>
      <c r="TWR45" s="47"/>
      <c r="TWS45" s="47"/>
      <c r="TWT45" s="47"/>
      <c r="TWU45" s="47"/>
      <c r="TWV45" s="47"/>
      <c r="TWW45" s="47"/>
      <c r="TWX45" s="47"/>
      <c r="TWY45" s="47"/>
      <c r="TWZ45" s="47"/>
      <c r="TXA45" s="47"/>
      <c r="TXB45" s="47"/>
      <c r="TXC45" s="47"/>
      <c r="TXD45" s="47"/>
      <c r="TXE45" s="47"/>
      <c r="TXF45" s="47"/>
      <c r="TXG45" s="47"/>
      <c r="TXH45" s="47"/>
      <c r="TXI45" s="47"/>
      <c r="TXJ45" s="47"/>
      <c r="TXK45" s="47"/>
      <c r="TXL45" s="47"/>
      <c r="TXM45" s="47"/>
      <c r="TXN45" s="47"/>
      <c r="TXO45" s="47"/>
      <c r="TXP45" s="47"/>
      <c r="TXQ45" s="47"/>
      <c r="TXR45" s="47"/>
      <c r="TXS45" s="47"/>
      <c r="TXT45" s="47"/>
      <c r="TXU45" s="47"/>
      <c r="TXV45" s="47"/>
      <c r="TXW45" s="47"/>
      <c r="TXX45" s="47"/>
      <c r="TXY45" s="47"/>
      <c r="TXZ45" s="47"/>
      <c r="TYA45" s="47"/>
      <c r="TYB45" s="47"/>
      <c r="TYC45" s="47"/>
      <c r="TYD45" s="47"/>
      <c r="TYE45" s="47"/>
      <c r="TYF45" s="47"/>
      <c r="TYG45" s="47"/>
      <c r="TYH45" s="47"/>
      <c r="TYI45" s="47"/>
      <c r="TYJ45" s="47"/>
      <c r="TYK45" s="47"/>
      <c r="TYL45" s="47"/>
      <c r="TYM45" s="47"/>
      <c r="TYN45" s="47"/>
      <c r="TYO45" s="47"/>
      <c r="TYP45" s="47"/>
      <c r="TYQ45" s="47"/>
      <c r="TYR45" s="47"/>
      <c r="TYS45" s="47"/>
      <c r="TYT45" s="47"/>
      <c r="TYU45" s="47"/>
      <c r="TYV45" s="47"/>
      <c r="TYW45" s="47"/>
      <c r="TYX45" s="47"/>
      <c r="TYY45" s="47"/>
      <c r="TYZ45" s="47"/>
      <c r="TZA45" s="47"/>
      <c r="TZB45" s="47"/>
      <c r="TZC45" s="47"/>
      <c r="TZD45" s="47"/>
      <c r="TZE45" s="47"/>
      <c r="TZF45" s="47"/>
      <c r="TZG45" s="47"/>
      <c r="TZH45" s="47"/>
      <c r="TZI45" s="47"/>
      <c r="TZJ45" s="47"/>
      <c r="TZK45" s="47"/>
      <c r="TZL45" s="47"/>
      <c r="TZM45" s="47"/>
      <c r="TZN45" s="47"/>
      <c r="TZO45" s="47"/>
      <c r="TZP45" s="47"/>
      <c r="TZQ45" s="47"/>
      <c r="TZR45" s="47"/>
      <c r="TZS45" s="47"/>
      <c r="TZT45" s="47"/>
      <c r="TZU45" s="47"/>
      <c r="TZV45" s="47"/>
      <c r="TZW45" s="47"/>
      <c r="TZX45" s="47"/>
      <c r="TZY45" s="47"/>
      <c r="TZZ45" s="47"/>
      <c r="UAA45" s="47"/>
      <c r="UAB45" s="47"/>
      <c r="UAC45" s="47"/>
      <c r="UAD45" s="47"/>
      <c r="UAE45" s="47"/>
      <c r="UAF45" s="47"/>
      <c r="UAG45" s="47"/>
      <c r="UAH45" s="47"/>
      <c r="UAI45" s="47"/>
      <c r="UAJ45" s="47"/>
      <c r="UAK45" s="47"/>
      <c r="UAL45" s="47"/>
      <c r="UAM45" s="47"/>
      <c r="UAN45" s="47"/>
      <c r="UAO45" s="47"/>
      <c r="UAP45" s="47"/>
      <c r="UAQ45" s="47"/>
      <c r="UAR45" s="47"/>
      <c r="UAS45" s="47"/>
      <c r="UAT45" s="47"/>
      <c r="UAU45" s="47"/>
      <c r="UAV45" s="47"/>
      <c r="UAW45" s="47"/>
      <c r="UAX45" s="47"/>
      <c r="UAY45" s="47"/>
      <c r="UAZ45" s="47"/>
      <c r="UBA45" s="47"/>
      <c r="UBB45" s="47"/>
      <c r="UBC45" s="47"/>
      <c r="UBD45" s="47"/>
      <c r="UBE45" s="47"/>
      <c r="UBF45" s="47"/>
      <c r="UBG45" s="47"/>
      <c r="UBH45" s="47"/>
      <c r="UBI45" s="47"/>
      <c r="UBJ45" s="47"/>
      <c r="UBK45" s="47"/>
      <c r="UBL45" s="47"/>
      <c r="UBM45" s="47"/>
      <c r="UBN45" s="47"/>
      <c r="UBO45" s="47"/>
      <c r="UBP45" s="47"/>
      <c r="UBQ45" s="47"/>
      <c r="UBR45" s="47"/>
      <c r="UBS45" s="47"/>
      <c r="UBT45" s="47"/>
      <c r="UBU45" s="47"/>
      <c r="UBV45" s="47"/>
      <c r="UBW45" s="47"/>
      <c r="UBX45" s="47"/>
      <c r="UBY45" s="47"/>
      <c r="UBZ45" s="47"/>
      <c r="UCA45" s="47"/>
      <c r="UCB45" s="47"/>
      <c r="UCC45" s="47"/>
      <c r="UCD45" s="47"/>
      <c r="UCE45" s="47"/>
      <c r="UCF45" s="47"/>
      <c r="UCG45" s="47"/>
      <c r="UCH45" s="47"/>
      <c r="UCI45" s="47"/>
      <c r="UCJ45" s="47"/>
      <c r="UCK45" s="47"/>
      <c r="UCL45" s="47"/>
      <c r="UCM45" s="47"/>
      <c r="UCN45" s="47"/>
      <c r="UCO45" s="47"/>
      <c r="UCP45" s="47"/>
      <c r="UCQ45" s="47"/>
      <c r="UCR45" s="47"/>
      <c r="UCS45" s="47"/>
      <c r="UCT45" s="47"/>
      <c r="UCU45" s="47"/>
      <c r="UCV45" s="47"/>
      <c r="UCW45" s="47"/>
      <c r="UCX45" s="47"/>
      <c r="UCY45" s="47"/>
      <c r="UCZ45" s="47"/>
      <c r="UDA45" s="47"/>
      <c r="UDB45" s="47"/>
      <c r="UDC45" s="47"/>
      <c r="UDD45" s="47"/>
      <c r="UDE45" s="47"/>
      <c r="UDF45" s="47"/>
      <c r="UDG45" s="47"/>
      <c r="UDH45" s="47"/>
      <c r="UDI45" s="47"/>
      <c r="UDJ45" s="47"/>
      <c r="UDK45" s="47"/>
      <c r="UDL45" s="47"/>
      <c r="UDM45" s="47"/>
      <c r="UDN45" s="47"/>
      <c r="UDO45" s="47"/>
      <c r="UDP45" s="47"/>
      <c r="UDQ45" s="47"/>
      <c r="UDR45" s="47"/>
      <c r="UDS45" s="47"/>
      <c r="UDT45" s="47"/>
      <c r="UDU45" s="47"/>
      <c r="UDV45" s="47"/>
      <c r="UDW45" s="47"/>
      <c r="UDX45" s="47"/>
      <c r="UDY45" s="47"/>
      <c r="UDZ45" s="47"/>
      <c r="UEA45" s="47"/>
      <c r="UEB45" s="47"/>
      <c r="UEC45" s="47"/>
      <c r="UED45" s="47"/>
      <c r="UEE45" s="47"/>
      <c r="UEF45" s="47"/>
      <c r="UEG45" s="47"/>
      <c r="UEH45" s="47"/>
      <c r="UEI45" s="47"/>
      <c r="UEJ45" s="47"/>
      <c r="UEK45" s="47"/>
      <c r="UEL45" s="47"/>
      <c r="UEM45" s="47"/>
      <c r="UEN45" s="47"/>
      <c r="UEO45" s="47"/>
      <c r="UEP45" s="47"/>
      <c r="UEQ45" s="47"/>
      <c r="UER45" s="47"/>
      <c r="UES45" s="47"/>
      <c r="UET45" s="47"/>
      <c r="UEU45" s="47"/>
      <c r="UEV45" s="47"/>
      <c r="UEW45" s="47"/>
      <c r="UEX45" s="47"/>
      <c r="UEY45" s="47"/>
      <c r="UEZ45" s="47"/>
      <c r="UFA45" s="47"/>
      <c r="UFB45" s="47"/>
      <c r="UFC45" s="47"/>
      <c r="UFD45" s="47"/>
      <c r="UFE45" s="47"/>
      <c r="UFF45" s="47"/>
      <c r="UFG45" s="47"/>
      <c r="UFH45" s="47"/>
      <c r="UFI45" s="47"/>
      <c r="UFJ45" s="47"/>
      <c r="UFK45" s="47"/>
      <c r="UFL45" s="47"/>
      <c r="UFM45" s="47"/>
      <c r="UFN45" s="47"/>
      <c r="UFO45" s="47"/>
      <c r="UFP45" s="47"/>
      <c r="UFQ45" s="47"/>
      <c r="UFR45" s="47"/>
      <c r="UFS45" s="47"/>
      <c r="UFT45" s="47"/>
      <c r="UFU45" s="47"/>
      <c r="UFV45" s="47"/>
      <c r="UFW45" s="47"/>
      <c r="UFX45" s="47"/>
      <c r="UFY45" s="47"/>
      <c r="UFZ45" s="47"/>
      <c r="UGA45" s="47"/>
      <c r="UGB45" s="47"/>
      <c r="UGC45" s="47"/>
      <c r="UGD45" s="47"/>
      <c r="UGE45" s="47"/>
      <c r="UGF45" s="47"/>
      <c r="UGG45" s="47"/>
      <c r="UGH45" s="47"/>
      <c r="UGI45" s="47"/>
      <c r="UGJ45" s="47"/>
      <c r="UGK45" s="47"/>
      <c r="UGL45" s="47"/>
      <c r="UGM45" s="47"/>
      <c r="UGN45" s="47"/>
      <c r="UGO45" s="47"/>
      <c r="UGP45" s="47"/>
      <c r="UGQ45" s="47"/>
      <c r="UGR45" s="47"/>
      <c r="UGS45" s="47"/>
      <c r="UGT45" s="47"/>
      <c r="UGU45" s="47"/>
      <c r="UGV45" s="47"/>
      <c r="UGW45" s="47"/>
      <c r="UGX45" s="47"/>
      <c r="UGY45" s="47"/>
      <c r="UGZ45" s="47"/>
      <c r="UHA45" s="47"/>
      <c r="UHB45" s="47"/>
      <c r="UHC45" s="47"/>
      <c r="UHD45" s="47"/>
      <c r="UHE45" s="47"/>
      <c r="UHF45" s="47"/>
      <c r="UHG45" s="47"/>
      <c r="UHH45" s="47"/>
      <c r="UHI45" s="47"/>
      <c r="UHJ45" s="47"/>
      <c r="UHK45" s="47"/>
      <c r="UHL45" s="47"/>
      <c r="UHM45" s="47"/>
      <c r="UHN45" s="47"/>
      <c r="UHO45" s="47"/>
      <c r="UHP45" s="47"/>
      <c r="UHQ45" s="47"/>
      <c r="UHR45" s="47"/>
      <c r="UHS45" s="47"/>
      <c r="UHT45" s="47"/>
      <c r="UHU45" s="47"/>
      <c r="UHV45" s="47"/>
      <c r="UHW45" s="47"/>
      <c r="UHX45" s="47"/>
      <c r="UHY45" s="47"/>
      <c r="UHZ45" s="47"/>
      <c r="UIA45" s="47"/>
      <c r="UIB45" s="47"/>
      <c r="UIC45" s="47"/>
      <c r="UID45" s="47"/>
      <c r="UIE45" s="47"/>
      <c r="UIF45" s="47"/>
      <c r="UIG45" s="47"/>
      <c r="UIH45" s="47"/>
      <c r="UII45" s="47"/>
      <c r="UIJ45" s="47"/>
      <c r="UIK45" s="47"/>
      <c r="UIL45" s="47"/>
      <c r="UIM45" s="47"/>
      <c r="UIN45" s="47"/>
      <c r="UIO45" s="47"/>
      <c r="UIP45" s="47"/>
      <c r="UIQ45" s="47"/>
      <c r="UIR45" s="47"/>
      <c r="UIS45" s="47"/>
      <c r="UIT45" s="47"/>
      <c r="UIU45" s="47"/>
      <c r="UIV45" s="47"/>
      <c r="UIW45" s="47"/>
      <c r="UIX45" s="47"/>
      <c r="UIY45" s="47"/>
      <c r="UIZ45" s="47"/>
      <c r="UJA45" s="47"/>
      <c r="UJB45" s="47"/>
      <c r="UJC45" s="47"/>
      <c r="UJD45" s="47"/>
      <c r="UJE45" s="47"/>
      <c r="UJF45" s="47"/>
      <c r="UJG45" s="47"/>
      <c r="UJH45" s="47"/>
      <c r="UJI45" s="47"/>
      <c r="UJJ45" s="47"/>
      <c r="UJK45" s="47"/>
      <c r="UJL45" s="47"/>
      <c r="UJM45" s="47"/>
      <c r="UJN45" s="47"/>
      <c r="UJO45" s="47"/>
      <c r="UJP45" s="47"/>
      <c r="UJQ45" s="47"/>
      <c r="UJR45" s="47"/>
      <c r="UJS45" s="47"/>
      <c r="UJT45" s="47"/>
      <c r="UJU45" s="47"/>
      <c r="UJV45" s="47"/>
      <c r="UJW45" s="47"/>
      <c r="UJX45" s="47"/>
      <c r="UJY45" s="47"/>
      <c r="UJZ45" s="47"/>
      <c r="UKA45" s="47"/>
      <c r="UKB45" s="47"/>
      <c r="UKC45" s="47"/>
      <c r="UKD45" s="47"/>
      <c r="UKE45" s="47"/>
      <c r="UKF45" s="47"/>
      <c r="UKG45" s="47"/>
      <c r="UKH45" s="47"/>
      <c r="UKI45" s="47"/>
      <c r="UKJ45" s="47"/>
      <c r="UKK45" s="47"/>
      <c r="UKL45" s="47"/>
      <c r="UKM45" s="47"/>
      <c r="UKN45" s="47"/>
      <c r="UKO45" s="47"/>
      <c r="UKP45" s="47"/>
      <c r="UKQ45" s="47"/>
      <c r="UKR45" s="47"/>
      <c r="UKS45" s="47"/>
      <c r="UKT45" s="47"/>
      <c r="UKU45" s="47"/>
      <c r="UKV45" s="47"/>
      <c r="UKW45" s="47"/>
      <c r="UKX45" s="47"/>
      <c r="UKY45" s="47"/>
      <c r="UKZ45" s="47"/>
      <c r="ULA45" s="47"/>
      <c r="ULB45" s="47"/>
      <c r="ULC45" s="47"/>
      <c r="ULD45" s="47"/>
      <c r="ULE45" s="47"/>
      <c r="ULF45" s="47"/>
      <c r="ULG45" s="47"/>
      <c r="ULH45" s="47"/>
      <c r="ULI45" s="47"/>
      <c r="ULJ45" s="47"/>
      <c r="ULK45" s="47"/>
      <c r="ULL45" s="47"/>
      <c r="ULM45" s="47"/>
      <c r="ULN45" s="47"/>
      <c r="ULO45" s="47"/>
      <c r="ULP45" s="47"/>
      <c r="ULQ45" s="47"/>
      <c r="ULR45" s="47"/>
      <c r="ULS45" s="47"/>
      <c r="ULT45" s="47"/>
      <c r="ULU45" s="47"/>
      <c r="ULV45" s="47"/>
      <c r="ULW45" s="47"/>
      <c r="ULX45" s="47"/>
      <c r="ULY45" s="47"/>
      <c r="ULZ45" s="47"/>
      <c r="UMA45" s="47"/>
      <c r="UMB45" s="47"/>
      <c r="UMC45" s="47"/>
      <c r="UMD45" s="47"/>
      <c r="UME45" s="47"/>
      <c r="UMF45" s="47"/>
      <c r="UMG45" s="47"/>
      <c r="UMH45" s="47"/>
      <c r="UMI45" s="47"/>
      <c r="UMJ45" s="47"/>
      <c r="UMK45" s="47"/>
      <c r="UML45" s="47"/>
      <c r="UMM45" s="47"/>
      <c r="UMN45" s="47"/>
      <c r="UMO45" s="47"/>
      <c r="UMP45" s="47"/>
      <c r="UMQ45" s="47"/>
      <c r="UMR45" s="47"/>
      <c r="UMS45" s="47"/>
      <c r="UMT45" s="47"/>
      <c r="UMU45" s="47"/>
      <c r="UMV45" s="47"/>
      <c r="UMW45" s="47"/>
      <c r="UMX45" s="47"/>
      <c r="UMY45" s="47"/>
      <c r="UMZ45" s="47"/>
      <c r="UNA45" s="47"/>
      <c r="UNB45" s="47"/>
      <c r="UNC45" s="47"/>
      <c r="UND45" s="47"/>
      <c r="UNE45" s="47"/>
      <c r="UNF45" s="47"/>
      <c r="UNG45" s="47"/>
      <c r="UNH45" s="47"/>
      <c r="UNI45" s="47"/>
      <c r="UNJ45" s="47"/>
      <c r="UNK45" s="47"/>
      <c r="UNL45" s="47"/>
      <c r="UNM45" s="47"/>
      <c r="UNN45" s="47"/>
      <c r="UNO45" s="47"/>
      <c r="UNP45" s="47"/>
      <c r="UNQ45" s="47"/>
      <c r="UNR45" s="47"/>
      <c r="UNS45" s="47"/>
      <c r="UNT45" s="47"/>
      <c r="UNU45" s="47"/>
      <c r="UNV45" s="47"/>
      <c r="UNW45" s="47"/>
      <c r="UNX45" s="47"/>
      <c r="UNY45" s="47"/>
      <c r="UNZ45" s="47"/>
      <c r="UOA45" s="47"/>
      <c r="UOB45" s="47"/>
      <c r="UOC45" s="47"/>
      <c r="UOD45" s="47"/>
      <c r="UOE45" s="47"/>
      <c r="UOF45" s="47"/>
      <c r="UOG45" s="47"/>
      <c r="UOH45" s="47"/>
      <c r="UOI45" s="47"/>
      <c r="UOJ45" s="47"/>
      <c r="UOK45" s="47"/>
      <c r="UOL45" s="47"/>
      <c r="UOM45" s="47"/>
      <c r="UON45" s="47"/>
      <c r="UOO45" s="47"/>
      <c r="UOP45" s="47"/>
      <c r="UOQ45" s="47"/>
      <c r="UOR45" s="47"/>
      <c r="UOS45" s="47"/>
      <c r="UOT45" s="47"/>
      <c r="UOU45" s="47"/>
      <c r="UOV45" s="47"/>
      <c r="UOW45" s="47"/>
      <c r="UOX45" s="47"/>
      <c r="UOY45" s="47"/>
      <c r="UOZ45" s="47"/>
      <c r="UPA45" s="47"/>
      <c r="UPB45" s="47"/>
      <c r="UPC45" s="47"/>
      <c r="UPD45" s="47"/>
      <c r="UPE45" s="47"/>
      <c r="UPF45" s="47"/>
      <c r="UPG45" s="47"/>
      <c r="UPH45" s="47"/>
      <c r="UPI45" s="47"/>
      <c r="UPJ45" s="47"/>
      <c r="UPK45" s="47"/>
      <c r="UPL45" s="47"/>
      <c r="UPM45" s="47"/>
      <c r="UPN45" s="47"/>
      <c r="UPO45" s="47"/>
      <c r="UPP45" s="47"/>
      <c r="UPQ45" s="47"/>
      <c r="UPR45" s="47"/>
      <c r="UPS45" s="47"/>
      <c r="UPT45" s="47"/>
      <c r="UPU45" s="47"/>
      <c r="UPV45" s="47"/>
      <c r="UPW45" s="47"/>
      <c r="UPX45" s="47"/>
      <c r="UPY45" s="47"/>
      <c r="UPZ45" s="47"/>
      <c r="UQA45" s="47"/>
      <c r="UQB45" s="47"/>
      <c r="UQC45" s="47"/>
      <c r="UQD45" s="47"/>
      <c r="UQE45" s="47"/>
      <c r="UQF45" s="47"/>
      <c r="UQG45" s="47"/>
      <c r="UQH45" s="47"/>
      <c r="UQI45" s="47"/>
      <c r="UQJ45" s="47"/>
      <c r="UQK45" s="47"/>
      <c r="UQL45" s="47"/>
      <c r="UQM45" s="47"/>
      <c r="UQN45" s="47"/>
      <c r="UQO45" s="47"/>
      <c r="UQP45" s="47"/>
      <c r="UQQ45" s="47"/>
      <c r="UQR45" s="47"/>
      <c r="UQS45" s="47"/>
      <c r="UQT45" s="47"/>
      <c r="UQU45" s="47"/>
      <c r="UQV45" s="47"/>
      <c r="UQW45" s="47"/>
      <c r="UQX45" s="47"/>
      <c r="UQY45" s="47"/>
      <c r="UQZ45" s="47"/>
      <c r="URA45" s="47"/>
      <c r="URB45" s="47"/>
      <c r="URC45" s="47"/>
      <c r="URD45" s="47"/>
      <c r="URE45" s="47"/>
      <c r="URF45" s="47"/>
      <c r="URG45" s="47"/>
      <c r="URH45" s="47"/>
      <c r="URI45" s="47"/>
      <c r="URJ45" s="47"/>
      <c r="URK45" s="47"/>
      <c r="URL45" s="47"/>
      <c r="URM45" s="47"/>
      <c r="URN45" s="47"/>
      <c r="URO45" s="47"/>
      <c r="URP45" s="47"/>
      <c r="URQ45" s="47"/>
      <c r="URR45" s="47"/>
      <c r="URS45" s="47"/>
      <c r="URT45" s="47"/>
      <c r="URU45" s="47"/>
      <c r="URV45" s="47"/>
      <c r="URW45" s="47"/>
      <c r="URX45" s="47"/>
      <c r="URY45" s="47"/>
      <c r="URZ45" s="47"/>
      <c r="USA45" s="47"/>
      <c r="USB45" s="47"/>
      <c r="USC45" s="47"/>
      <c r="USD45" s="47"/>
      <c r="USE45" s="47"/>
      <c r="USF45" s="47"/>
      <c r="USG45" s="47"/>
      <c r="USH45" s="47"/>
      <c r="USI45" s="47"/>
      <c r="USJ45" s="47"/>
      <c r="USK45" s="47"/>
      <c r="USL45" s="47"/>
      <c r="USM45" s="47"/>
      <c r="USN45" s="47"/>
      <c r="USO45" s="47"/>
      <c r="USP45" s="47"/>
      <c r="USQ45" s="47"/>
      <c r="USR45" s="47"/>
      <c r="USS45" s="47"/>
      <c r="UST45" s="47"/>
      <c r="USU45" s="47"/>
      <c r="USV45" s="47"/>
      <c r="USW45" s="47"/>
      <c r="USX45" s="47"/>
      <c r="USY45" s="47"/>
      <c r="USZ45" s="47"/>
      <c r="UTA45" s="47"/>
      <c r="UTB45" s="47"/>
      <c r="UTC45" s="47"/>
      <c r="UTD45" s="47"/>
      <c r="UTE45" s="47"/>
      <c r="UTF45" s="47"/>
      <c r="UTG45" s="47"/>
      <c r="UTH45" s="47"/>
      <c r="UTI45" s="47"/>
      <c r="UTJ45" s="47"/>
      <c r="UTK45" s="47"/>
      <c r="UTL45" s="47"/>
      <c r="UTM45" s="47"/>
      <c r="UTN45" s="47"/>
      <c r="UTO45" s="47"/>
      <c r="UTP45" s="47"/>
      <c r="UTQ45" s="47"/>
      <c r="UTR45" s="47"/>
      <c r="UTS45" s="47"/>
      <c r="UTT45" s="47"/>
      <c r="UTU45" s="47"/>
      <c r="UTV45" s="47"/>
      <c r="UTW45" s="47"/>
      <c r="UTX45" s="47"/>
      <c r="UTY45" s="47"/>
      <c r="UTZ45" s="47"/>
      <c r="UUA45" s="47"/>
      <c r="UUB45" s="47"/>
      <c r="UUC45" s="47"/>
      <c r="UUD45" s="47"/>
      <c r="UUE45" s="47"/>
      <c r="UUF45" s="47"/>
      <c r="UUG45" s="47"/>
      <c r="UUH45" s="47"/>
      <c r="UUI45" s="47"/>
      <c r="UUJ45" s="47"/>
      <c r="UUK45" s="47"/>
      <c r="UUL45" s="47"/>
      <c r="UUM45" s="47"/>
      <c r="UUN45" s="47"/>
      <c r="UUO45" s="47"/>
      <c r="UUP45" s="47"/>
      <c r="UUQ45" s="47"/>
      <c r="UUR45" s="47"/>
      <c r="UUS45" s="47"/>
      <c r="UUT45" s="47"/>
      <c r="UUU45" s="47"/>
      <c r="UUV45" s="47"/>
      <c r="UUW45" s="47"/>
      <c r="UUX45" s="47"/>
      <c r="UUY45" s="47"/>
      <c r="UUZ45" s="47"/>
      <c r="UVA45" s="47"/>
      <c r="UVB45" s="47"/>
      <c r="UVC45" s="47"/>
      <c r="UVD45" s="47"/>
      <c r="UVE45" s="47"/>
      <c r="UVF45" s="47"/>
      <c r="UVG45" s="47"/>
      <c r="UVH45" s="47"/>
      <c r="UVI45" s="47"/>
      <c r="UVJ45" s="47"/>
      <c r="UVK45" s="47"/>
      <c r="UVL45" s="47"/>
      <c r="UVM45" s="47"/>
      <c r="UVN45" s="47"/>
      <c r="UVO45" s="47"/>
      <c r="UVP45" s="47"/>
      <c r="UVQ45" s="47"/>
      <c r="UVR45" s="47"/>
      <c r="UVS45" s="47"/>
      <c r="UVT45" s="47"/>
      <c r="UVU45" s="47"/>
      <c r="UVV45" s="47"/>
      <c r="UVW45" s="47"/>
      <c r="UVX45" s="47"/>
      <c r="UVY45" s="47"/>
      <c r="UVZ45" s="47"/>
      <c r="UWA45" s="47"/>
      <c r="UWB45" s="47"/>
      <c r="UWC45" s="47"/>
      <c r="UWD45" s="47"/>
      <c r="UWE45" s="47"/>
      <c r="UWF45" s="47"/>
      <c r="UWG45" s="47"/>
      <c r="UWH45" s="47"/>
      <c r="UWI45" s="47"/>
      <c r="UWJ45" s="47"/>
      <c r="UWK45" s="47"/>
      <c r="UWL45" s="47"/>
      <c r="UWM45" s="47"/>
      <c r="UWN45" s="47"/>
      <c r="UWO45" s="47"/>
      <c r="UWP45" s="47"/>
      <c r="UWQ45" s="47"/>
      <c r="UWR45" s="47"/>
      <c r="UWS45" s="47"/>
      <c r="UWT45" s="47"/>
      <c r="UWU45" s="47"/>
      <c r="UWV45" s="47"/>
      <c r="UWW45" s="47"/>
      <c r="UWX45" s="47"/>
      <c r="UWY45" s="47"/>
      <c r="UWZ45" s="47"/>
      <c r="UXA45" s="47"/>
      <c r="UXB45" s="47"/>
      <c r="UXC45" s="47"/>
      <c r="UXD45" s="47"/>
      <c r="UXE45" s="47"/>
      <c r="UXF45" s="47"/>
      <c r="UXG45" s="47"/>
      <c r="UXH45" s="47"/>
      <c r="UXI45" s="47"/>
      <c r="UXJ45" s="47"/>
      <c r="UXK45" s="47"/>
      <c r="UXL45" s="47"/>
      <c r="UXM45" s="47"/>
      <c r="UXN45" s="47"/>
      <c r="UXO45" s="47"/>
      <c r="UXP45" s="47"/>
      <c r="UXQ45" s="47"/>
      <c r="UXR45" s="47"/>
      <c r="UXS45" s="47"/>
      <c r="UXT45" s="47"/>
      <c r="UXU45" s="47"/>
      <c r="UXV45" s="47"/>
      <c r="UXW45" s="47"/>
      <c r="UXX45" s="47"/>
      <c r="UXY45" s="47"/>
      <c r="UXZ45" s="47"/>
      <c r="UYA45" s="47"/>
      <c r="UYB45" s="47"/>
      <c r="UYC45" s="47"/>
      <c r="UYD45" s="47"/>
      <c r="UYE45" s="47"/>
      <c r="UYF45" s="47"/>
      <c r="UYG45" s="47"/>
      <c r="UYH45" s="47"/>
      <c r="UYI45" s="47"/>
      <c r="UYJ45" s="47"/>
      <c r="UYK45" s="47"/>
      <c r="UYL45" s="47"/>
      <c r="UYM45" s="47"/>
      <c r="UYN45" s="47"/>
      <c r="UYO45" s="47"/>
      <c r="UYP45" s="47"/>
      <c r="UYQ45" s="47"/>
      <c r="UYR45" s="47"/>
      <c r="UYS45" s="47"/>
      <c r="UYT45" s="47"/>
      <c r="UYU45" s="47"/>
      <c r="UYV45" s="47"/>
      <c r="UYW45" s="47"/>
      <c r="UYX45" s="47"/>
      <c r="UYY45" s="47"/>
      <c r="UYZ45" s="47"/>
      <c r="UZA45" s="47"/>
      <c r="UZB45" s="47"/>
      <c r="UZC45" s="47"/>
      <c r="UZD45" s="47"/>
      <c r="UZE45" s="47"/>
      <c r="UZF45" s="47"/>
      <c r="UZG45" s="47"/>
      <c r="UZH45" s="47"/>
      <c r="UZI45" s="47"/>
      <c r="UZJ45" s="47"/>
      <c r="UZK45" s="47"/>
      <c r="UZL45" s="47"/>
      <c r="UZM45" s="47"/>
      <c r="UZN45" s="47"/>
      <c r="UZO45" s="47"/>
      <c r="UZP45" s="47"/>
      <c r="UZQ45" s="47"/>
      <c r="UZR45" s="47"/>
      <c r="UZS45" s="47"/>
      <c r="UZT45" s="47"/>
      <c r="UZU45" s="47"/>
      <c r="UZV45" s="47"/>
      <c r="UZW45" s="47"/>
      <c r="UZX45" s="47"/>
      <c r="UZY45" s="47"/>
      <c r="UZZ45" s="47"/>
      <c r="VAA45" s="47"/>
      <c r="VAB45" s="47"/>
      <c r="VAC45" s="47"/>
      <c r="VAD45" s="47"/>
      <c r="VAE45" s="47"/>
      <c r="VAF45" s="47"/>
      <c r="VAG45" s="47"/>
      <c r="VAH45" s="47"/>
      <c r="VAI45" s="47"/>
      <c r="VAJ45" s="47"/>
      <c r="VAK45" s="47"/>
      <c r="VAL45" s="47"/>
      <c r="VAM45" s="47"/>
      <c r="VAN45" s="47"/>
      <c r="VAO45" s="47"/>
      <c r="VAP45" s="47"/>
      <c r="VAQ45" s="47"/>
      <c r="VAR45" s="47"/>
      <c r="VAS45" s="47"/>
      <c r="VAT45" s="47"/>
      <c r="VAU45" s="47"/>
      <c r="VAV45" s="47"/>
      <c r="VAW45" s="47"/>
      <c r="VAX45" s="47"/>
      <c r="VAY45" s="47"/>
      <c r="VAZ45" s="47"/>
      <c r="VBA45" s="47"/>
      <c r="VBB45" s="47"/>
      <c r="VBC45" s="47"/>
      <c r="VBD45" s="47"/>
      <c r="VBE45" s="47"/>
      <c r="VBF45" s="47"/>
      <c r="VBG45" s="47"/>
      <c r="VBH45" s="47"/>
      <c r="VBI45" s="47"/>
      <c r="VBJ45" s="47"/>
      <c r="VBK45" s="47"/>
      <c r="VBL45" s="47"/>
      <c r="VBM45" s="47"/>
      <c r="VBN45" s="47"/>
      <c r="VBO45" s="47"/>
      <c r="VBP45" s="47"/>
      <c r="VBQ45" s="47"/>
      <c r="VBR45" s="47"/>
      <c r="VBS45" s="47"/>
      <c r="VBT45" s="47"/>
      <c r="VBU45" s="47"/>
      <c r="VBV45" s="47"/>
      <c r="VBW45" s="47"/>
      <c r="VBX45" s="47"/>
      <c r="VBY45" s="47"/>
      <c r="VBZ45" s="47"/>
      <c r="VCA45" s="47"/>
      <c r="VCB45" s="47"/>
      <c r="VCC45" s="47"/>
      <c r="VCD45" s="47"/>
      <c r="VCE45" s="47"/>
      <c r="VCF45" s="47"/>
      <c r="VCG45" s="47"/>
      <c r="VCH45" s="47"/>
      <c r="VCI45" s="47"/>
      <c r="VCJ45" s="47"/>
      <c r="VCK45" s="47"/>
      <c r="VCL45" s="47"/>
      <c r="VCM45" s="47"/>
      <c r="VCN45" s="47"/>
      <c r="VCO45" s="47"/>
      <c r="VCP45" s="47"/>
      <c r="VCQ45" s="47"/>
      <c r="VCR45" s="47"/>
      <c r="VCS45" s="47"/>
      <c r="VCT45" s="47"/>
      <c r="VCU45" s="47"/>
      <c r="VCV45" s="47"/>
      <c r="VCW45" s="47"/>
      <c r="VCX45" s="47"/>
      <c r="VCY45" s="47"/>
      <c r="VCZ45" s="47"/>
      <c r="VDA45" s="47"/>
      <c r="VDB45" s="47"/>
      <c r="VDC45" s="47"/>
      <c r="VDD45" s="47"/>
      <c r="VDE45" s="47"/>
      <c r="VDF45" s="47"/>
      <c r="VDG45" s="47"/>
      <c r="VDH45" s="47"/>
      <c r="VDI45" s="47"/>
      <c r="VDJ45" s="47"/>
      <c r="VDK45" s="47"/>
      <c r="VDL45" s="47"/>
      <c r="VDM45" s="47"/>
      <c r="VDN45" s="47"/>
      <c r="VDO45" s="47"/>
      <c r="VDP45" s="47"/>
      <c r="VDQ45" s="47"/>
      <c r="VDR45" s="47"/>
      <c r="VDS45" s="47"/>
      <c r="VDT45" s="47"/>
      <c r="VDU45" s="47"/>
      <c r="VDV45" s="47"/>
      <c r="VDW45" s="47"/>
      <c r="VDX45" s="47"/>
      <c r="VDY45" s="47"/>
      <c r="VDZ45" s="47"/>
      <c r="VEA45" s="47"/>
      <c r="VEB45" s="47"/>
      <c r="VEC45" s="47"/>
      <c r="VED45" s="47"/>
      <c r="VEE45" s="47"/>
      <c r="VEF45" s="47"/>
      <c r="VEG45" s="47"/>
      <c r="VEH45" s="47"/>
      <c r="VEI45" s="47"/>
      <c r="VEJ45" s="47"/>
      <c r="VEK45" s="47"/>
      <c r="VEL45" s="47"/>
      <c r="VEM45" s="47"/>
      <c r="VEN45" s="47"/>
      <c r="VEO45" s="47"/>
      <c r="VEP45" s="47"/>
      <c r="VEQ45" s="47"/>
      <c r="VER45" s="47"/>
      <c r="VES45" s="47"/>
      <c r="VET45" s="47"/>
      <c r="VEU45" s="47"/>
      <c r="VEV45" s="47"/>
      <c r="VEW45" s="47"/>
      <c r="VEX45" s="47"/>
      <c r="VEY45" s="47"/>
      <c r="VEZ45" s="47"/>
      <c r="VFA45" s="47"/>
      <c r="VFB45" s="47"/>
      <c r="VFC45" s="47"/>
      <c r="VFD45" s="47"/>
      <c r="VFE45" s="47"/>
      <c r="VFF45" s="47"/>
      <c r="VFG45" s="47"/>
      <c r="VFH45" s="47"/>
      <c r="VFI45" s="47"/>
      <c r="VFJ45" s="47"/>
      <c r="VFK45" s="47"/>
      <c r="VFL45" s="47"/>
      <c r="VFM45" s="47"/>
      <c r="VFN45" s="47"/>
      <c r="VFO45" s="47"/>
      <c r="VFP45" s="47"/>
      <c r="VFQ45" s="47"/>
      <c r="VFR45" s="47"/>
      <c r="VFS45" s="47"/>
      <c r="VFT45" s="47"/>
      <c r="VFU45" s="47"/>
      <c r="VFV45" s="47"/>
      <c r="VFW45" s="47"/>
      <c r="VFX45" s="47"/>
      <c r="VFY45" s="47"/>
      <c r="VFZ45" s="47"/>
      <c r="VGA45" s="47"/>
      <c r="VGB45" s="47"/>
      <c r="VGC45" s="47"/>
      <c r="VGD45" s="47"/>
      <c r="VGE45" s="47"/>
      <c r="VGF45" s="47"/>
      <c r="VGG45" s="47"/>
      <c r="VGH45" s="47"/>
      <c r="VGI45" s="47"/>
      <c r="VGJ45" s="47"/>
      <c r="VGK45" s="47"/>
      <c r="VGL45" s="47"/>
      <c r="VGM45" s="47"/>
      <c r="VGN45" s="47"/>
      <c r="VGO45" s="47"/>
      <c r="VGP45" s="47"/>
      <c r="VGQ45" s="47"/>
      <c r="VGR45" s="47"/>
      <c r="VGS45" s="47"/>
      <c r="VGT45" s="47"/>
      <c r="VGU45" s="47"/>
      <c r="VGV45" s="47"/>
      <c r="VGW45" s="47"/>
      <c r="VGX45" s="47"/>
      <c r="VGY45" s="47"/>
      <c r="VGZ45" s="47"/>
    </row>
    <row r="46" spans="1:15128" s="1" customFormat="1" x14ac:dyDescent="0.25">
      <c r="B46" s="128"/>
      <c r="C46" s="133" t="s">
        <v>82</v>
      </c>
      <c r="D46" s="137">
        <f>SUM(D48:D49)</f>
        <v>3689522.0999999996</v>
      </c>
      <c r="E46" s="272" t="s">
        <v>16</v>
      </c>
      <c r="F46" s="68">
        <f>SUM(F48:F49)</f>
        <v>0</v>
      </c>
      <c r="G46" s="68">
        <f>SUM(G48:G49)</f>
        <v>302700</v>
      </c>
      <c r="H46" s="68">
        <f>SUM(H48:H49)</f>
        <v>0</v>
      </c>
      <c r="I46" s="68">
        <f>SUM(I48:I49)</f>
        <v>0</v>
      </c>
      <c r="J46" s="68">
        <f>SUM(J48:J49)</f>
        <v>0</v>
      </c>
      <c r="K46" s="122">
        <v>0</v>
      </c>
      <c r="L46" s="122">
        <v>0</v>
      </c>
      <c r="M46" s="122">
        <v>0</v>
      </c>
      <c r="N46" s="122">
        <v>0</v>
      </c>
      <c r="O46" s="122">
        <v>0</v>
      </c>
      <c r="P46" s="122">
        <v>0</v>
      </c>
      <c r="Q46" s="122">
        <v>0</v>
      </c>
      <c r="R46" s="122">
        <v>0</v>
      </c>
      <c r="S46" s="122">
        <v>0</v>
      </c>
      <c r="T46" s="122">
        <v>0</v>
      </c>
      <c r="U46" s="122">
        <v>0</v>
      </c>
      <c r="V46" s="122">
        <f>SUM(V48:V49)</f>
        <v>0</v>
      </c>
      <c r="W46" s="122">
        <f>SUM(W48:W49)</f>
        <v>0</v>
      </c>
      <c r="X46" s="122">
        <f>SUM(X48:X49)</f>
        <v>0</v>
      </c>
      <c r="Y46" s="122">
        <v>0</v>
      </c>
      <c r="Z46" s="122">
        <v>0</v>
      </c>
      <c r="AA46" s="122">
        <v>0</v>
      </c>
      <c r="AB46" s="122">
        <v>0</v>
      </c>
      <c r="AC46" s="122">
        <v>0</v>
      </c>
      <c r="AD46" s="122">
        <v>0</v>
      </c>
      <c r="AE46" s="122">
        <v>0</v>
      </c>
      <c r="AF46" s="122">
        <v>0</v>
      </c>
      <c r="AG46" s="122">
        <v>0</v>
      </c>
      <c r="AH46" s="122">
        <f>SUM(AH48:AH49)</f>
        <v>0</v>
      </c>
      <c r="AI46" s="122">
        <f>SUM(AI48:AI49)</f>
        <v>0</v>
      </c>
      <c r="AJ46" s="122">
        <f>SUM(AJ48:AJ49)</f>
        <v>0</v>
      </c>
      <c r="AK46" s="9"/>
      <c r="AL46" s="295">
        <f>SUM(F46:AJ46)</f>
        <v>302700</v>
      </c>
      <c r="AM46" s="22"/>
      <c r="AY46" s="29"/>
      <c r="AZ46" s="13"/>
      <c r="CD46" s="28"/>
    </row>
    <row r="47" spans="1:15128" s="1" customFormat="1" x14ac:dyDescent="0.25">
      <c r="B47" s="128"/>
      <c r="C47" s="133" t="s">
        <v>81</v>
      </c>
      <c r="D47" s="137"/>
      <c r="E47" s="272" t="s">
        <v>16</v>
      </c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>
        <v>0</v>
      </c>
      <c r="X47" s="122"/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9"/>
      <c r="AL47" s="295">
        <f>SUM(F47:AJ47)</f>
        <v>0</v>
      </c>
      <c r="AM47" s="22"/>
      <c r="AY47" s="29"/>
      <c r="AZ47" s="29"/>
    </row>
    <row r="48" spans="1:15128" s="1" customFormat="1" x14ac:dyDescent="0.25">
      <c r="B48" s="128"/>
      <c r="C48" s="133" t="s">
        <v>80</v>
      </c>
      <c r="D48" s="137">
        <f>2213.71326*1000</f>
        <v>2213713.2599999998</v>
      </c>
      <c r="E48" s="272" t="s">
        <v>16</v>
      </c>
      <c r="F48" s="122">
        <v>0</v>
      </c>
      <c r="G48" s="122">
        <v>181700</v>
      </c>
      <c r="H48" s="122">
        <v>0</v>
      </c>
      <c r="I48" s="122">
        <v>0</v>
      </c>
      <c r="J48" s="122">
        <v>0</v>
      </c>
      <c r="K48" s="122">
        <v>0</v>
      </c>
      <c r="L48" s="122">
        <v>0</v>
      </c>
      <c r="M48" s="122">
        <v>0</v>
      </c>
      <c r="N48" s="122">
        <v>0</v>
      </c>
      <c r="O48" s="122">
        <v>0</v>
      </c>
      <c r="P48" s="122">
        <v>0</v>
      </c>
      <c r="Q48" s="122">
        <v>0</v>
      </c>
      <c r="R48" s="122">
        <v>0</v>
      </c>
      <c r="S48" s="122">
        <v>0</v>
      </c>
      <c r="T48" s="122">
        <v>0</v>
      </c>
      <c r="U48" s="122">
        <v>0</v>
      </c>
      <c r="V48" s="122"/>
      <c r="W48" s="122"/>
      <c r="X48" s="122"/>
      <c r="Y48" s="122">
        <v>0</v>
      </c>
      <c r="Z48" s="122">
        <v>0</v>
      </c>
      <c r="AA48" s="122">
        <v>0</v>
      </c>
      <c r="AB48" s="122">
        <v>0</v>
      </c>
      <c r="AC48" s="122">
        <v>0</v>
      </c>
      <c r="AD48" s="122">
        <v>0</v>
      </c>
      <c r="AE48" s="122">
        <v>0</v>
      </c>
      <c r="AF48" s="122">
        <v>0</v>
      </c>
      <c r="AG48" s="122">
        <v>0</v>
      </c>
      <c r="AH48" s="122"/>
      <c r="AI48" s="122"/>
      <c r="AJ48" s="122"/>
      <c r="AK48" s="9"/>
      <c r="AL48" s="295">
        <f>SUM(F48:AJ48)</f>
        <v>181700</v>
      </c>
      <c r="AM48" s="22"/>
      <c r="AY48" s="29"/>
      <c r="AZ48" s="39"/>
      <c r="CD48" s="29"/>
    </row>
    <row r="49" spans="2:112 15081:15094" s="1" customFormat="1" x14ac:dyDescent="0.25">
      <c r="B49" s="128"/>
      <c r="C49" s="133" t="s">
        <v>79</v>
      </c>
      <c r="D49" s="137">
        <f>1475.80884*1000</f>
        <v>1475808.8399999999</v>
      </c>
      <c r="E49" s="272" t="s">
        <v>16</v>
      </c>
      <c r="F49" s="122">
        <v>0</v>
      </c>
      <c r="G49" s="122">
        <v>121000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 t="s">
        <v>132</v>
      </c>
      <c r="V49" s="122"/>
      <c r="W49" s="122"/>
      <c r="X49" s="122"/>
      <c r="Y49" s="122">
        <v>0</v>
      </c>
      <c r="Z49" s="122">
        <v>0</v>
      </c>
      <c r="AA49" s="122">
        <v>0</v>
      </c>
      <c r="AB49" s="122">
        <v>0</v>
      </c>
      <c r="AC49" s="122">
        <v>0</v>
      </c>
      <c r="AD49" s="122">
        <v>0</v>
      </c>
      <c r="AE49" s="122">
        <v>0</v>
      </c>
      <c r="AF49" s="122">
        <v>0</v>
      </c>
      <c r="AG49" s="122">
        <v>0</v>
      </c>
      <c r="AH49" s="122"/>
      <c r="AI49" s="122"/>
      <c r="AJ49" s="122"/>
      <c r="AK49" s="9"/>
      <c r="AL49" s="295">
        <f>SUM(F49:AJ49)</f>
        <v>121000</v>
      </c>
      <c r="AM49" s="22"/>
    </row>
    <row r="50" spans="2:112 15081:15094" s="1" customFormat="1" x14ac:dyDescent="0.25">
      <c r="B50" s="316"/>
      <c r="C50" s="170" t="s">
        <v>138</v>
      </c>
      <c r="D50" s="317"/>
      <c r="E50" s="113" t="s">
        <v>29</v>
      </c>
      <c r="F50" s="318">
        <f>(F32+F36+F41+F46)/2000/1000*100</f>
        <v>40.356850000000001</v>
      </c>
      <c r="G50" s="318">
        <f t="shared" ref="G50:AJ50" si="9">(G32+G36+G41+G46)/2000/1000*100</f>
        <v>23.6813</v>
      </c>
      <c r="H50" s="318">
        <f t="shared" si="9"/>
        <v>94.075800000000001</v>
      </c>
      <c r="I50" s="318">
        <f t="shared" si="9"/>
        <v>81.399199999999993</v>
      </c>
      <c r="J50" s="318">
        <f t="shared" si="9"/>
        <v>66.517849999999996</v>
      </c>
      <c r="K50" s="318">
        <f t="shared" si="9"/>
        <v>62.89589999999999</v>
      </c>
      <c r="L50" s="318">
        <f t="shared" si="9"/>
        <v>78.258799999999994</v>
      </c>
      <c r="M50" s="318">
        <f t="shared" si="9"/>
        <v>63.18334999999999</v>
      </c>
      <c r="N50" s="318">
        <f t="shared" si="9"/>
        <v>80.449849999999998</v>
      </c>
      <c r="O50" s="318">
        <f t="shared" si="9"/>
        <v>51.450850000000003</v>
      </c>
      <c r="P50" s="318">
        <f t="shared" si="9"/>
        <v>64.704100000000011</v>
      </c>
      <c r="Q50" s="318">
        <f t="shared" si="9"/>
        <v>64.582700000000003</v>
      </c>
      <c r="R50" s="318">
        <f t="shared" si="9"/>
        <v>60.270050000000012</v>
      </c>
      <c r="S50" s="318">
        <f t="shared" si="9"/>
        <v>53.837949999999999</v>
      </c>
      <c r="T50" s="318">
        <f t="shared" si="9"/>
        <v>55.229549999999996</v>
      </c>
      <c r="U50" s="318">
        <f t="shared" si="9"/>
        <v>60.746199999999995</v>
      </c>
      <c r="V50" s="318">
        <f t="shared" si="9"/>
        <v>34.440199999999997</v>
      </c>
      <c r="W50" s="318">
        <f t="shared" si="9"/>
        <v>15.698300000000001</v>
      </c>
      <c r="X50" s="318">
        <f t="shared" si="9"/>
        <v>0</v>
      </c>
      <c r="Y50" s="318">
        <f t="shared" si="9"/>
        <v>0</v>
      </c>
      <c r="Z50" s="318">
        <f t="shared" si="9"/>
        <v>0</v>
      </c>
      <c r="AA50" s="318">
        <f t="shared" si="9"/>
        <v>0</v>
      </c>
      <c r="AB50" s="318">
        <f t="shared" si="9"/>
        <v>0</v>
      </c>
      <c r="AC50" s="318">
        <f t="shared" si="9"/>
        <v>0</v>
      </c>
      <c r="AD50" s="318">
        <f t="shared" si="9"/>
        <v>0</v>
      </c>
      <c r="AE50" s="318">
        <f t="shared" si="9"/>
        <v>0</v>
      </c>
      <c r="AF50" s="318">
        <f t="shared" si="9"/>
        <v>0</v>
      </c>
      <c r="AG50" s="318">
        <f t="shared" si="9"/>
        <v>0</v>
      </c>
      <c r="AH50" s="318">
        <f t="shared" si="9"/>
        <v>18.09065</v>
      </c>
      <c r="AI50" s="318">
        <f t="shared" si="9"/>
        <v>64.985849999999999</v>
      </c>
      <c r="AJ50" s="318">
        <f t="shared" si="9"/>
        <v>73.039000000000001</v>
      </c>
      <c r="AK50" s="6"/>
      <c r="AL50" s="312">
        <f>AVERAGE(F50:AJ50)</f>
        <v>38.964332258064523</v>
      </c>
      <c r="AN50" s="30"/>
      <c r="DH50" s="29"/>
    </row>
    <row r="51" spans="2:112 15081:15094" x14ac:dyDescent="0.25">
      <c r="B51" s="113"/>
      <c r="C51" s="148" t="s">
        <v>78</v>
      </c>
      <c r="D51" s="149"/>
      <c r="E51" s="275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9"/>
      <c r="AL51" s="35" t="s">
        <v>77</v>
      </c>
      <c r="AM51" s="238"/>
    </row>
    <row r="52" spans="2:112 15081:15094" x14ac:dyDescent="0.25">
      <c r="B52" s="128"/>
      <c r="C52" s="150" t="s">
        <v>76</v>
      </c>
      <c r="D52" s="127">
        <v>94.2</v>
      </c>
      <c r="E52" s="276" t="s">
        <v>29</v>
      </c>
      <c r="F52" s="151">
        <f t="shared" ref="F52:AJ52" si="10">(F33/(F27+F28))*100</f>
        <v>95.373148023970685</v>
      </c>
      <c r="G52" s="151">
        <f t="shared" si="10"/>
        <v>95.437657419004864</v>
      </c>
      <c r="H52" s="151">
        <f t="shared" si="10"/>
        <v>94.93494550156116</v>
      </c>
      <c r="I52" s="151">
        <f t="shared" si="10"/>
        <v>95.352340356359093</v>
      </c>
      <c r="J52" s="151">
        <f t="shared" si="10"/>
        <v>95.228686234379254</v>
      </c>
      <c r="K52" s="151">
        <f t="shared" si="10"/>
        <v>95.164125583428245</v>
      </c>
      <c r="L52" s="151">
        <f t="shared" si="10"/>
        <v>94.424020229784261</v>
      </c>
      <c r="M52" s="151">
        <f t="shared" si="10"/>
        <v>94.317137549385663</v>
      </c>
      <c r="N52" s="151">
        <f t="shared" si="10"/>
        <v>94.064007457026719</v>
      </c>
      <c r="O52" s="151">
        <f t="shared" si="10"/>
        <v>94.298818888281559</v>
      </c>
      <c r="P52" s="151">
        <f t="shared" si="10"/>
        <v>93.35219123216639</v>
      </c>
      <c r="Q52" s="151">
        <f t="shared" si="10"/>
        <v>93.914595212536085</v>
      </c>
      <c r="R52" s="151">
        <f t="shared" si="10"/>
        <v>93.979821618294636</v>
      </c>
      <c r="S52" s="151">
        <f t="shared" si="10"/>
        <v>94.061048464762067</v>
      </c>
      <c r="T52" s="151">
        <f t="shared" si="10"/>
        <v>94.239186670664537</v>
      </c>
      <c r="U52" s="151">
        <f t="shared" si="10"/>
        <v>94.73905592550453</v>
      </c>
      <c r="V52" s="151">
        <f t="shared" si="10"/>
        <v>94.106249574935134</v>
      </c>
      <c r="W52" s="151" t="e">
        <f t="shared" si="10"/>
        <v>#DIV/0!</v>
      </c>
      <c r="X52" s="151" t="e">
        <f t="shared" si="10"/>
        <v>#DIV/0!</v>
      </c>
      <c r="Y52" s="151" t="e">
        <f t="shared" si="10"/>
        <v>#DIV/0!</v>
      </c>
      <c r="Z52" s="151" t="e">
        <f t="shared" si="10"/>
        <v>#DIV/0!</v>
      </c>
      <c r="AA52" s="151" t="e">
        <f t="shared" si="10"/>
        <v>#DIV/0!</v>
      </c>
      <c r="AB52" s="151" t="e">
        <f t="shared" si="10"/>
        <v>#DIV/0!</v>
      </c>
      <c r="AC52" s="151" t="e">
        <f t="shared" si="10"/>
        <v>#DIV/0!</v>
      </c>
      <c r="AD52" s="151" t="e">
        <f t="shared" si="10"/>
        <v>#DIV/0!</v>
      </c>
      <c r="AE52" s="151" t="e">
        <f t="shared" si="10"/>
        <v>#DIV/0!</v>
      </c>
      <c r="AF52" s="151" t="e">
        <f t="shared" si="10"/>
        <v>#DIV/0!</v>
      </c>
      <c r="AG52" s="151">
        <f>(AG33/(AG27+AG28))*100</f>
        <v>0</v>
      </c>
      <c r="AH52" s="151">
        <f>(AH33/(AH27+AH28))*100</f>
        <v>91.789560506509446</v>
      </c>
      <c r="AI52" s="151">
        <f t="shared" si="10"/>
        <v>95.279736701717567</v>
      </c>
      <c r="AJ52" s="151">
        <f t="shared" si="10"/>
        <v>94.409603153360223</v>
      </c>
      <c r="AK52" s="6"/>
      <c r="AL52" s="76">
        <f>AL33/(SUM(AL27:AL28))*100</f>
        <v>94.537026744735769</v>
      </c>
      <c r="AM52" s="243"/>
      <c r="AN52" s="40"/>
    </row>
    <row r="53" spans="2:112 15081:15094" x14ac:dyDescent="0.25">
      <c r="B53" s="128"/>
      <c r="C53" s="150" t="s">
        <v>75</v>
      </c>
      <c r="D53" s="127">
        <v>5</v>
      </c>
      <c r="E53" s="276" t="s">
        <v>29</v>
      </c>
      <c r="F53" s="151">
        <f t="shared" ref="F53:AJ53" si="11">(F34/(F27+F28))*100</f>
        <v>3.8744150261517722</v>
      </c>
      <c r="G53" s="151">
        <f t="shared" si="11"/>
        <v>3.8243585621663092</v>
      </c>
      <c r="H53" s="151">
        <f t="shared" si="11"/>
        <v>4.3832986820994444</v>
      </c>
      <c r="I53" s="151">
        <f t="shared" si="11"/>
        <v>3.9440927412678772</v>
      </c>
      <c r="J53" s="151">
        <f t="shared" si="11"/>
        <v>4.0380677116602381</v>
      </c>
      <c r="K53" s="151">
        <f t="shared" si="11"/>
        <v>4.1408118492428851</v>
      </c>
      <c r="L53" s="151">
        <f t="shared" si="11"/>
        <v>4.8530234717195118</v>
      </c>
      <c r="M53" s="151">
        <f t="shared" si="11"/>
        <v>4.9083867068866001</v>
      </c>
      <c r="N53" s="151">
        <f t="shared" si="11"/>
        <v>5.1543681880722971</v>
      </c>
      <c r="O53" s="151">
        <f t="shared" si="11"/>
        <v>5.0004158844078992</v>
      </c>
      <c r="P53" s="151">
        <f t="shared" si="11"/>
        <v>5.8553412759220453</v>
      </c>
      <c r="Q53" s="151">
        <f t="shared" si="11"/>
        <v>5.2867041224609297</v>
      </c>
      <c r="R53" s="151">
        <f t="shared" si="11"/>
        <v>5.2289464520780138</v>
      </c>
      <c r="S53" s="151">
        <f t="shared" si="11"/>
        <v>5.1695309446111803</v>
      </c>
      <c r="T53" s="151">
        <f t="shared" si="11"/>
        <v>4.9660181902628597</v>
      </c>
      <c r="U53" s="151">
        <f t="shared" si="11"/>
        <v>4.4789914058975571</v>
      </c>
      <c r="V53" s="151">
        <f t="shared" si="11"/>
        <v>5.1253778555314859</v>
      </c>
      <c r="W53" s="151" t="e">
        <f t="shared" si="11"/>
        <v>#DIV/0!</v>
      </c>
      <c r="X53" s="151" t="e">
        <f t="shared" si="11"/>
        <v>#DIV/0!</v>
      </c>
      <c r="Y53" s="151" t="e">
        <f t="shared" si="11"/>
        <v>#DIV/0!</v>
      </c>
      <c r="Z53" s="151" t="e">
        <f t="shared" si="11"/>
        <v>#DIV/0!</v>
      </c>
      <c r="AA53" s="151" t="e">
        <f t="shared" si="11"/>
        <v>#DIV/0!</v>
      </c>
      <c r="AB53" s="151" t="e">
        <f t="shared" si="11"/>
        <v>#DIV/0!</v>
      </c>
      <c r="AC53" s="151" t="e">
        <f t="shared" si="11"/>
        <v>#DIV/0!</v>
      </c>
      <c r="AD53" s="151" t="e">
        <f t="shared" si="11"/>
        <v>#DIV/0!</v>
      </c>
      <c r="AE53" s="151" t="e">
        <f t="shared" si="11"/>
        <v>#DIV/0!</v>
      </c>
      <c r="AF53" s="151" t="e">
        <f t="shared" si="11"/>
        <v>#DIV/0!</v>
      </c>
      <c r="AG53" s="151">
        <f t="shared" si="11"/>
        <v>3.3310059077586893</v>
      </c>
      <c r="AH53" s="151">
        <f t="shared" si="11"/>
        <v>5.2529266761020139</v>
      </c>
      <c r="AI53" s="151">
        <f t="shared" si="11"/>
        <v>3.9393128415809007</v>
      </c>
      <c r="AJ53" s="151">
        <f t="shared" si="11"/>
        <v>4.8324837392860527</v>
      </c>
      <c r="AK53" s="6"/>
      <c r="AL53" s="76">
        <f>AL34/(AL27+AL28)*100</f>
        <v>4.7055090796162915</v>
      </c>
      <c r="AM53" s="243"/>
    </row>
    <row r="54" spans="2:112 15081:15094" x14ac:dyDescent="0.25">
      <c r="B54" s="128"/>
      <c r="C54" s="150" t="s">
        <v>74</v>
      </c>
      <c r="D54" s="127">
        <v>82</v>
      </c>
      <c r="E54" s="276" t="s">
        <v>29</v>
      </c>
      <c r="F54" s="151">
        <f t="shared" ref="F54:AJ54" si="12">(F37/F36)*100</f>
        <v>82.277358118881921</v>
      </c>
      <c r="G54" s="151">
        <f>(G37/G36)*100</f>
        <v>82.116822484583977</v>
      </c>
      <c r="H54" s="151">
        <f t="shared" si="12"/>
        <v>82.889595411359778</v>
      </c>
      <c r="I54" s="151">
        <f t="shared" si="12"/>
        <v>82.887731083352165</v>
      </c>
      <c r="J54" s="151">
        <f t="shared" si="12"/>
        <v>82.527847788225259</v>
      </c>
      <c r="K54" s="151">
        <f t="shared" si="12"/>
        <v>83.394148108223277</v>
      </c>
      <c r="L54" s="151">
        <f t="shared" si="12"/>
        <v>83.771218061099844</v>
      </c>
      <c r="M54" s="151">
        <f t="shared" si="12"/>
        <v>83.866002673172602</v>
      </c>
      <c r="N54" s="151">
        <f t="shared" si="12"/>
        <v>85.100904476515495</v>
      </c>
      <c r="O54" s="151">
        <f t="shared" si="12"/>
        <v>82.355782265987827</v>
      </c>
      <c r="P54" s="151">
        <f t="shared" si="12"/>
        <v>82.503040765577452</v>
      </c>
      <c r="Q54" s="151">
        <f t="shared" si="12"/>
        <v>80.711165683689288</v>
      </c>
      <c r="R54" s="151">
        <f t="shared" si="12"/>
        <v>80.285979520508107</v>
      </c>
      <c r="S54" s="151">
        <f t="shared" si="12"/>
        <v>80.859690980061458</v>
      </c>
      <c r="T54" s="151">
        <f t="shared" si="12"/>
        <v>83.259867226874022</v>
      </c>
      <c r="U54" s="151">
        <f t="shared" si="12"/>
        <v>78.182832835634159</v>
      </c>
      <c r="V54" s="151">
        <f t="shared" si="12"/>
        <v>76.152882563633597</v>
      </c>
      <c r="W54" s="151">
        <f t="shared" si="12"/>
        <v>67.11204397928438</v>
      </c>
      <c r="X54" s="151" t="e">
        <f t="shared" si="12"/>
        <v>#DIV/0!</v>
      </c>
      <c r="Y54" s="151" t="e">
        <f t="shared" si="12"/>
        <v>#DIV/0!</v>
      </c>
      <c r="Z54" s="151" t="e">
        <f t="shared" si="12"/>
        <v>#DIV/0!</v>
      </c>
      <c r="AA54" s="151" t="e">
        <f t="shared" si="12"/>
        <v>#DIV/0!</v>
      </c>
      <c r="AB54" s="151" t="e">
        <f t="shared" si="12"/>
        <v>#DIV/0!</v>
      </c>
      <c r="AC54" s="151" t="e">
        <f t="shared" si="12"/>
        <v>#DIV/0!</v>
      </c>
      <c r="AD54" s="151" t="e">
        <f t="shared" si="12"/>
        <v>#DIV/0!</v>
      </c>
      <c r="AE54" s="151" t="e">
        <f t="shared" si="12"/>
        <v>#DIV/0!</v>
      </c>
      <c r="AF54" s="151" t="e">
        <f t="shared" si="12"/>
        <v>#DIV/0!</v>
      </c>
      <c r="AG54" s="151" t="e">
        <f t="shared" si="12"/>
        <v>#DIV/0!</v>
      </c>
      <c r="AH54" s="151">
        <f t="shared" si="12"/>
        <v>85.953241038879199</v>
      </c>
      <c r="AI54" s="151">
        <f t="shared" si="12"/>
        <v>81.276616371102335</v>
      </c>
      <c r="AJ54" s="151">
        <f t="shared" si="12"/>
        <v>80.755144511836136</v>
      </c>
      <c r="AK54" s="6"/>
      <c r="AL54" s="76">
        <f>AL37/AL36*100</f>
        <v>82.012424508038279</v>
      </c>
      <c r="AM54" s="243"/>
    </row>
    <row r="55" spans="2:112 15081:15094" x14ac:dyDescent="0.25">
      <c r="B55" s="128"/>
      <c r="C55" s="150" t="s">
        <v>72</v>
      </c>
      <c r="D55" s="127">
        <v>18</v>
      </c>
      <c r="E55" s="276" t="s">
        <v>29</v>
      </c>
      <c r="F55" s="151">
        <f t="shared" ref="F55:AJ55" si="13">(F38/F36)*100</f>
        <v>17.722641881118076</v>
      </c>
      <c r="G55" s="151">
        <f t="shared" si="13"/>
        <v>17.883177515416026</v>
      </c>
      <c r="H55" s="151">
        <f t="shared" si="13"/>
        <v>17.110404588640225</v>
      </c>
      <c r="I55" s="151">
        <f t="shared" si="13"/>
        <v>17.112268916647828</v>
      </c>
      <c r="J55" s="151">
        <f t="shared" si="13"/>
        <v>17.472152211774734</v>
      </c>
      <c r="K55" s="151">
        <f t="shared" si="13"/>
        <v>16.60585189177673</v>
      </c>
      <c r="L55" s="151">
        <f t="shared" si="13"/>
        <v>16.228781938900163</v>
      </c>
      <c r="M55" s="151">
        <f t="shared" si="13"/>
        <v>16.133997326827402</v>
      </c>
      <c r="N55" s="151">
        <f t="shared" si="13"/>
        <v>14.899095523484506</v>
      </c>
      <c r="O55" s="151">
        <f t="shared" si="13"/>
        <v>17.64421773401217</v>
      </c>
      <c r="P55" s="151">
        <f t="shared" si="13"/>
        <v>17.496959234422548</v>
      </c>
      <c r="Q55" s="151">
        <f t="shared" si="13"/>
        <v>19.288834316310716</v>
      </c>
      <c r="R55" s="151">
        <f t="shared" si="13"/>
        <v>19.714020479491886</v>
      </c>
      <c r="S55" s="151">
        <f t="shared" si="13"/>
        <v>19.140309019938538</v>
      </c>
      <c r="T55" s="151">
        <f t="shared" si="13"/>
        <v>16.740132773125982</v>
      </c>
      <c r="U55" s="151">
        <f t="shared" si="13"/>
        <v>21.817167164365834</v>
      </c>
      <c r="V55" s="151">
        <f t="shared" si="13"/>
        <v>23.847117436366407</v>
      </c>
      <c r="W55" s="151">
        <f t="shared" si="13"/>
        <v>32.88795602071562</v>
      </c>
      <c r="X55" s="151" t="e">
        <f t="shared" si="13"/>
        <v>#DIV/0!</v>
      </c>
      <c r="Y55" s="151" t="e">
        <f t="shared" si="13"/>
        <v>#DIV/0!</v>
      </c>
      <c r="Z55" s="151" t="e">
        <f t="shared" si="13"/>
        <v>#DIV/0!</v>
      </c>
      <c r="AA55" s="151" t="e">
        <f t="shared" si="13"/>
        <v>#DIV/0!</v>
      </c>
      <c r="AB55" s="151" t="e">
        <f t="shared" si="13"/>
        <v>#DIV/0!</v>
      </c>
      <c r="AC55" s="151" t="e">
        <f t="shared" si="13"/>
        <v>#DIV/0!</v>
      </c>
      <c r="AD55" s="151" t="e">
        <f t="shared" si="13"/>
        <v>#DIV/0!</v>
      </c>
      <c r="AE55" s="151" t="e">
        <f t="shared" si="13"/>
        <v>#DIV/0!</v>
      </c>
      <c r="AF55" s="151" t="e">
        <f t="shared" si="13"/>
        <v>#DIV/0!</v>
      </c>
      <c r="AG55" s="151" t="e">
        <f t="shared" si="13"/>
        <v>#DIV/0!</v>
      </c>
      <c r="AH55" s="151">
        <f t="shared" si="13"/>
        <v>14.046758961120801</v>
      </c>
      <c r="AI55" s="151">
        <f t="shared" si="13"/>
        <v>18.723383628897675</v>
      </c>
      <c r="AJ55" s="151">
        <f t="shared" si="13"/>
        <v>19.244855488163857</v>
      </c>
      <c r="AK55" s="6"/>
      <c r="AL55" s="76">
        <f>AL38/AL36*100</f>
        <v>17.987575491961728</v>
      </c>
      <c r="AM55" s="243"/>
    </row>
    <row r="56" spans="2:112 15081:15094" x14ac:dyDescent="0.25">
      <c r="B56" s="128"/>
      <c r="C56" s="150" t="s">
        <v>73</v>
      </c>
      <c r="D56" s="127">
        <v>70</v>
      </c>
      <c r="E56" s="276" t="s">
        <v>29</v>
      </c>
      <c r="F56" s="151" t="e">
        <f t="shared" ref="F56:AC56" si="14">F42/F41*100</f>
        <v>#DIV/0!</v>
      </c>
      <c r="G56" s="151" t="e">
        <f t="shared" si="14"/>
        <v>#DIV/0!</v>
      </c>
      <c r="H56" s="151" t="e">
        <f t="shared" si="14"/>
        <v>#DIV/0!</v>
      </c>
      <c r="I56" s="151" t="e">
        <f t="shared" si="14"/>
        <v>#DIV/0!</v>
      </c>
      <c r="J56" s="151" t="e">
        <f t="shared" si="14"/>
        <v>#DIV/0!</v>
      </c>
      <c r="K56" s="151" t="e">
        <f t="shared" si="14"/>
        <v>#DIV/0!</v>
      </c>
      <c r="L56" s="151" t="e">
        <f t="shared" si="14"/>
        <v>#DIV/0!</v>
      </c>
      <c r="M56" s="151" t="e">
        <f t="shared" si="14"/>
        <v>#DIV/0!</v>
      </c>
      <c r="N56" s="151" t="e">
        <f t="shared" si="14"/>
        <v>#DIV/0!</v>
      </c>
      <c r="O56" s="151" t="e">
        <f t="shared" si="14"/>
        <v>#DIV/0!</v>
      </c>
      <c r="P56" s="151" t="e">
        <f t="shared" si="14"/>
        <v>#DIV/0!</v>
      </c>
      <c r="Q56" s="151" t="e">
        <f t="shared" si="14"/>
        <v>#DIV/0!</v>
      </c>
      <c r="R56" s="151" t="e">
        <f t="shared" si="14"/>
        <v>#DIV/0!</v>
      </c>
      <c r="S56" s="151" t="e">
        <f t="shared" si="14"/>
        <v>#DIV/0!</v>
      </c>
      <c r="T56" s="151" t="e">
        <f t="shared" si="14"/>
        <v>#DIV/0!</v>
      </c>
      <c r="U56" s="151" t="e">
        <f>U42/U41*100</f>
        <v>#DIV/0!</v>
      </c>
      <c r="V56" s="151">
        <f>V42/V41*100</f>
        <v>70.546671625139453</v>
      </c>
      <c r="W56" s="151" t="e">
        <f t="shared" si="14"/>
        <v>#DIV/0!</v>
      </c>
      <c r="X56" s="151" t="e">
        <f t="shared" si="14"/>
        <v>#DIV/0!</v>
      </c>
      <c r="Y56" s="151" t="e">
        <f t="shared" si="14"/>
        <v>#DIV/0!</v>
      </c>
      <c r="Z56" s="151" t="e">
        <f t="shared" si="14"/>
        <v>#DIV/0!</v>
      </c>
      <c r="AA56" s="151" t="e">
        <f t="shared" si="14"/>
        <v>#DIV/0!</v>
      </c>
      <c r="AB56" s="151" t="e">
        <f t="shared" si="14"/>
        <v>#DIV/0!</v>
      </c>
      <c r="AC56" s="151" t="e">
        <f t="shared" si="14"/>
        <v>#DIV/0!</v>
      </c>
      <c r="AD56" s="151" t="e">
        <f t="shared" ref="AD56:AJ56" si="15">AD45/AD44*100</f>
        <v>#DIV/0!</v>
      </c>
      <c r="AE56" s="151" t="e">
        <f t="shared" si="15"/>
        <v>#DIV/0!</v>
      </c>
      <c r="AF56" s="151" t="e">
        <f t="shared" si="15"/>
        <v>#DIV/0!</v>
      </c>
      <c r="AG56" s="151" t="e">
        <f t="shared" si="15"/>
        <v>#DIV/0!</v>
      </c>
      <c r="AH56" s="151" t="e">
        <f t="shared" si="15"/>
        <v>#DIV/0!</v>
      </c>
      <c r="AI56" s="151" t="e">
        <f t="shared" si="15"/>
        <v>#DIV/0!</v>
      </c>
      <c r="AJ56" s="151" t="e">
        <f t="shared" si="15"/>
        <v>#DIV/0!</v>
      </c>
      <c r="AK56" s="6"/>
      <c r="AL56" s="76">
        <f>AL42/AL41*100</f>
        <v>70.546671625139453</v>
      </c>
      <c r="AM56" s="243"/>
    </row>
    <row r="57" spans="2:112 15081:15094" x14ac:dyDescent="0.25">
      <c r="B57" s="128"/>
      <c r="C57" s="150" t="s">
        <v>72</v>
      </c>
      <c r="D57" s="127">
        <v>30</v>
      </c>
      <c r="E57" s="276" t="s">
        <v>29</v>
      </c>
      <c r="F57" s="151" t="e">
        <f t="shared" ref="F57:AC57" si="16">F43/F41*100</f>
        <v>#DIV/0!</v>
      </c>
      <c r="G57" s="151" t="e">
        <f t="shared" si="16"/>
        <v>#DIV/0!</v>
      </c>
      <c r="H57" s="151" t="e">
        <f t="shared" si="16"/>
        <v>#DIV/0!</v>
      </c>
      <c r="I57" s="151" t="e">
        <f t="shared" si="16"/>
        <v>#DIV/0!</v>
      </c>
      <c r="J57" s="151" t="e">
        <f t="shared" si="16"/>
        <v>#DIV/0!</v>
      </c>
      <c r="K57" s="151" t="e">
        <f t="shared" si="16"/>
        <v>#DIV/0!</v>
      </c>
      <c r="L57" s="151" t="e">
        <f t="shared" si="16"/>
        <v>#DIV/0!</v>
      </c>
      <c r="M57" s="151" t="e">
        <f t="shared" si="16"/>
        <v>#DIV/0!</v>
      </c>
      <c r="N57" s="151" t="e">
        <f t="shared" si="16"/>
        <v>#DIV/0!</v>
      </c>
      <c r="O57" s="151" t="e">
        <f t="shared" si="16"/>
        <v>#DIV/0!</v>
      </c>
      <c r="P57" s="151" t="e">
        <f t="shared" si="16"/>
        <v>#DIV/0!</v>
      </c>
      <c r="Q57" s="151" t="e">
        <f t="shared" si="16"/>
        <v>#DIV/0!</v>
      </c>
      <c r="R57" s="151" t="e">
        <f t="shared" si="16"/>
        <v>#DIV/0!</v>
      </c>
      <c r="S57" s="151" t="e">
        <f t="shared" si="16"/>
        <v>#DIV/0!</v>
      </c>
      <c r="T57" s="151" t="e">
        <f t="shared" si="16"/>
        <v>#DIV/0!</v>
      </c>
      <c r="U57" s="151" t="e">
        <f t="shared" si="16"/>
        <v>#DIV/0!</v>
      </c>
      <c r="V57" s="151">
        <f t="shared" si="16"/>
        <v>29.453328374860543</v>
      </c>
      <c r="W57" s="151" t="e">
        <f t="shared" si="16"/>
        <v>#DIV/0!</v>
      </c>
      <c r="X57" s="151" t="e">
        <f t="shared" si="16"/>
        <v>#DIV/0!</v>
      </c>
      <c r="Y57" s="151" t="e">
        <f t="shared" si="16"/>
        <v>#DIV/0!</v>
      </c>
      <c r="Z57" s="151" t="e">
        <f t="shared" si="16"/>
        <v>#DIV/0!</v>
      </c>
      <c r="AA57" s="151" t="e">
        <f t="shared" si="16"/>
        <v>#DIV/0!</v>
      </c>
      <c r="AB57" s="151" t="e">
        <f t="shared" si="16"/>
        <v>#DIV/0!</v>
      </c>
      <c r="AC57" s="151" t="e">
        <f t="shared" si="16"/>
        <v>#DIV/0!</v>
      </c>
      <c r="AD57" s="151" t="e">
        <f t="shared" ref="AD57:AJ57" si="17">AD46/AD44*100</f>
        <v>#DIV/0!</v>
      </c>
      <c r="AE57" s="151" t="e">
        <f t="shared" si="17"/>
        <v>#DIV/0!</v>
      </c>
      <c r="AF57" s="151" t="e">
        <f t="shared" si="17"/>
        <v>#DIV/0!</v>
      </c>
      <c r="AG57" s="151" t="e">
        <f t="shared" si="17"/>
        <v>#DIV/0!</v>
      </c>
      <c r="AH57" s="151" t="e">
        <f t="shared" si="17"/>
        <v>#DIV/0!</v>
      </c>
      <c r="AI57" s="151" t="e">
        <f t="shared" si="17"/>
        <v>#DIV/0!</v>
      </c>
      <c r="AJ57" s="151" t="e">
        <f t="shared" si="17"/>
        <v>#DIV/0!</v>
      </c>
      <c r="AK57" s="77"/>
      <c r="AL57" s="76">
        <f>AL43/AL41*100</f>
        <v>29.453328374860543</v>
      </c>
      <c r="AM57" s="243"/>
    </row>
    <row r="58" spans="2:112 15081:15094" x14ac:dyDescent="0.25">
      <c r="B58" s="128"/>
      <c r="C58" s="150" t="s">
        <v>71</v>
      </c>
      <c r="D58" s="127">
        <v>60</v>
      </c>
      <c r="E58" s="276" t="s">
        <v>29</v>
      </c>
      <c r="F58" s="151" t="e">
        <f t="shared" ref="F58:AJ58" si="18">F48/F46*100</f>
        <v>#DIV/0!</v>
      </c>
      <c r="G58" s="151">
        <f>G48/G46*100</f>
        <v>60.026428807400066</v>
      </c>
      <c r="H58" s="151" t="e">
        <f t="shared" si="18"/>
        <v>#DIV/0!</v>
      </c>
      <c r="I58" s="151" t="e">
        <f t="shared" si="18"/>
        <v>#DIV/0!</v>
      </c>
      <c r="J58" s="151" t="e">
        <f t="shared" si="18"/>
        <v>#DIV/0!</v>
      </c>
      <c r="K58" s="151" t="e">
        <f t="shared" si="18"/>
        <v>#DIV/0!</v>
      </c>
      <c r="L58" s="151" t="e">
        <f t="shared" si="18"/>
        <v>#DIV/0!</v>
      </c>
      <c r="M58" s="151" t="e">
        <f t="shared" si="18"/>
        <v>#DIV/0!</v>
      </c>
      <c r="N58" s="151" t="e">
        <f t="shared" si="18"/>
        <v>#DIV/0!</v>
      </c>
      <c r="O58" s="151" t="e">
        <f t="shared" si="18"/>
        <v>#DIV/0!</v>
      </c>
      <c r="P58" s="151" t="e">
        <f t="shared" si="18"/>
        <v>#DIV/0!</v>
      </c>
      <c r="Q58" s="151" t="e">
        <f t="shared" si="18"/>
        <v>#DIV/0!</v>
      </c>
      <c r="R58" s="151" t="e">
        <f t="shared" si="18"/>
        <v>#DIV/0!</v>
      </c>
      <c r="S58" s="151" t="e">
        <f t="shared" si="18"/>
        <v>#DIV/0!</v>
      </c>
      <c r="T58" s="151" t="e">
        <f>(T48+T47)/T46*100</f>
        <v>#DIV/0!</v>
      </c>
      <c r="U58" s="151" t="e">
        <f>(U48+U47)/U46*100</f>
        <v>#DIV/0!</v>
      </c>
      <c r="V58" s="151" t="e">
        <f>(V48+V47)/V46*100</f>
        <v>#DIV/0!</v>
      </c>
      <c r="W58" s="151" t="e">
        <f>(W48+W47)/W46*100</f>
        <v>#DIV/0!</v>
      </c>
      <c r="X58" s="151" t="e">
        <f t="shared" si="18"/>
        <v>#DIV/0!</v>
      </c>
      <c r="Y58" s="151" t="e">
        <f t="shared" si="18"/>
        <v>#DIV/0!</v>
      </c>
      <c r="Z58" s="151" t="e">
        <f t="shared" si="18"/>
        <v>#DIV/0!</v>
      </c>
      <c r="AA58" s="151" t="e">
        <f t="shared" si="18"/>
        <v>#DIV/0!</v>
      </c>
      <c r="AB58" s="151" t="e">
        <f t="shared" si="18"/>
        <v>#DIV/0!</v>
      </c>
      <c r="AC58" s="151" t="e">
        <f t="shared" si="18"/>
        <v>#DIV/0!</v>
      </c>
      <c r="AD58" s="151" t="e">
        <f t="shared" si="18"/>
        <v>#DIV/0!</v>
      </c>
      <c r="AE58" s="151" t="e">
        <f t="shared" si="18"/>
        <v>#DIV/0!</v>
      </c>
      <c r="AF58" s="151" t="e">
        <f t="shared" si="18"/>
        <v>#DIV/0!</v>
      </c>
      <c r="AG58" s="151" t="e">
        <f t="shared" si="18"/>
        <v>#DIV/0!</v>
      </c>
      <c r="AH58" s="151" t="e">
        <f t="shared" si="18"/>
        <v>#DIV/0!</v>
      </c>
      <c r="AI58" s="151" t="e">
        <f t="shared" si="18"/>
        <v>#DIV/0!</v>
      </c>
      <c r="AJ58" s="151" t="e">
        <f t="shared" si="18"/>
        <v>#DIV/0!</v>
      </c>
      <c r="AK58" s="6"/>
      <c r="AL58" s="76">
        <f>(AL48+AL47)/AL46*100</f>
        <v>60.026428807400066</v>
      </c>
      <c r="AM58" s="243"/>
    </row>
    <row r="59" spans="2:112 15081:15094" x14ac:dyDescent="0.25">
      <c r="B59" s="128"/>
      <c r="C59" s="150" t="s">
        <v>70</v>
      </c>
      <c r="D59" s="127">
        <v>40</v>
      </c>
      <c r="E59" s="276" t="s">
        <v>29</v>
      </c>
      <c r="F59" s="151" t="e">
        <f t="shared" ref="F59:AJ59" si="19">F49/F46*100</f>
        <v>#DIV/0!</v>
      </c>
      <c r="G59" s="151">
        <f>G49/G46*100</f>
        <v>39.973571192599934</v>
      </c>
      <c r="H59" s="151" t="e">
        <f t="shared" si="19"/>
        <v>#DIV/0!</v>
      </c>
      <c r="I59" s="151" t="e">
        <f t="shared" si="19"/>
        <v>#DIV/0!</v>
      </c>
      <c r="J59" s="151" t="e">
        <f t="shared" si="19"/>
        <v>#DIV/0!</v>
      </c>
      <c r="K59" s="151" t="e">
        <f t="shared" si="19"/>
        <v>#DIV/0!</v>
      </c>
      <c r="L59" s="151" t="e">
        <f t="shared" si="19"/>
        <v>#DIV/0!</v>
      </c>
      <c r="M59" s="151" t="e">
        <f t="shared" si="19"/>
        <v>#DIV/0!</v>
      </c>
      <c r="N59" s="151" t="e">
        <f t="shared" si="19"/>
        <v>#DIV/0!</v>
      </c>
      <c r="O59" s="151" t="e">
        <f t="shared" si="19"/>
        <v>#DIV/0!</v>
      </c>
      <c r="P59" s="151" t="e">
        <f t="shared" si="19"/>
        <v>#DIV/0!</v>
      </c>
      <c r="Q59" s="151" t="e">
        <f t="shared" si="19"/>
        <v>#DIV/0!</v>
      </c>
      <c r="R59" s="151" t="e">
        <f t="shared" si="19"/>
        <v>#DIV/0!</v>
      </c>
      <c r="S59" s="151" t="e">
        <f t="shared" si="19"/>
        <v>#DIV/0!</v>
      </c>
      <c r="T59" s="151" t="e">
        <f t="shared" si="19"/>
        <v>#DIV/0!</v>
      </c>
      <c r="U59" s="151" t="e">
        <f t="shared" si="19"/>
        <v>#VALUE!</v>
      </c>
      <c r="V59" s="151" t="e">
        <f t="shared" si="19"/>
        <v>#DIV/0!</v>
      </c>
      <c r="W59" s="151" t="e">
        <f t="shared" si="19"/>
        <v>#DIV/0!</v>
      </c>
      <c r="X59" s="151" t="e">
        <f t="shared" si="19"/>
        <v>#DIV/0!</v>
      </c>
      <c r="Y59" s="151" t="e">
        <f t="shared" si="19"/>
        <v>#DIV/0!</v>
      </c>
      <c r="Z59" s="151" t="e">
        <f t="shared" si="19"/>
        <v>#DIV/0!</v>
      </c>
      <c r="AA59" s="151" t="e">
        <f t="shared" si="19"/>
        <v>#DIV/0!</v>
      </c>
      <c r="AB59" s="151" t="e">
        <f t="shared" si="19"/>
        <v>#DIV/0!</v>
      </c>
      <c r="AC59" s="151" t="e">
        <f t="shared" si="19"/>
        <v>#DIV/0!</v>
      </c>
      <c r="AD59" s="151" t="e">
        <f t="shared" si="19"/>
        <v>#DIV/0!</v>
      </c>
      <c r="AE59" s="151" t="e">
        <f t="shared" si="19"/>
        <v>#DIV/0!</v>
      </c>
      <c r="AF59" s="151" t="e">
        <f t="shared" si="19"/>
        <v>#DIV/0!</v>
      </c>
      <c r="AG59" s="151" t="e">
        <f t="shared" si="19"/>
        <v>#DIV/0!</v>
      </c>
      <c r="AH59" s="151" t="e">
        <f t="shared" si="19"/>
        <v>#DIV/0!</v>
      </c>
      <c r="AI59" s="151" t="e">
        <f t="shared" si="19"/>
        <v>#DIV/0!</v>
      </c>
      <c r="AJ59" s="151" t="e">
        <f t="shared" si="19"/>
        <v>#DIV/0!</v>
      </c>
      <c r="AK59" s="77"/>
      <c r="AL59" s="76">
        <f>AL49/AL46*100</f>
        <v>39.973571192599934</v>
      </c>
      <c r="AM59" s="243"/>
    </row>
    <row r="60" spans="2:112 15081:15094" x14ac:dyDescent="0.25">
      <c r="B60" s="109">
        <v>3</v>
      </c>
      <c r="C60" s="152" t="s">
        <v>69</v>
      </c>
      <c r="D60" s="149"/>
      <c r="E60" s="275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9"/>
      <c r="AL60" s="32" t="s">
        <v>68</v>
      </c>
      <c r="AM60" s="244"/>
    </row>
    <row r="61" spans="2:112 15081:15094" x14ac:dyDescent="0.25">
      <c r="B61" s="113"/>
      <c r="C61" s="126" t="s">
        <v>67</v>
      </c>
      <c r="D61" s="127">
        <v>8</v>
      </c>
      <c r="E61" s="177" t="s">
        <v>65</v>
      </c>
      <c r="F61" s="119">
        <v>16832</v>
      </c>
      <c r="G61" s="119">
        <f>3552+6800</f>
        <v>10352</v>
      </c>
      <c r="H61" s="119">
        <v>15952</v>
      </c>
      <c r="I61" s="119">
        <v>13568</v>
      </c>
      <c r="J61" s="119">
        <v>12280</v>
      </c>
      <c r="K61" s="119">
        <v>7728</v>
      </c>
      <c r="L61" s="119">
        <v>13766</v>
      </c>
      <c r="M61" s="119">
        <v>16384</v>
      </c>
      <c r="N61" s="119">
        <v>19136</v>
      </c>
      <c r="O61" s="119">
        <v>16440</v>
      </c>
      <c r="P61" s="119">
        <v>17632</v>
      </c>
      <c r="Q61" s="119">
        <v>13073</v>
      </c>
      <c r="R61" s="119">
        <v>12656</v>
      </c>
      <c r="S61" s="119">
        <v>12336</v>
      </c>
      <c r="T61" s="119">
        <v>14080</v>
      </c>
      <c r="U61" s="119">
        <v>13568</v>
      </c>
      <c r="V61" s="119">
        <v>5536</v>
      </c>
      <c r="W61" s="119">
        <v>0</v>
      </c>
      <c r="X61" s="119">
        <v>0</v>
      </c>
      <c r="Y61" s="119">
        <v>0</v>
      </c>
      <c r="Z61" s="119">
        <v>0</v>
      </c>
      <c r="AA61" s="119">
        <v>0</v>
      </c>
      <c r="AB61" s="119">
        <v>0</v>
      </c>
      <c r="AC61" s="119">
        <v>0</v>
      </c>
      <c r="AD61" s="119">
        <v>0</v>
      </c>
      <c r="AE61" s="119">
        <v>0</v>
      </c>
      <c r="AF61" s="119">
        <v>0</v>
      </c>
      <c r="AG61" s="119">
        <v>2080</v>
      </c>
      <c r="AH61" s="119">
        <v>14880</v>
      </c>
      <c r="AI61" s="119">
        <v>16432</v>
      </c>
      <c r="AJ61" s="119">
        <v>15288</v>
      </c>
      <c r="AK61" s="9"/>
      <c r="AL61" s="8">
        <f>SUM(F61:AJ61)</f>
        <v>279999</v>
      </c>
      <c r="AM61" s="235"/>
      <c r="AN61" s="22"/>
      <c r="AZ61" s="22"/>
    </row>
    <row r="62" spans="2:112 15081:15094" x14ac:dyDescent="0.25">
      <c r="B62" s="128"/>
      <c r="C62" s="153"/>
      <c r="D62" s="131"/>
      <c r="E62" s="177" t="s">
        <v>29</v>
      </c>
      <c r="F62" s="151">
        <f>F61/F27*100</f>
        <v>1.1880880619454659</v>
      </c>
      <c r="G62" s="151">
        <f>G61/(G27-G45)*100</f>
        <v>0.80000989193065764</v>
      </c>
      <c r="H62" s="151">
        <f t="shared" ref="H62:M62" si="20">H61/((H27+H28)-H45)*100</f>
        <v>0.985891467885599</v>
      </c>
      <c r="I62" s="151">
        <f t="shared" si="20"/>
        <v>0.81687452775946523</v>
      </c>
      <c r="J62" s="151">
        <f t="shared" si="20"/>
        <v>0.76229779399212494</v>
      </c>
      <c r="K62" s="151">
        <f t="shared" si="20"/>
        <v>0.8218242840143053</v>
      </c>
      <c r="L62" s="151">
        <f t="shared" si="20"/>
        <v>0.9315065897696676</v>
      </c>
      <c r="M62" s="151">
        <f t="shared" si="20"/>
        <v>1.2016108508745489</v>
      </c>
      <c r="N62" s="151">
        <f>N61/((N27+N28)-(N45+N40))*100</f>
        <v>1.2543746775733986</v>
      </c>
      <c r="O62" s="151">
        <f t="shared" ref="O62:AI62" si="21">O61/((O27+O28)-(O45+O40))*100</f>
        <v>1.2209177974761758</v>
      </c>
      <c r="P62" s="151">
        <f t="shared" ref="P62:U62" si="22">P61/((P27+P28))*100</f>
        <v>1.2804973256400853</v>
      </c>
      <c r="Q62" s="151">
        <f t="shared" si="22"/>
        <v>0.91127716823042293</v>
      </c>
      <c r="R62" s="151">
        <f t="shared" si="22"/>
        <v>0.93964824072101072</v>
      </c>
      <c r="S62" s="151">
        <f t="shared" si="22"/>
        <v>0.8979727914826523</v>
      </c>
      <c r="T62" s="151">
        <f t="shared" si="22"/>
        <v>1.0347402272900976</v>
      </c>
      <c r="U62" s="151">
        <f t="shared" si="22"/>
        <v>0.96240328442819012</v>
      </c>
      <c r="V62" s="151">
        <f>V61/((V27+V28))*100</f>
        <v>0.80107543219148247</v>
      </c>
      <c r="W62" s="151" t="e">
        <f t="shared" si="21"/>
        <v>#DIV/0!</v>
      </c>
      <c r="X62" s="151" t="e">
        <f t="shared" si="21"/>
        <v>#DIV/0!</v>
      </c>
      <c r="Y62" s="151" t="e">
        <f t="shared" si="21"/>
        <v>#DIV/0!</v>
      </c>
      <c r="Z62" s="151" t="e">
        <f t="shared" si="21"/>
        <v>#DIV/0!</v>
      </c>
      <c r="AA62" s="75" t="e">
        <f t="shared" si="21"/>
        <v>#DIV/0!</v>
      </c>
      <c r="AB62" s="75" t="e">
        <f t="shared" si="21"/>
        <v>#DIV/0!</v>
      </c>
      <c r="AC62" s="75" t="e">
        <f t="shared" si="21"/>
        <v>#DIV/0!</v>
      </c>
      <c r="AD62" s="151" t="e">
        <f t="shared" si="21"/>
        <v>#DIV/0!</v>
      </c>
      <c r="AE62" s="151" t="e">
        <f t="shared" si="21"/>
        <v>#DIV/0!</v>
      </c>
      <c r="AF62" s="151" t="e">
        <f t="shared" si="21"/>
        <v>#DIV/0!</v>
      </c>
      <c r="AG62" s="151">
        <f t="shared" si="21"/>
        <v>0.86964883747183053</v>
      </c>
      <c r="AH62" s="151">
        <f t="shared" si="21"/>
        <v>1.3946818382056592</v>
      </c>
      <c r="AI62" s="151">
        <f t="shared" si="21"/>
        <v>0.9707676756577287</v>
      </c>
      <c r="AJ62" s="151">
        <f>AJ61/((AJ27+AJ28)-(AJ45+AJ40))*100</f>
        <v>0.91748955461427395</v>
      </c>
      <c r="AK62" s="9"/>
      <c r="AL62" s="319">
        <f>AL61/((AL27+AL28))*100</f>
        <v>0.99183581601351567</v>
      </c>
      <c r="AM62" s="245"/>
      <c r="AN62" s="41"/>
    </row>
    <row r="63" spans="2:112 15081:15094" s="1" customFormat="1" x14ac:dyDescent="0.25">
      <c r="B63" s="113"/>
      <c r="C63" s="154" t="s">
        <v>66</v>
      </c>
      <c r="D63" s="155">
        <v>18</v>
      </c>
      <c r="E63" s="277" t="s">
        <v>65</v>
      </c>
      <c r="F63" s="156">
        <v>0</v>
      </c>
      <c r="G63" s="156">
        <f>12400-6800</f>
        <v>5600</v>
      </c>
      <c r="H63" s="156">
        <v>0</v>
      </c>
      <c r="I63" s="156"/>
      <c r="J63" s="156">
        <v>0</v>
      </c>
      <c r="K63" s="156"/>
      <c r="L63" s="156"/>
      <c r="M63" s="156"/>
      <c r="N63" s="156"/>
      <c r="O63" s="156">
        <v>0</v>
      </c>
      <c r="P63" s="156">
        <v>0</v>
      </c>
      <c r="Q63" s="156">
        <v>0</v>
      </c>
      <c r="R63" s="156">
        <v>0</v>
      </c>
      <c r="S63" s="156">
        <v>0</v>
      </c>
      <c r="T63" s="156">
        <v>0</v>
      </c>
      <c r="U63" s="156">
        <v>0</v>
      </c>
      <c r="V63" s="156">
        <f>6448-2450</f>
        <v>3998</v>
      </c>
      <c r="W63" s="156">
        <v>0</v>
      </c>
      <c r="X63" s="157">
        <v>0</v>
      </c>
      <c r="Y63" s="157">
        <v>0</v>
      </c>
      <c r="Z63" s="157">
        <v>0</v>
      </c>
      <c r="AA63" s="156">
        <v>0</v>
      </c>
      <c r="AB63" s="156">
        <v>0</v>
      </c>
      <c r="AC63" s="156">
        <v>0</v>
      </c>
      <c r="AD63" s="156">
        <v>0</v>
      </c>
      <c r="AE63" s="156">
        <v>0</v>
      </c>
      <c r="AF63" s="156">
        <v>0</v>
      </c>
      <c r="AG63" s="156"/>
      <c r="AH63" s="156"/>
      <c r="AI63" s="156"/>
      <c r="AJ63" s="156"/>
      <c r="AK63" s="9"/>
      <c r="AL63" s="46">
        <f>SUM(F63:AJ63)</f>
        <v>9598</v>
      </c>
      <c r="AM63" s="22"/>
      <c r="AN63" s="40"/>
      <c r="VHA63"/>
      <c r="VHB63"/>
      <c r="VHC63"/>
      <c r="VHD63"/>
      <c r="VHE63"/>
      <c r="VHF63"/>
      <c r="VHG63"/>
      <c r="VHH63"/>
      <c r="VHI63"/>
      <c r="VHJ63"/>
      <c r="VHK63"/>
      <c r="VHL63"/>
      <c r="VHM63"/>
      <c r="VHN63"/>
    </row>
    <row r="64" spans="2:112 15081:15094" s="1" customFormat="1" ht="12.75" customHeight="1" x14ac:dyDescent="0.25">
      <c r="B64" s="128"/>
      <c r="C64" s="158"/>
      <c r="D64" s="159"/>
      <c r="E64" s="278" t="s">
        <v>29</v>
      </c>
      <c r="F64" s="160" t="e">
        <f>F63/F45*100</f>
        <v>#DIV/0!</v>
      </c>
      <c r="G64" s="160">
        <f>G63/G45*100</f>
        <v>1.7656591899407874</v>
      </c>
      <c r="H64" s="160" t="e">
        <f t="shared" ref="H64:S64" si="23">H63/H45*100</f>
        <v>#DIV/0!</v>
      </c>
      <c r="I64" s="160" t="e">
        <f t="shared" si="23"/>
        <v>#DIV/0!</v>
      </c>
      <c r="J64" s="160" t="e">
        <f t="shared" si="23"/>
        <v>#DIV/0!</v>
      </c>
      <c r="K64" s="160" t="e">
        <f t="shared" si="23"/>
        <v>#DIV/0!</v>
      </c>
      <c r="L64" s="160" t="e">
        <f t="shared" si="23"/>
        <v>#DIV/0!</v>
      </c>
      <c r="M64" s="160" t="e">
        <f t="shared" si="23"/>
        <v>#DIV/0!</v>
      </c>
      <c r="N64" s="160" t="e">
        <f>N63/(N40+N45)*100</f>
        <v>#DIV/0!</v>
      </c>
      <c r="O64" s="160" t="e">
        <f t="shared" si="23"/>
        <v>#DIV/0!</v>
      </c>
      <c r="P64" s="160" t="e">
        <f>P63/(P45+P40)*100</f>
        <v>#DIV/0!</v>
      </c>
      <c r="Q64" s="160" t="e">
        <f>Q63/Q45*100</f>
        <v>#DIV/0!</v>
      </c>
      <c r="R64" s="160" t="e">
        <f>R63/R45*100</f>
        <v>#DIV/0!</v>
      </c>
      <c r="S64" s="160" t="e">
        <f t="shared" si="23"/>
        <v>#DIV/0!</v>
      </c>
      <c r="T64" s="160" t="e">
        <f>T63/(T45+T40)*100</f>
        <v>#DIV/0!</v>
      </c>
      <c r="U64" s="160" t="e">
        <f>U63/U45*100</f>
        <v>#DIV/0!</v>
      </c>
      <c r="V64" s="160">
        <f>V63/V40*100</f>
        <v>1.3992279397611025</v>
      </c>
      <c r="W64" s="160" t="e">
        <f t="shared" ref="W64:AB64" si="24">W63/W45*100</f>
        <v>#DIV/0!</v>
      </c>
      <c r="X64" s="160" t="e">
        <f t="shared" si="24"/>
        <v>#DIV/0!</v>
      </c>
      <c r="Y64" s="160" t="e">
        <f t="shared" si="24"/>
        <v>#DIV/0!</v>
      </c>
      <c r="Z64" s="160" t="e">
        <f t="shared" si="24"/>
        <v>#DIV/0!</v>
      </c>
      <c r="AA64" s="160" t="e">
        <f t="shared" si="24"/>
        <v>#DIV/0!</v>
      </c>
      <c r="AB64" s="160" t="e">
        <f t="shared" si="24"/>
        <v>#DIV/0!</v>
      </c>
      <c r="AC64" s="160" t="e">
        <f>AC63/(AC45)*100</f>
        <v>#DIV/0!</v>
      </c>
      <c r="AD64" s="160" t="e">
        <f t="shared" ref="AD64:AJ64" si="25">AD63/AD45*100</f>
        <v>#DIV/0!</v>
      </c>
      <c r="AE64" s="160" t="e">
        <f t="shared" si="25"/>
        <v>#DIV/0!</v>
      </c>
      <c r="AF64" s="160" t="e">
        <f t="shared" si="25"/>
        <v>#DIV/0!</v>
      </c>
      <c r="AG64" s="160" t="e">
        <f t="shared" si="25"/>
        <v>#DIV/0!</v>
      </c>
      <c r="AH64" s="160" t="e">
        <f t="shared" si="25"/>
        <v>#DIV/0!</v>
      </c>
      <c r="AI64" s="160" t="e">
        <f t="shared" si="25"/>
        <v>#DIV/0!</v>
      </c>
      <c r="AJ64" s="160" t="e">
        <f t="shared" si="25"/>
        <v>#DIV/0!</v>
      </c>
      <c r="AK64" s="9"/>
      <c r="AL64" s="226">
        <f>AL63/(AL45+AL40)*100</f>
        <v>1.5919958997563408</v>
      </c>
      <c r="AM64" s="246"/>
      <c r="AN64" s="41"/>
      <c r="VHA64"/>
      <c r="VHB64"/>
      <c r="VHC64"/>
      <c r="VHD64"/>
      <c r="VHE64"/>
      <c r="VHF64"/>
      <c r="VHG64"/>
      <c r="VHH64"/>
      <c r="VHI64"/>
      <c r="VHJ64"/>
      <c r="VHK64"/>
      <c r="VHL64"/>
      <c r="VHM64"/>
      <c r="VHN64"/>
    </row>
    <row r="65" spans="2:40" x14ac:dyDescent="0.25">
      <c r="B65" s="128"/>
      <c r="C65" s="126" t="s">
        <v>64</v>
      </c>
      <c r="D65" s="127">
        <v>0.55000000000000004</v>
      </c>
      <c r="E65" s="177" t="s">
        <v>16</v>
      </c>
      <c r="F65" s="119">
        <v>827.8</v>
      </c>
      <c r="G65" s="119">
        <v>918</v>
      </c>
      <c r="H65" s="119">
        <v>915.31</v>
      </c>
      <c r="I65" s="119">
        <v>820</v>
      </c>
      <c r="J65" s="119">
        <v>876.83600000000001</v>
      </c>
      <c r="K65" s="119">
        <v>518.87</v>
      </c>
      <c r="L65" s="119">
        <v>822.03</v>
      </c>
      <c r="M65" s="119">
        <v>803.37400000000002</v>
      </c>
      <c r="N65" s="119">
        <v>866.33799999999997</v>
      </c>
      <c r="O65" s="119">
        <f>812.702-90</f>
        <v>722.702</v>
      </c>
      <c r="P65" s="119">
        <f>805.706-95</f>
        <v>710.70600000000002</v>
      </c>
      <c r="Q65" s="119">
        <v>748.572</v>
      </c>
      <c r="R65" s="119">
        <f>760.232-70</f>
        <v>690.23199999999997</v>
      </c>
      <c r="S65" s="119">
        <f>774.224-70</f>
        <v>704.22400000000005</v>
      </c>
      <c r="T65" s="119">
        <v>740.41</v>
      </c>
      <c r="U65" s="119">
        <v>754.40200000000004</v>
      </c>
      <c r="V65" s="119">
        <v>376</v>
      </c>
      <c r="W65" s="119">
        <v>0</v>
      </c>
      <c r="X65" s="119">
        <v>0</v>
      </c>
      <c r="Y65" s="119">
        <v>0</v>
      </c>
      <c r="Z65" s="119">
        <v>0</v>
      </c>
      <c r="AA65" s="119">
        <v>0</v>
      </c>
      <c r="AB65" s="119">
        <v>0</v>
      </c>
      <c r="AC65" s="119">
        <v>0</v>
      </c>
      <c r="AD65" s="119">
        <v>0</v>
      </c>
      <c r="AE65" s="119">
        <v>0</v>
      </c>
      <c r="AF65" s="119">
        <v>0</v>
      </c>
      <c r="AG65" s="119">
        <v>125</v>
      </c>
      <c r="AH65" s="119">
        <v>747</v>
      </c>
      <c r="AI65" s="119">
        <v>957.28599999999994</v>
      </c>
      <c r="AJ65" s="119">
        <v>917.64200000000005</v>
      </c>
      <c r="AK65" s="9"/>
      <c r="AL65" s="46">
        <f>SUM(F65:AJ65)</f>
        <v>15562.733999999999</v>
      </c>
      <c r="AM65" s="22"/>
    </row>
    <row r="66" spans="2:40" x14ac:dyDescent="0.25">
      <c r="B66" s="161"/>
      <c r="C66" s="162"/>
      <c r="D66" s="131"/>
      <c r="E66" s="205" t="s">
        <v>29</v>
      </c>
      <c r="F66" s="163">
        <f t="shared" ref="F66:AJ66" si="26">F65/(F27+F28)*100</f>
        <v>5.8430328997056601E-2</v>
      </c>
      <c r="G66" s="163">
        <f t="shared" si="26"/>
        <v>5.6978076474757722E-2</v>
      </c>
      <c r="H66" s="163">
        <f t="shared" si="26"/>
        <v>5.6569478402104294E-2</v>
      </c>
      <c r="I66" s="45">
        <f t="shared" si="26"/>
        <v>4.9368890976028992E-2</v>
      </c>
      <c r="J66" s="163">
        <f t="shared" si="26"/>
        <v>5.4430793851211641E-2</v>
      </c>
      <c r="K66" s="163">
        <f t="shared" si="26"/>
        <v>5.5178567060882838E-2</v>
      </c>
      <c r="L66" s="163">
        <f t="shared" si="26"/>
        <v>5.5624463314569217E-2</v>
      </c>
      <c r="M66" s="163">
        <f t="shared" si="26"/>
        <v>5.8919855695220333E-2</v>
      </c>
      <c r="N66" s="163">
        <f t="shared" si="26"/>
        <v>5.6788903084217336E-2</v>
      </c>
      <c r="O66" s="163">
        <f t="shared" si="26"/>
        <v>5.3671516671023545E-2</v>
      </c>
      <c r="P66" s="163">
        <f t="shared" si="26"/>
        <v>5.1613948066944339E-2</v>
      </c>
      <c r="Q66" s="163">
        <f t="shared" si="26"/>
        <v>5.2180568528767998E-2</v>
      </c>
      <c r="R66" s="163">
        <f t="shared" si="26"/>
        <v>5.1246466852824329E-2</v>
      </c>
      <c r="S66" s="163">
        <f t="shared" si="26"/>
        <v>5.1262483066559617E-2</v>
      </c>
      <c r="T66" s="163">
        <f t="shared" si="26"/>
        <v>5.4412784921012869E-2</v>
      </c>
      <c r="U66" s="163">
        <f t="shared" si="26"/>
        <v>5.3511126369339287E-2</v>
      </c>
      <c r="V66" s="163">
        <f t="shared" si="26"/>
        <v>5.4408302475433067E-2</v>
      </c>
      <c r="W66" s="163" t="e">
        <f t="shared" si="26"/>
        <v>#DIV/0!</v>
      </c>
      <c r="X66" s="163" t="e">
        <f t="shared" si="26"/>
        <v>#DIV/0!</v>
      </c>
      <c r="Y66" s="163" t="e">
        <f t="shared" si="26"/>
        <v>#DIV/0!</v>
      </c>
      <c r="Z66" s="163" t="e">
        <f t="shared" si="26"/>
        <v>#DIV/0!</v>
      </c>
      <c r="AA66" s="163" t="e">
        <f t="shared" si="26"/>
        <v>#DIV/0!</v>
      </c>
      <c r="AB66" s="163" t="e">
        <f t="shared" si="26"/>
        <v>#DIV/0!</v>
      </c>
      <c r="AC66" s="163" t="e">
        <f t="shared" si="26"/>
        <v>#DIV/0!</v>
      </c>
      <c r="AD66" s="45" t="e">
        <f t="shared" si="26"/>
        <v>#DIV/0!</v>
      </c>
      <c r="AE66" s="45" t="e">
        <f t="shared" si="26"/>
        <v>#DIV/0!</v>
      </c>
      <c r="AF66" s="163" t="e">
        <f t="shared" si="26"/>
        <v>#DIV/0!</v>
      </c>
      <c r="AG66" s="163">
        <f t="shared" si="26"/>
        <v>5.2262550328835963E-2</v>
      </c>
      <c r="AH66" s="45">
        <f t="shared" si="26"/>
        <v>7.0015277764759909E-2</v>
      </c>
      <c r="AI66" s="163">
        <f t="shared" si="26"/>
        <v>5.6554424608062592E-2</v>
      </c>
      <c r="AJ66" s="163">
        <f t="shared" si="26"/>
        <v>5.5071098238837754E-2</v>
      </c>
      <c r="AK66" s="44"/>
      <c r="AL66" s="247">
        <f>AL65/(AL27)*100</f>
        <v>5.5127614656806927E-2</v>
      </c>
      <c r="AM66" s="248"/>
    </row>
    <row r="67" spans="2:40" s="2" customFormat="1" x14ac:dyDescent="0.25">
      <c r="B67" s="164">
        <v>4</v>
      </c>
      <c r="C67" s="165" t="s">
        <v>63</v>
      </c>
      <c r="D67" s="166">
        <v>0.8</v>
      </c>
      <c r="E67" s="279" t="s">
        <v>29</v>
      </c>
      <c r="F67" s="167">
        <f t="shared" ref="F67:AJ67" si="27">((SUM(F33:F34))-(SUM(F27:F28)))/(SUM(F27:F28))*100</f>
        <v>-0.75243694987753484</v>
      </c>
      <c r="G67" s="167">
        <f t="shared" si="27"/>
        <v>-0.73798401882883369</v>
      </c>
      <c r="H67" s="167">
        <f t="shared" si="27"/>
        <v>-0.68175581633939586</v>
      </c>
      <c r="I67" s="167">
        <f t="shared" si="27"/>
        <v>-0.70356690237301811</v>
      </c>
      <c r="J67" s="167">
        <f t="shared" si="27"/>
        <v>-0.73324605396050335</v>
      </c>
      <c r="K67" s="167">
        <f>((SUM(K33:K34))-(SUM(K27:K28)))/(SUM(K27:K28))*100</f>
        <v>-0.69506256732886906</v>
      </c>
      <c r="L67" s="167">
        <f>((SUM(L33:L34))-(SUM(L27:L28)))/(SUM(L27:L28))*100</f>
        <v>-0.72295629849623189</v>
      </c>
      <c r="M67" s="167">
        <f>((SUM(M33:M34))-(SUM(M27:M28)))/(SUM(M27:M28))*100</f>
        <v>-0.77447574372773664</v>
      </c>
      <c r="N67" s="167">
        <f t="shared" si="27"/>
        <v>-0.78162435490098259</v>
      </c>
      <c r="O67" s="167">
        <f t="shared" si="27"/>
        <v>-0.70076522731053492</v>
      </c>
      <c r="P67" s="167">
        <f t="shared" si="27"/>
        <v>-0.79246749191155907</v>
      </c>
      <c r="Q67" s="167">
        <f t="shared" si="27"/>
        <v>-0.79870066500299741</v>
      </c>
      <c r="R67" s="167">
        <f t="shared" si="27"/>
        <v>-0.79123192962735556</v>
      </c>
      <c r="S67" s="167">
        <f t="shared" si="27"/>
        <v>-0.76942059062675383</v>
      </c>
      <c r="T67" s="167">
        <f t="shared" si="27"/>
        <v>-0.79479513907261401</v>
      </c>
      <c r="U67" s="167">
        <f t="shared" si="27"/>
        <v>-0.78195266859790447</v>
      </c>
      <c r="V67" s="167">
        <f t="shared" si="27"/>
        <v>-0.7683725695333764</v>
      </c>
      <c r="W67" s="167" t="e">
        <f>((SUM(W33:W34))-(SUM(W27:W28)))/(SUM(W27:W28))*100</f>
        <v>#DIV/0!</v>
      </c>
      <c r="X67" s="167" t="e">
        <f t="shared" si="27"/>
        <v>#DIV/0!</v>
      </c>
      <c r="Y67" s="167" t="e">
        <f t="shared" si="27"/>
        <v>#DIV/0!</v>
      </c>
      <c r="Z67" s="167" t="e">
        <f t="shared" si="27"/>
        <v>#DIV/0!</v>
      </c>
      <c r="AA67" s="167" t="e">
        <f t="shared" si="27"/>
        <v>#DIV/0!</v>
      </c>
      <c r="AB67" s="167" t="e">
        <f t="shared" si="27"/>
        <v>#DIV/0!</v>
      </c>
      <c r="AC67" s="167" t="e">
        <f t="shared" si="27"/>
        <v>#DIV/0!</v>
      </c>
      <c r="AD67" s="167" t="e">
        <f t="shared" si="27"/>
        <v>#DIV/0!</v>
      </c>
      <c r="AE67" s="167" t="e">
        <f t="shared" si="27"/>
        <v>#DIV/0!</v>
      </c>
      <c r="AF67" s="167" t="e">
        <f t="shared" si="27"/>
        <v>#DIV/0!</v>
      </c>
      <c r="AG67" s="167">
        <f t="shared" si="27"/>
        <v>-96.668994092241306</v>
      </c>
      <c r="AH67" s="167">
        <f t="shared" si="27"/>
        <v>-2.9575128173885332</v>
      </c>
      <c r="AI67" s="167">
        <f>((SUM(AI33:AI34))-(SUM(AI27:AI28)))/(SUM(AI27:AI28))*100</f>
        <v>-0.78095045670152852</v>
      </c>
      <c r="AJ67" s="167">
        <f t="shared" si="27"/>
        <v>-0.75791310735371953</v>
      </c>
      <c r="AK67" s="43"/>
      <c r="AL67" s="78">
        <f>((SUM(AL33:AL34))-(SUM(AL27:AL28)))/(SUM(AL27:AL28))*100</f>
        <v>-0.75746417564794921</v>
      </c>
      <c r="AM67" s="249"/>
    </row>
    <row r="68" spans="2:40" s="2" customFormat="1" x14ac:dyDescent="0.25">
      <c r="B68" s="132"/>
      <c r="C68" s="150" t="s">
        <v>62</v>
      </c>
      <c r="D68" s="168">
        <v>22</v>
      </c>
      <c r="E68" s="276" t="s">
        <v>29</v>
      </c>
      <c r="F68" s="151">
        <v>21.26</v>
      </c>
      <c r="G68" s="151">
        <v>21.25</v>
      </c>
      <c r="H68" s="151">
        <v>21.25</v>
      </c>
      <c r="I68" s="151">
        <v>21.25</v>
      </c>
      <c r="J68" s="151">
        <v>21.3</v>
      </c>
      <c r="K68" s="151">
        <v>21.33</v>
      </c>
      <c r="L68" s="151">
        <v>21.24</v>
      </c>
      <c r="M68" s="151">
        <v>21.34</v>
      </c>
      <c r="N68" s="151">
        <v>21.27</v>
      </c>
      <c r="O68" s="151">
        <v>21.29</v>
      </c>
      <c r="P68" s="151">
        <v>21.29</v>
      </c>
      <c r="Q68" s="151">
        <v>21.3</v>
      </c>
      <c r="R68" s="151">
        <v>21.34</v>
      </c>
      <c r="S68" s="151">
        <v>21.33</v>
      </c>
      <c r="T68" s="151">
        <v>21.35</v>
      </c>
      <c r="U68" s="151">
        <v>21.41</v>
      </c>
      <c r="V68" s="151">
        <v>21.44</v>
      </c>
      <c r="W68" s="151"/>
      <c r="X68" s="151"/>
      <c r="Y68" s="151"/>
      <c r="Z68" s="151"/>
      <c r="AA68" s="151"/>
      <c r="AB68" s="151"/>
      <c r="AC68" s="151"/>
      <c r="AD68" s="151"/>
      <c r="AE68" s="151"/>
      <c r="AF68" s="151"/>
      <c r="AG68" s="151"/>
      <c r="AH68" s="151">
        <v>25.11</v>
      </c>
      <c r="AI68" s="151">
        <v>22.76</v>
      </c>
      <c r="AJ68" s="151">
        <v>22.24</v>
      </c>
      <c r="AK68" s="6"/>
      <c r="AL68" s="42">
        <f>AVERAGE(F68:AJ68)</f>
        <v>21.6175</v>
      </c>
      <c r="AM68" s="250"/>
    </row>
    <row r="69" spans="2:40" s="2" customFormat="1" x14ac:dyDescent="0.25">
      <c r="B69" s="169"/>
      <c r="C69" s="170" t="s">
        <v>61</v>
      </c>
      <c r="D69" s="131"/>
      <c r="E69" s="280" t="s">
        <v>16</v>
      </c>
      <c r="F69" s="151">
        <f t="shared" ref="F69:AJ69" si="28">SUM(F61,F63)+(F68%*SUM(F61,F63))</f>
        <v>20410.483199999999</v>
      </c>
      <c r="G69" s="151">
        <f t="shared" si="28"/>
        <v>19341.8</v>
      </c>
      <c r="H69" s="151">
        <f t="shared" si="28"/>
        <v>19341.8</v>
      </c>
      <c r="I69" s="151">
        <f t="shared" si="28"/>
        <v>16451.2</v>
      </c>
      <c r="J69" s="151">
        <f t="shared" si="28"/>
        <v>14895.64</v>
      </c>
      <c r="K69" s="151">
        <f t="shared" si="28"/>
        <v>9376.3824000000004</v>
      </c>
      <c r="L69" s="151">
        <f t="shared" si="28"/>
        <v>16689.898399999998</v>
      </c>
      <c r="M69" s="151">
        <f t="shared" si="28"/>
        <v>19880.345600000001</v>
      </c>
      <c r="N69" s="151">
        <f t="shared" si="28"/>
        <v>23206.227200000001</v>
      </c>
      <c r="O69" s="151">
        <f t="shared" si="28"/>
        <v>19940.076000000001</v>
      </c>
      <c r="P69" s="151">
        <f t="shared" si="28"/>
        <v>21385.852800000001</v>
      </c>
      <c r="Q69" s="151">
        <f t="shared" si="28"/>
        <v>15857.548999999999</v>
      </c>
      <c r="R69" s="151">
        <f t="shared" si="28"/>
        <v>15356.7904</v>
      </c>
      <c r="S69" s="151">
        <f t="shared" si="28"/>
        <v>14967.2688</v>
      </c>
      <c r="T69" s="151">
        <f t="shared" si="28"/>
        <v>17086.080000000002</v>
      </c>
      <c r="U69" s="151">
        <f t="shared" si="28"/>
        <v>16472.908800000001</v>
      </c>
      <c r="V69" s="151">
        <f t="shared" si="28"/>
        <v>11578.089599999999</v>
      </c>
      <c r="W69" s="151">
        <f t="shared" si="28"/>
        <v>0</v>
      </c>
      <c r="X69" s="151">
        <f t="shared" si="28"/>
        <v>0</v>
      </c>
      <c r="Y69" s="151">
        <f t="shared" si="28"/>
        <v>0</v>
      </c>
      <c r="Z69" s="151">
        <f t="shared" si="28"/>
        <v>0</v>
      </c>
      <c r="AA69" s="151">
        <f t="shared" si="28"/>
        <v>0</v>
      </c>
      <c r="AB69" s="151">
        <f t="shared" si="28"/>
        <v>0</v>
      </c>
      <c r="AC69" s="151">
        <f t="shared" si="28"/>
        <v>0</v>
      </c>
      <c r="AD69" s="151">
        <f t="shared" si="28"/>
        <v>0</v>
      </c>
      <c r="AE69" s="151">
        <f t="shared" si="28"/>
        <v>0</v>
      </c>
      <c r="AF69" s="151">
        <f t="shared" si="28"/>
        <v>0</v>
      </c>
      <c r="AG69" s="151">
        <f t="shared" si="28"/>
        <v>2080</v>
      </c>
      <c r="AH69" s="151">
        <f t="shared" si="28"/>
        <v>18616.367999999999</v>
      </c>
      <c r="AI69" s="151">
        <f t="shared" si="28"/>
        <v>20171.923200000001</v>
      </c>
      <c r="AJ69" s="151">
        <f t="shared" si="28"/>
        <v>18688.051200000002</v>
      </c>
      <c r="AK69" s="6"/>
      <c r="AL69" s="42">
        <f>SUM(AL61,AL63)+(AL68%*SUM(AL61,AL63))</f>
        <v>352200.631475</v>
      </c>
      <c r="AM69" s="250"/>
      <c r="AN69" s="50"/>
    </row>
    <row r="70" spans="2:40" x14ac:dyDescent="0.25">
      <c r="B70" s="109">
        <v>5</v>
      </c>
      <c r="C70" s="93" t="s">
        <v>60</v>
      </c>
      <c r="D70" s="110"/>
      <c r="E70" s="270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2"/>
      <c r="AD70" s="111"/>
      <c r="AE70" s="111"/>
      <c r="AF70" s="111"/>
      <c r="AG70" s="111"/>
      <c r="AH70" s="112"/>
      <c r="AI70" s="112"/>
      <c r="AJ70" s="112"/>
      <c r="AK70" s="22"/>
      <c r="AL70" s="35" t="s">
        <v>47</v>
      </c>
      <c r="AM70" s="238"/>
    </row>
    <row r="71" spans="2:40" s="48" customFormat="1" x14ac:dyDescent="0.25">
      <c r="B71" s="113"/>
      <c r="C71" s="171" t="s">
        <v>59</v>
      </c>
      <c r="D71" s="172"/>
      <c r="E71" s="173" t="s">
        <v>16</v>
      </c>
      <c r="F71" s="174">
        <v>181732</v>
      </c>
      <c r="G71" s="174">
        <v>0</v>
      </c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  <c r="AA71" s="174"/>
      <c r="AB71" s="174"/>
      <c r="AC71" s="174"/>
      <c r="AD71" s="174"/>
      <c r="AE71" s="174"/>
      <c r="AF71" s="174"/>
      <c r="AG71" s="174"/>
      <c r="AH71" s="174"/>
      <c r="AI71" s="174"/>
      <c r="AJ71" s="174"/>
      <c r="AK71" s="19"/>
      <c r="AL71" s="38">
        <f>SUM(F71:AJ71)</f>
        <v>181732</v>
      </c>
      <c r="AM71" s="251"/>
    </row>
    <row r="72" spans="2:40" s="1" customFormat="1" x14ac:dyDescent="0.25">
      <c r="B72" s="128"/>
      <c r="C72" s="175" t="s">
        <v>54</v>
      </c>
      <c r="D72" s="176"/>
      <c r="E72" s="177" t="s">
        <v>16</v>
      </c>
      <c r="F72" s="178">
        <v>0</v>
      </c>
      <c r="G72" s="179">
        <v>0</v>
      </c>
      <c r="H72" s="180"/>
      <c r="I72" s="124"/>
      <c r="J72" s="180"/>
      <c r="K72" s="124"/>
      <c r="L72" s="124"/>
      <c r="M72" s="124"/>
      <c r="N72" s="181"/>
      <c r="O72" s="181"/>
      <c r="P72" s="124"/>
      <c r="Q72" s="124"/>
      <c r="R72" s="124"/>
      <c r="S72" s="180"/>
      <c r="T72" s="124"/>
      <c r="U72" s="179"/>
      <c r="V72" s="124"/>
      <c r="W72" s="124"/>
      <c r="X72" s="124"/>
      <c r="Y72" s="124"/>
      <c r="Z72" s="124"/>
      <c r="AA72" s="124"/>
      <c r="AB72" s="179"/>
      <c r="AC72" s="124"/>
      <c r="AD72" s="124"/>
      <c r="AE72" s="124"/>
      <c r="AF72" s="124"/>
      <c r="AG72" s="124"/>
      <c r="AH72" s="124"/>
      <c r="AI72" s="179"/>
      <c r="AJ72" s="179"/>
      <c r="AK72" s="17"/>
      <c r="AL72" s="38">
        <f>SUM(F72:AJ72)</f>
        <v>0</v>
      </c>
      <c r="AM72" s="251"/>
      <c r="AN72" s="40"/>
    </row>
    <row r="73" spans="2:40" s="1" customFormat="1" x14ac:dyDescent="0.25">
      <c r="B73" s="128"/>
      <c r="C73" s="182" t="s">
        <v>44</v>
      </c>
      <c r="D73" s="131"/>
      <c r="E73" s="177" t="s">
        <v>16</v>
      </c>
      <c r="F73" s="151">
        <f t="shared" ref="F73:AJ73" si="29">SUM(F77:F78)*10.86</f>
        <v>0</v>
      </c>
      <c r="G73" s="151">
        <f t="shared" si="29"/>
        <v>0</v>
      </c>
      <c r="H73" s="151">
        <f t="shared" si="29"/>
        <v>0</v>
      </c>
      <c r="I73" s="151">
        <f t="shared" si="29"/>
        <v>0</v>
      </c>
      <c r="J73" s="151">
        <f t="shared" si="29"/>
        <v>0</v>
      </c>
      <c r="K73" s="151">
        <f t="shared" si="29"/>
        <v>0</v>
      </c>
      <c r="L73" s="151">
        <f t="shared" si="29"/>
        <v>0</v>
      </c>
      <c r="M73" s="151">
        <f t="shared" si="29"/>
        <v>0</v>
      </c>
      <c r="N73" s="151">
        <f t="shared" si="29"/>
        <v>0</v>
      </c>
      <c r="O73" s="151">
        <f t="shared" si="29"/>
        <v>0</v>
      </c>
      <c r="P73" s="151">
        <f t="shared" si="29"/>
        <v>0</v>
      </c>
      <c r="Q73" s="151">
        <f t="shared" si="29"/>
        <v>0</v>
      </c>
      <c r="R73" s="151">
        <f t="shared" si="29"/>
        <v>0</v>
      </c>
      <c r="S73" s="151">
        <f t="shared" si="29"/>
        <v>0</v>
      </c>
      <c r="T73" s="151">
        <f t="shared" si="29"/>
        <v>0</v>
      </c>
      <c r="U73" s="151">
        <f t="shared" si="29"/>
        <v>0</v>
      </c>
      <c r="V73" s="151">
        <f t="shared" si="29"/>
        <v>0</v>
      </c>
      <c r="W73" s="151">
        <f t="shared" si="29"/>
        <v>0</v>
      </c>
      <c r="X73" s="151">
        <f t="shared" si="29"/>
        <v>0</v>
      </c>
      <c r="Y73" s="151">
        <f t="shared" si="29"/>
        <v>0</v>
      </c>
      <c r="Z73" s="151">
        <f t="shared" si="29"/>
        <v>0</v>
      </c>
      <c r="AA73" s="151">
        <f t="shared" si="29"/>
        <v>0</v>
      </c>
      <c r="AB73" s="151">
        <f t="shared" si="29"/>
        <v>0</v>
      </c>
      <c r="AC73" s="151">
        <f t="shared" si="29"/>
        <v>0</v>
      </c>
      <c r="AD73" s="151">
        <f t="shared" si="29"/>
        <v>0</v>
      </c>
      <c r="AE73" s="151">
        <f t="shared" si="29"/>
        <v>0</v>
      </c>
      <c r="AF73" s="183">
        <f t="shared" si="29"/>
        <v>0</v>
      </c>
      <c r="AG73" s="151">
        <f t="shared" si="29"/>
        <v>0</v>
      </c>
      <c r="AH73" s="151">
        <f t="shared" si="29"/>
        <v>0</v>
      </c>
      <c r="AI73" s="151">
        <f t="shared" si="29"/>
        <v>0</v>
      </c>
      <c r="AJ73" s="151">
        <f t="shared" si="29"/>
        <v>0</v>
      </c>
      <c r="AK73" s="9"/>
      <c r="AL73" s="33">
        <f>SUM(F73:AJ73)</f>
        <v>0</v>
      </c>
      <c r="AM73" s="41"/>
      <c r="AN73" s="41"/>
    </row>
    <row r="74" spans="2:40" s="1" customFormat="1" x14ac:dyDescent="0.25">
      <c r="B74" s="128"/>
      <c r="C74" s="182" t="s">
        <v>43</v>
      </c>
      <c r="D74" s="131"/>
      <c r="E74" s="177" t="s">
        <v>16</v>
      </c>
      <c r="F74" s="151">
        <f>F72-F73</f>
        <v>0</v>
      </c>
      <c r="G74" s="151">
        <f t="shared" ref="G74:AJ74" si="30">G72-G73</f>
        <v>0</v>
      </c>
      <c r="H74" s="151">
        <f t="shared" si="30"/>
        <v>0</v>
      </c>
      <c r="I74" s="151">
        <f t="shared" si="30"/>
        <v>0</v>
      </c>
      <c r="J74" s="151">
        <f t="shared" si="30"/>
        <v>0</v>
      </c>
      <c r="K74" s="151">
        <f t="shared" si="30"/>
        <v>0</v>
      </c>
      <c r="L74" s="151">
        <f t="shared" si="30"/>
        <v>0</v>
      </c>
      <c r="M74" s="151">
        <f t="shared" si="30"/>
        <v>0</v>
      </c>
      <c r="N74" s="151">
        <f t="shared" si="30"/>
        <v>0</v>
      </c>
      <c r="O74" s="151">
        <f t="shared" si="30"/>
        <v>0</v>
      </c>
      <c r="P74" s="151">
        <f t="shared" si="30"/>
        <v>0</v>
      </c>
      <c r="Q74" s="151">
        <f t="shared" si="30"/>
        <v>0</v>
      </c>
      <c r="R74" s="151">
        <f t="shared" si="30"/>
        <v>0</v>
      </c>
      <c r="S74" s="151">
        <f t="shared" si="30"/>
        <v>0</v>
      </c>
      <c r="T74" s="151">
        <f t="shared" si="30"/>
        <v>0</v>
      </c>
      <c r="U74" s="151">
        <f t="shared" si="30"/>
        <v>0</v>
      </c>
      <c r="V74" s="151">
        <f t="shared" si="30"/>
        <v>0</v>
      </c>
      <c r="W74" s="151">
        <f t="shared" si="30"/>
        <v>0</v>
      </c>
      <c r="X74" s="151">
        <f t="shared" si="30"/>
        <v>0</v>
      </c>
      <c r="Y74" s="151">
        <f t="shared" si="30"/>
        <v>0</v>
      </c>
      <c r="Z74" s="151">
        <f t="shared" si="30"/>
        <v>0</v>
      </c>
      <c r="AA74" s="151">
        <f t="shared" si="30"/>
        <v>0</v>
      </c>
      <c r="AB74" s="151">
        <f t="shared" si="30"/>
        <v>0</v>
      </c>
      <c r="AC74" s="151">
        <f t="shared" si="30"/>
        <v>0</v>
      </c>
      <c r="AD74" s="151">
        <f t="shared" si="30"/>
        <v>0</v>
      </c>
      <c r="AE74" s="151">
        <f t="shared" si="30"/>
        <v>0</v>
      </c>
      <c r="AF74" s="151">
        <f t="shared" si="30"/>
        <v>0</v>
      </c>
      <c r="AG74" s="151">
        <f t="shared" si="30"/>
        <v>0</v>
      </c>
      <c r="AH74" s="151">
        <f t="shared" si="30"/>
        <v>0</v>
      </c>
      <c r="AI74" s="151">
        <f t="shared" si="30"/>
        <v>0</v>
      </c>
      <c r="AJ74" s="151">
        <f t="shared" si="30"/>
        <v>0</v>
      </c>
      <c r="AK74" s="9"/>
      <c r="AL74" s="33">
        <f>SUM(F74:AJ74)</f>
        <v>0</v>
      </c>
      <c r="AM74" s="41"/>
    </row>
    <row r="75" spans="2:40" s="1" customFormat="1" x14ac:dyDescent="0.25">
      <c r="B75" s="128"/>
      <c r="C75" s="182" t="s">
        <v>58</v>
      </c>
      <c r="D75" s="131"/>
      <c r="E75" s="113" t="s">
        <v>16</v>
      </c>
      <c r="F75" s="151">
        <v>0</v>
      </c>
      <c r="G75" s="151"/>
      <c r="H75" s="151">
        <v>0</v>
      </c>
      <c r="I75" s="151">
        <v>0</v>
      </c>
      <c r="J75" s="151">
        <v>0</v>
      </c>
      <c r="K75" s="151">
        <v>0</v>
      </c>
      <c r="L75" s="151">
        <v>0</v>
      </c>
      <c r="M75" s="151">
        <v>0</v>
      </c>
      <c r="N75" s="151">
        <v>0</v>
      </c>
      <c r="O75" s="151">
        <v>0</v>
      </c>
      <c r="P75" s="151">
        <v>0</v>
      </c>
      <c r="Q75" s="151">
        <v>0</v>
      </c>
      <c r="R75" s="151">
        <v>0</v>
      </c>
      <c r="S75" s="151"/>
      <c r="T75" s="151">
        <v>0</v>
      </c>
      <c r="U75" s="151">
        <v>0</v>
      </c>
      <c r="V75" s="151">
        <v>0</v>
      </c>
      <c r="W75" s="151">
        <v>0</v>
      </c>
      <c r="X75" s="151">
        <v>0</v>
      </c>
      <c r="Y75" s="151">
        <v>0</v>
      </c>
      <c r="Z75" s="151">
        <v>0</v>
      </c>
      <c r="AA75" s="151">
        <v>0</v>
      </c>
      <c r="AB75" s="151">
        <v>0</v>
      </c>
      <c r="AC75" s="151">
        <v>0</v>
      </c>
      <c r="AD75" s="151">
        <v>0</v>
      </c>
      <c r="AE75" s="151"/>
      <c r="AF75" s="151">
        <v>0</v>
      </c>
      <c r="AG75" s="151">
        <v>0</v>
      </c>
      <c r="AH75" s="151">
        <v>0</v>
      </c>
      <c r="AI75" s="151">
        <v>0</v>
      </c>
      <c r="AJ75" s="151">
        <v>0</v>
      </c>
      <c r="AK75" s="9"/>
      <c r="AL75" s="33">
        <f>SUM(F75:AJ75)</f>
        <v>0</v>
      </c>
      <c r="AM75" s="41"/>
    </row>
    <row r="76" spans="2:40" s="1" customFormat="1" x14ac:dyDescent="0.25">
      <c r="B76" s="128"/>
      <c r="C76" s="182" t="s">
        <v>33</v>
      </c>
      <c r="D76" s="131"/>
      <c r="E76" s="113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9"/>
      <c r="AL76" s="34" t="s">
        <v>33</v>
      </c>
      <c r="AM76" s="240"/>
    </row>
    <row r="77" spans="2:40" s="47" customFormat="1" x14ac:dyDescent="0.2">
      <c r="B77" s="98"/>
      <c r="C77" s="184" t="s">
        <v>57</v>
      </c>
      <c r="D77" s="97"/>
      <c r="E77" s="281" t="s">
        <v>36</v>
      </c>
      <c r="F77" s="185">
        <v>0</v>
      </c>
      <c r="G77" s="185">
        <v>0</v>
      </c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>
        <v>0</v>
      </c>
      <c r="V77" s="185"/>
      <c r="W77" s="185"/>
      <c r="X77" s="185"/>
      <c r="Y77" s="185"/>
      <c r="Z77" s="185"/>
      <c r="AA77" s="185"/>
      <c r="AB77" s="185"/>
      <c r="AC77" s="185"/>
      <c r="AD77" s="185"/>
      <c r="AE77" s="185"/>
      <c r="AF77" s="185"/>
      <c r="AG77" s="185"/>
      <c r="AH77" s="185"/>
      <c r="AI77" s="185"/>
      <c r="AJ77" s="185"/>
      <c r="AK77" s="37"/>
      <c r="AL77" s="18">
        <f>SUM(F77:AJ77)</f>
        <v>0</v>
      </c>
      <c r="AM77" s="22"/>
    </row>
    <row r="78" spans="2:40" s="47" customFormat="1" x14ac:dyDescent="0.2">
      <c r="B78" s="98"/>
      <c r="C78" s="184" t="s">
        <v>56</v>
      </c>
      <c r="D78" s="97"/>
      <c r="E78" s="281" t="s">
        <v>36</v>
      </c>
      <c r="F78" s="185">
        <v>0</v>
      </c>
      <c r="G78" s="185">
        <v>0</v>
      </c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>
        <v>0</v>
      </c>
      <c r="V78" s="185"/>
      <c r="W78" s="185"/>
      <c r="X78" s="185"/>
      <c r="Y78" s="185"/>
      <c r="Z78" s="185"/>
      <c r="AA78" s="185"/>
      <c r="AB78" s="185"/>
      <c r="AC78" s="185"/>
      <c r="AD78" s="185"/>
      <c r="AE78" s="185"/>
      <c r="AF78" s="185"/>
      <c r="AG78" s="185"/>
      <c r="AH78" s="185"/>
      <c r="AI78" s="185"/>
      <c r="AJ78" s="185"/>
      <c r="AK78" s="37"/>
      <c r="AL78" s="18">
        <f>SUM(F78:AJ78)</f>
        <v>0</v>
      </c>
      <c r="AM78" s="22"/>
    </row>
    <row r="79" spans="2:40" s="1" customFormat="1" x14ac:dyDescent="0.25">
      <c r="B79" s="128"/>
      <c r="C79" s="182" t="s">
        <v>32</v>
      </c>
      <c r="D79" s="131"/>
      <c r="E79" s="113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9"/>
      <c r="AL79" s="34" t="s">
        <v>32</v>
      </c>
      <c r="AM79" s="240"/>
    </row>
    <row r="80" spans="2:40" s="1" customFormat="1" x14ac:dyDescent="0.25">
      <c r="B80" s="128"/>
      <c r="C80" s="126" t="s">
        <v>57</v>
      </c>
      <c r="D80" s="131"/>
      <c r="E80" s="177" t="s">
        <v>32</v>
      </c>
      <c r="F80" s="119">
        <f t="shared" ref="F80:AJ80" si="31">F77*12</f>
        <v>0</v>
      </c>
      <c r="G80" s="119">
        <f t="shared" si="31"/>
        <v>0</v>
      </c>
      <c r="H80" s="119">
        <f t="shared" si="31"/>
        <v>0</v>
      </c>
      <c r="I80" s="119">
        <f t="shared" si="31"/>
        <v>0</v>
      </c>
      <c r="J80" s="119">
        <f t="shared" si="31"/>
        <v>0</v>
      </c>
      <c r="K80" s="119">
        <f t="shared" si="31"/>
        <v>0</v>
      </c>
      <c r="L80" s="119">
        <f t="shared" si="31"/>
        <v>0</v>
      </c>
      <c r="M80" s="119">
        <f t="shared" si="31"/>
        <v>0</v>
      </c>
      <c r="N80" s="119">
        <f t="shared" si="31"/>
        <v>0</v>
      </c>
      <c r="O80" s="119">
        <f t="shared" si="31"/>
        <v>0</v>
      </c>
      <c r="P80" s="119">
        <f t="shared" si="31"/>
        <v>0</v>
      </c>
      <c r="Q80" s="119">
        <f t="shared" si="31"/>
        <v>0</v>
      </c>
      <c r="R80" s="119">
        <f t="shared" si="31"/>
        <v>0</v>
      </c>
      <c r="S80" s="119">
        <f t="shared" si="31"/>
        <v>0</v>
      </c>
      <c r="T80" s="119">
        <f t="shared" si="31"/>
        <v>0</v>
      </c>
      <c r="U80" s="119">
        <f t="shared" si="31"/>
        <v>0</v>
      </c>
      <c r="V80" s="119">
        <f t="shared" si="31"/>
        <v>0</v>
      </c>
      <c r="W80" s="119">
        <f t="shared" si="31"/>
        <v>0</v>
      </c>
      <c r="X80" s="119">
        <f t="shared" si="31"/>
        <v>0</v>
      </c>
      <c r="Y80" s="119">
        <f t="shared" si="31"/>
        <v>0</v>
      </c>
      <c r="Z80" s="119">
        <f t="shared" si="31"/>
        <v>0</v>
      </c>
      <c r="AA80" s="119">
        <f t="shared" si="31"/>
        <v>0</v>
      </c>
      <c r="AB80" s="119">
        <f t="shared" si="31"/>
        <v>0</v>
      </c>
      <c r="AC80" s="119">
        <f t="shared" si="31"/>
        <v>0</v>
      </c>
      <c r="AD80" s="119">
        <f t="shared" si="31"/>
        <v>0</v>
      </c>
      <c r="AE80" s="119">
        <f t="shared" si="31"/>
        <v>0</v>
      </c>
      <c r="AF80" s="119">
        <f t="shared" si="31"/>
        <v>0</v>
      </c>
      <c r="AG80" s="119">
        <f t="shared" si="31"/>
        <v>0</v>
      </c>
      <c r="AH80" s="119">
        <f t="shared" si="31"/>
        <v>0</v>
      </c>
      <c r="AI80" s="119">
        <f t="shared" si="31"/>
        <v>0</v>
      </c>
      <c r="AJ80" s="119">
        <f t="shared" si="31"/>
        <v>0</v>
      </c>
      <c r="AK80" s="9"/>
      <c r="AL80" s="18">
        <f>AL77*12</f>
        <v>0</v>
      </c>
      <c r="AM80" s="22"/>
    </row>
    <row r="81" spans="2:39" s="1" customFormat="1" x14ac:dyDescent="0.25">
      <c r="B81" s="128"/>
      <c r="C81" s="126" t="s">
        <v>56</v>
      </c>
      <c r="D81" s="131"/>
      <c r="E81" s="177" t="s">
        <v>32</v>
      </c>
      <c r="F81" s="119">
        <f t="shared" ref="F81:AJ81" si="32">F78*6</f>
        <v>0</v>
      </c>
      <c r="G81" s="119">
        <f t="shared" si="32"/>
        <v>0</v>
      </c>
      <c r="H81" s="119">
        <v>0</v>
      </c>
      <c r="I81" s="119">
        <f t="shared" si="32"/>
        <v>0</v>
      </c>
      <c r="J81" s="119">
        <f t="shared" si="32"/>
        <v>0</v>
      </c>
      <c r="K81" s="119">
        <f t="shared" si="32"/>
        <v>0</v>
      </c>
      <c r="L81" s="119">
        <f t="shared" si="32"/>
        <v>0</v>
      </c>
      <c r="M81" s="119">
        <f t="shared" si="32"/>
        <v>0</v>
      </c>
      <c r="N81" s="119">
        <f t="shared" si="32"/>
        <v>0</v>
      </c>
      <c r="O81" s="119">
        <f t="shared" si="32"/>
        <v>0</v>
      </c>
      <c r="P81" s="119">
        <f t="shared" si="32"/>
        <v>0</v>
      </c>
      <c r="Q81" s="119">
        <f t="shared" si="32"/>
        <v>0</v>
      </c>
      <c r="R81" s="119">
        <f t="shared" si="32"/>
        <v>0</v>
      </c>
      <c r="S81" s="119">
        <f t="shared" si="32"/>
        <v>0</v>
      </c>
      <c r="T81" s="119">
        <f t="shared" si="32"/>
        <v>0</v>
      </c>
      <c r="U81" s="119">
        <f t="shared" si="32"/>
        <v>0</v>
      </c>
      <c r="V81" s="119">
        <f t="shared" si="32"/>
        <v>0</v>
      </c>
      <c r="W81" s="119">
        <f t="shared" si="32"/>
        <v>0</v>
      </c>
      <c r="X81" s="119">
        <f t="shared" si="32"/>
        <v>0</v>
      </c>
      <c r="Y81" s="119">
        <f t="shared" si="32"/>
        <v>0</v>
      </c>
      <c r="Z81" s="119">
        <f t="shared" si="32"/>
        <v>0</v>
      </c>
      <c r="AA81" s="119">
        <f t="shared" si="32"/>
        <v>0</v>
      </c>
      <c r="AB81" s="119">
        <f t="shared" si="32"/>
        <v>0</v>
      </c>
      <c r="AC81" s="119">
        <f t="shared" si="32"/>
        <v>0</v>
      </c>
      <c r="AD81" s="119">
        <f t="shared" si="32"/>
        <v>0</v>
      </c>
      <c r="AE81" s="119">
        <f t="shared" si="32"/>
        <v>0</v>
      </c>
      <c r="AF81" s="119">
        <f t="shared" si="32"/>
        <v>0</v>
      </c>
      <c r="AG81" s="119">
        <f t="shared" si="32"/>
        <v>0</v>
      </c>
      <c r="AH81" s="119">
        <f t="shared" si="32"/>
        <v>0</v>
      </c>
      <c r="AI81" s="119">
        <f t="shared" si="32"/>
        <v>0</v>
      </c>
      <c r="AJ81" s="119">
        <f t="shared" si="32"/>
        <v>0</v>
      </c>
      <c r="AK81" s="9"/>
      <c r="AL81" s="18">
        <f>AL78*6</f>
        <v>0</v>
      </c>
      <c r="AM81" s="22"/>
    </row>
    <row r="82" spans="2:39" s="1" customFormat="1" x14ac:dyDescent="0.25">
      <c r="B82" s="128"/>
      <c r="C82" s="182" t="s">
        <v>41</v>
      </c>
      <c r="D82" s="131"/>
      <c r="E82" s="177" t="s">
        <v>40</v>
      </c>
      <c r="F82" s="186">
        <f>(F72*45)/1700</f>
        <v>0</v>
      </c>
      <c r="G82" s="186">
        <f>(G72*45)/1700</f>
        <v>0</v>
      </c>
      <c r="H82" s="186">
        <f t="shared" ref="H82:AJ82" si="33">(H72*45)/1700</f>
        <v>0</v>
      </c>
      <c r="I82" s="186">
        <f t="shared" si="33"/>
        <v>0</v>
      </c>
      <c r="J82" s="186">
        <f t="shared" si="33"/>
        <v>0</v>
      </c>
      <c r="K82" s="186">
        <f t="shared" si="33"/>
        <v>0</v>
      </c>
      <c r="L82" s="186">
        <f t="shared" si="33"/>
        <v>0</v>
      </c>
      <c r="M82" s="186">
        <f t="shared" si="33"/>
        <v>0</v>
      </c>
      <c r="N82" s="186">
        <f t="shared" si="33"/>
        <v>0</v>
      </c>
      <c r="O82" s="186">
        <f t="shared" si="33"/>
        <v>0</v>
      </c>
      <c r="P82" s="186">
        <f t="shared" si="33"/>
        <v>0</v>
      </c>
      <c r="Q82" s="186">
        <f t="shared" si="33"/>
        <v>0</v>
      </c>
      <c r="R82" s="186">
        <f t="shared" si="33"/>
        <v>0</v>
      </c>
      <c r="S82" s="186">
        <f t="shared" si="33"/>
        <v>0</v>
      </c>
      <c r="T82" s="186">
        <f t="shared" si="33"/>
        <v>0</v>
      </c>
      <c r="U82" s="186">
        <f t="shared" si="33"/>
        <v>0</v>
      </c>
      <c r="V82" s="186">
        <f t="shared" si="33"/>
        <v>0</v>
      </c>
      <c r="W82" s="186">
        <f t="shared" si="33"/>
        <v>0</v>
      </c>
      <c r="X82" s="186">
        <f t="shared" si="33"/>
        <v>0</v>
      </c>
      <c r="Y82" s="186">
        <f t="shared" si="33"/>
        <v>0</v>
      </c>
      <c r="Z82" s="186">
        <f t="shared" si="33"/>
        <v>0</v>
      </c>
      <c r="AA82" s="186">
        <f t="shared" si="33"/>
        <v>0</v>
      </c>
      <c r="AB82" s="186">
        <f t="shared" si="33"/>
        <v>0</v>
      </c>
      <c r="AC82" s="186">
        <f t="shared" si="33"/>
        <v>0</v>
      </c>
      <c r="AD82" s="186">
        <f t="shared" si="33"/>
        <v>0</v>
      </c>
      <c r="AE82" s="186">
        <f t="shared" si="33"/>
        <v>0</v>
      </c>
      <c r="AF82" s="186">
        <f t="shared" si="33"/>
        <v>0</v>
      </c>
      <c r="AG82" s="186">
        <f t="shared" si="33"/>
        <v>0</v>
      </c>
      <c r="AH82" s="186">
        <f t="shared" si="33"/>
        <v>0</v>
      </c>
      <c r="AI82" s="186">
        <f t="shared" si="33"/>
        <v>0</v>
      </c>
      <c r="AJ82" s="186">
        <f t="shared" si="33"/>
        <v>0</v>
      </c>
      <c r="AK82" s="9"/>
      <c r="AL82" s="18">
        <f>SUM(F82:AJ82)</f>
        <v>0</v>
      </c>
      <c r="AM82" s="22"/>
    </row>
    <row r="83" spans="2:39" s="1" customFormat="1" x14ac:dyDescent="0.25">
      <c r="B83" s="128"/>
      <c r="C83" s="182" t="s">
        <v>39</v>
      </c>
      <c r="D83" s="131"/>
      <c r="E83" s="177" t="s">
        <v>38</v>
      </c>
      <c r="F83" s="119">
        <f t="shared" ref="F83:AJ83" si="34">SUM(F77:F78)/500</f>
        <v>0</v>
      </c>
      <c r="G83" s="119">
        <f t="shared" si="34"/>
        <v>0</v>
      </c>
      <c r="H83" s="119">
        <f t="shared" si="34"/>
        <v>0</v>
      </c>
      <c r="I83" s="119">
        <f t="shared" si="34"/>
        <v>0</v>
      </c>
      <c r="J83" s="119">
        <f t="shared" si="34"/>
        <v>0</v>
      </c>
      <c r="K83" s="119">
        <f t="shared" si="34"/>
        <v>0</v>
      </c>
      <c r="L83" s="119">
        <f t="shared" si="34"/>
        <v>0</v>
      </c>
      <c r="M83" s="119">
        <f t="shared" si="34"/>
        <v>0</v>
      </c>
      <c r="N83" s="119">
        <f t="shared" si="34"/>
        <v>0</v>
      </c>
      <c r="O83" s="119">
        <f t="shared" si="34"/>
        <v>0</v>
      </c>
      <c r="P83" s="119">
        <f t="shared" si="34"/>
        <v>0</v>
      </c>
      <c r="Q83" s="119">
        <f t="shared" si="34"/>
        <v>0</v>
      </c>
      <c r="R83" s="119">
        <f t="shared" si="34"/>
        <v>0</v>
      </c>
      <c r="S83" s="119">
        <f t="shared" si="34"/>
        <v>0</v>
      </c>
      <c r="T83" s="119">
        <f t="shared" si="34"/>
        <v>0</v>
      </c>
      <c r="U83" s="119">
        <f t="shared" si="34"/>
        <v>0</v>
      </c>
      <c r="V83" s="119">
        <f t="shared" si="34"/>
        <v>0</v>
      </c>
      <c r="W83" s="119">
        <f t="shared" si="34"/>
        <v>0</v>
      </c>
      <c r="X83" s="119">
        <f t="shared" si="34"/>
        <v>0</v>
      </c>
      <c r="Y83" s="119">
        <f t="shared" si="34"/>
        <v>0</v>
      </c>
      <c r="Z83" s="119">
        <f t="shared" si="34"/>
        <v>0</v>
      </c>
      <c r="AA83" s="119">
        <f t="shared" si="34"/>
        <v>0</v>
      </c>
      <c r="AB83" s="119">
        <f t="shared" si="34"/>
        <v>0</v>
      </c>
      <c r="AC83" s="119">
        <f t="shared" si="34"/>
        <v>0</v>
      </c>
      <c r="AD83" s="119">
        <f t="shared" si="34"/>
        <v>0</v>
      </c>
      <c r="AE83" s="119">
        <f t="shared" si="34"/>
        <v>0</v>
      </c>
      <c r="AF83" s="119">
        <f t="shared" si="34"/>
        <v>0</v>
      </c>
      <c r="AG83" s="119">
        <f t="shared" si="34"/>
        <v>0</v>
      </c>
      <c r="AH83" s="119">
        <f t="shared" si="34"/>
        <v>0</v>
      </c>
      <c r="AI83" s="119">
        <f t="shared" si="34"/>
        <v>0</v>
      </c>
      <c r="AJ83" s="119">
        <f t="shared" si="34"/>
        <v>0</v>
      </c>
      <c r="AK83" s="9"/>
      <c r="AL83" s="18">
        <f>SUM(F83:AJ83)</f>
        <v>0</v>
      </c>
      <c r="AM83" s="22"/>
    </row>
    <row r="84" spans="2:39" x14ac:dyDescent="0.25">
      <c r="B84" s="113"/>
      <c r="C84" s="93" t="s">
        <v>37</v>
      </c>
      <c r="D84" s="110"/>
      <c r="E84" s="270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2"/>
      <c r="AD84" s="111"/>
      <c r="AE84" s="111"/>
      <c r="AF84" s="111"/>
      <c r="AG84" s="111"/>
      <c r="AH84" s="112"/>
      <c r="AI84" s="112"/>
      <c r="AJ84" s="112"/>
      <c r="AK84" s="22"/>
      <c r="AL84" s="35" t="s">
        <v>34</v>
      </c>
      <c r="AM84" s="238"/>
    </row>
    <row r="85" spans="2:39" s="1" customFormat="1" x14ac:dyDescent="0.25">
      <c r="B85" s="128"/>
      <c r="C85" s="182" t="s">
        <v>33</v>
      </c>
      <c r="D85" s="131"/>
      <c r="E85" s="113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9"/>
      <c r="AL85" s="34" t="s">
        <v>33</v>
      </c>
      <c r="AM85" s="240"/>
    </row>
    <row r="86" spans="2:39" s="1" customFormat="1" x14ac:dyDescent="0.25">
      <c r="B86" s="128"/>
      <c r="C86" s="126" t="s">
        <v>57</v>
      </c>
      <c r="D86" s="131"/>
      <c r="E86" s="177" t="s">
        <v>36</v>
      </c>
      <c r="F86" s="119">
        <v>0</v>
      </c>
      <c r="G86" s="119">
        <v>0</v>
      </c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9"/>
      <c r="AL86" s="18">
        <f>SUM(F86:AJ86)</f>
        <v>0</v>
      </c>
      <c r="AM86" s="22"/>
    </row>
    <row r="87" spans="2:39" s="1" customFormat="1" x14ac:dyDescent="0.25">
      <c r="B87" s="128"/>
      <c r="C87" s="126" t="s">
        <v>56</v>
      </c>
      <c r="D87" s="131"/>
      <c r="E87" s="177" t="s">
        <v>36</v>
      </c>
      <c r="F87" s="119">
        <v>0</v>
      </c>
      <c r="G87" s="119">
        <v>0</v>
      </c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9"/>
      <c r="AL87" s="18">
        <f>SUM(F87:AJ87)</f>
        <v>0</v>
      </c>
      <c r="AM87" s="22"/>
    </row>
    <row r="88" spans="2:39" s="1" customFormat="1" x14ac:dyDescent="0.25">
      <c r="B88" s="128"/>
      <c r="C88" s="182" t="s">
        <v>32</v>
      </c>
      <c r="D88" s="131"/>
      <c r="E88" s="113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9"/>
      <c r="AL88" s="34" t="s">
        <v>32</v>
      </c>
      <c r="AM88" s="240"/>
    </row>
    <row r="89" spans="2:39" s="1" customFormat="1" x14ac:dyDescent="0.25">
      <c r="B89" s="128"/>
      <c r="C89" s="126" t="s">
        <v>57</v>
      </c>
      <c r="D89" s="131"/>
      <c r="E89" s="177" t="s">
        <v>32</v>
      </c>
      <c r="F89" s="119">
        <v>0</v>
      </c>
      <c r="G89" s="119">
        <v>0</v>
      </c>
      <c r="H89" s="185"/>
      <c r="I89" s="119"/>
      <c r="J89" s="119"/>
      <c r="K89" s="119"/>
      <c r="L89" s="119"/>
      <c r="M89" s="119"/>
      <c r="N89" s="187"/>
      <c r="O89" s="119"/>
      <c r="P89" s="119"/>
      <c r="Q89" s="119"/>
      <c r="R89" s="119"/>
      <c r="S89" s="119"/>
      <c r="T89" s="119"/>
      <c r="U89" s="187"/>
      <c r="V89" s="119"/>
      <c r="W89" s="119"/>
      <c r="X89" s="119"/>
      <c r="Y89" s="119"/>
      <c r="Z89" s="119"/>
      <c r="AA89" s="119"/>
      <c r="AB89" s="187"/>
      <c r="AC89" s="119"/>
      <c r="AD89" s="119"/>
      <c r="AE89" s="119"/>
      <c r="AF89" s="119"/>
      <c r="AG89" s="185"/>
      <c r="AH89" s="185"/>
      <c r="AI89" s="185"/>
      <c r="AJ89" s="119"/>
      <c r="AK89" s="9"/>
      <c r="AL89" s="18">
        <f>SUM(F89:AJ89)</f>
        <v>0</v>
      </c>
      <c r="AM89" s="22"/>
    </row>
    <row r="90" spans="2:39" s="1" customFormat="1" x14ac:dyDescent="0.25">
      <c r="B90" s="128"/>
      <c r="C90" s="126" t="s">
        <v>56</v>
      </c>
      <c r="D90" s="131"/>
      <c r="E90" s="177" t="s">
        <v>32</v>
      </c>
      <c r="F90" s="188">
        <v>0</v>
      </c>
      <c r="G90" s="188">
        <v>0</v>
      </c>
      <c r="H90" s="185"/>
      <c r="I90" s="185"/>
      <c r="J90" s="185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87"/>
      <c r="V90" s="119"/>
      <c r="W90" s="119"/>
      <c r="X90" s="119"/>
      <c r="Y90" s="119"/>
      <c r="Z90" s="119"/>
      <c r="AA90" s="119"/>
      <c r="AB90" s="187"/>
      <c r="AC90" s="119"/>
      <c r="AD90" s="119"/>
      <c r="AE90" s="119"/>
      <c r="AF90" s="119"/>
      <c r="AG90" s="189"/>
      <c r="AH90" s="185"/>
      <c r="AI90" s="185"/>
      <c r="AJ90" s="119"/>
      <c r="AK90" s="9"/>
      <c r="AL90" s="18">
        <f>SUM(F90:AJ90)</f>
        <v>0</v>
      </c>
      <c r="AM90" s="22"/>
    </row>
    <row r="91" spans="2:39" x14ac:dyDescent="0.25">
      <c r="B91" s="113"/>
      <c r="C91" s="93" t="s">
        <v>35</v>
      </c>
      <c r="D91" s="110"/>
      <c r="E91" s="270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2"/>
      <c r="AD91" s="111"/>
      <c r="AE91" s="111"/>
      <c r="AF91" s="111"/>
      <c r="AG91" s="111"/>
      <c r="AH91" s="112"/>
      <c r="AI91" s="112"/>
      <c r="AJ91" s="112"/>
      <c r="AK91" s="22"/>
      <c r="AL91" s="35" t="s">
        <v>34</v>
      </c>
      <c r="AM91" s="238"/>
    </row>
    <row r="92" spans="2:39" s="1" customFormat="1" x14ac:dyDescent="0.25">
      <c r="B92" s="128"/>
      <c r="C92" s="182" t="s">
        <v>33</v>
      </c>
      <c r="D92" s="131"/>
      <c r="E92" s="113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9"/>
      <c r="AL92" s="34" t="s">
        <v>33</v>
      </c>
      <c r="AM92" s="240"/>
    </row>
    <row r="93" spans="2:39" s="1" customFormat="1" x14ac:dyDescent="0.25">
      <c r="B93" s="128"/>
      <c r="C93" s="126" t="s">
        <v>57</v>
      </c>
      <c r="D93" s="127">
        <v>0.3</v>
      </c>
      <c r="E93" s="177" t="s">
        <v>29</v>
      </c>
      <c r="F93" s="151" t="e">
        <f t="shared" ref="F93:AJ94" si="35">F86/F77*100</f>
        <v>#DIV/0!</v>
      </c>
      <c r="G93" s="151" t="e">
        <f t="shared" si="35"/>
        <v>#DIV/0!</v>
      </c>
      <c r="H93" s="151" t="e">
        <f t="shared" si="35"/>
        <v>#DIV/0!</v>
      </c>
      <c r="I93" s="151" t="e">
        <f t="shared" si="35"/>
        <v>#DIV/0!</v>
      </c>
      <c r="J93" s="151" t="e">
        <f t="shared" si="35"/>
        <v>#DIV/0!</v>
      </c>
      <c r="K93" s="151" t="e">
        <f t="shared" si="35"/>
        <v>#DIV/0!</v>
      </c>
      <c r="L93" s="151" t="e">
        <f t="shared" si="35"/>
        <v>#DIV/0!</v>
      </c>
      <c r="M93" s="151" t="e">
        <f t="shared" si="35"/>
        <v>#DIV/0!</v>
      </c>
      <c r="N93" s="151" t="e">
        <f t="shared" si="35"/>
        <v>#DIV/0!</v>
      </c>
      <c r="O93" s="151" t="e">
        <f t="shared" si="35"/>
        <v>#DIV/0!</v>
      </c>
      <c r="P93" s="151" t="e">
        <f t="shared" si="35"/>
        <v>#DIV/0!</v>
      </c>
      <c r="Q93" s="151" t="e">
        <f t="shared" si="35"/>
        <v>#DIV/0!</v>
      </c>
      <c r="R93" s="151" t="e">
        <f t="shared" si="35"/>
        <v>#DIV/0!</v>
      </c>
      <c r="S93" s="151" t="e">
        <f t="shared" si="35"/>
        <v>#DIV/0!</v>
      </c>
      <c r="T93" s="151" t="e">
        <f t="shared" si="35"/>
        <v>#DIV/0!</v>
      </c>
      <c r="U93" s="151" t="e">
        <f t="shared" si="35"/>
        <v>#DIV/0!</v>
      </c>
      <c r="V93" s="151" t="e">
        <f t="shared" si="35"/>
        <v>#DIV/0!</v>
      </c>
      <c r="W93" s="151" t="e">
        <f t="shared" si="35"/>
        <v>#DIV/0!</v>
      </c>
      <c r="X93" s="151" t="e">
        <f t="shared" si="35"/>
        <v>#DIV/0!</v>
      </c>
      <c r="Y93" s="151" t="e">
        <f t="shared" si="35"/>
        <v>#DIV/0!</v>
      </c>
      <c r="Z93" s="151" t="e">
        <f t="shared" si="35"/>
        <v>#DIV/0!</v>
      </c>
      <c r="AA93" s="151" t="e">
        <f t="shared" si="35"/>
        <v>#DIV/0!</v>
      </c>
      <c r="AB93" s="151" t="e">
        <f t="shared" si="35"/>
        <v>#DIV/0!</v>
      </c>
      <c r="AC93" s="151" t="e">
        <f t="shared" si="35"/>
        <v>#DIV/0!</v>
      </c>
      <c r="AD93" s="151" t="e">
        <f t="shared" si="35"/>
        <v>#DIV/0!</v>
      </c>
      <c r="AE93" s="151" t="e">
        <f t="shared" si="35"/>
        <v>#DIV/0!</v>
      </c>
      <c r="AF93" s="151" t="e">
        <f t="shared" si="35"/>
        <v>#DIV/0!</v>
      </c>
      <c r="AG93" s="151" t="e">
        <f t="shared" si="35"/>
        <v>#DIV/0!</v>
      </c>
      <c r="AH93" s="151" t="e">
        <f t="shared" si="35"/>
        <v>#DIV/0!</v>
      </c>
      <c r="AI93" s="151" t="e">
        <f t="shared" si="35"/>
        <v>#DIV/0!</v>
      </c>
      <c r="AJ93" s="151" t="e">
        <f t="shared" si="35"/>
        <v>#DIV/0!</v>
      </c>
      <c r="AK93" s="9"/>
      <c r="AL93" s="33" t="e">
        <f>AL86/AL77*100</f>
        <v>#DIV/0!</v>
      </c>
      <c r="AM93" s="41"/>
    </row>
    <row r="94" spans="2:39" s="1" customFormat="1" x14ac:dyDescent="0.25">
      <c r="B94" s="128"/>
      <c r="C94" s="126" t="s">
        <v>56</v>
      </c>
      <c r="D94" s="127">
        <v>0.3</v>
      </c>
      <c r="E94" s="177" t="s">
        <v>29</v>
      </c>
      <c r="F94" s="151" t="e">
        <f t="shared" si="35"/>
        <v>#DIV/0!</v>
      </c>
      <c r="G94" s="151" t="e">
        <f t="shared" si="35"/>
        <v>#DIV/0!</v>
      </c>
      <c r="H94" s="151" t="e">
        <f t="shared" si="35"/>
        <v>#DIV/0!</v>
      </c>
      <c r="I94" s="151" t="e">
        <f t="shared" si="35"/>
        <v>#DIV/0!</v>
      </c>
      <c r="J94" s="151" t="e">
        <f t="shared" si="35"/>
        <v>#DIV/0!</v>
      </c>
      <c r="K94" s="151" t="e">
        <f t="shared" si="35"/>
        <v>#DIV/0!</v>
      </c>
      <c r="L94" s="151" t="e">
        <f t="shared" si="35"/>
        <v>#DIV/0!</v>
      </c>
      <c r="M94" s="151" t="e">
        <f t="shared" si="35"/>
        <v>#DIV/0!</v>
      </c>
      <c r="N94" s="151" t="e">
        <f t="shared" si="35"/>
        <v>#DIV/0!</v>
      </c>
      <c r="O94" s="151" t="e">
        <f t="shared" si="35"/>
        <v>#DIV/0!</v>
      </c>
      <c r="P94" s="151" t="e">
        <f t="shared" si="35"/>
        <v>#DIV/0!</v>
      </c>
      <c r="Q94" s="151" t="e">
        <f t="shared" si="35"/>
        <v>#DIV/0!</v>
      </c>
      <c r="R94" s="151" t="e">
        <f t="shared" si="35"/>
        <v>#DIV/0!</v>
      </c>
      <c r="S94" s="151" t="e">
        <f t="shared" si="35"/>
        <v>#DIV/0!</v>
      </c>
      <c r="T94" s="151" t="e">
        <f t="shared" si="35"/>
        <v>#DIV/0!</v>
      </c>
      <c r="U94" s="151" t="e">
        <f t="shared" si="35"/>
        <v>#DIV/0!</v>
      </c>
      <c r="V94" s="151" t="e">
        <f t="shared" si="35"/>
        <v>#DIV/0!</v>
      </c>
      <c r="W94" s="151" t="e">
        <f t="shared" si="35"/>
        <v>#DIV/0!</v>
      </c>
      <c r="X94" s="151" t="e">
        <f t="shared" si="35"/>
        <v>#DIV/0!</v>
      </c>
      <c r="Y94" s="151" t="e">
        <f t="shared" si="35"/>
        <v>#DIV/0!</v>
      </c>
      <c r="Z94" s="151" t="e">
        <f t="shared" si="35"/>
        <v>#DIV/0!</v>
      </c>
      <c r="AA94" s="151" t="e">
        <f t="shared" si="35"/>
        <v>#DIV/0!</v>
      </c>
      <c r="AB94" s="151" t="e">
        <f t="shared" si="35"/>
        <v>#DIV/0!</v>
      </c>
      <c r="AC94" s="151" t="e">
        <f t="shared" si="35"/>
        <v>#DIV/0!</v>
      </c>
      <c r="AD94" s="151" t="e">
        <f t="shared" si="35"/>
        <v>#DIV/0!</v>
      </c>
      <c r="AE94" s="151" t="e">
        <f t="shared" si="35"/>
        <v>#DIV/0!</v>
      </c>
      <c r="AF94" s="151" t="e">
        <f t="shared" si="35"/>
        <v>#DIV/0!</v>
      </c>
      <c r="AG94" s="151" t="e">
        <f t="shared" si="35"/>
        <v>#DIV/0!</v>
      </c>
      <c r="AH94" s="151" t="e">
        <f t="shared" si="35"/>
        <v>#DIV/0!</v>
      </c>
      <c r="AI94" s="151" t="e">
        <f t="shared" si="35"/>
        <v>#DIV/0!</v>
      </c>
      <c r="AJ94" s="151" t="e">
        <f t="shared" si="35"/>
        <v>#DIV/0!</v>
      </c>
      <c r="AK94" s="9"/>
      <c r="AL94" s="33" t="e">
        <f>AL87/AL78*100</f>
        <v>#DIV/0!</v>
      </c>
      <c r="AM94" s="41"/>
    </row>
    <row r="95" spans="2:39" s="1" customFormat="1" x14ac:dyDescent="0.25">
      <c r="B95" s="128"/>
      <c r="C95" s="182" t="s">
        <v>32</v>
      </c>
      <c r="D95" s="127"/>
      <c r="E95" s="113"/>
      <c r="F95" s="15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151"/>
      <c r="AC95" s="151"/>
      <c r="AD95" s="151"/>
      <c r="AE95" s="151"/>
      <c r="AF95" s="151"/>
      <c r="AG95" s="151"/>
      <c r="AH95" s="151"/>
      <c r="AI95" s="151"/>
      <c r="AJ95" s="151"/>
      <c r="AK95" s="9"/>
      <c r="AL95" s="34" t="s">
        <v>32</v>
      </c>
      <c r="AM95" s="240"/>
    </row>
    <row r="96" spans="2:39" s="1" customFormat="1" x14ac:dyDescent="0.25">
      <c r="B96" s="128"/>
      <c r="C96" s="126" t="s">
        <v>57</v>
      </c>
      <c r="D96" s="127">
        <v>0.5</v>
      </c>
      <c r="E96" s="177" t="s">
        <v>29</v>
      </c>
      <c r="F96" s="151" t="e">
        <f t="shared" ref="F96:AJ97" si="36">F89/F80*100</f>
        <v>#DIV/0!</v>
      </c>
      <c r="G96" s="151" t="e">
        <f t="shared" si="36"/>
        <v>#DIV/0!</v>
      </c>
      <c r="H96" s="151" t="e">
        <f t="shared" si="36"/>
        <v>#DIV/0!</v>
      </c>
      <c r="I96" s="151" t="e">
        <f t="shared" si="36"/>
        <v>#DIV/0!</v>
      </c>
      <c r="J96" s="151" t="e">
        <f t="shared" si="36"/>
        <v>#DIV/0!</v>
      </c>
      <c r="K96" s="151" t="e">
        <f t="shared" si="36"/>
        <v>#DIV/0!</v>
      </c>
      <c r="L96" s="151" t="e">
        <f t="shared" si="36"/>
        <v>#DIV/0!</v>
      </c>
      <c r="M96" s="151" t="e">
        <f t="shared" si="36"/>
        <v>#DIV/0!</v>
      </c>
      <c r="N96" s="151" t="e">
        <f t="shared" si="36"/>
        <v>#DIV/0!</v>
      </c>
      <c r="O96" s="151" t="e">
        <f t="shared" si="36"/>
        <v>#DIV/0!</v>
      </c>
      <c r="P96" s="151" t="e">
        <f t="shared" si="36"/>
        <v>#DIV/0!</v>
      </c>
      <c r="Q96" s="151" t="e">
        <f t="shared" si="36"/>
        <v>#DIV/0!</v>
      </c>
      <c r="R96" s="151" t="e">
        <f t="shared" si="36"/>
        <v>#DIV/0!</v>
      </c>
      <c r="S96" s="151" t="e">
        <f t="shared" si="36"/>
        <v>#DIV/0!</v>
      </c>
      <c r="T96" s="151" t="e">
        <f t="shared" si="36"/>
        <v>#DIV/0!</v>
      </c>
      <c r="U96" s="151" t="e">
        <f t="shared" si="36"/>
        <v>#DIV/0!</v>
      </c>
      <c r="V96" s="151" t="e">
        <f t="shared" si="36"/>
        <v>#DIV/0!</v>
      </c>
      <c r="W96" s="151" t="e">
        <f t="shared" si="36"/>
        <v>#DIV/0!</v>
      </c>
      <c r="X96" s="151" t="e">
        <f t="shared" si="36"/>
        <v>#DIV/0!</v>
      </c>
      <c r="Y96" s="151" t="e">
        <f t="shared" si="36"/>
        <v>#DIV/0!</v>
      </c>
      <c r="Z96" s="151" t="e">
        <f t="shared" si="36"/>
        <v>#DIV/0!</v>
      </c>
      <c r="AA96" s="151" t="e">
        <f t="shared" si="36"/>
        <v>#DIV/0!</v>
      </c>
      <c r="AB96" s="151" t="e">
        <f t="shared" si="36"/>
        <v>#DIV/0!</v>
      </c>
      <c r="AC96" s="151" t="e">
        <f t="shared" si="36"/>
        <v>#DIV/0!</v>
      </c>
      <c r="AD96" s="151" t="e">
        <f t="shared" si="36"/>
        <v>#DIV/0!</v>
      </c>
      <c r="AE96" s="151" t="e">
        <f t="shared" si="36"/>
        <v>#DIV/0!</v>
      </c>
      <c r="AF96" s="151" t="e">
        <f t="shared" si="36"/>
        <v>#DIV/0!</v>
      </c>
      <c r="AG96" s="151" t="e">
        <f t="shared" si="36"/>
        <v>#DIV/0!</v>
      </c>
      <c r="AH96" s="151" t="e">
        <f t="shared" si="36"/>
        <v>#DIV/0!</v>
      </c>
      <c r="AI96" s="151" t="e">
        <f t="shared" si="36"/>
        <v>#DIV/0!</v>
      </c>
      <c r="AJ96" s="151" t="e">
        <f t="shared" si="36"/>
        <v>#DIV/0!</v>
      </c>
      <c r="AK96" s="9"/>
      <c r="AL96" s="33" t="e">
        <f>AL89/AL80*100</f>
        <v>#DIV/0!</v>
      </c>
      <c r="AM96" s="41"/>
    </row>
    <row r="97" spans="2:39 15081:15473" s="1" customFormat="1" x14ac:dyDescent="0.25">
      <c r="B97" s="128"/>
      <c r="C97" s="126" t="s">
        <v>56</v>
      </c>
      <c r="D97" s="127">
        <v>0.5</v>
      </c>
      <c r="E97" s="177" t="s">
        <v>29</v>
      </c>
      <c r="F97" s="151" t="e">
        <f t="shared" si="36"/>
        <v>#DIV/0!</v>
      </c>
      <c r="G97" s="151" t="e">
        <f t="shared" si="36"/>
        <v>#DIV/0!</v>
      </c>
      <c r="H97" s="151" t="e">
        <f t="shared" si="36"/>
        <v>#DIV/0!</v>
      </c>
      <c r="I97" s="151" t="e">
        <f t="shared" si="36"/>
        <v>#DIV/0!</v>
      </c>
      <c r="J97" s="151" t="e">
        <f t="shared" si="36"/>
        <v>#DIV/0!</v>
      </c>
      <c r="K97" s="151" t="e">
        <f t="shared" si="36"/>
        <v>#DIV/0!</v>
      </c>
      <c r="L97" s="151" t="e">
        <f t="shared" si="36"/>
        <v>#DIV/0!</v>
      </c>
      <c r="M97" s="151" t="e">
        <f t="shared" si="36"/>
        <v>#DIV/0!</v>
      </c>
      <c r="N97" s="151" t="e">
        <f t="shared" si="36"/>
        <v>#DIV/0!</v>
      </c>
      <c r="O97" s="151" t="e">
        <f t="shared" si="36"/>
        <v>#DIV/0!</v>
      </c>
      <c r="P97" s="151" t="e">
        <f t="shared" si="36"/>
        <v>#DIV/0!</v>
      </c>
      <c r="Q97" s="151" t="e">
        <f t="shared" si="36"/>
        <v>#DIV/0!</v>
      </c>
      <c r="R97" s="151" t="e">
        <f t="shared" si="36"/>
        <v>#DIV/0!</v>
      </c>
      <c r="S97" s="151" t="e">
        <f t="shared" si="36"/>
        <v>#DIV/0!</v>
      </c>
      <c r="T97" s="151" t="e">
        <f t="shared" si="36"/>
        <v>#DIV/0!</v>
      </c>
      <c r="U97" s="151" t="e">
        <f t="shared" si="36"/>
        <v>#DIV/0!</v>
      </c>
      <c r="V97" s="151" t="e">
        <f t="shared" si="36"/>
        <v>#DIV/0!</v>
      </c>
      <c r="W97" s="151" t="e">
        <f t="shared" si="36"/>
        <v>#DIV/0!</v>
      </c>
      <c r="X97" s="151" t="e">
        <f t="shared" si="36"/>
        <v>#DIV/0!</v>
      </c>
      <c r="Y97" s="151" t="e">
        <f t="shared" si="36"/>
        <v>#DIV/0!</v>
      </c>
      <c r="Z97" s="151" t="e">
        <f t="shared" si="36"/>
        <v>#DIV/0!</v>
      </c>
      <c r="AA97" s="151" t="e">
        <f t="shared" si="36"/>
        <v>#DIV/0!</v>
      </c>
      <c r="AB97" s="151" t="e">
        <f t="shared" si="36"/>
        <v>#DIV/0!</v>
      </c>
      <c r="AC97" s="151" t="e">
        <f t="shared" si="36"/>
        <v>#DIV/0!</v>
      </c>
      <c r="AD97" s="151" t="e">
        <f t="shared" si="36"/>
        <v>#DIV/0!</v>
      </c>
      <c r="AE97" s="151" t="e">
        <f t="shared" si="36"/>
        <v>#DIV/0!</v>
      </c>
      <c r="AF97" s="151" t="e">
        <f t="shared" si="36"/>
        <v>#DIV/0!</v>
      </c>
      <c r="AG97" s="151" t="e">
        <f t="shared" si="36"/>
        <v>#DIV/0!</v>
      </c>
      <c r="AH97" s="151" t="e">
        <f t="shared" si="36"/>
        <v>#DIV/0!</v>
      </c>
      <c r="AI97" s="151" t="e">
        <f t="shared" si="36"/>
        <v>#DIV/0!</v>
      </c>
      <c r="AJ97" s="151" t="e">
        <f t="shared" si="36"/>
        <v>#DIV/0!</v>
      </c>
      <c r="AK97" s="9"/>
      <c r="AL97" s="33" t="e">
        <f>AL90/AL81*100</f>
        <v>#DIV/0!</v>
      </c>
      <c r="AM97" s="41"/>
    </row>
    <row r="98" spans="2:39 15081:15473" s="1" customFormat="1" x14ac:dyDescent="0.25">
      <c r="B98" s="109">
        <v>6</v>
      </c>
      <c r="C98" s="93" t="s">
        <v>55</v>
      </c>
      <c r="D98" s="110"/>
      <c r="E98" s="270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2"/>
      <c r="AD98" s="111"/>
      <c r="AE98" s="111"/>
      <c r="AF98" s="111"/>
      <c r="AG98" s="111"/>
      <c r="AH98" s="112"/>
      <c r="AI98" s="112"/>
      <c r="AJ98" s="112"/>
      <c r="AK98" s="22"/>
      <c r="AL98" s="35" t="s">
        <v>47</v>
      </c>
      <c r="AM98" s="238"/>
      <c r="VHA98"/>
      <c r="VHB98"/>
      <c r="VHC98"/>
      <c r="VHD98"/>
      <c r="VHE98"/>
      <c r="VHF98"/>
      <c r="VHG98"/>
      <c r="VHH98"/>
      <c r="VHI98"/>
      <c r="VHJ98"/>
      <c r="VHK98"/>
      <c r="VHL98"/>
      <c r="VHM98"/>
      <c r="VHN98"/>
      <c r="VHO98"/>
      <c r="VHP98"/>
      <c r="VHQ98"/>
      <c r="VHR98"/>
      <c r="VHS98"/>
      <c r="VHT98"/>
      <c r="VHU98"/>
      <c r="VHV98"/>
      <c r="VHW98"/>
      <c r="VHX98"/>
      <c r="VHY98"/>
      <c r="VHZ98"/>
      <c r="VIA98"/>
      <c r="VIB98"/>
      <c r="VIC98"/>
      <c r="VID98"/>
      <c r="VIE98"/>
      <c r="VIF98"/>
      <c r="VIG98"/>
      <c r="VIH98"/>
      <c r="VII98"/>
      <c r="VIJ98"/>
      <c r="VIK98"/>
      <c r="VIL98"/>
      <c r="VIM98"/>
      <c r="VIN98"/>
      <c r="VIO98"/>
      <c r="VIP98"/>
      <c r="VIQ98"/>
      <c r="VIR98"/>
      <c r="VIS98"/>
      <c r="VIT98"/>
      <c r="VIU98"/>
      <c r="VIV98"/>
      <c r="VIW98"/>
      <c r="VIX98"/>
      <c r="VIY98"/>
      <c r="VIZ98"/>
      <c r="VJA98"/>
      <c r="VJB98"/>
      <c r="VJC98"/>
      <c r="VJD98"/>
      <c r="VJE98"/>
      <c r="VJF98"/>
      <c r="VJG98"/>
      <c r="VJH98"/>
      <c r="VJI98"/>
      <c r="VJJ98"/>
      <c r="VJK98"/>
      <c r="VJL98"/>
      <c r="VJM98"/>
      <c r="VJN98"/>
      <c r="VJO98"/>
      <c r="VJP98"/>
      <c r="VJQ98"/>
      <c r="VJR98"/>
      <c r="VJS98"/>
      <c r="VJT98"/>
      <c r="VJU98"/>
      <c r="VJV98"/>
      <c r="VJW98"/>
      <c r="VJX98"/>
      <c r="VJY98"/>
      <c r="VJZ98"/>
      <c r="VKA98"/>
      <c r="VKB98"/>
      <c r="VKC98"/>
      <c r="VKD98"/>
      <c r="VKE98"/>
      <c r="VKF98"/>
      <c r="VKG98"/>
      <c r="VKH98"/>
      <c r="VKI98"/>
      <c r="VKJ98"/>
      <c r="VKK98"/>
      <c r="VKL98"/>
      <c r="VKM98"/>
      <c r="VKN98"/>
      <c r="VKO98"/>
      <c r="VKP98"/>
      <c r="VKQ98"/>
      <c r="VKR98"/>
      <c r="VKS98"/>
      <c r="VKT98"/>
      <c r="VKU98"/>
      <c r="VKV98"/>
      <c r="VKW98"/>
      <c r="VKX98"/>
      <c r="VKY98"/>
      <c r="VKZ98"/>
      <c r="VLA98"/>
      <c r="VLB98"/>
      <c r="VLC98"/>
      <c r="VLD98"/>
      <c r="VLE98"/>
      <c r="VLF98"/>
      <c r="VLG98"/>
      <c r="VLH98"/>
      <c r="VLI98"/>
      <c r="VLJ98"/>
      <c r="VLK98"/>
      <c r="VLL98"/>
      <c r="VLM98"/>
      <c r="VLN98"/>
      <c r="VLO98"/>
      <c r="VLP98"/>
      <c r="VLQ98"/>
      <c r="VLR98"/>
      <c r="VLS98"/>
      <c r="VLT98"/>
      <c r="VLU98"/>
      <c r="VLV98"/>
      <c r="VLW98"/>
      <c r="VLX98"/>
      <c r="VLY98"/>
      <c r="VLZ98"/>
      <c r="VMA98"/>
      <c r="VMB98"/>
      <c r="VMC98"/>
      <c r="VMD98"/>
      <c r="VME98"/>
      <c r="VMF98"/>
      <c r="VMG98"/>
      <c r="VMH98"/>
      <c r="VMI98"/>
      <c r="VMJ98"/>
      <c r="VMK98"/>
      <c r="VML98"/>
      <c r="VMM98"/>
      <c r="VMN98"/>
      <c r="VMO98"/>
      <c r="VMP98"/>
      <c r="VMQ98"/>
      <c r="VMR98"/>
      <c r="VMS98"/>
      <c r="VMT98"/>
      <c r="VMU98"/>
      <c r="VMV98"/>
      <c r="VMW98"/>
      <c r="VMX98"/>
      <c r="VMY98"/>
      <c r="VMZ98"/>
      <c r="VNA98"/>
      <c r="VNB98"/>
      <c r="VNC98"/>
      <c r="VND98"/>
      <c r="VNE98"/>
      <c r="VNF98"/>
      <c r="VNG98"/>
      <c r="VNH98"/>
      <c r="VNI98"/>
      <c r="VNJ98"/>
      <c r="VNK98"/>
      <c r="VNL98"/>
      <c r="VNM98"/>
      <c r="VNN98"/>
      <c r="VNO98"/>
      <c r="VNP98"/>
      <c r="VNQ98"/>
      <c r="VNR98"/>
      <c r="VNS98"/>
      <c r="VNT98"/>
      <c r="VNU98"/>
      <c r="VNV98"/>
      <c r="VNW98"/>
      <c r="VNX98"/>
      <c r="VNY98"/>
      <c r="VNZ98"/>
      <c r="VOA98"/>
      <c r="VOB98"/>
      <c r="VOC98"/>
      <c r="VOD98"/>
      <c r="VOE98"/>
      <c r="VOF98"/>
      <c r="VOG98"/>
      <c r="VOH98"/>
      <c r="VOI98"/>
      <c r="VOJ98"/>
      <c r="VOK98"/>
      <c r="VOL98"/>
      <c r="VOM98"/>
      <c r="VON98"/>
      <c r="VOO98"/>
      <c r="VOP98"/>
      <c r="VOQ98"/>
      <c r="VOR98"/>
      <c r="VOS98"/>
      <c r="VOT98"/>
      <c r="VOU98"/>
      <c r="VOV98"/>
      <c r="VOW98"/>
      <c r="VOX98"/>
      <c r="VOY98"/>
      <c r="VOZ98"/>
      <c r="VPA98"/>
      <c r="VPB98"/>
      <c r="VPC98"/>
      <c r="VPD98"/>
      <c r="VPE98"/>
      <c r="VPF98"/>
      <c r="VPG98"/>
      <c r="VPH98"/>
      <c r="VPI98"/>
      <c r="VPJ98"/>
      <c r="VPK98"/>
      <c r="VPL98"/>
      <c r="VPM98"/>
      <c r="VPN98"/>
      <c r="VPO98"/>
      <c r="VPP98"/>
      <c r="VPQ98"/>
      <c r="VPR98"/>
      <c r="VPS98"/>
      <c r="VPT98"/>
      <c r="VPU98"/>
      <c r="VPV98"/>
      <c r="VPW98"/>
      <c r="VPX98"/>
      <c r="VPY98"/>
      <c r="VPZ98"/>
      <c r="VQA98"/>
      <c r="VQB98"/>
      <c r="VQC98"/>
      <c r="VQD98"/>
      <c r="VQE98"/>
      <c r="VQF98"/>
      <c r="VQG98"/>
      <c r="VQH98"/>
      <c r="VQI98"/>
      <c r="VQJ98"/>
      <c r="VQK98"/>
      <c r="VQL98"/>
      <c r="VQM98"/>
      <c r="VQN98"/>
      <c r="VQO98"/>
      <c r="VQP98"/>
      <c r="VQQ98"/>
      <c r="VQR98"/>
      <c r="VQS98"/>
      <c r="VQT98"/>
      <c r="VQU98"/>
      <c r="VQV98"/>
      <c r="VQW98"/>
      <c r="VQX98"/>
      <c r="VQY98"/>
      <c r="VQZ98"/>
      <c r="VRA98"/>
      <c r="VRB98"/>
      <c r="VRC98"/>
      <c r="VRD98"/>
      <c r="VRE98"/>
      <c r="VRF98"/>
      <c r="VRG98"/>
      <c r="VRH98"/>
      <c r="VRI98"/>
      <c r="VRJ98"/>
      <c r="VRK98"/>
      <c r="VRL98"/>
      <c r="VRM98"/>
      <c r="VRN98"/>
      <c r="VRO98"/>
      <c r="VRP98"/>
      <c r="VRQ98"/>
      <c r="VRR98"/>
      <c r="VRS98"/>
      <c r="VRT98"/>
      <c r="VRU98"/>
      <c r="VRV98"/>
      <c r="VRW98"/>
      <c r="VRX98"/>
      <c r="VRY98"/>
      <c r="VRZ98"/>
      <c r="VSA98"/>
      <c r="VSB98"/>
      <c r="VSC98"/>
      <c r="VSD98"/>
      <c r="VSE98"/>
      <c r="VSF98"/>
      <c r="VSG98"/>
      <c r="VSH98"/>
      <c r="VSI98"/>
      <c r="VSJ98"/>
      <c r="VSK98"/>
      <c r="VSL98"/>
      <c r="VSM98"/>
      <c r="VSN98"/>
      <c r="VSO98"/>
      <c r="VSP98"/>
      <c r="VSQ98"/>
      <c r="VSR98"/>
      <c r="VSS98"/>
      <c r="VST98"/>
      <c r="VSU98"/>
      <c r="VSV98"/>
      <c r="VSW98"/>
      <c r="VSX98"/>
      <c r="VSY98"/>
      <c r="VSZ98"/>
      <c r="VTA98"/>
      <c r="VTB98"/>
      <c r="VTC98"/>
      <c r="VTD98"/>
      <c r="VTE98"/>
      <c r="VTF98"/>
      <c r="VTG98"/>
      <c r="VTH98"/>
      <c r="VTI98"/>
      <c r="VTJ98"/>
      <c r="VTK98"/>
      <c r="VTL98"/>
      <c r="VTM98"/>
      <c r="VTN98"/>
      <c r="VTO98"/>
      <c r="VTP98"/>
      <c r="VTQ98"/>
      <c r="VTR98"/>
      <c r="VTS98"/>
      <c r="VTT98"/>
      <c r="VTU98"/>
      <c r="VTV98"/>
      <c r="VTW98"/>
      <c r="VTX98"/>
      <c r="VTY98"/>
      <c r="VTZ98"/>
      <c r="VUA98"/>
      <c r="VUB98"/>
      <c r="VUC98"/>
      <c r="VUD98"/>
      <c r="VUE98"/>
      <c r="VUF98"/>
      <c r="VUG98"/>
      <c r="VUH98"/>
      <c r="VUI98"/>
      <c r="VUJ98"/>
      <c r="VUK98"/>
      <c r="VUL98"/>
      <c r="VUM98"/>
      <c r="VUN98"/>
      <c r="VUO98"/>
      <c r="VUP98"/>
      <c r="VUQ98"/>
      <c r="VUR98"/>
      <c r="VUS98"/>
      <c r="VUT98"/>
      <c r="VUU98"/>
      <c r="VUV98"/>
      <c r="VUW98"/>
      <c r="VUX98"/>
      <c r="VUY98"/>
      <c r="VUZ98"/>
      <c r="VVA98"/>
      <c r="VVB98"/>
      <c r="VVC98"/>
      <c r="VVD98"/>
      <c r="VVE98"/>
      <c r="VVF98"/>
      <c r="VVG98"/>
      <c r="VVH98"/>
      <c r="VVI98"/>
      <c r="VVJ98"/>
      <c r="VVK98"/>
      <c r="VVL98"/>
      <c r="VVM98"/>
      <c r="VVN98"/>
      <c r="VVO98"/>
      <c r="VVP98"/>
      <c r="VVQ98"/>
      <c r="VVR98"/>
      <c r="VVS98"/>
      <c r="VVT98"/>
      <c r="VVU98"/>
      <c r="VVV98"/>
      <c r="VVW98"/>
      <c r="VVX98"/>
      <c r="VVY98"/>
      <c r="VVZ98"/>
      <c r="VWA98"/>
      <c r="VWB98"/>
      <c r="VWC98"/>
    </row>
    <row r="99" spans="2:39 15081:15473" s="1" customFormat="1" x14ac:dyDescent="0.25">
      <c r="B99" s="128"/>
      <c r="C99" s="175" t="s">
        <v>54</v>
      </c>
      <c r="D99" s="176"/>
      <c r="E99" s="177" t="s">
        <v>16</v>
      </c>
      <c r="F99" s="190">
        <v>0</v>
      </c>
      <c r="G99" s="190">
        <v>0</v>
      </c>
      <c r="H99" s="190">
        <v>0</v>
      </c>
      <c r="I99" s="190">
        <v>0</v>
      </c>
      <c r="J99" s="190">
        <v>0</v>
      </c>
      <c r="K99" s="190">
        <v>6927.77</v>
      </c>
      <c r="L99" s="190"/>
      <c r="M99" s="190">
        <v>0</v>
      </c>
      <c r="N99" s="190">
        <v>0</v>
      </c>
      <c r="O99" s="190">
        <v>0</v>
      </c>
      <c r="P99" s="190">
        <v>0</v>
      </c>
      <c r="Q99" s="190">
        <v>25525.53</v>
      </c>
      <c r="R99" s="190">
        <v>25581.64</v>
      </c>
      <c r="S99" s="190"/>
      <c r="T99" s="190">
        <v>0</v>
      </c>
      <c r="U99" s="190">
        <f>51047.43+44251.79</f>
        <v>95299.22</v>
      </c>
      <c r="V99" s="190">
        <v>26676.69</v>
      </c>
      <c r="W99" s="190">
        <v>0</v>
      </c>
      <c r="X99" s="190">
        <v>0</v>
      </c>
      <c r="Y99" s="190">
        <v>0</v>
      </c>
      <c r="Z99" s="190">
        <v>0</v>
      </c>
      <c r="AA99" s="190">
        <v>0</v>
      </c>
      <c r="AB99" s="190">
        <v>0</v>
      </c>
      <c r="AC99" s="190">
        <v>0</v>
      </c>
      <c r="AD99" s="190">
        <v>0</v>
      </c>
      <c r="AE99" s="190">
        <v>0</v>
      </c>
      <c r="AF99" s="190"/>
      <c r="AG99" s="190"/>
      <c r="AH99" s="190"/>
      <c r="AI99" s="190"/>
      <c r="AJ99" s="190">
        <v>0</v>
      </c>
      <c r="AK99" s="17"/>
      <c r="AL99" s="16">
        <f>SUM(AL100:AL101)</f>
        <v>180010.85000000003</v>
      </c>
      <c r="AM99" s="19"/>
    </row>
    <row r="100" spans="2:39 15081:15473" s="1" customFormat="1" x14ac:dyDescent="0.25">
      <c r="B100" s="128"/>
      <c r="C100" s="182" t="s">
        <v>44</v>
      </c>
      <c r="D100" s="131"/>
      <c r="E100" s="177" t="s">
        <v>16</v>
      </c>
      <c r="F100" s="151">
        <f t="shared" ref="F100:AJ100" si="37">SUM(F104:F105)*10.86</f>
        <v>0</v>
      </c>
      <c r="G100" s="151">
        <f t="shared" si="37"/>
        <v>0</v>
      </c>
      <c r="H100" s="151">
        <f t="shared" si="37"/>
        <v>0</v>
      </c>
      <c r="I100" s="151">
        <f t="shared" si="37"/>
        <v>0</v>
      </c>
      <c r="J100" s="151">
        <f t="shared" si="37"/>
        <v>0</v>
      </c>
      <c r="K100" s="151">
        <f t="shared" si="37"/>
        <v>6928.6799999999994</v>
      </c>
      <c r="L100" s="151">
        <f t="shared" si="37"/>
        <v>0</v>
      </c>
      <c r="M100" s="151">
        <f t="shared" si="37"/>
        <v>0</v>
      </c>
      <c r="N100" s="151">
        <f t="shared" si="37"/>
        <v>0</v>
      </c>
      <c r="O100" s="151">
        <f t="shared" si="37"/>
        <v>0</v>
      </c>
      <c r="P100" s="151">
        <f t="shared" si="37"/>
        <v>0</v>
      </c>
      <c r="Q100" s="151">
        <f t="shared" si="37"/>
        <v>25531.859999999997</v>
      </c>
      <c r="R100" s="151">
        <f>SUM(R104:R105)*10.86</f>
        <v>25575.3</v>
      </c>
      <c r="S100" s="151">
        <f t="shared" si="37"/>
        <v>0</v>
      </c>
      <c r="T100" s="151">
        <f t="shared" si="37"/>
        <v>0</v>
      </c>
      <c r="U100" s="151">
        <f t="shared" si="37"/>
        <v>96306.48</v>
      </c>
      <c r="V100" s="151">
        <f t="shared" si="37"/>
        <v>26715.599999999999</v>
      </c>
      <c r="W100" s="151">
        <f t="shared" si="37"/>
        <v>0</v>
      </c>
      <c r="X100" s="151">
        <f t="shared" si="37"/>
        <v>0</v>
      </c>
      <c r="Y100" s="151">
        <f t="shared" si="37"/>
        <v>0</v>
      </c>
      <c r="Z100" s="151">
        <f t="shared" si="37"/>
        <v>0</v>
      </c>
      <c r="AA100" s="151">
        <f t="shared" si="37"/>
        <v>0</v>
      </c>
      <c r="AB100" s="151">
        <f t="shared" si="37"/>
        <v>0</v>
      </c>
      <c r="AC100" s="151">
        <f t="shared" si="37"/>
        <v>0</v>
      </c>
      <c r="AD100" s="151">
        <f t="shared" si="37"/>
        <v>0</v>
      </c>
      <c r="AE100" s="151">
        <f t="shared" si="37"/>
        <v>0</v>
      </c>
      <c r="AF100" s="151">
        <f t="shared" si="37"/>
        <v>0</v>
      </c>
      <c r="AG100" s="151">
        <f t="shared" si="37"/>
        <v>0</v>
      </c>
      <c r="AH100" s="151">
        <f t="shared" si="37"/>
        <v>0</v>
      </c>
      <c r="AI100" s="151">
        <f t="shared" si="37"/>
        <v>0</v>
      </c>
      <c r="AJ100" s="151">
        <f t="shared" si="37"/>
        <v>0</v>
      </c>
      <c r="AK100" s="9"/>
      <c r="AL100" s="33">
        <f>SUM(F100:AJ100)</f>
        <v>181057.92000000001</v>
      </c>
      <c r="AM100" s="41"/>
    </row>
    <row r="101" spans="2:39 15081:15473" s="1" customFormat="1" x14ac:dyDescent="0.25">
      <c r="B101" s="128"/>
      <c r="C101" s="182" t="s">
        <v>43</v>
      </c>
      <c r="D101" s="131"/>
      <c r="E101" s="177" t="s">
        <v>16</v>
      </c>
      <c r="F101" s="151">
        <f>F99-F100</f>
        <v>0</v>
      </c>
      <c r="G101" s="151">
        <f t="shared" ref="G101:AJ101" si="38">G99-G100</f>
        <v>0</v>
      </c>
      <c r="H101" s="151">
        <f t="shared" si="38"/>
        <v>0</v>
      </c>
      <c r="I101" s="151">
        <f t="shared" si="38"/>
        <v>0</v>
      </c>
      <c r="J101" s="151">
        <f t="shared" si="38"/>
        <v>0</v>
      </c>
      <c r="K101" s="151">
        <f t="shared" si="38"/>
        <v>-0.90999999999894499</v>
      </c>
      <c r="L101" s="151">
        <f t="shared" si="38"/>
        <v>0</v>
      </c>
      <c r="M101" s="151">
        <f t="shared" si="38"/>
        <v>0</v>
      </c>
      <c r="N101" s="151">
        <f t="shared" si="38"/>
        <v>0</v>
      </c>
      <c r="O101" s="151">
        <f t="shared" si="38"/>
        <v>0</v>
      </c>
      <c r="P101" s="151">
        <f t="shared" si="38"/>
        <v>0</v>
      </c>
      <c r="Q101" s="151">
        <f t="shared" si="38"/>
        <v>-6.3299999999981083</v>
      </c>
      <c r="R101" s="151">
        <f>R99-R100</f>
        <v>6.3400000000001455</v>
      </c>
      <c r="S101" s="151">
        <f t="shared" si="38"/>
        <v>0</v>
      </c>
      <c r="T101" s="151">
        <f t="shared" si="38"/>
        <v>0</v>
      </c>
      <c r="U101" s="151">
        <f t="shared" si="38"/>
        <v>-1007.2599999999948</v>
      </c>
      <c r="V101" s="151">
        <f t="shared" si="38"/>
        <v>-38.909999999999854</v>
      </c>
      <c r="W101" s="151">
        <f t="shared" si="38"/>
        <v>0</v>
      </c>
      <c r="X101" s="151">
        <f t="shared" si="38"/>
        <v>0</v>
      </c>
      <c r="Y101" s="151">
        <f t="shared" si="38"/>
        <v>0</v>
      </c>
      <c r="Z101" s="151">
        <f t="shared" si="38"/>
        <v>0</v>
      </c>
      <c r="AA101" s="151">
        <f t="shared" si="38"/>
        <v>0</v>
      </c>
      <c r="AB101" s="151">
        <f t="shared" si="38"/>
        <v>0</v>
      </c>
      <c r="AC101" s="151">
        <f t="shared" si="38"/>
        <v>0</v>
      </c>
      <c r="AD101" s="151">
        <f t="shared" si="38"/>
        <v>0</v>
      </c>
      <c r="AE101" s="151">
        <f t="shared" si="38"/>
        <v>0</v>
      </c>
      <c r="AF101" s="151">
        <f t="shared" si="38"/>
        <v>0</v>
      </c>
      <c r="AG101" s="151">
        <f t="shared" si="38"/>
        <v>0</v>
      </c>
      <c r="AH101" s="151">
        <f t="shared" si="38"/>
        <v>0</v>
      </c>
      <c r="AI101" s="151">
        <f t="shared" si="38"/>
        <v>0</v>
      </c>
      <c r="AJ101" s="151">
        <f t="shared" si="38"/>
        <v>0</v>
      </c>
      <c r="AK101" s="9"/>
      <c r="AL101" s="33">
        <f>SUM(F101:AJ101)</f>
        <v>-1047.0699999999915</v>
      </c>
      <c r="AM101" s="41"/>
    </row>
    <row r="102" spans="2:39 15081:15473" s="1" customFormat="1" x14ac:dyDescent="0.25">
      <c r="B102" s="128"/>
      <c r="C102" s="182" t="s">
        <v>58</v>
      </c>
      <c r="D102" s="131"/>
      <c r="E102" s="113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9"/>
      <c r="AL102" s="320"/>
      <c r="AM102" s="240"/>
    </row>
    <row r="103" spans="2:39 15081:15473" s="1" customFormat="1" x14ac:dyDescent="0.25">
      <c r="B103" s="321"/>
      <c r="C103" s="322" t="s">
        <v>33</v>
      </c>
      <c r="D103" s="323"/>
      <c r="E103" s="113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9"/>
      <c r="AL103" s="34" t="s">
        <v>33</v>
      </c>
      <c r="AM103" s="240"/>
    </row>
    <row r="104" spans="2:39 15081:15473" s="47" customFormat="1" x14ac:dyDescent="0.25">
      <c r="B104" s="98"/>
      <c r="C104" s="96" t="s">
        <v>53</v>
      </c>
      <c r="D104" s="97"/>
      <c r="E104" s="281" t="s">
        <v>36</v>
      </c>
      <c r="F104" s="185">
        <v>0</v>
      </c>
      <c r="G104" s="185">
        <v>0</v>
      </c>
      <c r="H104" s="185">
        <v>0</v>
      </c>
      <c r="I104" s="185">
        <v>0</v>
      </c>
      <c r="J104" s="185">
        <v>0</v>
      </c>
      <c r="K104" s="185">
        <v>638</v>
      </c>
      <c r="L104" s="185"/>
      <c r="M104" s="185">
        <v>0</v>
      </c>
      <c r="N104" s="185">
        <v>0</v>
      </c>
      <c r="O104" s="185">
        <v>0</v>
      </c>
      <c r="P104" s="185">
        <v>0</v>
      </c>
      <c r="Q104" s="185">
        <v>0</v>
      </c>
      <c r="R104" s="185">
        <v>0</v>
      </c>
      <c r="S104" s="185"/>
      <c r="T104" s="185">
        <v>0</v>
      </c>
      <c r="U104" s="185">
        <v>4713</v>
      </c>
      <c r="V104" s="185">
        <v>2460</v>
      </c>
      <c r="W104" s="185">
        <v>0</v>
      </c>
      <c r="X104" s="185">
        <v>0</v>
      </c>
      <c r="Y104" s="185">
        <v>0</v>
      </c>
      <c r="Z104" s="185">
        <v>0</v>
      </c>
      <c r="AA104" s="185">
        <v>0</v>
      </c>
      <c r="AB104" s="185">
        <v>0</v>
      </c>
      <c r="AC104" s="185">
        <v>0</v>
      </c>
      <c r="AD104" s="185">
        <v>0</v>
      </c>
      <c r="AE104" s="185">
        <v>0</v>
      </c>
      <c r="AF104" s="185"/>
      <c r="AG104" s="185"/>
      <c r="AH104" s="185"/>
      <c r="AI104" s="185"/>
      <c r="AJ104" s="185">
        <v>0</v>
      </c>
      <c r="AK104" s="37"/>
      <c r="AL104" s="36">
        <f>SUM(F104:AJ104)</f>
        <v>7811</v>
      </c>
      <c r="AM104" s="147"/>
    </row>
    <row r="105" spans="2:39 15081:15473" s="47" customFormat="1" x14ac:dyDescent="0.25">
      <c r="B105" s="98"/>
      <c r="C105" s="96" t="s">
        <v>52</v>
      </c>
      <c r="D105" s="97"/>
      <c r="E105" s="281" t="s">
        <v>36</v>
      </c>
      <c r="F105" s="185">
        <v>0</v>
      </c>
      <c r="G105" s="185">
        <v>0</v>
      </c>
      <c r="H105" s="185">
        <v>0</v>
      </c>
      <c r="I105" s="185">
        <v>0</v>
      </c>
      <c r="J105" s="185">
        <v>0</v>
      </c>
      <c r="K105" s="185">
        <v>0</v>
      </c>
      <c r="L105" s="185"/>
      <c r="M105" s="185">
        <v>0</v>
      </c>
      <c r="N105" s="185">
        <v>0</v>
      </c>
      <c r="O105" s="185">
        <v>0</v>
      </c>
      <c r="P105" s="185">
        <v>0</v>
      </c>
      <c r="Q105" s="185">
        <v>2351</v>
      </c>
      <c r="R105" s="185">
        <v>2355</v>
      </c>
      <c r="S105" s="185"/>
      <c r="T105" s="185">
        <v>0</v>
      </c>
      <c r="U105" s="185">
        <v>4155</v>
      </c>
      <c r="V105" s="185">
        <v>0</v>
      </c>
      <c r="W105" s="185">
        <v>0</v>
      </c>
      <c r="X105" s="185">
        <v>0</v>
      </c>
      <c r="Y105" s="185">
        <v>0</v>
      </c>
      <c r="Z105" s="185">
        <v>0</v>
      </c>
      <c r="AA105" s="185">
        <v>0</v>
      </c>
      <c r="AB105" s="185">
        <v>0</v>
      </c>
      <c r="AC105" s="185">
        <v>0</v>
      </c>
      <c r="AD105" s="185">
        <v>0</v>
      </c>
      <c r="AE105" s="185">
        <v>0</v>
      </c>
      <c r="AF105" s="185"/>
      <c r="AG105" s="185"/>
      <c r="AH105" s="185"/>
      <c r="AI105" s="185"/>
      <c r="AJ105" s="185">
        <v>0</v>
      </c>
      <c r="AK105" s="37"/>
      <c r="AL105" s="36">
        <f>SUM(F105:AJ105)</f>
        <v>8861</v>
      </c>
      <c r="AM105" s="147"/>
    </row>
    <row r="106" spans="2:39 15081:15473" s="1" customFormat="1" x14ac:dyDescent="0.25">
      <c r="B106" s="128"/>
      <c r="C106" s="182" t="s">
        <v>32</v>
      </c>
      <c r="D106" s="131"/>
      <c r="E106" s="113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9"/>
      <c r="AL106" s="34" t="s">
        <v>32</v>
      </c>
      <c r="AM106" s="240"/>
    </row>
    <row r="107" spans="2:39 15081:15473" s="1" customFormat="1" x14ac:dyDescent="0.25">
      <c r="B107" s="128"/>
      <c r="C107" s="96" t="s">
        <v>53</v>
      </c>
      <c r="D107" s="131"/>
      <c r="E107" s="177" t="s">
        <v>32</v>
      </c>
      <c r="F107" s="119">
        <f t="shared" ref="F107:AJ107" si="39">F104*12</f>
        <v>0</v>
      </c>
      <c r="G107" s="119">
        <f t="shared" si="39"/>
        <v>0</v>
      </c>
      <c r="H107" s="119">
        <f t="shared" si="39"/>
        <v>0</v>
      </c>
      <c r="I107" s="119">
        <f t="shared" si="39"/>
        <v>0</v>
      </c>
      <c r="J107" s="119">
        <f t="shared" si="39"/>
        <v>0</v>
      </c>
      <c r="K107" s="119">
        <f t="shared" si="39"/>
        <v>7656</v>
      </c>
      <c r="L107" s="119">
        <f t="shared" si="39"/>
        <v>0</v>
      </c>
      <c r="M107" s="119">
        <f t="shared" si="39"/>
        <v>0</v>
      </c>
      <c r="N107" s="119">
        <f t="shared" si="39"/>
        <v>0</v>
      </c>
      <c r="O107" s="119">
        <f t="shared" si="39"/>
        <v>0</v>
      </c>
      <c r="P107" s="119">
        <f t="shared" si="39"/>
        <v>0</v>
      </c>
      <c r="Q107" s="119">
        <f t="shared" si="39"/>
        <v>0</v>
      </c>
      <c r="R107" s="119">
        <f t="shared" si="39"/>
        <v>0</v>
      </c>
      <c r="S107" s="119">
        <f t="shared" si="39"/>
        <v>0</v>
      </c>
      <c r="T107" s="119">
        <f t="shared" si="39"/>
        <v>0</v>
      </c>
      <c r="U107" s="119">
        <f t="shared" si="39"/>
        <v>56556</v>
      </c>
      <c r="V107" s="119">
        <f t="shared" si="39"/>
        <v>29520</v>
      </c>
      <c r="W107" s="119">
        <f t="shared" si="39"/>
        <v>0</v>
      </c>
      <c r="X107" s="119">
        <f t="shared" si="39"/>
        <v>0</v>
      </c>
      <c r="Y107" s="119">
        <f t="shared" si="39"/>
        <v>0</v>
      </c>
      <c r="Z107" s="119">
        <f t="shared" si="39"/>
        <v>0</v>
      </c>
      <c r="AA107" s="119">
        <f t="shared" si="39"/>
        <v>0</v>
      </c>
      <c r="AB107" s="119">
        <f t="shared" si="39"/>
        <v>0</v>
      </c>
      <c r="AC107" s="119">
        <f t="shared" si="39"/>
        <v>0</v>
      </c>
      <c r="AD107" s="119">
        <f t="shared" si="39"/>
        <v>0</v>
      </c>
      <c r="AE107" s="119">
        <f t="shared" si="39"/>
        <v>0</v>
      </c>
      <c r="AF107" s="119">
        <f t="shared" si="39"/>
        <v>0</v>
      </c>
      <c r="AG107" s="119">
        <f t="shared" si="39"/>
        <v>0</v>
      </c>
      <c r="AH107" s="119">
        <f t="shared" si="39"/>
        <v>0</v>
      </c>
      <c r="AI107" s="119">
        <f t="shared" si="39"/>
        <v>0</v>
      </c>
      <c r="AJ107" s="119">
        <f t="shared" si="39"/>
        <v>0</v>
      </c>
      <c r="AK107" s="9"/>
      <c r="AL107" s="18">
        <f>AL104*12</f>
        <v>93732</v>
      </c>
      <c r="AM107" s="22"/>
    </row>
    <row r="108" spans="2:39 15081:15473" s="1" customFormat="1" x14ac:dyDescent="0.25">
      <c r="B108" s="128"/>
      <c r="C108" s="96" t="s">
        <v>52</v>
      </c>
      <c r="D108" s="131"/>
      <c r="E108" s="177" t="s">
        <v>32</v>
      </c>
      <c r="F108" s="119">
        <f t="shared" ref="F108:AJ108" si="40">F105*6</f>
        <v>0</v>
      </c>
      <c r="G108" s="119">
        <f t="shared" si="40"/>
        <v>0</v>
      </c>
      <c r="H108" s="119">
        <f t="shared" si="40"/>
        <v>0</v>
      </c>
      <c r="I108" s="119">
        <f t="shared" si="40"/>
        <v>0</v>
      </c>
      <c r="J108" s="119">
        <f t="shared" si="40"/>
        <v>0</v>
      </c>
      <c r="K108" s="119">
        <f t="shared" si="40"/>
        <v>0</v>
      </c>
      <c r="L108" s="119">
        <f t="shared" si="40"/>
        <v>0</v>
      </c>
      <c r="M108" s="119">
        <f t="shared" si="40"/>
        <v>0</v>
      </c>
      <c r="N108" s="119">
        <f t="shared" si="40"/>
        <v>0</v>
      </c>
      <c r="O108" s="119">
        <f t="shared" si="40"/>
        <v>0</v>
      </c>
      <c r="P108" s="119">
        <f t="shared" si="40"/>
        <v>0</v>
      </c>
      <c r="Q108" s="119">
        <f t="shared" si="40"/>
        <v>14106</v>
      </c>
      <c r="R108" s="119">
        <f t="shared" si="40"/>
        <v>14130</v>
      </c>
      <c r="S108" s="119">
        <f t="shared" si="40"/>
        <v>0</v>
      </c>
      <c r="T108" s="119">
        <f t="shared" si="40"/>
        <v>0</v>
      </c>
      <c r="U108" s="119">
        <f t="shared" si="40"/>
        <v>24930</v>
      </c>
      <c r="V108" s="119">
        <f t="shared" si="40"/>
        <v>0</v>
      </c>
      <c r="W108" s="119">
        <f t="shared" si="40"/>
        <v>0</v>
      </c>
      <c r="X108" s="119">
        <f t="shared" si="40"/>
        <v>0</v>
      </c>
      <c r="Y108" s="119">
        <f t="shared" si="40"/>
        <v>0</v>
      </c>
      <c r="Z108" s="119">
        <f t="shared" si="40"/>
        <v>0</v>
      </c>
      <c r="AA108" s="119">
        <f t="shared" si="40"/>
        <v>0</v>
      </c>
      <c r="AB108" s="119">
        <f t="shared" si="40"/>
        <v>0</v>
      </c>
      <c r="AC108" s="119">
        <f t="shared" si="40"/>
        <v>0</v>
      </c>
      <c r="AD108" s="119">
        <f t="shared" si="40"/>
        <v>0</v>
      </c>
      <c r="AE108" s="119">
        <f t="shared" si="40"/>
        <v>0</v>
      </c>
      <c r="AF108" s="119">
        <f t="shared" si="40"/>
        <v>0</v>
      </c>
      <c r="AG108" s="119">
        <f t="shared" si="40"/>
        <v>0</v>
      </c>
      <c r="AH108" s="119">
        <f t="shared" si="40"/>
        <v>0</v>
      </c>
      <c r="AI108" s="119">
        <f t="shared" si="40"/>
        <v>0</v>
      </c>
      <c r="AJ108" s="119">
        <f t="shared" si="40"/>
        <v>0</v>
      </c>
      <c r="AK108" s="9"/>
      <c r="AL108" s="18">
        <f>AL105*6</f>
        <v>53166</v>
      </c>
      <c r="AM108" s="22"/>
    </row>
    <row r="109" spans="2:39 15081:15473" s="1" customFormat="1" x14ac:dyDescent="0.25">
      <c r="B109" s="128"/>
      <c r="C109" s="182" t="s">
        <v>41</v>
      </c>
      <c r="D109" s="131"/>
      <c r="E109" s="177" t="s">
        <v>40</v>
      </c>
      <c r="F109" s="119">
        <v>0</v>
      </c>
      <c r="G109" s="119">
        <f t="shared" ref="G109:Y109" si="41">(G99*45)/1700</f>
        <v>0</v>
      </c>
      <c r="H109" s="119">
        <f t="shared" si="41"/>
        <v>0</v>
      </c>
      <c r="I109" s="119">
        <f t="shared" si="41"/>
        <v>0</v>
      </c>
      <c r="J109" s="119">
        <f t="shared" si="41"/>
        <v>0</v>
      </c>
      <c r="K109" s="119">
        <f t="shared" si="41"/>
        <v>183.38214705882353</v>
      </c>
      <c r="L109" s="119">
        <f t="shared" si="41"/>
        <v>0</v>
      </c>
      <c r="M109" s="119">
        <f t="shared" si="41"/>
        <v>0</v>
      </c>
      <c r="N109" s="119">
        <f t="shared" si="41"/>
        <v>0</v>
      </c>
      <c r="O109" s="119">
        <f t="shared" si="41"/>
        <v>0</v>
      </c>
      <c r="P109" s="119">
        <f t="shared" si="41"/>
        <v>0</v>
      </c>
      <c r="Q109" s="119">
        <f t="shared" si="41"/>
        <v>675.675794117647</v>
      </c>
      <c r="R109" s="119">
        <f t="shared" si="41"/>
        <v>677.1610588235294</v>
      </c>
      <c r="S109" s="119">
        <f t="shared" si="41"/>
        <v>0</v>
      </c>
      <c r="T109" s="119">
        <f t="shared" si="41"/>
        <v>0</v>
      </c>
      <c r="U109" s="119">
        <f t="shared" si="41"/>
        <v>2522.6264117647061</v>
      </c>
      <c r="V109" s="119">
        <f t="shared" si="41"/>
        <v>706.14767647058829</v>
      </c>
      <c r="W109" s="119">
        <f t="shared" si="41"/>
        <v>0</v>
      </c>
      <c r="X109" s="119">
        <f t="shared" si="41"/>
        <v>0</v>
      </c>
      <c r="Y109" s="119">
        <f t="shared" si="41"/>
        <v>0</v>
      </c>
      <c r="Z109" s="119">
        <f t="shared" ref="Z109:AJ109" si="42">Z99*45/1700</f>
        <v>0</v>
      </c>
      <c r="AA109" s="119">
        <f t="shared" si="42"/>
        <v>0</v>
      </c>
      <c r="AB109" s="119">
        <f t="shared" si="42"/>
        <v>0</v>
      </c>
      <c r="AC109" s="119">
        <f t="shared" si="42"/>
        <v>0</v>
      </c>
      <c r="AD109" s="119">
        <f t="shared" si="42"/>
        <v>0</v>
      </c>
      <c r="AE109" s="119">
        <f t="shared" si="42"/>
        <v>0</v>
      </c>
      <c r="AF109" s="119">
        <f t="shared" si="42"/>
        <v>0</v>
      </c>
      <c r="AG109" s="119">
        <f t="shared" si="42"/>
        <v>0</v>
      </c>
      <c r="AH109" s="119">
        <f t="shared" si="42"/>
        <v>0</v>
      </c>
      <c r="AI109" s="119">
        <f t="shared" si="42"/>
        <v>0</v>
      </c>
      <c r="AJ109" s="119">
        <f t="shared" si="42"/>
        <v>0</v>
      </c>
      <c r="AK109" s="9"/>
      <c r="AL109" s="18">
        <f>SUM(F109:AJ109)</f>
        <v>4764.9930882352946</v>
      </c>
      <c r="AM109" s="22"/>
    </row>
    <row r="110" spans="2:39 15081:15473" s="1" customFormat="1" x14ac:dyDescent="0.25">
      <c r="B110" s="128"/>
      <c r="C110" s="182" t="s">
        <v>39</v>
      </c>
      <c r="D110" s="131"/>
      <c r="E110" s="177" t="s">
        <v>38</v>
      </c>
      <c r="F110" s="119">
        <f t="shared" ref="F110:AJ110" si="43">SUM(F104:F105)/500</f>
        <v>0</v>
      </c>
      <c r="G110" s="119">
        <f t="shared" si="43"/>
        <v>0</v>
      </c>
      <c r="H110" s="119">
        <f t="shared" si="43"/>
        <v>0</v>
      </c>
      <c r="I110" s="119">
        <f t="shared" si="43"/>
        <v>0</v>
      </c>
      <c r="J110" s="119">
        <f t="shared" si="43"/>
        <v>0</v>
      </c>
      <c r="K110" s="119">
        <f t="shared" si="43"/>
        <v>1.276</v>
      </c>
      <c r="L110" s="119">
        <f t="shared" si="43"/>
        <v>0</v>
      </c>
      <c r="M110" s="119">
        <f t="shared" si="43"/>
        <v>0</v>
      </c>
      <c r="N110" s="119">
        <f t="shared" si="43"/>
        <v>0</v>
      </c>
      <c r="O110" s="119">
        <f t="shared" si="43"/>
        <v>0</v>
      </c>
      <c r="P110" s="119">
        <f t="shared" si="43"/>
        <v>0</v>
      </c>
      <c r="Q110" s="119">
        <f t="shared" si="43"/>
        <v>4.702</v>
      </c>
      <c r="R110" s="119">
        <f t="shared" si="43"/>
        <v>4.71</v>
      </c>
      <c r="S110" s="119">
        <f t="shared" si="43"/>
        <v>0</v>
      </c>
      <c r="T110" s="119">
        <f t="shared" si="43"/>
        <v>0</v>
      </c>
      <c r="U110" s="119">
        <f t="shared" si="43"/>
        <v>17.736000000000001</v>
      </c>
      <c r="V110" s="119">
        <f t="shared" si="43"/>
        <v>4.92</v>
      </c>
      <c r="W110" s="119">
        <f t="shared" si="43"/>
        <v>0</v>
      </c>
      <c r="X110" s="119">
        <f t="shared" si="43"/>
        <v>0</v>
      </c>
      <c r="Y110" s="119">
        <f t="shared" si="43"/>
        <v>0</v>
      </c>
      <c r="Z110" s="119">
        <f t="shared" si="43"/>
        <v>0</v>
      </c>
      <c r="AA110" s="119">
        <f t="shared" si="43"/>
        <v>0</v>
      </c>
      <c r="AB110" s="119">
        <f t="shared" si="43"/>
        <v>0</v>
      </c>
      <c r="AC110" s="119">
        <f t="shared" si="43"/>
        <v>0</v>
      </c>
      <c r="AD110" s="119">
        <f t="shared" si="43"/>
        <v>0</v>
      </c>
      <c r="AE110" s="119">
        <f t="shared" si="43"/>
        <v>0</v>
      </c>
      <c r="AF110" s="180">
        <f t="shared" si="43"/>
        <v>0</v>
      </c>
      <c r="AG110" s="119">
        <f t="shared" si="43"/>
        <v>0</v>
      </c>
      <c r="AH110" s="119">
        <f t="shared" si="43"/>
        <v>0</v>
      </c>
      <c r="AI110" s="119">
        <f t="shared" si="43"/>
        <v>0</v>
      </c>
      <c r="AJ110" s="119">
        <f t="shared" si="43"/>
        <v>0</v>
      </c>
      <c r="AK110" s="9"/>
      <c r="AL110" s="18">
        <f>SUM(F110:AJ110)</f>
        <v>33.344000000000001</v>
      </c>
      <c r="AM110" s="22"/>
    </row>
    <row r="111" spans="2:39 15081:15473" s="1" customFormat="1" x14ac:dyDescent="0.25">
      <c r="B111" s="113"/>
      <c r="C111" s="93" t="s">
        <v>37</v>
      </c>
      <c r="D111" s="110"/>
      <c r="E111" s="270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2"/>
      <c r="AD111" s="111"/>
      <c r="AE111" s="111"/>
      <c r="AF111" s="111"/>
      <c r="AG111" s="111"/>
      <c r="AH111" s="111"/>
      <c r="AI111" s="112"/>
      <c r="AJ111" s="112"/>
      <c r="AK111" s="22"/>
      <c r="AL111" s="35" t="s">
        <v>34</v>
      </c>
      <c r="AM111" s="238"/>
      <c r="VHA111"/>
      <c r="VHB111"/>
      <c r="VHC111"/>
      <c r="VHD111"/>
      <c r="VHE111"/>
      <c r="VHF111"/>
      <c r="VHG111"/>
      <c r="VHH111"/>
      <c r="VHI111"/>
      <c r="VHJ111"/>
      <c r="VHK111"/>
      <c r="VHL111"/>
      <c r="VHM111"/>
      <c r="VHN111"/>
      <c r="VHO111"/>
      <c r="VHP111"/>
      <c r="VHQ111"/>
      <c r="VHR111"/>
      <c r="VHS111"/>
      <c r="VHT111"/>
      <c r="VHU111"/>
      <c r="VHV111"/>
      <c r="VHW111"/>
      <c r="VHX111"/>
      <c r="VHY111"/>
      <c r="VHZ111"/>
      <c r="VIA111"/>
      <c r="VIB111"/>
      <c r="VIC111"/>
      <c r="VID111"/>
      <c r="VIE111"/>
      <c r="VIF111"/>
      <c r="VIG111"/>
      <c r="VIH111"/>
      <c r="VII111"/>
      <c r="VIJ111"/>
      <c r="VIK111"/>
      <c r="VIL111"/>
      <c r="VIM111"/>
      <c r="VIN111"/>
      <c r="VIO111"/>
      <c r="VIP111"/>
      <c r="VIQ111"/>
      <c r="VIR111"/>
      <c r="VIS111"/>
      <c r="VIT111"/>
      <c r="VIU111"/>
      <c r="VIV111"/>
      <c r="VIW111"/>
      <c r="VIX111"/>
      <c r="VIY111"/>
      <c r="VIZ111"/>
      <c r="VJA111"/>
      <c r="VJB111"/>
      <c r="VJC111"/>
      <c r="VJD111"/>
      <c r="VJE111"/>
      <c r="VJF111"/>
      <c r="VJG111"/>
      <c r="VJH111"/>
      <c r="VJI111"/>
      <c r="VJJ111"/>
      <c r="VJK111"/>
      <c r="VJL111"/>
      <c r="VJM111"/>
      <c r="VJN111"/>
      <c r="VJO111"/>
      <c r="VJP111"/>
      <c r="VJQ111"/>
      <c r="VJR111"/>
      <c r="VJS111"/>
      <c r="VJT111"/>
      <c r="VJU111"/>
      <c r="VJV111"/>
      <c r="VJW111"/>
      <c r="VJX111"/>
      <c r="VJY111"/>
      <c r="VJZ111"/>
      <c r="VKA111"/>
      <c r="VKB111"/>
      <c r="VKC111"/>
      <c r="VKD111"/>
      <c r="VKE111"/>
      <c r="VKF111"/>
      <c r="VKG111"/>
      <c r="VKH111"/>
      <c r="VKI111"/>
      <c r="VKJ111"/>
      <c r="VKK111"/>
      <c r="VKL111"/>
      <c r="VKM111"/>
      <c r="VKN111"/>
      <c r="VKO111"/>
      <c r="VKP111"/>
      <c r="VKQ111"/>
      <c r="VKR111"/>
      <c r="VKS111"/>
      <c r="VKT111"/>
      <c r="VKU111"/>
      <c r="VKV111"/>
      <c r="VKW111"/>
      <c r="VKX111"/>
      <c r="VKY111"/>
      <c r="VKZ111"/>
      <c r="VLA111"/>
      <c r="VLB111"/>
      <c r="VLC111"/>
      <c r="VLD111"/>
      <c r="VLE111"/>
      <c r="VLF111"/>
      <c r="VLG111"/>
      <c r="VLH111"/>
      <c r="VLI111"/>
      <c r="VLJ111"/>
      <c r="VLK111"/>
      <c r="VLL111"/>
      <c r="VLM111"/>
      <c r="VLN111"/>
      <c r="VLO111"/>
      <c r="VLP111"/>
      <c r="VLQ111"/>
      <c r="VLR111"/>
      <c r="VLS111"/>
      <c r="VLT111"/>
      <c r="VLU111"/>
      <c r="VLV111"/>
      <c r="VLW111"/>
      <c r="VLX111"/>
      <c r="VLY111"/>
      <c r="VLZ111"/>
      <c r="VMA111"/>
      <c r="VMB111"/>
      <c r="VMC111"/>
      <c r="VMD111"/>
      <c r="VME111"/>
      <c r="VMF111"/>
      <c r="VMG111"/>
      <c r="VMH111"/>
      <c r="VMI111"/>
      <c r="VMJ111"/>
      <c r="VMK111"/>
      <c r="VML111"/>
      <c r="VMM111"/>
      <c r="VMN111"/>
      <c r="VMO111"/>
      <c r="VMP111"/>
      <c r="VMQ111"/>
      <c r="VMR111"/>
      <c r="VMS111"/>
      <c r="VMT111"/>
      <c r="VMU111"/>
      <c r="VMV111"/>
      <c r="VMW111"/>
      <c r="VMX111"/>
      <c r="VMY111"/>
      <c r="VMZ111"/>
      <c r="VNA111"/>
      <c r="VNB111"/>
      <c r="VNC111"/>
      <c r="VND111"/>
      <c r="VNE111"/>
      <c r="VNF111"/>
      <c r="VNG111"/>
      <c r="VNH111"/>
      <c r="VNI111"/>
      <c r="VNJ111"/>
      <c r="VNK111"/>
      <c r="VNL111"/>
      <c r="VNM111"/>
      <c r="VNN111"/>
      <c r="VNO111"/>
      <c r="VNP111"/>
      <c r="VNQ111"/>
      <c r="VNR111"/>
      <c r="VNS111"/>
      <c r="VNT111"/>
      <c r="VNU111"/>
      <c r="VNV111"/>
      <c r="VNW111"/>
      <c r="VNX111"/>
      <c r="VNY111"/>
      <c r="VNZ111"/>
      <c r="VOA111"/>
      <c r="VOB111"/>
      <c r="VOC111"/>
      <c r="VOD111"/>
      <c r="VOE111"/>
      <c r="VOF111"/>
      <c r="VOG111"/>
      <c r="VOH111"/>
      <c r="VOI111"/>
      <c r="VOJ111"/>
      <c r="VOK111"/>
      <c r="VOL111"/>
      <c r="VOM111"/>
      <c r="VON111"/>
      <c r="VOO111"/>
      <c r="VOP111"/>
      <c r="VOQ111"/>
      <c r="VOR111"/>
      <c r="VOS111"/>
      <c r="VOT111"/>
      <c r="VOU111"/>
      <c r="VOV111"/>
      <c r="VOW111"/>
      <c r="VOX111"/>
      <c r="VOY111"/>
      <c r="VOZ111"/>
      <c r="VPA111"/>
      <c r="VPB111"/>
      <c r="VPC111"/>
      <c r="VPD111"/>
      <c r="VPE111"/>
      <c r="VPF111"/>
      <c r="VPG111"/>
      <c r="VPH111"/>
      <c r="VPI111"/>
      <c r="VPJ111"/>
      <c r="VPK111"/>
      <c r="VPL111"/>
      <c r="VPM111"/>
      <c r="VPN111"/>
      <c r="VPO111"/>
      <c r="VPP111"/>
      <c r="VPQ111"/>
      <c r="VPR111"/>
      <c r="VPS111"/>
      <c r="VPT111"/>
      <c r="VPU111"/>
      <c r="VPV111"/>
      <c r="VPW111"/>
      <c r="VPX111"/>
      <c r="VPY111"/>
      <c r="VPZ111"/>
      <c r="VQA111"/>
      <c r="VQB111"/>
      <c r="VQC111"/>
      <c r="VQD111"/>
      <c r="VQE111"/>
      <c r="VQF111"/>
      <c r="VQG111"/>
      <c r="VQH111"/>
      <c r="VQI111"/>
      <c r="VQJ111"/>
      <c r="VQK111"/>
      <c r="VQL111"/>
      <c r="VQM111"/>
      <c r="VQN111"/>
      <c r="VQO111"/>
      <c r="VQP111"/>
      <c r="VQQ111"/>
      <c r="VQR111"/>
      <c r="VQS111"/>
      <c r="VQT111"/>
      <c r="VQU111"/>
      <c r="VQV111"/>
      <c r="VQW111"/>
      <c r="VQX111"/>
      <c r="VQY111"/>
      <c r="VQZ111"/>
      <c r="VRA111"/>
      <c r="VRB111"/>
      <c r="VRC111"/>
      <c r="VRD111"/>
      <c r="VRE111"/>
      <c r="VRF111"/>
      <c r="VRG111"/>
      <c r="VRH111"/>
      <c r="VRI111"/>
      <c r="VRJ111"/>
      <c r="VRK111"/>
      <c r="VRL111"/>
      <c r="VRM111"/>
      <c r="VRN111"/>
      <c r="VRO111"/>
      <c r="VRP111"/>
      <c r="VRQ111"/>
      <c r="VRR111"/>
      <c r="VRS111"/>
      <c r="VRT111"/>
      <c r="VRU111"/>
      <c r="VRV111"/>
      <c r="VRW111"/>
      <c r="VRX111"/>
      <c r="VRY111"/>
      <c r="VRZ111"/>
      <c r="VSA111"/>
      <c r="VSB111"/>
      <c r="VSC111"/>
      <c r="VSD111"/>
      <c r="VSE111"/>
      <c r="VSF111"/>
      <c r="VSG111"/>
      <c r="VSH111"/>
      <c r="VSI111"/>
      <c r="VSJ111"/>
      <c r="VSK111"/>
      <c r="VSL111"/>
      <c r="VSM111"/>
      <c r="VSN111"/>
      <c r="VSO111"/>
      <c r="VSP111"/>
      <c r="VSQ111"/>
      <c r="VSR111"/>
      <c r="VSS111"/>
      <c r="VST111"/>
      <c r="VSU111"/>
      <c r="VSV111"/>
      <c r="VSW111"/>
      <c r="VSX111"/>
      <c r="VSY111"/>
      <c r="VSZ111"/>
      <c r="VTA111"/>
      <c r="VTB111"/>
      <c r="VTC111"/>
      <c r="VTD111"/>
      <c r="VTE111"/>
      <c r="VTF111"/>
      <c r="VTG111"/>
      <c r="VTH111"/>
      <c r="VTI111"/>
      <c r="VTJ111"/>
      <c r="VTK111"/>
      <c r="VTL111"/>
      <c r="VTM111"/>
      <c r="VTN111"/>
      <c r="VTO111"/>
      <c r="VTP111"/>
      <c r="VTQ111"/>
      <c r="VTR111"/>
      <c r="VTS111"/>
      <c r="VTT111"/>
      <c r="VTU111"/>
      <c r="VTV111"/>
      <c r="VTW111"/>
      <c r="VTX111"/>
      <c r="VTY111"/>
      <c r="VTZ111"/>
      <c r="VUA111"/>
      <c r="VUB111"/>
      <c r="VUC111"/>
      <c r="VUD111"/>
      <c r="VUE111"/>
      <c r="VUF111"/>
      <c r="VUG111"/>
      <c r="VUH111"/>
      <c r="VUI111"/>
      <c r="VUJ111"/>
      <c r="VUK111"/>
      <c r="VUL111"/>
      <c r="VUM111"/>
      <c r="VUN111"/>
      <c r="VUO111"/>
      <c r="VUP111"/>
      <c r="VUQ111"/>
      <c r="VUR111"/>
      <c r="VUS111"/>
      <c r="VUT111"/>
      <c r="VUU111"/>
      <c r="VUV111"/>
      <c r="VUW111"/>
      <c r="VUX111"/>
      <c r="VUY111"/>
      <c r="VUZ111"/>
      <c r="VVA111"/>
      <c r="VVB111"/>
      <c r="VVC111"/>
      <c r="VVD111"/>
      <c r="VVE111"/>
      <c r="VVF111"/>
      <c r="VVG111"/>
      <c r="VVH111"/>
      <c r="VVI111"/>
      <c r="VVJ111"/>
      <c r="VVK111"/>
      <c r="VVL111"/>
      <c r="VVM111"/>
      <c r="VVN111"/>
      <c r="VVO111"/>
      <c r="VVP111"/>
      <c r="VVQ111"/>
      <c r="VVR111"/>
      <c r="VVS111"/>
      <c r="VVT111"/>
      <c r="VVU111"/>
      <c r="VVV111"/>
      <c r="VVW111"/>
      <c r="VVX111"/>
      <c r="VVY111"/>
      <c r="VVZ111"/>
      <c r="VWA111"/>
      <c r="VWB111"/>
      <c r="VWC111"/>
    </row>
    <row r="112" spans="2:39 15081:15473" s="1" customFormat="1" x14ac:dyDescent="0.25">
      <c r="B112" s="128"/>
      <c r="C112" s="182" t="s">
        <v>33</v>
      </c>
      <c r="D112" s="131"/>
      <c r="E112" s="113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9"/>
      <c r="AL112" s="34" t="s">
        <v>33</v>
      </c>
      <c r="AM112" s="240"/>
    </row>
    <row r="113" spans="2:39 15081:15473" s="1" customFormat="1" x14ac:dyDescent="0.25">
      <c r="B113" s="128"/>
      <c r="C113" s="96" t="s">
        <v>53</v>
      </c>
      <c r="D113" s="131"/>
      <c r="E113" s="177" t="s">
        <v>36</v>
      </c>
      <c r="F113" s="119">
        <v>0</v>
      </c>
      <c r="G113" s="119">
        <v>0</v>
      </c>
      <c r="H113" s="119">
        <v>0</v>
      </c>
      <c r="I113" s="119">
        <v>0</v>
      </c>
      <c r="J113" s="119">
        <v>0</v>
      </c>
      <c r="K113" s="119">
        <v>2</v>
      </c>
      <c r="L113" s="119"/>
      <c r="M113" s="119">
        <v>0</v>
      </c>
      <c r="N113" s="119">
        <v>0</v>
      </c>
      <c r="O113" s="119">
        <v>0</v>
      </c>
      <c r="P113" s="119">
        <v>0</v>
      </c>
      <c r="Q113" s="119">
        <v>0</v>
      </c>
      <c r="R113" s="119">
        <v>0</v>
      </c>
      <c r="S113" s="119"/>
      <c r="T113" s="119">
        <v>0</v>
      </c>
      <c r="U113" s="119">
        <v>13</v>
      </c>
      <c r="V113" s="119">
        <v>4</v>
      </c>
      <c r="W113" s="119">
        <v>0</v>
      </c>
      <c r="X113" s="119">
        <v>0</v>
      </c>
      <c r="Y113" s="119">
        <v>0</v>
      </c>
      <c r="Z113" s="119">
        <v>0</v>
      </c>
      <c r="AA113" s="119">
        <v>0</v>
      </c>
      <c r="AB113" s="119">
        <v>0</v>
      </c>
      <c r="AC113" s="119">
        <v>0</v>
      </c>
      <c r="AD113" s="119">
        <v>0</v>
      </c>
      <c r="AE113" s="119">
        <v>0</v>
      </c>
      <c r="AF113" s="119">
        <v>0</v>
      </c>
      <c r="AG113" s="119"/>
      <c r="AH113" s="119">
        <v>0</v>
      </c>
      <c r="AI113" s="119">
        <v>0</v>
      </c>
      <c r="AJ113" s="119">
        <v>0</v>
      </c>
      <c r="AK113" s="9"/>
      <c r="AL113" s="18">
        <f>SUM(F113:AJ113)</f>
        <v>19</v>
      </c>
      <c r="AM113" s="22"/>
    </row>
    <row r="114" spans="2:39 15081:15473" s="1" customFormat="1" x14ac:dyDescent="0.25">
      <c r="B114" s="128"/>
      <c r="C114" s="96" t="s">
        <v>52</v>
      </c>
      <c r="D114" s="131"/>
      <c r="E114" s="177" t="s">
        <v>36</v>
      </c>
      <c r="F114" s="119">
        <v>0</v>
      </c>
      <c r="G114" s="119">
        <v>0</v>
      </c>
      <c r="H114" s="119">
        <v>0</v>
      </c>
      <c r="I114" s="119">
        <v>0</v>
      </c>
      <c r="J114" s="119">
        <v>0</v>
      </c>
      <c r="K114" s="119">
        <v>0</v>
      </c>
      <c r="L114" s="119"/>
      <c r="M114" s="119">
        <v>0</v>
      </c>
      <c r="N114" s="119">
        <v>0</v>
      </c>
      <c r="O114" s="119">
        <v>0</v>
      </c>
      <c r="P114" s="119">
        <v>0</v>
      </c>
      <c r="Q114" s="119">
        <v>1</v>
      </c>
      <c r="R114" s="119">
        <v>0</v>
      </c>
      <c r="S114" s="119"/>
      <c r="T114" s="119">
        <v>0</v>
      </c>
      <c r="U114" s="119">
        <v>81</v>
      </c>
      <c r="V114" s="119">
        <v>0</v>
      </c>
      <c r="W114" s="119">
        <v>0</v>
      </c>
      <c r="X114" s="119">
        <v>0</v>
      </c>
      <c r="Y114" s="119">
        <v>0</v>
      </c>
      <c r="Z114" s="119">
        <v>0</v>
      </c>
      <c r="AA114" s="119">
        <v>0</v>
      </c>
      <c r="AB114" s="119">
        <v>0</v>
      </c>
      <c r="AC114" s="119">
        <v>0</v>
      </c>
      <c r="AD114" s="119">
        <v>0</v>
      </c>
      <c r="AE114" s="119">
        <v>0</v>
      </c>
      <c r="AF114" s="119"/>
      <c r="AG114" s="119"/>
      <c r="AH114" s="119">
        <v>0</v>
      </c>
      <c r="AI114" s="119">
        <v>0</v>
      </c>
      <c r="AJ114" s="119">
        <v>0</v>
      </c>
      <c r="AK114" s="9"/>
      <c r="AL114" s="18">
        <f>SUM(F114:AJ114)</f>
        <v>82</v>
      </c>
      <c r="AM114" s="22"/>
    </row>
    <row r="115" spans="2:39 15081:15473" s="1" customFormat="1" x14ac:dyDescent="0.25">
      <c r="B115" s="128"/>
      <c r="C115" s="182" t="s">
        <v>32</v>
      </c>
      <c r="D115" s="131"/>
      <c r="E115" s="113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9"/>
      <c r="AL115" s="34" t="s">
        <v>32</v>
      </c>
      <c r="AM115" s="240"/>
    </row>
    <row r="116" spans="2:39 15081:15473" s="1" customFormat="1" x14ac:dyDescent="0.25">
      <c r="B116" s="128"/>
      <c r="C116" s="96" t="s">
        <v>53</v>
      </c>
      <c r="D116" s="131"/>
      <c r="E116" s="177" t="s">
        <v>32</v>
      </c>
      <c r="F116" s="119">
        <v>0</v>
      </c>
      <c r="G116" s="119">
        <v>0</v>
      </c>
      <c r="H116" s="119">
        <v>0</v>
      </c>
      <c r="I116" s="119">
        <v>0</v>
      </c>
      <c r="J116" s="119">
        <v>0</v>
      </c>
      <c r="K116" s="119">
        <v>0</v>
      </c>
      <c r="L116" s="119"/>
      <c r="M116" s="119">
        <v>0</v>
      </c>
      <c r="N116" s="119">
        <v>0</v>
      </c>
      <c r="O116" s="119">
        <v>0</v>
      </c>
      <c r="P116" s="119">
        <v>0</v>
      </c>
      <c r="Q116" s="119">
        <v>0</v>
      </c>
      <c r="R116" s="119">
        <v>0</v>
      </c>
      <c r="S116" s="119"/>
      <c r="T116" s="119">
        <v>0</v>
      </c>
      <c r="U116" s="119">
        <v>0</v>
      </c>
      <c r="V116" s="119">
        <v>0</v>
      </c>
      <c r="W116" s="119">
        <v>0</v>
      </c>
      <c r="X116" s="119">
        <v>0</v>
      </c>
      <c r="Y116" s="119">
        <v>0</v>
      </c>
      <c r="Z116" s="119">
        <v>0</v>
      </c>
      <c r="AA116" s="119">
        <v>0</v>
      </c>
      <c r="AB116" s="119">
        <v>0</v>
      </c>
      <c r="AC116" s="119">
        <v>0</v>
      </c>
      <c r="AD116" s="119">
        <v>0</v>
      </c>
      <c r="AE116" s="119">
        <v>0</v>
      </c>
      <c r="AF116" s="119">
        <v>0</v>
      </c>
      <c r="AG116" s="119"/>
      <c r="AH116" s="119">
        <v>0</v>
      </c>
      <c r="AI116" s="119">
        <v>0</v>
      </c>
      <c r="AJ116" s="119">
        <v>0</v>
      </c>
      <c r="AK116" s="9"/>
      <c r="AL116" s="18">
        <f>SUM(F116:AJ116)</f>
        <v>0</v>
      </c>
      <c r="AM116" s="22"/>
    </row>
    <row r="117" spans="2:39 15081:15473" s="1" customFormat="1" x14ac:dyDescent="0.25">
      <c r="B117" s="128"/>
      <c r="C117" s="96" t="s">
        <v>52</v>
      </c>
      <c r="D117" s="131"/>
      <c r="E117" s="177" t="s">
        <v>32</v>
      </c>
      <c r="F117" s="119">
        <v>0</v>
      </c>
      <c r="G117" s="119">
        <v>0</v>
      </c>
      <c r="H117" s="119">
        <v>0</v>
      </c>
      <c r="I117" s="119">
        <v>0</v>
      </c>
      <c r="J117" s="119">
        <v>0</v>
      </c>
      <c r="K117" s="119">
        <v>0</v>
      </c>
      <c r="L117" s="119"/>
      <c r="M117" s="119">
        <v>0</v>
      </c>
      <c r="N117" s="119">
        <v>0</v>
      </c>
      <c r="O117" s="119">
        <v>0</v>
      </c>
      <c r="P117" s="119">
        <v>0</v>
      </c>
      <c r="Q117" s="119">
        <v>0</v>
      </c>
      <c r="R117" s="119">
        <v>0</v>
      </c>
      <c r="S117" s="119"/>
      <c r="T117" s="119">
        <v>0</v>
      </c>
      <c r="U117" s="119">
        <v>0</v>
      </c>
      <c r="V117" s="119">
        <v>0</v>
      </c>
      <c r="W117" s="119">
        <v>0</v>
      </c>
      <c r="X117" s="119">
        <v>0</v>
      </c>
      <c r="Y117" s="119">
        <v>0</v>
      </c>
      <c r="Z117" s="119">
        <v>0</v>
      </c>
      <c r="AA117" s="119">
        <v>0</v>
      </c>
      <c r="AB117" s="119">
        <v>0</v>
      </c>
      <c r="AC117" s="119">
        <v>0</v>
      </c>
      <c r="AD117" s="119">
        <v>0</v>
      </c>
      <c r="AE117" s="119">
        <v>0</v>
      </c>
      <c r="AF117" s="119">
        <v>0</v>
      </c>
      <c r="AG117" s="119"/>
      <c r="AH117" s="119">
        <v>0</v>
      </c>
      <c r="AI117" s="119">
        <v>0</v>
      </c>
      <c r="AJ117" s="119">
        <v>0</v>
      </c>
      <c r="AK117" s="9"/>
      <c r="AL117" s="18">
        <f>SUM(F117:AJ117)</f>
        <v>0</v>
      </c>
      <c r="AM117" s="22"/>
    </row>
    <row r="118" spans="2:39 15081:15473" s="1" customFormat="1" x14ac:dyDescent="0.25">
      <c r="B118" s="113"/>
      <c r="C118" s="93" t="s">
        <v>35</v>
      </c>
      <c r="D118" s="110"/>
      <c r="E118" s="270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2"/>
      <c r="AD118" s="111"/>
      <c r="AE118" s="111"/>
      <c r="AF118" s="111"/>
      <c r="AG118" s="111"/>
      <c r="AH118" s="112"/>
      <c r="AI118" s="112"/>
      <c r="AJ118" s="112"/>
      <c r="AK118" s="22"/>
      <c r="AL118" s="35" t="s">
        <v>34</v>
      </c>
      <c r="AM118" s="238"/>
      <c r="VHA118"/>
      <c r="VHB118"/>
      <c r="VHC118"/>
      <c r="VHD118"/>
      <c r="VHE118"/>
      <c r="VHF118"/>
      <c r="VHG118"/>
      <c r="VHH118"/>
      <c r="VHI118"/>
      <c r="VHJ118"/>
      <c r="VHK118"/>
      <c r="VHL118"/>
      <c r="VHM118"/>
      <c r="VHN118"/>
      <c r="VHO118"/>
      <c r="VHP118"/>
      <c r="VHQ118"/>
      <c r="VHR118"/>
      <c r="VHS118"/>
      <c r="VHT118"/>
      <c r="VHU118"/>
      <c r="VHV118"/>
      <c r="VHW118"/>
      <c r="VHX118"/>
      <c r="VHY118"/>
      <c r="VHZ118"/>
      <c r="VIA118"/>
      <c r="VIB118"/>
      <c r="VIC118"/>
      <c r="VID118"/>
      <c r="VIE118"/>
      <c r="VIF118"/>
      <c r="VIG118"/>
      <c r="VIH118"/>
      <c r="VII118"/>
      <c r="VIJ118"/>
      <c r="VIK118"/>
      <c r="VIL118"/>
      <c r="VIM118"/>
      <c r="VIN118"/>
      <c r="VIO118"/>
      <c r="VIP118"/>
      <c r="VIQ118"/>
      <c r="VIR118"/>
      <c r="VIS118"/>
      <c r="VIT118"/>
      <c r="VIU118"/>
      <c r="VIV118"/>
      <c r="VIW118"/>
      <c r="VIX118"/>
      <c r="VIY118"/>
      <c r="VIZ118"/>
      <c r="VJA118"/>
      <c r="VJB118"/>
      <c r="VJC118"/>
      <c r="VJD118"/>
      <c r="VJE118"/>
      <c r="VJF118"/>
      <c r="VJG118"/>
      <c r="VJH118"/>
      <c r="VJI118"/>
      <c r="VJJ118"/>
      <c r="VJK118"/>
      <c r="VJL118"/>
      <c r="VJM118"/>
      <c r="VJN118"/>
      <c r="VJO118"/>
      <c r="VJP118"/>
      <c r="VJQ118"/>
      <c r="VJR118"/>
      <c r="VJS118"/>
      <c r="VJT118"/>
      <c r="VJU118"/>
      <c r="VJV118"/>
      <c r="VJW118"/>
      <c r="VJX118"/>
      <c r="VJY118"/>
      <c r="VJZ118"/>
      <c r="VKA118"/>
      <c r="VKB118"/>
      <c r="VKC118"/>
      <c r="VKD118"/>
      <c r="VKE118"/>
      <c r="VKF118"/>
      <c r="VKG118"/>
      <c r="VKH118"/>
      <c r="VKI118"/>
      <c r="VKJ118"/>
      <c r="VKK118"/>
      <c r="VKL118"/>
      <c r="VKM118"/>
      <c r="VKN118"/>
      <c r="VKO118"/>
      <c r="VKP118"/>
      <c r="VKQ118"/>
      <c r="VKR118"/>
      <c r="VKS118"/>
      <c r="VKT118"/>
      <c r="VKU118"/>
      <c r="VKV118"/>
      <c r="VKW118"/>
      <c r="VKX118"/>
      <c r="VKY118"/>
      <c r="VKZ118"/>
      <c r="VLA118"/>
      <c r="VLB118"/>
      <c r="VLC118"/>
      <c r="VLD118"/>
      <c r="VLE118"/>
      <c r="VLF118"/>
      <c r="VLG118"/>
      <c r="VLH118"/>
      <c r="VLI118"/>
      <c r="VLJ118"/>
      <c r="VLK118"/>
      <c r="VLL118"/>
      <c r="VLM118"/>
      <c r="VLN118"/>
      <c r="VLO118"/>
      <c r="VLP118"/>
      <c r="VLQ118"/>
      <c r="VLR118"/>
      <c r="VLS118"/>
      <c r="VLT118"/>
      <c r="VLU118"/>
      <c r="VLV118"/>
      <c r="VLW118"/>
      <c r="VLX118"/>
      <c r="VLY118"/>
      <c r="VLZ118"/>
      <c r="VMA118"/>
      <c r="VMB118"/>
      <c r="VMC118"/>
      <c r="VMD118"/>
      <c r="VME118"/>
      <c r="VMF118"/>
      <c r="VMG118"/>
      <c r="VMH118"/>
      <c r="VMI118"/>
      <c r="VMJ118"/>
      <c r="VMK118"/>
      <c r="VML118"/>
      <c r="VMM118"/>
      <c r="VMN118"/>
      <c r="VMO118"/>
      <c r="VMP118"/>
      <c r="VMQ118"/>
      <c r="VMR118"/>
      <c r="VMS118"/>
      <c r="VMT118"/>
      <c r="VMU118"/>
      <c r="VMV118"/>
      <c r="VMW118"/>
      <c r="VMX118"/>
      <c r="VMY118"/>
      <c r="VMZ118"/>
      <c r="VNA118"/>
      <c r="VNB118"/>
      <c r="VNC118"/>
      <c r="VND118"/>
      <c r="VNE118"/>
      <c r="VNF118"/>
      <c r="VNG118"/>
      <c r="VNH118"/>
      <c r="VNI118"/>
      <c r="VNJ118"/>
      <c r="VNK118"/>
      <c r="VNL118"/>
      <c r="VNM118"/>
      <c r="VNN118"/>
      <c r="VNO118"/>
      <c r="VNP118"/>
      <c r="VNQ118"/>
      <c r="VNR118"/>
      <c r="VNS118"/>
      <c r="VNT118"/>
      <c r="VNU118"/>
      <c r="VNV118"/>
      <c r="VNW118"/>
      <c r="VNX118"/>
      <c r="VNY118"/>
      <c r="VNZ118"/>
      <c r="VOA118"/>
      <c r="VOB118"/>
      <c r="VOC118"/>
      <c r="VOD118"/>
      <c r="VOE118"/>
      <c r="VOF118"/>
      <c r="VOG118"/>
      <c r="VOH118"/>
      <c r="VOI118"/>
      <c r="VOJ118"/>
      <c r="VOK118"/>
      <c r="VOL118"/>
      <c r="VOM118"/>
      <c r="VON118"/>
      <c r="VOO118"/>
      <c r="VOP118"/>
      <c r="VOQ118"/>
      <c r="VOR118"/>
      <c r="VOS118"/>
      <c r="VOT118"/>
      <c r="VOU118"/>
      <c r="VOV118"/>
      <c r="VOW118"/>
      <c r="VOX118"/>
      <c r="VOY118"/>
      <c r="VOZ118"/>
      <c r="VPA118"/>
      <c r="VPB118"/>
      <c r="VPC118"/>
      <c r="VPD118"/>
      <c r="VPE118"/>
      <c r="VPF118"/>
      <c r="VPG118"/>
      <c r="VPH118"/>
      <c r="VPI118"/>
      <c r="VPJ118"/>
      <c r="VPK118"/>
      <c r="VPL118"/>
      <c r="VPM118"/>
      <c r="VPN118"/>
      <c r="VPO118"/>
      <c r="VPP118"/>
      <c r="VPQ118"/>
      <c r="VPR118"/>
      <c r="VPS118"/>
      <c r="VPT118"/>
      <c r="VPU118"/>
      <c r="VPV118"/>
      <c r="VPW118"/>
      <c r="VPX118"/>
      <c r="VPY118"/>
      <c r="VPZ118"/>
      <c r="VQA118"/>
      <c r="VQB118"/>
      <c r="VQC118"/>
      <c r="VQD118"/>
      <c r="VQE118"/>
      <c r="VQF118"/>
      <c r="VQG118"/>
      <c r="VQH118"/>
      <c r="VQI118"/>
      <c r="VQJ118"/>
      <c r="VQK118"/>
      <c r="VQL118"/>
      <c r="VQM118"/>
      <c r="VQN118"/>
      <c r="VQO118"/>
      <c r="VQP118"/>
      <c r="VQQ118"/>
      <c r="VQR118"/>
      <c r="VQS118"/>
      <c r="VQT118"/>
      <c r="VQU118"/>
      <c r="VQV118"/>
      <c r="VQW118"/>
      <c r="VQX118"/>
      <c r="VQY118"/>
      <c r="VQZ118"/>
      <c r="VRA118"/>
      <c r="VRB118"/>
      <c r="VRC118"/>
      <c r="VRD118"/>
      <c r="VRE118"/>
      <c r="VRF118"/>
      <c r="VRG118"/>
      <c r="VRH118"/>
      <c r="VRI118"/>
      <c r="VRJ118"/>
      <c r="VRK118"/>
      <c r="VRL118"/>
      <c r="VRM118"/>
      <c r="VRN118"/>
      <c r="VRO118"/>
      <c r="VRP118"/>
      <c r="VRQ118"/>
      <c r="VRR118"/>
      <c r="VRS118"/>
      <c r="VRT118"/>
      <c r="VRU118"/>
      <c r="VRV118"/>
      <c r="VRW118"/>
      <c r="VRX118"/>
      <c r="VRY118"/>
      <c r="VRZ118"/>
      <c r="VSA118"/>
      <c r="VSB118"/>
      <c r="VSC118"/>
      <c r="VSD118"/>
      <c r="VSE118"/>
      <c r="VSF118"/>
      <c r="VSG118"/>
      <c r="VSH118"/>
      <c r="VSI118"/>
      <c r="VSJ118"/>
      <c r="VSK118"/>
      <c r="VSL118"/>
      <c r="VSM118"/>
      <c r="VSN118"/>
      <c r="VSO118"/>
      <c r="VSP118"/>
      <c r="VSQ118"/>
      <c r="VSR118"/>
      <c r="VSS118"/>
      <c r="VST118"/>
      <c r="VSU118"/>
      <c r="VSV118"/>
      <c r="VSW118"/>
      <c r="VSX118"/>
      <c r="VSY118"/>
      <c r="VSZ118"/>
      <c r="VTA118"/>
      <c r="VTB118"/>
      <c r="VTC118"/>
      <c r="VTD118"/>
      <c r="VTE118"/>
      <c r="VTF118"/>
      <c r="VTG118"/>
      <c r="VTH118"/>
      <c r="VTI118"/>
      <c r="VTJ118"/>
      <c r="VTK118"/>
      <c r="VTL118"/>
      <c r="VTM118"/>
      <c r="VTN118"/>
      <c r="VTO118"/>
      <c r="VTP118"/>
      <c r="VTQ118"/>
      <c r="VTR118"/>
      <c r="VTS118"/>
      <c r="VTT118"/>
      <c r="VTU118"/>
      <c r="VTV118"/>
      <c r="VTW118"/>
      <c r="VTX118"/>
      <c r="VTY118"/>
      <c r="VTZ118"/>
      <c r="VUA118"/>
      <c r="VUB118"/>
      <c r="VUC118"/>
      <c r="VUD118"/>
      <c r="VUE118"/>
      <c r="VUF118"/>
      <c r="VUG118"/>
      <c r="VUH118"/>
      <c r="VUI118"/>
      <c r="VUJ118"/>
      <c r="VUK118"/>
      <c r="VUL118"/>
      <c r="VUM118"/>
      <c r="VUN118"/>
      <c r="VUO118"/>
      <c r="VUP118"/>
      <c r="VUQ118"/>
      <c r="VUR118"/>
      <c r="VUS118"/>
      <c r="VUT118"/>
      <c r="VUU118"/>
      <c r="VUV118"/>
      <c r="VUW118"/>
      <c r="VUX118"/>
      <c r="VUY118"/>
      <c r="VUZ118"/>
      <c r="VVA118"/>
      <c r="VVB118"/>
      <c r="VVC118"/>
      <c r="VVD118"/>
      <c r="VVE118"/>
      <c r="VVF118"/>
      <c r="VVG118"/>
      <c r="VVH118"/>
      <c r="VVI118"/>
      <c r="VVJ118"/>
      <c r="VVK118"/>
      <c r="VVL118"/>
      <c r="VVM118"/>
      <c r="VVN118"/>
      <c r="VVO118"/>
      <c r="VVP118"/>
      <c r="VVQ118"/>
      <c r="VVR118"/>
      <c r="VVS118"/>
      <c r="VVT118"/>
      <c r="VVU118"/>
      <c r="VVV118"/>
      <c r="VVW118"/>
      <c r="VVX118"/>
      <c r="VVY118"/>
      <c r="VVZ118"/>
      <c r="VWA118"/>
      <c r="VWB118"/>
      <c r="VWC118"/>
    </row>
    <row r="119" spans="2:39 15081:15473" s="1" customFormat="1" x14ac:dyDescent="0.25">
      <c r="B119" s="128"/>
      <c r="C119" s="182" t="s">
        <v>33</v>
      </c>
      <c r="D119" s="131"/>
      <c r="E119" s="113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9"/>
      <c r="AL119" s="34" t="s">
        <v>33</v>
      </c>
      <c r="AM119" s="240"/>
    </row>
    <row r="120" spans="2:39 15081:15473" s="1" customFormat="1" x14ac:dyDescent="0.25">
      <c r="B120" s="128"/>
      <c r="C120" s="96" t="s">
        <v>53</v>
      </c>
      <c r="D120" s="127">
        <v>0.3</v>
      </c>
      <c r="E120" s="177" t="s">
        <v>29</v>
      </c>
      <c r="F120" s="151" t="e">
        <f>F113/F104*100</f>
        <v>#DIV/0!</v>
      </c>
      <c r="G120" s="151" t="e">
        <f t="shared" ref="F120:AJ121" si="44">G113/G104*100</f>
        <v>#DIV/0!</v>
      </c>
      <c r="H120" s="151" t="e">
        <f t="shared" si="44"/>
        <v>#DIV/0!</v>
      </c>
      <c r="I120" s="151" t="e">
        <f t="shared" si="44"/>
        <v>#DIV/0!</v>
      </c>
      <c r="J120" s="151" t="e">
        <f t="shared" si="44"/>
        <v>#DIV/0!</v>
      </c>
      <c r="K120" s="151">
        <f t="shared" si="44"/>
        <v>0.31347962382445138</v>
      </c>
      <c r="L120" s="151" t="e">
        <f t="shared" si="44"/>
        <v>#DIV/0!</v>
      </c>
      <c r="M120" s="151" t="e">
        <f t="shared" si="44"/>
        <v>#DIV/0!</v>
      </c>
      <c r="N120" s="151" t="e">
        <f t="shared" si="44"/>
        <v>#DIV/0!</v>
      </c>
      <c r="O120" s="151" t="e">
        <f t="shared" si="44"/>
        <v>#DIV/0!</v>
      </c>
      <c r="P120" s="151" t="e">
        <f t="shared" si="44"/>
        <v>#DIV/0!</v>
      </c>
      <c r="Q120" s="151" t="e">
        <f t="shared" si="44"/>
        <v>#DIV/0!</v>
      </c>
      <c r="R120" s="151" t="e">
        <f t="shared" si="44"/>
        <v>#DIV/0!</v>
      </c>
      <c r="S120" s="151" t="e">
        <f t="shared" si="44"/>
        <v>#DIV/0!</v>
      </c>
      <c r="T120" s="151" t="e">
        <f t="shared" si="44"/>
        <v>#DIV/0!</v>
      </c>
      <c r="U120" s="151">
        <f t="shared" si="44"/>
        <v>0.2758328028856355</v>
      </c>
      <c r="V120" s="151">
        <f t="shared" si="44"/>
        <v>0.16260162601626016</v>
      </c>
      <c r="W120" s="151" t="e">
        <f t="shared" si="44"/>
        <v>#DIV/0!</v>
      </c>
      <c r="X120" s="151" t="e">
        <f t="shared" si="44"/>
        <v>#DIV/0!</v>
      </c>
      <c r="Y120" s="151" t="e">
        <f t="shared" si="44"/>
        <v>#DIV/0!</v>
      </c>
      <c r="Z120" s="151" t="e">
        <f t="shared" si="44"/>
        <v>#DIV/0!</v>
      </c>
      <c r="AA120" s="151" t="e">
        <f t="shared" si="44"/>
        <v>#DIV/0!</v>
      </c>
      <c r="AB120" s="151" t="e">
        <f t="shared" si="44"/>
        <v>#DIV/0!</v>
      </c>
      <c r="AC120" s="151" t="e">
        <f t="shared" si="44"/>
        <v>#DIV/0!</v>
      </c>
      <c r="AD120" s="151" t="e">
        <f t="shared" si="44"/>
        <v>#DIV/0!</v>
      </c>
      <c r="AE120" s="151" t="e">
        <f t="shared" si="44"/>
        <v>#DIV/0!</v>
      </c>
      <c r="AF120" s="151" t="e">
        <f t="shared" si="44"/>
        <v>#DIV/0!</v>
      </c>
      <c r="AG120" s="151" t="e">
        <f t="shared" si="44"/>
        <v>#DIV/0!</v>
      </c>
      <c r="AH120" s="151" t="e">
        <f t="shared" si="44"/>
        <v>#DIV/0!</v>
      </c>
      <c r="AI120" s="151" t="e">
        <f t="shared" si="44"/>
        <v>#DIV/0!</v>
      </c>
      <c r="AJ120" s="151" t="e">
        <f t="shared" si="44"/>
        <v>#DIV/0!</v>
      </c>
      <c r="AK120" s="9"/>
      <c r="AL120" s="33">
        <f>AL113/AL104*100</f>
        <v>0.24324670336704646</v>
      </c>
      <c r="AM120" s="41"/>
    </row>
    <row r="121" spans="2:39 15081:15473" s="1" customFormat="1" x14ac:dyDescent="0.25">
      <c r="B121" s="128"/>
      <c r="C121" s="96" t="s">
        <v>52</v>
      </c>
      <c r="D121" s="127">
        <v>0.3</v>
      </c>
      <c r="E121" s="177" t="s">
        <v>29</v>
      </c>
      <c r="F121" s="151" t="e">
        <f t="shared" si="44"/>
        <v>#DIV/0!</v>
      </c>
      <c r="G121" s="151" t="e">
        <f t="shared" si="44"/>
        <v>#DIV/0!</v>
      </c>
      <c r="H121" s="151" t="e">
        <f t="shared" si="44"/>
        <v>#DIV/0!</v>
      </c>
      <c r="I121" s="151" t="e">
        <f t="shared" si="44"/>
        <v>#DIV/0!</v>
      </c>
      <c r="J121" s="151" t="e">
        <f t="shared" si="44"/>
        <v>#DIV/0!</v>
      </c>
      <c r="K121" s="151" t="e">
        <f t="shared" si="44"/>
        <v>#DIV/0!</v>
      </c>
      <c r="L121" s="151" t="e">
        <f t="shared" si="44"/>
        <v>#DIV/0!</v>
      </c>
      <c r="M121" s="151" t="e">
        <f t="shared" si="44"/>
        <v>#DIV/0!</v>
      </c>
      <c r="N121" s="151" t="e">
        <f t="shared" si="44"/>
        <v>#DIV/0!</v>
      </c>
      <c r="O121" s="151" t="e">
        <f t="shared" si="44"/>
        <v>#DIV/0!</v>
      </c>
      <c r="P121" s="151" t="e">
        <f t="shared" si="44"/>
        <v>#DIV/0!</v>
      </c>
      <c r="Q121" s="151">
        <f t="shared" si="44"/>
        <v>4.2535091450446622E-2</v>
      </c>
      <c r="R121" s="151">
        <f t="shared" si="44"/>
        <v>0</v>
      </c>
      <c r="S121" s="151" t="e">
        <f t="shared" si="44"/>
        <v>#DIV/0!</v>
      </c>
      <c r="T121" s="151" t="e">
        <f t="shared" si="44"/>
        <v>#DIV/0!</v>
      </c>
      <c r="U121" s="151">
        <f t="shared" si="44"/>
        <v>1.9494584837545126</v>
      </c>
      <c r="V121" s="151" t="e">
        <f t="shared" si="44"/>
        <v>#DIV/0!</v>
      </c>
      <c r="W121" s="151" t="e">
        <f t="shared" si="44"/>
        <v>#DIV/0!</v>
      </c>
      <c r="X121" s="151" t="e">
        <f t="shared" si="44"/>
        <v>#DIV/0!</v>
      </c>
      <c r="Y121" s="151" t="e">
        <f t="shared" si="44"/>
        <v>#DIV/0!</v>
      </c>
      <c r="Z121" s="151" t="e">
        <f t="shared" si="44"/>
        <v>#DIV/0!</v>
      </c>
      <c r="AA121" s="151" t="e">
        <f t="shared" si="44"/>
        <v>#DIV/0!</v>
      </c>
      <c r="AB121" s="151" t="e">
        <f t="shared" si="44"/>
        <v>#DIV/0!</v>
      </c>
      <c r="AC121" s="151" t="e">
        <f t="shared" si="44"/>
        <v>#DIV/0!</v>
      </c>
      <c r="AD121" s="151" t="e">
        <f t="shared" si="44"/>
        <v>#DIV/0!</v>
      </c>
      <c r="AE121" s="151" t="e">
        <f t="shared" si="44"/>
        <v>#DIV/0!</v>
      </c>
      <c r="AF121" s="151" t="e">
        <f t="shared" si="44"/>
        <v>#DIV/0!</v>
      </c>
      <c r="AG121" s="151" t="e">
        <f t="shared" si="44"/>
        <v>#DIV/0!</v>
      </c>
      <c r="AH121" s="151" t="e">
        <f t="shared" si="44"/>
        <v>#DIV/0!</v>
      </c>
      <c r="AI121" s="151" t="e">
        <f t="shared" si="44"/>
        <v>#DIV/0!</v>
      </c>
      <c r="AJ121" s="151" t="e">
        <f t="shared" si="44"/>
        <v>#DIV/0!</v>
      </c>
      <c r="AK121" s="9"/>
      <c r="AL121" s="33">
        <f>AL114/AL105*100</f>
        <v>0.92540345333483809</v>
      </c>
      <c r="AM121" s="41"/>
    </row>
    <row r="122" spans="2:39 15081:15473" s="1" customFormat="1" x14ac:dyDescent="0.25">
      <c r="B122" s="128"/>
      <c r="C122" s="182" t="s">
        <v>32</v>
      </c>
      <c r="D122" s="127"/>
      <c r="E122" s="113"/>
      <c r="F122" s="15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  <c r="AF122" s="151"/>
      <c r="AG122" s="151"/>
      <c r="AH122" s="151"/>
      <c r="AI122" s="151"/>
      <c r="AJ122" s="151"/>
      <c r="AK122" s="9"/>
      <c r="AL122" s="34" t="s">
        <v>32</v>
      </c>
      <c r="AM122" s="240"/>
    </row>
    <row r="123" spans="2:39 15081:15473" s="1" customFormat="1" x14ac:dyDescent="0.25">
      <c r="B123" s="128"/>
      <c r="C123" s="96" t="s">
        <v>53</v>
      </c>
      <c r="D123" s="127">
        <v>0.5</v>
      </c>
      <c r="E123" s="177" t="s">
        <v>29</v>
      </c>
      <c r="F123" s="151" t="e">
        <f>F116/F107*100</f>
        <v>#DIV/0!</v>
      </c>
      <c r="G123" s="151" t="e">
        <f t="shared" ref="F123:AJ124" si="45">G116/G107*100</f>
        <v>#DIV/0!</v>
      </c>
      <c r="H123" s="151" t="e">
        <f t="shared" si="45"/>
        <v>#DIV/0!</v>
      </c>
      <c r="I123" s="151" t="e">
        <f t="shared" si="45"/>
        <v>#DIV/0!</v>
      </c>
      <c r="J123" s="151" t="e">
        <f t="shared" si="45"/>
        <v>#DIV/0!</v>
      </c>
      <c r="K123" s="151">
        <f t="shared" si="45"/>
        <v>0</v>
      </c>
      <c r="L123" s="151" t="e">
        <f t="shared" si="45"/>
        <v>#DIV/0!</v>
      </c>
      <c r="M123" s="151" t="e">
        <f t="shared" si="45"/>
        <v>#DIV/0!</v>
      </c>
      <c r="N123" s="151" t="e">
        <f t="shared" si="45"/>
        <v>#DIV/0!</v>
      </c>
      <c r="O123" s="151" t="e">
        <f t="shared" si="45"/>
        <v>#DIV/0!</v>
      </c>
      <c r="P123" s="151" t="e">
        <f t="shared" si="45"/>
        <v>#DIV/0!</v>
      </c>
      <c r="Q123" s="151" t="e">
        <f t="shared" si="45"/>
        <v>#DIV/0!</v>
      </c>
      <c r="R123" s="151" t="e">
        <f t="shared" si="45"/>
        <v>#DIV/0!</v>
      </c>
      <c r="S123" s="151" t="e">
        <f t="shared" si="45"/>
        <v>#DIV/0!</v>
      </c>
      <c r="T123" s="151" t="e">
        <f t="shared" si="45"/>
        <v>#DIV/0!</v>
      </c>
      <c r="U123" s="151">
        <f t="shared" si="45"/>
        <v>0</v>
      </c>
      <c r="V123" s="151">
        <f t="shared" si="45"/>
        <v>0</v>
      </c>
      <c r="W123" s="151" t="e">
        <f t="shared" si="45"/>
        <v>#DIV/0!</v>
      </c>
      <c r="X123" s="151" t="e">
        <f t="shared" si="45"/>
        <v>#DIV/0!</v>
      </c>
      <c r="Y123" s="151" t="e">
        <f t="shared" si="45"/>
        <v>#DIV/0!</v>
      </c>
      <c r="Z123" s="151" t="e">
        <f t="shared" si="45"/>
        <v>#DIV/0!</v>
      </c>
      <c r="AA123" s="151" t="e">
        <f t="shared" si="45"/>
        <v>#DIV/0!</v>
      </c>
      <c r="AB123" s="151" t="e">
        <f t="shared" si="45"/>
        <v>#DIV/0!</v>
      </c>
      <c r="AC123" s="151" t="e">
        <f t="shared" si="45"/>
        <v>#DIV/0!</v>
      </c>
      <c r="AD123" s="151" t="e">
        <f t="shared" si="45"/>
        <v>#DIV/0!</v>
      </c>
      <c r="AE123" s="151" t="e">
        <f t="shared" si="45"/>
        <v>#DIV/0!</v>
      </c>
      <c r="AF123" s="151" t="e">
        <f t="shared" si="45"/>
        <v>#DIV/0!</v>
      </c>
      <c r="AG123" s="151" t="e">
        <f t="shared" si="45"/>
        <v>#DIV/0!</v>
      </c>
      <c r="AH123" s="151" t="e">
        <f t="shared" si="45"/>
        <v>#DIV/0!</v>
      </c>
      <c r="AI123" s="151" t="e">
        <f t="shared" si="45"/>
        <v>#DIV/0!</v>
      </c>
      <c r="AJ123" s="151" t="e">
        <f t="shared" si="45"/>
        <v>#DIV/0!</v>
      </c>
      <c r="AK123" s="9"/>
      <c r="AL123" s="33">
        <f>AL116/AL107*100</f>
        <v>0</v>
      </c>
      <c r="AM123" s="41"/>
    </row>
    <row r="124" spans="2:39 15081:15473" s="1" customFormat="1" x14ac:dyDescent="0.25">
      <c r="B124" s="128"/>
      <c r="C124" s="96" t="s">
        <v>52</v>
      </c>
      <c r="D124" s="127">
        <v>0.5</v>
      </c>
      <c r="E124" s="177" t="s">
        <v>29</v>
      </c>
      <c r="F124" s="151" t="e">
        <f t="shared" si="45"/>
        <v>#DIV/0!</v>
      </c>
      <c r="G124" s="151" t="e">
        <f t="shared" si="45"/>
        <v>#DIV/0!</v>
      </c>
      <c r="H124" s="151" t="e">
        <f t="shared" si="45"/>
        <v>#DIV/0!</v>
      </c>
      <c r="I124" s="151" t="e">
        <f t="shared" si="45"/>
        <v>#DIV/0!</v>
      </c>
      <c r="J124" s="151" t="e">
        <f t="shared" si="45"/>
        <v>#DIV/0!</v>
      </c>
      <c r="K124" s="151" t="e">
        <f t="shared" si="45"/>
        <v>#DIV/0!</v>
      </c>
      <c r="L124" s="151" t="e">
        <f t="shared" si="45"/>
        <v>#DIV/0!</v>
      </c>
      <c r="M124" s="151" t="e">
        <f t="shared" si="45"/>
        <v>#DIV/0!</v>
      </c>
      <c r="N124" s="151" t="e">
        <f t="shared" si="45"/>
        <v>#DIV/0!</v>
      </c>
      <c r="O124" s="151" t="e">
        <f t="shared" si="45"/>
        <v>#DIV/0!</v>
      </c>
      <c r="P124" s="151" t="e">
        <f t="shared" si="45"/>
        <v>#DIV/0!</v>
      </c>
      <c r="Q124" s="151">
        <f t="shared" si="45"/>
        <v>0</v>
      </c>
      <c r="R124" s="151">
        <f t="shared" si="45"/>
        <v>0</v>
      </c>
      <c r="S124" s="151" t="e">
        <f t="shared" si="45"/>
        <v>#DIV/0!</v>
      </c>
      <c r="T124" s="151" t="e">
        <f t="shared" si="45"/>
        <v>#DIV/0!</v>
      </c>
      <c r="U124" s="151">
        <f t="shared" si="45"/>
        <v>0</v>
      </c>
      <c r="V124" s="151" t="e">
        <f t="shared" si="45"/>
        <v>#DIV/0!</v>
      </c>
      <c r="W124" s="151" t="e">
        <f t="shared" si="45"/>
        <v>#DIV/0!</v>
      </c>
      <c r="X124" s="151" t="e">
        <f t="shared" si="45"/>
        <v>#DIV/0!</v>
      </c>
      <c r="Y124" s="151" t="e">
        <f t="shared" si="45"/>
        <v>#DIV/0!</v>
      </c>
      <c r="Z124" s="151" t="e">
        <f t="shared" si="45"/>
        <v>#DIV/0!</v>
      </c>
      <c r="AA124" s="151" t="e">
        <f t="shared" si="45"/>
        <v>#DIV/0!</v>
      </c>
      <c r="AB124" s="151" t="e">
        <f t="shared" si="45"/>
        <v>#DIV/0!</v>
      </c>
      <c r="AC124" s="151" t="e">
        <f t="shared" si="45"/>
        <v>#DIV/0!</v>
      </c>
      <c r="AD124" s="151" t="e">
        <f t="shared" si="45"/>
        <v>#DIV/0!</v>
      </c>
      <c r="AE124" s="151" t="e">
        <f t="shared" si="45"/>
        <v>#DIV/0!</v>
      </c>
      <c r="AF124" s="151" t="e">
        <f t="shared" si="45"/>
        <v>#DIV/0!</v>
      </c>
      <c r="AG124" s="151" t="e">
        <f t="shared" si="45"/>
        <v>#DIV/0!</v>
      </c>
      <c r="AH124" s="151" t="e">
        <f t="shared" si="45"/>
        <v>#DIV/0!</v>
      </c>
      <c r="AI124" s="151" t="e">
        <f t="shared" si="45"/>
        <v>#DIV/0!</v>
      </c>
      <c r="AJ124" s="151" t="e">
        <f t="shared" si="45"/>
        <v>#DIV/0!</v>
      </c>
      <c r="AK124" s="9"/>
      <c r="AL124" s="33">
        <f>AL117/AL108*100</f>
        <v>0</v>
      </c>
      <c r="AM124" s="41"/>
    </row>
    <row r="125" spans="2:39 15081:15473" s="1" customFormat="1" x14ac:dyDescent="0.25">
      <c r="B125" s="128"/>
      <c r="C125" s="65" t="s">
        <v>51</v>
      </c>
      <c r="D125" s="191"/>
      <c r="E125" s="282"/>
      <c r="F125" s="192"/>
      <c r="G125" s="192"/>
      <c r="H125" s="192"/>
      <c r="I125" s="192"/>
      <c r="J125" s="192"/>
      <c r="K125" s="192"/>
      <c r="L125" s="192"/>
      <c r="M125" s="192"/>
      <c r="N125" s="192"/>
      <c r="O125" s="192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  <c r="AF125" s="192"/>
      <c r="AG125" s="192"/>
      <c r="AH125" s="192"/>
      <c r="AI125" s="192"/>
      <c r="AJ125" s="192"/>
      <c r="AK125" s="9"/>
      <c r="AL125" s="35" t="s">
        <v>47</v>
      </c>
      <c r="AM125" s="238"/>
    </row>
    <row r="126" spans="2:39 15081:15473" s="1" customFormat="1" x14ac:dyDescent="0.25">
      <c r="B126" s="128"/>
      <c r="C126" s="72" t="s">
        <v>46</v>
      </c>
      <c r="D126" s="127"/>
      <c r="E126" s="73" t="s">
        <v>16</v>
      </c>
      <c r="F126" s="80">
        <v>0</v>
      </c>
      <c r="G126" s="80">
        <v>0</v>
      </c>
      <c r="H126" s="80">
        <v>0</v>
      </c>
      <c r="I126" s="80">
        <v>0</v>
      </c>
      <c r="J126" s="80">
        <v>0</v>
      </c>
      <c r="K126" s="80">
        <v>0</v>
      </c>
      <c r="L126" s="80">
        <v>0</v>
      </c>
      <c r="M126" s="80">
        <v>0</v>
      </c>
      <c r="N126" s="80">
        <v>0</v>
      </c>
      <c r="O126" s="80">
        <v>0</v>
      </c>
      <c r="P126" s="80">
        <v>0</v>
      </c>
      <c r="Q126" s="80">
        <v>0</v>
      </c>
      <c r="R126" s="80">
        <v>0</v>
      </c>
      <c r="S126" s="80">
        <v>0</v>
      </c>
      <c r="T126" s="80">
        <v>0</v>
      </c>
      <c r="U126" s="80">
        <v>0</v>
      </c>
      <c r="V126" s="80">
        <v>192993</v>
      </c>
      <c r="W126" s="80">
        <v>0</v>
      </c>
      <c r="X126" s="80">
        <v>0</v>
      </c>
      <c r="Y126" s="80">
        <v>0</v>
      </c>
      <c r="Z126" s="80">
        <v>0</v>
      </c>
      <c r="AA126" s="80">
        <v>0</v>
      </c>
      <c r="AB126" s="80">
        <v>0</v>
      </c>
      <c r="AC126" s="80">
        <v>0</v>
      </c>
      <c r="AD126" s="80">
        <v>0</v>
      </c>
      <c r="AE126" s="80">
        <v>0</v>
      </c>
      <c r="AF126" s="80">
        <v>0</v>
      </c>
      <c r="AG126" s="80">
        <v>0</v>
      </c>
      <c r="AH126" s="80">
        <v>0</v>
      </c>
      <c r="AI126" s="80">
        <v>0</v>
      </c>
      <c r="AJ126" s="80"/>
      <c r="AK126" s="9"/>
      <c r="AL126" s="38">
        <f>SUM(F126:AJ126)</f>
        <v>192993</v>
      </c>
      <c r="AM126" s="251"/>
    </row>
    <row r="127" spans="2:39 15081:15473" s="1" customFormat="1" x14ac:dyDescent="0.25">
      <c r="B127" s="128"/>
      <c r="C127" s="72" t="s">
        <v>45</v>
      </c>
      <c r="D127" s="127"/>
      <c r="E127" s="73" t="s">
        <v>16</v>
      </c>
      <c r="F127" s="79">
        <v>0</v>
      </c>
      <c r="G127" s="79">
        <v>0</v>
      </c>
      <c r="H127" s="79">
        <v>0</v>
      </c>
      <c r="I127" s="79">
        <v>0</v>
      </c>
      <c r="J127" s="79">
        <v>0</v>
      </c>
      <c r="K127" s="79">
        <v>0</v>
      </c>
      <c r="L127" s="79">
        <v>0</v>
      </c>
      <c r="M127" s="79">
        <v>0</v>
      </c>
      <c r="N127" s="79">
        <v>0</v>
      </c>
      <c r="O127" s="79">
        <v>0</v>
      </c>
      <c r="P127" s="79">
        <v>0</v>
      </c>
      <c r="Q127" s="79">
        <v>0</v>
      </c>
      <c r="R127" s="79">
        <v>0</v>
      </c>
      <c r="S127" s="79">
        <v>0</v>
      </c>
      <c r="T127" s="79">
        <v>0</v>
      </c>
      <c r="U127" s="79">
        <v>0</v>
      </c>
      <c r="V127" s="79">
        <v>9745.35</v>
      </c>
      <c r="W127" s="79">
        <v>22933.86</v>
      </c>
      <c r="X127" s="79">
        <v>45898.43</v>
      </c>
      <c r="Y127" s="79">
        <v>0</v>
      </c>
      <c r="Z127" s="79">
        <v>0</v>
      </c>
      <c r="AA127" s="79">
        <v>0</v>
      </c>
      <c r="AB127" s="79">
        <v>0</v>
      </c>
      <c r="AC127" s="79">
        <v>0</v>
      </c>
      <c r="AD127" s="79">
        <f>11461.97+11785.46</f>
        <v>23247.43</v>
      </c>
      <c r="AE127" s="79">
        <v>0</v>
      </c>
      <c r="AF127" s="79">
        <v>0</v>
      </c>
      <c r="AG127" s="79">
        <v>11462.78</v>
      </c>
      <c r="AH127" s="79">
        <v>0</v>
      </c>
      <c r="AI127" s="79">
        <v>11462.87</v>
      </c>
      <c r="AJ127" s="79">
        <f>11462.06+22923.93</f>
        <v>34385.99</v>
      </c>
      <c r="AK127" s="9"/>
      <c r="AL127" s="252">
        <f>SUM(F127:AJ127)</f>
        <v>159136.71</v>
      </c>
      <c r="AM127" s="253"/>
    </row>
    <row r="128" spans="2:39 15081:15473" s="1" customFormat="1" x14ac:dyDescent="0.25">
      <c r="B128" s="128"/>
      <c r="C128" s="70" t="s">
        <v>44</v>
      </c>
      <c r="D128" s="127"/>
      <c r="E128" s="73" t="s">
        <v>16</v>
      </c>
      <c r="F128" s="75">
        <f>SUM(F131:F132)*9.75348</f>
        <v>0</v>
      </c>
      <c r="G128" s="75">
        <f t="shared" ref="G128:AJ128" si="46">SUM(G131:G132)*9.75348</f>
        <v>0</v>
      </c>
      <c r="H128" s="75">
        <f t="shared" si="46"/>
        <v>0</v>
      </c>
      <c r="I128" s="75">
        <f t="shared" si="46"/>
        <v>0</v>
      </c>
      <c r="J128" s="75">
        <f t="shared" si="46"/>
        <v>0</v>
      </c>
      <c r="K128" s="75">
        <f t="shared" si="46"/>
        <v>0</v>
      </c>
      <c r="L128" s="75">
        <f t="shared" si="46"/>
        <v>0</v>
      </c>
      <c r="M128" s="75">
        <f t="shared" si="46"/>
        <v>0</v>
      </c>
      <c r="N128" s="75">
        <f t="shared" si="46"/>
        <v>0</v>
      </c>
      <c r="O128" s="75">
        <f t="shared" si="46"/>
        <v>0</v>
      </c>
      <c r="P128" s="75">
        <f t="shared" si="46"/>
        <v>0</v>
      </c>
      <c r="Q128" s="75">
        <f t="shared" si="46"/>
        <v>0</v>
      </c>
      <c r="R128" s="75">
        <f t="shared" si="46"/>
        <v>0</v>
      </c>
      <c r="S128" s="75">
        <f t="shared" si="46"/>
        <v>0</v>
      </c>
      <c r="T128" s="75">
        <f t="shared" si="46"/>
        <v>0</v>
      </c>
      <c r="U128" s="75">
        <f t="shared" si="46"/>
        <v>0</v>
      </c>
      <c r="V128" s="75">
        <f t="shared" si="46"/>
        <v>9753.48</v>
      </c>
      <c r="W128" s="75">
        <f t="shared" si="46"/>
        <v>22988.952359999999</v>
      </c>
      <c r="X128" s="75">
        <f t="shared" si="46"/>
        <v>46133.960399999996</v>
      </c>
      <c r="Y128" s="75">
        <f t="shared" si="46"/>
        <v>0</v>
      </c>
      <c r="Z128" s="75">
        <f t="shared" si="46"/>
        <v>0</v>
      </c>
      <c r="AA128" s="75">
        <f t="shared" si="46"/>
        <v>0</v>
      </c>
      <c r="AB128" s="75">
        <f t="shared" si="46"/>
        <v>0</v>
      </c>
      <c r="AC128" s="75">
        <f t="shared" si="46"/>
        <v>0</v>
      </c>
      <c r="AD128" s="75">
        <f t="shared" si="46"/>
        <v>23291.310239999999</v>
      </c>
      <c r="AE128" s="75">
        <f t="shared" si="46"/>
        <v>0</v>
      </c>
      <c r="AF128" s="75">
        <f t="shared" si="46"/>
        <v>0</v>
      </c>
      <c r="AG128" s="75">
        <f t="shared" si="46"/>
        <v>11460.339</v>
      </c>
      <c r="AH128" s="75">
        <f t="shared" si="46"/>
        <v>0</v>
      </c>
      <c r="AI128" s="75">
        <f t="shared" si="46"/>
        <v>11489.59944</v>
      </c>
      <c r="AJ128" s="75">
        <f t="shared" si="46"/>
        <v>34566.333119999996</v>
      </c>
      <c r="AK128" s="9"/>
      <c r="AL128" s="33">
        <f>SUM(F128:AJ128)</f>
        <v>159683.97456</v>
      </c>
      <c r="AM128" s="41"/>
    </row>
    <row r="129" spans="2:39" s="1" customFormat="1" x14ac:dyDescent="0.25">
      <c r="B129" s="128"/>
      <c r="C129" s="70" t="s">
        <v>43</v>
      </c>
      <c r="D129" s="127"/>
      <c r="E129" s="73" t="s">
        <v>16</v>
      </c>
      <c r="F129" s="75">
        <f>F127-F128</f>
        <v>0</v>
      </c>
      <c r="G129" s="75">
        <f t="shared" ref="G129:AJ129" si="47">G127-G128</f>
        <v>0</v>
      </c>
      <c r="H129" s="75">
        <f t="shared" si="47"/>
        <v>0</v>
      </c>
      <c r="I129" s="75">
        <f t="shared" si="47"/>
        <v>0</v>
      </c>
      <c r="J129" s="75">
        <f t="shared" si="47"/>
        <v>0</v>
      </c>
      <c r="K129" s="75">
        <f t="shared" si="47"/>
        <v>0</v>
      </c>
      <c r="L129" s="75">
        <f t="shared" si="47"/>
        <v>0</v>
      </c>
      <c r="M129" s="75">
        <f t="shared" si="47"/>
        <v>0</v>
      </c>
      <c r="N129" s="75">
        <f t="shared" si="47"/>
        <v>0</v>
      </c>
      <c r="O129" s="75">
        <f t="shared" si="47"/>
        <v>0</v>
      </c>
      <c r="P129" s="75">
        <f t="shared" si="47"/>
        <v>0</v>
      </c>
      <c r="Q129" s="75">
        <f t="shared" si="47"/>
        <v>0</v>
      </c>
      <c r="R129" s="75">
        <f t="shared" si="47"/>
        <v>0</v>
      </c>
      <c r="S129" s="75">
        <f t="shared" si="47"/>
        <v>0</v>
      </c>
      <c r="T129" s="75">
        <f t="shared" si="47"/>
        <v>0</v>
      </c>
      <c r="U129" s="75">
        <f t="shared" si="47"/>
        <v>0</v>
      </c>
      <c r="V129" s="75">
        <f t="shared" si="47"/>
        <v>-8.1299999999991996</v>
      </c>
      <c r="W129" s="75">
        <f t="shared" si="47"/>
        <v>-55.092359999998735</v>
      </c>
      <c r="X129" s="75">
        <f t="shared" si="47"/>
        <v>-235.53039999999601</v>
      </c>
      <c r="Y129" s="75">
        <f t="shared" si="47"/>
        <v>0</v>
      </c>
      <c r="Z129" s="75">
        <f t="shared" si="47"/>
        <v>0</v>
      </c>
      <c r="AA129" s="75">
        <f t="shared" si="47"/>
        <v>0</v>
      </c>
      <c r="AB129" s="75">
        <f t="shared" si="47"/>
        <v>0</v>
      </c>
      <c r="AC129" s="75">
        <f t="shared" si="47"/>
        <v>0</v>
      </c>
      <c r="AD129" s="75">
        <f t="shared" si="47"/>
        <v>-43.880239999998594</v>
      </c>
      <c r="AE129" s="75">
        <f t="shared" si="47"/>
        <v>0</v>
      </c>
      <c r="AF129" s="75">
        <f t="shared" si="47"/>
        <v>0</v>
      </c>
      <c r="AG129" s="75">
        <f t="shared" si="47"/>
        <v>2.441000000000713</v>
      </c>
      <c r="AH129" s="75">
        <f t="shared" si="47"/>
        <v>0</v>
      </c>
      <c r="AI129" s="75">
        <f t="shared" si="47"/>
        <v>-26.729439999999158</v>
      </c>
      <c r="AJ129" s="75">
        <f t="shared" si="47"/>
        <v>-180.34311999999773</v>
      </c>
      <c r="AK129" s="9"/>
      <c r="AL129" s="33">
        <f>SUM(F129:AJ129)</f>
        <v>-547.26455999998871</v>
      </c>
      <c r="AM129" s="41"/>
    </row>
    <row r="130" spans="2:39" s="1" customFormat="1" x14ac:dyDescent="0.25">
      <c r="B130" s="128"/>
      <c r="C130" s="70" t="s">
        <v>33</v>
      </c>
      <c r="D130" s="127"/>
      <c r="E130" s="54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9"/>
      <c r="AL130" s="34" t="s">
        <v>33</v>
      </c>
      <c r="AM130" s="240"/>
    </row>
    <row r="131" spans="2:39" s="1" customFormat="1" x14ac:dyDescent="0.2">
      <c r="B131" s="128"/>
      <c r="C131" s="66" t="s">
        <v>50</v>
      </c>
      <c r="D131" s="127"/>
      <c r="E131" s="283" t="s">
        <v>36</v>
      </c>
      <c r="F131" s="71">
        <v>0</v>
      </c>
      <c r="G131" s="71">
        <v>0</v>
      </c>
      <c r="H131" s="71">
        <v>0</v>
      </c>
      <c r="I131" s="71">
        <v>0</v>
      </c>
      <c r="J131" s="71">
        <v>0</v>
      </c>
      <c r="K131" s="71">
        <v>0</v>
      </c>
      <c r="L131" s="71">
        <v>0</v>
      </c>
      <c r="M131" s="71">
        <v>0</v>
      </c>
      <c r="N131" s="71">
        <v>0</v>
      </c>
      <c r="O131" s="71">
        <v>0</v>
      </c>
      <c r="P131" s="71">
        <v>0</v>
      </c>
      <c r="Q131" s="71">
        <v>0</v>
      </c>
      <c r="R131" s="71">
        <v>0</v>
      </c>
      <c r="S131" s="71">
        <v>0</v>
      </c>
      <c r="T131" s="71">
        <v>0</v>
      </c>
      <c r="U131" s="71">
        <v>0</v>
      </c>
      <c r="V131" s="71">
        <v>1000</v>
      </c>
      <c r="W131" s="71">
        <v>2357</v>
      </c>
      <c r="X131" s="71">
        <v>0</v>
      </c>
      <c r="Y131" s="71">
        <v>0</v>
      </c>
      <c r="Z131" s="71">
        <v>0</v>
      </c>
      <c r="AA131" s="71">
        <v>0</v>
      </c>
      <c r="AB131" s="71">
        <v>0</v>
      </c>
      <c r="AC131" s="71">
        <v>0</v>
      </c>
      <c r="AD131" s="71">
        <v>1177</v>
      </c>
      <c r="AE131" s="71">
        <v>0</v>
      </c>
      <c r="AF131" s="71">
        <v>0</v>
      </c>
      <c r="AG131" s="71">
        <v>1175</v>
      </c>
      <c r="AH131" s="71">
        <v>0</v>
      </c>
      <c r="AI131" s="71">
        <v>1178</v>
      </c>
      <c r="AJ131" s="71">
        <v>1181</v>
      </c>
      <c r="AK131" s="9"/>
      <c r="AL131" s="36">
        <f>SUM(F131:AJ131)</f>
        <v>8068</v>
      </c>
      <c r="AM131" s="147"/>
    </row>
    <row r="132" spans="2:39" s="1" customFormat="1" x14ac:dyDescent="0.2">
      <c r="B132" s="128"/>
      <c r="C132" s="66" t="s">
        <v>49</v>
      </c>
      <c r="D132" s="127"/>
      <c r="E132" s="283" t="s">
        <v>36</v>
      </c>
      <c r="F132" s="71">
        <v>0</v>
      </c>
      <c r="G132" s="71">
        <v>0</v>
      </c>
      <c r="H132" s="71">
        <v>0</v>
      </c>
      <c r="I132" s="71">
        <v>0</v>
      </c>
      <c r="J132" s="71">
        <v>0</v>
      </c>
      <c r="K132" s="71">
        <v>0</v>
      </c>
      <c r="L132" s="71">
        <v>0</v>
      </c>
      <c r="M132" s="71">
        <v>0</v>
      </c>
      <c r="N132" s="71">
        <v>0</v>
      </c>
      <c r="O132" s="71">
        <v>0</v>
      </c>
      <c r="P132" s="71">
        <v>0</v>
      </c>
      <c r="Q132" s="71">
        <v>0</v>
      </c>
      <c r="R132" s="71">
        <v>0</v>
      </c>
      <c r="S132" s="71">
        <v>0</v>
      </c>
      <c r="T132" s="71">
        <v>0</v>
      </c>
      <c r="U132" s="71">
        <v>0</v>
      </c>
      <c r="V132" s="71">
        <v>0</v>
      </c>
      <c r="W132" s="71">
        <v>0</v>
      </c>
      <c r="X132" s="71">
        <v>4730</v>
      </c>
      <c r="Y132" s="71">
        <v>0</v>
      </c>
      <c r="Z132" s="71">
        <v>0</v>
      </c>
      <c r="AA132" s="71">
        <v>0</v>
      </c>
      <c r="AB132" s="71">
        <v>0</v>
      </c>
      <c r="AC132" s="71">
        <v>0</v>
      </c>
      <c r="AD132" s="71">
        <v>1211</v>
      </c>
      <c r="AE132" s="71">
        <v>0</v>
      </c>
      <c r="AF132" s="71">
        <v>0</v>
      </c>
      <c r="AG132" s="71">
        <v>0</v>
      </c>
      <c r="AH132" s="71">
        <v>0</v>
      </c>
      <c r="AI132" s="71">
        <v>0</v>
      </c>
      <c r="AJ132" s="71">
        <v>2363</v>
      </c>
      <c r="AK132" s="9"/>
      <c r="AL132" s="36">
        <f>SUM(F132:AJ132)</f>
        <v>8304</v>
      </c>
      <c r="AM132" s="147"/>
    </row>
    <row r="133" spans="2:39" s="1" customFormat="1" x14ac:dyDescent="0.25">
      <c r="B133" s="128"/>
      <c r="C133" s="70" t="s">
        <v>32</v>
      </c>
      <c r="D133" s="127"/>
      <c r="E133" s="54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9"/>
      <c r="AL133" s="34" t="s">
        <v>32</v>
      </c>
      <c r="AM133" s="240"/>
    </row>
    <row r="134" spans="2:39" s="1" customFormat="1" x14ac:dyDescent="0.25">
      <c r="B134" s="128"/>
      <c r="C134" s="66" t="s">
        <v>50</v>
      </c>
      <c r="D134" s="127"/>
      <c r="E134" s="73" t="s">
        <v>32</v>
      </c>
      <c r="F134" s="10">
        <f>F131*12</f>
        <v>0</v>
      </c>
      <c r="G134" s="10">
        <f t="shared" ref="G134:AJ134" si="48">G131*12</f>
        <v>0</v>
      </c>
      <c r="H134" s="10">
        <f t="shared" si="48"/>
        <v>0</v>
      </c>
      <c r="I134" s="10">
        <f t="shared" si="48"/>
        <v>0</v>
      </c>
      <c r="J134" s="10">
        <f t="shared" si="48"/>
        <v>0</v>
      </c>
      <c r="K134" s="10">
        <f t="shared" si="48"/>
        <v>0</v>
      </c>
      <c r="L134" s="10">
        <f t="shared" si="48"/>
        <v>0</v>
      </c>
      <c r="M134" s="10">
        <f t="shared" si="48"/>
        <v>0</v>
      </c>
      <c r="N134" s="10">
        <f t="shared" si="48"/>
        <v>0</v>
      </c>
      <c r="O134" s="10">
        <f t="shared" si="48"/>
        <v>0</v>
      </c>
      <c r="P134" s="10">
        <f t="shared" si="48"/>
        <v>0</v>
      </c>
      <c r="Q134" s="10">
        <f t="shared" si="48"/>
        <v>0</v>
      </c>
      <c r="R134" s="10">
        <f t="shared" si="48"/>
        <v>0</v>
      </c>
      <c r="S134" s="10">
        <f t="shared" si="48"/>
        <v>0</v>
      </c>
      <c r="T134" s="10">
        <f t="shared" si="48"/>
        <v>0</v>
      </c>
      <c r="U134" s="10">
        <f t="shared" si="48"/>
        <v>0</v>
      </c>
      <c r="V134" s="10">
        <f t="shared" si="48"/>
        <v>12000</v>
      </c>
      <c r="W134" s="10">
        <f t="shared" si="48"/>
        <v>28284</v>
      </c>
      <c r="X134" s="10">
        <f t="shared" si="48"/>
        <v>0</v>
      </c>
      <c r="Y134" s="10">
        <f t="shared" si="48"/>
        <v>0</v>
      </c>
      <c r="Z134" s="10">
        <f t="shared" si="48"/>
        <v>0</v>
      </c>
      <c r="AA134" s="10">
        <f t="shared" si="48"/>
        <v>0</v>
      </c>
      <c r="AB134" s="10">
        <f t="shared" si="48"/>
        <v>0</v>
      </c>
      <c r="AC134" s="10">
        <f t="shared" si="48"/>
        <v>0</v>
      </c>
      <c r="AD134" s="10">
        <f t="shared" si="48"/>
        <v>14124</v>
      </c>
      <c r="AE134" s="10">
        <f t="shared" si="48"/>
        <v>0</v>
      </c>
      <c r="AF134" s="10">
        <f t="shared" si="48"/>
        <v>0</v>
      </c>
      <c r="AG134" s="10">
        <f t="shared" si="48"/>
        <v>14100</v>
      </c>
      <c r="AH134" s="10">
        <f t="shared" si="48"/>
        <v>0</v>
      </c>
      <c r="AI134" s="10">
        <f t="shared" si="48"/>
        <v>14136</v>
      </c>
      <c r="AJ134" s="10">
        <f t="shared" si="48"/>
        <v>14172</v>
      </c>
      <c r="AK134" s="9"/>
      <c r="AL134" s="18">
        <f>AL131*12</f>
        <v>96816</v>
      </c>
      <c r="AM134" s="22"/>
    </row>
    <row r="135" spans="2:39" s="1" customFormat="1" x14ac:dyDescent="0.25">
      <c r="B135" s="128"/>
      <c r="C135" s="66" t="s">
        <v>49</v>
      </c>
      <c r="D135" s="127"/>
      <c r="E135" s="73" t="s">
        <v>32</v>
      </c>
      <c r="F135" s="10">
        <f>F132*6</f>
        <v>0</v>
      </c>
      <c r="G135" s="10">
        <f t="shared" ref="G135:AJ135" si="49">G132*6</f>
        <v>0</v>
      </c>
      <c r="H135" s="10">
        <f t="shared" si="49"/>
        <v>0</v>
      </c>
      <c r="I135" s="10">
        <f t="shared" si="49"/>
        <v>0</v>
      </c>
      <c r="J135" s="10">
        <f t="shared" si="49"/>
        <v>0</v>
      </c>
      <c r="K135" s="10">
        <f t="shared" si="49"/>
        <v>0</v>
      </c>
      <c r="L135" s="10">
        <f t="shared" si="49"/>
        <v>0</v>
      </c>
      <c r="M135" s="10">
        <f t="shared" si="49"/>
        <v>0</v>
      </c>
      <c r="N135" s="10">
        <f t="shared" si="49"/>
        <v>0</v>
      </c>
      <c r="O135" s="10">
        <f t="shared" si="49"/>
        <v>0</v>
      </c>
      <c r="P135" s="10">
        <f t="shared" si="49"/>
        <v>0</v>
      </c>
      <c r="Q135" s="10">
        <f t="shared" si="49"/>
        <v>0</v>
      </c>
      <c r="R135" s="10">
        <f t="shared" si="49"/>
        <v>0</v>
      </c>
      <c r="S135" s="10">
        <f t="shared" si="49"/>
        <v>0</v>
      </c>
      <c r="T135" s="10">
        <f t="shared" si="49"/>
        <v>0</v>
      </c>
      <c r="U135" s="10">
        <f t="shared" si="49"/>
        <v>0</v>
      </c>
      <c r="V135" s="10">
        <f t="shared" si="49"/>
        <v>0</v>
      </c>
      <c r="W135" s="10">
        <f t="shared" si="49"/>
        <v>0</v>
      </c>
      <c r="X135" s="10">
        <f t="shared" si="49"/>
        <v>28380</v>
      </c>
      <c r="Y135" s="10">
        <f t="shared" si="49"/>
        <v>0</v>
      </c>
      <c r="Z135" s="10">
        <f t="shared" si="49"/>
        <v>0</v>
      </c>
      <c r="AA135" s="10">
        <f t="shared" si="49"/>
        <v>0</v>
      </c>
      <c r="AB135" s="10">
        <f t="shared" si="49"/>
        <v>0</v>
      </c>
      <c r="AC135" s="10">
        <f t="shared" si="49"/>
        <v>0</v>
      </c>
      <c r="AD135" s="10">
        <f t="shared" si="49"/>
        <v>7266</v>
      </c>
      <c r="AE135" s="10">
        <f t="shared" si="49"/>
        <v>0</v>
      </c>
      <c r="AF135" s="10">
        <f t="shared" si="49"/>
        <v>0</v>
      </c>
      <c r="AG135" s="10">
        <f t="shared" si="49"/>
        <v>0</v>
      </c>
      <c r="AH135" s="10">
        <f t="shared" si="49"/>
        <v>0</v>
      </c>
      <c r="AI135" s="10">
        <f t="shared" si="49"/>
        <v>0</v>
      </c>
      <c r="AJ135" s="10">
        <f t="shared" si="49"/>
        <v>14178</v>
      </c>
      <c r="AK135" s="9"/>
      <c r="AL135" s="18">
        <f>AL132*6</f>
        <v>49824</v>
      </c>
      <c r="AM135" s="22"/>
    </row>
    <row r="136" spans="2:39" s="1" customFormat="1" x14ac:dyDescent="0.25">
      <c r="B136" s="128"/>
      <c r="C136" s="70" t="s">
        <v>41</v>
      </c>
      <c r="D136" s="127"/>
      <c r="E136" s="73" t="s">
        <v>40</v>
      </c>
      <c r="F136" s="10">
        <f>F127*45/1700</f>
        <v>0</v>
      </c>
      <c r="G136" s="10">
        <f t="shared" ref="G136:AJ136" si="50">G127*45/1700</f>
        <v>0</v>
      </c>
      <c r="H136" s="10">
        <f t="shared" si="50"/>
        <v>0</v>
      </c>
      <c r="I136" s="10">
        <f t="shared" si="50"/>
        <v>0</v>
      </c>
      <c r="J136" s="10">
        <f t="shared" si="50"/>
        <v>0</v>
      </c>
      <c r="K136" s="10">
        <f t="shared" si="50"/>
        <v>0</v>
      </c>
      <c r="L136" s="10">
        <f t="shared" si="50"/>
        <v>0</v>
      </c>
      <c r="M136" s="10">
        <f t="shared" si="50"/>
        <v>0</v>
      </c>
      <c r="N136" s="10">
        <f t="shared" si="50"/>
        <v>0</v>
      </c>
      <c r="O136" s="10">
        <f t="shared" si="50"/>
        <v>0</v>
      </c>
      <c r="P136" s="10">
        <f t="shared" si="50"/>
        <v>0</v>
      </c>
      <c r="Q136" s="10">
        <f t="shared" si="50"/>
        <v>0</v>
      </c>
      <c r="R136" s="10">
        <f t="shared" si="50"/>
        <v>0</v>
      </c>
      <c r="S136" s="10">
        <f t="shared" si="50"/>
        <v>0</v>
      </c>
      <c r="T136" s="10">
        <f t="shared" si="50"/>
        <v>0</v>
      </c>
      <c r="U136" s="10">
        <f t="shared" si="50"/>
        <v>0</v>
      </c>
      <c r="V136" s="10">
        <f t="shared" si="50"/>
        <v>257.9651470588235</v>
      </c>
      <c r="W136" s="10">
        <f t="shared" si="50"/>
        <v>607.07276470588238</v>
      </c>
      <c r="X136" s="10">
        <f t="shared" si="50"/>
        <v>1214.9584411764706</v>
      </c>
      <c r="Y136" s="10">
        <f t="shared" si="50"/>
        <v>0</v>
      </c>
      <c r="Z136" s="10">
        <f t="shared" si="50"/>
        <v>0</v>
      </c>
      <c r="AA136" s="10">
        <f t="shared" si="50"/>
        <v>0</v>
      </c>
      <c r="AB136" s="10">
        <f t="shared" si="50"/>
        <v>0</v>
      </c>
      <c r="AC136" s="10">
        <f t="shared" si="50"/>
        <v>0</v>
      </c>
      <c r="AD136" s="10">
        <f t="shared" si="50"/>
        <v>615.37314705882352</v>
      </c>
      <c r="AE136" s="10">
        <f t="shared" si="50"/>
        <v>0</v>
      </c>
      <c r="AF136" s="10">
        <f t="shared" si="50"/>
        <v>0</v>
      </c>
      <c r="AG136" s="10">
        <f t="shared" si="50"/>
        <v>303.4265294117647</v>
      </c>
      <c r="AH136" s="10">
        <f t="shared" si="50"/>
        <v>0</v>
      </c>
      <c r="AI136" s="10">
        <f t="shared" si="50"/>
        <v>303.4289117647059</v>
      </c>
      <c r="AJ136" s="10">
        <f t="shared" si="50"/>
        <v>910.21738235294106</v>
      </c>
      <c r="AK136" s="9"/>
      <c r="AL136" s="18">
        <f>SUM(F136:AJ136)</f>
        <v>4212.4423235294116</v>
      </c>
      <c r="AM136" s="22"/>
    </row>
    <row r="137" spans="2:39" s="1" customFormat="1" x14ac:dyDescent="0.25">
      <c r="B137" s="128"/>
      <c r="C137" s="70" t="s">
        <v>39</v>
      </c>
      <c r="D137" s="127"/>
      <c r="E137" s="73" t="s">
        <v>38</v>
      </c>
      <c r="F137" s="10">
        <f>SUM(F131:F132)/500</f>
        <v>0</v>
      </c>
      <c r="G137" s="10">
        <f t="shared" ref="G137:AJ137" si="51">SUM(G131:G132)/500</f>
        <v>0</v>
      </c>
      <c r="H137" s="10">
        <f t="shared" si="51"/>
        <v>0</v>
      </c>
      <c r="I137" s="10">
        <f t="shared" si="51"/>
        <v>0</v>
      </c>
      <c r="J137" s="10">
        <f t="shared" si="51"/>
        <v>0</v>
      </c>
      <c r="K137" s="10">
        <f t="shared" si="51"/>
        <v>0</v>
      </c>
      <c r="L137" s="10">
        <f t="shared" si="51"/>
        <v>0</v>
      </c>
      <c r="M137" s="10">
        <f t="shared" si="51"/>
        <v>0</v>
      </c>
      <c r="N137" s="10">
        <f t="shared" si="51"/>
        <v>0</v>
      </c>
      <c r="O137" s="10">
        <f t="shared" si="51"/>
        <v>0</v>
      </c>
      <c r="P137" s="10">
        <f t="shared" si="51"/>
        <v>0</v>
      </c>
      <c r="Q137" s="10">
        <f t="shared" si="51"/>
        <v>0</v>
      </c>
      <c r="R137" s="10">
        <f t="shared" si="51"/>
        <v>0</v>
      </c>
      <c r="S137" s="10">
        <f t="shared" si="51"/>
        <v>0</v>
      </c>
      <c r="T137" s="10">
        <f t="shared" si="51"/>
        <v>0</v>
      </c>
      <c r="U137" s="10">
        <f t="shared" si="51"/>
        <v>0</v>
      </c>
      <c r="V137" s="10">
        <f t="shared" si="51"/>
        <v>2</v>
      </c>
      <c r="W137" s="10">
        <f t="shared" si="51"/>
        <v>4.7140000000000004</v>
      </c>
      <c r="X137" s="10">
        <f t="shared" si="51"/>
        <v>9.4600000000000009</v>
      </c>
      <c r="Y137" s="10">
        <f t="shared" si="51"/>
        <v>0</v>
      </c>
      <c r="Z137" s="10">
        <f t="shared" si="51"/>
        <v>0</v>
      </c>
      <c r="AA137" s="10">
        <f t="shared" si="51"/>
        <v>0</v>
      </c>
      <c r="AB137" s="10">
        <f t="shared" si="51"/>
        <v>0</v>
      </c>
      <c r="AC137" s="10">
        <f t="shared" si="51"/>
        <v>0</v>
      </c>
      <c r="AD137" s="10">
        <f t="shared" si="51"/>
        <v>4.7759999999999998</v>
      </c>
      <c r="AE137" s="10">
        <f t="shared" si="51"/>
        <v>0</v>
      </c>
      <c r="AF137" s="10">
        <f t="shared" si="51"/>
        <v>0</v>
      </c>
      <c r="AG137" s="10">
        <f t="shared" si="51"/>
        <v>2.35</v>
      </c>
      <c r="AH137" s="10">
        <f t="shared" si="51"/>
        <v>0</v>
      </c>
      <c r="AI137" s="10">
        <f t="shared" si="51"/>
        <v>2.3559999999999999</v>
      </c>
      <c r="AJ137" s="10">
        <f t="shared" si="51"/>
        <v>7.0880000000000001</v>
      </c>
      <c r="AK137" s="9"/>
      <c r="AL137" s="18">
        <f>SUM(F137:AJ137)</f>
        <v>32.744</v>
      </c>
      <c r="AM137" s="22"/>
    </row>
    <row r="138" spans="2:39" s="1" customFormat="1" x14ac:dyDescent="0.25">
      <c r="B138" s="128"/>
      <c r="C138" s="65" t="s">
        <v>37</v>
      </c>
      <c r="D138" s="191"/>
      <c r="E138" s="284"/>
      <c r="F138" s="67"/>
      <c r="G138" s="192"/>
      <c r="H138" s="192"/>
      <c r="I138" s="192"/>
      <c r="J138" s="192"/>
      <c r="K138" s="192"/>
      <c r="L138" s="192"/>
      <c r="M138" s="192"/>
      <c r="N138" s="192"/>
      <c r="O138" s="192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  <c r="AF138" s="192"/>
      <c r="AG138" s="192"/>
      <c r="AH138" s="192"/>
      <c r="AI138" s="192"/>
      <c r="AJ138" s="192"/>
      <c r="AK138" s="9"/>
      <c r="AL138" s="35" t="s">
        <v>34</v>
      </c>
      <c r="AM138" s="238"/>
    </row>
    <row r="139" spans="2:39" s="1" customFormat="1" x14ac:dyDescent="0.25">
      <c r="B139" s="128"/>
      <c r="C139" s="70" t="s">
        <v>33</v>
      </c>
      <c r="D139" s="127"/>
      <c r="E139" s="54"/>
      <c r="F139" s="10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  <c r="AF139" s="151"/>
      <c r="AG139" s="151"/>
      <c r="AH139" s="151"/>
      <c r="AI139" s="151"/>
      <c r="AJ139" s="151"/>
      <c r="AK139" s="9"/>
      <c r="AL139" s="34" t="s">
        <v>33</v>
      </c>
      <c r="AM139" s="240"/>
    </row>
    <row r="140" spans="2:39" s="1" customFormat="1" x14ac:dyDescent="0.25">
      <c r="B140" s="128"/>
      <c r="C140" s="66" t="s">
        <v>50</v>
      </c>
      <c r="D140" s="127"/>
      <c r="E140" s="73" t="s">
        <v>36</v>
      </c>
      <c r="F140" s="71">
        <v>0</v>
      </c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>
        <v>1</v>
      </c>
      <c r="W140" s="119">
        <v>6</v>
      </c>
      <c r="X140" s="151"/>
      <c r="Y140" s="151"/>
      <c r="Z140" s="151"/>
      <c r="AA140" s="151"/>
      <c r="AB140" s="151"/>
      <c r="AC140" s="151"/>
      <c r="AD140" s="119">
        <v>2</v>
      </c>
      <c r="AE140" s="151"/>
      <c r="AF140" s="151"/>
      <c r="AG140" s="151"/>
      <c r="AH140" s="151"/>
      <c r="AI140" s="119">
        <v>3</v>
      </c>
      <c r="AJ140" s="119">
        <v>6</v>
      </c>
      <c r="AK140" s="9"/>
      <c r="AL140" s="18">
        <f>SUM(F140:AJ140)</f>
        <v>18</v>
      </c>
      <c r="AM140" s="22"/>
    </row>
    <row r="141" spans="2:39" s="1" customFormat="1" x14ac:dyDescent="0.25">
      <c r="B141" s="128"/>
      <c r="C141" s="66" t="s">
        <v>49</v>
      </c>
      <c r="D141" s="127"/>
      <c r="E141" s="73" t="s">
        <v>36</v>
      </c>
      <c r="F141" s="71">
        <v>0</v>
      </c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19">
        <v>25</v>
      </c>
      <c r="Y141" s="151"/>
      <c r="Z141" s="151"/>
      <c r="AA141" s="151"/>
      <c r="AB141" s="151"/>
      <c r="AC141" s="151"/>
      <c r="AD141" s="119">
        <v>3</v>
      </c>
      <c r="AE141" s="151"/>
      <c r="AF141" s="151"/>
      <c r="AG141" s="151"/>
      <c r="AH141" s="151"/>
      <c r="AI141" s="151"/>
      <c r="AJ141" s="119">
        <v>13</v>
      </c>
      <c r="AK141" s="9"/>
      <c r="AL141" s="18">
        <f>SUM(F141:AJ141)</f>
        <v>41</v>
      </c>
      <c r="AM141" s="22"/>
    </row>
    <row r="142" spans="2:39" s="1" customFormat="1" x14ac:dyDescent="0.25">
      <c r="B142" s="128"/>
      <c r="C142" s="70" t="s">
        <v>32</v>
      </c>
      <c r="D142" s="127"/>
      <c r="E142" s="54"/>
      <c r="F142" s="7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  <c r="AF142" s="151"/>
      <c r="AG142" s="151"/>
      <c r="AH142" s="151"/>
      <c r="AI142" s="151"/>
      <c r="AJ142" s="151"/>
      <c r="AK142" s="9"/>
      <c r="AL142" s="34" t="s">
        <v>32</v>
      </c>
      <c r="AM142" s="240"/>
    </row>
    <row r="143" spans="2:39" s="1" customFormat="1" x14ac:dyDescent="0.25">
      <c r="B143" s="128"/>
      <c r="C143" s="66" t="str">
        <f>C140</f>
        <v xml:space="preserve">INL SP 900 mL  </v>
      </c>
      <c r="D143" s="127"/>
      <c r="E143" s="73" t="s">
        <v>32</v>
      </c>
      <c r="F143" s="71">
        <v>0</v>
      </c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  <c r="AF143" s="151"/>
      <c r="AG143" s="151"/>
      <c r="AH143" s="151"/>
      <c r="AI143" s="151"/>
      <c r="AJ143" s="151"/>
      <c r="AK143" s="9"/>
      <c r="AL143" s="18">
        <f>SUM(F143:AJ143)</f>
        <v>0</v>
      </c>
      <c r="AM143" s="22"/>
    </row>
    <row r="144" spans="2:39" s="1" customFormat="1" x14ac:dyDescent="0.25">
      <c r="B144" s="128"/>
      <c r="C144" s="66" t="str">
        <f>C141</f>
        <v>INL SP 1,8 L</v>
      </c>
      <c r="D144" s="127"/>
      <c r="E144" s="73" t="s">
        <v>32</v>
      </c>
      <c r="F144" s="71">
        <v>0</v>
      </c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  <c r="AF144" s="151"/>
      <c r="AG144" s="151"/>
      <c r="AH144" s="151"/>
      <c r="AI144" s="151"/>
      <c r="AJ144" s="151"/>
      <c r="AK144" s="9"/>
      <c r="AL144" s="18">
        <f>SUM(F144:AJ144)</f>
        <v>0</v>
      </c>
      <c r="AM144" s="22"/>
    </row>
    <row r="145" spans="2:39 15081:15473" s="1" customFormat="1" x14ac:dyDescent="0.25">
      <c r="B145" s="128"/>
      <c r="C145" s="65" t="s">
        <v>35</v>
      </c>
      <c r="D145" s="191"/>
      <c r="E145" s="194"/>
      <c r="F145" s="85"/>
      <c r="G145" s="192"/>
      <c r="H145" s="192"/>
      <c r="I145" s="192"/>
      <c r="J145" s="192"/>
      <c r="K145" s="192"/>
      <c r="L145" s="192"/>
      <c r="M145" s="192"/>
      <c r="N145" s="192"/>
      <c r="O145" s="192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  <c r="AF145" s="192"/>
      <c r="AG145" s="192"/>
      <c r="AH145" s="192"/>
      <c r="AI145" s="192"/>
      <c r="AJ145" s="192"/>
      <c r="AK145" s="9"/>
      <c r="AL145" s="86"/>
      <c r="AM145" s="254"/>
    </row>
    <row r="146" spans="2:39 15081:15473" s="1" customFormat="1" x14ac:dyDescent="0.25">
      <c r="B146" s="128"/>
      <c r="C146" s="70" t="s">
        <v>33</v>
      </c>
      <c r="D146" s="127"/>
      <c r="E146" s="73"/>
      <c r="F146" s="7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  <c r="AF146" s="151"/>
      <c r="AG146" s="151"/>
      <c r="AH146" s="151"/>
      <c r="AI146" s="151"/>
      <c r="AJ146" s="151"/>
      <c r="AK146" s="9"/>
      <c r="AL146" s="18"/>
      <c r="AM146" s="22"/>
    </row>
    <row r="147" spans="2:39 15081:15473" s="1" customFormat="1" x14ac:dyDescent="0.25">
      <c r="B147" s="128"/>
      <c r="C147" s="66" t="s">
        <v>50</v>
      </c>
      <c r="D147" s="127"/>
      <c r="E147" s="73" t="s">
        <v>29</v>
      </c>
      <c r="F147" s="71" t="e">
        <f t="shared" ref="F147:AI148" si="52">F140/F131*100</f>
        <v>#DIV/0!</v>
      </c>
      <c r="G147" s="71" t="e">
        <f t="shared" si="52"/>
        <v>#DIV/0!</v>
      </c>
      <c r="H147" s="71" t="e">
        <f t="shared" si="52"/>
        <v>#DIV/0!</v>
      </c>
      <c r="I147" s="71" t="e">
        <f t="shared" si="52"/>
        <v>#DIV/0!</v>
      </c>
      <c r="J147" s="71" t="e">
        <f t="shared" si="52"/>
        <v>#DIV/0!</v>
      </c>
      <c r="K147" s="71" t="e">
        <f t="shared" si="52"/>
        <v>#DIV/0!</v>
      </c>
      <c r="L147" s="71" t="e">
        <f t="shared" si="52"/>
        <v>#DIV/0!</v>
      </c>
      <c r="M147" s="71" t="e">
        <f t="shared" si="52"/>
        <v>#DIV/0!</v>
      </c>
      <c r="N147" s="71" t="e">
        <f t="shared" si="52"/>
        <v>#DIV/0!</v>
      </c>
      <c r="O147" s="71" t="e">
        <f t="shared" si="52"/>
        <v>#DIV/0!</v>
      </c>
      <c r="P147" s="71" t="e">
        <f t="shared" si="52"/>
        <v>#DIV/0!</v>
      </c>
      <c r="Q147" s="71" t="e">
        <f t="shared" si="52"/>
        <v>#DIV/0!</v>
      </c>
      <c r="R147" s="71" t="e">
        <f t="shared" si="52"/>
        <v>#DIV/0!</v>
      </c>
      <c r="S147" s="71" t="e">
        <f t="shared" si="52"/>
        <v>#DIV/0!</v>
      </c>
      <c r="T147" s="71" t="e">
        <f t="shared" si="52"/>
        <v>#DIV/0!</v>
      </c>
      <c r="U147" s="71" t="e">
        <f t="shared" si="52"/>
        <v>#DIV/0!</v>
      </c>
      <c r="V147" s="71">
        <f t="shared" si="52"/>
        <v>0.1</v>
      </c>
      <c r="W147" s="71">
        <f t="shared" si="52"/>
        <v>0.2545608824777259</v>
      </c>
      <c r="X147" s="71" t="e">
        <f t="shared" si="52"/>
        <v>#DIV/0!</v>
      </c>
      <c r="Y147" s="71" t="e">
        <f t="shared" si="52"/>
        <v>#DIV/0!</v>
      </c>
      <c r="Z147" s="71" t="e">
        <f t="shared" si="52"/>
        <v>#DIV/0!</v>
      </c>
      <c r="AA147" s="71" t="e">
        <f t="shared" si="52"/>
        <v>#DIV/0!</v>
      </c>
      <c r="AB147" s="71" t="e">
        <f t="shared" si="52"/>
        <v>#DIV/0!</v>
      </c>
      <c r="AC147" s="71" t="e">
        <f t="shared" si="52"/>
        <v>#DIV/0!</v>
      </c>
      <c r="AD147" s="71">
        <f t="shared" si="52"/>
        <v>0.16992353440951571</v>
      </c>
      <c r="AE147" s="71" t="e">
        <f t="shared" si="52"/>
        <v>#DIV/0!</v>
      </c>
      <c r="AF147" s="71" t="e">
        <f t="shared" si="52"/>
        <v>#DIV/0!</v>
      </c>
      <c r="AG147" s="71">
        <f t="shared" si="52"/>
        <v>0</v>
      </c>
      <c r="AH147" s="71" t="e">
        <f t="shared" si="52"/>
        <v>#DIV/0!</v>
      </c>
      <c r="AI147" s="71">
        <f t="shared" si="52"/>
        <v>0.25466893039049238</v>
      </c>
      <c r="AJ147" s="71">
        <f>AJ140/AJ131*100</f>
        <v>0.5080440304826418</v>
      </c>
      <c r="AK147" s="9"/>
      <c r="AL147" s="18" t="e">
        <f>SUM(F147:AJ147)</f>
        <v>#DIV/0!</v>
      </c>
      <c r="AM147" s="22"/>
    </row>
    <row r="148" spans="2:39 15081:15473" s="1" customFormat="1" x14ac:dyDescent="0.25">
      <c r="B148" s="128"/>
      <c r="C148" s="66" t="s">
        <v>125</v>
      </c>
      <c r="D148" s="127"/>
      <c r="E148" s="73" t="s">
        <v>29</v>
      </c>
      <c r="F148" s="71" t="e">
        <f t="shared" si="52"/>
        <v>#DIV/0!</v>
      </c>
      <c r="G148" s="71" t="e">
        <f t="shared" si="52"/>
        <v>#DIV/0!</v>
      </c>
      <c r="H148" s="71" t="e">
        <f t="shared" si="52"/>
        <v>#DIV/0!</v>
      </c>
      <c r="I148" s="71" t="e">
        <f t="shared" si="52"/>
        <v>#DIV/0!</v>
      </c>
      <c r="J148" s="71" t="e">
        <f t="shared" si="52"/>
        <v>#DIV/0!</v>
      </c>
      <c r="K148" s="71" t="e">
        <f t="shared" si="52"/>
        <v>#DIV/0!</v>
      </c>
      <c r="L148" s="71" t="e">
        <f t="shared" si="52"/>
        <v>#DIV/0!</v>
      </c>
      <c r="M148" s="71" t="e">
        <f t="shared" si="52"/>
        <v>#DIV/0!</v>
      </c>
      <c r="N148" s="71" t="e">
        <f t="shared" si="52"/>
        <v>#DIV/0!</v>
      </c>
      <c r="O148" s="71" t="e">
        <f t="shared" si="52"/>
        <v>#DIV/0!</v>
      </c>
      <c r="P148" s="71" t="e">
        <f t="shared" si="52"/>
        <v>#DIV/0!</v>
      </c>
      <c r="Q148" s="71" t="e">
        <f t="shared" si="52"/>
        <v>#DIV/0!</v>
      </c>
      <c r="R148" s="71" t="e">
        <f t="shared" si="52"/>
        <v>#DIV/0!</v>
      </c>
      <c r="S148" s="71" t="e">
        <f t="shared" si="52"/>
        <v>#DIV/0!</v>
      </c>
      <c r="T148" s="71" t="e">
        <f t="shared" si="52"/>
        <v>#DIV/0!</v>
      </c>
      <c r="U148" s="71" t="e">
        <f t="shared" si="52"/>
        <v>#DIV/0!</v>
      </c>
      <c r="V148" s="71" t="e">
        <f t="shared" si="52"/>
        <v>#DIV/0!</v>
      </c>
      <c r="W148" s="71" t="e">
        <f t="shared" si="52"/>
        <v>#DIV/0!</v>
      </c>
      <c r="X148" s="71">
        <f t="shared" si="52"/>
        <v>0.52854122621564481</v>
      </c>
      <c r="Y148" s="71" t="e">
        <f t="shared" si="52"/>
        <v>#DIV/0!</v>
      </c>
      <c r="Z148" s="71" t="e">
        <f t="shared" si="52"/>
        <v>#DIV/0!</v>
      </c>
      <c r="AA148" s="71" t="e">
        <f t="shared" si="52"/>
        <v>#DIV/0!</v>
      </c>
      <c r="AB148" s="71" t="e">
        <f t="shared" si="52"/>
        <v>#DIV/0!</v>
      </c>
      <c r="AC148" s="71" t="e">
        <f t="shared" si="52"/>
        <v>#DIV/0!</v>
      </c>
      <c r="AD148" s="71">
        <f t="shared" si="52"/>
        <v>0.2477291494632535</v>
      </c>
      <c r="AE148" s="71" t="e">
        <f t="shared" si="52"/>
        <v>#DIV/0!</v>
      </c>
      <c r="AF148" s="71" t="e">
        <f t="shared" si="52"/>
        <v>#DIV/0!</v>
      </c>
      <c r="AG148" s="71" t="e">
        <f t="shared" si="52"/>
        <v>#DIV/0!</v>
      </c>
      <c r="AH148" s="71" t="e">
        <f t="shared" si="52"/>
        <v>#DIV/0!</v>
      </c>
      <c r="AI148" s="71" t="e">
        <f t="shared" si="52"/>
        <v>#DIV/0!</v>
      </c>
      <c r="AJ148" s="71">
        <f>AJ141/AJ132*100</f>
        <v>0.5501481168006771</v>
      </c>
      <c r="AK148" s="9"/>
      <c r="AL148" s="18" t="e">
        <f>SUM(F148:AJ148)</f>
        <v>#DIV/0!</v>
      </c>
      <c r="AM148" s="22"/>
    </row>
    <row r="149" spans="2:39 15081:15473" s="1" customFormat="1" x14ac:dyDescent="0.25">
      <c r="B149" s="128"/>
      <c r="C149" s="70" t="s">
        <v>32</v>
      </c>
      <c r="D149" s="127"/>
      <c r="E149" s="54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9"/>
      <c r="AL149" s="18"/>
      <c r="AM149" s="22"/>
    </row>
    <row r="150" spans="2:39 15081:15473" s="1" customFormat="1" x14ac:dyDescent="0.25">
      <c r="B150" s="128"/>
      <c r="C150" s="66" t="s">
        <v>50</v>
      </c>
      <c r="D150" s="127"/>
      <c r="E150" s="73" t="s">
        <v>29</v>
      </c>
      <c r="F150" s="71" t="e">
        <f>F143/F134*100</f>
        <v>#DIV/0!</v>
      </c>
      <c r="G150" s="71" t="e">
        <f t="shared" ref="F150:AJ151" si="53">G143/G134*100</f>
        <v>#DIV/0!</v>
      </c>
      <c r="H150" s="71" t="e">
        <f t="shared" si="53"/>
        <v>#DIV/0!</v>
      </c>
      <c r="I150" s="71" t="e">
        <f t="shared" si="53"/>
        <v>#DIV/0!</v>
      </c>
      <c r="J150" s="71" t="e">
        <f t="shared" si="53"/>
        <v>#DIV/0!</v>
      </c>
      <c r="K150" s="71" t="e">
        <f t="shared" si="53"/>
        <v>#DIV/0!</v>
      </c>
      <c r="L150" s="71" t="e">
        <f t="shared" si="53"/>
        <v>#DIV/0!</v>
      </c>
      <c r="M150" s="71" t="e">
        <f t="shared" si="53"/>
        <v>#DIV/0!</v>
      </c>
      <c r="N150" s="71" t="e">
        <f t="shared" si="53"/>
        <v>#DIV/0!</v>
      </c>
      <c r="O150" s="71" t="e">
        <f t="shared" si="53"/>
        <v>#DIV/0!</v>
      </c>
      <c r="P150" s="71" t="e">
        <f t="shared" si="53"/>
        <v>#DIV/0!</v>
      </c>
      <c r="Q150" s="71" t="e">
        <f t="shared" si="53"/>
        <v>#DIV/0!</v>
      </c>
      <c r="R150" s="71" t="e">
        <f t="shared" si="53"/>
        <v>#DIV/0!</v>
      </c>
      <c r="S150" s="71" t="e">
        <f t="shared" si="53"/>
        <v>#DIV/0!</v>
      </c>
      <c r="T150" s="71" t="e">
        <f t="shared" si="53"/>
        <v>#DIV/0!</v>
      </c>
      <c r="U150" s="71" t="e">
        <f t="shared" si="53"/>
        <v>#DIV/0!</v>
      </c>
      <c r="V150" s="71">
        <f t="shared" si="53"/>
        <v>0</v>
      </c>
      <c r="W150" s="71">
        <f t="shared" si="53"/>
        <v>0</v>
      </c>
      <c r="X150" s="71" t="e">
        <f t="shared" si="53"/>
        <v>#DIV/0!</v>
      </c>
      <c r="Y150" s="71" t="e">
        <f t="shared" si="53"/>
        <v>#DIV/0!</v>
      </c>
      <c r="Z150" s="71" t="e">
        <f t="shared" si="53"/>
        <v>#DIV/0!</v>
      </c>
      <c r="AA150" s="71" t="e">
        <f t="shared" si="53"/>
        <v>#DIV/0!</v>
      </c>
      <c r="AB150" s="71" t="e">
        <f t="shared" si="53"/>
        <v>#DIV/0!</v>
      </c>
      <c r="AC150" s="71" t="e">
        <f t="shared" si="53"/>
        <v>#DIV/0!</v>
      </c>
      <c r="AD150" s="71">
        <f t="shared" si="53"/>
        <v>0</v>
      </c>
      <c r="AE150" s="71" t="e">
        <f t="shared" si="53"/>
        <v>#DIV/0!</v>
      </c>
      <c r="AF150" s="71" t="e">
        <f t="shared" si="53"/>
        <v>#DIV/0!</v>
      </c>
      <c r="AG150" s="71">
        <f t="shared" si="53"/>
        <v>0</v>
      </c>
      <c r="AH150" s="71" t="e">
        <f t="shared" si="53"/>
        <v>#DIV/0!</v>
      </c>
      <c r="AI150" s="71">
        <f t="shared" si="53"/>
        <v>0</v>
      </c>
      <c r="AJ150" s="71">
        <f t="shared" si="53"/>
        <v>0</v>
      </c>
      <c r="AK150" s="9"/>
      <c r="AL150" s="18" t="e">
        <f>SUM(F150:AJ150)</f>
        <v>#DIV/0!</v>
      </c>
      <c r="AM150" s="22"/>
    </row>
    <row r="151" spans="2:39 15081:15473" s="1" customFormat="1" x14ac:dyDescent="0.25">
      <c r="B151" s="128"/>
      <c r="C151" s="66" t="s">
        <v>125</v>
      </c>
      <c r="D151" s="127"/>
      <c r="E151" s="73" t="s">
        <v>29</v>
      </c>
      <c r="F151" s="71" t="e">
        <f t="shared" si="53"/>
        <v>#DIV/0!</v>
      </c>
      <c r="G151" s="71" t="e">
        <f t="shared" si="53"/>
        <v>#DIV/0!</v>
      </c>
      <c r="H151" s="71" t="e">
        <f t="shared" si="53"/>
        <v>#DIV/0!</v>
      </c>
      <c r="I151" s="71" t="e">
        <f t="shared" si="53"/>
        <v>#DIV/0!</v>
      </c>
      <c r="J151" s="71" t="e">
        <f t="shared" si="53"/>
        <v>#DIV/0!</v>
      </c>
      <c r="K151" s="71" t="e">
        <f t="shared" si="53"/>
        <v>#DIV/0!</v>
      </c>
      <c r="L151" s="71" t="e">
        <f t="shared" si="53"/>
        <v>#DIV/0!</v>
      </c>
      <c r="M151" s="71" t="e">
        <f t="shared" si="53"/>
        <v>#DIV/0!</v>
      </c>
      <c r="N151" s="71" t="e">
        <f t="shared" si="53"/>
        <v>#DIV/0!</v>
      </c>
      <c r="O151" s="71" t="e">
        <f t="shared" si="53"/>
        <v>#DIV/0!</v>
      </c>
      <c r="P151" s="71" t="e">
        <f t="shared" si="53"/>
        <v>#DIV/0!</v>
      </c>
      <c r="Q151" s="71" t="e">
        <f t="shared" si="53"/>
        <v>#DIV/0!</v>
      </c>
      <c r="R151" s="71" t="e">
        <f t="shared" si="53"/>
        <v>#DIV/0!</v>
      </c>
      <c r="S151" s="71" t="e">
        <f t="shared" si="53"/>
        <v>#DIV/0!</v>
      </c>
      <c r="T151" s="71" t="e">
        <f t="shared" si="53"/>
        <v>#DIV/0!</v>
      </c>
      <c r="U151" s="71" t="e">
        <f t="shared" si="53"/>
        <v>#DIV/0!</v>
      </c>
      <c r="V151" s="71" t="e">
        <f t="shared" si="53"/>
        <v>#DIV/0!</v>
      </c>
      <c r="W151" s="71" t="e">
        <f t="shared" si="53"/>
        <v>#DIV/0!</v>
      </c>
      <c r="X151" s="71">
        <f t="shared" si="53"/>
        <v>0</v>
      </c>
      <c r="Y151" s="71" t="e">
        <f t="shared" si="53"/>
        <v>#DIV/0!</v>
      </c>
      <c r="Z151" s="71" t="e">
        <f t="shared" si="53"/>
        <v>#DIV/0!</v>
      </c>
      <c r="AA151" s="71" t="e">
        <f t="shared" si="53"/>
        <v>#DIV/0!</v>
      </c>
      <c r="AB151" s="71" t="e">
        <f t="shared" si="53"/>
        <v>#DIV/0!</v>
      </c>
      <c r="AC151" s="71" t="e">
        <f t="shared" si="53"/>
        <v>#DIV/0!</v>
      </c>
      <c r="AD151" s="71">
        <f t="shared" si="53"/>
        <v>0</v>
      </c>
      <c r="AE151" s="71" t="e">
        <f t="shared" si="53"/>
        <v>#DIV/0!</v>
      </c>
      <c r="AF151" s="71" t="e">
        <f t="shared" si="53"/>
        <v>#DIV/0!</v>
      </c>
      <c r="AG151" s="71" t="e">
        <f t="shared" si="53"/>
        <v>#DIV/0!</v>
      </c>
      <c r="AH151" s="71" t="e">
        <f t="shared" si="53"/>
        <v>#DIV/0!</v>
      </c>
      <c r="AI151" s="71" t="e">
        <f t="shared" si="53"/>
        <v>#DIV/0!</v>
      </c>
      <c r="AJ151" s="71">
        <f t="shared" si="53"/>
        <v>0</v>
      </c>
      <c r="AK151" s="9"/>
      <c r="AL151" s="18" t="e">
        <f>SUM(F151:AJ151)</f>
        <v>#DIV/0!</v>
      </c>
      <c r="AM151" s="22"/>
    </row>
    <row r="152" spans="2:39 15081:15473" s="1" customFormat="1" x14ac:dyDescent="0.25">
      <c r="B152" s="109">
        <v>7</v>
      </c>
      <c r="C152" s="93" t="s">
        <v>48</v>
      </c>
      <c r="D152" s="110"/>
      <c r="E152" s="270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2"/>
      <c r="AD152" s="111"/>
      <c r="AE152" s="111"/>
      <c r="AF152" s="111"/>
      <c r="AG152" s="111"/>
      <c r="AH152" s="112"/>
      <c r="AI152" s="112"/>
      <c r="AJ152" s="112"/>
      <c r="AK152" s="22"/>
      <c r="AL152" s="35" t="s">
        <v>47</v>
      </c>
      <c r="AM152" s="238"/>
      <c r="VHA152"/>
      <c r="VHB152"/>
      <c r="VHC152"/>
      <c r="VHD152"/>
      <c r="VHE152"/>
      <c r="VHF152"/>
      <c r="VHG152"/>
      <c r="VHH152"/>
      <c r="VHI152"/>
      <c r="VHJ152"/>
      <c r="VHK152"/>
      <c r="VHL152"/>
      <c r="VHM152"/>
      <c r="VHN152"/>
      <c r="VHO152"/>
      <c r="VHP152"/>
      <c r="VHQ152"/>
      <c r="VHR152"/>
      <c r="VHS152"/>
      <c r="VHT152"/>
      <c r="VHU152"/>
      <c r="VHV152"/>
      <c r="VHW152"/>
      <c r="VHX152"/>
      <c r="VHY152"/>
      <c r="VHZ152"/>
      <c r="VIA152"/>
      <c r="VIB152"/>
      <c r="VIC152"/>
      <c r="VID152"/>
      <c r="VIE152"/>
      <c r="VIF152"/>
      <c r="VIG152"/>
      <c r="VIH152"/>
      <c r="VII152"/>
      <c r="VIJ152"/>
      <c r="VIK152"/>
      <c r="VIL152"/>
      <c r="VIM152"/>
      <c r="VIN152"/>
      <c r="VIO152"/>
      <c r="VIP152"/>
      <c r="VIQ152"/>
      <c r="VIR152"/>
      <c r="VIS152"/>
      <c r="VIT152"/>
      <c r="VIU152"/>
      <c r="VIV152"/>
      <c r="VIW152"/>
      <c r="VIX152"/>
      <c r="VIY152"/>
      <c r="VIZ152"/>
      <c r="VJA152"/>
      <c r="VJB152"/>
      <c r="VJC152"/>
      <c r="VJD152"/>
      <c r="VJE152"/>
      <c r="VJF152"/>
      <c r="VJG152"/>
      <c r="VJH152"/>
      <c r="VJI152"/>
      <c r="VJJ152"/>
      <c r="VJK152"/>
      <c r="VJL152"/>
      <c r="VJM152"/>
      <c r="VJN152"/>
      <c r="VJO152"/>
      <c r="VJP152"/>
      <c r="VJQ152"/>
      <c r="VJR152"/>
      <c r="VJS152"/>
      <c r="VJT152"/>
      <c r="VJU152"/>
      <c r="VJV152"/>
      <c r="VJW152"/>
      <c r="VJX152"/>
      <c r="VJY152"/>
      <c r="VJZ152"/>
      <c r="VKA152"/>
      <c r="VKB152"/>
      <c r="VKC152"/>
      <c r="VKD152"/>
      <c r="VKE152"/>
      <c r="VKF152"/>
      <c r="VKG152"/>
      <c r="VKH152"/>
      <c r="VKI152"/>
      <c r="VKJ152"/>
      <c r="VKK152"/>
      <c r="VKL152"/>
      <c r="VKM152"/>
      <c r="VKN152"/>
      <c r="VKO152"/>
      <c r="VKP152"/>
      <c r="VKQ152"/>
      <c r="VKR152"/>
      <c r="VKS152"/>
      <c r="VKT152"/>
      <c r="VKU152"/>
      <c r="VKV152"/>
      <c r="VKW152"/>
      <c r="VKX152"/>
      <c r="VKY152"/>
      <c r="VKZ152"/>
      <c r="VLA152"/>
      <c r="VLB152"/>
      <c r="VLC152"/>
      <c r="VLD152"/>
      <c r="VLE152"/>
      <c r="VLF152"/>
      <c r="VLG152"/>
      <c r="VLH152"/>
      <c r="VLI152"/>
      <c r="VLJ152"/>
      <c r="VLK152"/>
      <c r="VLL152"/>
      <c r="VLM152"/>
      <c r="VLN152"/>
      <c r="VLO152"/>
      <c r="VLP152"/>
      <c r="VLQ152"/>
      <c r="VLR152"/>
      <c r="VLS152"/>
      <c r="VLT152"/>
      <c r="VLU152"/>
      <c r="VLV152"/>
      <c r="VLW152"/>
      <c r="VLX152"/>
      <c r="VLY152"/>
      <c r="VLZ152"/>
      <c r="VMA152"/>
      <c r="VMB152"/>
      <c r="VMC152"/>
      <c r="VMD152"/>
      <c r="VME152"/>
      <c r="VMF152"/>
      <c r="VMG152"/>
      <c r="VMH152"/>
      <c r="VMI152"/>
      <c r="VMJ152"/>
      <c r="VMK152"/>
      <c r="VML152"/>
      <c r="VMM152"/>
      <c r="VMN152"/>
      <c r="VMO152"/>
      <c r="VMP152"/>
      <c r="VMQ152"/>
      <c r="VMR152"/>
      <c r="VMS152"/>
      <c r="VMT152"/>
      <c r="VMU152"/>
      <c r="VMV152"/>
      <c r="VMW152"/>
      <c r="VMX152"/>
      <c r="VMY152"/>
      <c r="VMZ152"/>
      <c r="VNA152"/>
      <c r="VNB152"/>
      <c r="VNC152"/>
      <c r="VND152"/>
      <c r="VNE152"/>
      <c r="VNF152"/>
      <c r="VNG152"/>
      <c r="VNH152"/>
      <c r="VNI152"/>
      <c r="VNJ152"/>
      <c r="VNK152"/>
      <c r="VNL152"/>
      <c r="VNM152"/>
      <c r="VNN152"/>
      <c r="VNO152"/>
      <c r="VNP152"/>
      <c r="VNQ152"/>
      <c r="VNR152"/>
      <c r="VNS152"/>
      <c r="VNT152"/>
      <c r="VNU152"/>
      <c r="VNV152"/>
      <c r="VNW152"/>
      <c r="VNX152"/>
      <c r="VNY152"/>
      <c r="VNZ152"/>
      <c r="VOA152"/>
      <c r="VOB152"/>
      <c r="VOC152"/>
      <c r="VOD152"/>
      <c r="VOE152"/>
      <c r="VOF152"/>
      <c r="VOG152"/>
      <c r="VOH152"/>
      <c r="VOI152"/>
      <c r="VOJ152"/>
      <c r="VOK152"/>
      <c r="VOL152"/>
      <c r="VOM152"/>
      <c r="VON152"/>
      <c r="VOO152"/>
      <c r="VOP152"/>
      <c r="VOQ152"/>
      <c r="VOR152"/>
      <c r="VOS152"/>
      <c r="VOT152"/>
      <c r="VOU152"/>
      <c r="VOV152"/>
      <c r="VOW152"/>
      <c r="VOX152"/>
      <c r="VOY152"/>
      <c r="VOZ152"/>
      <c r="VPA152"/>
      <c r="VPB152"/>
      <c r="VPC152"/>
      <c r="VPD152"/>
      <c r="VPE152"/>
      <c r="VPF152"/>
      <c r="VPG152"/>
      <c r="VPH152"/>
      <c r="VPI152"/>
      <c r="VPJ152"/>
      <c r="VPK152"/>
      <c r="VPL152"/>
      <c r="VPM152"/>
      <c r="VPN152"/>
      <c r="VPO152"/>
      <c r="VPP152"/>
      <c r="VPQ152"/>
      <c r="VPR152"/>
      <c r="VPS152"/>
      <c r="VPT152"/>
      <c r="VPU152"/>
      <c r="VPV152"/>
      <c r="VPW152"/>
      <c r="VPX152"/>
      <c r="VPY152"/>
      <c r="VPZ152"/>
      <c r="VQA152"/>
      <c r="VQB152"/>
      <c r="VQC152"/>
      <c r="VQD152"/>
      <c r="VQE152"/>
      <c r="VQF152"/>
      <c r="VQG152"/>
      <c r="VQH152"/>
      <c r="VQI152"/>
      <c r="VQJ152"/>
      <c r="VQK152"/>
      <c r="VQL152"/>
      <c r="VQM152"/>
      <c r="VQN152"/>
      <c r="VQO152"/>
      <c r="VQP152"/>
      <c r="VQQ152"/>
      <c r="VQR152"/>
      <c r="VQS152"/>
      <c r="VQT152"/>
      <c r="VQU152"/>
      <c r="VQV152"/>
      <c r="VQW152"/>
      <c r="VQX152"/>
      <c r="VQY152"/>
      <c r="VQZ152"/>
      <c r="VRA152"/>
      <c r="VRB152"/>
      <c r="VRC152"/>
      <c r="VRD152"/>
      <c r="VRE152"/>
      <c r="VRF152"/>
      <c r="VRG152"/>
      <c r="VRH152"/>
      <c r="VRI152"/>
      <c r="VRJ152"/>
      <c r="VRK152"/>
      <c r="VRL152"/>
      <c r="VRM152"/>
      <c r="VRN152"/>
      <c r="VRO152"/>
      <c r="VRP152"/>
      <c r="VRQ152"/>
      <c r="VRR152"/>
      <c r="VRS152"/>
      <c r="VRT152"/>
      <c r="VRU152"/>
      <c r="VRV152"/>
      <c r="VRW152"/>
      <c r="VRX152"/>
      <c r="VRY152"/>
      <c r="VRZ152"/>
      <c r="VSA152"/>
      <c r="VSB152"/>
      <c r="VSC152"/>
      <c r="VSD152"/>
      <c r="VSE152"/>
      <c r="VSF152"/>
      <c r="VSG152"/>
      <c r="VSH152"/>
      <c r="VSI152"/>
      <c r="VSJ152"/>
      <c r="VSK152"/>
      <c r="VSL152"/>
      <c r="VSM152"/>
      <c r="VSN152"/>
      <c r="VSO152"/>
      <c r="VSP152"/>
      <c r="VSQ152"/>
      <c r="VSR152"/>
      <c r="VSS152"/>
      <c r="VST152"/>
      <c r="VSU152"/>
      <c r="VSV152"/>
      <c r="VSW152"/>
      <c r="VSX152"/>
      <c r="VSY152"/>
      <c r="VSZ152"/>
      <c r="VTA152"/>
      <c r="VTB152"/>
      <c r="VTC152"/>
      <c r="VTD152"/>
      <c r="VTE152"/>
      <c r="VTF152"/>
      <c r="VTG152"/>
      <c r="VTH152"/>
      <c r="VTI152"/>
      <c r="VTJ152"/>
      <c r="VTK152"/>
      <c r="VTL152"/>
      <c r="VTM152"/>
      <c r="VTN152"/>
      <c r="VTO152"/>
      <c r="VTP152"/>
      <c r="VTQ152"/>
      <c r="VTR152"/>
      <c r="VTS152"/>
      <c r="VTT152"/>
      <c r="VTU152"/>
      <c r="VTV152"/>
      <c r="VTW152"/>
      <c r="VTX152"/>
      <c r="VTY152"/>
      <c r="VTZ152"/>
      <c r="VUA152"/>
      <c r="VUB152"/>
      <c r="VUC152"/>
      <c r="VUD152"/>
      <c r="VUE152"/>
      <c r="VUF152"/>
      <c r="VUG152"/>
      <c r="VUH152"/>
      <c r="VUI152"/>
      <c r="VUJ152"/>
      <c r="VUK152"/>
      <c r="VUL152"/>
      <c r="VUM152"/>
      <c r="VUN152"/>
      <c r="VUO152"/>
      <c r="VUP152"/>
      <c r="VUQ152"/>
      <c r="VUR152"/>
      <c r="VUS152"/>
      <c r="VUT152"/>
      <c r="VUU152"/>
      <c r="VUV152"/>
      <c r="VUW152"/>
      <c r="VUX152"/>
      <c r="VUY152"/>
      <c r="VUZ152"/>
      <c r="VVA152"/>
      <c r="VVB152"/>
      <c r="VVC152"/>
      <c r="VVD152"/>
      <c r="VVE152"/>
      <c r="VVF152"/>
      <c r="VVG152"/>
      <c r="VVH152"/>
      <c r="VVI152"/>
      <c r="VVJ152"/>
      <c r="VVK152"/>
      <c r="VVL152"/>
      <c r="VVM152"/>
      <c r="VVN152"/>
      <c r="VVO152"/>
      <c r="VVP152"/>
      <c r="VVQ152"/>
      <c r="VVR152"/>
      <c r="VVS152"/>
      <c r="VVT152"/>
      <c r="VVU152"/>
      <c r="VVV152"/>
      <c r="VVW152"/>
      <c r="VVX152"/>
      <c r="VVY152"/>
      <c r="VVZ152"/>
      <c r="VWA152"/>
      <c r="VWB152"/>
      <c r="VWC152"/>
    </row>
    <row r="153" spans="2:39 15081:15473" s="1" customFormat="1" x14ac:dyDescent="0.25">
      <c r="B153" s="128"/>
      <c r="C153" s="175" t="s">
        <v>45</v>
      </c>
      <c r="D153" s="176"/>
      <c r="E153" s="177" t="s">
        <v>16</v>
      </c>
      <c r="F153" s="190">
        <v>0</v>
      </c>
      <c r="G153" s="190">
        <v>0</v>
      </c>
      <c r="H153" s="190"/>
      <c r="I153" s="190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7"/>
      <c r="AL153" s="38">
        <f>SUM(F153:AJ153)</f>
        <v>0</v>
      </c>
      <c r="AM153" s="251"/>
    </row>
    <row r="154" spans="2:39 15081:15473" s="1" customFormat="1" x14ac:dyDescent="0.25">
      <c r="B154" s="128"/>
      <c r="C154" s="182" t="s">
        <v>44</v>
      </c>
      <c r="D154" s="131"/>
      <c r="E154" s="177" t="s">
        <v>16</v>
      </c>
      <c r="F154" s="151">
        <f>SUM(F157:F159)*9.774</f>
        <v>0</v>
      </c>
      <c r="G154" s="151">
        <f t="shared" ref="G154:S154" si="54">SUM(G157:G159)*9.774</f>
        <v>0</v>
      </c>
      <c r="H154" s="151">
        <f t="shared" si="54"/>
        <v>0</v>
      </c>
      <c r="I154" s="151">
        <f t="shared" si="54"/>
        <v>0</v>
      </c>
      <c r="J154" s="151">
        <f t="shared" si="54"/>
        <v>0</v>
      </c>
      <c r="K154" s="151">
        <f t="shared" si="54"/>
        <v>0</v>
      </c>
      <c r="L154" s="151">
        <f t="shared" si="54"/>
        <v>0</v>
      </c>
      <c r="M154" s="151">
        <f t="shared" si="54"/>
        <v>0</v>
      </c>
      <c r="N154" s="151">
        <f t="shared" si="54"/>
        <v>0</v>
      </c>
      <c r="O154" s="151">
        <f t="shared" si="54"/>
        <v>0</v>
      </c>
      <c r="P154" s="151">
        <f t="shared" si="54"/>
        <v>0</v>
      </c>
      <c r="Q154" s="151">
        <f t="shared" si="54"/>
        <v>0</v>
      </c>
      <c r="R154" s="151">
        <f t="shared" si="54"/>
        <v>0</v>
      </c>
      <c r="S154" s="151">
        <f t="shared" si="54"/>
        <v>0</v>
      </c>
      <c r="T154" s="151">
        <f>SUM(T157:T159)*9.75348</f>
        <v>0</v>
      </c>
      <c r="U154" s="151">
        <f t="shared" ref="U154:AJ154" si="55">SUM(U157:U159)*9.75348</f>
        <v>0</v>
      </c>
      <c r="V154" s="151">
        <f t="shared" si="55"/>
        <v>0</v>
      </c>
      <c r="W154" s="151">
        <f t="shared" si="55"/>
        <v>0</v>
      </c>
      <c r="X154" s="151">
        <f t="shared" si="55"/>
        <v>0</v>
      </c>
      <c r="Y154" s="151">
        <f t="shared" si="55"/>
        <v>0</v>
      </c>
      <c r="Z154" s="151">
        <f t="shared" si="55"/>
        <v>0</v>
      </c>
      <c r="AA154" s="151">
        <f t="shared" si="55"/>
        <v>0</v>
      </c>
      <c r="AB154" s="151">
        <f t="shared" si="55"/>
        <v>0</v>
      </c>
      <c r="AC154" s="151">
        <f t="shared" si="55"/>
        <v>0</v>
      </c>
      <c r="AD154" s="151">
        <f t="shared" si="55"/>
        <v>0</v>
      </c>
      <c r="AE154" s="151">
        <f t="shared" si="55"/>
        <v>0</v>
      </c>
      <c r="AF154" s="151">
        <f t="shared" si="55"/>
        <v>0</v>
      </c>
      <c r="AG154" s="151">
        <f t="shared" si="55"/>
        <v>0</v>
      </c>
      <c r="AH154" s="151">
        <f t="shared" si="55"/>
        <v>0</v>
      </c>
      <c r="AI154" s="151">
        <f t="shared" si="55"/>
        <v>0</v>
      </c>
      <c r="AJ154" s="151">
        <f t="shared" si="55"/>
        <v>0</v>
      </c>
      <c r="AK154" s="9"/>
      <c r="AL154" s="33">
        <f>SUM(F154:AJ154)</f>
        <v>0</v>
      </c>
      <c r="AM154" s="41"/>
    </row>
    <row r="155" spans="2:39 15081:15473" s="1" customFormat="1" x14ac:dyDescent="0.25">
      <c r="B155" s="128"/>
      <c r="C155" s="182" t="s">
        <v>43</v>
      </c>
      <c r="D155" s="131"/>
      <c r="E155" s="177" t="s">
        <v>16</v>
      </c>
      <c r="F155" s="151">
        <f t="shared" ref="F155:Q155" si="56">F153-F154</f>
        <v>0</v>
      </c>
      <c r="G155" s="151">
        <f t="shared" si="56"/>
        <v>0</v>
      </c>
      <c r="H155" s="151">
        <f t="shared" si="56"/>
        <v>0</v>
      </c>
      <c r="I155" s="151">
        <f t="shared" si="56"/>
        <v>0</v>
      </c>
      <c r="J155" s="151">
        <f t="shared" si="56"/>
        <v>0</v>
      </c>
      <c r="K155" s="151">
        <f t="shared" si="56"/>
        <v>0</v>
      </c>
      <c r="L155" s="151">
        <f t="shared" si="56"/>
        <v>0</v>
      </c>
      <c r="M155" s="151">
        <f t="shared" si="56"/>
        <v>0</v>
      </c>
      <c r="N155" s="151">
        <f t="shared" si="56"/>
        <v>0</v>
      </c>
      <c r="O155" s="151">
        <f t="shared" si="56"/>
        <v>0</v>
      </c>
      <c r="P155" s="151">
        <f t="shared" si="56"/>
        <v>0</v>
      </c>
      <c r="Q155" s="151">
        <f t="shared" si="56"/>
        <v>0</v>
      </c>
      <c r="R155" s="119">
        <v>0</v>
      </c>
      <c r="S155" s="119">
        <v>0</v>
      </c>
      <c r="T155" s="151">
        <f t="shared" ref="T155:AJ155" si="57">T153-T154</f>
        <v>0</v>
      </c>
      <c r="U155" s="151">
        <f t="shared" si="57"/>
        <v>0</v>
      </c>
      <c r="V155" s="151">
        <f t="shared" si="57"/>
        <v>0</v>
      </c>
      <c r="W155" s="151">
        <f t="shared" si="57"/>
        <v>0</v>
      </c>
      <c r="X155" s="151">
        <f t="shared" si="57"/>
        <v>0</v>
      </c>
      <c r="Y155" s="151">
        <f t="shared" si="57"/>
        <v>0</v>
      </c>
      <c r="Z155" s="151">
        <f t="shared" si="57"/>
        <v>0</v>
      </c>
      <c r="AA155" s="151">
        <f t="shared" si="57"/>
        <v>0</v>
      </c>
      <c r="AB155" s="151">
        <f t="shared" si="57"/>
        <v>0</v>
      </c>
      <c r="AC155" s="151">
        <f t="shared" si="57"/>
        <v>0</v>
      </c>
      <c r="AD155" s="151">
        <f t="shared" si="57"/>
        <v>0</v>
      </c>
      <c r="AE155" s="151">
        <f t="shared" si="57"/>
        <v>0</v>
      </c>
      <c r="AF155" s="151">
        <f t="shared" si="57"/>
        <v>0</v>
      </c>
      <c r="AG155" s="151">
        <f t="shared" si="57"/>
        <v>0</v>
      </c>
      <c r="AH155" s="151">
        <f t="shared" si="57"/>
        <v>0</v>
      </c>
      <c r="AI155" s="151">
        <f t="shared" si="57"/>
        <v>0</v>
      </c>
      <c r="AJ155" s="151">
        <f t="shared" si="57"/>
        <v>0</v>
      </c>
      <c r="AK155" s="9"/>
      <c r="AL155" s="33">
        <f>SUM(F155:AJ155)</f>
        <v>0</v>
      </c>
      <c r="AM155" s="41"/>
    </row>
    <row r="156" spans="2:39 15081:15473" s="1" customFormat="1" x14ac:dyDescent="0.25">
      <c r="B156" s="128"/>
      <c r="C156" s="182" t="s">
        <v>33</v>
      </c>
      <c r="D156" s="131"/>
      <c r="E156" s="113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9"/>
      <c r="AL156" s="34" t="s">
        <v>33</v>
      </c>
      <c r="AM156" s="240"/>
    </row>
    <row r="157" spans="2:39 15081:15473" s="47" customFormat="1" x14ac:dyDescent="0.25">
      <c r="B157" s="98"/>
      <c r="C157" s="96" t="s">
        <v>31</v>
      </c>
      <c r="D157" s="97"/>
      <c r="E157" s="281" t="s">
        <v>36</v>
      </c>
      <c r="F157" s="185">
        <v>0</v>
      </c>
      <c r="G157" s="185">
        <v>0</v>
      </c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/>
      <c r="AD157" s="185"/>
      <c r="AE157" s="185"/>
      <c r="AF157" s="185"/>
      <c r="AG157" s="185"/>
      <c r="AH157" s="185"/>
      <c r="AI157" s="185"/>
      <c r="AJ157" s="185"/>
      <c r="AK157" s="37"/>
      <c r="AL157" s="36">
        <f>SUM(F157:AJ157)</f>
        <v>0</v>
      </c>
      <c r="AM157" s="147"/>
    </row>
    <row r="158" spans="2:39 15081:15473" s="47" customFormat="1" x14ac:dyDescent="0.25">
      <c r="B158" s="98"/>
      <c r="C158" s="96" t="s">
        <v>30</v>
      </c>
      <c r="D158" s="97"/>
      <c r="E158" s="281" t="s">
        <v>36</v>
      </c>
      <c r="F158" s="185">
        <v>0</v>
      </c>
      <c r="G158" s="185">
        <v>0</v>
      </c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/>
      <c r="AD158" s="185"/>
      <c r="AE158" s="185"/>
      <c r="AF158" s="185"/>
      <c r="AG158" s="185"/>
      <c r="AH158" s="185"/>
      <c r="AI158" s="185"/>
      <c r="AJ158" s="185"/>
      <c r="AK158" s="37"/>
      <c r="AL158" s="36">
        <f>SUM(F158:AJ158)</f>
        <v>0</v>
      </c>
      <c r="AM158" s="147"/>
    </row>
    <row r="159" spans="2:39 15081:15473" s="47" customFormat="1" x14ac:dyDescent="0.25">
      <c r="B159" s="98"/>
      <c r="C159" s="96" t="s">
        <v>42</v>
      </c>
      <c r="D159" s="97"/>
      <c r="E159" s="281" t="s">
        <v>36</v>
      </c>
      <c r="F159" s="185">
        <v>0</v>
      </c>
      <c r="G159" s="185">
        <v>0</v>
      </c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/>
      <c r="AD159" s="185"/>
      <c r="AE159" s="185"/>
      <c r="AF159" s="185"/>
      <c r="AG159" s="185"/>
      <c r="AH159" s="185"/>
      <c r="AI159" s="185"/>
      <c r="AJ159" s="185"/>
      <c r="AK159" s="37"/>
      <c r="AL159" s="36">
        <f>SUM(F159:AJ159)</f>
        <v>0</v>
      </c>
      <c r="AM159" s="147"/>
    </row>
    <row r="160" spans="2:39 15081:15473" s="1" customFormat="1" x14ac:dyDescent="0.25">
      <c r="B160" s="128"/>
      <c r="C160" s="182" t="s">
        <v>32</v>
      </c>
      <c r="D160" s="131"/>
      <c r="E160" s="113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9"/>
      <c r="AL160" s="34" t="s">
        <v>32</v>
      </c>
      <c r="AM160" s="240"/>
    </row>
    <row r="161" spans="2:39 15081:15473" s="1" customFormat="1" x14ac:dyDescent="0.25">
      <c r="B161" s="128"/>
      <c r="C161" s="96" t="s">
        <v>31</v>
      </c>
      <c r="D161" s="131"/>
      <c r="E161" s="177" t="s">
        <v>32</v>
      </c>
      <c r="F161" s="119">
        <f>F157*24</f>
        <v>0</v>
      </c>
      <c r="G161" s="119">
        <f t="shared" ref="G161:AJ161" si="58">G157*24</f>
        <v>0</v>
      </c>
      <c r="H161" s="119">
        <f t="shared" si="58"/>
        <v>0</v>
      </c>
      <c r="I161" s="119">
        <f t="shared" si="58"/>
        <v>0</v>
      </c>
      <c r="J161" s="119">
        <f t="shared" si="58"/>
        <v>0</v>
      </c>
      <c r="K161" s="119">
        <f t="shared" si="58"/>
        <v>0</v>
      </c>
      <c r="L161" s="119">
        <f t="shared" si="58"/>
        <v>0</v>
      </c>
      <c r="M161" s="119">
        <f t="shared" si="58"/>
        <v>0</v>
      </c>
      <c r="N161" s="119">
        <f t="shared" si="58"/>
        <v>0</v>
      </c>
      <c r="O161" s="119">
        <f t="shared" si="58"/>
        <v>0</v>
      </c>
      <c r="P161" s="119">
        <f t="shared" si="58"/>
        <v>0</v>
      </c>
      <c r="Q161" s="119">
        <f t="shared" si="58"/>
        <v>0</v>
      </c>
      <c r="R161" s="119">
        <f t="shared" si="58"/>
        <v>0</v>
      </c>
      <c r="S161" s="119">
        <f t="shared" si="58"/>
        <v>0</v>
      </c>
      <c r="T161" s="119">
        <f t="shared" si="58"/>
        <v>0</v>
      </c>
      <c r="U161" s="119">
        <f t="shared" si="58"/>
        <v>0</v>
      </c>
      <c r="V161" s="119">
        <f t="shared" si="58"/>
        <v>0</v>
      </c>
      <c r="W161" s="119">
        <f t="shared" si="58"/>
        <v>0</v>
      </c>
      <c r="X161" s="119">
        <f t="shared" si="58"/>
        <v>0</v>
      </c>
      <c r="Y161" s="119">
        <f t="shared" si="58"/>
        <v>0</v>
      </c>
      <c r="Z161" s="119">
        <f t="shared" si="58"/>
        <v>0</v>
      </c>
      <c r="AA161" s="119">
        <f t="shared" si="58"/>
        <v>0</v>
      </c>
      <c r="AB161" s="119">
        <f t="shared" si="58"/>
        <v>0</v>
      </c>
      <c r="AC161" s="119">
        <f t="shared" si="58"/>
        <v>0</v>
      </c>
      <c r="AD161" s="119">
        <f t="shared" si="58"/>
        <v>0</v>
      </c>
      <c r="AE161" s="119">
        <f t="shared" si="58"/>
        <v>0</v>
      </c>
      <c r="AF161" s="119">
        <f t="shared" si="58"/>
        <v>0</v>
      </c>
      <c r="AG161" s="119">
        <f t="shared" si="58"/>
        <v>0</v>
      </c>
      <c r="AH161" s="119">
        <f t="shared" si="58"/>
        <v>0</v>
      </c>
      <c r="AI161" s="119">
        <f t="shared" si="58"/>
        <v>0</v>
      </c>
      <c r="AJ161" s="119">
        <f t="shared" si="58"/>
        <v>0</v>
      </c>
      <c r="AK161" s="9"/>
      <c r="AL161" s="18">
        <f>AL157*24</f>
        <v>0</v>
      </c>
      <c r="AM161" s="22"/>
    </row>
    <row r="162" spans="2:39 15081:15473" s="1" customFormat="1" x14ac:dyDescent="0.25">
      <c r="B162" s="128"/>
      <c r="C162" s="96" t="s">
        <v>30</v>
      </c>
      <c r="D162" s="131"/>
      <c r="E162" s="177" t="s">
        <v>32</v>
      </c>
      <c r="F162" s="119">
        <f>F158*12</f>
        <v>0</v>
      </c>
      <c r="G162" s="119">
        <f t="shared" ref="G162:AJ163" si="59">G158*12</f>
        <v>0</v>
      </c>
      <c r="H162" s="119">
        <f t="shared" si="59"/>
        <v>0</v>
      </c>
      <c r="I162" s="119">
        <f t="shared" si="59"/>
        <v>0</v>
      </c>
      <c r="J162" s="119">
        <f t="shared" si="59"/>
        <v>0</v>
      </c>
      <c r="K162" s="119">
        <f t="shared" si="59"/>
        <v>0</v>
      </c>
      <c r="L162" s="119">
        <f t="shared" si="59"/>
        <v>0</v>
      </c>
      <c r="M162" s="119">
        <f t="shared" si="59"/>
        <v>0</v>
      </c>
      <c r="N162" s="119">
        <f t="shared" si="59"/>
        <v>0</v>
      </c>
      <c r="O162" s="119">
        <f t="shared" si="59"/>
        <v>0</v>
      </c>
      <c r="P162" s="119">
        <f t="shared" si="59"/>
        <v>0</v>
      </c>
      <c r="Q162" s="119">
        <f t="shared" si="59"/>
        <v>0</v>
      </c>
      <c r="R162" s="119">
        <f t="shared" si="59"/>
        <v>0</v>
      </c>
      <c r="S162" s="119">
        <f t="shared" si="59"/>
        <v>0</v>
      </c>
      <c r="T162" s="119">
        <f t="shared" si="59"/>
        <v>0</v>
      </c>
      <c r="U162" s="119">
        <f t="shared" si="59"/>
        <v>0</v>
      </c>
      <c r="V162" s="119">
        <f t="shared" si="59"/>
        <v>0</v>
      </c>
      <c r="W162" s="119">
        <f t="shared" si="59"/>
        <v>0</v>
      </c>
      <c r="X162" s="119">
        <f t="shared" si="59"/>
        <v>0</v>
      </c>
      <c r="Y162" s="119">
        <f t="shared" si="59"/>
        <v>0</v>
      </c>
      <c r="Z162" s="119">
        <f t="shared" si="59"/>
        <v>0</v>
      </c>
      <c r="AA162" s="119">
        <f t="shared" si="59"/>
        <v>0</v>
      </c>
      <c r="AB162" s="119">
        <f t="shared" si="59"/>
        <v>0</v>
      </c>
      <c r="AC162" s="119">
        <f t="shared" si="59"/>
        <v>0</v>
      </c>
      <c r="AD162" s="119">
        <f t="shared" si="59"/>
        <v>0</v>
      </c>
      <c r="AE162" s="119">
        <f t="shared" si="59"/>
        <v>0</v>
      </c>
      <c r="AF162" s="119">
        <f t="shared" si="59"/>
        <v>0</v>
      </c>
      <c r="AG162" s="119">
        <f t="shared" si="59"/>
        <v>0</v>
      </c>
      <c r="AH162" s="119">
        <f t="shared" si="59"/>
        <v>0</v>
      </c>
      <c r="AI162" s="119">
        <f t="shared" si="59"/>
        <v>0</v>
      </c>
      <c r="AJ162" s="119">
        <f t="shared" si="59"/>
        <v>0</v>
      </c>
      <c r="AK162" s="9"/>
      <c r="AL162" s="18">
        <f>AL158*12</f>
        <v>0</v>
      </c>
      <c r="AM162" s="22"/>
    </row>
    <row r="163" spans="2:39 15081:15473" s="1" customFormat="1" x14ac:dyDescent="0.25">
      <c r="B163" s="128"/>
      <c r="C163" s="96" t="s">
        <v>42</v>
      </c>
      <c r="D163" s="131"/>
      <c r="E163" s="177" t="s">
        <v>32</v>
      </c>
      <c r="F163" s="119">
        <f>F159*6</f>
        <v>0</v>
      </c>
      <c r="G163" s="119">
        <f t="shared" ref="G163:AC163" si="60">G159*6</f>
        <v>0</v>
      </c>
      <c r="H163" s="119">
        <f t="shared" si="60"/>
        <v>0</v>
      </c>
      <c r="I163" s="119">
        <f t="shared" si="60"/>
        <v>0</v>
      </c>
      <c r="J163" s="119">
        <f t="shared" si="60"/>
        <v>0</v>
      </c>
      <c r="K163" s="119">
        <f t="shared" si="60"/>
        <v>0</v>
      </c>
      <c r="L163" s="119">
        <f t="shared" si="60"/>
        <v>0</v>
      </c>
      <c r="M163" s="119">
        <f t="shared" si="60"/>
        <v>0</v>
      </c>
      <c r="N163" s="119">
        <f t="shared" si="60"/>
        <v>0</v>
      </c>
      <c r="O163" s="119">
        <f t="shared" si="60"/>
        <v>0</v>
      </c>
      <c r="P163" s="119">
        <f t="shared" si="60"/>
        <v>0</v>
      </c>
      <c r="Q163" s="119">
        <f t="shared" si="60"/>
        <v>0</v>
      </c>
      <c r="R163" s="119">
        <f t="shared" si="60"/>
        <v>0</v>
      </c>
      <c r="S163" s="119">
        <f t="shared" si="60"/>
        <v>0</v>
      </c>
      <c r="T163" s="119">
        <f t="shared" si="60"/>
        <v>0</v>
      </c>
      <c r="U163" s="119">
        <f t="shared" si="60"/>
        <v>0</v>
      </c>
      <c r="V163" s="119">
        <f t="shared" si="60"/>
        <v>0</v>
      </c>
      <c r="W163" s="119">
        <f t="shared" si="60"/>
        <v>0</v>
      </c>
      <c r="X163" s="119">
        <f t="shared" si="60"/>
        <v>0</v>
      </c>
      <c r="Y163" s="119">
        <f t="shared" si="60"/>
        <v>0</v>
      </c>
      <c r="Z163" s="119">
        <f t="shared" si="60"/>
        <v>0</v>
      </c>
      <c r="AA163" s="119">
        <f t="shared" si="60"/>
        <v>0</v>
      </c>
      <c r="AB163" s="119">
        <f t="shared" si="60"/>
        <v>0</v>
      </c>
      <c r="AC163" s="119">
        <f t="shared" si="60"/>
        <v>0</v>
      </c>
      <c r="AD163" s="119">
        <f t="shared" si="59"/>
        <v>0</v>
      </c>
      <c r="AE163" s="119">
        <f t="shared" si="59"/>
        <v>0</v>
      </c>
      <c r="AF163" s="119">
        <f t="shared" si="59"/>
        <v>0</v>
      </c>
      <c r="AG163" s="119">
        <f t="shared" si="59"/>
        <v>0</v>
      </c>
      <c r="AH163" s="119">
        <f t="shared" si="59"/>
        <v>0</v>
      </c>
      <c r="AI163" s="119">
        <f t="shared" si="59"/>
        <v>0</v>
      </c>
      <c r="AJ163" s="119">
        <f t="shared" si="59"/>
        <v>0</v>
      </c>
      <c r="AK163" s="9"/>
      <c r="AL163" s="18">
        <f>AL159*6</f>
        <v>0</v>
      </c>
      <c r="AM163" s="22"/>
    </row>
    <row r="164" spans="2:39 15081:15473" s="1" customFormat="1" x14ac:dyDescent="0.25">
      <c r="B164" s="128"/>
      <c r="C164" s="182" t="s">
        <v>41</v>
      </c>
      <c r="D164" s="131"/>
      <c r="E164" s="177" t="s">
        <v>40</v>
      </c>
      <c r="F164" s="119">
        <f t="shared" ref="F164:AJ164" si="61">F153*45/1700</f>
        <v>0</v>
      </c>
      <c r="G164" s="119">
        <f t="shared" si="61"/>
        <v>0</v>
      </c>
      <c r="H164" s="119">
        <f t="shared" si="61"/>
        <v>0</v>
      </c>
      <c r="I164" s="119">
        <f t="shared" si="61"/>
        <v>0</v>
      </c>
      <c r="J164" s="119">
        <f t="shared" si="61"/>
        <v>0</v>
      </c>
      <c r="K164" s="119">
        <f t="shared" si="61"/>
        <v>0</v>
      </c>
      <c r="L164" s="119">
        <f t="shared" si="61"/>
        <v>0</v>
      </c>
      <c r="M164" s="119">
        <f t="shared" si="61"/>
        <v>0</v>
      </c>
      <c r="N164" s="119">
        <f t="shared" si="61"/>
        <v>0</v>
      </c>
      <c r="O164" s="119">
        <f t="shared" si="61"/>
        <v>0</v>
      </c>
      <c r="P164" s="119">
        <f t="shared" si="61"/>
        <v>0</v>
      </c>
      <c r="Q164" s="119">
        <f t="shared" si="61"/>
        <v>0</v>
      </c>
      <c r="R164" s="119">
        <f t="shared" si="61"/>
        <v>0</v>
      </c>
      <c r="S164" s="119">
        <f t="shared" si="61"/>
        <v>0</v>
      </c>
      <c r="T164" s="119">
        <f t="shared" si="61"/>
        <v>0</v>
      </c>
      <c r="U164" s="119">
        <f t="shared" si="61"/>
        <v>0</v>
      </c>
      <c r="V164" s="119">
        <f t="shared" si="61"/>
        <v>0</v>
      </c>
      <c r="W164" s="119">
        <f t="shared" si="61"/>
        <v>0</v>
      </c>
      <c r="X164" s="119">
        <f t="shared" si="61"/>
        <v>0</v>
      </c>
      <c r="Y164" s="119">
        <f t="shared" si="61"/>
        <v>0</v>
      </c>
      <c r="Z164" s="119">
        <f t="shared" si="61"/>
        <v>0</v>
      </c>
      <c r="AA164" s="119">
        <f t="shared" si="61"/>
        <v>0</v>
      </c>
      <c r="AB164" s="119">
        <f t="shared" si="61"/>
        <v>0</v>
      </c>
      <c r="AC164" s="119">
        <f t="shared" si="61"/>
        <v>0</v>
      </c>
      <c r="AD164" s="119">
        <f t="shared" si="61"/>
        <v>0</v>
      </c>
      <c r="AE164" s="119">
        <f t="shared" si="61"/>
        <v>0</v>
      </c>
      <c r="AF164" s="119">
        <f t="shared" si="61"/>
        <v>0</v>
      </c>
      <c r="AG164" s="119">
        <f t="shared" si="61"/>
        <v>0</v>
      </c>
      <c r="AH164" s="119">
        <f t="shared" si="61"/>
        <v>0</v>
      </c>
      <c r="AI164" s="119">
        <f t="shared" si="61"/>
        <v>0</v>
      </c>
      <c r="AJ164" s="119">
        <f t="shared" si="61"/>
        <v>0</v>
      </c>
      <c r="AK164" s="9"/>
      <c r="AL164" s="18">
        <f>SUM(F164:AJ164)</f>
        <v>0</v>
      </c>
      <c r="AM164" s="22"/>
    </row>
    <row r="165" spans="2:39 15081:15473" s="1" customFormat="1" x14ac:dyDescent="0.25">
      <c r="B165" s="128"/>
      <c r="C165" s="182" t="s">
        <v>39</v>
      </c>
      <c r="D165" s="131"/>
      <c r="E165" s="177" t="s">
        <v>38</v>
      </c>
      <c r="F165" s="119">
        <f t="shared" ref="F165:AH165" si="62">SUM(F157:F159)/500</f>
        <v>0</v>
      </c>
      <c r="G165" s="119">
        <f t="shared" si="62"/>
        <v>0</v>
      </c>
      <c r="H165" s="119">
        <f t="shared" si="62"/>
        <v>0</v>
      </c>
      <c r="I165" s="119">
        <f t="shared" si="62"/>
        <v>0</v>
      </c>
      <c r="J165" s="119">
        <f t="shared" si="62"/>
        <v>0</v>
      </c>
      <c r="K165" s="119">
        <f t="shared" si="62"/>
        <v>0</v>
      </c>
      <c r="L165" s="119">
        <f t="shared" si="62"/>
        <v>0</v>
      </c>
      <c r="M165" s="119">
        <f t="shared" si="62"/>
        <v>0</v>
      </c>
      <c r="N165" s="119">
        <f t="shared" si="62"/>
        <v>0</v>
      </c>
      <c r="O165" s="119">
        <f t="shared" si="62"/>
        <v>0</v>
      </c>
      <c r="P165" s="119">
        <f t="shared" si="62"/>
        <v>0</v>
      </c>
      <c r="Q165" s="119">
        <f t="shared" si="62"/>
        <v>0</v>
      </c>
      <c r="R165" s="119">
        <f t="shared" si="62"/>
        <v>0</v>
      </c>
      <c r="S165" s="119">
        <f t="shared" si="62"/>
        <v>0</v>
      </c>
      <c r="T165" s="119">
        <f t="shared" si="62"/>
        <v>0</v>
      </c>
      <c r="U165" s="119">
        <f t="shared" si="62"/>
        <v>0</v>
      </c>
      <c r="V165" s="119">
        <f t="shared" si="62"/>
        <v>0</v>
      </c>
      <c r="W165" s="119">
        <f t="shared" si="62"/>
        <v>0</v>
      </c>
      <c r="X165" s="119">
        <f t="shared" si="62"/>
        <v>0</v>
      </c>
      <c r="Y165" s="119">
        <f t="shared" si="62"/>
        <v>0</v>
      </c>
      <c r="Z165" s="119">
        <f t="shared" si="62"/>
        <v>0</v>
      </c>
      <c r="AA165" s="119">
        <f t="shared" si="62"/>
        <v>0</v>
      </c>
      <c r="AB165" s="119">
        <f t="shared" si="62"/>
        <v>0</v>
      </c>
      <c r="AC165" s="119">
        <f t="shared" si="62"/>
        <v>0</v>
      </c>
      <c r="AD165" s="119">
        <f t="shared" si="62"/>
        <v>0</v>
      </c>
      <c r="AE165" s="119">
        <f t="shared" si="62"/>
        <v>0</v>
      </c>
      <c r="AF165" s="119">
        <f t="shared" si="62"/>
        <v>0</v>
      </c>
      <c r="AG165" s="119">
        <f t="shared" si="62"/>
        <v>0</v>
      </c>
      <c r="AH165" s="119">
        <f t="shared" si="62"/>
        <v>0</v>
      </c>
      <c r="AI165" s="119">
        <f>SUM(AI157:AI159)/500</f>
        <v>0</v>
      </c>
      <c r="AJ165" s="119">
        <f>SUM(AJ157:AJ159)/500</f>
        <v>0</v>
      </c>
      <c r="AK165" s="9"/>
      <c r="AL165" s="18">
        <f>SUM(F165:AJ165)</f>
        <v>0</v>
      </c>
      <c r="AM165" s="22"/>
    </row>
    <row r="166" spans="2:39 15081:15473" s="1" customFormat="1" x14ac:dyDescent="0.25">
      <c r="B166" s="113"/>
      <c r="C166" s="93" t="s">
        <v>37</v>
      </c>
      <c r="D166" s="110"/>
      <c r="E166" s="270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  <c r="AA166" s="111"/>
      <c r="AB166" s="111"/>
      <c r="AC166" s="112"/>
      <c r="AD166" s="111"/>
      <c r="AE166" s="111"/>
      <c r="AF166" s="111"/>
      <c r="AG166" s="111"/>
      <c r="AH166" s="111"/>
      <c r="AI166" s="112"/>
      <c r="AJ166" s="112"/>
      <c r="AK166" s="22"/>
      <c r="AL166" s="35" t="s">
        <v>34</v>
      </c>
      <c r="AM166" s="238"/>
      <c r="VHA166"/>
      <c r="VHB166"/>
      <c r="VHC166"/>
      <c r="VHD166"/>
      <c r="VHE166"/>
      <c r="VHF166"/>
      <c r="VHG166"/>
      <c r="VHH166"/>
      <c r="VHI166"/>
      <c r="VHJ166"/>
      <c r="VHK166"/>
      <c r="VHL166"/>
      <c r="VHM166"/>
      <c r="VHN166"/>
      <c r="VHO166"/>
      <c r="VHP166"/>
      <c r="VHQ166"/>
      <c r="VHR166"/>
      <c r="VHS166"/>
      <c r="VHT166"/>
      <c r="VHU166"/>
      <c r="VHV166"/>
      <c r="VHW166"/>
      <c r="VHX166"/>
      <c r="VHY166"/>
      <c r="VHZ166"/>
      <c r="VIA166"/>
      <c r="VIB166"/>
      <c r="VIC166"/>
      <c r="VID166"/>
      <c r="VIE166"/>
      <c r="VIF166"/>
      <c r="VIG166"/>
      <c r="VIH166"/>
      <c r="VII166"/>
      <c r="VIJ166"/>
      <c r="VIK166"/>
      <c r="VIL166"/>
      <c r="VIM166"/>
      <c r="VIN166"/>
      <c r="VIO166"/>
      <c r="VIP166"/>
      <c r="VIQ166"/>
      <c r="VIR166"/>
      <c r="VIS166"/>
      <c r="VIT166"/>
      <c r="VIU166"/>
      <c r="VIV166"/>
      <c r="VIW166"/>
      <c r="VIX166"/>
      <c r="VIY166"/>
      <c r="VIZ166"/>
      <c r="VJA166"/>
      <c r="VJB166"/>
      <c r="VJC166"/>
      <c r="VJD166"/>
      <c r="VJE166"/>
      <c r="VJF166"/>
      <c r="VJG166"/>
      <c r="VJH166"/>
      <c r="VJI166"/>
      <c r="VJJ166"/>
      <c r="VJK166"/>
      <c r="VJL166"/>
      <c r="VJM166"/>
      <c r="VJN166"/>
      <c r="VJO166"/>
      <c r="VJP166"/>
      <c r="VJQ166"/>
      <c r="VJR166"/>
      <c r="VJS166"/>
      <c r="VJT166"/>
      <c r="VJU166"/>
      <c r="VJV166"/>
      <c r="VJW166"/>
      <c r="VJX166"/>
      <c r="VJY166"/>
      <c r="VJZ166"/>
      <c r="VKA166"/>
      <c r="VKB166"/>
      <c r="VKC166"/>
      <c r="VKD166"/>
      <c r="VKE166"/>
      <c r="VKF166"/>
      <c r="VKG166"/>
      <c r="VKH166"/>
      <c r="VKI166"/>
      <c r="VKJ166"/>
      <c r="VKK166"/>
      <c r="VKL166"/>
      <c r="VKM166"/>
      <c r="VKN166"/>
      <c r="VKO166"/>
      <c r="VKP166"/>
      <c r="VKQ166"/>
      <c r="VKR166"/>
      <c r="VKS166"/>
      <c r="VKT166"/>
      <c r="VKU166"/>
      <c r="VKV166"/>
      <c r="VKW166"/>
      <c r="VKX166"/>
      <c r="VKY166"/>
      <c r="VKZ166"/>
      <c r="VLA166"/>
      <c r="VLB166"/>
      <c r="VLC166"/>
      <c r="VLD166"/>
      <c r="VLE166"/>
      <c r="VLF166"/>
      <c r="VLG166"/>
      <c r="VLH166"/>
      <c r="VLI166"/>
      <c r="VLJ166"/>
      <c r="VLK166"/>
      <c r="VLL166"/>
      <c r="VLM166"/>
      <c r="VLN166"/>
      <c r="VLO166"/>
      <c r="VLP166"/>
      <c r="VLQ166"/>
      <c r="VLR166"/>
      <c r="VLS166"/>
      <c r="VLT166"/>
      <c r="VLU166"/>
      <c r="VLV166"/>
      <c r="VLW166"/>
      <c r="VLX166"/>
      <c r="VLY166"/>
      <c r="VLZ166"/>
      <c r="VMA166"/>
      <c r="VMB166"/>
      <c r="VMC166"/>
      <c r="VMD166"/>
      <c r="VME166"/>
      <c r="VMF166"/>
      <c r="VMG166"/>
      <c r="VMH166"/>
      <c r="VMI166"/>
      <c r="VMJ166"/>
      <c r="VMK166"/>
      <c r="VML166"/>
      <c r="VMM166"/>
      <c r="VMN166"/>
      <c r="VMO166"/>
      <c r="VMP166"/>
      <c r="VMQ166"/>
      <c r="VMR166"/>
      <c r="VMS166"/>
      <c r="VMT166"/>
      <c r="VMU166"/>
      <c r="VMV166"/>
      <c r="VMW166"/>
      <c r="VMX166"/>
      <c r="VMY166"/>
      <c r="VMZ166"/>
      <c r="VNA166"/>
      <c r="VNB166"/>
      <c r="VNC166"/>
      <c r="VND166"/>
      <c r="VNE166"/>
      <c r="VNF166"/>
      <c r="VNG166"/>
      <c r="VNH166"/>
      <c r="VNI166"/>
      <c r="VNJ166"/>
      <c r="VNK166"/>
      <c r="VNL166"/>
      <c r="VNM166"/>
      <c r="VNN166"/>
      <c r="VNO166"/>
      <c r="VNP166"/>
      <c r="VNQ166"/>
      <c r="VNR166"/>
      <c r="VNS166"/>
      <c r="VNT166"/>
      <c r="VNU166"/>
      <c r="VNV166"/>
      <c r="VNW166"/>
      <c r="VNX166"/>
      <c r="VNY166"/>
      <c r="VNZ166"/>
      <c r="VOA166"/>
      <c r="VOB166"/>
      <c r="VOC166"/>
      <c r="VOD166"/>
      <c r="VOE166"/>
      <c r="VOF166"/>
      <c r="VOG166"/>
      <c r="VOH166"/>
      <c r="VOI166"/>
      <c r="VOJ166"/>
      <c r="VOK166"/>
      <c r="VOL166"/>
      <c r="VOM166"/>
      <c r="VON166"/>
      <c r="VOO166"/>
      <c r="VOP166"/>
      <c r="VOQ166"/>
      <c r="VOR166"/>
      <c r="VOS166"/>
      <c r="VOT166"/>
      <c r="VOU166"/>
      <c r="VOV166"/>
      <c r="VOW166"/>
      <c r="VOX166"/>
      <c r="VOY166"/>
      <c r="VOZ166"/>
      <c r="VPA166"/>
      <c r="VPB166"/>
      <c r="VPC166"/>
      <c r="VPD166"/>
      <c r="VPE166"/>
      <c r="VPF166"/>
      <c r="VPG166"/>
      <c r="VPH166"/>
      <c r="VPI166"/>
      <c r="VPJ166"/>
      <c r="VPK166"/>
      <c r="VPL166"/>
      <c r="VPM166"/>
      <c r="VPN166"/>
      <c r="VPO166"/>
      <c r="VPP166"/>
      <c r="VPQ166"/>
      <c r="VPR166"/>
      <c r="VPS166"/>
      <c r="VPT166"/>
      <c r="VPU166"/>
      <c r="VPV166"/>
      <c r="VPW166"/>
      <c r="VPX166"/>
      <c r="VPY166"/>
      <c r="VPZ166"/>
      <c r="VQA166"/>
      <c r="VQB166"/>
      <c r="VQC166"/>
      <c r="VQD166"/>
      <c r="VQE166"/>
      <c r="VQF166"/>
      <c r="VQG166"/>
      <c r="VQH166"/>
      <c r="VQI166"/>
      <c r="VQJ166"/>
      <c r="VQK166"/>
      <c r="VQL166"/>
      <c r="VQM166"/>
      <c r="VQN166"/>
      <c r="VQO166"/>
      <c r="VQP166"/>
      <c r="VQQ166"/>
      <c r="VQR166"/>
      <c r="VQS166"/>
      <c r="VQT166"/>
      <c r="VQU166"/>
      <c r="VQV166"/>
      <c r="VQW166"/>
      <c r="VQX166"/>
      <c r="VQY166"/>
      <c r="VQZ166"/>
      <c r="VRA166"/>
      <c r="VRB166"/>
      <c r="VRC166"/>
      <c r="VRD166"/>
      <c r="VRE166"/>
      <c r="VRF166"/>
      <c r="VRG166"/>
      <c r="VRH166"/>
      <c r="VRI166"/>
      <c r="VRJ166"/>
      <c r="VRK166"/>
      <c r="VRL166"/>
      <c r="VRM166"/>
      <c r="VRN166"/>
      <c r="VRO166"/>
      <c r="VRP166"/>
      <c r="VRQ166"/>
      <c r="VRR166"/>
      <c r="VRS166"/>
      <c r="VRT166"/>
      <c r="VRU166"/>
      <c r="VRV166"/>
      <c r="VRW166"/>
      <c r="VRX166"/>
      <c r="VRY166"/>
      <c r="VRZ166"/>
      <c r="VSA166"/>
      <c r="VSB166"/>
      <c r="VSC166"/>
      <c r="VSD166"/>
      <c r="VSE166"/>
      <c r="VSF166"/>
      <c r="VSG166"/>
      <c r="VSH166"/>
      <c r="VSI166"/>
      <c r="VSJ166"/>
      <c r="VSK166"/>
      <c r="VSL166"/>
      <c r="VSM166"/>
      <c r="VSN166"/>
      <c r="VSO166"/>
      <c r="VSP166"/>
      <c r="VSQ166"/>
      <c r="VSR166"/>
      <c r="VSS166"/>
      <c r="VST166"/>
      <c r="VSU166"/>
      <c r="VSV166"/>
      <c r="VSW166"/>
      <c r="VSX166"/>
      <c r="VSY166"/>
      <c r="VSZ166"/>
      <c r="VTA166"/>
      <c r="VTB166"/>
      <c r="VTC166"/>
      <c r="VTD166"/>
      <c r="VTE166"/>
      <c r="VTF166"/>
      <c r="VTG166"/>
      <c r="VTH166"/>
      <c r="VTI166"/>
      <c r="VTJ166"/>
      <c r="VTK166"/>
      <c r="VTL166"/>
      <c r="VTM166"/>
      <c r="VTN166"/>
      <c r="VTO166"/>
      <c r="VTP166"/>
      <c r="VTQ166"/>
      <c r="VTR166"/>
      <c r="VTS166"/>
      <c r="VTT166"/>
      <c r="VTU166"/>
      <c r="VTV166"/>
      <c r="VTW166"/>
      <c r="VTX166"/>
      <c r="VTY166"/>
      <c r="VTZ166"/>
      <c r="VUA166"/>
      <c r="VUB166"/>
      <c r="VUC166"/>
      <c r="VUD166"/>
      <c r="VUE166"/>
      <c r="VUF166"/>
      <c r="VUG166"/>
      <c r="VUH166"/>
      <c r="VUI166"/>
      <c r="VUJ166"/>
      <c r="VUK166"/>
      <c r="VUL166"/>
      <c r="VUM166"/>
      <c r="VUN166"/>
      <c r="VUO166"/>
      <c r="VUP166"/>
      <c r="VUQ166"/>
      <c r="VUR166"/>
      <c r="VUS166"/>
      <c r="VUT166"/>
      <c r="VUU166"/>
      <c r="VUV166"/>
      <c r="VUW166"/>
      <c r="VUX166"/>
      <c r="VUY166"/>
      <c r="VUZ166"/>
      <c r="VVA166"/>
      <c r="VVB166"/>
      <c r="VVC166"/>
      <c r="VVD166"/>
      <c r="VVE166"/>
      <c r="VVF166"/>
      <c r="VVG166"/>
      <c r="VVH166"/>
      <c r="VVI166"/>
      <c r="VVJ166"/>
      <c r="VVK166"/>
      <c r="VVL166"/>
      <c r="VVM166"/>
      <c r="VVN166"/>
      <c r="VVO166"/>
      <c r="VVP166"/>
      <c r="VVQ166"/>
      <c r="VVR166"/>
      <c r="VVS166"/>
      <c r="VVT166"/>
      <c r="VVU166"/>
      <c r="VVV166"/>
      <c r="VVW166"/>
      <c r="VVX166"/>
      <c r="VVY166"/>
      <c r="VVZ166"/>
      <c r="VWA166"/>
      <c r="VWB166"/>
      <c r="VWC166"/>
    </row>
    <row r="167" spans="2:39 15081:15473" s="1" customFormat="1" x14ac:dyDescent="0.25">
      <c r="B167" s="128"/>
      <c r="C167" s="182" t="s">
        <v>33</v>
      </c>
      <c r="D167" s="131"/>
      <c r="E167" s="113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9"/>
      <c r="AL167" s="34" t="s">
        <v>33</v>
      </c>
      <c r="AM167" s="240"/>
    </row>
    <row r="168" spans="2:39 15081:15473" s="1" customFormat="1" x14ac:dyDescent="0.25">
      <c r="B168" s="128"/>
      <c r="C168" s="96" t="s">
        <v>31</v>
      </c>
      <c r="D168" s="131"/>
      <c r="E168" s="177" t="s">
        <v>36</v>
      </c>
      <c r="F168" s="119">
        <v>0</v>
      </c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9"/>
      <c r="AL168" s="18">
        <f>SUM(F168:AJ168)</f>
        <v>0</v>
      </c>
      <c r="AM168" s="22"/>
    </row>
    <row r="169" spans="2:39 15081:15473" s="1" customFormat="1" x14ac:dyDescent="0.25">
      <c r="B169" s="128"/>
      <c r="C169" s="96" t="s">
        <v>30</v>
      </c>
      <c r="D169" s="131"/>
      <c r="E169" s="177" t="s">
        <v>36</v>
      </c>
      <c r="F169" s="119">
        <v>0</v>
      </c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9"/>
      <c r="AL169" s="18">
        <f>SUM(F169:AJ169)</f>
        <v>0</v>
      </c>
      <c r="AM169" s="22"/>
    </row>
    <row r="170" spans="2:39 15081:15473" s="1" customFormat="1" x14ac:dyDescent="0.25">
      <c r="B170" s="128"/>
      <c r="C170" s="182" t="s">
        <v>32</v>
      </c>
      <c r="D170" s="131"/>
      <c r="E170" s="113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9"/>
      <c r="AL170" s="34" t="s">
        <v>32</v>
      </c>
      <c r="AM170" s="240"/>
    </row>
    <row r="171" spans="2:39 15081:15473" s="1" customFormat="1" x14ac:dyDescent="0.25">
      <c r="B171" s="128"/>
      <c r="C171" s="96" t="s">
        <v>31</v>
      </c>
      <c r="D171" s="131"/>
      <c r="E171" s="177" t="s">
        <v>32</v>
      </c>
      <c r="F171" s="119">
        <v>0</v>
      </c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9"/>
      <c r="AL171" s="18">
        <f>SUM(F171:AJ171)</f>
        <v>0</v>
      </c>
      <c r="AM171" s="22"/>
    </row>
    <row r="172" spans="2:39 15081:15473" s="1" customFormat="1" x14ac:dyDescent="0.25">
      <c r="B172" s="128"/>
      <c r="C172" s="96" t="s">
        <v>30</v>
      </c>
      <c r="D172" s="131"/>
      <c r="E172" s="177" t="s">
        <v>32</v>
      </c>
      <c r="F172" s="119">
        <v>0</v>
      </c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9"/>
      <c r="AL172" s="18">
        <f>SUM(F172:AJ172)</f>
        <v>0</v>
      </c>
      <c r="AM172" s="22"/>
    </row>
    <row r="173" spans="2:39 15081:15473" s="1" customFormat="1" x14ac:dyDescent="0.25">
      <c r="B173" s="113"/>
      <c r="C173" s="93" t="s">
        <v>35</v>
      </c>
      <c r="D173" s="110"/>
      <c r="E173" s="270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  <c r="AA173" s="111"/>
      <c r="AB173" s="111"/>
      <c r="AC173" s="112"/>
      <c r="AD173" s="111"/>
      <c r="AE173" s="111"/>
      <c r="AF173" s="111"/>
      <c r="AG173" s="111"/>
      <c r="AH173" s="112"/>
      <c r="AI173" s="112"/>
      <c r="AJ173" s="112"/>
      <c r="AK173" s="22"/>
      <c r="AL173" s="35" t="s">
        <v>34</v>
      </c>
      <c r="AM173" s="238"/>
      <c r="VHA173"/>
      <c r="VHB173"/>
      <c r="VHC173"/>
      <c r="VHD173"/>
      <c r="VHE173"/>
      <c r="VHF173"/>
      <c r="VHG173"/>
      <c r="VHH173"/>
      <c r="VHI173"/>
      <c r="VHJ173"/>
      <c r="VHK173"/>
      <c r="VHL173"/>
      <c r="VHM173"/>
      <c r="VHN173"/>
      <c r="VHO173"/>
      <c r="VHP173"/>
      <c r="VHQ173"/>
      <c r="VHR173"/>
      <c r="VHS173"/>
      <c r="VHT173"/>
      <c r="VHU173"/>
      <c r="VHV173"/>
      <c r="VHW173"/>
      <c r="VHX173"/>
      <c r="VHY173"/>
      <c r="VHZ173"/>
      <c r="VIA173"/>
      <c r="VIB173"/>
      <c r="VIC173"/>
      <c r="VID173"/>
      <c r="VIE173"/>
      <c r="VIF173"/>
      <c r="VIG173"/>
      <c r="VIH173"/>
      <c r="VII173"/>
      <c r="VIJ173"/>
      <c r="VIK173"/>
      <c r="VIL173"/>
      <c r="VIM173"/>
      <c r="VIN173"/>
      <c r="VIO173"/>
      <c r="VIP173"/>
      <c r="VIQ173"/>
      <c r="VIR173"/>
      <c r="VIS173"/>
      <c r="VIT173"/>
      <c r="VIU173"/>
      <c r="VIV173"/>
      <c r="VIW173"/>
      <c r="VIX173"/>
      <c r="VIY173"/>
      <c r="VIZ173"/>
      <c r="VJA173"/>
      <c r="VJB173"/>
      <c r="VJC173"/>
      <c r="VJD173"/>
      <c r="VJE173"/>
      <c r="VJF173"/>
      <c r="VJG173"/>
      <c r="VJH173"/>
      <c r="VJI173"/>
      <c r="VJJ173"/>
      <c r="VJK173"/>
      <c r="VJL173"/>
      <c r="VJM173"/>
      <c r="VJN173"/>
      <c r="VJO173"/>
      <c r="VJP173"/>
      <c r="VJQ173"/>
      <c r="VJR173"/>
      <c r="VJS173"/>
      <c r="VJT173"/>
      <c r="VJU173"/>
      <c r="VJV173"/>
      <c r="VJW173"/>
      <c r="VJX173"/>
      <c r="VJY173"/>
      <c r="VJZ173"/>
      <c r="VKA173"/>
      <c r="VKB173"/>
      <c r="VKC173"/>
      <c r="VKD173"/>
      <c r="VKE173"/>
      <c r="VKF173"/>
      <c r="VKG173"/>
      <c r="VKH173"/>
      <c r="VKI173"/>
      <c r="VKJ173"/>
      <c r="VKK173"/>
      <c r="VKL173"/>
      <c r="VKM173"/>
      <c r="VKN173"/>
      <c r="VKO173"/>
      <c r="VKP173"/>
      <c r="VKQ173"/>
      <c r="VKR173"/>
      <c r="VKS173"/>
      <c r="VKT173"/>
      <c r="VKU173"/>
      <c r="VKV173"/>
      <c r="VKW173"/>
      <c r="VKX173"/>
      <c r="VKY173"/>
      <c r="VKZ173"/>
      <c r="VLA173"/>
      <c r="VLB173"/>
      <c r="VLC173"/>
      <c r="VLD173"/>
      <c r="VLE173"/>
      <c r="VLF173"/>
      <c r="VLG173"/>
      <c r="VLH173"/>
      <c r="VLI173"/>
      <c r="VLJ173"/>
      <c r="VLK173"/>
      <c r="VLL173"/>
      <c r="VLM173"/>
      <c r="VLN173"/>
      <c r="VLO173"/>
      <c r="VLP173"/>
      <c r="VLQ173"/>
      <c r="VLR173"/>
      <c r="VLS173"/>
      <c r="VLT173"/>
      <c r="VLU173"/>
      <c r="VLV173"/>
      <c r="VLW173"/>
      <c r="VLX173"/>
      <c r="VLY173"/>
      <c r="VLZ173"/>
      <c r="VMA173"/>
      <c r="VMB173"/>
      <c r="VMC173"/>
      <c r="VMD173"/>
      <c r="VME173"/>
      <c r="VMF173"/>
      <c r="VMG173"/>
      <c r="VMH173"/>
      <c r="VMI173"/>
      <c r="VMJ173"/>
      <c r="VMK173"/>
      <c r="VML173"/>
      <c r="VMM173"/>
      <c r="VMN173"/>
      <c r="VMO173"/>
      <c r="VMP173"/>
      <c r="VMQ173"/>
      <c r="VMR173"/>
      <c r="VMS173"/>
      <c r="VMT173"/>
      <c r="VMU173"/>
      <c r="VMV173"/>
      <c r="VMW173"/>
      <c r="VMX173"/>
      <c r="VMY173"/>
      <c r="VMZ173"/>
      <c r="VNA173"/>
      <c r="VNB173"/>
      <c r="VNC173"/>
      <c r="VND173"/>
      <c r="VNE173"/>
      <c r="VNF173"/>
      <c r="VNG173"/>
      <c r="VNH173"/>
      <c r="VNI173"/>
      <c r="VNJ173"/>
      <c r="VNK173"/>
      <c r="VNL173"/>
      <c r="VNM173"/>
      <c r="VNN173"/>
      <c r="VNO173"/>
      <c r="VNP173"/>
      <c r="VNQ173"/>
      <c r="VNR173"/>
      <c r="VNS173"/>
      <c r="VNT173"/>
      <c r="VNU173"/>
      <c r="VNV173"/>
      <c r="VNW173"/>
      <c r="VNX173"/>
      <c r="VNY173"/>
      <c r="VNZ173"/>
      <c r="VOA173"/>
      <c r="VOB173"/>
      <c r="VOC173"/>
      <c r="VOD173"/>
      <c r="VOE173"/>
      <c r="VOF173"/>
      <c r="VOG173"/>
      <c r="VOH173"/>
      <c r="VOI173"/>
      <c r="VOJ173"/>
      <c r="VOK173"/>
      <c r="VOL173"/>
      <c r="VOM173"/>
      <c r="VON173"/>
      <c r="VOO173"/>
      <c r="VOP173"/>
      <c r="VOQ173"/>
      <c r="VOR173"/>
      <c r="VOS173"/>
      <c r="VOT173"/>
      <c r="VOU173"/>
      <c r="VOV173"/>
      <c r="VOW173"/>
      <c r="VOX173"/>
      <c r="VOY173"/>
      <c r="VOZ173"/>
      <c r="VPA173"/>
      <c r="VPB173"/>
      <c r="VPC173"/>
      <c r="VPD173"/>
      <c r="VPE173"/>
      <c r="VPF173"/>
      <c r="VPG173"/>
      <c r="VPH173"/>
      <c r="VPI173"/>
      <c r="VPJ173"/>
      <c r="VPK173"/>
      <c r="VPL173"/>
      <c r="VPM173"/>
      <c r="VPN173"/>
      <c r="VPO173"/>
      <c r="VPP173"/>
      <c r="VPQ173"/>
      <c r="VPR173"/>
      <c r="VPS173"/>
      <c r="VPT173"/>
      <c r="VPU173"/>
      <c r="VPV173"/>
      <c r="VPW173"/>
      <c r="VPX173"/>
      <c r="VPY173"/>
      <c r="VPZ173"/>
      <c r="VQA173"/>
      <c r="VQB173"/>
      <c r="VQC173"/>
      <c r="VQD173"/>
      <c r="VQE173"/>
      <c r="VQF173"/>
      <c r="VQG173"/>
      <c r="VQH173"/>
      <c r="VQI173"/>
      <c r="VQJ173"/>
      <c r="VQK173"/>
      <c r="VQL173"/>
      <c r="VQM173"/>
      <c r="VQN173"/>
      <c r="VQO173"/>
      <c r="VQP173"/>
      <c r="VQQ173"/>
      <c r="VQR173"/>
      <c r="VQS173"/>
      <c r="VQT173"/>
      <c r="VQU173"/>
      <c r="VQV173"/>
      <c r="VQW173"/>
      <c r="VQX173"/>
      <c r="VQY173"/>
      <c r="VQZ173"/>
      <c r="VRA173"/>
      <c r="VRB173"/>
      <c r="VRC173"/>
      <c r="VRD173"/>
      <c r="VRE173"/>
      <c r="VRF173"/>
      <c r="VRG173"/>
      <c r="VRH173"/>
      <c r="VRI173"/>
      <c r="VRJ173"/>
      <c r="VRK173"/>
      <c r="VRL173"/>
      <c r="VRM173"/>
      <c r="VRN173"/>
      <c r="VRO173"/>
      <c r="VRP173"/>
      <c r="VRQ173"/>
      <c r="VRR173"/>
      <c r="VRS173"/>
      <c r="VRT173"/>
      <c r="VRU173"/>
      <c r="VRV173"/>
      <c r="VRW173"/>
      <c r="VRX173"/>
      <c r="VRY173"/>
      <c r="VRZ173"/>
      <c r="VSA173"/>
      <c r="VSB173"/>
      <c r="VSC173"/>
      <c r="VSD173"/>
      <c r="VSE173"/>
      <c r="VSF173"/>
      <c r="VSG173"/>
      <c r="VSH173"/>
      <c r="VSI173"/>
      <c r="VSJ173"/>
      <c r="VSK173"/>
      <c r="VSL173"/>
      <c r="VSM173"/>
      <c r="VSN173"/>
      <c r="VSO173"/>
      <c r="VSP173"/>
      <c r="VSQ173"/>
      <c r="VSR173"/>
      <c r="VSS173"/>
      <c r="VST173"/>
      <c r="VSU173"/>
      <c r="VSV173"/>
      <c r="VSW173"/>
      <c r="VSX173"/>
      <c r="VSY173"/>
      <c r="VSZ173"/>
      <c r="VTA173"/>
      <c r="VTB173"/>
      <c r="VTC173"/>
      <c r="VTD173"/>
      <c r="VTE173"/>
      <c r="VTF173"/>
      <c r="VTG173"/>
      <c r="VTH173"/>
      <c r="VTI173"/>
      <c r="VTJ173"/>
      <c r="VTK173"/>
      <c r="VTL173"/>
      <c r="VTM173"/>
      <c r="VTN173"/>
      <c r="VTO173"/>
      <c r="VTP173"/>
      <c r="VTQ173"/>
      <c r="VTR173"/>
      <c r="VTS173"/>
      <c r="VTT173"/>
      <c r="VTU173"/>
      <c r="VTV173"/>
      <c r="VTW173"/>
      <c r="VTX173"/>
      <c r="VTY173"/>
      <c r="VTZ173"/>
      <c r="VUA173"/>
      <c r="VUB173"/>
      <c r="VUC173"/>
      <c r="VUD173"/>
      <c r="VUE173"/>
      <c r="VUF173"/>
      <c r="VUG173"/>
      <c r="VUH173"/>
      <c r="VUI173"/>
      <c r="VUJ173"/>
      <c r="VUK173"/>
      <c r="VUL173"/>
      <c r="VUM173"/>
      <c r="VUN173"/>
      <c r="VUO173"/>
      <c r="VUP173"/>
      <c r="VUQ173"/>
      <c r="VUR173"/>
      <c r="VUS173"/>
      <c r="VUT173"/>
      <c r="VUU173"/>
      <c r="VUV173"/>
      <c r="VUW173"/>
      <c r="VUX173"/>
      <c r="VUY173"/>
      <c r="VUZ173"/>
      <c r="VVA173"/>
      <c r="VVB173"/>
      <c r="VVC173"/>
      <c r="VVD173"/>
      <c r="VVE173"/>
      <c r="VVF173"/>
      <c r="VVG173"/>
      <c r="VVH173"/>
      <c r="VVI173"/>
      <c r="VVJ173"/>
      <c r="VVK173"/>
      <c r="VVL173"/>
      <c r="VVM173"/>
      <c r="VVN173"/>
      <c r="VVO173"/>
      <c r="VVP173"/>
      <c r="VVQ173"/>
      <c r="VVR173"/>
      <c r="VVS173"/>
      <c r="VVT173"/>
      <c r="VVU173"/>
      <c r="VVV173"/>
      <c r="VVW173"/>
      <c r="VVX173"/>
      <c r="VVY173"/>
      <c r="VVZ173"/>
      <c r="VWA173"/>
      <c r="VWB173"/>
      <c r="VWC173"/>
    </row>
    <row r="174" spans="2:39 15081:15473" s="1" customFormat="1" x14ac:dyDescent="0.25">
      <c r="B174" s="128"/>
      <c r="C174" s="182" t="s">
        <v>33</v>
      </c>
      <c r="D174" s="131"/>
      <c r="E174" s="113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9"/>
      <c r="AL174" s="34" t="s">
        <v>33</v>
      </c>
      <c r="AM174" s="240"/>
    </row>
    <row r="175" spans="2:39 15081:15473" s="1" customFormat="1" x14ac:dyDescent="0.25">
      <c r="B175" s="128"/>
      <c r="C175" s="96" t="s">
        <v>31</v>
      </c>
      <c r="D175" s="127">
        <v>0.3</v>
      </c>
      <c r="E175" s="177" t="s">
        <v>29</v>
      </c>
      <c r="F175" s="151" t="e">
        <f t="shared" ref="F175:AJ175" si="63">F168/F157*100</f>
        <v>#DIV/0!</v>
      </c>
      <c r="G175" s="151" t="e">
        <f t="shared" si="63"/>
        <v>#DIV/0!</v>
      </c>
      <c r="H175" s="151" t="e">
        <f t="shared" si="63"/>
        <v>#DIV/0!</v>
      </c>
      <c r="I175" s="151" t="e">
        <f t="shared" si="63"/>
        <v>#DIV/0!</v>
      </c>
      <c r="J175" s="151" t="e">
        <f t="shared" si="63"/>
        <v>#DIV/0!</v>
      </c>
      <c r="K175" s="151" t="e">
        <f t="shared" si="63"/>
        <v>#DIV/0!</v>
      </c>
      <c r="L175" s="151" t="e">
        <f t="shared" si="63"/>
        <v>#DIV/0!</v>
      </c>
      <c r="M175" s="151" t="e">
        <f t="shared" si="63"/>
        <v>#DIV/0!</v>
      </c>
      <c r="N175" s="151" t="e">
        <f t="shared" si="63"/>
        <v>#DIV/0!</v>
      </c>
      <c r="O175" s="151" t="e">
        <f t="shared" si="63"/>
        <v>#DIV/0!</v>
      </c>
      <c r="P175" s="151" t="e">
        <f t="shared" si="63"/>
        <v>#DIV/0!</v>
      </c>
      <c r="Q175" s="151" t="e">
        <f t="shared" si="63"/>
        <v>#DIV/0!</v>
      </c>
      <c r="R175" s="151" t="e">
        <f t="shared" si="63"/>
        <v>#DIV/0!</v>
      </c>
      <c r="S175" s="151" t="e">
        <f t="shared" si="63"/>
        <v>#DIV/0!</v>
      </c>
      <c r="T175" s="151" t="e">
        <f t="shared" si="63"/>
        <v>#DIV/0!</v>
      </c>
      <c r="U175" s="151" t="e">
        <f t="shared" si="63"/>
        <v>#DIV/0!</v>
      </c>
      <c r="V175" s="151" t="e">
        <f t="shared" si="63"/>
        <v>#DIV/0!</v>
      </c>
      <c r="W175" s="151" t="e">
        <f t="shared" si="63"/>
        <v>#DIV/0!</v>
      </c>
      <c r="X175" s="151" t="e">
        <f t="shared" si="63"/>
        <v>#DIV/0!</v>
      </c>
      <c r="Y175" s="151" t="e">
        <f t="shared" si="63"/>
        <v>#DIV/0!</v>
      </c>
      <c r="Z175" s="151" t="e">
        <f t="shared" si="63"/>
        <v>#DIV/0!</v>
      </c>
      <c r="AA175" s="151" t="e">
        <f t="shared" si="63"/>
        <v>#DIV/0!</v>
      </c>
      <c r="AB175" s="151" t="e">
        <f t="shared" si="63"/>
        <v>#DIV/0!</v>
      </c>
      <c r="AC175" s="151" t="e">
        <f t="shared" si="63"/>
        <v>#DIV/0!</v>
      </c>
      <c r="AD175" s="151" t="e">
        <f t="shared" si="63"/>
        <v>#DIV/0!</v>
      </c>
      <c r="AE175" s="151" t="e">
        <f>AE168/AE157*100</f>
        <v>#DIV/0!</v>
      </c>
      <c r="AF175" s="151" t="e">
        <f t="shared" si="63"/>
        <v>#DIV/0!</v>
      </c>
      <c r="AG175" s="151" t="e">
        <f t="shared" si="63"/>
        <v>#DIV/0!</v>
      </c>
      <c r="AH175" s="151" t="e">
        <f t="shared" si="63"/>
        <v>#DIV/0!</v>
      </c>
      <c r="AI175" s="151" t="e">
        <f t="shared" si="63"/>
        <v>#DIV/0!</v>
      </c>
      <c r="AJ175" s="151" t="e">
        <f t="shared" si="63"/>
        <v>#DIV/0!</v>
      </c>
      <c r="AK175" s="9"/>
      <c r="AL175" s="33" t="e">
        <f>AL168/AL157*100</f>
        <v>#DIV/0!</v>
      </c>
      <c r="AM175" s="41"/>
    </row>
    <row r="176" spans="2:39 15081:15473" s="1" customFormat="1" x14ac:dyDescent="0.25">
      <c r="B176" s="128"/>
      <c r="C176" s="96" t="s">
        <v>30</v>
      </c>
      <c r="D176" s="127">
        <v>0.3</v>
      </c>
      <c r="E176" s="177" t="s">
        <v>29</v>
      </c>
      <c r="F176" s="151" t="e">
        <f t="shared" ref="F176:AJ176" si="64">F169/F159*100</f>
        <v>#DIV/0!</v>
      </c>
      <c r="G176" s="151" t="e">
        <f t="shared" si="64"/>
        <v>#DIV/0!</v>
      </c>
      <c r="H176" s="151" t="e">
        <f t="shared" si="64"/>
        <v>#DIV/0!</v>
      </c>
      <c r="I176" s="151" t="e">
        <f t="shared" si="64"/>
        <v>#DIV/0!</v>
      </c>
      <c r="J176" s="151" t="e">
        <f t="shared" si="64"/>
        <v>#DIV/0!</v>
      </c>
      <c r="K176" s="151" t="e">
        <f t="shared" si="64"/>
        <v>#DIV/0!</v>
      </c>
      <c r="L176" s="151" t="e">
        <f t="shared" si="64"/>
        <v>#DIV/0!</v>
      </c>
      <c r="M176" s="151" t="e">
        <f t="shared" si="64"/>
        <v>#DIV/0!</v>
      </c>
      <c r="N176" s="151" t="e">
        <f t="shared" si="64"/>
        <v>#DIV/0!</v>
      </c>
      <c r="O176" s="151" t="e">
        <f t="shared" si="64"/>
        <v>#DIV/0!</v>
      </c>
      <c r="P176" s="151" t="e">
        <f t="shared" si="64"/>
        <v>#DIV/0!</v>
      </c>
      <c r="Q176" s="151" t="e">
        <f t="shared" si="64"/>
        <v>#DIV/0!</v>
      </c>
      <c r="R176" s="151" t="e">
        <f t="shared" si="64"/>
        <v>#DIV/0!</v>
      </c>
      <c r="S176" s="151" t="e">
        <f t="shared" si="64"/>
        <v>#DIV/0!</v>
      </c>
      <c r="T176" s="151" t="e">
        <f t="shared" si="64"/>
        <v>#DIV/0!</v>
      </c>
      <c r="U176" s="151" t="e">
        <f t="shared" si="64"/>
        <v>#DIV/0!</v>
      </c>
      <c r="V176" s="151" t="e">
        <f t="shared" si="64"/>
        <v>#DIV/0!</v>
      </c>
      <c r="W176" s="151" t="e">
        <f t="shared" si="64"/>
        <v>#DIV/0!</v>
      </c>
      <c r="X176" s="151" t="e">
        <f t="shared" si="64"/>
        <v>#DIV/0!</v>
      </c>
      <c r="Y176" s="151" t="e">
        <f t="shared" si="64"/>
        <v>#DIV/0!</v>
      </c>
      <c r="Z176" s="151" t="e">
        <f t="shared" si="64"/>
        <v>#DIV/0!</v>
      </c>
      <c r="AA176" s="151" t="e">
        <f t="shared" si="64"/>
        <v>#DIV/0!</v>
      </c>
      <c r="AB176" s="151" t="e">
        <f t="shared" si="64"/>
        <v>#DIV/0!</v>
      </c>
      <c r="AC176" s="151" t="e">
        <f t="shared" si="64"/>
        <v>#DIV/0!</v>
      </c>
      <c r="AD176" s="151" t="e">
        <f t="shared" si="64"/>
        <v>#DIV/0!</v>
      </c>
      <c r="AE176" s="151" t="e">
        <f t="shared" si="64"/>
        <v>#DIV/0!</v>
      </c>
      <c r="AF176" s="151" t="e">
        <f t="shared" si="64"/>
        <v>#DIV/0!</v>
      </c>
      <c r="AG176" s="151" t="e">
        <f t="shared" si="64"/>
        <v>#DIV/0!</v>
      </c>
      <c r="AH176" s="151" t="e">
        <f t="shared" si="64"/>
        <v>#DIV/0!</v>
      </c>
      <c r="AI176" s="151" t="e">
        <f t="shared" si="64"/>
        <v>#DIV/0!</v>
      </c>
      <c r="AJ176" s="151" t="e">
        <f t="shared" si="64"/>
        <v>#DIV/0!</v>
      </c>
      <c r="AK176" s="9"/>
      <c r="AL176" s="33" t="e">
        <f>AL169/AL159*100</f>
        <v>#DIV/0!</v>
      </c>
      <c r="AM176" s="41"/>
    </row>
    <row r="177" spans="2:39" s="1" customFormat="1" x14ac:dyDescent="0.25">
      <c r="B177" s="128"/>
      <c r="C177" s="182" t="s">
        <v>32</v>
      </c>
      <c r="D177" s="127"/>
      <c r="E177" s="113"/>
      <c r="F177" s="15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9"/>
      <c r="AL177" s="34" t="s">
        <v>32</v>
      </c>
      <c r="AM177" s="240"/>
    </row>
    <row r="178" spans="2:39" s="1" customFormat="1" x14ac:dyDescent="0.25">
      <c r="B178" s="128"/>
      <c r="C178" s="96" t="s">
        <v>31</v>
      </c>
      <c r="D178" s="127">
        <v>0.5</v>
      </c>
      <c r="E178" s="177" t="s">
        <v>29</v>
      </c>
      <c r="F178" s="151" t="e">
        <f>F171/F161*100</f>
        <v>#DIV/0!</v>
      </c>
      <c r="G178" s="151" t="e">
        <f t="shared" ref="G178:AJ178" si="65">G171/G161*100</f>
        <v>#DIV/0!</v>
      </c>
      <c r="H178" s="151" t="e">
        <f t="shared" si="65"/>
        <v>#DIV/0!</v>
      </c>
      <c r="I178" s="151" t="e">
        <f t="shared" si="65"/>
        <v>#DIV/0!</v>
      </c>
      <c r="J178" s="151" t="e">
        <f t="shared" si="65"/>
        <v>#DIV/0!</v>
      </c>
      <c r="K178" s="151" t="e">
        <f t="shared" si="65"/>
        <v>#DIV/0!</v>
      </c>
      <c r="L178" s="151" t="e">
        <f t="shared" si="65"/>
        <v>#DIV/0!</v>
      </c>
      <c r="M178" s="151" t="e">
        <f t="shared" si="65"/>
        <v>#DIV/0!</v>
      </c>
      <c r="N178" s="151" t="e">
        <f t="shared" si="65"/>
        <v>#DIV/0!</v>
      </c>
      <c r="O178" s="151" t="e">
        <f t="shared" si="65"/>
        <v>#DIV/0!</v>
      </c>
      <c r="P178" s="151" t="e">
        <f t="shared" si="65"/>
        <v>#DIV/0!</v>
      </c>
      <c r="Q178" s="151" t="e">
        <f t="shared" si="65"/>
        <v>#DIV/0!</v>
      </c>
      <c r="R178" s="151" t="e">
        <f t="shared" si="65"/>
        <v>#DIV/0!</v>
      </c>
      <c r="S178" s="151" t="e">
        <f t="shared" si="65"/>
        <v>#DIV/0!</v>
      </c>
      <c r="T178" s="151" t="e">
        <f t="shared" si="65"/>
        <v>#DIV/0!</v>
      </c>
      <c r="U178" s="151" t="e">
        <f t="shared" si="65"/>
        <v>#DIV/0!</v>
      </c>
      <c r="V178" s="151" t="e">
        <f t="shared" si="65"/>
        <v>#DIV/0!</v>
      </c>
      <c r="W178" s="151" t="e">
        <f t="shared" si="65"/>
        <v>#DIV/0!</v>
      </c>
      <c r="X178" s="151" t="e">
        <f t="shared" si="65"/>
        <v>#DIV/0!</v>
      </c>
      <c r="Y178" s="151" t="e">
        <f t="shared" si="65"/>
        <v>#DIV/0!</v>
      </c>
      <c r="Z178" s="151" t="e">
        <f t="shared" si="65"/>
        <v>#DIV/0!</v>
      </c>
      <c r="AA178" s="151" t="e">
        <f t="shared" si="65"/>
        <v>#DIV/0!</v>
      </c>
      <c r="AB178" s="151" t="e">
        <f t="shared" si="65"/>
        <v>#DIV/0!</v>
      </c>
      <c r="AC178" s="151" t="e">
        <f t="shared" si="65"/>
        <v>#DIV/0!</v>
      </c>
      <c r="AD178" s="151" t="e">
        <f t="shared" si="65"/>
        <v>#DIV/0!</v>
      </c>
      <c r="AE178" s="151" t="e">
        <f t="shared" si="65"/>
        <v>#DIV/0!</v>
      </c>
      <c r="AF178" s="151" t="e">
        <f t="shared" si="65"/>
        <v>#DIV/0!</v>
      </c>
      <c r="AG178" s="151" t="e">
        <f t="shared" si="65"/>
        <v>#DIV/0!</v>
      </c>
      <c r="AH178" s="151" t="e">
        <f t="shared" si="65"/>
        <v>#DIV/0!</v>
      </c>
      <c r="AI178" s="151" t="e">
        <f t="shared" si="65"/>
        <v>#DIV/0!</v>
      </c>
      <c r="AJ178" s="151" t="e">
        <f t="shared" si="65"/>
        <v>#DIV/0!</v>
      </c>
      <c r="AK178" s="9"/>
      <c r="AL178" s="33" t="e">
        <f>AL171/AL161*100</f>
        <v>#DIV/0!</v>
      </c>
      <c r="AM178" s="41"/>
    </row>
    <row r="179" spans="2:39" s="1" customFormat="1" x14ac:dyDescent="0.25">
      <c r="B179" s="128"/>
      <c r="C179" s="96" t="s">
        <v>30</v>
      </c>
      <c r="D179" s="127">
        <v>0.5</v>
      </c>
      <c r="E179" s="177" t="s">
        <v>29</v>
      </c>
      <c r="F179" s="151" t="e">
        <f t="shared" ref="F179:AJ179" si="66">F172/F163*100</f>
        <v>#DIV/0!</v>
      </c>
      <c r="G179" s="151" t="e">
        <f t="shared" si="66"/>
        <v>#DIV/0!</v>
      </c>
      <c r="H179" s="151" t="e">
        <f t="shared" si="66"/>
        <v>#DIV/0!</v>
      </c>
      <c r="I179" s="151" t="e">
        <f t="shared" si="66"/>
        <v>#DIV/0!</v>
      </c>
      <c r="J179" s="151" t="e">
        <f t="shared" si="66"/>
        <v>#DIV/0!</v>
      </c>
      <c r="K179" s="151" t="e">
        <f t="shared" si="66"/>
        <v>#DIV/0!</v>
      </c>
      <c r="L179" s="151" t="e">
        <f t="shared" si="66"/>
        <v>#DIV/0!</v>
      </c>
      <c r="M179" s="151" t="e">
        <f t="shared" si="66"/>
        <v>#DIV/0!</v>
      </c>
      <c r="N179" s="151" t="e">
        <f t="shared" si="66"/>
        <v>#DIV/0!</v>
      </c>
      <c r="O179" s="151" t="e">
        <f t="shared" si="66"/>
        <v>#DIV/0!</v>
      </c>
      <c r="P179" s="151" t="e">
        <f t="shared" si="66"/>
        <v>#DIV/0!</v>
      </c>
      <c r="Q179" s="151" t="e">
        <f t="shared" si="66"/>
        <v>#DIV/0!</v>
      </c>
      <c r="R179" s="151" t="e">
        <f t="shared" si="66"/>
        <v>#DIV/0!</v>
      </c>
      <c r="S179" s="151" t="e">
        <f t="shared" si="66"/>
        <v>#DIV/0!</v>
      </c>
      <c r="T179" s="151" t="e">
        <f t="shared" si="66"/>
        <v>#DIV/0!</v>
      </c>
      <c r="U179" s="151" t="e">
        <f t="shared" si="66"/>
        <v>#DIV/0!</v>
      </c>
      <c r="V179" s="151" t="e">
        <f t="shared" si="66"/>
        <v>#DIV/0!</v>
      </c>
      <c r="W179" s="151" t="e">
        <f t="shared" si="66"/>
        <v>#DIV/0!</v>
      </c>
      <c r="X179" s="151" t="e">
        <f t="shared" si="66"/>
        <v>#DIV/0!</v>
      </c>
      <c r="Y179" s="151" t="e">
        <f t="shared" si="66"/>
        <v>#DIV/0!</v>
      </c>
      <c r="Z179" s="151" t="e">
        <f t="shared" si="66"/>
        <v>#DIV/0!</v>
      </c>
      <c r="AA179" s="151" t="e">
        <f t="shared" si="66"/>
        <v>#DIV/0!</v>
      </c>
      <c r="AB179" s="151" t="e">
        <f t="shared" si="66"/>
        <v>#DIV/0!</v>
      </c>
      <c r="AC179" s="151" t="e">
        <f t="shared" si="66"/>
        <v>#DIV/0!</v>
      </c>
      <c r="AD179" s="151" t="e">
        <f t="shared" si="66"/>
        <v>#DIV/0!</v>
      </c>
      <c r="AE179" s="151" t="e">
        <f t="shared" si="66"/>
        <v>#DIV/0!</v>
      </c>
      <c r="AF179" s="151" t="e">
        <f t="shared" si="66"/>
        <v>#DIV/0!</v>
      </c>
      <c r="AG179" s="151" t="e">
        <f t="shared" si="66"/>
        <v>#DIV/0!</v>
      </c>
      <c r="AH179" s="151" t="e">
        <f t="shared" si="66"/>
        <v>#DIV/0!</v>
      </c>
      <c r="AI179" s="151" t="e">
        <f t="shared" si="66"/>
        <v>#DIV/0!</v>
      </c>
      <c r="AJ179" s="151" t="e">
        <f t="shared" si="66"/>
        <v>#DIV/0!</v>
      </c>
      <c r="AK179" s="9"/>
      <c r="AL179" s="33" t="e">
        <f>AL172/AL163*100</f>
        <v>#DIV/0!</v>
      </c>
      <c r="AM179" s="41"/>
    </row>
    <row r="180" spans="2:39" s="1" customFormat="1" x14ac:dyDescent="0.25">
      <c r="B180" s="109">
        <v>9</v>
      </c>
      <c r="C180" s="65" t="s">
        <v>120</v>
      </c>
      <c r="D180" s="191"/>
      <c r="E180" s="285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1"/>
      <c r="Q180" s="191"/>
      <c r="R180" s="191"/>
      <c r="S180" s="191"/>
      <c r="T180" s="191"/>
      <c r="U180" s="191"/>
      <c r="V180" s="191"/>
      <c r="W180" s="191"/>
      <c r="X180" s="191"/>
      <c r="Y180" s="191"/>
      <c r="Z180" s="191"/>
      <c r="AA180" s="191"/>
      <c r="AB180" s="191"/>
      <c r="AC180" s="191"/>
      <c r="AD180" s="191"/>
      <c r="AE180" s="191"/>
      <c r="AF180" s="191"/>
      <c r="AG180" s="191"/>
      <c r="AH180" s="191"/>
      <c r="AI180" s="191"/>
      <c r="AJ180" s="191"/>
      <c r="AK180" s="9"/>
      <c r="AL180" s="35" t="s">
        <v>47</v>
      </c>
      <c r="AM180" s="238"/>
    </row>
    <row r="181" spans="2:39" s="1" customFormat="1" x14ac:dyDescent="0.25">
      <c r="B181" s="128"/>
      <c r="C181" s="69" t="s">
        <v>126</v>
      </c>
      <c r="D181" s="127"/>
      <c r="E181" s="73" t="s">
        <v>16</v>
      </c>
      <c r="F181" s="80">
        <v>0</v>
      </c>
      <c r="G181" s="80">
        <v>77332</v>
      </c>
      <c r="H181" s="80">
        <v>52039</v>
      </c>
      <c r="I181" s="80"/>
      <c r="J181" s="80">
        <v>32437</v>
      </c>
      <c r="K181" s="80">
        <v>0</v>
      </c>
      <c r="L181" s="80">
        <v>30124</v>
      </c>
      <c r="M181" s="80">
        <v>0</v>
      </c>
      <c r="N181" s="80">
        <v>0</v>
      </c>
      <c r="O181" s="80">
        <v>0</v>
      </c>
      <c r="P181" s="151">
        <v>0</v>
      </c>
      <c r="Q181" s="151">
        <v>0</v>
      </c>
      <c r="R181" s="190">
        <v>32885</v>
      </c>
      <c r="S181" s="190"/>
      <c r="T181" s="190"/>
      <c r="U181" s="190">
        <v>31823</v>
      </c>
      <c r="V181" s="190">
        <v>32192</v>
      </c>
      <c r="W181" s="190"/>
      <c r="X181" s="151"/>
      <c r="Y181" s="151"/>
      <c r="Z181" s="151"/>
      <c r="AA181" s="151"/>
      <c r="AB181" s="151"/>
      <c r="AC181" s="151"/>
      <c r="AD181" s="151"/>
      <c r="AE181" s="151"/>
      <c r="AF181" s="151"/>
      <c r="AG181" s="190">
        <v>31143</v>
      </c>
      <c r="AH181" s="151"/>
      <c r="AI181" s="151"/>
      <c r="AJ181" s="190">
        <v>34218</v>
      </c>
      <c r="AK181" s="9"/>
      <c r="AL181" s="38">
        <f>SUM(F181:AJ181)</f>
        <v>354193</v>
      </c>
      <c r="AM181" s="251"/>
    </row>
    <row r="182" spans="2:39" s="1" customFormat="1" x14ac:dyDescent="0.25">
      <c r="B182" s="128"/>
      <c r="C182" s="66" t="s">
        <v>127</v>
      </c>
      <c r="D182" s="127"/>
      <c r="E182" s="73" t="s">
        <v>16</v>
      </c>
      <c r="F182" s="75">
        <v>0</v>
      </c>
      <c r="G182" s="75">
        <v>76884.98</v>
      </c>
      <c r="H182" s="75">
        <v>53281.72</v>
      </c>
      <c r="I182" s="75">
        <v>17977.43</v>
      </c>
      <c r="J182" s="75">
        <v>17057.080000000002</v>
      </c>
      <c r="K182" s="75">
        <v>140.76</v>
      </c>
      <c r="L182" s="75">
        <v>0</v>
      </c>
      <c r="M182" s="75">
        <v>0</v>
      </c>
      <c r="N182" s="75">
        <v>0</v>
      </c>
      <c r="O182" s="75">
        <v>0</v>
      </c>
      <c r="P182" s="151"/>
      <c r="Q182" s="151">
        <v>25610.880000000001</v>
      </c>
      <c r="R182" s="151">
        <v>25548.62</v>
      </c>
      <c r="S182" s="151"/>
      <c r="T182" s="151"/>
      <c r="U182" s="151">
        <v>25447.57</v>
      </c>
      <c r="V182" s="151">
        <v>19146.810000000001</v>
      </c>
      <c r="W182" s="151">
        <v>25447.57</v>
      </c>
      <c r="X182" s="151">
        <v>6745.09</v>
      </c>
      <c r="Y182" s="151"/>
      <c r="Z182" s="151"/>
      <c r="AA182" s="151"/>
      <c r="AB182" s="151"/>
      <c r="AC182" s="151"/>
      <c r="AD182" s="151"/>
      <c r="AE182" s="151"/>
      <c r="AF182" s="151"/>
      <c r="AG182" s="151"/>
      <c r="AH182" s="151"/>
      <c r="AI182" s="151">
        <v>25448.47</v>
      </c>
      <c r="AJ182" s="151"/>
      <c r="AK182" s="9"/>
      <c r="AL182" s="38">
        <f>SUM(F182:AJ182)</f>
        <v>318736.9800000001</v>
      </c>
      <c r="AM182" s="19"/>
    </row>
    <row r="183" spans="2:39" s="1" customFormat="1" x14ac:dyDescent="0.25">
      <c r="B183" s="128"/>
      <c r="C183" s="66" t="s">
        <v>44</v>
      </c>
      <c r="D183" s="127"/>
      <c r="E183" s="73" t="s">
        <v>16</v>
      </c>
      <c r="F183" s="75">
        <f>SUM(F187)*10.83</f>
        <v>0</v>
      </c>
      <c r="G183" s="75">
        <f t="shared" ref="G183:AJ183" si="67">SUM(G187)*10.83</f>
        <v>77131.259999999995</v>
      </c>
      <c r="H183" s="75">
        <f t="shared" si="67"/>
        <v>53467.71</v>
      </c>
      <c r="I183" s="75">
        <f t="shared" si="67"/>
        <v>18140.25</v>
      </c>
      <c r="J183" s="75">
        <f t="shared" si="67"/>
        <v>17284.68</v>
      </c>
      <c r="K183" s="75">
        <f t="shared" si="67"/>
        <v>140.79</v>
      </c>
      <c r="L183" s="75">
        <f t="shared" si="67"/>
        <v>0</v>
      </c>
      <c r="M183" s="75">
        <f t="shared" si="67"/>
        <v>0</v>
      </c>
      <c r="N183" s="75">
        <f t="shared" si="67"/>
        <v>0</v>
      </c>
      <c r="O183" s="75">
        <f t="shared" si="67"/>
        <v>0</v>
      </c>
      <c r="P183" s="75">
        <f t="shared" si="67"/>
        <v>0</v>
      </c>
      <c r="Q183" s="75">
        <f t="shared" si="67"/>
        <v>25634.61</v>
      </c>
      <c r="R183" s="75">
        <f t="shared" si="67"/>
        <v>25612.95</v>
      </c>
      <c r="S183" s="75">
        <f t="shared" si="67"/>
        <v>0</v>
      </c>
      <c r="T183" s="75">
        <f t="shared" si="67"/>
        <v>0</v>
      </c>
      <c r="U183" s="75">
        <f t="shared" si="67"/>
        <v>25472.16</v>
      </c>
      <c r="V183" s="75">
        <f t="shared" si="67"/>
        <v>19158.27</v>
      </c>
      <c r="W183" s="75">
        <f t="shared" si="67"/>
        <v>25591.29</v>
      </c>
      <c r="X183" s="75">
        <f t="shared" si="67"/>
        <v>6411.36</v>
      </c>
      <c r="Y183" s="75">
        <f t="shared" si="67"/>
        <v>0</v>
      </c>
      <c r="Z183" s="75">
        <f t="shared" si="67"/>
        <v>0</v>
      </c>
      <c r="AA183" s="75">
        <f t="shared" si="67"/>
        <v>0</v>
      </c>
      <c r="AB183" s="75">
        <f t="shared" si="67"/>
        <v>0</v>
      </c>
      <c r="AC183" s="75">
        <f t="shared" si="67"/>
        <v>0</v>
      </c>
      <c r="AD183" s="75">
        <f t="shared" si="67"/>
        <v>0</v>
      </c>
      <c r="AE183" s="75">
        <f t="shared" si="67"/>
        <v>0</v>
      </c>
      <c r="AF183" s="75">
        <f t="shared" si="67"/>
        <v>0</v>
      </c>
      <c r="AG183" s="75">
        <f t="shared" si="67"/>
        <v>0</v>
      </c>
      <c r="AH183" s="75">
        <f t="shared" si="67"/>
        <v>0</v>
      </c>
      <c r="AI183" s="75">
        <f t="shared" si="67"/>
        <v>25482.99</v>
      </c>
      <c r="AJ183" s="75">
        <f t="shared" si="67"/>
        <v>0</v>
      </c>
      <c r="AK183" s="9"/>
      <c r="AL183" s="38">
        <f>SUM(F183:AJ183)</f>
        <v>319528.31999999995</v>
      </c>
      <c r="AM183" s="251"/>
    </row>
    <row r="184" spans="2:39" s="1" customFormat="1" x14ac:dyDescent="0.25">
      <c r="B184" s="128"/>
      <c r="C184" s="66" t="s">
        <v>43</v>
      </c>
      <c r="D184" s="127"/>
      <c r="E184" s="73" t="s">
        <v>16</v>
      </c>
      <c r="F184" s="75">
        <f t="shared" ref="F184:AJ184" si="68">F182-F183</f>
        <v>0</v>
      </c>
      <c r="G184" s="75">
        <f t="shared" si="68"/>
        <v>-246.27999999999884</v>
      </c>
      <c r="H184" s="75">
        <f t="shared" si="68"/>
        <v>-185.98999999999796</v>
      </c>
      <c r="I184" s="75">
        <f t="shared" si="68"/>
        <v>-162.81999999999971</v>
      </c>
      <c r="J184" s="75">
        <f t="shared" si="68"/>
        <v>-227.59999999999854</v>
      </c>
      <c r="K184" s="75">
        <f t="shared" si="68"/>
        <v>-3.0000000000001137E-2</v>
      </c>
      <c r="L184" s="75">
        <f t="shared" si="68"/>
        <v>0</v>
      </c>
      <c r="M184" s="75">
        <f t="shared" si="68"/>
        <v>0</v>
      </c>
      <c r="N184" s="75">
        <f t="shared" si="68"/>
        <v>0</v>
      </c>
      <c r="O184" s="75">
        <f t="shared" si="68"/>
        <v>0</v>
      </c>
      <c r="P184" s="75">
        <f t="shared" si="68"/>
        <v>0</v>
      </c>
      <c r="Q184" s="75">
        <f t="shared" si="68"/>
        <v>-23.729999999999563</v>
      </c>
      <c r="R184" s="75">
        <f>R182-R183</f>
        <v>-64.330000000001746</v>
      </c>
      <c r="S184" s="75">
        <f t="shared" si="68"/>
        <v>0</v>
      </c>
      <c r="T184" s="75">
        <f t="shared" si="68"/>
        <v>0</v>
      </c>
      <c r="U184" s="75">
        <f t="shared" si="68"/>
        <v>-24.590000000000146</v>
      </c>
      <c r="V184" s="75">
        <f t="shared" si="68"/>
        <v>-11.459999999999127</v>
      </c>
      <c r="W184" s="75">
        <f t="shared" si="68"/>
        <v>-143.72000000000116</v>
      </c>
      <c r="X184" s="75">
        <f t="shared" si="68"/>
        <v>333.73000000000047</v>
      </c>
      <c r="Y184" s="75">
        <f t="shared" si="68"/>
        <v>0</v>
      </c>
      <c r="Z184" s="75">
        <f t="shared" si="68"/>
        <v>0</v>
      </c>
      <c r="AA184" s="75">
        <f t="shared" si="68"/>
        <v>0</v>
      </c>
      <c r="AB184" s="75">
        <f t="shared" si="68"/>
        <v>0</v>
      </c>
      <c r="AC184" s="75">
        <f t="shared" si="68"/>
        <v>0</v>
      </c>
      <c r="AD184" s="75">
        <f t="shared" si="68"/>
        <v>0</v>
      </c>
      <c r="AE184" s="75">
        <f t="shared" si="68"/>
        <v>0</v>
      </c>
      <c r="AF184" s="75">
        <f t="shared" si="68"/>
        <v>0</v>
      </c>
      <c r="AG184" s="75">
        <f t="shared" si="68"/>
        <v>0</v>
      </c>
      <c r="AH184" s="75">
        <f t="shared" si="68"/>
        <v>0</v>
      </c>
      <c r="AI184" s="75">
        <f>AI182-AI183</f>
        <v>-34.520000000000437</v>
      </c>
      <c r="AJ184" s="75">
        <f t="shared" si="68"/>
        <v>0</v>
      </c>
      <c r="AK184" s="9"/>
      <c r="AL184" s="38">
        <f>SUM(F184:AJ184)</f>
        <v>-791.33999999999673</v>
      </c>
      <c r="AM184" s="251"/>
    </row>
    <row r="185" spans="2:39" s="1" customFormat="1" x14ac:dyDescent="0.25">
      <c r="B185" s="128"/>
      <c r="C185" s="70" t="s">
        <v>58</v>
      </c>
      <c r="D185" s="127"/>
      <c r="E185" s="54" t="s">
        <v>16</v>
      </c>
      <c r="F185" s="75">
        <v>0</v>
      </c>
      <c r="G185" s="75">
        <v>0</v>
      </c>
      <c r="H185" s="75">
        <v>0</v>
      </c>
      <c r="I185" s="75">
        <v>0</v>
      </c>
      <c r="J185" s="75">
        <v>0</v>
      </c>
      <c r="K185" s="75">
        <v>0</v>
      </c>
      <c r="L185" s="75">
        <v>0</v>
      </c>
      <c r="M185" s="75">
        <v>0</v>
      </c>
      <c r="N185" s="75">
        <v>0</v>
      </c>
      <c r="O185" s="75">
        <v>0</v>
      </c>
      <c r="P185" s="151"/>
      <c r="Q185" s="151"/>
      <c r="R185" s="151"/>
      <c r="S185" s="151"/>
      <c r="T185" s="151"/>
      <c r="U185" s="151"/>
      <c r="V185" s="151"/>
      <c r="W185" s="151"/>
      <c r="X185" s="119">
        <v>355</v>
      </c>
      <c r="Y185" s="151"/>
      <c r="Z185" s="151"/>
      <c r="AA185" s="151"/>
      <c r="AB185" s="151"/>
      <c r="AC185" s="151"/>
      <c r="AD185" s="151"/>
      <c r="AE185" s="151"/>
      <c r="AF185" s="151"/>
      <c r="AG185" s="151"/>
      <c r="AH185" s="151"/>
      <c r="AI185" s="151"/>
      <c r="AJ185" s="151"/>
      <c r="AK185" s="9"/>
      <c r="AL185" s="33">
        <f>SUM(F185:AJ185)</f>
        <v>355</v>
      </c>
      <c r="AM185" s="41"/>
    </row>
    <row r="186" spans="2:39" s="1" customFormat="1" x14ac:dyDescent="0.25">
      <c r="B186" s="128"/>
      <c r="C186" s="66" t="s">
        <v>33</v>
      </c>
      <c r="D186" s="127"/>
      <c r="E186" s="73"/>
      <c r="F186" s="75"/>
      <c r="G186" s="75"/>
      <c r="H186" s="75"/>
      <c r="I186" s="75"/>
      <c r="J186" s="75"/>
      <c r="K186" s="75"/>
      <c r="L186" s="75"/>
      <c r="M186" s="75"/>
      <c r="N186" s="75"/>
      <c r="O186" s="75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  <c r="AF186" s="151"/>
      <c r="AG186" s="151"/>
      <c r="AH186" s="151"/>
      <c r="AI186" s="151"/>
      <c r="AJ186" s="151"/>
      <c r="AK186" s="9"/>
      <c r="AL186" s="33" t="s">
        <v>33</v>
      </c>
      <c r="AM186" s="41"/>
    </row>
    <row r="187" spans="2:39" s="1" customFormat="1" x14ac:dyDescent="0.25">
      <c r="B187" s="128"/>
      <c r="C187" s="66" t="s">
        <v>121</v>
      </c>
      <c r="D187" s="127"/>
      <c r="E187" s="73" t="s">
        <v>36</v>
      </c>
      <c r="F187" s="10">
        <v>0</v>
      </c>
      <c r="G187" s="10">
        <v>7122</v>
      </c>
      <c r="H187" s="10">
        <v>4937</v>
      </c>
      <c r="I187" s="10">
        <v>1675</v>
      </c>
      <c r="J187" s="10">
        <v>1596</v>
      </c>
      <c r="K187" s="10">
        <v>13</v>
      </c>
      <c r="L187" s="10">
        <v>0</v>
      </c>
      <c r="M187" s="10">
        <v>0</v>
      </c>
      <c r="N187" s="10">
        <v>0</v>
      </c>
      <c r="O187" s="10">
        <v>0</v>
      </c>
      <c r="P187" s="151">
        <v>0</v>
      </c>
      <c r="Q187" s="119">
        <v>2367</v>
      </c>
      <c r="R187" s="119">
        <v>2365</v>
      </c>
      <c r="S187" s="119">
        <v>0</v>
      </c>
      <c r="T187" s="119">
        <v>0</v>
      </c>
      <c r="U187" s="119">
        <v>2352</v>
      </c>
      <c r="V187" s="119">
        <v>1769</v>
      </c>
      <c r="W187" s="119">
        <v>2363</v>
      </c>
      <c r="X187" s="119">
        <v>592</v>
      </c>
      <c r="Y187" s="119"/>
      <c r="Z187" s="151"/>
      <c r="AA187" s="151"/>
      <c r="AB187" s="151"/>
      <c r="AC187" s="151"/>
      <c r="AD187" s="151"/>
      <c r="AE187" s="151"/>
      <c r="AF187" s="151"/>
      <c r="AG187" s="151"/>
      <c r="AH187" s="151"/>
      <c r="AI187" s="151">
        <v>2353</v>
      </c>
      <c r="AJ187" s="151"/>
      <c r="AK187" s="9"/>
      <c r="AL187" s="36">
        <f>SUM(F187:AJ187)</f>
        <v>29504</v>
      </c>
      <c r="AM187" s="147"/>
    </row>
    <row r="188" spans="2:39" s="1" customFormat="1" x14ac:dyDescent="0.25">
      <c r="B188" s="128"/>
      <c r="C188" s="66" t="s">
        <v>32</v>
      </c>
      <c r="D188" s="127"/>
      <c r="E188" s="73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  <c r="AF188" s="151"/>
      <c r="AG188" s="151"/>
      <c r="AH188" s="151"/>
      <c r="AI188" s="151"/>
      <c r="AJ188" s="151"/>
      <c r="AK188" s="9"/>
      <c r="AL188" s="33" t="s">
        <v>32</v>
      </c>
      <c r="AM188" s="41"/>
    </row>
    <row r="189" spans="2:39" s="1" customFormat="1" x14ac:dyDescent="0.25">
      <c r="B189" s="128"/>
      <c r="C189" s="66" t="s">
        <v>121</v>
      </c>
      <c r="D189" s="127"/>
      <c r="E189" s="73" t="s">
        <v>32</v>
      </c>
      <c r="F189" s="10">
        <f>F187*12</f>
        <v>0</v>
      </c>
      <c r="G189" s="10">
        <f t="shared" ref="G189:AJ189" si="69">G187*12</f>
        <v>85464</v>
      </c>
      <c r="H189" s="10">
        <f t="shared" si="69"/>
        <v>59244</v>
      </c>
      <c r="I189" s="10">
        <f t="shared" si="69"/>
        <v>20100</v>
      </c>
      <c r="J189" s="10">
        <f t="shared" si="69"/>
        <v>19152</v>
      </c>
      <c r="K189" s="10">
        <f t="shared" si="69"/>
        <v>156</v>
      </c>
      <c r="L189" s="10">
        <f t="shared" si="69"/>
        <v>0</v>
      </c>
      <c r="M189" s="10">
        <f t="shared" si="69"/>
        <v>0</v>
      </c>
      <c r="N189" s="10">
        <f t="shared" si="69"/>
        <v>0</v>
      </c>
      <c r="O189" s="10">
        <f t="shared" si="69"/>
        <v>0</v>
      </c>
      <c r="P189" s="10">
        <f t="shared" si="69"/>
        <v>0</v>
      </c>
      <c r="Q189" s="10">
        <f t="shared" si="69"/>
        <v>28404</v>
      </c>
      <c r="R189" s="10">
        <f t="shared" si="69"/>
        <v>28380</v>
      </c>
      <c r="S189" s="10">
        <f t="shared" si="69"/>
        <v>0</v>
      </c>
      <c r="T189" s="10">
        <f t="shared" si="69"/>
        <v>0</v>
      </c>
      <c r="U189" s="10">
        <f t="shared" si="69"/>
        <v>28224</v>
      </c>
      <c r="V189" s="10">
        <f t="shared" si="69"/>
        <v>21228</v>
      </c>
      <c r="W189" s="10">
        <f t="shared" si="69"/>
        <v>28356</v>
      </c>
      <c r="X189" s="10">
        <f t="shared" si="69"/>
        <v>7104</v>
      </c>
      <c r="Y189" s="10">
        <f t="shared" si="69"/>
        <v>0</v>
      </c>
      <c r="Z189" s="10">
        <f t="shared" si="69"/>
        <v>0</v>
      </c>
      <c r="AA189" s="10">
        <f t="shared" si="69"/>
        <v>0</v>
      </c>
      <c r="AB189" s="10">
        <f t="shared" si="69"/>
        <v>0</v>
      </c>
      <c r="AC189" s="10">
        <f t="shared" si="69"/>
        <v>0</v>
      </c>
      <c r="AD189" s="10">
        <f t="shared" si="69"/>
        <v>0</v>
      </c>
      <c r="AE189" s="10">
        <f t="shared" si="69"/>
        <v>0</v>
      </c>
      <c r="AF189" s="10">
        <f t="shared" si="69"/>
        <v>0</v>
      </c>
      <c r="AG189" s="10">
        <f t="shared" si="69"/>
        <v>0</v>
      </c>
      <c r="AH189" s="10">
        <f t="shared" si="69"/>
        <v>0</v>
      </c>
      <c r="AI189" s="10">
        <f t="shared" si="69"/>
        <v>28236</v>
      </c>
      <c r="AJ189" s="10">
        <f t="shared" si="69"/>
        <v>0</v>
      </c>
      <c r="AK189" s="9"/>
      <c r="AL189" s="18">
        <f>AL187*24</f>
        <v>708096</v>
      </c>
      <c r="AM189" s="22"/>
    </row>
    <row r="190" spans="2:39" s="1" customFormat="1" x14ac:dyDescent="0.25">
      <c r="B190" s="128"/>
      <c r="C190" s="66" t="s">
        <v>41</v>
      </c>
      <c r="D190" s="127"/>
      <c r="E190" s="73" t="s">
        <v>40</v>
      </c>
      <c r="F190" s="10">
        <f>F187*45/1700</f>
        <v>0</v>
      </c>
      <c r="G190" s="10">
        <f t="shared" ref="G190:AJ190" si="70">G187*45/1700</f>
        <v>188.52352941176471</v>
      </c>
      <c r="H190" s="10">
        <f t="shared" si="70"/>
        <v>130.68529411764706</v>
      </c>
      <c r="I190" s="10">
        <f t="shared" si="70"/>
        <v>44.338235294117645</v>
      </c>
      <c r="J190" s="10">
        <f t="shared" si="70"/>
        <v>42.247058823529414</v>
      </c>
      <c r="K190" s="10">
        <f t="shared" si="70"/>
        <v>0.34411764705882353</v>
      </c>
      <c r="L190" s="10">
        <f t="shared" si="70"/>
        <v>0</v>
      </c>
      <c r="M190" s="10">
        <f t="shared" si="70"/>
        <v>0</v>
      </c>
      <c r="N190" s="10">
        <f t="shared" si="70"/>
        <v>0</v>
      </c>
      <c r="O190" s="10">
        <f t="shared" si="70"/>
        <v>0</v>
      </c>
      <c r="P190" s="10">
        <f t="shared" si="70"/>
        <v>0</v>
      </c>
      <c r="Q190" s="10">
        <f t="shared" si="70"/>
        <v>62.655882352941177</v>
      </c>
      <c r="R190" s="10">
        <f t="shared" si="70"/>
        <v>62.602941176470587</v>
      </c>
      <c r="S190" s="10">
        <f t="shared" si="70"/>
        <v>0</v>
      </c>
      <c r="T190" s="10">
        <f t="shared" si="70"/>
        <v>0</v>
      </c>
      <c r="U190" s="10">
        <f t="shared" si="70"/>
        <v>62.258823529411764</v>
      </c>
      <c r="V190" s="10">
        <f t="shared" si="70"/>
        <v>46.826470588235296</v>
      </c>
      <c r="W190" s="10">
        <f t="shared" si="70"/>
        <v>62.55</v>
      </c>
      <c r="X190" s="10">
        <f t="shared" si="70"/>
        <v>15.670588235294117</v>
      </c>
      <c r="Y190" s="10">
        <f t="shared" si="70"/>
        <v>0</v>
      </c>
      <c r="Z190" s="10">
        <f t="shared" si="70"/>
        <v>0</v>
      </c>
      <c r="AA190" s="10">
        <f t="shared" si="70"/>
        <v>0</v>
      </c>
      <c r="AB190" s="10">
        <f t="shared" si="70"/>
        <v>0</v>
      </c>
      <c r="AC190" s="10">
        <f t="shared" si="70"/>
        <v>0</v>
      </c>
      <c r="AD190" s="10">
        <f t="shared" si="70"/>
        <v>0</v>
      </c>
      <c r="AE190" s="10">
        <f t="shared" si="70"/>
        <v>0</v>
      </c>
      <c r="AF190" s="10">
        <f t="shared" si="70"/>
        <v>0</v>
      </c>
      <c r="AG190" s="10">
        <f t="shared" si="70"/>
        <v>0</v>
      </c>
      <c r="AH190" s="10">
        <f t="shared" si="70"/>
        <v>0</v>
      </c>
      <c r="AI190" s="10">
        <f t="shared" si="70"/>
        <v>62.285294117647062</v>
      </c>
      <c r="AJ190" s="10">
        <f t="shared" si="70"/>
        <v>0</v>
      </c>
      <c r="AK190" s="9"/>
      <c r="AL190" s="18">
        <f>SUM(F190:AJ190)</f>
        <v>780.98823529411766</v>
      </c>
      <c r="AM190" s="22"/>
    </row>
    <row r="191" spans="2:39" s="1" customFormat="1" x14ac:dyDescent="0.25">
      <c r="B191" s="128"/>
      <c r="C191" s="66" t="s">
        <v>39</v>
      </c>
      <c r="D191" s="127"/>
      <c r="E191" s="73" t="s">
        <v>38</v>
      </c>
      <c r="F191" s="10">
        <f>SUM(F187)/500</f>
        <v>0</v>
      </c>
      <c r="G191" s="10">
        <f t="shared" ref="G191:L191" si="71">SUM(G187)/500</f>
        <v>14.244</v>
      </c>
      <c r="H191" s="10">
        <f t="shared" si="71"/>
        <v>9.8740000000000006</v>
      </c>
      <c r="I191" s="10">
        <f t="shared" si="71"/>
        <v>3.35</v>
      </c>
      <c r="J191" s="10">
        <f t="shared" si="71"/>
        <v>3.1920000000000002</v>
      </c>
      <c r="K191" s="10">
        <f t="shared" si="71"/>
        <v>2.5999999999999999E-2</v>
      </c>
      <c r="L191" s="10">
        <f t="shared" si="71"/>
        <v>0</v>
      </c>
      <c r="M191" s="10">
        <f t="shared" ref="M191:AJ191" si="72">SUM(M187)/500</f>
        <v>0</v>
      </c>
      <c r="N191" s="10">
        <f t="shared" si="72"/>
        <v>0</v>
      </c>
      <c r="O191" s="10">
        <f t="shared" si="72"/>
        <v>0</v>
      </c>
      <c r="P191" s="10">
        <f t="shared" si="72"/>
        <v>0</v>
      </c>
      <c r="Q191" s="10">
        <f t="shared" si="72"/>
        <v>4.734</v>
      </c>
      <c r="R191" s="10">
        <f t="shared" si="72"/>
        <v>4.7300000000000004</v>
      </c>
      <c r="S191" s="10">
        <f t="shared" si="72"/>
        <v>0</v>
      </c>
      <c r="T191" s="10">
        <f t="shared" si="72"/>
        <v>0</v>
      </c>
      <c r="U191" s="10">
        <f t="shared" si="72"/>
        <v>4.7039999999999997</v>
      </c>
      <c r="V191" s="10">
        <f t="shared" si="72"/>
        <v>3.5379999999999998</v>
      </c>
      <c r="W191" s="10">
        <f t="shared" si="72"/>
        <v>4.726</v>
      </c>
      <c r="X191" s="10">
        <f t="shared" si="72"/>
        <v>1.1839999999999999</v>
      </c>
      <c r="Y191" s="10">
        <f t="shared" si="72"/>
        <v>0</v>
      </c>
      <c r="Z191" s="10">
        <f t="shared" si="72"/>
        <v>0</v>
      </c>
      <c r="AA191" s="10">
        <f t="shared" si="72"/>
        <v>0</v>
      </c>
      <c r="AB191" s="10">
        <f t="shared" si="72"/>
        <v>0</v>
      </c>
      <c r="AC191" s="10">
        <f t="shared" si="72"/>
        <v>0</v>
      </c>
      <c r="AD191" s="10">
        <f t="shared" si="72"/>
        <v>0</v>
      </c>
      <c r="AE191" s="10">
        <f t="shared" si="72"/>
        <v>0</v>
      </c>
      <c r="AF191" s="10">
        <f t="shared" si="72"/>
        <v>0</v>
      </c>
      <c r="AG191" s="10">
        <f t="shared" si="72"/>
        <v>0</v>
      </c>
      <c r="AH191" s="10">
        <f t="shared" si="72"/>
        <v>0</v>
      </c>
      <c r="AI191" s="10">
        <f t="shared" si="72"/>
        <v>4.7060000000000004</v>
      </c>
      <c r="AJ191" s="10">
        <f t="shared" si="72"/>
        <v>0</v>
      </c>
      <c r="AK191" s="9"/>
      <c r="AL191" s="89">
        <f>SUM(F191:AJ191)</f>
        <v>59.008000000000003</v>
      </c>
      <c r="AM191" s="22"/>
    </row>
    <row r="192" spans="2:39" s="1" customFormat="1" x14ac:dyDescent="0.25">
      <c r="B192" s="128"/>
      <c r="C192" s="65" t="s">
        <v>37</v>
      </c>
      <c r="D192" s="191"/>
      <c r="E192" s="194"/>
      <c r="F192" s="74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9"/>
      <c r="AL192" s="193" t="s">
        <v>34</v>
      </c>
      <c r="AM192" s="255"/>
    </row>
    <row r="193" spans="2:39 15081:15473" s="1" customFormat="1" x14ac:dyDescent="0.25">
      <c r="B193" s="128"/>
      <c r="C193" s="66" t="s">
        <v>33</v>
      </c>
      <c r="D193" s="127"/>
      <c r="E193" s="73"/>
      <c r="F193" s="15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  <c r="AF193" s="151"/>
      <c r="AG193" s="151"/>
      <c r="AH193" s="151"/>
      <c r="AI193" s="151"/>
      <c r="AJ193" s="151"/>
      <c r="AK193" s="9"/>
      <c r="AL193" s="33"/>
      <c r="AM193" s="41"/>
    </row>
    <row r="194" spans="2:39 15081:15473" s="1" customFormat="1" x14ac:dyDescent="0.25">
      <c r="B194" s="128"/>
      <c r="C194" s="66" t="s">
        <v>121</v>
      </c>
      <c r="D194" s="127"/>
      <c r="E194" s="73" t="s">
        <v>36</v>
      </c>
      <c r="F194" s="119">
        <v>0</v>
      </c>
      <c r="G194" s="119">
        <v>22</v>
      </c>
      <c r="H194" s="119">
        <v>17</v>
      </c>
      <c r="I194" s="119">
        <v>15</v>
      </c>
      <c r="J194" s="119">
        <v>22</v>
      </c>
      <c r="K194" s="119"/>
      <c r="L194" s="119"/>
      <c r="M194" s="119"/>
      <c r="N194" s="119"/>
      <c r="O194" s="119"/>
      <c r="P194" s="151"/>
      <c r="Q194" s="119">
        <v>2</v>
      </c>
      <c r="R194" s="119">
        <v>6</v>
      </c>
      <c r="S194" s="119"/>
      <c r="T194" s="119"/>
      <c r="U194" s="119">
        <v>2</v>
      </c>
      <c r="V194" s="119">
        <v>1</v>
      </c>
      <c r="W194" s="119">
        <v>13</v>
      </c>
      <c r="X194" s="119">
        <v>2</v>
      </c>
      <c r="Y194" s="119"/>
      <c r="Z194" s="151"/>
      <c r="AA194" s="151"/>
      <c r="AB194" s="151"/>
      <c r="AC194" s="151"/>
      <c r="AD194" s="151"/>
      <c r="AE194" s="151"/>
      <c r="AF194" s="151"/>
      <c r="AG194" s="151"/>
      <c r="AH194" s="151"/>
      <c r="AI194" s="151"/>
      <c r="AJ194" s="151"/>
      <c r="AK194" s="9"/>
      <c r="AL194" s="36">
        <f>SUM(F194:AJ194)</f>
        <v>102</v>
      </c>
      <c r="AM194" s="147"/>
    </row>
    <row r="195" spans="2:39 15081:15473" s="1" customFormat="1" x14ac:dyDescent="0.25">
      <c r="B195" s="128"/>
      <c r="C195" s="66" t="s">
        <v>32</v>
      </c>
      <c r="D195" s="127"/>
      <c r="E195" s="73"/>
      <c r="F195" s="15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  <c r="AF195" s="151"/>
      <c r="AG195" s="151"/>
      <c r="AH195" s="151"/>
      <c r="AI195" s="151"/>
      <c r="AJ195" s="151"/>
      <c r="AK195" s="9"/>
      <c r="AL195" s="33"/>
      <c r="AM195" s="41"/>
    </row>
    <row r="196" spans="2:39 15081:15473" s="1" customFormat="1" x14ac:dyDescent="0.25">
      <c r="B196" s="128"/>
      <c r="C196" s="66" t="s">
        <v>121</v>
      </c>
      <c r="D196" s="127"/>
      <c r="E196" s="73" t="s">
        <v>32</v>
      </c>
      <c r="F196" s="151">
        <f>F194*12</f>
        <v>0</v>
      </c>
      <c r="G196" s="151">
        <f t="shared" ref="G196:AJ196" si="73">G194*12</f>
        <v>264</v>
      </c>
      <c r="H196" s="151">
        <f t="shared" si="73"/>
        <v>204</v>
      </c>
      <c r="I196" s="151">
        <f t="shared" si="73"/>
        <v>180</v>
      </c>
      <c r="J196" s="151">
        <f t="shared" si="73"/>
        <v>264</v>
      </c>
      <c r="K196" s="151">
        <f t="shared" si="73"/>
        <v>0</v>
      </c>
      <c r="L196" s="151">
        <f t="shared" si="73"/>
        <v>0</v>
      </c>
      <c r="M196" s="151">
        <f t="shared" si="73"/>
        <v>0</v>
      </c>
      <c r="N196" s="151">
        <f t="shared" si="73"/>
        <v>0</v>
      </c>
      <c r="O196" s="151">
        <f t="shared" si="73"/>
        <v>0</v>
      </c>
      <c r="P196" s="151">
        <f t="shared" si="73"/>
        <v>0</v>
      </c>
      <c r="Q196" s="151">
        <f t="shared" si="73"/>
        <v>24</v>
      </c>
      <c r="R196" s="151">
        <f t="shared" si="73"/>
        <v>72</v>
      </c>
      <c r="S196" s="151">
        <f t="shared" si="73"/>
        <v>0</v>
      </c>
      <c r="T196" s="151">
        <f t="shared" si="73"/>
        <v>0</v>
      </c>
      <c r="U196" s="151">
        <f t="shared" si="73"/>
        <v>24</v>
      </c>
      <c r="V196" s="151">
        <f t="shared" si="73"/>
        <v>12</v>
      </c>
      <c r="W196" s="151">
        <f t="shared" si="73"/>
        <v>156</v>
      </c>
      <c r="X196" s="151">
        <f t="shared" si="73"/>
        <v>24</v>
      </c>
      <c r="Y196" s="151">
        <f t="shared" si="73"/>
        <v>0</v>
      </c>
      <c r="Z196" s="151">
        <f t="shared" si="73"/>
        <v>0</v>
      </c>
      <c r="AA196" s="151">
        <f t="shared" si="73"/>
        <v>0</v>
      </c>
      <c r="AB196" s="151">
        <f t="shared" si="73"/>
        <v>0</v>
      </c>
      <c r="AC196" s="151">
        <f t="shared" si="73"/>
        <v>0</v>
      </c>
      <c r="AD196" s="151">
        <f t="shared" si="73"/>
        <v>0</v>
      </c>
      <c r="AE196" s="151">
        <f t="shared" si="73"/>
        <v>0</v>
      </c>
      <c r="AF196" s="151">
        <f t="shared" si="73"/>
        <v>0</v>
      </c>
      <c r="AG196" s="151">
        <f t="shared" si="73"/>
        <v>0</v>
      </c>
      <c r="AH196" s="151">
        <f t="shared" si="73"/>
        <v>0</v>
      </c>
      <c r="AI196" s="151">
        <f t="shared" si="73"/>
        <v>0</v>
      </c>
      <c r="AJ196" s="151">
        <f t="shared" si="73"/>
        <v>0</v>
      </c>
      <c r="AK196" s="9"/>
      <c r="AL196" s="36">
        <f>SUM(F196:AJ196)</f>
        <v>1224</v>
      </c>
      <c r="AM196" s="147"/>
    </row>
    <row r="197" spans="2:39 15081:15473" s="1" customFormat="1" x14ac:dyDescent="0.25">
      <c r="B197" s="113"/>
      <c r="C197" s="93" t="s">
        <v>35</v>
      </c>
      <c r="D197" s="110"/>
      <c r="E197" s="270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  <c r="AA197" s="111"/>
      <c r="AB197" s="111"/>
      <c r="AC197" s="112"/>
      <c r="AD197" s="111"/>
      <c r="AE197" s="111"/>
      <c r="AF197" s="111"/>
      <c r="AG197" s="111"/>
      <c r="AH197" s="112"/>
      <c r="AI197" s="112"/>
      <c r="AJ197" s="112"/>
      <c r="AK197" s="22"/>
      <c r="AL197" s="35" t="s">
        <v>34</v>
      </c>
      <c r="AM197" s="238"/>
      <c r="VHA197"/>
      <c r="VHB197"/>
      <c r="VHC197"/>
      <c r="VHD197"/>
      <c r="VHE197"/>
      <c r="VHF197"/>
      <c r="VHG197"/>
      <c r="VHH197"/>
      <c r="VHI197"/>
      <c r="VHJ197"/>
      <c r="VHK197"/>
      <c r="VHL197"/>
      <c r="VHM197"/>
      <c r="VHN197"/>
      <c r="VHO197"/>
      <c r="VHP197"/>
      <c r="VHQ197"/>
      <c r="VHR197"/>
      <c r="VHS197"/>
      <c r="VHT197"/>
      <c r="VHU197"/>
      <c r="VHV197"/>
      <c r="VHW197"/>
      <c r="VHX197"/>
      <c r="VHY197"/>
      <c r="VHZ197"/>
      <c r="VIA197"/>
      <c r="VIB197"/>
      <c r="VIC197"/>
      <c r="VID197"/>
      <c r="VIE197"/>
      <c r="VIF197"/>
      <c r="VIG197"/>
      <c r="VIH197"/>
      <c r="VII197"/>
      <c r="VIJ197"/>
      <c r="VIK197"/>
      <c r="VIL197"/>
      <c r="VIM197"/>
      <c r="VIN197"/>
      <c r="VIO197"/>
      <c r="VIP197"/>
      <c r="VIQ197"/>
      <c r="VIR197"/>
      <c r="VIS197"/>
      <c r="VIT197"/>
      <c r="VIU197"/>
      <c r="VIV197"/>
      <c r="VIW197"/>
      <c r="VIX197"/>
      <c r="VIY197"/>
      <c r="VIZ197"/>
      <c r="VJA197"/>
      <c r="VJB197"/>
      <c r="VJC197"/>
      <c r="VJD197"/>
      <c r="VJE197"/>
      <c r="VJF197"/>
      <c r="VJG197"/>
      <c r="VJH197"/>
      <c r="VJI197"/>
      <c r="VJJ197"/>
      <c r="VJK197"/>
      <c r="VJL197"/>
      <c r="VJM197"/>
      <c r="VJN197"/>
      <c r="VJO197"/>
      <c r="VJP197"/>
      <c r="VJQ197"/>
      <c r="VJR197"/>
      <c r="VJS197"/>
      <c r="VJT197"/>
      <c r="VJU197"/>
      <c r="VJV197"/>
      <c r="VJW197"/>
      <c r="VJX197"/>
      <c r="VJY197"/>
      <c r="VJZ197"/>
      <c r="VKA197"/>
      <c r="VKB197"/>
      <c r="VKC197"/>
      <c r="VKD197"/>
      <c r="VKE197"/>
      <c r="VKF197"/>
      <c r="VKG197"/>
      <c r="VKH197"/>
      <c r="VKI197"/>
      <c r="VKJ197"/>
      <c r="VKK197"/>
      <c r="VKL197"/>
      <c r="VKM197"/>
      <c r="VKN197"/>
      <c r="VKO197"/>
      <c r="VKP197"/>
      <c r="VKQ197"/>
      <c r="VKR197"/>
      <c r="VKS197"/>
      <c r="VKT197"/>
      <c r="VKU197"/>
      <c r="VKV197"/>
      <c r="VKW197"/>
      <c r="VKX197"/>
      <c r="VKY197"/>
      <c r="VKZ197"/>
      <c r="VLA197"/>
      <c r="VLB197"/>
      <c r="VLC197"/>
      <c r="VLD197"/>
      <c r="VLE197"/>
      <c r="VLF197"/>
      <c r="VLG197"/>
      <c r="VLH197"/>
      <c r="VLI197"/>
      <c r="VLJ197"/>
      <c r="VLK197"/>
      <c r="VLL197"/>
      <c r="VLM197"/>
      <c r="VLN197"/>
      <c r="VLO197"/>
      <c r="VLP197"/>
      <c r="VLQ197"/>
      <c r="VLR197"/>
      <c r="VLS197"/>
      <c r="VLT197"/>
      <c r="VLU197"/>
      <c r="VLV197"/>
      <c r="VLW197"/>
      <c r="VLX197"/>
      <c r="VLY197"/>
      <c r="VLZ197"/>
      <c r="VMA197"/>
      <c r="VMB197"/>
      <c r="VMC197"/>
      <c r="VMD197"/>
      <c r="VME197"/>
      <c r="VMF197"/>
      <c r="VMG197"/>
      <c r="VMH197"/>
      <c r="VMI197"/>
      <c r="VMJ197"/>
      <c r="VMK197"/>
      <c r="VML197"/>
      <c r="VMM197"/>
      <c r="VMN197"/>
      <c r="VMO197"/>
      <c r="VMP197"/>
      <c r="VMQ197"/>
      <c r="VMR197"/>
      <c r="VMS197"/>
      <c r="VMT197"/>
      <c r="VMU197"/>
      <c r="VMV197"/>
      <c r="VMW197"/>
      <c r="VMX197"/>
      <c r="VMY197"/>
      <c r="VMZ197"/>
      <c r="VNA197"/>
      <c r="VNB197"/>
      <c r="VNC197"/>
      <c r="VND197"/>
      <c r="VNE197"/>
      <c r="VNF197"/>
      <c r="VNG197"/>
      <c r="VNH197"/>
      <c r="VNI197"/>
      <c r="VNJ197"/>
      <c r="VNK197"/>
      <c r="VNL197"/>
      <c r="VNM197"/>
      <c r="VNN197"/>
      <c r="VNO197"/>
      <c r="VNP197"/>
      <c r="VNQ197"/>
      <c r="VNR197"/>
      <c r="VNS197"/>
      <c r="VNT197"/>
      <c r="VNU197"/>
      <c r="VNV197"/>
      <c r="VNW197"/>
      <c r="VNX197"/>
      <c r="VNY197"/>
      <c r="VNZ197"/>
      <c r="VOA197"/>
      <c r="VOB197"/>
      <c r="VOC197"/>
      <c r="VOD197"/>
      <c r="VOE197"/>
      <c r="VOF197"/>
      <c r="VOG197"/>
      <c r="VOH197"/>
      <c r="VOI197"/>
      <c r="VOJ197"/>
      <c r="VOK197"/>
      <c r="VOL197"/>
      <c r="VOM197"/>
      <c r="VON197"/>
      <c r="VOO197"/>
      <c r="VOP197"/>
      <c r="VOQ197"/>
      <c r="VOR197"/>
      <c r="VOS197"/>
      <c r="VOT197"/>
      <c r="VOU197"/>
      <c r="VOV197"/>
      <c r="VOW197"/>
      <c r="VOX197"/>
      <c r="VOY197"/>
      <c r="VOZ197"/>
      <c r="VPA197"/>
      <c r="VPB197"/>
      <c r="VPC197"/>
      <c r="VPD197"/>
      <c r="VPE197"/>
      <c r="VPF197"/>
      <c r="VPG197"/>
      <c r="VPH197"/>
      <c r="VPI197"/>
      <c r="VPJ197"/>
      <c r="VPK197"/>
      <c r="VPL197"/>
      <c r="VPM197"/>
      <c r="VPN197"/>
      <c r="VPO197"/>
      <c r="VPP197"/>
      <c r="VPQ197"/>
      <c r="VPR197"/>
      <c r="VPS197"/>
      <c r="VPT197"/>
      <c r="VPU197"/>
      <c r="VPV197"/>
      <c r="VPW197"/>
      <c r="VPX197"/>
      <c r="VPY197"/>
      <c r="VPZ197"/>
      <c r="VQA197"/>
      <c r="VQB197"/>
      <c r="VQC197"/>
      <c r="VQD197"/>
      <c r="VQE197"/>
      <c r="VQF197"/>
      <c r="VQG197"/>
      <c r="VQH197"/>
      <c r="VQI197"/>
      <c r="VQJ197"/>
      <c r="VQK197"/>
      <c r="VQL197"/>
      <c r="VQM197"/>
      <c r="VQN197"/>
      <c r="VQO197"/>
      <c r="VQP197"/>
      <c r="VQQ197"/>
      <c r="VQR197"/>
      <c r="VQS197"/>
      <c r="VQT197"/>
      <c r="VQU197"/>
      <c r="VQV197"/>
      <c r="VQW197"/>
      <c r="VQX197"/>
      <c r="VQY197"/>
      <c r="VQZ197"/>
      <c r="VRA197"/>
      <c r="VRB197"/>
      <c r="VRC197"/>
      <c r="VRD197"/>
      <c r="VRE197"/>
      <c r="VRF197"/>
      <c r="VRG197"/>
      <c r="VRH197"/>
      <c r="VRI197"/>
      <c r="VRJ197"/>
      <c r="VRK197"/>
      <c r="VRL197"/>
      <c r="VRM197"/>
      <c r="VRN197"/>
      <c r="VRO197"/>
      <c r="VRP197"/>
      <c r="VRQ197"/>
      <c r="VRR197"/>
      <c r="VRS197"/>
      <c r="VRT197"/>
      <c r="VRU197"/>
      <c r="VRV197"/>
      <c r="VRW197"/>
      <c r="VRX197"/>
      <c r="VRY197"/>
      <c r="VRZ197"/>
      <c r="VSA197"/>
      <c r="VSB197"/>
      <c r="VSC197"/>
      <c r="VSD197"/>
      <c r="VSE197"/>
      <c r="VSF197"/>
      <c r="VSG197"/>
      <c r="VSH197"/>
      <c r="VSI197"/>
      <c r="VSJ197"/>
      <c r="VSK197"/>
      <c r="VSL197"/>
      <c r="VSM197"/>
      <c r="VSN197"/>
      <c r="VSO197"/>
      <c r="VSP197"/>
      <c r="VSQ197"/>
      <c r="VSR197"/>
      <c r="VSS197"/>
      <c r="VST197"/>
      <c r="VSU197"/>
      <c r="VSV197"/>
      <c r="VSW197"/>
      <c r="VSX197"/>
      <c r="VSY197"/>
      <c r="VSZ197"/>
      <c r="VTA197"/>
      <c r="VTB197"/>
      <c r="VTC197"/>
      <c r="VTD197"/>
      <c r="VTE197"/>
      <c r="VTF197"/>
      <c r="VTG197"/>
      <c r="VTH197"/>
      <c r="VTI197"/>
      <c r="VTJ197"/>
      <c r="VTK197"/>
      <c r="VTL197"/>
      <c r="VTM197"/>
      <c r="VTN197"/>
      <c r="VTO197"/>
      <c r="VTP197"/>
      <c r="VTQ197"/>
      <c r="VTR197"/>
      <c r="VTS197"/>
      <c r="VTT197"/>
      <c r="VTU197"/>
      <c r="VTV197"/>
      <c r="VTW197"/>
      <c r="VTX197"/>
      <c r="VTY197"/>
      <c r="VTZ197"/>
      <c r="VUA197"/>
      <c r="VUB197"/>
      <c r="VUC197"/>
      <c r="VUD197"/>
      <c r="VUE197"/>
      <c r="VUF197"/>
      <c r="VUG197"/>
      <c r="VUH197"/>
      <c r="VUI197"/>
      <c r="VUJ197"/>
      <c r="VUK197"/>
      <c r="VUL197"/>
      <c r="VUM197"/>
      <c r="VUN197"/>
      <c r="VUO197"/>
      <c r="VUP197"/>
      <c r="VUQ197"/>
      <c r="VUR197"/>
      <c r="VUS197"/>
      <c r="VUT197"/>
      <c r="VUU197"/>
      <c r="VUV197"/>
      <c r="VUW197"/>
      <c r="VUX197"/>
      <c r="VUY197"/>
      <c r="VUZ197"/>
      <c r="VVA197"/>
      <c r="VVB197"/>
      <c r="VVC197"/>
      <c r="VVD197"/>
      <c r="VVE197"/>
      <c r="VVF197"/>
      <c r="VVG197"/>
      <c r="VVH197"/>
      <c r="VVI197"/>
      <c r="VVJ197"/>
      <c r="VVK197"/>
      <c r="VVL197"/>
      <c r="VVM197"/>
      <c r="VVN197"/>
      <c r="VVO197"/>
      <c r="VVP197"/>
      <c r="VVQ197"/>
      <c r="VVR197"/>
      <c r="VVS197"/>
      <c r="VVT197"/>
      <c r="VVU197"/>
      <c r="VVV197"/>
      <c r="VVW197"/>
      <c r="VVX197"/>
      <c r="VVY197"/>
      <c r="VVZ197"/>
      <c r="VWA197"/>
      <c r="VWB197"/>
      <c r="VWC197"/>
    </row>
    <row r="198" spans="2:39 15081:15473" s="1" customFormat="1" x14ac:dyDescent="0.25">
      <c r="B198" s="128"/>
      <c r="C198" s="182" t="s">
        <v>33</v>
      </c>
      <c r="D198" s="127"/>
      <c r="E198" s="73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  <c r="AF198" s="151"/>
      <c r="AG198" s="151"/>
      <c r="AH198" s="151"/>
      <c r="AI198" s="151"/>
      <c r="AJ198" s="151"/>
      <c r="AK198" s="9"/>
      <c r="AL198" s="36"/>
      <c r="AM198" s="147"/>
    </row>
    <row r="199" spans="2:39 15081:15473" s="1" customFormat="1" x14ac:dyDescent="0.25">
      <c r="B199" s="128"/>
      <c r="C199" s="96" t="s">
        <v>31</v>
      </c>
      <c r="D199" s="127">
        <v>0.3</v>
      </c>
      <c r="E199" s="177" t="s">
        <v>29</v>
      </c>
      <c r="F199" s="151" t="e">
        <f>F194/F187*100</f>
        <v>#DIV/0!</v>
      </c>
      <c r="G199" s="151">
        <f t="shared" ref="G199:AJ199" si="74">G194/G187*100</f>
        <v>0.3089019938219601</v>
      </c>
      <c r="H199" s="151">
        <f t="shared" si="74"/>
        <v>0.34433866720680578</v>
      </c>
      <c r="I199" s="151">
        <f t="shared" si="74"/>
        <v>0.89552238805970152</v>
      </c>
      <c r="J199" s="151">
        <f t="shared" si="74"/>
        <v>1.3784461152882206</v>
      </c>
      <c r="K199" s="151">
        <f t="shared" si="74"/>
        <v>0</v>
      </c>
      <c r="L199" s="151" t="e">
        <f t="shared" si="74"/>
        <v>#DIV/0!</v>
      </c>
      <c r="M199" s="151" t="e">
        <f t="shared" si="74"/>
        <v>#DIV/0!</v>
      </c>
      <c r="N199" s="151" t="e">
        <f t="shared" si="74"/>
        <v>#DIV/0!</v>
      </c>
      <c r="O199" s="151" t="e">
        <f t="shared" si="74"/>
        <v>#DIV/0!</v>
      </c>
      <c r="P199" s="151" t="e">
        <f t="shared" si="74"/>
        <v>#DIV/0!</v>
      </c>
      <c r="Q199" s="151">
        <f t="shared" si="74"/>
        <v>8.4495141529362064E-2</v>
      </c>
      <c r="R199" s="151">
        <f t="shared" si="74"/>
        <v>0.2536997885835095</v>
      </c>
      <c r="S199" s="151" t="e">
        <f t="shared" si="74"/>
        <v>#DIV/0!</v>
      </c>
      <c r="T199" s="151" t="e">
        <f t="shared" si="74"/>
        <v>#DIV/0!</v>
      </c>
      <c r="U199" s="151">
        <f t="shared" si="74"/>
        <v>8.5034013605442174E-2</v>
      </c>
      <c r="V199" s="151">
        <f t="shared" si="74"/>
        <v>5.652911249293386E-2</v>
      </c>
      <c r="W199" s="151">
        <f t="shared" si="74"/>
        <v>0.5501481168006771</v>
      </c>
      <c r="X199" s="151">
        <f>X194/X187*100</f>
        <v>0.33783783783783783</v>
      </c>
      <c r="Y199" s="151" t="e">
        <f t="shared" si="74"/>
        <v>#DIV/0!</v>
      </c>
      <c r="Z199" s="151" t="e">
        <f t="shared" si="74"/>
        <v>#DIV/0!</v>
      </c>
      <c r="AA199" s="151" t="e">
        <f t="shared" si="74"/>
        <v>#DIV/0!</v>
      </c>
      <c r="AB199" s="151" t="e">
        <f t="shared" si="74"/>
        <v>#DIV/0!</v>
      </c>
      <c r="AC199" s="151" t="e">
        <f t="shared" si="74"/>
        <v>#DIV/0!</v>
      </c>
      <c r="AD199" s="151" t="e">
        <f t="shared" si="74"/>
        <v>#DIV/0!</v>
      </c>
      <c r="AE199" s="151" t="e">
        <f t="shared" si="74"/>
        <v>#DIV/0!</v>
      </c>
      <c r="AF199" s="151" t="e">
        <f t="shared" si="74"/>
        <v>#DIV/0!</v>
      </c>
      <c r="AG199" s="151" t="e">
        <f t="shared" si="74"/>
        <v>#DIV/0!</v>
      </c>
      <c r="AH199" s="151" t="e">
        <f t="shared" si="74"/>
        <v>#DIV/0!</v>
      </c>
      <c r="AI199" s="201">
        <f>AI194/AI187*100</f>
        <v>0</v>
      </c>
      <c r="AJ199" s="151" t="e">
        <f t="shared" si="74"/>
        <v>#DIV/0!</v>
      </c>
      <c r="AK199" s="9"/>
      <c r="AL199" s="36"/>
      <c r="AM199" s="147"/>
    </row>
    <row r="200" spans="2:39 15081:15473" s="1" customFormat="1" x14ac:dyDescent="0.25">
      <c r="B200" s="128"/>
      <c r="C200" s="182" t="s">
        <v>32</v>
      </c>
      <c r="D200" s="127"/>
      <c r="E200" s="73"/>
      <c r="F200" s="15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  <c r="AF200" s="151"/>
      <c r="AG200" s="151"/>
      <c r="AH200" s="151"/>
      <c r="AI200" s="151"/>
      <c r="AJ200" s="151"/>
      <c r="AK200" s="9"/>
      <c r="AL200" s="36"/>
      <c r="AM200" s="147"/>
    </row>
    <row r="201" spans="2:39 15081:15473" s="1" customFormat="1" x14ac:dyDescent="0.25">
      <c r="B201" s="128"/>
      <c r="C201" s="96" t="s">
        <v>31</v>
      </c>
      <c r="D201" s="127">
        <v>0.5</v>
      </c>
      <c r="E201" s="177" t="s">
        <v>29</v>
      </c>
      <c r="F201" s="151" t="e">
        <f>F196/F189*100</f>
        <v>#DIV/0!</v>
      </c>
      <c r="G201" s="151">
        <f t="shared" ref="G201:AJ201" si="75">G196/G189*100</f>
        <v>0.3089019938219601</v>
      </c>
      <c r="H201" s="151">
        <f t="shared" si="75"/>
        <v>0.34433866720680578</v>
      </c>
      <c r="I201" s="151">
        <f t="shared" si="75"/>
        <v>0.89552238805970152</v>
      </c>
      <c r="J201" s="151">
        <f t="shared" si="75"/>
        <v>1.3784461152882206</v>
      </c>
      <c r="K201" s="151">
        <f t="shared" si="75"/>
        <v>0</v>
      </c>
      <c r="L201" s="151" t="e">
        <f t="shared" si="75"/>
        <v>#DIV/0!</v>
      </c>
      <c r="M201" s="151" t="e">
        <f t="shared" si="75"/>
        <v>#DIV/0!</v>
      </c>
      <c r="N201" s="151" t="e">
        <f t="shared" si="75"/>
        <v>#DIV/0!</v>
      </c>
      <c r="O201" s="151" t="e">
        <f t="shared" si="75"/>
        <v>#DIV/0!</v>
      </c>
      <c r="P201" s="151" t="e">
        <f t="shared" si="75"/>
        <v>#DIV/0!</v>
      </c>
      <c r="Q201" s="151">
        <f t="shared" si="75"/>
        <v>8.4495141529362064E-2</v>
      </c>
      <c r="R201" s="151">
        <f t="shared" si="75"/>
        <v>0.2536997885835095</v>
      </c>
      <c r="S201" s="151" t="e">
        <f t="shared" si="75"/>
        <v>#DIV/0!</v>
      </c>
      <c r="T201" s="151" t="e">
        <f t="shared" si="75"/>
        <v>#DIV/0!</v>
      </c>
      <c r="U201" s="151">
        <f t="shared" si="75"/>
        <v>8.5034013605442174E-2</v>
      </c>
      <c r="V201" s="151">
        <f t="shared" si="75"/>
        <v>5.652911249293386E-2</v>
      </c>
      <c r="W201" s="151">
        <f t="shared" si="75"/>
        <v>0.5501481168006771</v>
      </c>
      <c r="X201" s="151">
        <f t="shared" si="75"/>
        <v>0.33783783783783783</v>
      </c>
      <c r="Y201" s="151" t="e">
        <f t="shared" si="75"/>
        <v>#DIV/0!</v>
      </c>
      <c r="Z201" s="151" t="e">
        <f t="shared" si="75"/>
        <v>#DIV/0!</v>
      </c>
      <c r="AA201" s="151" t="e">
        <f t="shared" si="75"/>
        <v>#DIV/0!</v>
      </c>
      <c r="AB201" s="151" t="e">
        <f t="shared" si="75"/>
        <v>#DIV/0!</v>
      </c>
      <c r="AC201" s="151" t="e">
        <f t="shared" si="75"/>
        <v>#DIV/0!</v>
      </c>
      <c r="AD201" s="151" t="e">
        <f t="shared" si="75"/>
        <v>#DIV/0!</v>
      </c>
      <c r="AE201" s="151" t="e">
        <f t="shared" si="75"/>
        <v>#DIV/0!</v>
      </c>
      <c r="AF201" s="151" t="e">
        <f t="shared" si="75"/>
        <v>#DIV/0!</v>
      </c>
      <c r="AG201" s="151" t="e">
        <f t="shared" si="75"/>
        <v>#DIV/0!</v>
      </c>
      <c r="AH201" s="151" t="e">
        <f t="shared" si="75"/>
        <v>#DIV/0!</v>
      </c>
      <c r="AI201" s="151">
        <f t="shared" si="75"/>
        <v>0</v>
      </c>
      <c r="AJ201" s="151" t="e">
        <f t="shared" si="75"/>
        <v>#DIV/0!</v>
      </c>
      <c r="AK201" s="9"/>
      <c r="AL201" s="36"/>
      <c r="AM201" s="147"/>
    </row>
    <row r="202" spans="2:39 15081:15473" s="1" customFormat="1" x14ac:dyDescent="0.25">
      <c r="B202" s="128"/>
      <c r="C202" s="286" t="s">
        <v>128</v>
      </c>
      <c r="D202" s="287"/>
      <c r="E202" s="288" t="s">
        <v>16</v>
      </c>
      <c r="F202" s="289">
        <f t="shared" ref="F202:AJ202" si="76">F181</f>
        <v>0</v>
      </c>
      <c r="G202" s="289">
        <f t="shared" si="76"/>
        <v>77332</v>
      </c>
      <c r="H202" s="289">
        <f t="shared" si="76"/>
        <v>52039</v>
      </c>
      <c r="I202" s="289">
        <f t="shared" si="76"/>
        <v>0</v>
      </c>
      <c r="J202" s="289">
        <f t="shared" si="76"/>
        <v>32437</v>
      </c>
      <c r="K202" s="289">
        <f t="shared" si="76"/>
        <v>0</v>
      </c>
      <c r="L202" s="289">
        <f t="shared" si="76"/>
        <v>30124</v>
      </c>
      <c r="M202" s="289">
        <f t="shared" si="76"/>
        <v>0</v>
      </c>
      <c r="N202" s="289">
        <f t="shared" si="76"/>
        <v>0</v>
      </c>
      <c r="O202" s="289">
        <f t="shared" si="76"/>
        <v>0</v>
      </c>
      <c r="P202" s="289">
        <f t="shared" si="76"/>
        <v>0</v>
      </c>
      <c r="Q202" s="289">
        <f t="shared" si="76"/>
        <v>0</v>
      </c>
      <c r="R202" s="289">
        <f t="shared" si="76"/>
        <v>32885</v>
      </c>
      <c r="S202" s="289">
        <f t="shared" si="76"/>
        <v>0</v>
      </c>
      <c r="T202" s="289">
        <f t="shared" si="76"/>
        <v>0</v>
      </c>
      <c r="U202" s="289">
        <f t="shared" si="76"/>
        <v>31823</v>
      </c>
      <c r="V202" s="289">
        <f t="shared" si="76"/>
        <v>32192</v>
      </c>
      <c r="W202" s="289">
        <f t="shared" si="76"/>
        <v>0</v>
      </c>
      <c r="X202" s="289">
        <f t="shared" si="76"/>
        <v>0</v>
      </c>
      <c r="Y202" s="289">
        <f t="shared" si="76"/>
        <v>0</v>
      </c>
      <c r="Z202" s="289">
        <f t="shared" si="76"/>
        <v>0</v>
      </c>
      <c r="AA202" s="289">
        <f t="shared" si="76"/>
        <v>0</v>
      </c>
      <c r="AB202" s="289">
        <f t="shared" si="76"/>
        <v>0</v>
      </c>
      <c r="AC202" s="289">
        <f t="shared" si="76"/>
        <v>0</v>
      </c>
      <c r="AD202" s="289">
        <f t="shared" si="76"/>
        <v>0</v>
      </c>
      <c r="AE202" s="289">
        <f t="shared" si="76"/>
        <v>0</v>
      </c>
      <c r="AF202" s="289">
        <f t="shared" si="76"/>
        <v>0</v>
      </c>
      <c r="AG202" s="289">
        <f t="shared" si="76"/>
        <v>31143</v>
      </c>
      <c r="AH202" s="289">
        <f t="shared" si="76"/>
        <v>0</v>
      </c>
      <c r="AI202" s="289">
        <f t="shared" si="76"/>
        <v>0</v>
      </c>
      <c r="AJ202" s="289">
        <f t="shared" si="76"/>
        <v>34218</v>
      </c>
      <c r="AK202" s="9"/>
      <c r="AL202" s="290">
        <f>SUM(F202:AJ202)</f>
        <v>354193</v>
      </c>
      <c r="AM202" s="254"/>
    </row>
    <row r="203" spans="2:39 15081:15473" s="1" customFormat="1" x14ac:dyDescent="0.25">
      <c r="B203" s="128"/>
      <c r="C203" s="291" t="s">
        <v>122</v>
      </c>
      <c r="D203" s="292"/>
      <c r="E203" s="293" t="s">
        <v>16</v>
      </c>
      <c r="F203" s="294">
        <f t="shared" ref="F203:AJ203" si="77">F126</f>
        <v>0</v>
      </c>
      <c r="G203" s="294">
        <f t="shared" si="77"/>
        <v>0</v>
      </c>
      <c r="H203" s="294">
        <f t="shared" si="77"/>
        <v>0</v>
      </c>
      <c r="I203" s="294">
        <f t="shared" si="77"/>
        <v>0</v>
      </c>
      <c r="J203" s="294">
        <f t="shared" si="77"/>
        <v>0</v>
      </c>
      <c r="K203" s="294">
        <f t="shared" si="77"/>
        <v>0</v>
      </c>
      <c r="L203" s="294">
        <f t="shared" si="77"/>
        <v>0</v>
      </c>
      <c r="M203" s="294">
        <f t="shared" si="77"/>
        <v>0</v>
      </c>
      <c r="N203" s="294">
        <f t="shared" si="77"/>
        <v>0</v>
      </c>
      <c r="O203" s="294">
        <f t="shared" si="77"/>
        <v>0</v>
      </c>
      <c r="P203" s="294">
        <f t="shared" si="77"/>
        <v>0</v>
      </c>
      <c r="Q203" s="294">
        <f t="shared" si="77"/>
        <v>0</v>
      </c>
      <c r="R203" s="294">
        <f t="shared" si="77"/>
        <v>0</v>
      </c>
      <c r="S203" s="294">
        <f t="shared" si="77"/>
        <v>0</v>
      </c>
      <c r="T203" s="294">
        <f t="shared" si="77"/>
        <v>0</v>
      </c>
      <c r="U203" s="294">
        <f t="shared" si="77"/>
        <v>0</v>
      </c>
      <c r="V203" s="294">
        <f t="shared" si="77"/>
        <v>192993</v>
      </c>
      <c r="W203" s="294">
        <f t="shared" si="77"/>
        <v>0</v>
      </c>
      <c r="X203" s="294">
        <f t="shared" si="77"/>
        <v>0</v>
      </c>
      <c r="Y203" s="294">
        <f t="shared" si="77"/>
        <v>0</v>
      </c>
      <c r="Z203" s="294">
        <f t="shared" si="77"/>
        <v>0</v>
      </c>
      <c r="AA203" s="294">
        <f t="shared" si="77"/>
        <v>0</v>
      </c>
      <c r="AB203" s="294">
        <f t="shared" si="77"/>
        <v>0</v>
      </c>
      <c r="AC203" s="294">
        <f t="shared" si="77"/>
        <v>0</v>
      </c>
      <c r="AD203" s="294">
        <f t="shared" si="77"/>
        <v>0</v>
      </c>
      <c r="AE203" s="294">
        <f t="shared" si="77"/>
        <v>0</v>
      </c>
      <c r="AF203" s="294">
        <f t="shared" si="77"/>
        <v>0</v>
      </c>
      <c r="AG203" s="294">
        <f t="shared" si="77"/>
        <v>0</v>
      </c>
      <c r="AH203" s="294">
        <f t="shared" si="77"/>
        <v>0</v>
      </c>
      <c r="AI203" s="294">
        <f t="shared" si="77"/>
        <v>0</v>
      </c>
      <c r="AJ203" s="294">
        <f t="shared" si="77"/>
        <v>0</v>
      </c>
      <c r="AK203" s="9"/>
      <c r="AL203" s="295">
        <f>SUM(F203:AJ203)</f>
        <v>192993</v>
      </c>
      <c r="AM203" s="254"/>
    </row>
    <row r="204" spans="2:39 15081:15473" s="1" customFormat="1" x14ac:dyDescent="0.25">
      <c r="B204" s="128"/>
      <c r="C204" s="296" t="s">
        <v>123</v>
      </c>
      <c r="D204" s="297"/>
      <c r="E204" s="298" t="s">
        <v>16</v>
      </c>
      <c r="F204" s="299">
        <f t="shared" ref="F204:AJ204" si="78">F71</f>
        <v>181732</v>
      </c>
      <c r="G204" s="299">
        <f t="shared" si="78"/>
        <v>0</v>
      </c>
      <c r="H204" s="299">
        <f t="shared" si="78"/>
        <v>0</v>
      </c>
      <c r="I204" s="299">
        <f t="shared" si="78"/>
        <v>0</v>
      </c>
      <c r="J204" s="299">
        <f t="shared" si="78"/>
        <v>0</v>
      </c>
      <c r="K204" s="294">
        <f t="shared" si="78"/>
        <v>0</v>
      </c>
      <c r="L204" s="294">
        <f t="shared" si="78"/>
        <v>0</v>
      </c>
      <c r="M204" s="294">
        <f t="shared" si="78"/>
        <v>0</v>
      </c>
      <c r="N204" s="294">
        <f t="shared" si="78"/>
        <v>0</v>
      </c>
      <c r="O204" s="294">
        <f t="shared" si="78"/>
        <v>0</v>
      </c>
      <c r="P204" s="294">
        <f t="shared" si="78"/>
        <v>0</v>
      </c>
      <c r="Q204" s="294">
        <f t="shared" si="78"/>
        <v>0</v>
      </c>
      <c r="R204" s="294">
        <f t="shared" si="78"/>
        <v>0</v>
      </c>
      <c r="S204" s="294">
        <f t="shared" si="78"/>
        <v>0</v>
      </c>
      <c r="T204" s="294">
        <f t="shared" si="78"/>
        <v>0</v>
      </c>
      <c r="U204" s="294">
        <f t="shared" si="78"/>
        <v>0</v>
      </c>
      <c r="V204" s="294">
        <f t="shared" si="78"/>
        <v>0</v>
      </c>
      <c r="W204" s="294">
        <f t="shared" si="78"/>
        <v>0</v>
      </c>
      <c r="X204" s="294">
        <f t="shared" si="78"/>
        <v>0</v>
      </c>
      <c r="Y204" s="294">
        <f t="shared" si="78"/>
        <v>0</v>
      </c>
      <c r="Z204" s="294">
        <f t="shared" si="78"/>
        <v>0</v>
      </c>
      <c r="AA204" s="294">
        <f t="shared" si="78"/>
        <v>0</v>
      </c>
      <c r="AB204" s="294">
        <f t="shared" si="78"/>
        <v>0</v>
      </c>
      <c r="AC204" s="294">
        <f t="shared" si="78"/>
        <v>0</v>
      </c>
      <c r="AD204" s="294">
        <f t="shared" si="78"/>
        <v>0</v>
      </c>
      <c r="AE204" s="294">
        <f t="shared" si="78"/>
        <v>0</v>
      </c>
      <c r="AF204" s="294">
        <f t="shared" si="78"/>
        <v>0</v>
      </c>
      <c r="AG204" s="294">
        <f t="shared" si="78"/>
        <v>0</v>
      </c>
      <c r="AH204" s="294">
        <f t="shared" si="78"/>
        <v>0</v>
      </c>
      <c r="AI204" s="294">
        <f t="shared" si="78"/>
        <v>0</v>
      </c>
      <c r="AJ204" s="294">
        <f t="shared" si="78"/>
        <v>0</v>
      </c>
      <c r="AK204" s="9"/>
      <c r="AL204" s="300">
        <f>SUM(F204:AJ204)</f>
        <v>181732</v>
      </c>
      <c r="AM204" s="254"/>
    </row>
    <row r="205" spans="2:39 15081:15473" s="1" customFormat="1" x14ac:dyDescent="0.25">
      <c r="B205" s="128"/>
      <c r="C205" s="301" t="s">
        <v>124</v>
      </c>
      <c r="D205" s="302"/>
      <c r="E205" s="303" t="s">
        <v>119</v>
      </c>
      <c r="F205" s="304">
        <f>F202+F203+F204</f>
        <v>181732</v>
      </c>
      <c r="G205" s="304">
        <f t="shared" ref="G205:AJ205" si="79">G202+G203+G204</f>
        <v>77332</v>
      </c>
      <c r="H205" s="304">
        <f t="shared" si="79"/>
        <v>52039</v>
      </c>
      <c r="I205" s="304">
        <f t="shared" si="79"/>
        <v>0</v>
      </c>
      <c r="J205" s="304">
        <f t="shared" si="79"/>
        <v>32437</v>
      </c>
      <c r="K205" s="304">
        <f t="shared" si="79"/>
        <v>0</v>
      </c>
      <c r="L205" s="304">
        <f t="shared" si="79"/>
        <v>30124</v>
      </c>
      <c r="M205" s="304">
        <f t="shared" si="79"/>
        <v>0</v>
      </c>
      <c r="N205" s="304">
        <f t="shared" si="79"/>
        <v>0</v>
      </c>
      <c r="O205" s="304">
        <f t="shared" si="79"/>
        <v>0</v>
      </c>
      <c r="P205" s="304">
        <f t="shared" si="79"/>
        <v>0</v>
      </c>
      <c r="Q205" s="304">
        <f t="shared" si="79"/>
        <v>0</v>
      </c>
      <c r="R205" s="304">
        <f t="shared" si="79"/>
        <v>32885</v>
      </c>
      <c r="S205" s="304">
        <f t="shared" si="79"/>
        <v>0</v>
      </c>
      <c r="T205" s="304">
        <f t="shared" si="79"/>
        <v>0</v>
      </c>
      <c r="U205" s="304">
        <f t="shared" si="79"/>
        <v>31823</v>
      </c>
      <c r="V205" s="304">
        <f>V202+V203+V204</f>
        <v>225185</v>
      </c>
      <c r="W205" s="304">
        <f t="shared" si="79"/>
        <v>0</v>
      </c>
      <c r="X205" s="304">
        <f t="shared" si="79"/>
        <v>0</v>
      </c>
      <c r="Y205" s="304">
        <f t="shared" si="79"/>
        <v>0</v>
      </c>
      <c r="Z205" s="304">
        <f t="shared" si="79"/>
        <v>0</v>
      </c>
      <c r="AA205" s="304">
        <f t="shared" si="79"/>
        <v>0</v>
      </c>
      <c r="AB205" s="304">
        <f t="shared" si="79"/>
        <v>0</v>
      </c>
      <c r="AC205" s="304">
        <f t="shared" si="79"/>
        <v>0</v>
      </c>
      <c r="AD205" s="304">
        <f t="shared" si="79"/>
        <v>0</v>
      </c>
      <c r="AE205" s="304">
        <f t="shared" si="79"/>
        <v>0</v>
      </c>
      <c r="AF205" s="304">
        <f t="shared" si="79"/>
        <v>0</v>
      </c>
      <c r="AG205" s="304">
        <f t="shared" si="79"/>
        <v>31143</v>
      </c>
      <c r="AH205" s="304">
        <f t="shared" si="79"/>
        <v>0</v>
      </c>
      <c r="AI205" s="304">
        <f t="shared" si="79"/>
        <v>0</v>
      </c>
      <c r="AJ205" s="304">
        <f t="shared" si="79"/>
        <v>34218</v>
      </c>
      <c r="AK205" s="9"/>
      <c r="AL205" s="305">
        <f>AL202+AL203+AL204</f>
        <v>728918</v>
      </c>
      <c r="AM205" s="256"/>
    </row>
    <row r="206" spans="2:39 15081:15473" s="1" customFormat="1" x14ac:dyDescent="0.25">
      <c r="B206" s="128"/>
      <c r="C206" s="306" t="s">
        <v>129</v>
      </c>
      <c r="D206" s="302"/>
      <c r="E206" s="307" t="s">
        <v>16</v>
      </c>
      <c r="F206" s="308">
        <f t="shared" ref="F206:AJ206" si="80">SUM(F182+F153+F127+F99+F72)</f>
        <v>0</v>
      </c>
      <c r="G206" s="308">
        <f t="shared" si="80"/>
        <v>76884.98</v>
      </c>
      <c r="H206" s="308">
        <f t="shared" si="80"/>
        <v>53281.72</v>
      </c>
      <c r="I206" s="308">
        <f t="shared" si="80"/>
        <v>17977.43</v>
      </c>
      <c r="J206" s="308">
        <f t="shared" si="80"/>
        <v>17057.080000000002</v>
      </c>
      <c r="K206" s="308">
        <f t="shared" si="80"/>
        <v>7068.5300000000007</v>
      </c>
      <c r="L206" s="308">
        <f t="shared" si="80"/>
        <v>0</v>
      </c>
      <c r="M206" s="308">
        <f t="shared" si="80"/>
        <v>0</v>
      </c>
      <c r="N206" s="308">
        <f t="shared" si="80"/>
        <v>0</v>
      </c>
      <c r="O206" s="308">
        <f t="shared" si="80"/>
        <v>0</v>
      </c>
      <c r="P206" s="308">
        <f t="shared" si="80"/>
        <v>0</v>
      </c>
      <c r="Q206" s="308">
        <f t="shared" si="80"/>
        <v>51136.41</v>
      </c>
      <c r="R206" s="308">
        <f t="shared" si="80"/>
        <v>51130.259999999995</v>
      </c>
      <c r="S206" s="308">
        <f t="shared" si="80"/>
        <v>0</v>
      </c>
      <c r="T206" s="308">
        <f t="shared" si="80"/>
        <v>0</v>
      </c>
      <c r="U206" s="308">
        <f t="shared" si="80"/>
        <v>120746.79000000001</v>
      </c>
      <c r="V206" s="308">
        <f t="shared" si="80"/>
        <v>55568.850000000006</v>
      </c>
      <c r="W206" s="308">
        <f t="shared" si="80"/>
        <v>48381.43</v>
      </c>
      <c r="X206" s="308">
        <f t="shared" si="80"/>
        <v>52643.520000000004</v>
      </c>
      <c r="Y206" s="308">
        <f t="shared" si="80"/>
        <v>0</v>
      </c>
      <c r="Z206" s="308">
        <f t="shared" si="80"/>
        <v>0</v>
      </c>
      <c r="AA206" s="308">
        <f t="shared" si="80"/>
        <v>0</v>
      </c>
      <c r="AB206" s="308">
        <f t="shared" si="80"/>
        <v>0</v>
      </c>
      <c r="AC206" s="308">
        <f t="shared" si="80"/>
        <v>0</v>
      </c>
      <c r="AD206" s="308">
        <f t="shared" si="80"/>
        <v>23247.43</v>
      </c>
      <c r="AE206" s="308">
        <f t="shared" si="80"/>
        <v>0</v>
      </c>
      <c r="AF206" s="308">
        <f t="shared" si="80"/>
        <v>0</v>
      </c>
      <c r="AG206" s="308">
        <f t="shared" si="80"/>
        <v>11462.78</v>
      </c>
      <c r="AH206" s="308">
        <f t="shared" si="80"/>
        <v>0</v>
      </c>
      <c r="AI206" s="308">
        <f t="shared" si="80"/>
        <v>36911.340000000004</v>
      </c>
      <c r="AJ206" s="308">
        <f t="shared" si="80"/>
        <v>34385.99</v>
      </c>
      <c r="AK206" s="9"/>
      <c r="AL206" s="309">
        <f>SUM(F206:AJ206)+32258</f>
        <v>690142.54</v>
      </c>
      <c r="AM206" s="257"/>
    </row>
    <row r="207" spans="2:39 15081:15473" x14ac:dyDescent="0.25">
      <c r="B207" s="109">
        <v>10</v>
      </c>
      <c r="C207" s="148" t="s">
        <v>28</v>
      </c>
      <c r="D207" s="110"/>
      <c r="E207" s="275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  <c r="AA207" s="111"/>
      <c r="AB207" s="111"/>
      <c r="AC207" s="111"/>
      <c r="AD207" s="111"/>
      <c r="AE207" s="111"/>
      <c r="AF207" s="111"/>
      <c r="AG207" s="111"/>
      <c r="AH207" s="111"/>
      <c r="AI207" s="111"/>
      <c r="AJ207" s="111"/>
      <c r="AK207" s="9"/>
      <c r="AL207" s="32" t="s">
        <v>27</v>
      </c>
      <c r="AM207" s="244"/>
    </row>
    <row r="208" spans="2:39 15081:15473" s="1" customFormat="1" x14ac:dyDescent="0.25">
      <c r="B208" s="113"/>
      <c r="C208" s="126" t="s">
        <v>26</v>
      </c>
      <c r="D208" s="131"/>
      <c r="E208" s="177" t="s">
        <v>22</v>
      </c>
      <c r="F208" s="27">
        <v>1374.5</v>
      </c>
      <c r="G208" s="229">
        <v>1254.7</v>
      </c>
      <c r="H208" s="229">
        <v>1282.4000000000001</v>
      </c>
      <c r="I208" s="27">
        <v>1392</v>
      </c>
      <c r="J208" s="27">
        <v>1273.9000000000001</v>
      </c>
      <c r="K208" s="27">
        <v>1323.8</v>
      </c>
      <c r="L208" s="27">
        <v>1152.7</v>
      </c>
      <c r="M208" s="27">
        <v>1315.8</v>
      </c>
      <c r="N208" s="27">
        <v>1347.2</v>
      </c>
      <c r="O208" s="27">
        <v>1249.9000000000001</v>
      </c>
      <c r="P208" s="27">
        <v>1200.5</v>
      </c>
      <c r="Q208" s="27">
        <v>1351.1</v>
      </c>
      <c r="R208" s="27">
        <v>1208.7</v>
      </c>
      <c r="S208" s="27">
        <v>1242.9000000000001</v>
      </c>
      <c r="T208" s="27">
        <v>1185.0999999999999</v>
      </c>
      <c r="U208" s="195">
        <v>1187.7</v>
      </c>
      <c r="V208" s="195">
        <v>1221.0999999999999</v>
      </c>
      <c r="W208" s="195">
        <v>1082.7</v>
      </c>
      <c r="X208" s="195">
        <v>1011</v>
      </c>
      <c r="Y208" s="195">
        <v>551.79999999999995</v>
      </c>
      <c r="Z208" s="195">
        <v>243.8</v>
      </c>
      <c r="AA208" s="27">
        <v>241.4</v>
      </c>
      <c r="AB208" s="27">
        <v>238.3</v>
      </c>
      <c r="AC208" s="27">
        <v>235.8</v>
      </c>
      <c r="AD208" s="27">
        <v>235.8</v>
      </c>
      <c r="AE208" s="27">
        <v>235.8</v>
      </c>
      <c r="AF208" s="195">
        <v>226.5</v>
      </c>
      <c r="AG208" s="195">
        <v>261.60000000000002</v>
      </c>
      <c r="AH208" s="195">
        <v>645.79999999999995</v>
      </c>
      <c r="AI208" s="195">
        <v>1092</v>
      </c>
      <c r="AJ208" s="195">
        <v>1288.4000000000001</v>
      </c>
      <c r="AK208" s="9"/>
      <c r="AL208" s="31">
        <f>SUM(F208:AJ208)</f>
        <v>29154.699999999997</v>
      </c>
      <c r="AM208" s="258"/>
    </row>
    <row r="209" spans="2:48" s="2" customFormat="1" x14ac:dyDescent="0.25">
      <c r="B209" s="132"/>
      <c r="C209" s="150" t="s">
        <v>25</v>
      </c>
      <c r="D209" s="197">
        <f>D213</f>
        <v>1460.001</v>
      </c>
      <c r="E209" s="276" t="s">
        <v>22</v>
      </c>
      <c r="F209" s="27">
        <v>1180.8688999999999</v>
      </c>
      <c r="G209" s="229">
        <v>1217.2724000000001</v>
      </c>
      <c r="H209" s="229">
        <v>1317.2412999999999</v>
      </c>
      <c r="I209" s="27">
        <v>1201.1143</v>
      </c>
      <c r="J209" s="229">
        <v>1238.9032999999999</v>
      </c>
      <c r="K209" s="198">
        <v>1095.4518</v>
      </c>
      <c r="L209" s="227">
        <v>1237.8525</v>
      </c>
      <c r="M209" s="27">
        <v>1290.9338</v>
      </c>
      <c r="N209" s="27">
        <v>1184.4598000000001</v>
      </c>
      <c r="O209" s="195">
        <v>1142.7689</v>
      </c>
      <c r="P209" s="27">
        <v>1280.4455</v>
      </c>
      <c r="Q209" s="27">
        <v>1154.605</v>
      </c>
      <c r="R209" s="27">
        <v>1180.6762000000001</v>
      </c>
      <c r="S209" s="27">
        <v>1160.9970000000001</v>
      </c>
      <c r="T209" s="27">
        <v>1162.6548</v>
      </c>
      <c r="U209" s="195">
        <v>1176.9704999999999</v>
      </c>
      <c r="V209" s="195">
        <v>1040.4440999999999</v>
      </c>
      <c r="W209" s="195">
        <v>972.59140000000002</v>
      </c>
      <c r="X209" s="195">
        <v>437.32650000000001</v>
      </c>
      <c r="Y209" s="195">
        <v>0</v>
      </c>
      <c r="Z209" s="195"/>
      <c r="AA209" s="87"/>
      <c r="AB209" s="195"/>
      <c r="AC209" s="195"/>
      <c r="AD209" s="195"/>
      <c r="AE209" s="195"/>
      <c r="AF209" s="195">
        <v>51.788899999999998</v>
      </c>
      <c r="AG209" s="199">
        <v>508.2319</v>
      </c>
      <c r="AH209" s="195">
        <v>1019.7728</v>
      </c>
      <c r="AI209" s="195">
        <v>1240.3652999999999</v>
      </c>
      <c r="AJ209" s="195">
        <v>1302.4105999999999</v>
      </c>
      <c r="AK209" s="6"/>
      <c r="AL209" s="26">
        <f>SUM(F209:AJ209)</f>
        <v>25796.147499999999</v>
      </c>
      <c r="AM209" s="259"/>
      <c r="AN209" s="200"/>
    </row>
    <row r="210" spans="2:48" x14ac:dyDescent="0.25">
      <c r="B210" s="128"/>
      <c r="C210" s="175" t="s">
        <v>12</v>
      </c>
      <c r="D210" s="131"/>
      <c r="E210" s="113"/>
      <c r="F210" s="201"/>
      <c r="G210" s="196"/>
      <c r="H210" s="196"/>
      <c r="I210" s="119"/>
      <c r="J210" s="196"/>
      <c r="K210" s="198"/>
      <c r="L210" s="198"/>
      <c r="M210" s="119"/>
      <c r="N210" s="119"/>
      <c r="O210" s="119"/>
      <c r="P210" s="119"/>
      <c r="Q210" s="88"/>
      <c r="R210" s="88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51"/>
      <c r="AD210" s="151"/>
      <c r="AE210" s="151"/>
      <c r="AF210" s="151"/>
      <c r="AG210" s="151"/>
      <c r="AH210" s="151"/>
      <c r="AI210" s="151"/>
      <c r="AJ210" s="151"/>
      <c r="AK210" s="9"/>
      <c r="AL210" s="11" t="s">
        <v>12</v>
      </c>
      <c r="AM210" s="260"/>
    </row>
    <row r="211" spans="2:48" x14ac:dyDescent="0.25">
      <c r="B211" s="128"/>
      <c r="C211" s="126" t="s">
        <v>24</v>
      </c>
      <c r="D211" s="127">
        <v>292</v>
      </c>
      <c r="E211" s="177" t="s">
        <v>22</v>
      </c>
      <c r="F211" s="151">
        <v>224.4554</v>
      </c>
      <c r="G211" s="75">
        <v>229.03139999999999</v>
      </c>
      <c r="H211" s="151">
        <v>253.20840000000001</v>
      </c>
      <c r="I211" s="151">
        <v>233.51310000000001</v>
      </c>
      <c r="J211" s="151">
        <v>220.73330000000001</v>
      </c>
      <c r="K211" s="198">
        <v>181.56870000000001</v>
      </c>
      <c r="L211" s="198">
        <v>228.0155</v>
      </c>
      <c r="M211" s="195">
        <v>233.10290000000001</v>
      </c>
      <c r="N211" s="195">
        <v>216.5232</v>
      </c>
      <c r="O211" s="195">
        <v>201.23220000000001</v>
      </c>
      <c r="P211" s="195">
        <v>196.59479999999999</v>
      </c>
      <c r="Q211" s="195">
        <v>197.959</v>
      </c>
      <c r="R211" s="195">
        <v>192.43</v>
      </c>
      <c r="S211" s="195">
        <v>197.4289</v>
      </c>
      <c r="T211" s="195">
        <v>185.8552</v>
      </c>
      <c r="U211" s="195">
        <v>195.7527</v>
      </c>
      <c r="V211" s="195">
        <v>130.9796</v>
      </c>
      <c r="W211" s="195">
        <v>107.4935</v>
      </c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>
        <v>115.1476</v>
      </c>
      <c r="AH211" s="195">
        <v>204.55260000000001</v>
      </c>
      <c r="AI211" s="195">
        <v>251.2166</v>
      </c>
      <c r="AJ211" s="195">
        <v>224.4442</v>
      </c>
      <c r="AK211" s="9"/>
      <c r="AL211" s="25">
        <f>SUM(F211:AJ211)</f>
        <v>4421.2387999999992</v>
      </c>
      <c r="AM211" s="261"/>
      <c r="AN211" s="24"/>
      <c r="AV211" s="24"/>
    </row>
    <row r="212" spans="2:48" x14ac:dyDescent="0.25">
      <c r="B212" s="128"/>
      <c r="C212" s="126" t="s">
        <v>23</v>
      </c>
      <c r="D212" s="127">
        <v>1168.001</v>
      </c>
      <c r="E212" s="177" t="s">
        <v>22</v>
      </c>
      <c r="F212" s="27">
        <f>F209-F211</f>
        <v>956.41349999999989</v>
      </c>
      <c r="G212" s="196">
        <f t="shared" ref="G212:AJ212" si="81">G213-G211</f>
        <v>988.2410000000001</v>
      </c>
      <c r="H212" s="196">
        <f>H213-H211</f>
        <v>1064.0328999999999</v>
      </c>
      <c r="I212" s="195">
        <f t="shared" si="81"/>
        <v>967.60119999999995</v>
      </c>
      <c r="J212" s="196">
        <f t="shared" si="81"/>
        <v>1018.17</v>
      </c>
      <c r="K212" s="198">
        <f t="shared" si="81"/>
        <v>913.88310000000001</v>
      </c>
      <c r="L212" s="198">
        <f t="shared" si="81"/>
        <v>1009.837</v>
      </c>
      <c r="M212" s="195">
        <f t="shared" si="81"/>
        <v>1057.8308999999999</v>
      </c>
      <c r="N212" s="195">
        <f t="shared" si="81"/>
        <v>967.93660000000011</v>
      </c>
      <c r="O212" s="195">
        <f t="shared" si="81"/>
        <v>941.5367</v>
      </c>
      <c r="P212" s="195">
        <f t="shared" si="81"/>
        <v>1083.8507</v>
      </c>
      <c r="Q212" s="195">
        <f t="shared" si="81"/>
        <v>956.64599999999996</v>
      </c>
      <c r="R212" s="195">
        <f t="shared" si="81"/>
        <v>988.24620000000004</v>
      </c>
      <c r="S212" s="195">
        <f t="shared" si="81"/>
        <v>963.56810000000007</v>
      </c>
      <c r="T212" s="195">
        <f t="shared" si="81"/>
        <v>976.79960000000005</v>
      </c>
      <c r="U212" s="195">
        <f t="shared" si="81"/>
        <v>981.2177999999999</v>
      </c>
      <c r="V212" s="195">
        <f t="shared" si="81"/>
        <v>909.46449999999993</v>
      </c>
      <c r="W212" s="195">
        <f t="shared" si="81"/>
        <v>865.09789999999998</v>
      </c>
      <c r="X212" s="195">
        <f>X213-X211</f>
        <v>437.32650000000001</v>
      </c>
      <c r="Y212" s="195">
        <f t="shared" si="81"/>
        <v>0</v>
      </c>
      <c r="Z212" s="195">
        <f t="shared" si="81"/>
        <v>0</v>
      </c>
      <c r="AA212" s="195">
        <f t="shared" si="81"/>
        <v>0</v>
      </c>
      <c r="AB212" s="195">
        <f t="shared" si="81"/>
        <v>0</v>
      </c>
      <c r="AC212" s="195">
        <f t="shared" si="81"/>
        <v>0</v>
      </c>
      <c r="AD212" s="195">
        <f t="shared" si="81"/>
        <v>0</v>
      </c>
      <c r="AE212" s="195">
        <f t="shared" si="81"/>
        <v>0</v>
      </c>
      <c r="AF212" s="195">
        <f t="shared" si="81"/>
        <v>51.788899999999998</v>
      </c>
      <c r="AG212" s="195">
        <f t="shared" si="81"/>
        <v>393.08429999999998</v>
      </c>
      <c r="AH212" s="195">
        <f t="shared" si="81"/>
        <v>815.22019999999998</v>
      </c>
      <c r="AI212" s="195">
        <f t="shared" si="81"/>
        <v>989.14869999999996</v>
      </c>
      <c r="AJ212" s="195">
        <f t="shared" si="81"/>
        <v>1077.9664</v>
      </c>
      <c r="AK212" s="9"/>
      <c r="AL212" s="25">
        <f>SUM(F212:AJ212)</f>
        <v>21374.908700000004</v>
      </c>
      <c r="AM212" s="261"/>
    </row>
    <row r="213" spans="2:48" s="48" customFormat="1" x14ac:dyDescent="0.25">
      <c r="B213" s="202"/>
      <c r="C213" s="203" t="s">
        <v>1</v>
      </c>
      <c r="D213" s="204">
        <f>SUM(D211:D212)</f>
        <v>1460.001</v>
      </c>
      <c r="E213" s="205" t="s">
        <v>22</v>
      </c>
      <c r="F213" s="206">
        <f>F209</f>
        <v>1180.8688999999999</v>
      </c>
      <c r="G213" s="207">
        <f t="shared" ref="G213:AJ213" si="82">G209</f>
        <v>1217.2724000000001</v>
      </c>
      <c r="H213" s="230">
        <f t="shared" si="82"/>
        <v>1317.2412999999999</v>
      </c>
      <c r="I213" s="206">
        <f t="shared" si="82"/>
        <v>1201.1143</v>
      </c>
      <c r="J213" s="206">
        <f t="shared" si="82"/>
        <v>1238.9032999999999</v>
      </c>
      <c r="K213" s="206">
        <f t="shared" si="82"/>
        <v>1095.4518</v>
      </c>
      <c r="L213" s="206">
        <f t="shared" si="82"/>
        <v>1237.8525</v>
      </c>
      <c r="M213" s="206">
        <f t="shared" si="82"/>
        <v>1290.9338</v>
      </c>
      <c r="N213" s="206">
        <f t="shared" si="82"/>
        <v>1184.4598000000001</v>
      </c>
      <c r="O213" s="206">
        <f t="shared" si="82"/>
        <v>1142.7689</v>
      </c>
      <c r="P213" s="206">
        <f t="shared" si="82"/>
        <v>1280.4455</v>
      </c>
      <c r="Q213" s="206">
        <f t="shared" si="82"/>
        <v>1154.605</v>
      </c>
      <c r="R213" s="206">
        <f t="shared" si="82"/>
        <v>1180.6762000000001</v>
      </c>
      <c r="S213" s="206">
        <f t="shared" si="82"/>
        <v>1160.9970000000001</v>
      </c>
      <c r="T213" s="206">
        <f t="shared" si="82"/>
        <v>1162.6548</v>
      </c>
      <c r="U213" s="206">
        <f t="shared" si="82"/>
        <v>1176.9704999999999</v>
      </c>
      <c r="V213" s="206">
        <f t="shared" si="82"/>
        <v>1040.4440999999999</v>
      </c>
      <c r="W213" s="206">
        <f t="shared" si="82"/>
        <v>972.59140000000002</v>
      </c>
      <c r="X213" s="206">
        <f>X209</f>
        <v>437.32650000000001</v>
      </c>
      <c r="Y213" s="206">
        <f t="shared" si="82"/>
        <v>0</v>
      </c>
      <c r="Z213" s="206">
        <f t="shared" si="82"/>
        <v>0</v>
      </c>
      <c r="AA213" s="206">
        <f t="shared" si="82"/>
        <v>0</v>
      </c>
      <c r="AB213" s="206">
        <f t="shared" si="82"/>
        <v>0</v>
      </c>
      <c r="AC213" s="206">
        <f t="shared" si="82"/>
        <v>0</v>
      </c>
      <c r="AD213" s="206">
        <f t="shared" si="82"/>
        <v>0</v>
      </c>
      <c r="AE213" s="206">
        <f t="shared" si="82"/>
        <v>0</v>
      </c>
      <c r="AF213" s="206">
        <f t="shared" si="82"/>
        <v>51.788899999999998</v>
      </c>
      <c r="AG213" s="206">
        <f t="shared" si="82"/>
        <v>508.2319</v>
      </c>
      <c r="AH213" s="206">
        <f t="shared" si="82"/>
        <v>1019.7728</v>
      </c>
      <c r="AI213" s="206">
        <f t="shared" si="82"/>
        <v>1240.3652999999999</v>
      </c>
      <c r="AJ213" s="206">
        <f t="shared" si="82"/>
        <v>1302.4105999999999</v>
      </c>
      <c r="AK213" s="17"/>
      <c r="AL213" s="23">
        <f>SUM(AL211:AL212)</f>
        <v>25796.147500000003</v>
      </c>
      <c r="AM213" s="259"/>
      <c r="AN213" s="208"/>
      <c r="AV213" s="208"/>
    </row>
    <row r="214" spans="2:48" s="48" customFormat="1" x14ac:dyDescent="0.25">
      <c r="B214" s="113">
        <v>11</v>
      </c>
      <c r="C214" s="209" t="s">
        <v>21</v>
      </c>
      <c r="D214" s="210"/>
      <c r="E214" s="210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211"/>
      <c r="R214" s="211"/>
      <c r="S214" s="211"/>
      <c r="T214" s="211"/>
      <c r="U214" s="211"/>
      <c r="V214" s="211"/>
      <c r="W214" s="211"/>
      <c r="X214" s="211"/>
      <c r="Y214" s="211"/>
      <c r="Z214" s="211"/>
      <c r="AA214" s="211"/>
      <c r="AB214" s="211"/>
      <c r="AC214" s="211"/>
      <c r="AD214" s="211"/>
      <c r="AE214" s="211"/>
      <c r="AF214" s="211"/>
      <c r="AG214" s="211"/>
      <c r="AH214" s="211"/>
      <c r="AI214" s="211"/>
      <c r="AJ214" s="211"/>
      <c r="AK214" s="17"/>
      <c r="AL214" s="81" t="s">
        <v>20</v>
      </c>
      <c r="AM214" s="262"/>
    </row>
    <row r="215" spans="2:48" s="48" customFormat="1" x14ac:dyDescent="0.25">
      <c r="B215" s="113"/>
      <c r="C215" s="126" t="s">
        <v>4</v>
      </c>
      <c r="D215" s="121">
        <f>17000*24</f>
        <v>408000</v>
      </c>
      <c r="E215" s="177" t="s">
        <v>16</v>
      </c>
      <c r="F215" s="174">
        <v>243297</v>
      </c>
      <c r="G215" s="174">
        <v>263307</v>
      </c>
      <c r="H215" s="174">
        <v>292314</v>
      </c>
      <c r="I215" s="174">
        <v>251690</v>
      </c>
      <c r="J215" s="174">
        <v>267694</v>
      </c>
      <c r="K215" s="174">
        <v>230318</v>
      </c>
      <c r="L215" s="174">
        <v>263197</v>
      </c>
      <c r="M215" s="174">
        <v>282542</v>
      </c>
      <c r="N215" s="174">
        <v>243169</v>
      </c>
      <c r="O215" s="174">
        <v>243496</v>
      </c>
      <c r="P215" s="174">
        <v>290602</v>
      </c>
      <c r="Q215" s="174">
        <v>243570</v>
      </c>
      <c r="R215" s="174">
        <v>252956</v>
      </c>
      <c r="S215" s="174">
        <v>249200</v>
      </c>
      <c r="T215" s="174">
        <v>243576</v>
      </c>
      <c r="U215" s="174">
        <v>256490</v>
      </c>
      <c r="V215" s="174">
        <v>227750</v>
      </c>
      <c r="W215" s="174">
        <v>180862</v>
      </c>
      <c r="X215" s="174">
        <v>69434</v>
      </c>
      <c r="Y215" s="174">
        <v>0</v>
      </c>
      <c r="Z215" s="174">
        <v>0</v>
      </c>
      <c r="AA215" s="174">
        <v>0</v>
      </c>
      <c r="AB215" s="174"/>
      <c r="AC215" s="174">
        <v>0</v>
      </c>
      <c r="AD215" s="174"/>
      <c r="AE215" s="174"/>
      <c r="AF215" s="174"/>
      <c r="AG215" s="174">
        <v>104854</v>
      </c>
      <c r="AH215" s="174">
        <v>207677</v>
      </c>
      <c r="AI215" s="174">
        <v>278005</v>
      </c>
      <c r="AJ215" s="174">
        <v>283669</v>
      </c>
      <c r="AK215" s="17"/>
      <c r="AL215" s="16">
        <f>SUM(F215:AJ215)</f>
        <v>5469669</v>
      </c>
      <c r="AM215" s="19"/>
      <c r="AN215" s="19"/>
    </row>
    <row r="216" spans="2:48" s="48" customFormat="1" x14ac:dyDescent="0.25">
      <c r="B216" s="113"/>
      <c r="C216" s="182" t="s">
        <v>19</v>
      </c>
      <c r="D216" s="176"/>
      <c r="E216" s="113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  <c r="AA216" s="174"/>
      <c r="AB216" s="174"/>
      <c r="AC216" s="174"/>
      <c r="AD216" s="174"/>
      <c r="AE216" s="174"/>
      <c r="AF216" s="174"/>
      <c r="AG216" s="174"/>
      <c r="AH216" s="174"/>
      <c r="AI216" s="174"/>
      <c r="AJ216" s="174"/>
      <c r="AK216" s="17"/>
      <c r="AL216" s="20" t="s">
        <v>19</v>
      </c>
      <c r="AM216" s="263"/>
      <c r="AN216" s="19"/>
    </row>
    <row r="217" spans="2:48" x14ac:dyDescent="0.25">
      <c r="B217" s="128"/>
      <c r="C217" s="126" t="s">
        <v>18</v>
      </c>
      <c r="D217" s="121">
        <v>180000</v>
      </c>
      <c r="E217" s="177" t="s">
        <v>16</v>
      </c>
      <c r="F217" s="119">
        <v>157000</v>
      </c>
      <c r="G217" s="119">
        <v>156000</v>
      </c>
      <c r="H217" s="119">
        <v>152300</v>
      </c>
      <c r="I217" s="119">
        <v>151600</v>
      </c>
      <c r="J217" s="119">
        <v>149800</v>
      </c>
      <c r="K217" s="119">
        <v>149300</v>
      </c>
      <c r="L217" s="119">
        <v>152200</v>
      </c>
      <c r="M217" s="119">
        <v>150200</v>
      </c>
      <c r="N217" s="119">
        <v>150500</v>
      </c>
      <c r="O217" s="119">
        <v>155100</v>
      </c>
      <c r="P217" s="119">
        <v>152500</v>
      </c>
      <c r="Q217" s="119">
        <v>156200</v>
      </c>
      <c r="R217" s="119">
        <v>151200</v>
      </c>
      <c r="S217" s="119">
        <v>159800</v>
      </c>
      <c r="T217" s="119">
        <v>150600</v>
      </c>
      <c r="U217" s="119">
        <v>158400</v>
      </c>
      <c r="V217" s="119">
        <v>150000</v>
      </c>
      <c r="W217" s="119">
        <v>136200</v>
      </c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>
        <v>104000</v>
      </c>
      <c r="AH217" s="119">
        <v>148800</v>
      </c>
      <c r="AI217" s="119">
        <v>165200</v>
      </c>
      <c r="AJ217" s="119">
        <v>163700</v>
      </c>
      <c r="AK217" s="9"/>
      <c r="AL217" s="18">
        <f>SUM(F217:AJ217)</f>
        <v>3320600</v>
      </c>
      <c r="AM217" s="22"/>
    </row>
    <row r="218" spans="2:48" x14ac:dyDescent="0.25">
      <c r="B218" s="128"/>
      <c r="C218" s="126" t="s">
        <v>17</v>
      </c>
      <c r="D218" s="121">
        <v>122000</v>
      </c>
      <c r="E218" s="177" t="s">
        <v>16</v>
      </c>
      <c r="F218" s="119">
        <v>45100</v>
      </c>
      <c r="G218" s="119">
        <v>47200</v>
      </c>
      <c r="H218" s="119">
        <v>89900</v>
      </c>
      <c r="I218" s="119">
        <v>79000</v>
      </c>
      <c r="J218" s="119">
        <v>60600</v>
      </c>
      <c r="K218" s="119">
        <v>66600</v>
      </c>
      <c r="L218" s="119">
        <v>70600</v>
      </c>
      <c r="M218" s="119">
        <v>63200</v>
      </c>
      <c r="N218" s="119">
        <v>65200</v>
      </c>
      <c r="O218" s="119">
        <v>58600</v>
      </c>
      <c r="P218" s="119">
        <v>70000</v>
      </c>
      <c r="Q218" s="119">
        <v>70700</v>
      </c>
      <c r="R218" s="119">
        <v>67100</v>
      </c>
      <c r="S218" s="119">
        <v>62000</v>
      </c>
      <c r="T218" s="119">
        <v>64300</v>
      </c>
      <c r="U218" s="119">
        <v>68900</v>
      </c>
      <c r="V218" s="119">
        <v>50700</v>
      </c>
      <c r="W218" s="119">
        <v>2500</v>
      </c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>
        <v>0</v>
      </c>
      <c r="AH218" s="119">
        <v>51000</v>
      </c>
      <c r="AI218" s="119">
        <v>85700</v>
      </c>
      <c r="AJ218" s="119">
        <v>103800</v>
      </c>
      <c r="AK218" s="9"/>
      <c r="AL218" s="18">
        <f>SUM(F218:AJ218)</f>
        <v>1342700</v>
      </c>
      <c r="AM218" s="22"/>
    </row>
    <row r="219" spans="2:48" x14ac:dyDescent="0.25">
      <c r="B219" s="128"/>
      <c r="C219" s="126" t="s">
        <v>8</v>
      </c>
      <c r="D219" s="121">
        <f>D215-D217-D218</f>
        <v>106000</v>
      </c>
      <c r="E219" s="177" t="s">
        <v>16</v>
      </c>
      <c r="F219" s="119">
        <f t="shared" ref="F219:AJ219" si="83">F215-F217-F218</f>
        <v>41197</v>
      </c>
      <c r="G219" s="119">
        <f t="shared" si="83"/>
        <v>60107</v>
      </c>
      <c r="H219" s="119">
        <f t="shared" si="83"/>
        <v>50114</v>
      </c>
      <c r="I219" s="119">
        <f t="shared" si="83"/>
        <v>21090</v>
      </c>
      <c r="J219" s="119">
        <f t="shared" si="83"/>
        <v>57294</v>
      </c>
      <c r="K219" s="119">
        <f t="shared" si="83"/>
        <v>14418</v>
      </c>
      <c r="L219" s="119">
        <f t="shared" si="83"/>
        <v>40397</v>
      </c>
      <c r="M219" s="119">
        <f t="shared" si="83"/>
        <v>69142</v>
      </c>
      <c r="N219" s="119">
        <f t="shared" si="83"/>
        <v>27469</v>
      </c>
      <c r="O219" s="119">
        <f t="shared" si="83"/>
        <v>29796</v>
      </c>
      <c r="P219" s="119">
        <f t="shared" si="83"/>
        <v>68102</v>
      </c>
      <c r="Q219" s="119">
        <f t="shared" si="83"/>
        <v>16670</v>
      </c>
      <c r="R219" s="119">
        <f t="shared" si="83"/>
        <v>34656</v>
      </c>
      <c r="S219" s="119">
        <f t="shared" si="83"/>
        <v>27400</v>
      </c>
      <c r="T219" s="119">
        <f t="shared" si="83"/>
        <v>28676</v>
      </c>
      <c r="U219" s="119">
        <f t="shared" si="83"/>
        <v>29190</v>
      </c>
      <c r="V219" s="119">
        <f t="shared" si="83"/>
        <v>27050</v>
      </c>
      <c r="W219" s="119">
        <f t="shared" si="83"/>
        <v>42162</v>
      </c>
      <c r="X219" s="119">
        <f t="shared" si="83"/>
        <v>69434</v>
      </c>
      <c r="Y219" s="119">
        <f t="shared" si="83"/>
        <v>0</v>
      </c>
      <c r="Z219" s="119">
        <f t="shared" si="83"/>
        <v>0</v>
      </c>
      <c r="AA219" s="119">
        <f t="shared" si="83"/>
        <v>0</v>
      </c>
      <c r="AB219" s="119">
        <f t="shared" si="83"/>
        <v>0</v>
      </c>
      <c r="AC219" s="119">
        <f t="shared" si="83"/>
        <v>0</v>
      </c>
      <c r="AD219" s="119">
        <f t="shared" si="83"/>
        <v>0</v>
      </c>
      <c r="AE219" s="119">
        <f t="shared" si="83"/>
        <v>0</v>
      </c>
      <c r="AF219" s="119">
        <f t="shared" si="83"/>
        <v>0</v>
      </c>
      <c r="AG219" s="119">
        <f t="shared" si="83"/>
        <v>854</v>
      </c>
      <c r="AH219" s="119">
        <f t="shared" si="83"/>
        <v>7877</v>
      </c>
      <c r="AI219" s="119">
        <f t="shared" si="83"/>
        <v>27105</v>
      </c>
      <c r="AJ219" s="119">
        <f t="shared" si="83"/>
        <v>16169</v>
      </c>
      <c r="AK219" s="9"/>
      <c r="AL219" s="18">
        <f>SUM(F219:AJ219)</f>
        <v>806369</v>
      </c>
      <c r="AM219" s="22"/>
    </row>
    <row r="220" spans="2:48" s="48" customFormat="1" x14ac:dyDescent="0.25">
      <c r="B220" s="113"/>
      <c r="C220" s="175" t="s">
        <v>1</v>
      </c>
      <c r="D220" s="212">
        <f>SUM(D217:D219)</f>
        <v>408000</v>
      </c>
      <c r="E220" s="177" t="s">
        <v>16</v>
      </c>
      <c r="F220" s="174">
        <f t="shared" ref="F220:AJ220" si="84">SUM(F217:F219)</f>
        <v>243297</v>
      </c>
      <c r="G220" s="174">
        <f t="shared" si="84"/>
        <v>263307</v>
      </c>
      <c r="H220" s="174">
        <f t="shared" si="84"/>
        <v>292314</v>
      </c>
      <c r="I220" s="174">
        <f t="shared" si="84"/>
        <v>251690</v>
      </c>
      <c r="J220" s="174">
        <f t="shared" si="84"/>
        <v>267694</v>
      </c>
      <c r="K220" s="174">
        <f t="shared" si="84"/>
        <v>230318</v>
      </c>
      <c r="L220" s="174">
        <f t="shared" si="84"/>
        <v>263197</v>
      </c>
      <c r="M220" s="174">
        <f t="shared" si="84"/>
        <v>282542</v>
      </c>
      <c r="N220" s="174">
        <f t="shared" si="84"/>
        <v>243169</v>
      </c>
      <c r="O220" s="174">
        <f t="shared" si="84"/>
        <v>243496</v>
      </c>
      <c r="P220" s="174">
        <f t="shared" si="84"/>
        <v>290602</v>
      </c>
      <c r="Q220" s="174">
        <f t="shared" si="84"/>
        <v>243570</v>
      </c>
      <c r="R220" s="174">
        <f t="shared" si="84"/>
        <v>252956</v>
      </c>
      <c r="S220" s="174">
        <f t="shared" si="84"/>
        <v>249200</v>
      </c>
      <c r="T220" s="174">
        <f t="shared" si="84"/>
        <v>243576</v>
      </c>
      <c r="U220" s="174">
        <f t="shared" si="84"/>
        <v>256490</v>
      </c>
      <c r="V220" s="174">
        <f t="shared" si="84"/>
        <v>227750</v>
      </c>
      <c r="W220" s="174">
        <f t="shared" si="84"/>
        <v>180862</v>
      </c>
      <c r="X220" s="174">
        <f t="shared" si="84"/>
        <v>69434</v>
      </c>
      <c r="Y220" s="174">
        <f t="shared" si="84"/>
        <v>0</v>
      </c>
      <c r="Z220" s="174">
        <f t="shared" si="84"/>
        <v>0</v>
      </c>
      <c r="AA220" s="174">
        <f t="shared" si="84"/>
        <v>0</v>
      </c>
      <c r="AB220" s="174">
        <f t="shared" si="84"/>
        <v>0</v>
      </c>
      <c r="AC220" s="174">
        <f t="shared" si="84"/>
        <v>0</v>
      </c>
      <c r="AD220" s="174">
        <f t="shared" si="84"/>
        <v>0</v>
      </c>
      <c r="AE220" s="174">
        <f t="shared" si="84"/>
        <v>0</v>
      </c>
      <c r="AF220" s="174">
        <f t="shared" si="84"/>
        <v>0</v>
      </c>
      <c r="AG220" s="174">
        <f t="shared" si="84"/>
        <v>104854</v>
      </c>
      <c r="AH220" s="174">
        <f t="shared" si="84"/>
        <v>207677</v>
      </c>
      <c r="AI220" s="174">
        <f t="shared" si="84"/>
        <v>278005</v>
      </c>
      <c r="AJ220" s="174">
        <f t="shared" si="84"/>
        <v>283669</v>
      </c>
      <c r="AK220" s="17"/>
      <c r="AL220" s="16">
        <f>SUM(AL217:AL219)</f>
        <v>5469669</v>
      </c>
      <c r="AM220" s="19"/>
    </row>
    <row r="221" spans="2:48" x14ac:dyDescent="0.25">
      <c r="B221" s="109">
        <v>10</v>
      </c>
      <c r="C221" s="148" t="s">
        <v>15</v>
      </c>
      <c r="D221" s="149"/>
      <c r="E221" s="275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  <c r="AA221" s="111"/>
      <c r="AB221" s="111"/>
      <c r="AC221" s="192"/>
      <c r="AD221" s="192"/>
      <c r="AE221" s="192"/>
      <c r="AF221" s="192"/>
      <c r="AG221" s="192"/>
      <c r="AH221" s="192"/>
      <c r="AI221" s="192"/>
      <c r="AJ221" s="192"/>
      <c r="AK221" s="9"/>
      <c r="AL221" s="81" t="s">
        <v>14</v>
      </c>
      <c r="AM221" s="262"/>
    </row>
    <row r="222" spans="2:48" s="47" customFormat="1" ht="17.25" x14ac:dyDescent="0.25">
      <c r="B222" s="98"/>
      <c r="C222" s="184" t="s">
        <v>13</v>
      </c>
      <c r="D222" s="213">
        <v>750</v>
      </c>
      <c r="E222" s="281" t="s">
        <v>136</v>
      </c>
      <c r="F222" s="214">
        <v>574</v>
      </c>
      <c r="G222" s="231">
        <v>676</v>
      </c>
      <c r="H222" s="231">
        <v>733</v>
      </c>
      <c r="I222" s="231">
        <v>567</v>
      </c>
      <c r="J222" s="231">
        <v>677</v>
      </c>
      <c r="K222" s="214">
        <v>524</v>
      </c>
      <c r="L222" s="228">
        <v>799</v>
      </c>
      <c r="M222" s="214">
        <v>431</v>
      </c>
      <c r="N222" s="214">
        <v>641</v>
      </c>
      <c r="O222" s="214">
        <v>613</v>
      </c>
      <c r="P222" s="214">
        <v>617</v>
      </c>
      <c r="Q222" s="214">
        <v>621</v>
      </c>
      <c r="R222" s="214">
        <v>598</v>
      </c>
      <c r="S222" s="214">
        <v>494</v>
      </c>
      <c r="T222" s="214">
        <v>704</v>
      </c>
      <c r="U222" s="214">
        <v>578</v>
      </c>
      <c r="V222" s="214">
        <v>520</v>
      </c>
      <c r="W222" s="214">
        <v>421</v>
      </c>
      <c r="X222" s="214">
        <v>305</v>
      </c>
      <c r="Y222" s="214"/>
      <c r="Z222" s="214"/>
      <c r="AA222" s="214">
        <v>0</v>
      </c>
      <c r="AB222" s="214"/>
      <c r="AC222" s="214"/>
      <c r="AD222" s="214">
        <v>343</v>
      </c>
      <c r="AE222" s="214">
        <v>240</v>
      </c>
      <c r="AF222" s="214">
        <v>410</v>
      </c>
      <c r="AG222" s="214">
        <v>405</v>
      </c>
      <c r="AH222" s="214">
        <v>577</v>
      </c>
      <c r="AI222" s="214">
        <v>496</v>
      </c>
      <c r="AJ222" s="214">
        <v>716</v>
      </c>
      <c r="AL222" s="82">
        <f t="shared" ref="AL222:AL228" si="85">SUM(F222:AJ222)</f>
        <v>14280</v>
      </c>
      <c r="AM222" s="264"/>
    </row>
    <row r="223" spans="2:48" s="47" customFormat="1" x14ac:dyDescent="0.25">
      <c r="B223" s="98"/>
      <c r="C223" s="215" t="s">
        <v>12</v>
      </c>
      <c r="D223" s="97"/>
      <c r="E223" s="173"/>
      <c r="F223" s="214"/>
      <c r="G223" s="214"/>
      <c r="H223" s="214"/>
      <c r="I223" s="214"/>
      <c r="J223" s="214"/>
      <c r="K223" s="214"/>
      <c r="L223" s="214"/>
      <c r="M223" s="214"/>
      <c r="N223" s="214"/>
      <c r="O223" s="214"/>
      <c r="P223" s="214"/>
      <c r="Q223" s="214"/>
      <c r="R223" s="214"/>
      <c r="S223" s="214"/>
      <c r="T223" s="214"/>
      <c r="U223" s="214"/>
      <c r="V223" s="214"/>
      <c r="W223" s="214"/>
      <c r="X223" s="214"/>
      <c r="Y223" s="214"/>
      <c r="Z223" s="214"/>
      <c r="AA223" s="214"/>
      <c r="AB223" s="214"/>
      <c r="AC223" s="214"/>
      <c r="AD223" s="214"/>
      <c r="AE223" s="214"/>
      <c r="AF223" s="214"/>
      <c r="AG223" s="214"/>
      <c r="AH223" s="214"/>
      <c r="AI223" s="214"/>
      <c r="AJ223" s="214"/>
      <c r="AL223" s="15" t="s">
        <v>12</v>
      </c>
      <c r="AM223" s="265"/>
    </row>
    <row r="224" spans="2:48" s="47" customFormat="1" ht="17.25" x14ac:dyDescent="0.25">
      <c r="B224" s="98"/>
      <c r="C224" s="184" t="s">
        <v>11</v>
      </c>
      <c r="D224" s="216">
        <v>91.5</v>
      </c>
      <c r="E224" s="281" t="s">
        <v>136</v>
      </c>
      <c r="F224" s="214">
        <v>139</v>
      </c>
      <c r="G224" s="214">
        <v>132</v>
      </c>
      <c r="H224" s="214">
        <v>159</v>
      </c>
      <c r="I224" s="214">
        <v>122</v>
      </c>
      <c r="J224" s="214">
        <v>77</v>
      </c>
      <c r="K224" s="214">
        <v>78</v>
      </c>
      <c r="L224" s="214">
        <v>119</v>
      </c>
      <c r="M224" s="214">
        <v>82</v>
      </c>
      <c r="N224" s="214">
        <v>78</v>
      </c>
      <c r="O224" s="214">
        <v>77</v>
      </c>
      <c r="P224" s="214">
        <v>74</v>
      </c>
      <c r="Q224" s="214">
        <v>65</v>
      </c>
      <c r="R224" s="214">
        <v>68</v>
      </c>
      <c r="S224" s="214">
        <v>67</v>
      </c>
      <c r="T224" s="214">
        <v>69</v>
      </c>
      <c r="U224" s="214">
        <v>76</v>
      </c>
      <c r="V224" s="214">
        <v>76</v>
      </c>
      <c r="W224" s="214">
        <v>95</v>
      </c>
      <c r="X224" s="214"/>
      <c r="Y224" s="214"/>
      <c r="Z224" s="214"/>
      <c r="AA224" s="214"/>
      <c r="AB224" s="214"/>
      <c r="AC224" s="214"/>
      <c r="AD224" s="214"/>
      <c r="AE224" s="214"/>
      <c r="AF224" s="214"/>
      <c r="AG224" s="214">
        <v>67</v>
      </c>
      <c r="AH224" s="214">
        <v>101</v>
      </c>
      <c r="AI224" s="214">
        <v>111</v>
      </c>
      <c r="AJ224" s="214">
        <v>92</v>
      </c>
      <c r="AL224" s="83">
        <f t="shared" si="85"/>
        <v>2024</v>
      </c>
      <c r="AM224" s="266"/>
      <c r="AU224" s="13"/>
    </row>
    <row r="225" spans="2:47" s="47" customFormat="1" ht="17.25" x14ac:dyDescent="0.25">
      <c r="B225" s="98"/>
      <c r="C225" s="184" t="s">
        <v>10</v>
      </c>
      <c r="D225" s="216">
        <v>179.63</v>
      </c>
      <c r="E225" s="281" t="s">
        <v>136</v>
      </c>
      <c r="F225" s="214">
        <v>58</v>
      </c>
      <c r="G225" s="214">
        <v>66</v>
      </c>
      <c r="H225" s="214">
        <v>100</v>
      </c>
      <c r="I225" s="214">
        <v>100</v>
      </c>
      <c r="J225" s="214">
        <v>107</v>
      </c>
      <c r="K225" s="214">
        <v>86</v>
      </c>
      <c r="L225" s="214">
        <v>99</v>
      </c>
      <c r="M225" s="214">
        <v>85</v>
      </c>
      <c r="N225" s="214">
        <v>100</v>
      </c>
      <c r="O225" s="214">
        <v>92</v>
      </c>
      <c r="P225" s="214">
        <v>109</v>
      </c>
      <c r="Q225" s="214">
        <v>88</v>
      </c>
      <c r="R225" s="214">
        <v>89</v>
      </c>
      <c r="S225" s="214">
        <v>83</v>
      </c>
      <c r="T225" s="214">
        <v>93</v>
      </c>
      <c r="U225" s="214">
        <v>96</v>
      </c>
      <c r="V225" s="214">
        <v>51</v>
      </c>
      <c r="W225" s="214">
        <v>35</v>
      </c>
      <c r="X225" s="214"/>
      <c r="Y225" s="214"/>
      <c r="Z225" s="214"/>
      <c r="AA225" s="214"/>
      <c r="AB225" s="214"/>
      <c r="AC225" s="214"/>
      <c r="AD225" s="214"/>
      <c r="AE225" s="214"/>
      <c r="AF225" s="214"/>
      <c r="AG225" s="214">
        <v>0</v>
      </c>
      <c r="AH225" s="214">
        <v>66</v>
      </c>
      <c r="AI225" s="214">
        <v>80</v>
      </c>
      <c r="AJ225" s="214">
        <v>132</v>
      </c>
      <c r="AL225" s="83">
        <f t="shared" si="85"/>
        <v>1815</v>
      </c>
      <c r="AM225" s="266"/>
      <c r="AN225" s="14"/>
      <c r="AU225" s="13"/>
    </row>
    <row r="226" spans="2:47" s="47" customFormat="1" ht="17.25" x14ac:dyDescent="0.25">
      <c r="B226" s="98"/>
      <c r="C226" s="184" t="s">
        <v>9</v>
      </c>
      <c r="D226" s="213">
        <f>44.69%*D222</f>
        <v>335.17499999999995</v>
      </c>
      <c r="E226" s="281" t="s">
        <v>136</v>
      </c>
      <c r="F226" s="214">
        <v>341.3</v>
      </c>
      <c r="G226" s="214">
        <v>313.7</v>
      </c>
      <c r="H226" s="214">
        <v>325.89999999999998</v>
      </c>
      <c r="I226" s="214">
        <v>305</v>
      </c>
      <c r="J226" s="214">
        <v>331.7</v>
      </c>
      <c r="K226" s="214">
        <v>305</v>
      </c>
      <c r="L226" s="214">
        <v>339.5</v>
      </c>
      <c r="M226" s="214">
        <v>300.2</v>
      </c>
      <c r="N226" s="214">
        <v>332.5</v>
      </c>
      <c r="O226" s="214">
        <v>296.5</v>
      </c>
      <c r="P226" s="214">
        <v>361.8</v>
      </c>
      <c r="Q226" s="214">
        <v>308.60000000000002</v>
      </c>
      <c r="R226" s="214">
        <v>304.3</v>
      </c>
      <c r="S226" s="214">
        <v>332.2</v>
      </c>
      <c r="T226" s="214">
        <v>319.2</v>
      </c>
      <c r="U226" s="214">
        <v>299</v>
      </c>
      <c r="V226" s="214">
        <v>271.10000000000002</v>
      </c>
      <c r="W226" s="214">
        <v>298.60000000000002</v>
      </c>
      <c r="X226" s="214">
        <v>110.8</v>
      </c>
      <c r="Y226" s="214"/>
      <c r="Z226" s="214"/>
      <c r="AA226" s="214"/>
      <c r="AB226" s="214"/>
      <c r="AC226" s="214"/>
      <c r="AD226" s="214"/>
      <c r="AE226" s="214"/>
      <c r="AF226" s="214"/>
      <c r="AG226" s="214">
        <v>265.10000000000002</v>
      </c>
      <c r="AH226" s="214">
        <v>287.60000000000002</v>
      </c>
      <c r="AI226" s="214">
        <v>291.7</v>
      </c>
      <c r="AJ226" s="214">
        <v>292.7</v>
      </c>
      <c r="AL226" s="83">
        <f t="shared" si="85"/>
        <v>6934.0000000000009</v>
      </c>
      <c r="AM226" s="266"/>
      <c r="AN226" s="14"/>
    </row>
    <row r="227" spans="2:47" s="47" customFormat="1" ht="17.25" x14ac:dyDescent="0.25">
      <c r="B227" s="98"/>
      <c r="C227" s="184" t="s">
        <v>8</v>
      </c>
      <c r="D227" s="213">
        <f>D222-SUM(D224:D226)</f>
        <v>143.69500000000005</v>
      </c>
      <c r="E227" s="281" t="s">
        <v>136</v>
      </c>
      <c r="F227" s="214">
        <f t="shared" ref="F227:K227" si="86">F222-(SUM(F224:F226))</f>
        <v>35.700000000000045</v>
      </c>
      <c r="G227" s="214">
        <f t="shared" si="86"/>
        <v>164.3</v>
      </c>
      <c r="H227" s="214">
        <f t="shared" si="86"/>
        <v>148.10000000000002</v>
      </c>
      <c r="I227" s="214">
        <f t="shared" si="86"/>
        <v>40</v>
      </c>
      <c r="J227" s="214">
        <f t="shared" si="86"/>
        <v>161.29999999999995</v>
      </c>
      <c r="K227" s="214">
        <f t="shared" si="86"/>
        <v>55</v>
      </c>
      <c r="L227" s="214">
        <f t="shared" ref="L227:AJ227" si="87">L222-(SUM(L224:L226))</f>
        <v>241.5</v>
      </c>
      <c r="M227" s="214">
        <f>M222-(SUM(M224:M226))</f>
        <v>-36.199999999999989</v>
      </c>
      <c r="N227" s="214">
        <f t="shared" si="87"/>
        <v>130.5</v>
      </c>
      <c r="O227" s="214">
        <f t="shared" si="87"/>
        <v>147.5</v>
      </c>
      <c r="P227" s="214">
        <f t="shared" si="87"/>
        <v>72.200000000000045</v>
      </c>
      <c r="Q227" s="214">
        <f t="shared" si="87"/>
        <v>159.39999999999998</v>
      </c>
      <c r="R227" s="214">
        <f t="shared" si="87"/>
        <v>136.69999999999999</v>
      </c>
      <c r="S227" s="214">
        <f t="shared" si="87"/>
        <v>11.800000000000011</v>
      </c>
      <c r="T227" s="214">
        <f t="shared" si="87"/>
        <v>222.8</v>
      </c>
      <c r="U227" s="214">
        <f t="shared" si="87"/>
        <v>107</v>
      </c>
      <c r="V227" s="214">
        <f t="shared" si="87"/>
        <v>121.89999999999998</v>
      </c>
      <c r="W227" s="214">
        <f t="shared" si="87"/>
        <v>-7.6000000000000227</v>
      </c>
      <c r="X227" s="214">
        <f t="shared" si="87"/>
        <v>194.2</v>
      </c>
      <c r="Y227" s="214">
        <f t="shared" si="87"/>
        <v>0</v>
      </c>
      <c r="Z227" s="214">
        <f t="shared" si="87"/>
        <v>0</v>
      </c>
      <c r="AA227" s="214">
        <f t="shared" si="87"/>
        <v>0</v>
      </c>
      <c r="AB227" s="214">
        <f t="shared" si="87"/>
        <v>0</v>
      </c>
      <c r="AC227" s="214">
        <f t="shared" si="87"/>
        <v>0</v>
      </c>
      <c r="AD227" s="214">
        <f t="shared" si="87"/>
        <v>343</v>
      </c>
      <c r="AE227" s="214">
        <f t="shared" si="87"/>
        <v>240</v>
      </c>
      <c r="AF227" s="214">
        <f t="shared" si="87"/>
        <v>410</v>
      </c>
      <c r="AG227" s="214">
        <f t="shared" si="87"/>
        <v>72.899999999999977</v>
      </c>
      <c r="AH227" s="214">
        <f t="shared" si="87"/>
        <v>122.39999999999998</v>
      </c>
      <c r="AI227" s="214">
        <f t="shared" si="87"/>
        <v>13.300000000000011</v>
      </c>
      <c r="AJ227" s="214">
        <f t="shared" si="87"/>
        <v>199.29999999999995</v>
      </c>
      <c r="AL227" s="83">
        <f t="shared" si="85"/>
        <v>3507</v>
      </c>
      <c r="AM227" s="266"/>
      <c r="AN227" s="84"/>
    </row>
    <row r="228" spans="2:47" s="47" customFormat="1" ht="17.25" x14ac:dyDescent="0.25">
      <c r="B228" s="98"/>
      <c r="C228" s="184" t="s">
        <v>7</v>
      </c>
      <c r="D228" s="213">
        <f>30%*D222</f>
        <v>225</v>
      </c>
      <c r="E228" s="281" t="s">
        <v>136</v>
      </c>
      <c r="F228" s="214">
        <v>130</v>
      </c>
      <c r="G228" s="214">
        <v>158</v>
      </c>
      <c r="H228" s="214">
        <v>216</v>
      </c>
      <c r="I228" s="214">
        <v>168</v>
      </c>
      <c r="J228" s="214">
        <v>162</v>
      </c>
      <c r="K228" s="214">
        <v>187</v>
      </c>
      <c r="L228" s="214">
        <v>126</v>
      </c>
      <c r="M228" s="214">
        <v>146</v>
      </c>
      <c r="N228" s="214">
        <v>138</v>
      </c>
      <c r="O228" s="214">
        <v>125</v>
      </c>
      <c r="P228" s="214">
        <v>146</v>
      </c>
      <c r="Q228" s="214">
        <v>103</v>
      </c>
      <c r="R228" s="214">
        <v>158</v>
      </c>
      <c r="S228" s="214">
        <v>136</v>
      </c>
      <c r="T228" s="214">
        <v>109</v>
      </c>
      <c r="U228" s="214">
        <v>141</v>
      </c>
      <c r="V228" s="214">
        <v>169</v>
      </c>
      <c r="W228" s="214">
        <v>174</v>
      </c>
      <c r="X228" s="214">
        <v>42</v>
      </c>
      <c r="Y228" s="214">
        <v>111</v>
      </c>
      <c r="Z228" s="214">
        <v>274</v>
      </c>
      <c r="AA228" s="214">
        <v>0</v>
      </c>
      <c r="AB228" s="214">
        <v>251</v>
      </c>
      <c r="AC228" s="214"/>
      <c r="AD228" s="214"/>
      <c r="AE228" s="214"/>
      <c r="AF228" s="214">
        <v>23</v>
      </c>
      <c r="AG228" s="214">
        <v>136</v>
      </c>
      <c r="AH228" s="214">
        <v>151</v>
      </c>
      <c r="AI228" s="214">
        <v>115</v>
      </c>
      <c r="AJ228" s="214">
        <v>136</v>
      </c>
      <c r="AL228" s="83">
        <f t="shared" si="85"/>
        <v>3931</v>
      </c>
      <c r="AM228" s="266"/>
    </row>
    <row r="229" spans="2:47" x14ac:dyDescent="0.25">
      <c r="B229" s="164">
        <v>11</v>
      </c>
      <c r="C229" s="148" t="s">
        <v>6</v>
      </c>
      <c r="D229" s="149"/>
      <c r="E229" s="275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  <c r="AA229" s="111"/>
      <c r="AB229" s="111"/>
      <c r="AC229" s="111"/>
      <c r="AD229" s="111"/>
      <c r="AE229" s="111"/>
      <c r="AF229" s="111"/>
      <c r="AG229" s="111"/>
      <c r="AH229" s="111"/>
      <c r="AI229" s="111"/>
      <c r="AJ229" s="111"/>
      <c r="AK229" s="9"/>
      <c r="AL229" s="12" t="s">
        <v>5</v>
      </c>
      <c r="AM229" s="267"/>
    </row>
    <row r="230" spans="2:47" x14ac:dyDescent="0.25">
      <c r="B230" s="217"/>
      <c r="C230" s="218" t="s">
        <v>4</v>
      </c>
      <c r="D230" s="219"/>
      <c r="E230" s="310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9"/>
      <c r="AL230" s="11" t="s">
        <v>4</v>
      </c>
      <c r="AM230" s="260"/>
    </row>
    <row r="231" spans="2:47" x14ac:dyDescent="0.25">
      <c r="B231" s="217"/>
      <c r="C231" s="150" t="s">
        <v>3</v>
      </c>
      <c r="D231" s="121">
        <v>28770</v>
      </c>
      <c r="E231" s="217" t="s">
        <v>2</v>
      </c>
      <c r="F231" s="119">
        <v>22000</v>
      </c>
      <c r="G231" s="119">
        <v>23600</v>
      </c>
      <c r="H231" s="10">
        <v>25700</v>
      </c>
      <c r="I231" s="10">
        <v>25000</v>
      </c>
      <c r="J231" s="119">
        <v>24200</v>
      </c>
      <c r="K231" s="10">
        <v>22000</v>
      </c>
      <c r="L231" s="119">
        <v>24400</v>
      </c>
      <c r="M231" s="10">
        <v>22300</v>
      </c>
      <c r="N231" s="119">
        <v>24000</v>
      </c>
      <c r="O231" s="119">
        <v>22600</v>
      </c>
      <c r="P231" s="119">
        <v>24000</v>
      </c>
      <c r="Q231" s="119">
        <v>23900</v>
      </c>
      <c r="R231" s="119">
        <v>23700</v>
      </c>
      <c r="S231" s="119">
        <v>22100</v>
      </c>
      <c r="T231" s="119">
        <v>21700</v>
      </c>
      <c r="U231" s="10">
        <v>23900</v>
      </c>
      <c r="V231" s="119">
        <v>20700</v>
      </c>
      <c r="W231" s="119">
        <v>19000</v>
      </c>
      <c r="X231" s="119">
        <v>9600</v>
      </c>
      <c r="Y231" s="10">
        <v>5000</v>
      </c>
      <c r="Z231" s="119">
        <v>4400</v>
      </c>
      <c r="AA231" s="119">
        <v>2900</v>
      </c>
      <c r="AB231" s="119">
        <v>3500</v>
      </c>
      <c r="AC231" s="119">
        <v>4200</v>
      </c>
      <c r="AD231" s="119">
        <v>5000</v>
      </c>
      <c r="AE231" s="119">
        <v>5000</v>
      </c>
      <c r="AF231" s="119">
        <v>6500</v>
      </c>
      <c r="AG231" s="119">
        <v>12700</v>
      </c>
      <c r="AH231" s="119">
        <v>19700</v>
      </c>
      <c r="AI231" s="119">
        <v>24700</v>
      </c>
      <c r="AJ231" s="119">
        <v>26800</v>
      </c>
      <c r="AK231" s="9"/>
      <c r="AL231" s="8">
        <f>SUM(F231:AJ231)</f>
        <v>544800</v>
      </c>
      <c r="AM231" s="235"/>
    </row>
    <row r="232" spans="2:47" ht="15.75" thickBot="1" x14ac:dyDescent="0.3">
      <c r="B232" s="220"/>
      <c r="C232" s="221" t="s">
        <v>1</v>
      </c>
      <c r="D232" s="222"/>
      <c r="E232" s="223" t="s">
        <v>0</v>
      </c>
      <c r="F232" s="224">
        <f t="shared" ref="F232:AJ232" si="88">SUM(F231:F231)</f>
        <v>22000</v>
      </c>
      <c r="G232" s="224">
        <f t="shared" si="88"/>
        <v>23600</v>
      </c>
      <c r="H232" s="224">
        <f t="shared" si="88"/>
        <v>25700</v>
      </c>
      <c r="I232" s="224">
        <f t="shared" si="88"/>
        <v>25000</v>
      </c>
      <c r="J232" s="224">
        <f t="shared" si="88"/>
        <v>24200</v>
      </c>
      <c r="K232" s="224">
        <f t="shared" si="88"/>
        <v>22000</v>
      </c>
      <c r="L232" s="224">
        <f t="shared" si="88"/>
        <v>24400</v>
      </c>
      <c r="M232" s="224">
        <f t="shared" si="88"/>
        <v>22300</v>
      </c>
      <c r="N232" s="224">
        <f t="shared" si="88"/>
        <v>24000</v>
      </c>
      <c r="O232" s="224">
        <f t="shared" si="88"/>
        <v>22600</v>
      </c>
      <c r="P232" s="224">
        <f t="shared" si="88"/>
        <v>24000</v>
      </c>
      <c r="Q232" s="224">
        <f t="shared" si="88"/>
        <v>23900</v>
      </c>
      <c r="R232" s="224">
        <f t="shared" si="88"/>
        <v>23700</v>
      </c>
      <c r="S232" s="224">
        <f t="shared" si="88"/>
        <v>22100</v>
      </c>
      <c r="T232" s="224">
        <f t="shared" si="88"/>
        <v>21700</v>
      </c>
      <c r="U232" s="224">
        <f>SUM(U231:U231)</f>
        <v>23900</v>
      </c>
      <c r="V232" s="224">
        <f t="shared" si="88"/>
        <v>20700</v>
      </c>
      <c r="W232" s="224">
        <f t="shared" si="88"/>
        <v>19000</v>
      </c>
      <c r="X232" s="224">
        <f t="shared" si="88"/>
        <v>9600</v>
      </c>
      <c r="Y232" s="224">
        <f t="shared" si="88"/>
        <v>5000</v>
      </c>
      <c r="Z232" s="224">
        <f t="shared" si="88"/>
        <v>4400</v>
      </c>
      <c r="AA232" s="224">
        <f t="shared" si="88"/>
        <v>2900</v>
      </c>
      <c r="AB232" s="224">
        <f t="shared" si="88"/>
        <v>3500</v>
      </c>
      <c r="AC232" s="224">
        <f t="shared" si="88"/>
        <v>4200</v>
      </c>
      <c r="AD232" s="224">
        <f t="shared" si="88"/>
        <v>5000</v>
      </c>
      <c r="AE232" s="224">
        <f t="shared" si="88"/>
        <v>5000</v>
      </c>
      <c r="AF232" s="224">
        <f t="shared" si="88"/>
        <v>6500</v>
      </c>
      <c r="AG232" s="224">
        <f t="shared" si="88"/>
        <v>12700</v>
      </c>
      <c r="AH232" s="224">
        <f>SUM(AH231:AH231)</f>
        <v>19700</v>
      </c>
      <c r="AI232" s="224">
        <f>SUM(AI231:AI231)</f>
        <v>24700</v>
      </c>
      <c r="AJ232" s="224">
        <f t="shared" si="88"/>
        <v>26800</v>
      </c>
      <c r="AK232" s="225"/>
      <c r="AL232" s="5">
        <f>SUM(F232:AJ232)</f>
        <v>544800</v>
      </c>
      <c r="AM232" s="19"/>
    </row>
    <row r="234" spans="2:47" x14ac:dyDescent="0.25">
      <c r="AH234" s="7"/>
      <c r="AI234" s="7"/>
      <c r="AJ234" s="7"/>
    </row>
    <row r="235" spans="2:47" x14ac:dyDescent="0.25">
      <c r="AH235" s="7"/>
      <c r="AI235" s="7"/>
      <c r="AJ235" s="7"/>
    </row>
    <row r="236" spans="2:47" x14ac:dyDescent="0.25">
      <c r="AH236" s="7"/>
      <c r="AI236" s="7"/>
      <c r="AJ236" s="7"/>
    </row>
  </sheetData>
  <mergeCells count="7">
    <mergeCell ref="B2:AJ2"/>
    <mergeCell ref="AL5:AL6"/>
    <mergeCell ref="B5:B6"/>
    <mergeCell ref="C5:C6"/>
    <mergeCell ref="D5:D6"/>
    <mergeCell ref="E5:E6"/>
    <mergeCell ref="F5:AJ5"/>
  </mergeCells>
  <pageMargins left="0.7" right="0.7" top="0.75" bottom="0.75" header="0.3" footer="0.3"/>
  <pageSetup paperSize="9" orientation="portrait" horizontalDpi="90" verticalDpi="9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Jan-23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yl01ap9n@outlook.com</cp:lastModifiedBy>
  <dcterms:created xsi:type="dcterms:W3CDTF">2022-09-06T08:59:53Z</dcterms:created>
  <dcterms:modified xsi:type="dcterms:W3CDTF">2024-08-20T09:31:38Z</dcterms:modified>
</cp:coreProperties>
</file>