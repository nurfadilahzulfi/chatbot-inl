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3\"/>
    </mc:Choice>
  </mc:AlternateContent>
  <xr:revisionPtr revIDLastSave="0" documentId="13_ncr:1_{641AC7EC-7A93-4176-AB47-3835B71FCB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rl-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58" i="1" l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AK257" i="1"/>
  <c r="AK256" i="1"/>
  <c r="AK255" i="1"/>
  <c r="AK254" i="1"/>
  <c r="AK253" i="1"/>
  <c r="AK258" i="1" s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AK250" i="1"/>
  <c r="AK249" i="1"/>
  <c r="AK248" i="1"/>
  <c r="AK247" i="1"/>
  <c r="AK246" i="1"/>
  <c r="AK251" i="1" s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AK243" i="1"/>
  <c r="AK240" i="1"/>
  <c r="D240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AK238" i="1"/>
  <c r="D238" i="1"/>
  <c r="D239" i="1" s="1"/>
  <c r="AK237" i="1"/>
  <c r="AK236" i="1"/>
  <c r="AK234" i="1"/>
  <c r="AI231" i="1"/>
  <c r="AI232" i="1" s="1"/>
  <c r="AH231" i="1"/>
  <c r="AH232" i="1" s="1"/>
  <c r="AG231" i="1"/>
  <c r="AG232" i="1" s="1"/>
  <c r="AF231" i="1"/>
  <c r="AF232" i="1" s="1"/>
  <c r="AE231" i="1"/>
  <c r="AE232" i="1" s="1"/>
  <c r="AD231" i="1"/>
  <c r="AD232" i="1" s="1"/>
  <c r="AC231" i="1"/>
  <c r="AC232" i="1" s="1"/>
  <c r="AB231" i="1"/>
  <c r="AB232" i="1" s="1"/>
  <c r="AA231" i="1"/>
  <c r="AA232" i="1" s="1"/>
  <c r="Z231" i="1"/>
  <c r="Z232" i="1" s="1"/>
  <c r="Y231" i="1"/>
  <c r="Y232" i="1" s="1"/>
  <c r="X231" i="1"/>
  <c r="X232" i="1" s="1"/>
  <c r="W231" i="1"/>
  <c r="W232" i="1" s="1"/>
  <c r="V231" i="1"/>
  <c r="V232" i="1" s="1"/>
  <c r="U231" i="1"/>
  <c r="U232" i="1" s="1"/>
  <c r="T231" i="1"/>
  <c r="T232" i="1" s="1"/>
  <c r="S231" i="1"/>
  <c r="S232" i="1" s="1"/>
  <c r="R231" i="1"/>
  <c r="R232" i="1" s="1"/>
  <c r="Q231" i="1"/>
  <c r="Q232" i="1" s="1"/>
  <c r="P231" i="1"/>
  <c r="P232" i="1" s="1"/>
  <c r="O231" i="1"/>
  <c r="O232" i="1" s="1"/>
  <c r="N231" i="1"/>
  <c r="N232" i="1" s="1"/>
  <c r="M231" i="1"/>
  <c r="M232" i="1" s="1"/>
  <c r="L231" i="1"/>
  <c r="L232" i="1" s="1"/>
  <c r="K231" i="1"/>
  <c r="K232" i="1" s="1"/>
  <c r="J231" i="1"/>
  <c r="J232" i="1" s="1"/>
  <c r="I231" i="1"/>
  <c r="I232" i="1" s="1"/>
  <c r="H231" i="1"/>
  <c r="H232" i="1" s="1"/>
  <c r="G231" i="1"/>
  <c r="G232" i="1" s="1"/>
  <c r="F231" i="1"/>
  <c r="F232" i="1" s="1"/>
  <c r="AK230" i="1"/>
  <c r="AK229" i="1"/>
  <c r="AK227" i="1"/>
  <c r="D227" i="1"/>
  <c r="D231" i="1" s="1"/>
  <c r="D232" i="1" s="1"/>
  <c r="AI225" i="1"/>
  <c r="AI224" i="1" s="1"/>
  <c r="AH225" i="1"/>
  <c r="AG225" i="1"/>
  <c r="AF225" i="1"/>
  <c r="AF224" i="1" s="1"/>
  <c r="AE225" i="1"/>
  <c r="AE224" i="1" s="1"/>
  <c r="AD225" i="1"/>
  <c r="AC225" i="1"/>
  <c r="AB225" i="1"/>
  <c r="AB224" i="1" s="1"/>
  <c r="AA225" i="1"/>
  <c r="AA224" i="1" s="1"/>
  <c r="Z225" i="1"/>
  <c r="Y225" i="1"/>
  <c r="X225" i="1"/>
  <c r="X224" i="1" s="1"/>
  <c r="W225" i="1"/>
  <c r="W224" i="1" s="1"/>
  <c r="V225" i="1"/>
  <c r="U225" i="1"/>
  <c r="T225" i="1"/>
  <c r="T224" i="1" s="1"/>
  <c r="S225" i="1"/>
  <c r="S224" i="1" s="1"/>
  <c r="R225" i="1"/>
  <c r="Q225" i="1"/>
  <c r="P225" i="1"/>
  <c r="P224" i="1" s="1"/>
  <c r="O225" i="1"/>
  <c r="O224" i="1" s="1"/>
  <c r="N225" i="1"/>
  <c r="M225" i="1"/>
  <c r="L225" i="1"/>
  <c r="L224" i="1" s="1"/>
  <c r="K225" i="1"/>
  <c r="K224" i="1" s="1"/>
  <c r="J225" i="1"/>
  <c r="I225" i="1"/>
  <c r="H225" i="1"/>
  <c r="H224" i="1" s="1"/>
  <c r="G225" i="1"/>
  <c r="G224" i="1" s="1"/>
  <c r="F225" i="1"/>
  <c r="D225" i="1"/>
  <c r="D221" i="1" s="1"/>
  <c r="AH224" i="1"/>
  <c r="AG224" i="1"/>
  <c r="AD224" i="1"/>
  <c r="AC224" i="1"/>
  <c r="Z224" i="1"/>
  <c r="Y224" i="1"/>
  <c r="V224" i="1"/>
  <c r="U224" i="1"/>
  <c r="R224" i="1"/>
  <c r="Q224" i="1"/>
  <c r="N224" i="1"/>
  <c r="M224" i="1"/>
  <c r="J224" i="1"/>
  <c r="I224" i="1"/>
  <c r="F224" i="1"/>
  <c r="AK223" i="1"/>
  <c r="AK221" i="1"/>
  <c r="AK220" i="1"/>
  <c r="AI218" i="1"/>
  <c r="AH218" i="1"/>
  <c r="AF218" i="1"/>
  <c r="AD218" i="1"/>
  <c r="AC218" i="1"/>
  <c r="AB218" i="1"/>
  <c r="AA218" i="1"/>
  <c r="Z218" i="1"/>
  <c r="Y218" i="1"/>
  <c r="X218" i="1"/>
  <c r="W218" i="1"/>
  <c r="U218" i="1"/>
  <c r="T218" i="1"/>
  <c r="S218" i="1"/>
  <c r="R218" i="1"/>
  <c r="Q218" i="1"/>
  <c r="P218" i="1"/>
  <c r="O218" i="1"/>
  <c r="N218" i="1"/>
  <c r="M218" i="1"/>
  <c r="L218" i="1"/>
  <c r="K218" i="1"/>
  <c r="I218" i="1"/>
  <c r="AD217" i="1"/>
  <c r="J217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AH215" i="1"/>
  <c r="AG215" i="1"/>
  <c r="AF215" i="1"/>
  <c r="AD215" i="1"/>
  <c r="AC215" i="1"/>
  <c r="AB215" i="1"/>
  <c r="AA215" i="1"/>
  <c r="Z215" i="1"/>
  <c r="Y215" i="1"/>
  <c r="X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AI214" i="1"/>
  <c r="AH214" i="1"/>
  <c r="AG214" i="1"/>
  <c r="AG217" i="1" s="1"/>
  <c r="AF214" i="1"/>
  <c r="AF217" i="1" s="1"/>
  <c r="AE214" i="1"/>
  <c r="AD214" i="1"/>
  <c r="AC214" i="1"/>
  <c r="AC217" i="1" s="1"/>
  <c r="AB214" i="1"/>
  <c r="AB217" i="1" s="1"/>
  <c r="AA214" i="1"/>
  <c r="AA217" i="1" s="1"/>
  <c r="Z214" i="1"/>
  <c r="Z217" i="1" s="1"/>
  <c r="Y214" i="1"/>
  <c r="Y217" i="1" s="1"/>
  <c r="X214" i="1"/>
  <c r="X217" i="1" s="1"/>
  <c r="W214" i="1"/>
  <c r="V214" i="1"/>
  <c r="U214" i="1"/>
  <c r="U217" i="1" s="1"/>
  <c r="T214" i="1"/>
  <c r="S214" i="1"/>
  <c r="R214" i="1"/>
  <c r="R217" i="1" s="1"/>
  <c r="Q214" i="1"/>
  <c r="Q217" i="1" s="1"/>
  <c r="P214" i="1"/>
  <c r="O214" i="1"/>
  <c r="N214" i="1"/>
  <c r="N217" i="1" s="1"/>
  <c r="M214" i="1"/>
  <c r="M217" i="1" s="1"/>
  <c r="L214" i="1"/>
  <c r="K214" i="1"/>
  <c r="J214" i="1"/>
  <c r="I214" i="1"/>
  <c r="I217" i="1" s="1"/>
  <c r="H214" i="1"/>
  <c r="G214" i="1"/>
  <c r="F214" i="1"/>
  <c r="F217" i="1" s="1"/>
  <c r="AI213" i="1"/>
  <c r="AH213" i="1"/>
  <c r="AG213" i="1"/>
  <c r="AE213" i="1"/>
  <c r="AD213" i="1"/>
  <c r="AC213" i="1"/>
  <c r="AB213" i="1"/>
  <c r="AA213" i="1"/>
  <c r="Z213" i="1"/>
  <c r="Y213" i="1"/>
  <c r="X213" i="1"/>
  <c r="W213" i="1"/>
  <c r="V213" i="1"/>
  <c r="U213" i="1"/>
  <c r="M213" i="1"/>
  <c r="L213" i="1"/>
  <c r="K213" i="1"/>
  <c r="I213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AF208" i="1"/>
  <c r="AF213" i="1" s="1"/>
  <c r="T208" i="1"/>
  <c r="T213" i="1" s="1"/>
  <c r="S208" i="1"/>
  <c r="S213" i="1" s="1"/>
  <c r="R208" i="1"/>
  <c r="R213" i="1" s="1"/>
  <c r="Q208" i="1"/>
  <c r="Q213" i="1" s="1"/>
  <c r="P208" i="1"/>
  <c r="P213" i="1" s="1"/>
  <c r="O208" i="1"/>
  <c r="O213" i="1" s="1"/>
  <c r="N208" i="1"/>
  <c r="N213" i="1" s="1"/>
  <c r="J208" i="1"/>
  <c r="J213" i="1" s="1"/>
  <c r="H208" i="1"/>
  <c r="H213" i="1" s="1"/>
  <c r="G208" i="1"/>
  <c r="G213" i="1" s="1"/>
  <c r="F208" i="1"/>
  <c r="F213" i="1" s="1"/>
  <c r="AK206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AK199" i="1"/>
  <c r="AK201" i="1" s="1"/>
  <c r="AK197" i="1"/>
  <c r="AA196" i="1"/>
  <c r="W196" i="1"/>
  <c r="K196" i="1"/>
  <c r="G196" i="1"/>
  <c r="AI195" i="1"/>
  <c r="AI196" i="1" s="1"/>
  <c r="AH195" i="1"/>
  <c r="AH196" i="1" s="1"/>
  <c r="AG195" i="1"/>
  <c r="AG196" i="1" s="1"/>
  <c r="AF195" i="1"/>
  <c r="AF196" i="1" s="1"/>
  <c r="AE195" i="1"/>
  <c r="AE196" i="1" s="1"/>
  <c r="AD195" i="1"/>
  <c r="AD196" i="1" s="1"/>
  <c r="AC195" i="1"/>
  <c r="AC196" i="1" s="1"/>
  <c r="AB195" i="1"/>
  <c r="AB196" i="1" s="1"/>
  <c r="AA195" i="1"/>
  <c r="Z195" i="1"/>
  <c r="Z196" i="1" s="1"/>
  <c r="Y195" i="1"/>
  <c r="Y196" i="1" s="1"/>
  <c r="X195" i="1"/>
  <c r="X196" i="1" s="1"/>
  <c r="W195" i="1"/>
  <c r="V195" i="1"/>
  <c r="V196" i="1" s="1"/>
  <c r="U195" i="1"/>
  <c r="U196" i="1" s="1"/>
  <c r="T195" i="1"/>
  <c r="T196" i="1" s="1"/>
  <c r="S195" i="1"/>
  <c r="S196" i="1" s="1"/>
  <c r="R195" i="1"/>
  <c r="R196" i="1" s="1"/>
  <c r="Q195" i="1"/>
  <c r="Q196" i="1" s="1"/>
  <c r="P195" i="1"/>
  <c r="P196" i="1" s="1"/>
  <c r="O195" i="1"/>
  <c r="O196" i="1" s="1"/>
  <c r="N195" i="1"/>
  <c r="N196" i="1" s="1"/>
  <c r="M195" i="1"/>
  <c r="M196" i="1" s="1"/>
  <c r="L195" i="1"/>
  <c r="L196" i="1" s="1"/>
  <c r="K195" i="1"/>
  <c r="J195" i="1"/>
  <c r="J196" i="1" s="1"/>
  <c r="I195" i="1"/>
  <c r="I196" i="1" s="1"/>
  <c r="H195" i="1"/>
  <c r="H196" i="1" s="1"/>
  <c r="G195" i="1"/>
  <c r="F195" i="1"/>
  <c r="AK194" i="1"/>
  <c r="AK193" i="1"/>
  <c r="AI191" i="1"/>
  <c r="AH191" i="1"/>
  <c r="AG191" i="1"/>
  <c r="AD191" i="1"/>
  <c r="N191" i="1"/>
  <c r="AI190" i="1"/>
  <c r="AH190" i="1"/>
  <c r="AG190" i="1"/>
  <c r="U190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AK184" i="1"/>
  <c r="AK191" i="1" s="1"/>
  <c r="AK183" i="1"/>
  <c r="AK181" i="1"/>
  <c r="AK180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AF175" i="1"/>
  <c r="AF191" i="1" s="1"/>
  <c r="AE175" i="1"/>
  <c r="AE191" i="1" s="1"/>
  <c r="AD175" i="1"/>
  <c r="AC175" i="1"/>
  <c r="AC191" i="1" s="1"/>
  <c r="AB175" i="1"/>
  <c r="AB191" i="1" s="1"/>
  <c r="AA175" i="1"/>
  <c r="AA191" i="1" s="1"/>
  <c r="Z175" i="1"/>
  <c r="Z191" i="1" s="1"/>
  <c r="Y175" i="1"/>
  <c r="Y191" i="1" s="1"/>
  <c r="X175" i="1"/>
  <c r="X191" i="1" s="1"/>
  <c r="W175" i="1"/>
  <c r="W191" i="1" s="1"/>
  <c r="V175" i="1"/>
  <c r="V191" i="1" s="1"/>
  <c r="U175" i="1"/>
  <c r="U191" i="1" s="1"/>
  <c r="T175" i="1"/>
  <c r="T191" i="1" s="1"/>
  <c r="S175" i="1"/>
  <c r="S191" i="1" s="1"/>
  <c r="R175" i="1"/>
  <c r="R191" i="1" s="1"/>
  <c r="Q175" i="1"/>
  <c r="Q191" i="1" s="1"/>
  <c r="P175" i="1"/>
  <c r="P191" i="1" s="1"/>
  <c r="O175" i="1"/>
  <c r="O191" i="1" s="1"/>
  <c r="N175" i="1"/>
  <c r="M175" i="1"/>
  <c r="M191" i="1" s="1"/>
  <c r="L175" i="1"/>
  <c r="L191" i="1" s="1"/>
  <c r="K175" i="1"/>
  <c r="K191" i="1" s="1"/>
  <c r="J175" i="1"/>
  <c r="J191" i="1" s="1"/>
  <c r="I175" i="1"/>
  <c r="I191" i="1" s="1"/>
  <c r="H175" i="1"/>
  <c r="H191" i="1" s="1"/>
  <c r="G175" i="1"/>
  <c r="G191" i="1" s="1"/>
  <c r="F175" i="1"/>
  <c r="F191" i="1" s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AF173" i="1"/>
  <c r="AF190" i="1" s="1"/>
  <c r="AE173" i="1"/>
  <c r="AE190" i="1" s="1"/>
  <c r="AD173" i="1"/>
  <c r="AD190" i="1" s="1"/>
  <c r="AC173" i="1"/>
  <c r="AC190" i="1" s="1"/>
  <c r="AB173" i="1"/>
  <c r="AB190" i="1" s="1"/>
  <c r="AA173" i="1"/>
  <c r="AA190" i="1" s="1"/>
  <c r="Z173" i="1"/>
  <c r="Z190" i="1" s="1"/>
  <c r="Y173" i="1"/>
  <c r="Y190" i="1" s="1"/>
  <c r="X173" i="1"/>
  <c r="X190" i="1" s="1"/>
  <c r="W173" i="1"/>
  <c r="W190" i="1" s="1"/>
  <c r="V173" i="1"/>
  <c r="V190" i="1" s="1"/>
  <c r="U173" i="1"/>
  <c r="T173" i="1"/>
  <c r="T190" i="1" s="1"/>
  <c r="S173" i="1"/>
  <c r="S190" i="1" s="1"/>
  <c r="R173" i="1"/>
  <c r="R190" i="1" s="1"/>
  <c r="Q173" i="1"/>
  <c r="Q190" i="1" s="1"/>
  <c r="P173" i="1"/>
  <c r="P190" i="1" s="1"/>
  <c r="O173" i="1"/>
  <c r="O190" i="1" s="1"/>
  <c r="N173" i="1"/>
  <c r="N190" i="1" s="1"/>
  <c r="M173" i="1"/>
  <c r="M190" i="1" s="1"/>
  <c r="L173" i="1"/>
  <c r="L190" i="1" s="1"/>
  <c r="K173" i="1"/>
  <c r="K190" i="1" s="1"/>
  <c r="J173" i="1"/>
  <c r="J190" i="1" s="1"/>
  <c r="I173" i="1"/>
  <c r="I190" i="1" s="1"/>
  <c r="H173" i="1"/>
  <c r="H190" i="1" s="1"/>
  <c r="G173" i="1"/>
  <c r="G190" i="1" s="1"/>
  <c r="F173" i="1"/>
  <c r="F190" i="1" s="1"/>
  <c r="AK171" i="1"/>
  <c r="AK175" i="1" s="1"/>
  <c r="AK170" i="1"/>
  <c r="AK174" i="1" s="1"/>
  <c r="AK169" i="1"/>
  <c r="AK173" i="1" s="1"/>
  <c r="V167" i="1"/>
  <c r="AF166" i="1"/>
  <c r="AF167" i="1" s="1"/>
  <c r="AE166" i="1"/>
  <c r="AE167" i="1" s="1"/>
  <c r="AD166" i="1"/>
  <c r="AD167" i="1" s="1"/>
  <c r="AC166" i="1"/>
  <c r="AC167" i="1" s="1"/>
  <c r="AB166" i="1"/>
  <c r="AB167" i="1" s="1"/>
  <c r="AA166" i="1"/>
  <c r="AA167" i="1" s="1"/>
  <c r="Z166" i="1"/>
  <c r="Z167" i="1" s="1"/>
  <c r="Y166" i="1"/>
  <c r="Y167" i="1" s="1"/>
  <c r="X166" i="1"/>
  <c r="X167" i="1" s="1"/>
  <c r="W166" i="1"/>
  <c r="W167" i="1" s="1"/>
  <c r="V166" i="1"/>
  <c r="U166" i="1"/>
  <c r="U167" i="1" s="1"/>
  <c r="T166" i="1"/>
  <c r="T167" i="1" s="1"/>
  <c r="S166" i="1"/>
  <c r="R166" i="1"/>
  <c r="Q166" i="1"/>
  <c r="Q167" i="1" s="1"/>
  <c r="P166" i="1"/>
  <c r="P167" i="1" s="1"/>
  <c r="O166" i="1"/>
  <c r="O167" i="1" s="1"/>
  <c r="N166" i="1"/>
  <c r="N167" i="1" s="1"/>
  <c r="M166" i="1"/>
  <c r="M167" i="1" s="1"/>
  <c r="L166" i="1"/>
  <c r="L167" i="1" s="1"/>
  <c r="K166" i="1"/>
  <c r="K167" i="1" s="1"/>
  <c r="J166" i="1"/>
  <c r="J167" i="1" s="1"/>
  <c r="I166" i="1"/>
  <c r="I167" i="1" s="1"/>
  <c r="H166" i="1"/>
  <c r="H167" i="1" s="1"/>
  <c r="G166" i="1"/>
  <c r="G167" i="1" s="1"/>
  <c r="F166" i="1"/>
  <c r="F167" i="1" s="1"/>
  <c r="AF163" i="1"/>
  <c r="AE162" i="1"/>
  <c r="AA162" i="1"/>
  <c r="O162" i="1"/>
  <c r="K162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P163" i="1" s="1"/>
  <c r="O156" i="1"/>
  <c r="N156" i="1"/>
  <c r="M156" i="1"/>
  <c r="L156" i="1"/>
  <c r="K156" i="1"/>
  <c r="J156" i="1"/>
  <c r="I156" i="1"/>
  <c r="H156" i="1"/>
  <c r="G156" i="1"/>
  <c r="F156" i="1"/>
  <c r="C156" i="1"/>
  <c r="AI155" i="1"/>
  <c r="AI162" i="1" s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W162" i="1" s="1"/>
  <c r="V155" i="1"/>
  <c r="U155" i="1"/>
  <c r="T155" i="1"/>
  <c r="S155" i="1"/>
  <c r="S162" i="1" s="1"/>
  <c r="R155" i="1"/>
  <c r="Q155" i="1"/>
  <c r="P155" i="1"/>
  <c r="O155" i="1"/>
  <c r="N155" i="1"/>
  <c r="M155" i="1"/>
  <c r="L155" i="1"/>
  <c r="K155" i="1"/>
  <c r="J155" i="1"/>
  <c r="I155" i="1"/>
  <c r="H155" i="1"/>
  <c r="G155" i="1"/>
  <c r="G162" i="1" s="1"/>
  <c r="F155" i="1"/>
  <c r="C155" i="1"/>
  <c r="AK153" i="1"/>
  <c r="AK152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AI148" i="1"/>
  <c r="AH148" i="1"/>
  <c r="AF148" i="1"/>
  <c r="AD148" i="1"/>
  <c r="AC148" i="1"/>
  <c r="AB148" i="1"/>
  <c r="AA148" i="1"/>
  <c r="Z148" i="1"/>
  <c r="Y148" i="1"/>
  <c r="X148" i="1"/>
  <c r="W148" i="1"/>
  <c r="U148" i="1"/>
  <c r="T148" i="1"/>
  <c r="S148" i="1"/>
  <c r="R148" i="1"/>
  <c r="Q148" i="1"/>
  <c r="P148" i="1"/>
  <c r="O148" i="1"/>
  <c r="N148" i="1"/>
  <c r="M148" i="1"/>
  <c r="L148" i="1"/>
  <c r="K148" i="1"/>
  <c r="I148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AK144" i="1"/>
  <c r="AK147" i="1" s="1"/>
  <c r="AK143" i="1"/>
  <c r="AK146" i="1" s="1"/>
  <c r="T141" i="1"/>
  <c r="P141" i="1"/>
  <c r="O141" i="1"/>
  <c r="I141" i="1"/>
  <c r="AI140" i="1"/>
  <c r="AI141" i="1" s="1"/>
  <c r="AH140" i="1"/>
  <c r="AH141" i="1" s="1"/>
  <c r="AG140" i="1"/>
  <c r="AF140" i="1"/>
  <c r="AF141" i="1" s="1"/>
  <c r="AE140" i="1"/>
  <c r="AD140" i="1"/>
  <c r="AD141" i="1" s="1"/>
  <c r="AC140" i="1"/>
  <c r="AC141" i="1" s="1"/>
  <c r="AB140" i="1"/>
  <c r="AB141" i="1" s="1"/>
  <c r="AA140" i="1"/>
  <c r="AA141" i="1" s="1"/>
  <c r="Z140" i="1"/>
  <c r="Z141" i="1" s="1"/>
  <c r="Y140" i="1"/>
  <c r="Y141" i="1" s="1"/>
  <c r="X140" i="1"/>
  <c r="X141" i="1" s="1"/>
  <c r="W140" i="1"/>
  <c r="W141" i="1" s="1"/>
  <c r="V140" i="1"/>
  <c r="U140" i="1"/>
  <c r="U141" i="1" s="1"/>
  <c r="T140" i="1"/>
  <c r="S140" i="1"/>
  <c r="S141" i="1" s="1"/>
  <c r="R140" i="1"/>
  <c r="R141" i="1" s="1"/>
  <c r="Q140" i="1"/>
  <c r="Q141" i="1" s="1"/>
  <c r="P140" i="1"/>
  <c r="O140" i="1"/>
  <c r="N140" i="1"/>
  <c r="N141" i="1" s="1"/>
  <c r="M140" i="1"/>
  <c r="M141" i="1" s="1"/>
  <c r="L140" i="1"/>
  <c r="L141" i="1" s="1"/>
  <c r="K140" i="1"/>
  <c r="K141" i="1" s="1"/>
  <c r="J140" i="1"/>
  <c r="I140" i="1"/>
  <c r="H140" i="1"/>
  <c r="G140" i="1"/>
  <c r="F140" i="1"/>
  <c r="AK140" i="1" s="1"/>
  <c r="AG139" i="1"/>
  <c r="AE139" i="1"/>
  <c r="V139" i="1"/>
  <c r="J139" i="1"/>
  <c r="J148" i="1" s="1"/>
  <c r="H139" i="1"/>
  <c r="H141" i="1" s="1"/>
  <c r="G139" i="1"/>
  <c r="G141" i="1" s="1"/>
  <c r="F139" i="1"/>
  <c r="F218" i="1" s="1"/>
  <c r="AI138" i="1"/>
  <c r="AI215" i="1" s="1"/>
  <c r="AE138" i="1"/>
  <c r="AE215" i="1" s="1"/>
  <c r="W138" i="1"/>
  <c r="W215" i="1" s="1"/>
  <c r="V138" i="1"/>
  <c r="V215" i="1" s="1"/>
  <c r="V217" i="1" s="1"/>
  <c r="AI136" i="1"/>
  <c r="AH136" i="1"/>
  <c r="AG136" i="1"/>
  <c r="AD136" i="1"/>
  <c r="W136" i="1"/>
  <c r="R136" i="1"/>
  <c r="O136" i="1"/>
  <c r="J136" i="1"/>
  <c r="F136" i="1"/>
  <c r="AI135" i="1"/>
  <c r="AH135" i="1"/>
  <c r="AG135" i="1"/>
  <c r="AK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AF129" i="1"/>
  <c r="AE129" i="1"/>
  <c r="AC129" i="1"/>
  <c r="AC136" i="1" s="1"/>
  <c r="AB129" i="1"/>
  <c r="AA129" i="1"/>
  <c r="Z129" i="1"/>
  <c r="Z136" i="1" s="1"/>
  <c r="Y129" i="1"/>
  <c r="Y136" i="1" s="1"/>
  <c r="X129" i="1"/>
  <c r="H129" i="1"/>
  <c r="G129" i="1"/>
  <c r="F129" i="1"/>
  <c r="AK129" i="1" s="1"/>
  <c r="AK136" i="1" s="1"/>
  <c r="Z128" i="1"/>
  <c r="Z135" i="1" s="1"/>
  <c r="AK126" i="1"/>
  <c r="AK125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AK122" i="1" s="1"/>
  <c r="H122" i="1"/>
  <c r="G122" i="1"/>
  <c r="F122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AF120" i="1"/>
  <c r="AE120" i="1"/>
  <c r="AD120" i="1"/>
  <c r="AC120" i="1"/>
  <c r="AB120" i="1"/>
  <c r="AA120" i="1"/>
  <c r="Z120" i="1"/>
  <c r="Y120" i="1"/>
  <c r="X120" i="1"/>
  <c r="W120" i="1"/>
  <c r="V120" i="1"/>
  <c r="V136" i="1" s="1"/>
  <c r="U120" i="1"/>
  <c r="U136" i="1" s="1"/>
  <c r="T120" i="1"/>
  <c r="T136" i="1" s="1"/>
  <c r="S120" i="1"/>
  <c r="S136" i="1" s="1"/>
  <c r="R120" i="1"/>
  <c r="Q120" i="1"/>
  <c r="Q136" i="1" s="1"/>
  <c r="P120" i="1"/>
  <c r="P136" i="1" s="1"/>
  <c r="O120" i="1"/>
  <c r="N120" i="1"/>
  <c r="N136" i="1" s="1"/>
  <c r="M120" i="1"/>
  <c r="M136" i="1" s="1"/>
  <c r="L120" i="1"/>
  <c r="L136" i="1" s="1"/>
  <c r="K120" i="1"/>
  <c r="K136" i="1" s="1"/>
  <c r="J120" i="1"/>
  <c r="I120" i="1"/>
  <c r="I136" i="1" s="1"/>
  <c r="H120" i="1"/>
  <c r="G120" i="1"/>
  <c r="F120" i="1"/>
  <c r="AF119" i="1"/>
  <c r="AF128" i="1" s="1"/>
  <c r="AF135" i="1" s="1"/>
  <c r="AE119" i="1"/>
  <c r="AE128" i="1" s="1"/>
  <c r="AE135" i="1" s="1"/>
  <c r="AD119" i="1"/>
  <c r="AD135" i="1" s="1"/>
  <c r="AC119" i="1"/>
  <c r="AC128" i="1" s="1"/>
  <c r="AC135" i="1" s="1"/>
  <c r="AB119" i="1"/>
  <c r="AB128" i="1" s="1"/>
  <c r="AB135" i="1" s="1"/>
  <c r="AA119" i="1"/>
  <c r="AA128" i="1" s="1"/>
  <c r="AA135" i="1" s="1"/>
  <c r="Z119" i="1"/>
  <c r="Y119" i="1"/>
  <c r="Y128" i="1" s="1"/>
  <c r="Y135" i="1" s="1"/>
  <c r="X119" i="1"/>
  <c r="X128" i="1" s="1"/>
  <c r="X135" i="1" s="1"/>
  <c r="W119" i="1"/>
  <c r="W135" i="1" s="1"/>
  <c r="V119" i="1"/>
  <c r="V135" i="1" s="1"/>
  <c r="U119" i="1"/>
  <c r="U135" i="1" s="1"/>
  <c r="T119" i="1"/>
  <c r="T135" i="1" s="1"/>
  <c r="S119" i="1"/>
  <c r="S135" i="1" s="1"/>
  <c r="R119" i="1"/>
  <c r="R135" i="1" s="1"/>
  <c r="Q119" i="1"/>
  <c r="Q135" i="1" s="1"/>
  <c r="P119" i="1"/>
  <c r="P135" i="1" s="1"/>
  <c r="O119" i="1"/>
  <c r="O135" i="1" s="1"/>
  <c r="N119" i="1"/>
  <c r="N135" i="1" s="1"/>
  <c r="M119" i="1"/>
  <c r="M135" i="1" s="1"/>
  <c r="L119" i="1"/>
  <c r="L135" i="1" s="1"/>
  <c r="K119" i="1"/>
  <c r="K135" i="1" s="1"/>
  <c r="J119" i="1"/>
  <c r="J135" i="1" s="1"/>
  <c r="I119" i="1"/>
  <c r="I135" i="1" s="1"/>
  <c r="H119" i="1"/>
  <c r="H128" i="1" s="1"/>
  <c r="H135" i="1" s="1"/>
  <c r="G119" i="1"/>
  <c r="G128" i="1" s="1"/>
  <c r="G135" i="1" s="1"/>
  <c r="F119" i="1"/>
  <c r="F135" i="1" s="1"/>
  <c r="AK117" i="1"/>
  <c r="AK120" i="1" s="1"/>
  <c r="AK116" i="1"/>
  <c r="AK119" i="1" s="1"/>
  <c r="AK114" i="1"/>
  <c r="AF112" i="1"/>
  <c r="AF113" i="1" s="1"/>
  <c r="AE112" i="1"/>
  <c r="AE113" i="1" s="1"/>
  <c r="AD112" i="1"/>
  <c r="AD113" i="1" s="1"/>
  <c r="AC112" i="1"/>
  <c r="AC113" i="1" s="1"/>
  <c r="AB112" i="1"/>
  <c r="AB113" i="1" s="1"/>
  <c r="AA112" i="1"/>
  <c r="AA113" i="1" s="1"/>
  <c r="Z112" i="1"/>
  <c r="Z113" i="1" s="1"/>
  <c r="Y112" i="1"/>
  <c r="Y113" i="1" s="1"/>
  <c r="X112" i="1"/>
  <c r="X113" i="1" s="1"/>
  <c r="W112" i="1"/>
  <c r="W113" i="1" s="1"/>
  <c r="V112" i="1"/>
  <c r="V113" i="1" s="1"/>
  <c r="U112" i="1"/>
  <c r="U113" i="1" s="1"/>
  <c r="T112" i="1"/>
  <c r="T113" i="1" s="1"/>
  <c r="S112" i="1"/>
  <c r="S113" i="1" s="1"/>
  <c r="R112" i="1"/>
  <c r="R113" i="1" s="1"/>
  <c r="Q112" i="1"/>
  <c r="Q113" i="1" s="1"/>
  <c r="P112" i="1"/>
  <c r="P113" i="1" s="1"/>
  <c r="O112" i="1"/>
  <c r="O113" i="1" s="1"/>
  <c r="N112" i="1"/>
  <c r="N113" i="1" s="1"/>
  <c r="M112" i="1"/>
  <c r="M113" i="1" s="1"/>
  <c r="L112" i="1"/>
  <c r="L113" i="1" s="1"/>
  <c r="K112" i="1"/>
  <c r="K113" i="1" s="1"/>
  <c r="J112" i="1"/>
  <c r="J113" i="1" s="1"/>
  <c r="I112" i="1"/>
  <c r="I113" i="1" s="1"/>
  <c r="H112" i="1"/>
  <c r="H113" i="1" s="1"/>
  <c r="G112" i="1"/>
  <c r="G113" i="1" s="1"/>
  <c r="F112" i="1"/>
  <c r="F113" i="1" s="1"/>
  <c r="H109" i="1"/>
  <c r="AG108" i="1"/>
  <c r="AC108" i="1"/>
  <c r="Q108" i="1"/>
  <c r="M108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AK102" i="1"/>
  <c r="AK101" i="1"/>
  <c r="AK99" i="1"/>
  <c r="AK98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I94" i="1"/>
  <c r="H94" i="1"/>
  <c r="G94" i="1"/>
  <c r="F94" i="1"/>
  <c r="AI93" i="1"/>
  <c r="AI109" i="1" s="1"/>
  <c r="AH93" i="1"/>
  <c r="AH109" i="1" s="1"/>
  <c r="AG93" i="1"/>
  <c r="AG109" i="1" s="1"/>
  <c r="AF93" i="1"/>
  <c r="AF109" i="1" s="1"/>
  <c r="AE93" i="1"/>
  <c r="AE109" i="1" s="1"/>
  <c r="AD93" i="1"/>
  <c r="AD109" i="1" s="1"/>
  <c r="AC93" i="1"/>
  <c r="AC109" i="1" s="1"/>
  <c r="AB93" i="1"/>
  <c r="AB109" i="1" s="1"/>
  <c r="AA93" i="1"/>
  <c r="AA109" i="1" s="1"/>
  <c r="Z93" i="1"/>
  <c r="Z109" i="1" s="1"/>
  <c r="Y93" i="1"/>
  <c r="Y109" i="1" s="1"/>
  <c r="X93" i="1"/>
  <c r="X109" i="1" s="1"/>
  <c r="W93" i="1"/>
  <c r="W109" i="1" s="1"/>
  <c r="V93" i="1"/>
  <c r="V109" i="1" s="1"/>
  <c r="U93" i="1"/>
  <c r="U109" i="1" s="1"/>
  <c r="T93" i="1"/>
  <c r="T109" i="1" s="1"/>
  <c r="S93" i="1"/>
  <c r="S109" i="1" s="1"/>
  <c r="R93" i="1"/>
  <c r="R109" i="1" s="1"/>
  <c r="Q93" i="1"/>
  <c r="Q109" i="1" s="1"/>
  <c r="P93" i="1"/>
  <c r="P109" i="1" s="1"/>
  <c r="O93" i="1"/>
  <c r="O109" i="1" s="1"/>
  <c r="N93" i="1"/>
  <c r="N109" i="1" s="1"/>
  <c r="M93" i="1"/>
  <c r="M109" i="1" s="1"/>
  <c r="L93" i="1"/>
  <c r="L109" i="1" s="1"/>
  <c r="K93" i="1"/>
  <c r="K109" i="1" s="1"/>
  <c r="J93" i="1"/>
  <c r="J109" i="1" s="1"/>
  <c r="I93" i="1"/>
  <c r="I109" i="1" s="1"/>
  <c r="G93" i="1"/>
  <c r="G109" i="1" s="1"/>
  <c r="F93" i="1"/>
  <c r="F109" i="1" s="1"/>
  <c r="AI92" i="1"/>
  <c r="AI108" i="1" s="1"/>
  <c r="AH92" i="1"/>
  <c r="AH108" i="1" s="1"/>
  <c r="AG92" i="1"/>
  <c r="AF92" i="1"/>
  <c r="AF108" i="1" s="1"/>
  <c r="AE92" i="1"/>
  <c r="AE108" i="1" s="1"/>
  <c r="AD92" i="1"/>
  <c r="AD108" i="1" s="1"/>
  <c r="AC92" i="1"/>
  <c r="AB92" i="1"/>
  <c r="AB108" i="1" s="1"/>
  <c r="AA92" i="1"/>
  <c r="AA108" i="1" s="1"/>
  <c r="Z92" i="1"/>
  <c r="Z108" i="1" s="1"/>
  <c r="Y92" i="1"/>
  <c r="Y108" i="1" s="1"/>
  <c r="X92" i="1"/>
  <c r="X108" i="1" s="1"/>
  <c r="W92" i="1"/>
  <c r="W108" i="1" s="1"/>
  <c r="V92" i="1"/>
  <c r="V108" i="1" s="1"/>
  <c r="U92" i="1"/>
  <c r="U108" i="1" s="1"/>
  <c r="T92" i="1"/>
  <c r="T108" i="1" s="1"/>
  <c r="S92" i="1"/>
  <c r="S108" i="1" s="1"/>
  <c r="R92" i="1"/>
  <c r="R108" i="1" s="1"/>
  <c r="Q92" i="1"/>
  <c r="P92" i="1"/>
  <c r="P108" i="1" s="1"/>
  <c r="O92" i="1"/>
  <c r="O108" i="1" s="1"/>
  <c r="N92" i="1"/>
  <c r="N108" i="1" s="1"/>
  <c r="M92" i="1"/>
  <c r="L92" i="1"/>
  <c r="L108" i="1" s="1"/>
  <c r="K92" i="1"/>
  <c r="K108" i="1" s="1"/>
  <c r="J92" i="1"/>
  <c r="J108" i="1" s="1"/>
  <c r="I92" i="1"/>
  <c r="I108" i="1" s="1"/>
  <c r="H92" i="1"/>
  <c r="H108" i="1" s="1"/>
  <c r="G92" i="1"/>
  <c r="G108" i="1" s="1"/>
  <c r="F92" i="1"/>
  <c r="F108" i="1" s="1"/>
  <c r="AK90" i="1"/>
  <c r="AK89" i="1"/>
  <c r="AK92" i="1" s="1"/>
  <c r="AK87" i="1"/>
  <c r="AI86" i="1"/>
  <c r="AC86" i="1"/>
  <c r="U86" i="1"/>
  <c r="S86" i="1"/>
  <c r="M86" i="1"/>
  <c r="AI85" i="1"/>
  <c r="AH85" i="1"/>
  <c r="AH86" i="1" s="1"/>
  <c r="AG85" i="1"/>
  <c r="AG86" i="1" s="1"/>
  <c r="AF85" i="1"/>
  <c r="AF86" i="1" s="1"/>
  <c r="AE85" i="1"/>
  <c r="AE86" i="1" s="1"/>
  <c r="AD85" i="1"/>
  <c r="AD86" i="1" s="1"/>
  <c r="AC85" i="1"/>
  <c r="AB85" i="1"/>
  <c r="AB86" i="1" s="1"/>
  <c r="AA85" i="1"/>
  <c r="AA86" i="1" s="1"/>
  <c r="Z85" i="1"/>
  <c r="Z86" i="1" s="1"/>
  <c r="Y85" i="1"/>
  <c r="Y86" i="1" s="1"/>
  <c r="X85" i="1"/>
  <c r="X86" i="1" s="1"/>
  <c r="W85" i="1"/>
  <c r="W86" i="1" s="1"/>
  <c r="V85" i="1"/>
  <c r="V86" i="1" s="1"/>
  <c r="U85" i="1"/>
  <c r="T85" i="1"/>
  <c r="T86" i="1" s="1"/>
  <c r="S85" i="1"/>
  <c r="R85" i="1"/>
  <c r="R86" i="1" s="1"/>
  <c r="Q85" i="1"/>
  <c r="Q86" i="1" s="1"/>
  <c r="P85" i="1"/>
  <c r="P86" i="1" s="1"/>
  <c r="O85" i="1"/>
  <c r="O86" i="1" s="1"/>
  <c r="N85" i="1"/>
  <c r="N86" i="1" s="1"/>
  <c r="M85" i="1"/>
  <c r="L85" i="1"/>
  <c r="L86" i="1" s="1"/>
  <c r="K85" i="1"/>
  <c r="K86" i="1" s="1"/>
  <c r="J85" i="1"/>
  <c r="I85" i="1"/>
  <c r="I86" i="1" s="1"/>
  <c r="H85" i="1"/>
  <c r="H86" i="1" s="1"/>
  <c r="G85" i="1"/>
  <c r="G86" i="1" s="1"/>
  <c r="F85" i="1"/>
  <c r="F86" i="1" s="1"/>
  <c r="J84" i="1"/>
  <c r="AK83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S81" i="1"/>
  <c r="R81" i="1"/>
  <c r="Q81" i="1"/>
  <c r="P81" i="1"/>
  <c r="O81" i="1"/>
  <c r="N81" i="1"/>
  <c r="M81" i="1"/>
  <c r="L81" i="1"/>
  <c r="K81" i="1"/>
  <c r="J81" i="1"/>
  <c r="G81" i="1"/>
  <c r="F81" i="1"/>
  <c r="AK80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AK77" i="1"/>
  <c r="J76" i="1"/>
  <c r="T75" i="1"/>
  <c r="AK75" i="1" s="1"/>
  <c r="AI73" i="1"/>
  <c r="AI81" i="1" s="1"/>
  <c r="AG73" i="1"/>
  <c r="T73" i="1"/>
  <c r="I73" i="1"/>
  <c r="H73" i="1"/>
  <c r="H81" i="1" s="1"/>
  <c r="G73" i="1"/>
  <c r="N71" i="1"/>
  <c r="H71" i="1"/>
  <c r="R70" i="1"/>
  <c r="AB69" i="1"/>
  <c r="X69" i="1"/>
  <c r="W69" i="1"/>
  <c r="V69" i="1"/>
  <c r="U69" i="1"/>
  <c r="Q69" i="1"/>
  <c r="P69" i="1"/>
  <c r="AB68" i="1"/>
  <c r="X68" i="1"/>
  <c r="W68" i="1"/>
  <c r="V68" i="1"/>
  <c r="U68" i="1"/>
  <c r="Q68" i="1"/>
  <c r="P68" i="1"/>
  <c r="M68" i="1"/>
  <c r="W67" i="1"/>
  <c r="R67" i="1"/>
  <c r="AA66" i="1"/>
  <c r="Z65" i="1"/>
  <c r="Y64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AL60" i="1"/>
  <c r="AK59" i="1"/>
  <c r="AK58" i="1"/>
  <c r="AK57" i="1"/>
  <c r="AI56" i="1"/>
  <c r="AI70" i="1" s="1"/>
  <c r="AH56" i="1"/>
  <c r="AH71" i="1" s="1"/>
  <c r="AG56" i="1"/>
  <c r="AG71" i="1" s="1"/>
  <c r="AF56" i="1"/>
  <c r="AF70" i="1" s="1"/>
  <c r="AE56" i="1"/>
  <c r="AD56" i="1"/>
  <c r="AD70" i="1" s="1"/>
  <c r="AC56" i="1"/>
  <c r="AC71" i="1" s="1"/>
  <c r="AB56" i="1"/>
  <c r="AB70" i="1" s="1"/>
  <c r="AA56" i="1"/>
  <c r="Z56" i="1"/>
  <c r="Z70" i="1" s="1"/>
  <c r="Y56" i="1"/>
  <c r="Y71" i="1" s="1"/>
  <c r="X56" i="1"/>
  <c r="W56" i="1"/>
  <c r="W71" i="1" s="1"/>
  <c r="V56" i="1"/>
  <c r="V70" i="1" s="1"/>
  <c r="U56" i="1"/>
  <c r="U71" i="1" s="1"/>
  <c r="T56" i="1"/>
  <c r="T70" i="1" s="1"/>
  <c r="S56" i="1"/>
  <c r="S70" i="1" s="1"/>
  <c r="R56" i="1"/>
  <c r="R71" i="1" s="1"/>
  <c r="Q56" i="1"/>
  <c r="Q71" i="1" s="1"/>
  <c r="P56" i="1"/>
  <c r="P70" i="1" s="1"/>
  <c r="O56" i="1"/>
  <c r="N56" i="1"/>
  <c r="N70" i="1" s="1"/>
  <c r="M56" i="1"/>
  <c r="M71" i="1" s="1"/>
  <c r="L56" i="1"/>
  <c r="L70" i="1" s="1"/>
  <c r="K56" i="1"/>
  <c r="J56" i="1"/>
  <c r="J70" i="1" s="1"/>
  <c r="I56" i="1"/>
  <c r="I71" i="1" s="1"/>
  <c r="H56" i="1"/>
  <c r="H70" i="1" s="1"/>
  <c r="G56" i="1"/>
  <c r="F56" i="1"/>
  <c r="F70" i="1" s="1"/>
  <c r="D56" i="1"/>
  <c r="AK55" i="1"/>
  <c r="AH53" i="1"/>
  <c r="AK53" i="1" s="1"/>
  <c r="AK52" i="1"/>
  <c r="AI51" i="1"/>
  <c r="AI69" i="1" s="1"/>
  <c r="AG51" i="1"/>
  <c r="AG69" i="1" s="1"/>
  <c r="AF51" i="1"/>
  <c r="AF69" i="1" s="1"/>
  <c r="AE51" i="1"/>
  <c r="AE69" i="1" s="1"/>
  <c r="AD51" i="1"/>
  <c r="AC51" i="1"/>
  <c r="AC69" i="1" s="1"/>
  <c r="AB51" i="1"/>
  <c r="AA51" i="1"/>
  <c r="AA69" i="1" s="1"/>
  <c r="Z51" i="1"/>
  <c r="Y51" i="1"/>
  <c r="Y69" i="1" s="1"/>
  <c r="T51" i="1"/>
  <c r="T69" i="1" s="1"/>
  <c r="S51" i="1"/>
  <c r="S69" i="1" s="1"/>
  <c r="R51" i="1"/>
  <c r="R68" i="1" s="1"/>
  <c r="O51" i="1"/>
  <c r="O69" i="1" s="1"/>
  <c r="N51" i="1"/>
  <c r="N68" i="1" s="1"/>
  <c r="M51" i="1"/>
  <c r="M69" i="1" s="1"/>
  <c r="L51" i="1"/>
  <c r="K51" i="1"/>
  <c r="K69" i="1" s="1"/>
  <c r="J51" i="1"/>
  <c r="J68" i="1" s="1"/>
  <c r="I51" i="1"/>
  <c r="I69" i="1" s="1"/>
  <c r="H51" i="1"/>
  <c r="H68" i="1" s="1"/>
  <c r="G51" i="1"/>
  <c r="G69" i="1" s="1"/>
  <c r="F51" i="1"/>
  <c r="F68" i="1" s="1"/>
  <c r="D51" i="1"/>
  <c r="AK50" i="1"/>
  <c r="F48" i="1"/>
  <c r="AK47" i="1"/>
  <c r="AI46" i="1"/>
  <c r="AI66" i="1" s="1"/>
  <c r="AH46" i="1"/>
  <c r="AG46" i="1"/>
  <c r="AG67" i="1" s="1"/>
  <c r="AF46" i="1"/>
  <c r="AF66" i="1" s="1"/>
  <c r="AE46" i="1"/>
  <c r="AE66" i="1" s="1"/>
  <c r="AD46" i="1"/>
  <c r="AD66" i="1" s="1"/>
  <c r="AC46" i="1"/>
  <c r="AB46" i="1"/>
  <c r="AB66" i="1" s="1"/>
  <c r="AA46" i="1"/>
  <c r="AA67" i="1" s="1"/>
  <c r="Z46" i="1"/>
  <c r="Z66" i="1" s="1"/>
  <c r="Y46" i="1"/>
  <c r="X46" i="1"/>
  <c r="X66" i="1" s="1"/>
  <c r="W46" i="1"/>
  <c r="W66" i="1" s="1"/>
  <c r="V46" i="1"/>
  <c r="U46" i="1"/>
  <c r="U60" i="1" s="1"/>
  <c r="T46" i="1"/>
  <c r="T66" i="1" s="1"/>
  <c r="S46" i="1"/>
  <c r="S66" i="1" s="1"/>
  <c r="R46" i="1"/>
  <c r="R66" i="1" s="1"/>
  <c r="Q46" i="1"/>
  <c r="Q67" i="1" s="1"/>
  <c r="P46" i="1"/>
  <c r="P66" i="1" s="1"/>
  <c r="O46" i="1"/>
  <c r="O66" i="1" s="1"/>
  <c r="N46" i="1"/>
  <c r="N66" i="1" s="1"/>
  <c r="M46" i="1"/>
  <c r="M60" i="1" s="1"/>
  <c r="L46" i="1"/>
  <c r="L66" i="1" s="1"/>
  <c r="K46" i="1"/>
  <c r="K67" i="1" s="1"/>
  <c r="J46" i="1"/>
  <c r="J66" i="1" s="1"/>
  <c r="I46" i="1"/>
  <c r="I60" i="1" s="1"/>
  <c r="H46" i="1"/>
  <c r="H66" i="1" s="1"/>
  <c r="G46" i="1"/>
  <c r="G66" i="1" s="1"/>
  <c r="D46" i="1"/>
  <c r="AI44" i="1"/>
  <c r="AG44" i="1"/>
  <c r="T44" i="1"/>
  <c r="AK43" i="1"/>
  <c r="AH42" i="1"/>
  <c r="AH64" i="1" s="1"/>
  <c r="AG42" i="1"/>
  <c r="AG64" i="1" s="1"/>
  <c r="AF42" i="1"/>
  <c r="AF65" i="1" s="1"/>
  <c r="AE42" i="1"/>
  <c r="AE65" i="1" s="1"/>
  <c r="AD42" i="1"/>
  <c r="AD64" i="1" s="1"/>
  <c r="AC42" i="1"/>
  <c r="AC64" i="1" s="1"/>
  <c r="AB42" i="1"/>
  <c r="AA42" i="1"/>
  <c r="AA65" i="1" s="1"/>
  <c r="Z42" i="1"/>
  <c r="Z64" i="1" s="1"/>
  <c r="Y42" i="1"/>
  <c r="Y65" i="1" s="1"/>
  <c r="X42" i="1"/>
  <c r="W42" i="1"/>
  <c r="W65" i="1" s="1"/>
  <c r="V42" i="1"/>
  <c r="V64" i="1" s="1"/>
  <c r="U42" i="1"/>
  <c r="U64" i="1" s="1"/>
  <c r="T42" i="1"/>
  <c r="T60" i="1" s="1"/>
  <c r="S42" i="1"/>
  <c r="S65" i="1" s="1"/>
  <c r="R42" i="1"/>
  <c r="R64" i="1" s="1"/>
  <c r="Q42" i="1"/>
  <c r="Q64" i="1" s="1"/>
  <c r="P42" i="1"/>
  <c r="O42" i="1"/>
  <c r="N42" i="1"/>
  <c r="N64" i="1" s="1"/>
  <c r="M42" i="1"/>
  <c r="M64" i="1" s="1"/>
  <c r="L42" i="1"/>
  <c r="K42" i="1"/>
  <c r="K65" i="1" s="1"/>
  <c r="J42" i="1"/>
  <c r="J64" i="1" s="1"/>
  <c r="I42" i="1"/>
  <c r="I65" i="1" s="1"/>
  <c r="H42" i="1"/>
  <c r="G42" i="1"/>
  <c r="G65" i="1" s="1"/>
  <c r="F42" i="1"/>
  <c r="F64" i="1" s="1"/>
  <c r="D42" i="1"/>
  <c r="AK40" i="1"/>
  <c r="AK63" i="1" s="1"/>
  <c r="D40" i="1"/>
  <c r="AK39" i="1"/>
  <c r="D39" i="1"/>
  <c r="AK37" i="1"/>
  <c r="AK36" i="1"/>
  <c r="AK35" i="1"/>
  <c r="AI34" i="1"/>
  <c r="AI76" i="1" s="1"/>
  <c r="AH34" i="1"/>
  <c r="AH76" i="1" s="1"/>
  <c r="AG34" i="1"/>
  <c r="AG76" i="1" s="1"/>
  <c r="AF34" i="1"/>
  <c r="AF76" i="1" s="1"/>
  <c r="AE34" i="1"/>
  <c r="AE76" i="1" s="1"/>
  <c r="AD34" i="1"/>
  <c r="AD76" i="1" s="1"/>
  <c r="AC34" i="1"/>
  <c r="AC76" i="1" s="1"/>
  <c r="AB34" i="1"/>
  <c r="AB76" i="1" s="1"/>
  <c r="AA34" i="1"/>
  <c r="AA76" i="1" s="1"/>
  <c r="Z34" i="1"/>
  <c r="Z76" i="1" s="1"/>
  <c r="Y34" i="1"/>
  <c r="Y76" i="1" s="1"/>
  <c r="X34" i="1"/>
  <c r="X76" i="1" s="1"/>
  <c r="W34" i="1"/>
  <c r="W76" i="1" s="1"/>
  <c r="V34" i="1"/>
  <c r="V76" i="1" s="1"/>
  <c r="U34" i="1"/>
  <c r="U76" i="1" s="1"/>
  <c r="T34" i="1"/>
  <c r="S34" i="1"/>
  <c r="S76" i="1" s="1"/>
  <c r="R34" i="1"/>
  <c r="R76" i="1" s="1"/>
  <c r="Q34" i="1"/>
  <c r="Q76" i="1" s="1"/>
  <c r="P34" i="1"/>
  <c r="P76" i="1" s="1"/>
  <c r="O34" i="1"/>
  <c r="O76" i="1" s="1"/>
  <c r="N34" i="1"/>
  <c r="N76" i="1" s="1"/>
  <c r="M34" i="1"/>
  <c r="M76" i="1" s="1"/>
  <c r="L34" i="1"/>
  <c r="L76" i="1" s="1"/>
  <c r="K34" i="1"/>
  <c r="K76" i="1" s="1"/>
  <c r="J34" i="1"/>
  <c r="I34" i="1"/>
  <c r="I76" i="1" s="1"/>
  <c r="H34" i="1"/>
  <c r="H76" i="1" s="1"/>
  <c r="G34" i="1"/>
  <c r="G76" i="1" s="1"/>
  <c r="F34" i="1"/>
  <c r="F76" i="1" s="1"/>
  <c r="AI33" i="1"/>
  <c r="AH33" i="1"/>
  <c r="AH74" i="1" s="1"/>
  <c r="AG33" i="1"/>
  <c r="AF33" i="1"/>
  <c r="AF74" i="1" s="1"/>
  <c r="AE33" i="1"/>
  <c r="AE74" i="1" s="1"/>
  <c r="AD33" i="1"/>
  <c r="AD74" i="1" s="1"/>
  <c r="AC33" i="1"/>
  <c r="AC74" i="1" s="1"/>
  <c r="AB33" i="1"/>
  <c r="AB74" i="1" s="1"/>
  <c r="AA33" i="1"/>
  <c r="AA74" i="1" s="1"/>
  <c r="Z33" i="1"/>
  <c r="Z74" i="1" s="1"/>
  <c r="Y33" i="1"/>
  <c r="Y74" i="1" s="1"/>
  <c r="X33" i="1"/>
  <c r="X74" i="1" s="1"/>
  <c r="W33" i="1"/>
  <c r="W74" i="1" s="1"/>
  <c r="V33" i="1"/>
  <c r="V74" i="1" s="1"/>
  <c r="U33" i="1"/>
  <c r="U74" i="1" s="1"/>
  <c r="T33" i="1"/>
  <c r="S33" i="1"/>
  <c r="S74" i="1" s="1"/>
  <c r="R33" i="1"/>
  <c r="R74" i="1" s="1"/>
  <c r="Q33" i="1"/>
  <c r="Q74" i="1" s="1"/>
  <c r="P33" i="1"/>
  <c r="P74" i="1" s="1"/>
  <c r="O33" i="1"/>
  <c r="O74" i="1" s="1"/>
  <c r="N33" i="1"/>
  <c r="N74" i="1" s="1"/>
  <c r="M33" i="1"/>
  <c r="M74" i="1" s="1"/>
  <c r="L33" i="1"/>
  <c r="L74" i="1" s="1"/>
  <c r="K33" i="1"/>
  <c r="K74" i="1" s="1"/>
  <c r="BW74" i="1" s="1"/>
  <c r="J33" i="1"/>
  <c r="J74" i="1" s="1"/>
  <c r="I33" i="1"/>
  <c r="H33" i="1"/>
  <c r="G33" i="1"/>
  <c r="G74" i="1" s="1"/>
  <c r="F33" i="1"/>
  <c r="AK32" i="1"/>
  <c r="AL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AK30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AK25" i="1"/>
  <c r="AK24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K21" i="1"/>
  <c r="AK20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AK17" i="1"/>
  <c r="AK18" i="1" s="1"/>
  <c r="AK16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AK13" i="1"/>
  <c r="AK12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K9" i="1"/>
  <c r="AK8" i="1"/>
  <c r="T65" i="1" l="1"/>
  <c r="V67" i="1"/>
  <c r="V66" i="1"/>
  <c r="AH66" i="1"/>
  <c r="AH67" i="1"/>
  <c r="Z60" i="1"/>
  <c r="AG68" i="1"/>
  <c r="AI71" i="1"/>
  <c r="AK132" i="1"/>
  <c r="H162" i="1"/>
  <c r="L162" i="1"/>
  <c r="P162" i="1"/>
  <c r="T162" i="1"/>
  <c r="X162" i="1"/>
  <c r="AB162" i="1"/>
  <c r="AF162" i="1"/>
  <c r="AH217" i="1"/>
  <c r="O65" i="1"/>
  <c r="O64" i="1"/>
  <c r="F67" i="1"/>
  <c r="AK22" i="1"/>
  <c r="F46" i="1"/>
  <c r="AH51" i="1"/>
  <c r="AH68" i="1" s="1"/>
  <c r="X70" i="1"/>
  <c r="X71" i="1"/>
  <c r="AK224" i="1"/>
  <c r="AK225" i="1" s="1"/>
  <c r="AE64" i="1"/>
  <c r="AG66" i="1"/>
  <c r="W70" i="1"/>
  <c r="AK121" i="1"/>
  <c r="G136" i="1"/>
  <c r="AE136" i="1"/>
  <c r="AK149" i="1"/>
  <c r="AD163" i="1"/>
  <c r="AK31" i="1"/>
  <c r="AG65" i="1"/>
  <c r="I64" i="1"/>
  <c r="J65" i="1"/>
  <c r="K66" i="1"/>
  <c r="G67" i="1"/>
  <c r="AB67" i="1"/>
  <c r="AC70" i="1"/>
  <c r="AI74" i="1"/>
  <c r="H136" i="1"/>
  <c r="AA136" i="1"/>
  <c r="AF136" i="1"/>
  <c r="G163" i="1"/>
  <c r="K163" i="1"/>
  <c r="O163" i="1"/>
  <c r="S163" i="1"/>
  <c r="W163" i="1"/>
  <c r="AA163" i="1"/>
  <c r="AE163" i="1"/>
  <c r="AI163" i="1"/>
  <c r="AK177" i="1"/>
  <c r="AK188" i="1"/>
  <c r="AK203" i="1"/>
  <c r="G217" i="1"/>
  <c r="K217" i="1"/>
  <c r="O217" i="1"/>
  <c r="S217" i="1"/>
  <c r="AK239" i="1"/>
  <c r="AK244" i="1"/>
  <c r="AH163" i="1"/>
  <c r="AK160" i="1"/>
  <c r="AK216" i="1"/>
  <c r="AK14" i="1"/>
  <c r="U65" i="1"/>
  <c r="L67" i="1"/>
  <c r="S68" i="1"/>
  <c r="M70" i="1"/>
  <c r="AH70" i="1"/>
  <c r="AD71" i="1"/>
  <c r="H74" i="1"/>
  <c r="AK106" i="1"/>
  <c r="AK93" i="1"/>
  <c r="AK109" i="1" s="1"/>
  <c r="AK95" i="1"/>
  <c r="X136" i="1"/>
  <c r="AB136" i="1"/>
  <c r="H163" i="1"/>
  <c r="L163" i="1"/>
  <c r="T163" i="1"/>
  <c r="X163" i="1"/>
  <c r="AB163" i="1"/>
  <c r="AK159" i="1"/>
  <c r="H217" i="1"/>
  <c r="L217" i="1"/>
  <c r="P217" i="1"/>
  <c r="T217" i="1"/>
  <c r="L69" i="1"/>
  <c r="L68" i="1"/>
  <c r="G71" i="1"/>
  <c r="AK56" i="1"/>
  <c r="K70" i="1"/>
  <c r="K71" i="1"/>
  <c r="O70" i="1"/>
  <c r="O71" i="1"/>
  <c r="AA70" i="1"/>
  <c r="AA71" i="1"/>
  <c r="AE70" i="1"/>
  <c r="AE71" i="1"/>
  <c r="Q66" i="1"/>
  <c r="G70" i="1"/>
  <c r="S71" i="1"/>
  <c r="Z68" i="1"/>
  <c r="Z69" i="1"/>
  <c r="AD68" i="1"/>
  <c r="AD69" i="1"/>
  <c r="AK71" i="1"/>
  <c r="AK10" i="1"/>
  <c r="AK26" i="1"/>
  <c r="BX74" i="1"/>
  <c r="AI42" i="1"/>
  <c r="AK44" i="1"/>
  <c r="AE60" i="1"/>
  <c r="T64" i="1"/>
  <c r="H69" i="1"/>
  <c r="R69" i="1"/>
  <c r="AK108" i="1"/>
  <c r="F74" i="1"/>
  <c r="AK33" i="1"/>
  <c r="H64" i="1"/>
  <c r="H60" i="1"/>
  <c r="H65" i="1"/>
  <c r="L60" i="1"/>
  <c r="L64" i="1"/>
  <c r="L65" i="1"/>
  <c r="P60" i="1"/>
  <c r="P64" i="1"/>
  <c r="X60" i="1"/>
  <c r="X64" i="1"/>
  <c r="X65" i="1"/>
  <c r="AB60" i="1"/>
  <c r="AB64" i="1"/>
  <c r="AB65" i="1"/>
  <c r="AF60" i="1"/>
  <c r="AF64" i="1"/>
  <c r="I67" i="1"/>
  <c r="I66" i="1"/>
  <c r="M67" i="1"/>
  <c r="M66" i="1"/>
  <c r="U67" i="1"/>
  <c r="U66" i="1"/>
  <c r="Y67" i="1"/>
  <c r="Y66" i="1"/>
  <c r="AC67" i="1"/>
  <c r="AC66" i="1"/>
  <c r="Q60" i="1"/>
  <c r="P65" i="1"/>
  <c r="I74" i="1"/>
  <c r="I81" i="1"/>
  <c r="AK73" i="1"/>
  <c r="AK27" i="1"/>
  <c r="AK34" i="1"/>
  <c r="AK76" i="1" s="1"/>
  <c r="AK79" i="1"/>
  <c r="AK62" i="1"/>
  <c r="F60" i="1"/>
  <c r="J60" i="1"/>
  <c r="N60" i="1"/>
  <c r="R60" i="1"/>
  <c r="V60" i="1"/>
  <c r="AA60" i="1"/>
  <c r="AG60" i="1"/>
  <c r="K64" i="1"/>
  <c r="AA64" i="1"/>
  <c r="F65" i="1"/>
  <c r="Q65" i="1"/>
  <c r="V65" i="1"/>
  <c r="H67" i="1"/>
  <c r="N67" i="1"/>
  <c r="S67" i="1"/>
  <c r="X67" i="1"/>
  <c r="AD67" i="1"/>
  <c r="AI67" i="1"/>
  <c r="I68" i="1"/>
  <c r="O68" i="1"/>
  <c r="T68" i="1"/>
  <c r="AC68" i="1"/>
  <c r="AI68" i="1"/>
  <c r="N69" i="1"/>
  <c r="AH69" i="1"/>
  <c r="I70" i="1"/>
  <c r="Y70" i="1"/>
  <c r="J71" i="1"/>
  <c r="T71" i="1"/>
  <c r="Z71" i="1"/>
  <c r="T81" i="1"/>
  <c r="T74" i="1"/>
  <c r="AK78" i="1"/>
  <c r="AK105" i="1"/>
  <c r="AK112" i="1"/>
  <c r="T76" i="1"/>
  <c r="AK48" i="1"/>
  <c r="AK51" i="1"/>
  <c r="AK69" i="1" s="1"/>
  <c r="G60" i="1"/>
  <c r="K60" i="1"/>
  <c r="O60" i="1"/>
  <c r="S60" i="1"/>
  <c r="W60" i="1"/>
  <c r="AC60" i="1"/>
  <c r="AH60" i="1"/>
  <c r="G64" i="1"/>
  <c r="W64" i="1"/>
  <c r="M65" i="1"/>
  <c r="R65" i="1"/>
  <c r="AC65" i="1"/>
  <c r="AH65" i="1"/>
  <c r="J67" i="1"/>
  <c r="O67" i="1"/>
  <c r="T67" i="1"/>
  <c r="Z67" i="1"/>
  <c r="AE67" i="1"/>
  <c r="K68" i="1"/>
  <c r="Y68" i="1"/>
  <c r="AE68" i="1"/>
  <c r="J69" i="1"/>
  <c r="U70" i="1"/>
  <c r="F71" i="1"/>
  <c r="P71" i="1"/>
  <c r="V71" i="1"/>
  <c r="AF71" i="1"/>
  <c r="AG74" i="1"/>
  <c r="J86" i="1"/>
  <c r="AK86" i="1" s="1"/>
  <c r="AK84" i="1"/>
  <c r="J94" i="1"/>
  <c r="AK94" i="1" s="1"/>
  <c r="AK85" i="1"/>
  <c r="AK113" i="1"/>
  <c r="AK70" i="1"/>
  <c r="Y60" i="1"/>
  <c r="AD60" i="1"/>
  <c r="S64" i="1"/>
  <c r="N65" i="1"/>
  <c r="AD65" i="1"/>
  <c r="P67" i="1"/>
  <c r="AF67" i="1"/>
  <c r="G68" i="1"/>
  <c r="AA68" i="1"/>
  <c r="AF68" i="1"/>
  <c r="F69" i="1"/>
  <c r="Q70" i="1"/>
  <c r="AG70" i="1"/>
  <c r="L71" i="1"/>
  <c r="AB71" i="1"/>
  <c r="AK81" i="1"/>
  <c r="V218" i="1"/>
  <c r="V141" i="1"/>
  <c r="F148" i="1"/>
  <c r="AK195" i="1"/>
  <c r="F196" i="1"/>
  <c r="AK196" i="1" s="1"/>
  <c r="AK213" i="1" s="1"/>
  <c r="AK208" i="1"/>
  <c r="G148" i="1"/>
  <c r="G218" i="1"/>
  <c r="AE148" i="1"/>
  <c r="AE218" i="1"/>
  <c r="AK155" i="1"/>
  <c r="AK156" i="1"/>
  <c r="AK187" i="1"/>
  <c r="AK215" i="1"/>
  <c r="AK128" i="1"/>
  <c r="AK135" i="1" s="1"/>
  <c r="H148" i="1"/>
  <c r="H218" i="1"/>
  <c r="AK218" i="1" s="1"/>
  <c r="AG218" i="1"/>
  <c r="AG141" i="1"/>
  <c r="AG148" i="1"/>
  <c r="AE141" i="1"/>
  <c r="V148" i="1"/>
  <c r="I162" i="1"/>
  <c r="M162" i="1"/>
  <c r="Q162" i="1"/>
  <c r="U162" i="1"/>
  <c r="Y162" i="1"/>
  <c r="AC162" i="1"/>
  <c r="AG162" i="1"/>
  <c r="I163" i="1"/>
  <c r="M163" i="1"/>
  <c r="Q163" i="1"/>
  <c r="U163" i="1"/>
  <c r="Y163" i="1"/>
  <c r="AC163" i="1"/>
  <c r="AG163" i="1"/>
  <c r="AK167" i="1"/>
  <c r="W217" i="1"/>
  <c r="AE217" i="1"/>
  <c r="AI217" i="1"/>
  <c r="AK138" i="1"/>
  <c r="J218" i="1"/>
  <c r="AK139" i="1"/>
  <c r="F141" i="1"/>
  <c r="J141" i="1"/>
  <c r="F162" i="1"/>
  <c r="J162" i="1"/>
  <c r="N162" i="1"/>
  <c r="R162" i="1"/>
  <c r="V162" i="1"/>
  <c r="Z162" i="1"/>
  <c r="AD162" i="1"/>
  <c r="AH162" i="1"/>
  <c r="F163" i="1"/>
  <c r="J163" i="1"/>
  <c r="N163" i="1"/>
  <c r="R163" i="1"/>
  <c r="V163" i="1"/>
  <c r="Z163" i="1"/>
  <c r="AK176" i="1"/>
  <c r="AK190" i="1"/>
  <c r="AK202" i="1"/>
  <c r="AK232" i="1"/>
  <c r="AK211" i="1"/>
  <c r="AK231" i="1"/>
  <c r="AK166" i="1"/>
  <c r="AK214" i="1"/>
  <c r="AK165" i="1" l="1"/>
  <c r="AK148" i="1"/>
  <c r="AK74" i="1"/>
  <c r="AK46" i="1"/>
  <c r="AK66" i="1" s="1"/>
  <c r="F66" i="1"/>
  <c r="AK163" i="1"/>
  <c r="AK111" i="1"/>
  <c r="AI64" i="1"/>
  <c r="AI60" i="1"/>
  <c r="AK162" i="1"/>
  <c r="AK68" i="1"/>
  <c r="AI65" i="1"/>
  <c r="AK217" i="1"/>
  <c r="AK141" i="1"/>
  <c r="AK60" i="1"/>
  <c r="AK42" i="1"/>
  <c r="AK67" i="1" l="1"/>
  <c r="AK64" i="1"/>
  <c r="AK65" i="1"/>
</calcChain>
</file>

<file path=xl/sharedStrings.xml><?xml version="1.0" encoding="utf-8"?>
<sst xmlns="http://schemas.openxmlformats.org/spreadsheetml/2006/main" count="500" uniqueCount="149">
  <si>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</si>
  <si>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</si>
  <si>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</si>
  <si>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</si>
  <si>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</si>
  <si>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</si>
  <si>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</si>
  <si>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</si>
  <si>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</si>
  <si>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</si>
  <si>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</si>
  <si>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</si>
  <si>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</si>
  <si>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</si>
  <si>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</si>
  <si>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</si>
  <si>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</si>
  <si>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</si>
  <si>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</si>
  <si>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</si>
  <si>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</si>
  <si>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</si>
  <si>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</si>
  <si>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</si>
  <si>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</si>
  <si>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</si>
  <si>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</si>
  <si>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</si>
  <si>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</si>
  <si>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</si>
  <si>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</si>
  <si>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</si>
  <si>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</si>
  <si>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</si>
  <si>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</si>
  <si>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</si>
  <si>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</si>
  <si>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</si>
  <si>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</si>
  <si>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</si>
  <si>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</si>
  <si>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</si>
  <si>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</si>
  <si>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</si>
  <si>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</si>
  <si>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</si>
  <si>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</si>
  <si>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</si>
  <si>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</si>
  <si>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</si>
  <si>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</si>
  <si>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</si>
  <si>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</si>
  <si>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</si>
  <si>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</si>
  <si>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</si>
  <si>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</si>
  <si>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</si>
  <si>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</si>
  <si>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</si>
  <si>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</si>
  <si>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Oil Losses</t>
  </si>
  <si>
    <t>Phosporic Acid (PA)</t>
  </si>
  <si>
    <t xml:space="preserve">Kg </t>
  </si>
  <si>
    <t>Bleaching Earth (BE) to Branded Spec</t>
  </si>
  <si>
    <t>Bleaching Earth (BE) to Poram Spec</t>
  </si>
  <si>
    <t>Chemical</t>
  </si>
  <si>
    <t>CHEMICAL CONSUMABLE</t>
  </si>
  <si>
    <t>Soft Stearin</t>
  </si>
  <si>
    <t>Olein IV 60</t>
  </si>
  <si>
    <t>Stearin</t>
  </si>
  <si>
    <t>Olein IV 58</t>
  </si>
  <si>
    <t>Olein IV 56</t>
  </si>
  <si>
    <t>PFAD</t>
  </si>
  <si>
    <t xml:space="preserve">RBDPO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</si>
  <si>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</si>
  <si>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</si>
  <si>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</si>
  <si>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</si>
  <si>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</si>
  <si>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</si>
  <si>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</si>
  <si>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</si>
  <si>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</si>
  <si>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</si>
  <si>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</si>
  <si>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</si>
  <si>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</si>
  <si>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</si>
  <si>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</si>
  <si>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</si>
  <si>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</si>
  <si>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</si>
  <si>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</si>
  <si>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</si>
  <si>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</si>
  <si>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</t>
  </si>
  <si>
    <t>Total  Received</t>
  </si>
  <si>
    <t>Transportation (Loss)/Gain</t>
  </si>
  <si>
    <t>Receiving Weight</t>
  </si>
  <si>
    <t>D/O Weight</t>
  </si>
  <si>
    <t>CPO Swasta</t>
  </si>
  <si>
    <t>Incoming CPO (Swasta) WB</t>
  </si>
  <si>
    <t>Transfer (Loss)/Gain</t>
  </si>
  <si>
    <t>Receiving (base on Sounding)</t>
  </si>
  <si>
    <t>Delivery (base on Sounding)</t>
  </si>
  <si>
    <t>CPO Group</t>
  </si>
  <si>
    <t>Incoming CPO (Group) WB</t>
  </si>
  <si>
    <t>TOTAL
(Kg)</t>
  </si>
  <si>
    <t>UoM</t>
  </si>
  <si>
    <t>Budget / Norma</t>
  </si>
  <si>
    <t>ITEM</t>
  </si>
  <si>
    <t>No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</si>
  <si>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</si>
  <si>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</si>
  <si>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</si>
  <si>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</si>
  <si>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</si>
  <si>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</si>
  <si>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</si>
  <si>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</si>
  <si>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</si>
  <si>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</si>
  <si>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</si>
  <si>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Inc. CPO Piping Line -PKS Sei Mangkei</t>
  </si>
  <si>
    <t>Inc. CPO Piping Line -Dryport</t>
  </si>
  <si>
    <t>Inc. CPO Tolling UOI</t>
  </si>
  <si>
    <r>
      <t>m</t>
    </r>
    <r>
      <rPr>
        <b/>
        <vertAlign val="superscript"/>
        <sz val="11"/>
        <color theme="1"/>
        <rFont val="Arial"/>
        <family val="2"/>
      </rPr>
      <t>3</t>
    </r>
  </si>
  <si>
    <t xml:space="preserve">OUTGOING LOKAL </t>
  </si>
  <si>
    <t xml:space="preserve">Lokal </t>
  </si>
  <si>
    <t>RBDPO</t>
  </si>
  <si>
    <t xml:space="preserve">OUTGOING EKSPORT </t>
  </si>
  <si>
    <t>Eksport</t>
  </si>
  <si>
    <t>OLEIN IV 57</t>
  </si>
  <si>
    <t>CPO Consume Total</t>
  </si>
  <si>
    <t>CPO Consume Poram</t>
  </si>
  <si>
    <t>CPO Consume Brand</t>
  </si>
  <si>
    <t>Olein IV 57</t>
  </si>
  <si>
    <t>Fractionation OLEIN IV 57 ( Bulk )</t>
  </si>
  <si>
    <t>Fractionation OLEIN IV 57 ( Retail )</t>
  </si>
  <si>
    <t>OLEIN IV 57 Low Color</t>
  </si>
  <si>
    <t>Olein IV 57 Received</t>
  </si>
  <si>
    <t>Olein IV 57 Consume</t>
  </si>
  <si>
    <t>Olein IV 57 ( Bulk )</t>
  </si>
  <si>
    <t>Olein IV 57 ( Low Color )</t>
  </si>
  <si>
    <t>APRIL</t>
  </si>
  <si>
    <t>Olein Received IV 57</t>
  </si>
  <si>
    <t>Ratio Run CPO</t>
  </si>
  <si>
    <t>Ratio RUN RBDPO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</si>
</sst>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(* #,##0.0000_);_(* \(#,##0.0000\);_(* &quot;-&quot;??.000_);_(@_)"/>
    <numFmt numFmtId="172" formatCode="_(* #,##0.0000_);_(* \(#,##0.0000\);_(* &quot;-&quot;??.00_);_(@_)"/>
    <numFmt numFmtId="173" formatCode="_(* #,##0.00_);_(* \(#,##0.00\);_(* &quot;-&quot;??.0_);_(@_)"/>
    <numFmt numFmtId="174" formatCode="_(* #,##0.0_);_(* \(#,##0.0\);_(* &quot;-&quot;??.0_);_(@_)"/>
    <numFmt numFmtId="175" formatCode="_(* #,##0.000_);_(* \(#,##0.000\);_(* &quot;-&quot;??.00_);_(@_)"/>
    <numFmt numFmtId="176" formatCode="_(* #.##0_);_(* \(#.##0\);_(* &quot;-&quot;??_);_(@_)"/>
    <numFmt numFmtId="177" formatCode="0.00_);\(0.0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sz val="11"/>
      <color theme="8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sz val="11"/>
      <color theme="8" tint="-0.249977111117893"/>
      <name val="Arial"/>
      <family val="2"/>
    </font>
    <font>
      <sz val="11"/>
      <color theme="4" tint="-0.499984740745262"/>
      <name val="Arial"/>
      <family val="2"/>
    </font>
    <font>
      <b/>
      <sz val="14"/>
      <color theme="1"/>
      <name val="Arial"/>
      <family val="2"/>
    </font>
    <font>
      <i/>
      <sz val="11"/>
      <name val="Arial"/>
      <family val="2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34">
    <xf numFmtId="0" fontId="0" fillId="0" borderId="0" xfId="0"/>
    <xf numFmtId="0" fontId="2" fillId="0" borderId="0" xfId="0" applyFont="1"/>
    <xf numFmtId="0" fontId="2" fillId="2" borderId="0" xfId="0" applyFont="1" applyFill="1"/>
    <xf numFmtId="41" fontId="2" fillId="0" borderId="0" xfId="0" applyNumberFormat="1" applyFont="1"/>
    <xf numFmtId="41" fontId="2" fillId="0" borderId="0" xfId="2" applyFont="1"/>
    <xf numFmtId="166" fontId="3" fillId="0" borderId="1" xfId="0" applyNumberFormat="1" applyFont="1" applyBorder="1"/>
    <xf numFmtId="0" fontId="4" fillId="2" borderId="0" xfId="0" applyFont="1" applyFill="1"/>
    <xf numFmtId="166" fontId="2" fillId="0" borderId="0" xfId="1" applyNumberFormat="1" applyFont="1"/>
    <xf numFmtId="166" fontId="2" fillId="0" borderId="3" xfId="1" applyNumberFormat="1" applyFont="1" applyBorder="1"/>
    <xf numFmtId="0" fontId="4" fillId="0" borderId="0" xfId="0" applyFont="1"/>
    <xf numFmtId="166" fontId="5" fillId="0" borderId="4" xfId="1" applyNumberFormat="1" applyFont="1" applyFill="1" applyBorder="1"/>
    <xf numFmtId="0" fontId="6" fillId="0" borderId="3" xfId="0" applyFont="1" applyBorder="1"/>
    <xf numFmtId="166" fontId="3" fillId="3" borderId="5" xfId="1" applyNumberFormat="1" applyFont="1" applyFill="1" applyBorder="1"/>
    <xf numFmtId="41" fontId="2" fillId="0" borderId="0" xfId="2" applyFont="1" applyAlignment="1">
      <alignment vertical="center"/>
    </xf>
    <xf numFmtId="166" fontId="6" fillId="0" borderId="3" xfId="0" applyNumberFormat="1" applyFont="1" applyBorder="1" applyAlignment="1">
      <alignment vertical="center"/>
    </xf>
    <xf numFmtId="166" fontId="3" fillId="0" borderId="3" xfId="0" applyNumberFormat="1" applyFont="1" applyBorder="1"/>
    <xf numFmtId="0" fontId="8" fillId="0" borderId="0" xfId="0" applyFont="1"/>
    <xf numFmtId="166" fontId="2" fillId="0" borderId="3" xfId="0" applyNumberFormat="1" applyFont="1" applyBorder="1"/>
    <xf numFmtId="166" fontId="3" fillId="0" borderId="0" xfId="0" applyNumberFormat="1" applyFont="1"/>
    <xf numFmtId="167" fontId="6" fillId="0" borderId="3" xfId="0" applyNumberFormat="1" applyFont="1" applyBorder="1"/>
    <xf numFmtId="0" fontId="2" fillId="0" borderId="0" xfId="0" applyFont="1" applyAlignment="1">
      <alignment horizontal="center"/>
    </xf>
    <xf numFmtId="166" fontId="2" fillId="0" borderId="0" xfId="0" applyNumberFormat="1" applyFont="1"/>
    <xf numFmtId="168" fontId="3" fillId="0" borderId="7" xfId="0" applyNumberFormat="1" applyFont="1" applyBorder="1"/>
    <xf numFmtId="169" fontId="2" fillId="0" borderId="0" xfId="0" applyNumberFormat="1" applyFont="1"/>
    <xf numFmtId="170" fontId="2" fillId="0" borderId="3" xfId="0" applyNumberFormat="1" applyFont="1" applyBorder="1"/>
    <xf numFmtId="41" fontId="2" fillId="2" borderId="0" xfId="2" applyFont="1" applyFill="1"/>
    <xf numFmtId="168" fontId="3" fillId="0" borderId="3" xfId="0" applyNumberFormat="1" applyFont="1" applyBorder="1"/>
    <xf numFmtId="168" fontId="5" fillId="0" borderId="4" xfId="1" applyNumberFormat="1" applyFont="1" applyFill="1" applyBorder="1"/>
    <xf numFmtId="165" fontId="2" fillId="0" borderId="0" xfId="2" applyNumberFormat="1" applyFont="1" applyFill="1"/>
    <xf numFmtId="41" fontId="2" fillId="0" borderId="0" xfId="2" applyFont="1" applyFill="1"/>
    <xf numFmtId="168" fontId="2" fillId="0" borderId="3" xfId="0" applyNumberFormat="1" applyFont="1" applyBorder="1"/>
    <xf numFmtId="0" fontId="3" fillId="3" borderId="5" xfId="0" applyFont="1" applyFill="1" applyBorder="1"/>
    <xf numFmtId="164" fontId="2" fillId="0" borderId="3" xfId="0" applyNumberFormat="1" applyFont="1" applyBorder="1"/>
    <xf numFmtId="166" fontId="6" fillId="0" borderId="3" xfId="0" applyNumberFormat="1" applyFont="1" applyBorder="1"/>
    <xf numFmtId="0" fontId="3" fillId="3" borderId="5" xfId="0" quotePrefix="1" applyFont="1" applyFill="1" applyBorder="1"/>
    <xf numFmtId="166" fontId="2" fillId="0" borderId="3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4" fontId="3" fillId="0" borderId="3" xfId="0" applyNumberFormat="1" applyFont="1" applyBorder="1"/>
    <xf numFmtId="41" fontId="3" fillId="0" borderId="0" xfId="2" applyFont="1" applyFill="1"/>
    <xf numFmtId="43" fontId="2" fillId="0" borderId="0" xfId="0" applyNumberFormat="1" applyFont="1"/>
    <xf numFmtId="164" fontId="2" fillId="2" borderId="3" xfId="0" applyNumberFormat="1" applyFont="1" applyFill="1" applyBorder="1"/>
    <xf numFmtId="0" fontId="9" fillId="2" borderId="0" xfId="0" applyFont="1" applyFill="1"/>
    <xf numFmtId="0" fontId="5" fillId="0" borderId="0" xfId="0" applyFont="1"/>
    <xf numFmtId="166" fontId="2" fillId="0" borderId="9" xfId="0" applyNumberFormat="1" applyFont="1" applyBorder="1"/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/>
    </xf>
    <xf numFmtId="165" fontId="5" fillId="0" borderId="4" xfId="2" applyNumberFormat="1" applyFont="1" applyFill="1" applyBorder="1"/>
    <xf numFmtId="0" fontId="5" fillId="0" borderId="4" xfId="0" quotePrefix="1" applyFont="1" applyBorder="1"/>
    <xf numFmtId="0" fontId="11" fillId="0" borderId="4" xfId="0" applyFont="1" applyBorder="1" applyAlignment="1">
      <alignment horizontal="center"/>
    </xf>
    <xf numFmtId="0" fontId="10" fillId="0" borderId="3" xfId="0" applyFont="1" applyBorder="1"/>
    <xf numFmtId="166" fontId="3" fillId="0" borderId="13" xfId="1" applyNumberFormat="1" applyFont="1" applyBorder="1" applyAlignment="1">
      <alignment vertical="center"/>
    </xf>
    <xf numFmtId="164" fontId="12" fillId="0" borderId="3" xfId="0" applyNumberFormat="1" applyFont="1" applyBorder="1"/>
    <xf numFmtId="164" fontId="12" fillId="0" borderId="0" xfId="0" applyNumberFormat="1" applyFont="1"/>
    <xf numFmtId="0" fontId="6" fillId="3" borderId="5" xfId="0" applyFont="1" applyFill="1" applyBorder="1" applyAlignment="1">
      <alignment vertical="center"/>
    </xf>
    <xf numFmtId="177" fontId="13" fillId="0" borderId="3" xfId="0" applyNumberFormat="1" applyFont="1" applyBorder="1"/>
    <xf numFmtId="0" fontId="6" fillId="3" borderId="3" xfId="0" applyFont="1" applyFill="1" applyBorder="1" applyAlignment="1">
      <alignment vertical="center"/>
    </xf>
    <xf numFmtId="176" fontId="2" fillId="0" borderId="0" xfId="0" applyNumberFormat="1" applyFont="1"/>
    <xf numFmtId="0" fontId="3" fillId="0" borderId="0" xfId="0" applyFont="1" applyAlignment="1">
      <alignment horizontal="left"/>
    </xf>
    <xf numFmtId="0" fontId="11" fillId="3" borderId="6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166" fontId="5" fillId="3" borderId="6" xfId="1" applyNumberFormat="1" applyFont="1" applyFill="1" applyBorder="1"/>
    <xf numFmtId="0" fontId="11" fillId="0" borderId="4" xfId="0" applyFont="1" applyBorder="1" applyAlignment="1">
      <alignment vertical="center"/>
    </xf>
    <xf numFmtId="0" fontId="15" fillId="0" borderId="4" xfId="0" quotePrefix="1" applyFont="1" applyBorder="1"/>
    <xf numFmtId="166" fontId="5" fillId="0" borderId="4" xfId="1" applyNumberFormat="1" applyFont="1" applyFill="1" applyBorder="1" applyAlignment="1">
      <alignment vertical="center"/>
    </xf>
    <xf numFmtId="0" fontId="11" fillId="0" borderId="4" xfId="0" quotePrefix="1" applyFont="1" applyBorder="1"/>
    <xf numFmtId="0" fontId="11" fillId="0" borderId="4" xfId="0" quotePrefix="1" applyFont="1" applyBorder="1" applyAlignment="1">
      <alignment horizontal="center"/>
    </xf>
    <xf numFmtId="0" fontId="5" fillId="3" borderId="6" xfId="0" quotePrefix="1" applyFont="1" applyFill="1" applyBorder="1" applyAlignment="1">
      <alignment horizontal="center"/>
    </xf>
    <xf numFmtId="43" fontId="5" fillId="0" borderId="4" xfId="1" applyFont="1" applyFill="1" applyBorder="1"/>
    <xf numFmtId="43" fontId="2" fillId="0" borderId="0" xfId="1" applyFont="1" applyFill="1" applyBorder="1"/>
    <xf numFmtId="43" fontId="9" fillId="0" borderId="5" xfId="1" applyFont="1" applyFill="1" applyBorder="1"/>
    <xf numFmtId="43" fontId="11" fillId="0" borderId="4" xfId="1" applyFont="1" applyFill="1" applyBorder="1" applyAlignment="1">
      <alignment vertical="center"/>
    </xf>
    <xf numFmtId="43" fontId="11" fillId="0" borderId="4" xfId="1" applyFont="1" applyFill="1" applyBorder="1"/>
    <xf numFmtId="43" fontId="3" fillId="3" borderId="5" xfId="1" applyFont="1" applyFill="1" applyBorder="1"/>
    <xf numFmtId="43" fontId="3" fillId="0" borderId="3" xfId="1" applyFont="1" applyBorder="1" applyAlignment="1">
      <alignment vertical="center"/>
    </xf>
    <xf numFmtId="43" fontId="2" fillId="0" borderId="3" xfId="1" applyFont="1" applyBorder="1" applyAlignment="1">
      <alignment vertical="center"/>
    </xf>
    <xf numFmtId="166" fontId="5" fillId="3" borderId="6" xfId="1" applyNumberFormat="1" applyFont="1" applyFill="1" applyBorder="1" applyAlignment="1">
      <alignment vertical="center"/>
    </xf>
    <xf numFmtId="166" fontId="2" fillId="3" borderId="5" xfId="0" applyNumberFormat="1" applyFont="1" applyFill="1" applyBorder="1"/>
    <xf numFmtId="166" fontId="7" fillId="0" borderId="4" xfId="1" applyNumberFormat="1" applyFont="1" applyFill="1" applyBorder="1"/>
    <xf numFmtId="166" fontId="2" fillId="0" borderId="7" xfId="0" applyNumberFormat="1" applyFont="1" applyBorder="1"/>
    <xf numFmtId="0" fontId="14" fillId="0" borderId="0" xfId="0" applyFont="1" applyAlignment="1">
      <alignment horizontal="center"/>
    </xf>
    <xf numFmtId="0" fontId="3" fillId="5" borderId="1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/>
    </xf>
    <xf numFmtId="0" fontId="2" fillId="6" borderId="6" xfId="0" applyFont="1" applyFill="1" applyBorder="1" applyAlignment="1">
      <alignment horizontal="center" vertical="center"/>
    </xf>
    <xf numFmtId="166" fontId="2" fillId="0" borderId="6" xfId="1" applyNumberFormat="1" applyFont="1" applyFill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6" borderId="4" xfId="0" applyFont="1" applyFill="1" applyBorder="1" applyAlignment="1">
      <alignment horizontal="center" vertical="center"/>
    </xf>
    <xf numFmtId="166" fontId="2" fillId="0" borderId="4" xfId="1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43" fontId="12" fillId="0" borderId="2" xfId="1" applyFont="1" applyFill="1" applyBorder="1" applyAlignment="1">
      <alignment horizontal="right" vertical="center"/>
    </xf>
    <xf numFmtId="0" fontId="3" fillId="3" borderId="4" xfId="0" applyFont="1" applyFill="1" applyBorder="1" applyAlignment="1">
      <alignment vertical="center"/>
    </xf>
    <xf numFmtId="43" fontId="12" fillId="0" borderId="4" xfId="1" applyFont="1" applyFill="1" applyBorder="1" applyAlignment="1">
      <alignment horizontal="right" vertical="center"/>
    </xf>
    <xf numFmtId="0" fontId="3" fillId="0" borderId="14" xfId="0" applyFont="1" applyBorder="1" applyAlignment="1">
      <alignment vertical="center"/>
    </xf>
    <xf numFmtId="0" fontId="3" fillId="6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6" fontId="3" fillId="0" borderId="14" xfId="1" applyNumberFormat="1" applyFont="1" applyFill="1" applyBorder="1" applyAlignment="1">
      <alignment horizontal="right" vertical="center"/>
    </xf>
    <xf numFmtId="0" fontId="3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166" fontId="2" fillId="3" borderId="6" xfId="1" applyNumberFormat="1" applyFont="1" applyFill="1" applyBorder="1"/>
    <xf numFmtId="166" fontId="2" fillId="3" borderId="6" xfId="1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/>
    </xf>
    <xf numFmtId="0" fontId="16" fillId="0" borderId="6" xfId="0" applyFont="1" applyBorder="1" applyAlignment="1">
      <alignment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166" fontId="3" fillId="0" borderId="6" xfId="1" applyNumberFormat="1" applyFont="1" applyFill="1" applyBorder="1"/>
    <xf numFmtId="166" fontId="3" fillId="2" borderId="6" xfId="1" applyNumberFormat="1" applyFont="1" applyFill="1" applyBorder="1"/>
    <xf numFmtId="166" fontId="2" fillId="0" borderId="4" xfId="1" applyNumberFormat="1" applyFont="1" applyFill="1" applyBorder="1"/>
    <xf numFmtId="0" fontId="2" fillId="4" borderId="4" xfId="0" applyFont="1" applyFill="1" applyBorder="1"/>
    <xf numFmtId="166" fontId="2" fillId="6" borderId="4" xfId="1" applyNumberFormat="1" applyFont="1" applyFill="1" applyBorder="1" applyAlignment="1">
      <alignment horizontal="center"/>
    </xf>
    <xf numFmtId="166" fontId="2" fillId="4" borderId="4" xfId="1" applyNumberFormat="1" applyFont="1" applyFill="1" applyBorder="1"/>
    <xf numFmtId="43" fontId="5" fillId="6" borderId="4" xfId="1" applyFont="1" applyFill="1" applyBorder="1" applyAlignment="1">
      <alignment horizontal="center"/>
    </xf>
    <xf numFmtId="165" fontId="2" fillId="0" borderId="4" xfId="2" applyNumberFormat="1" applyFont="1" applyFill="1" applyBorder="1"/>
    <xf numFmtId="0" fontId="2" fillId="0" borderId="4" xfId="0" quotePrefix="1" applyFont="1" applyBorder="1"/>
    <xf numFmtId="43" fontId="2" fillId="6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43" fontId="2" fillId="6" borderId="4" xfId="1" applyFont="1" applyFill="1" applyBorder="1" applyAlignment="1">
      <alignment horizontal="right"/>
    </xf>
    <xf numFmtId="0" fontId="10" fillId="2" borderId="4" xfId="0" applyFont="1" applyFill="1" applyBorder="1"/>
    <xf numFmtId="0" fontId="2" fillId="6" borderId="4" xfId="0" applyFont="1" applyFill="1" applyBorder="1" applyAlignment="1">
      <alignment horizontal="center"/>
    </xf>
    <xf numFmtId="0" fontId="2" fillId="4" borderId="4" xfId="0" quotePrefix="1" applyFont="1" applyFill="1" applyBorder="1"/>
    <xf numFmtId="0" fontId="16" fillId="0" borderId="6" xfId="0" applyFont="1" applyBorder="1"/>
    <xf numFmtId="0" fontId="17" fillId="6" borderId="6" xfId="0" applyFont="1" applyFill="1" applyBorder="1" applyAlignment="1">
      <alignment horizontal="center"/>
    </xf>
    <xf numFmtId="166" fontId="10" fillId="0" borderId="3" xfId="0" applyNumberFormat="1" applyFont="1" applyBorder="1"/>
    <xf numFmtId="41" fontId="2" fillId="6" borderId="4" xfId="2" applyFont="1" applyFill="1" applyBorder="1" applyAlignment="1">
      <alignment horizontal="center"/>
    </xf>
    <xf numFmtId="41" fontId="17" fillId="6" borderId="6" xfId="2" applyFont="1" applyFill="1" applyBorder="1" applyAlignment="1">
      <alignment horizontal="center"/>
    </xf>
    <xf numFmtId="176" fontId="2" fillId="0" borderId="6" xfId="1" applyNumberFormat="1" applyFont="1" applyFill="1" applyBorder="1"/>
    <xf numFmtId="166" fontId="3" fillId="0" borderId="6" xfId="1" applyNumberFormat="1" applyFont="1" applyFill="1" applyBorder="1" applyAlignment="1">
      <alignment horizontal="center"/>
    </xf>
    <xf numFmtId="166" fontId="3" fillId="2" borderId="6" xfId="1" applyNumberFormat="1" applyFont="1" applyFill="1" applyBorder="1" applyAlignment="1">
      <alignment horizontal="center"/>
    </xf>
    <xf numFmtId="166" fontId="2" fillId="2" borderId="4" xfId="1" applyNumberFormat="1" applyFont="1" applyFill="1" applyBorder="1"/>
    <xf numFmtId="0" fontId="2" fillId="4" borderId="4" xfId="0" applyFont="1" applyFill="1" applyBorder="1" applyAlignment="1">
      <alignment vertical="center"/>
    </xf>
    <xf numFmtId="41" fontId="17" fillId="6" borderId="4" xfId="2" applyFont="1" applyFill="1" applyBorder="1" applyAlignment="1">
      <alignment horizontal="center" vertical="center"/>
    </xf>
    <xf numFmtId="166" fontId="2" fillId="4" borderId="4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6" fontId="2" fillId="0" borderId="0" xfId="0" applyNumberFormat="1" applyFont="1" applyAlignment="1">
      <alignment vertical="center"/>
    </xf>
    <xf numFmtId="0" fontId="3" fillId="3" borderId="6" xfId="0" quotePrefix="1" applyFont="1" applyFill="1" applyBorder="1"/>
    <xf numFmtId="0" fontId="2" fillId="3" borderId="6" xfId="0" applyFont="1" applyFill="1" applyBorder="1" applyAlignment="1">
      <alignment horizontal="center"/>
    </xf>
    <xf numFmtId="0" fontId="2" fillId="2" borderId="4" xfId="0" quotePrefix="1" applyFont="1" applyFill="1" applyBorder="1"/>
    <xf numFmtId="43" fontId="2" fillId="0" borderId="4" xfId="1" applyFont="1" applyFill="1" applyBorder="1"/>
    <xf numFmtId="0" fontId="3" fillId="3" borderId="6" xfId="0" applyFont="1" applyFill="1" applyBorder="1"/>
    <xf numFmtId="0" fontId="2" fillId="0" borderId="4" xfId="0" applyFont="1" applyBorder="1"/>
    <xf numFmtId="0" fontId="2" fillId="0" borderId="12" xfId="0" quotePrefix="1" applyFont="1" applyBorder="1"/>
    <xf numFmtId="43" fontId="2" fillId="6" borderId="12" xfId="1" applyFont="1" applyFill="1" applyBorder="1" applyAlignment="1">
      <alignment horizontal="center"/>
    </xf>
    <xf numFmtId="166" fontId="2" fillId="0" borderId="12" xfId="1" applyNumberFormat="1" applyFont="1" applyFill="1" applyBorder="1"/>
    <xf numFmtId="166" fontId="2" fillId="0" borderId="16" xfId="1" applyNumberFormat="1" applyFont="1" applyFill="1" applyBorder="1"/>
    <xf numFmtId="0" fontId="2" fillId="0" borderId="11" xfId="0" applyFont="1" applyBorder="1"/>
    <xf numFmtId="0" fontId="2" fillId="6" borderId="11" xfId="0" applyFont="1" applyFill="1" applyBorder="1" applyAlignment="1">
      <alignment horizontal="center"/>
    </xf>
    <xf numFmtId="43" fontId="2" fillId="0" borderId="11" xfId="1" applyFont="1" applyFill="1" applyBorder="1"/>
    <xf numFmtId="0" fontId="2" fillId="0" borderId="2" xfId="0" applyFont="1" applyBorder="1"/>
    <xf numFmtId="175" fontId="2" fillId="0" borderId="4" xfId="1" applyNumberFormat="1" applyFont="1" applyFill="1" applyBorder="1"/>
    <xf numFmtId="0" fontId="3" fillId="2" borderId="6" xfId="0" quotePrefix="1" applyFont="1" applyFill="1" applyBorder="1"/>
    <xf numFmtId="173" fontId="2" fillId="6" borderId="6" xfId="1" applyNumberFormat="1" applyFont="1" applyFill="1" applyBorder="1" applyAlignment="1">
      <alignment horizontal="center"/>
    </xf>
    <xf numFmtId="43" fontId="9" fillId="0" borderId="6" xfId="1" applyFont="1" applyFill="1" applyBorder="1"/>
    <xf numFmtId="174" fontId="2" fillId="6" borderId="4" xfId="1" applyNumberFormat="1" applyFont="1" applyFill="1" applyBorder="1" applyAlignment="1">
      <alignment horizontal="center"/>
    </xf>
    <xf numFmtId="0" fontId="2" fillId="2" borderId="2" xfId="0" quotePrefix="1" applyFont="1" applyFill="1" applyBorder="1"/>
    <xf numFmtId="0" fontId="3" fillId="0" borderId="4" xfId="0" applyFont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3" fillId="0" borderId="4" xfId="1" applyNumberFormat="1" applyFont="1" applyFill="1" applyBorder="1"/>
    <xf numFmtId="0" fontId="3" fillId="0" borderId="4" xfId="0" quotePrefix="1" applyFont="1" applyBorder="1"/>
    <xf numFmtId="0" fontId="3" fillId="6" borderId="4" xfId="0" applyFont="1" applyFill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165" fontId="2" fillId="0" borderId="4" xfId="2" applyNumberFormat="1" applyFont="1" applyBorder="1"/>
    <xf numFmtId="41" fontId="2" fillId="0" borderId="4" xfId="2" applyFont="1" applyFill="1" applyBorder="1"/>
    <xf numFmtId="165" fontId="2" fillId="0" borderId="4" xfId="2" applyNumberFormat="1" applyFont="1" applyFill="1" applyBorder="1" applyAlignment="1">
      <alignment vertical="center"/>
    </xf>
    <xf numFmtId="0" fontId="6" fillId="0" borderId="4" xfId="0" quotePrefix="1" applyFont="1" applyBorder="1"/>
    <xf numFmtId="165" fontId="2" fillId="0" borderId="4" xfId="1" applyNumberFormat="1" applyFont="1" applyFill="1" applyBorder="1"/>
    <xf numFmtId="0" fontId="2" fillId="0" borderId="4" xfId="0" quotePrefix="1" applyFont="1" applyBorder="1" applyAlignment="1">
      <alignment vertical="center"/>
    </xf>
    <xf numFmtId="166" fontId="2" fillId="0" borderId="4" xfId="1" applyNumberFormat="1" applyFont="1" applyFill="1" applyBorder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166" fontId="2" fillId="0" borderId="4" xfId="1" applyNumberFormat="1" applyFont="1" applyBorder="1"/>
    <xf numFmtId="166" fontId="2" fillId="0" borderId="2" xfId="1" applyNumberFormat="1" applyFont="1" applyFill="1" applyBorder="1"/>
    <xf numFmtId="43" fontId="3" fillId="0" borderId="4" xfId="1" applyFont="1" applyFill="1" applyBorder="1"/>
    <xf numFmtId="43" fontId="2" fillId="3" borderId="6" xfId="1" applyFont="1" applyFill="1" applyBorder="1" applyAlignment="1">
      <alignment horizontal="center"/>
    </xf>
    <xf numFmtId="43" fontId="2" fillId="3" borderId="6" xfId="1" applyFont="1" applyFill="1" applyBorder="1"/>
    <xf numFmtId="164" fontId="3" fillId="3" borderId="3" xfId="0" applyNumberFormat="1" applyFont="1" applyFill="1" applyBorder="1"/>
    <xf numFmtId="0" fontId="11" fillId="3" borderId="6" xfId="0" quotePrefix="1" applyFont="1" applyFill="1" applyBorder="1" applyAlignment="1">
      <alignment horizontal="center"/>
    </xf>
    <xf numFmtId="168" fontId="2" fillId="0" borderId="4" xfId="1" applyNumberFormat="1" applyFont="1" applyFill="1" applyBorder="1"/>
    <xf numFmtId="172" fontId="2" fillId="0" borderId="4" xfId="1" applyNumberFormat="1" applyFont="1" applyFill="1" applyBorder="1"/>
    <xf numFmtId="173" fontId="2" fillId="6" borderId="4" xfId="1" applyNumberFormat="1" applyFont="1" applyFill="1" applyBorder="1" applyAlignment="1">
      <alignment horizontal="center"/>
    </xf>
    <xf numFmtId="171" fontId="2" fillId="0" borderId="4" xfId="1" applyNumberFormat="1" applyFont="1" applyFill="1" applyBorder="1"/>
    <xf numFmtId="0" fontId="3" fillId="0" borderId="2" xfId="0" applyFont="1" applyBorder="1" applyAlignment="1">
      <alignment horizontal="center"/>
    </xf>
    <xf numFmtId="0" fontId="3" fillId="0" borderId="2" xfId="0" quotePrefix="1" applyFont="1" applyBorder="1"/>
    <xf numFmtId="43" fontId="3" fillId="6" borderId="2" xfId="1" applyFont="1" applyFill="1" applyBorder="1" applyAlignment="1">
      <alignment horizontal="center"/>
    </xf>
    <xf numFmtId="0" fontId="3" fillId="0" borderId="2" xfId="0" quotePrefix="1" applyFont="1" applyBorder="1" applyAlignment="1">
      <alignment horizontal="center"/>
    </xf>
    <xf numFmtId="168" fontId="3" fillId="0" borderId="2" xfId="1" applyNumberFormat="1" applyFont="1" applyFill="1" applyBorder="1"/>
    <xf numFmtId="172" fontId="3" fillId="0" borderId="2" xfId="1" applyNumberFormat="1" applyFont="1" applyFill="1" applyBorder="1"/>
    <xf numFmtId="0" fontId="3" fillId="3" borderId="4" xfId="0" quotePrefix="1" applyFont="1" applyFill="1" applyBorder="1"/>
    <xf numFmtId="0" fontId="3" fillId="3" borderId="4" xfId="0" applyFont="1" applyFill="1" applyBorder="1" applyAlignment="1">
      <alignment horizontal="center"/>
    </xf>
    <xf numFmtId="168" fontId="3" fillId="3" borderId="4" xfId="1" applyNumberFormat="1" applyFont="1" applyFill="1" applyBorder="1"/>
    <xf numFmtId="166" fontId="3" fillId="6" borderId="4" xfId="1" applyNumberFormat="1" applyFont="1" applyFill="1" applyBorder="1" applyAlignment="1">
      <alignment horizontal="center"/>
    </xf>
    <xf numFmtId="43" fontId="2" fillId="6" borderId="4" xfId="1" applyFont="1" applyFill="1" applyBorder="1" applyAlignment="1">
      <alignment horizontal="center" vertical="center"/>
    </xf>
    <xf numFmtId="43" fontId="2" fillId="0" borderId="4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43" fontId="2" fillId="6" borderId="4" xfId="1" applyFont="1" applyFill="1" applyBorder="1" applyAlignment="1">
      <alignment vertical="center"/>
    </xf>
    <xf numFmtId="0" fontId="3" fillId="2" borderId="4" xfId="0" applyFont="1" applyFill="1" applyBorder="1" applyAlignment="1">
      <alignment horizontal="center"/>
    </xf>
    <xf numFmtId="0" fontId="3" fillId="2" borderId="4" xfId="0" quotePrefix="1" applyFont="1" applyFill="1" applyBorder="1"/>
    <xf numFmtId="0" fontId="2" fillId="6" borderId="4" xfId="0" applyFont="1" applyFill="1" applyBorder="1" applyAlignment="1">
      <alignment horizontal="right"/>
    </xf>
    <xf numFmtId="0" fontId="3" fillId="2" borderId="17" xfId="0" quotePrefix="1" applyFont="1" applyFill="1" applyBorder="1"/>
    <xf numFmtId="0" fontId="3" fillId="6" borderId="17" xfId="0" applyFont="1" applyFill="1" applyBorder="1" applyAlignment="1">
      <alignment horizontal="center"/>
    </xf>
    <xf numFmtId="0" fontId="3" fillId="2" borderId="17" xfId="0" quotePrefix="1" applyFont="1" applyFill="1" applyBorder="1" applyAlignment="1">
      <alignment horizontal="center"/>
    </xf>
    <xf numFmtId="166" fontId="3" fillId="0" borderId="17" xfId="1" applyNumberFormat="1" applyFont="1" applyFill="1" applyBorder="1"/>
    <xf numFmtId="43" fontId="7" fillId="0" borderId="4" xfId="1" applyFont="1" applyFill="1" applyBorder="1" applyAlignment="1">
      <alignment vertical="center"/>
    </xf>
    <xf numFmtId="41" fontId="3" fillId="2" borderId="3" xfId="2" applyFont="1" applyFill="1" applyBorder="1"/>
    <xf numFmtId="0" fontId="3" fillId="5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center"/>
    </xf>
    <xf numFmtId="166" fontId="2" fillId="0" borderId="27" xfId="1" applyNumberFormat="1" applyFont="1" applyFill="1" applyBorder="1" applyAlignment="1">
      <alignment horizontal="right" vertical="center"/>
    </xf>
    <xf numFmtId="166" fontId="2" fillId="0" borderId="28" xfId="1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43" fontId="12" fillId="0" borderId="29" xfId="1" applyFont="1" applyFill="1" applyBorder="1" applyAlignment="1">
      <alignment horizontal="right" vertical="center"/>
    </xf>
    <xf numFmtId="43" fontId="12" fillId="0" borderId="28" xfId="1" applyFont="1" applyFill="1" applyBorder="1" applyAlignment="1">
      <alignment horizontal="right" vertical="center"/>
    </xf>
    <xf numFmtId="166" fontId="3" fillId="2" borderId="14" xfId="1" applyNumberFormat="1" applyFont="1" applyFill="1" applyBorder="1" applyAlignment="1">
      <alignment horizontal="right" vertical="center"/>
    </xf>
    <xf numFmtId="0" fontId="3" fillId="0" borderId="30" xfId="0" applyFont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166" fontId="2" fillId="3" borderId="27" xfId="1" applyNumberFormat="1" applyFont="1" applyFill="1" applyBorder="1"/>
    <xf numFmtId="0" fontId="3" fillId="0" borderId="26" xfId="0" applyFont="1" applyBorder="1" applyAlignment="1">
      <alignment horizontal="center"/>
    </xf>
    <xf numFmtId="166" fontId="2" fillId="0" borderId="27" xfId="1" applyNumberFormat="1" applyFont="1" applyFill="1" applyBorder="1"/>
    <xf numFmtId="166" fontId="2" fillId="0" borderId="28" xfId="1" applyNumberFormat="1" applyFont="1" applyFill="1" applyBorder="1"/>
    <xf numFmtId="0" fontId="3" fillId="4" borderId="4" xfId="0" applyFont="1" applyFill="1" applyBorder="1" applyAlignment="1">
      <alignment horizontal="center"/>
    </xf>
    <xf numFmtId="166" fontId="2" fillId="4" borderId="28" xfId="1" applyNumberFormat="1" applyFont="1" applyFill="1" applyBorder="1"/>
    <xf numFmtId="0" fontId="11" fillId="0" borderId="26" xfId="0" applyFont="1" applyBorder="1" applyAlignment="1">
      <alignment horizontal="center"/>
    </xf>
    <xf numFmtId="165" fontId="2" fillId="0" borderId="28" xfId="2" applyNumberFormat="1" applyFont="1" applyFill="1" applyBorder="1"/>
    <xf numFmtId="41" fontId="5" fillId="0" borderId="0" xfId="2" applyFont="1"/>
    <xf numFmtId="0" fontId="2" fillId="0" borderId="26" xfId="0" applyFont="1" applyBorder="1" applyAlignment="1">
      <alignment horizontal="center"/>
    </xf>
    <xf numFmtId="0" fontId="3" fillId="4" borderId="4" xfId="0" quotePrefix="1" applyFont="1" applyFill="1" applyBorder="1" applyAlignment="1">
      <alignment horizontal="center"/>
    </xf>
    <xf numFmtId="0" fontId="16" fillId="0" borderId="6" xfId="0" applyFont="1" applyBorder="1" applyAlignment="1">
      <alignment horizontal="center"/>
    </xf>
    <xf numFmtId="166" fontId="2" fillId="4" borderId="2" xfId="1" applyNumberFormat="1" applyFont="1" applyFill="1" applyBorder="1"/>
    <xf numFmtId="166" fontId="3" fillId="0" borderId="27" xfId="1" applyNumberFormat="1" applyFont="1" applyFill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6" fontId="2" fillId="4" borderId="28" xfId="1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2" borderId="4" xfId="0" quotePrefix="1" applyFont="1" applyFill="1" applyBorder="1" applyAlignment="1">
      <alignment horizontal="center"/>
    </xf>
    <xf numFmtId="43" fontId="2" fillId="0" borderId="28" xfId="1" applyFont="1" applyFill="1" applyBorder="1"/>
    <xf numFmtId="0" fontId="3" fillId="0" borderId="12" xfId="0" quotePrefix="1" applyFont="1" applyBorder="1" applyAlignment="1">
      <alignment horizontal="center"/>
    </xf>
    <xf numFmtId="166" fontId="2" fillId="0" borderId="31" xfId="1" applyNumberFormat="1" applyFont="1" applyFill="1" applyBorder="1"/>
    <xf numFmtId="0" fontId="3" fillId="0" borderId="11" xfId="0" quotePrefix="1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175" fontId="2" fillId="0" borderId="3" xfId="1" applyNumberFormat="1" applyFont="1" applyBorder="1"/>
    <xf numFmtId="0" fontId="3" fillId="2" borderId="30" xfId="0" applyFont="1" applyFill="1" applyBorder="1" applyAlignment="1">
      <alignment horizontal="center"/>
    </xf>
    <xf numFmtId="0" fontId="3" fillId="2" borderId="6" xfId="0" quotePrefix="1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/>
    </xf>
    <xf numFmtId="166" fontId="3" fillId="0" borderId="28" xfId="1" applyNumberFormat="1" applyFont="1" applyFill="1" applyBorder="1"/>
    <xf numFmtId="165" fontId="2" fillId="2" borderId="4" xfId="2" applyNumberFormat="1" applyFont="1" applyFill="1" applyBorder="1"/>
    <xf numFmtId="0" fontId="3" fillId="0" borderId="4" xfId="0" quotePrefix="1" applyFont="1" applyBorder="1" applyAlignment="1">
      <alignment horizontal="center" vertical="center"/>
    </xf>
    <xf numFmtId="166" fontId="2" fillId="0" borderId="28" xfId="1" applyNumberFormat="1" applyFont="1" applyFill="1" applyBorder="1" applyAlignment="1">
      <alignment vertical="center"/>
    </xf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0" fontId="3" fillId="3" borderId="6" xfId="0" quotePrefix="1" applyFont="1" applyFill="1" applyBorder="1" applyAlignment="1">
      <alignment horizontal="center"/>
    </xf>
    <xf numFmtId="0" fontId="11" fillId="0" borderId="4" xfId="0" quotePrefix="1" applyFont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/>
    </xf>
    <xf numFmtId="43" fontId="3" fillId="0" borderId="28" xfId="1" applyFont="1" applyFill="1" applyBorder="1"/>
    <xf numFmtId="43" fontId="3" fillId="3" borderId="6" xfId="1" applyFont="1" applyFill="1" applyBorder="1" applyAlignment="1">
      <alignment horizontal="center"/>
    </xf>
    <xf numFmtId="43" fontId="2" fillId="3" borderId="27" xfId="1" applyFont="1" applyFill="1" applyBorder="1" applyAlignment="1">
      <alignment horizontal="center"/>
    </xf>
    <xf numFmtId="43" fontId="11" fillId="0" borderId="28" xfId="1" applyFont="1" applyFill="1" applyBorder="1"/>
    <xf numFmtId="43" fontId="5" fillId="0" borderId="28" xfId="1" applyFont="1" applyFill="1" applyBorder="1"/>
    <xf numFmtId="166" fontId="5" fillId="0" borderId="28" xfId="1" applyNumberFormat="1" applyFont="1" applyFill="1" applyBorder="1"/>
    <xf numFmtId="0" fontId="5" fillId="3" borderId="27" xfId="0" quotePrefix="1" applyFont="1" applyFill="1" applyBorder="1" applyAlignment="1">
      <alignment horizontal="center"/>
    </xf>
    <xf numFmtId="0" fontId="5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0" fontId="11" fillId="4" borderId="6" xfId="0" quotePrefix="1" applyFont="1" applyFill="1" applyBorder="1" applyAlignment="1">
      <alignment horizontal="center"/>
    </xf>
    <xf numFmtId="43" fontId="5" fillId="4" borderId="6" xfId="1" applyFont="1" applyFill="1" applyBorder="1"/>
    <xf numFmtId="0" fontId="5" fillId="4" borderId="4" xfId="0" applyFont="1" applyFill="1" applyBorder="1" applyAlignment="1">
      <alignment vertical="center"/>
    </xf>
    <xf numFmtId="43" fontId="2" fillId="4" borderId="4" xfId="1" applyFont="1" applyFill="1" applyBorder="1" applyAlignment="1">
      <alignment horizontal="center"/>
    </xf>
    <xf numFmtId="0" fontId="11" fillId="4" borderId="4" xfId="0" quotePrefix="1" applyFont="1" applyFill="1" applyBorder="1" applyAlignment="1">
      <alignment horizontal="center"/>
    </xf>
    <xf numFmtId="43" fontId="5" fillId="4" borderId="4" xfId="1" applyFont="1" applyFill="1" applyBorder="1"/>
    <xf numFmtId="0" fontId="5" fillId="4" borderId="2" xfId="0" applyFont="1" applyFill="1" applyBorder="1" applyAlignment="1">
      <alignment vertical="center"/>
    </xf>
    <xf numFmtId="43" fontId="2" fillId="4" borderId="2" xfId="1" applyFont="1" applyFill="1" applyBorder="1" applyAlignment="1">
      <alignment horizontal="center"/>
    </xf>
    <xf numFmtId="0" fontId="11" fillId="4" borderId="2" xfId="0" quotePrefix="1" applyFont="1" applyFill="1" applyBorder="1" applyAlignment="1">
      <alignment horizontal="center"/>
    </xf>
    <xf numFmtId="43" fontId="5" fillId="4" borderId="2" xfId="1" applyFont="1" applyFill="1" applyBorder="1"/>
    <xf numFmtId="0" fontId="11" fillId="4" borderId="14" xfId="0" applyFont="1" applyFill="1" applyBorder="1" applyAlignment="1">
      <alignment vertical="center"/>
    </xf>
    <xf numFmtId="43" fontId="2" fillId="4" borderId="14" xfId="1" applyFont="1" applyFill="1" applyBorder="1" applyAlignment="1">
      <alignment horizontal="center"/>
    </xf>
    <xf numFmtId="0" fontId="11" fillId="4" borderId="14" xfId="0" quotePrefix="1" applyFont="1" applyFill="1" applyBorder="1" applyAlignment="1">
      <alignment horizontal="center"/>
    </xf>
    <xf numFmtId="43" fontId="5" fillId="4" borderId="14" xfId="1" applyFont="1" applyFill="1" applyBorder="1"/>
    <xf numFmtId="165" fontId="11" fillId="4" borderId="14" xfId="2" applyNumberFormat="1" applyFont="1" applyFill="1" applyBorder="1" applyAlignment="1">
      <alignment horizontal="left" vertical="top"/>
    </xf>
    <xf numFmtId="165" fontId="11" fillId="4" borderId="14" xfId="2" quotePrefix="1" applyNumberFormat="1" applyFont="1" applyFill="1" applyBorder="1" applyAlignment="1">
      <alignment horizontal="center"/>
    </xf>
    <xf numFmtId="165" fontId="11" fillId="4" borderId="14" xfId="2" applyNumberFormat="1" applyFont="1" applyFill="1" applyBorder="1"/>
    <xf numFmtId="168" fontId="2" fillId="0" borderId="28" xfId="1" applyNumberFormat="1" applyFont="1" applyFill="1" applyBorder="1"/>
    <xf numFmtId="0" fontId="3" fillId="0" borderId="33" xfId="0" applyFont="1" applyBorder="1" applyAlignment="1">
      <alignment horizontal="center"/>
    </xf>
    <xf numFmtId="168" fontId="3" fillId="0" borderId="29" xfId="1" applyNumberFormat="1" applyFont="1" applyFill="1" applyBorder="1"/>
    <xf numFmtId="41" fontId="3" fillId="0" borderId="0" xfId="2" applyFont="1"/>
    <xf numFmtId="168" fontId="3" fillId="3" borderId="28" xfId="1" applyNumberFormat="1" applyFont="1" applyFill="1" applyBorder="1"/>
    <xf numFmtId="43" fontId="2" fillId="3" borderId="27" xfId="1" applyFont="1" applyFill="1" applyBorder="1"/>
    <xf numFmtId="43" fontId="2" fillId="0" borderId="28" xfId="1" applyFont="1" applyFill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3" fillId="2" borderId="2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right"/>
    </xf>
    <xf numFmtId="0" fontId="3" fillId="2" borderId="33" xfId="0" applyFont="1" applyFill="1" applyBorder="1" applyAlignment="1">
      <alignment horizontal="center"/>
    </xf>
    <xf numFmtId="166" fontId="3" fillId="0" borderId="34" xfId="1" applyNumberFormat="1" applyFont="1" applyFill="1" applyBorder="1"/>
    <xf numFmtId="0" fontId="3" fillId="3" borderId="4" xfId="0" applyFont="1" applyFill="1" applyBorder="1"/>
    <xf numFmtId="0" fontId="2" fillId="3" borderId="4" xfId="0" applyFont="1" applyFill="1" applyBorder="1"/>
    <xf numFmtId="0" fontId="10" fillId="3" borderId="3" xfId="0" applyFont="1" applyFill="1" applyBorder="1"/>
    <xf numFmtId="0" fontId="2" fillId="2" borderId="4" xfId="0" applyFont="1" applyFill="1" applyBorder="1"/>
    <xf numFmtId="0" fontId="3" fillId="2" borderId="2" xfId="0" applyFont="1" applyFill="1" applyBorder="1"/>
    <xf numFmtId="0" fontId="3" fillId="6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6" fontId="3" fillId="0" borderId="2" xfId="1" applyNumberFormat="1" applyFont="1" applyBorder="1"/>
    <xf numFmtId="166" fontId="3" fillId="0" borderId="7" xfId="0" applyNumberFormat="1" applyFont="1" applyBorder="1"/>
    <xf numFmtId="0" fontId="2" fillId="3" borderId="6" xfId="0" applyFont="1" applyFill="1" applyBorder="1"/>
    <xf numFmtId="41" fontId="2" fillId="2" borderId="4" xfId="2" applyFont="1" applyFill="1" applyBorder="1" applyAlignment="1">
      <alignment horizontal="center"/>
    </xf>
    <xf numFmtId="166" fontId="2" fillId="2" borderId="28" xfId="1" applyNumberFormat="1" applyFont="1" applyFill="1" applyBorder="1"/>
    <xf numFmtId="0" fontId="0" fillId="2" borderId="0" xfId="0" applyFill="1"/>
    <xf numFmtId="166" fontId="2" fillId="4" borderId="29" xfId="1" applyNumberFormat="1" applyFont="1" applyFill="1" applyBorder="1"/>
    <xf numFmtId="43" fontId="2" fillId="0" borderId="3" xfId="1" applyFont="1" applyFill="1" applyBorder="1"/>
    <xf numFmtId="166" fontId="2" fillId="4" borderId="3" xfId="0" applyNumberFormat="1" applyFont="1" applyFill="1" applyBorder="1"/>
    <xf numFmtId="166" fontId="2" fillId="4" borderId="3" xfId="1" applyNumberFormat="1" applyFont="1" applyFill="1" applyBorder="1"/>
    <xf numFmtId="166" fontId="2" fillId="4" borderId="3" xfId="0" applyNumberFormat="1" applyFont="1" applyFill="1" applyBorder="1" applyAlignment="1">
      <alignment vertical="center"/>
    </xf>
    <xf numFmtId="166" fontId="2" fillId="4" borderId="3" xfId="1" applyNumberFormat="1" applyFont="1" applyFill="1" applyBorder="1" applyAlignment="1">
      <alignment vertical="center"/>
    </xf>
    <xf numFmtId="43" fontId="2" fillId="7" borderId="3" xfId="1" applyFont="1" applyFill="1" applyBorder="1"/>
    <xf numFmtId="43" fontId="2" fillId="4" borderId="3" xfId="1" applyFont="1" applyFill="1" applyBorder="1"/>
    <xf numFmtId="43" fontId="2" fillId="8" borderId="3" xfId="1" applyFont="1" applyFill="1" applyBorder="1"/>
    <xf numFmtId="43" fontId="2" fillId="3" borderId="4" xfId="1" applyFont="1" applyFill="1" applyBorder="1" applyAlignment="1">
      <alignment horizontal="center"/>
    </xf>
    <xf numFmtId="0" fontId="11" fillId="3" borderId="4" xfId="0" quotePrefix="1" applyFont="1" applyFill="1" applyBorder="1" applyAlignment="1">
      <alignment horizontal="center"/>
    </xf>
    <xf numFmtId="166" fontId="2" fillId="3" borderId="4" xfId="1" applyNumberFormat="1" applyFont="1" applyFill="1" applyBorder="1"/>
    <xf numFmtId="166" fontId="2" fillId="3" borderId="28" xfId="1" applyNumberFormat="1" applyFont="1" applyFill="1" applyBorder="1"/>
    <xf numFmtId="166" fontId="2" fillId="0" borderId="3" xfId="1" applyNumberFormat="1" applyFont="1" applyFill="1" applyBorder="1"/>
    <xf numFmtId="43" fontId="2" fillId="0" borderId="35" xfId="1" applyFont="1" applyFill="1" applyBorder="1"/>
    <xf numFmtId="43" fontId="2" fillId="0" borderId="10" xfId="1" applyFont="1" applyFill="1" applyBorder="1"/>
    <xf numFmtId="175" fontId="2" fillId="0" borderId="28" xfId="1" applyNumberFormat="1" applyFont="1" applyFill="1" applyBorder="1"/>
    <xf numFmtId="43" fontId="9" fillId="0" borderId="27" xfId="1" applyFont="1" applyFill="1" applyBorder="1"/>
    <xf numFmtId="43" fontId="11" fillId="0" borderId="0" xfId="1" applyFont="1" applyFill="1" applyBorder="1"/>
    <xf numFmtId="43" fontId="11" fillId="0" borderId="28" xfId="1" applyFont="1" applyFill="1" applyBorder="1" applyAlignment="1">
      <alignment vertical="center"/>
    </xf>
    <xf numFmtId="43" fontId="11" fillId="0" borderId="0" xfId="1" applyFont="1" applyFill="1" applyBorder="1" applyAlignment="1">
      <alignment vertical="center"/>
    </xf>
    <xf numFmtId="43" fontId="5" fillId="0" borderId="0" xfId="1" applyFont="1" applyFill="1" applyBorder="1"/>
    <xf numFmtId="166" fontId="5" fillId="0" borderId="0" xfId="1" applyNumberFormat="1" applyFont="1" applyFill="1" applyBorder="1"/>
    <xf numFmtId="166" fontId="5" fillId="0" borderId="28" xfId="1" applyNumberFormat="1" applyFont="1" applyFill="1" applyBorder="1" applyAlignment="1">
      <alignment vertical="center"/>
    </xf>
    <xf numFmtId="166" fontId="5" fillId="0" borderId="0" xfId="1" applyNumberFormat="1" applyFont="1" applyFill="1" applyBorder="1" applyAlignment="1">
      <alignment vertical="center"/>
    </xf>
    <xf numFmtId="43" fontId="2" fillId="2" borderId="0" xfId="1" applyFont="1" applyFill="1" applyBorder="1" applyAlignment="1">
      <alignment horizontal="center"/>
    </xf>
    <xf numFmtId="0" fontId="5" fillId="2" borderId="0" xfId="0" quotePrefix="1" applyFont="1" applyFill="1" applyAlignment="1">
      <alignment horizontal="center"/>
    </xf>
    <xf numFmtId="43" fontId="5" fillId="4" borderId="28" xfId="1" applyFont="1" applyFill="1" applyBorder="1"/>
    <xf numFmtId="43" fontId="5" fillId="2" borderId="0" xfId="1" applyFont="1" applyFill="1" applyBorder="1"/>
    <xf numFmtId="166" fontId="2" fillId="4" borderId="5" xfId="0" applyNumberFormat="1" applyFont="1" applyFill="1" applyBorder="1"/>
    <xf numFmtId="43" fontId="5" fillId="4" borderId="29" xfId="1" applyFont="1" applyFill="1" applyBorder="1"/>
    <xf numFmtId="166" fontId="2" fillId="4" borderId="7" xfId="0" applyNumberFormat="1" applyFont="1" applyFill="1" applyBorder="1"/>
    <xf numFmtId="43" fontId="5" fillId="4" borderId="25" xfId="1" applyFont="1" applyFill="1" applyBorder="1"/>
    <xf numFmtId="166" fontId="11" fillId="4" borderId="13" xfId="1" applyNumberFormat="1" applyFont="1" applyFill="1" applyBorder="1"/>
    <xf numFmtId="165" fontId="11" fillId="4" borderId="25" xfId="2" applyNumberFormat="1" applyFont="1" applyFill="1" applyBorder="1"/>
    <xf numFmtId="165" fontId="11" fillId="2" borderId="0" xfId="2" applyNumberFormat="1" applyFont="1" applyFill="1" applyBorder="1"/>
    <xf numFmtId="41" fontId="3" fillId="4" borderId="7" xfId="2" applyFont="1" applyFill="1" applyBorder="1"/>
    <xf numFmtId="0" fontId="3" fillId="5" borderId="36" xfId="0" applyFont="1" applyFill="1" applyBorder="1" applyAlignment="1">
      <alignment horizontal="center" vertical="center" wrapText="1"/>
    </xf>
    <xf numFmtId="166" fontId="2" fillId="0" borderId="37" xfId="1" applyNumberFormat="1" applyFont="1" applyFill="1" applyBorder="1" applyAlignment="1">
      <alignment horizontal="right" vertical="center"/>
    </xf>
    <xf numFmtId="166" fontId="2" fillId="0" borderId="38" xfId="1" applyNumberFormat="1" applyFont="1" applyFill="1" applyBorder="1" applyAlignment="1">
      <alignment horizontal="right" vertical="center"/>
    </xf>
    <xf numFmtId="43" fontId="12" fillId="0" borderId="39" xfId="1" applyFont="1" applyFill="1" applyBorder="1" applyAlignment="1">
      <alignment horizontal="right" vertical="center"/>
    </xf>
    <xf numFmtId="43" fontId="12" fillId="0" borderId="38" xfId="1" applyFont="1" applyFill="1" applyBorder="1" applyAlignment="1">
      <alignment horizontal="right" vertical="center"/>
    </xf>
    <xf numFmtId="166" fontId="3" fillId="2" borderId="36" xfId="1" applyNumberFormat="1" applyFont="1" applyFill="1" applyBorder="1" applyAlignment="1">
      <alignment horizontal="right" vertical="center"/>
    </xf>
    <xf numFmtId="166" fontId="2" fillId="3" borderId="37" xfId="1" applyNumberFormat="1" applyFont="1" applyFill="1" applyBorder="1"/>
    <xf numFmtId="166" fontId="2" fillId="0" borderId="37" xfId="1" applyNumberFormat="1" applyFont="1" applyFill="1" applyBorder="1"/>
    <xf numFmtId="166" fontId="2" fillId="0" borderId="38" xfId="1" applyNumberFormat="1" applyFont="1" applyFill="1" applyBorder="1"/>
    <xf numFmtId="166" fontId="2" fillId="4" borderId="38" xfId="1" applyNumberFormat="1" applyFont="1" applyFill="1" applyBorder="1"/>
    <xf numFmtId="165" fontId="2" fillId="0" borderId="38" xfId="2" applyNumberFormat="1" applyFont="1" applyFill="1" applyBorder="1"/>
    <xf numFmtId="166" fontId="2" fillId="4" borderId="39" xfId="1" applyNumberFormat="1" applyFont="1" applyFill="1" applyBorder="1"/>
    <xf numFmtId="166" fontId="2" fillId="2" borderId="38" xfId="1" applyNumberFormat="1" applyFont="1" applyFill="1" applyBorder="1"/>
    <xf numFmtId="166" fontId="3" fillId="0" borderId="37" xfId="1" applyNumberFormat="1" applyFont="1" applyFill="1" applyBorder="1" applyAlignment="1">
      <alignment horizontal="center"/>
    </xf>
    <xf numFmtId="166" fontId="2" fillId="4" borderId="38" xfId="1" applyNumberFormat="1" applyFont="1" applyFill="1" applyBorder="1" applyAlignment="1">
      <alignment horizontal="center" vertical="center"/>
    </xf>
    <xf numFmtId="166" fontId="2" fillId="0" borderId="40" xfId="1" applyNumberFormat="1" applyFont="1" applyFill="1" applyBorder="1"/>
    <xf numFmtId="43" fontId="2" fillId="0" borderId="38" xfId="1" applyFont="1" applyFill="1" applyBorder="1"/>
    <xf numFmtId="166" fontId="3" fillId="0" borderId="38" xfId="1" applyNumberFormat="1" applyFont="1" applyFill="1" applyBorder="1"/>
    <xf numFmtId="166" fontId="2" fillId="0" borderId="38" xfId="1" applyNumberFormat="1" applyFont="1" applyFill="1" applyBorder="1" applyAlignment="1">
      <alignment vertical="center"/>
    </xf>
    <xf numFmtId="41" fontId="2" fillId="0" borderId="38" xfId="2" applyFont="1" applyFill="1" applyBorder="1"/>
    <xf numFmtId="43" fontId="2" fillId="3" borderId="37" xfId="1" applyFont="1" applyFill="1" applyBorder="1"/>
    <xf numFmtId="43" fontId="11" fillId="0" borderId="38" xfId="1" applyFont="1" applyFill="1" applyBorder="1"/>
    <xf numFmtId="43" fontId="11" fillId="0" borderId="38" xfId="1" applyFont="1" applyFill="1" applyBorder="1" applyAlignment="1">
      <alignment vertical="center"/>
    </xf>
    <xf numFmtId="43" fontId="5" fillId="0" borderId="38" xfId="1" applyFont="1" applyFill="1" applyBorder="1"/>
    <xf numFmtId="166" fontId="5" fillId="0" borderId="38" xfId="1" applyNumberFormat="1" applyFont="1" applyFill="1" applyBorder="1"/>
    <xf numFmtId="166" fontId="5" fillId="0" borderId="38" xfId="1" applyNumberFormat="1" applyFont="1" applyFill="1" applyBorder="1" applyAlignment="1">
      <alignment vertical="center"/>
    </xf>
    <xf numFmtId="166" fontId="5" fillId="3" borderId="37" xfId="1" applyNumberFormat="1" applyFont="1" applyFill="1" applyBorder="1"/>
    <xf numFmtId="166" fontId="5" fillId="3" borderId="37" xfId="1" applyNumberFormat="1" applyFont="1" applyFill="1" applyBorder="1" applyAlignment="1">
      <alignment vertical="center"/>
    </xf>
    <xf numFmtId="43" fontId="3" fillId="0" borderId="38" xfId="1" applyFont="1" applyFill="1" applyBorder="1"/>
    <xf numFmtId="43" fontId="2" fillId="3" borderId="37" xfId="1" applyFont="1" applyFill="1" applyBorder="1" applyAlignment="1">
      <alignment horizontal="center"/>
    </xf>
    <xf numFmtId="0" fontId="5" fillId="3" borderId="37" xfId="0" quotePrefix="1" applyFont="1" applyFill="1" applyBorder="1" applyAlignment="1">
      <alignment horizontal="center"/>
    </xf>
    <xf numFmtId="166" fontId="2" fillId="3" borderId="38" xfId="1" applyNumberFormat="1" applyFont="1" applyFill="1" applyBorder="1"/>
    <xf numFmtId="168" fontId="5" fillId="0" borderId="38" xfId="1" applyNumberFormat="1" applyFont="1" applyFill="1" applyBorder="1"/>
    <xf numFmtId="168" fontId="2" fillId="0" borderId="38" xfId="1" applyNumberFormat="1" applyFont="1" applyFill="1" applyBorder="1"/>
    <xf numFmtId="168" fontId="3" fillId="3" borderId="38" xfId="1" applyNumberFormat="1" applyFont="1" applyFill="1" applyBorder="1"/>
    <xf numFmtId="43" fontId="2" fillId="0" borderId="38" xfId="1" applyFont="1" applyFill="1" applyBorder="1" applyAlignment="1">
      <alignment vertical="center"/>
    </xf>
    <xf numFmtId="0" fontId="3" fillId="3" borderId="13" xfId="0" quotePrefix="1" applyFont="1" applyFill="1" applyBorder="1"/>
    <xf numFmtId="43" fontId="5" fillId="0" borderId="10" xfId="1" applyFont="1" applyFill="1" applyBorder="1"/>
    <xf numFmtId="166" fontId="19" fillId="0" borderId="17" xfId="1" applyNumberFormat="1" applyFont="1" applyFill="1" applyBorder="1"/>
    <xf numFmtId="43" fontId="2" fillId="0" borderId="41" xfId="1" applyFont="1" applyFill="1" applyBorder="1"/>
    <xf numFmtId="168" fontId="7" fillId="0" borderId="4" xfId="1" applyNumberFormat="1" applyFont="1" applyFill="1" applyBorder="1"/>
    <xf numFmtId="172" fontId="7" fillId="0" borderId="4" xfId="1" applyNumberFormat="1" applyFont="1" applyFill="1" applyBorder="1"/>
    <xf numFmtId="43" fontId="5" fillId="0" borderId="4" xfId="1" applyFont="1" applyFill="1" applyBorder="1" applyAlignment="1">
      <alignment vertical="center"/>
    </xf>
    <xf numFmtId="171" fontId="7" fillId="0" borderId="4" xfId="1" applyNumberFormat="1" applyFont="1" applyFill="1" applyBorder="1"/>
    <xf numFmtId="43" fontId="7" fillId="0" borderId="4" xfId="1" applyFont="1" applyFill="1" applyBorder="1"/>
    <xf numFmtId="1" fontId="2" fillId="0" borderId="0" xfId="0" applyNumberFormat="1" applyFont="1"/>
    <xf numFmtId="2" fontId="2" fillId="2" borderId="0" xfId="0" applyNumberFormat="1" applyFont="1" applyFill="1"/>
    <xf numFmtId="2" fontId="5" fillId="0" borderId="0" xfId="0" applyNumberFormat="1" applyFont="1"/>
    <xf numFmtId="166" fontId="11" fillId="0" borderId="17" xfId="1" applyNumberFormat="1" applyFont="1" applyFill="1" applyBorder="1"/>
    <xf numFmtId="166" fontId="3" fillId="2" borderId="25" xfId="1" applyNumberFormat="1" applyFont="1" applyFill="1" applyBorder="1" applyAlignment="1">
      <alignment horizontal="right" vertical="center"/>
    </xf>
    <xf numFmtId="166" fontId="7" fillId="0" borderId="38" xfId="1" applyNumberFormat="1" applyFont="1" applyFill="1" applyBorder="1"/>
    <xf numFmtId="166" fontId="7" fillId="0" borderId="28" xfId="1" applyNumberFormat="1" applyFont="1" applyFill="1" applyBorder="1"/>
    <xf numFmtId="43" fontId="7" fillId="0" borderId="28" xfId="1" applyFont="1" applyFill="1" applyBorder="1"/>
    <xf numFmtId="43" fontId="2" fillId="0" borderId="29" xfId="1" applyFont="1" applyFill="1" applyBorder="1"/>
    <xf numFmtId="165" fontId="2" fillId="0" borderId="28" xfId="1" applyNumberFormat="1" applyFont="1" applyFill="1" applyBorder="1"/>
    <xf numFmtId="166" fontId="2" fillId="0" borderId="4" xfId="1" applyNumberFormat="1" applyFont="1" applyFill="1" applyBorder="1" applyAlignment="1">
      <alignment wrapText="1"/>
    </xf>
    <xf numFmtId="166" fontId="2" fillId="0" borderId="41" xfId="1" applyNumberFormat="1" applyFont="1" applyFill="1" applyBorder="1" applyAlignment="1">
      <alignment wrapText="1"/>
    </xf>
    <xf numFmtId="41" fontId="2" fillId="0" borderId="28" xfId="2" applyFont="1" applyFill="1" applyBorder="1"/>
    <xf numFmtId="166" fontId="5" fillId="0" borderId="29" xfId="1" applyNumberFormat="1" applyFont="1" applyFill="1" applyBorder="1"/>
    <xf numFmtId="166" fontId="5" fillId="3" borderId="27" xfId="1" applyNumberFormat="1" applyFont="1" applyFill="1" applyBorder="1"/>
    <xf numFmtId="166" fontId="5" fillId="3" borderId="27" xfId="1" applyNumberFormat="1" applyFont="1" applyFill="1" applyBorder="1" applyAlignment="1">
      <alignment vertical="center"/>
    </xf>
    <xf numFmtId="43" fontId="5" fillId="4" borderId="27" xfId="1" applyFont="1" applyFill="1" applyBorder="1"/>
    <xf numFmtId="168" fontId="5" fillId="0" borderId="28" xfId="1" applyNumberFormat="1" applyFont="1" applyFill="1" applyBorder="1"/>
    <xf numFmtId="166" fontId="2" fillId="0" borderId="0" xfId="1" applyNumberFormat="1" applyFont="1" applyFill="1"/>
    <xf numFmtId="43" fontId="5" fillId="0" borderId="0" xfId="1" applyFont="1"/>
    <xf numFmtId="164" fontId="2" fillId="0" borderId="0" xfId="0" applyNumberFormat="1" applyFont="1"/>
    <xf numFmtId="43" fontId="2" fillId="2" borderId="0" xfId="0" applyNumberFormat="1" applyFont="1" applyFill="1"/>
    <xf numFmtId="164" fontId="3" fillId="0" borderId="0" xfId="0" applyNumberFormat="1" applyFont="1"/>
    <xf numFmtId="166" fontId="3" fillId="0" borderId="0" xfId="1" applyNumberFormat="1" applyFont="1"/>
    <xf numFmtId="43" fontId="2" fillId="0" borderId="0" xfId="0" applyNumberFormat="1" applyFont="1" applyAlignment="1">
      <alignment vertical="center"/>
    </xf>
    <xf numFmtId="43" fontId="2" fillId="0" borderId="0" xfId="1" applyFont="1" applyAlignment="1">
      <alignment vertical="center"/>
    </xf>
    <xf numFmtId="0" fontId="3" fillId="0" borderId="4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8" xfId="0" quotePrefix="1" applyFont="1" applyFill="1" applyBorder="1"/>
    <xf numFmtId="43" fontId="2" fillId="2" borderId="4" xfId="1" applyFont="1" applyFill="1" applyBorder="1"/>
    <xf numFmtId="43" fontId="2" fillId="2" borderId="13" xfId="1" applyFont="1" applyFill="1" applyBorder="1"/>
    <xf numFmtId="169" fontId="3" fillId="0" borderId="0" xfId="0" applyNumberFormat="1" applyFont="1"/>
    <xf numFmtId="0" fontId="14" fillId="0" borderId="0" xfId="0" applyFont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0" fontId="3" fillId="5" borderId="23" xfId="0" applyFont="1" applyFill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5" borderId="18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</cellXfs>
  <cellStyles count="3">
    <cellStyle name="Koma" xfId="1" builtinId="3"/>
    <cellStyle name="Ko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WA288"/>
  <sheetViews>
    <sheetView tabSelected="1" zoomScale="80" zoomScaleNormal="80" workbookViewId="0">
      <pane xSplit="4" ySplit="28" topLeftCell="AC56" activePane="bottomRight" state="frozen"/>
      <selection pane="topRight" activeCell="E1" sqref="E1"/>
      <selection pane="bottomLeft" activeCell="A29" sqref="A29"/>
      <selection pane="bottomRight" activeCell="AQ41" sqref="AQ41"/>
    </sheetView>
  </sheetViews>
  <sheetFormatPr defaultColWidth="9" defaultRowHeight="15" x14ac:dyDescent="0.25"/>
  <cols>
    <col min="1" max="1" width="6.42578125" style="1" customWidth="1"/>
    <col min="2" max="2" width="4.7109375" style="20" customWidth="1"/>
    <col min="3" max="3" width="34.5703125" style="1" customWidth="1"/>
    <col min="4" max="4" width="14.7109375" style="1" customWidth="1"/>
    <col min="5" max="5" width="8.140625" style="45" customWidth="1"/>
    <col min="6" max="8" width="13.5703125" style="1" customWidth="1"/>
    <col min="9" max="11" width="14.5703125" style="1" customWidth="1"/>
    <col min="12" max="17" width="13.5703125" style="1" customWidth="1"/>
    <col min="18" max="18" width="14.28515625" style="1" customWidth="1"/>
    <col min="19" max="19" width="14.5703125" style="1" customWidth="1"/>
    <col min="20" max="22" width="13.5703125" style="1" customWidth="1"/>
    <col min="23" max="23" width="15.7109375" style="1" customWidth="1"/>
    <col min="24" max="35" width="13.5703125" style="1" customWidth="1"/>
    <col min="36" max="36" width="9.42578125" style="1" customWidth="1"/>
    <col min="37" max="37" width="19.28515625" style="1" customWidth="1"/>
    <col min="38" max="38" width="15.140625" style="1" hidden="1" customWidth="1"/>
    <col min="39" max="74" width="8.140625" style="1" customWidth="1"/>
    <col min="75" max="76" width="7.5703125" style="1" customWidth="1"/>
    <col min="77" max="81" width="8.140625" style="1" customWidth="1"/>
    <col min="82" max="83" width="9" style="1"/>
    <col min="84" max="85" width="9" style="1" customWidth="1"/>
    <col min="86" max="93" width="9" style="1"/>
    <col min="94" max="94" width="12.7109375" style="1" customWidth="1"/>
    <col min="95" max="95" width="12.140625" style="1" customWidth="1"/>
    <col min="96" max="96" width="9.140625" style="1" customWidth="1"/>
    <col min="97" max="97" width="9.85546875" style="1" customWidth="1"/>
    <col min="98" max="98" width="15.85546875" style="1" customWidth="1"/>
    <col min="99" max="99" width="12.85546875" style="1" customWidth="1"/>
    <col min="100" max="100" width="14.140625" style="1" customWidth="1"/>
    <col min="101" max="112" width="9" style="1"/>
    <col min="113" max="113" width="9.5703125" style="4" customWidth="1"/>
    <col min="114" max="114" width="12.42578125" style="1" customWidth="1"/>
    <col min="115" max="15078" width="9" style="1"/>
  </cols>
  <sheetData>
    <row r="1" spans="2:38" x14ac:dyDescent="0.25">
      <c r="B1" s="46"/>
    </row>
    <row r="2" spans="2:38" ht="18" x14ac:dyDescent="0.25">
      <c r="B2" s="420" t="s">
        <v>113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420"/>
      <c r="AE2" s="420"/>
      <c r="AF2" s="420"/>
      <c r="AG2" s="420"/>
      <c r="AH2" s="420"/>
      <c r="AI2" s="420"/>
      <c r="AJ2" s="80"/>
    </row>
    <row r="3" spans="2:38" x14ac:dyDescent="0.25">
      <c r="B3" s="58"/>
    </row>
    <row r="4" spans="2:38" ht="15.75" thickBot="1" x14ac:dyDescent="0.3">
      <c r="C4" s="57"/>
      <c r="D4" s="7"/>
      <c r="Z4" s="21"/>
      <c r="AB4" s="21"/>
    </row>
    <row r="5" spans="2:38" ht="15" customHeight="1" x14ac:dyDescent="0.25">
      <c r="B5" s="426" t="s">
        <v>112</v>
      </c>
      <c r="C5" s="428" t="s">
        <v>111</v>
      </c>
      <c r="D5" s="430" t="s">
        <v>110</v>
      </c>
      <c r="E5" s="432" t="s">
        <v>109</v>
      </c>
      <c r="F5" s="421" t="s">
        <v>145</v>
      </c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2"/>
      <c r="X5" s="422"/>
      <c r="Y5" s="422"/>
      <c r="Z5" s="422"/>
      <c r="AA5" s="422"/>
      <c r="AB5" s="422"/>
      <c r="AC5" s="422"/>
      <c r="AD5" s="422"/>
      <c r="AE5" s="422"/>
      <c r="AF5" s="422"/>
      <c r="AG5" s="422"/>
      <c r="AH5" s="422"/>
      <c r="AI5" s="423"/>
      <c r="AK5" s="424" t="s">
        <v>108</v>
      </c>
    </row>
    <row r="6" spans="2:38" x14ac:dyDescent="0.25">
      <c r="B6" s="427"/>
      <c r="C6" s="429"/>
      <c r="D6" s="431"/>
      <c r="E6" s="433"/>
      <c r="F6" s="81">
        <v>1</v>
      </c>
      <c r="G6" s="81">
        <v>2</v>
      </c>
      <c r="H6" s="81">
        <v>3</v>
      </c>
      <c r="I6" s="81">
        <v>4</v>
      </c>
      <c r="J6" s="81">
        <v>5</v>
      </c>
      <c r="K6" s="81">
        <v>6</v>
      </c>
      <c r="L6" s="81">
        <v>7</v>
      </c>
      <c r="M6" s="81">
        <v>8</v>
      </c>
      <c r="N6" s="81">
        <v>9</v>
      </c>
      <c r="O6" s="81">
        <v>10</v>
      </c>
      <c r="P6" s="81">
        <v>11</v>
      </c>
      <c r="Q6" s="81">
        <v>12</v>
      </c>
      <c r="R6" s="81">
        <v>13</v>
      </c>
      <c r="S6" s="81">
        <v>14</v>
      </c>
      <c r="T6" s="81">
        <v>15</v>
      </c>
      <c r="U6" s="81">
        <v>16</v>
      </c>
      <c r="V6" s="81">
        <v>17</v>
      </c>
      <c r="W6" s="81">
        <v>18</v>
      </c>
      <c r="X6" s="81">
        <v>19</v>
      </c>
      <c r="Y6" s="81">
        <v>20</v>
      </c>
      <c r="Z6" s="81">
        <v>21</v>
      </c>
      <c r="AA6" s="81">
        <v>22</v>
      </c>
      <c r="AB6" s="81">
        <v>23</v>
      </c>
      <c r="AC6" s="81">
        <v>24</v>
      </c>
      <c r="AD6" s="81">
        <v>25</v>
      </c>
      <c r="AE6" s="81">
        <v>26</v>
      </c>
      <c r="AF6" s="81">
        <v>27</v>
      </c>
      <c r="AG6" s="343">
        <v>28</v>
      </c>
      <c r="AH6" s="343">
        <v>29</v>
      </c>
      <c r="AI6" s="203">
        <v>30</v>
      </c>
      <c r="AK6" s="425"/>
    </row>
    <row r="7" spans="2:38" ht="15" hidden="1" customHeight="1" x14ac:dyDescent="0.25">
      <c r="B7" s="204">
        <v>1</v>
      </c>
      <c r="C7" s="82" t="s">
        <v>107</v>
      </c>
      <c r="D7" s="83"/>
      <c r="E7" s="205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344"/>
      <c r="AH7" s="344"/>
      <c r="AI7" s="206"/>
      <c r="AJ7" s="21"/>
      <c r="AK7" s="56" t="s">
        <v>106</v>
      </c>
    </row>
    <row r="8" spans="2:38" ht="15" hidden="1" customHeight="1" x14ac:dyDescent="0.25">
      <c r="B8" s="204"/>
      <c r="C8" s="85" t="s">
        <v>100</v>
      </c>
      <c r="D8" s="86"/>
      <c r="E8" s="156" t="s">
        <v>16</v>
      </c>
      <c r="F8" s="87">
        <v>753810</v>
      </c>
      <c r="G8" s="87">
        <v>1440280</v>
      </c>
      <c r="H8" s="87">
        <v>1632860</v>
      </c>
      <c r="I8" s="87">
        <v>1386980</v>
      </c>
      <c r="J8" s="87">
        <v>1217540</v>
      </c>
      <c r="K8" s="87">
        <v>641780</v>
      </c>
      <c r="L8" s="87">
        <v>1384500</v>
      </c>
      <c r="M8" s="87">
        <v>1410520</v>
      </c>
      <c r="N8" s="87">
        <v>1144410</v>
      </c>
      <c r="O8" s="87">
        <v>1676090</v>
      </c>
      <c r="P8" s="87">
        <v>1364400</v>
      </c>
      <c r="Q8" s="87">
        <v>1745070</v>
      </c>
      <c r="R8" s="87">
        <v>346390</v>
      </c>
      <c r="S8" s="87">
        <v>1860950</v>
      </c>
      <c r="T8" s="87">
        <v>1275350</v>
      </c>
      <c r="U8" s="87">
        <v>1967230</v>
      </c>
      <c r="V8" s="87">
        <v>1813330</v>
      </c>
      <c r="W8" s="87">
        <v>1499810</v>
      </c>
      <c r="X8" s="87">
        <v>1555200</v>
      </c>
      <c r="Y8" s="87">
        <v>1234390</v>
      </c>
      <c r="Z8" s="87">
        <v>1767040</v>
      </c>
      <c r="AA8" s="87">
        <v>1574940</v>
      </c>
      <c r="AB8" s="87">
        <v>1739600</v>
      </c>
      <c r="AC8" s="87">
        <v>2132000</v>
      </c>
      <c r="AD8" s="87">
        <v>864640</v>
      </c>
      <c r="AE8" s="87">
        <v>2455900</v>
      </c>
      <c r="AF8" s="87">
        <v>218290</v>
      </c>
      <c r="AG8" s="345"/>
      <c r="AH8" s="345"/>
      <c r="AI8" s="207"/>
      <c r="AJ8" s="21"/>
      <c r="AK8" s="8">
        <f>SUM(F8:AI8)</f>
        <v>38103300</v>
      </c>
    </row>
    <row r="9" spans="2:38" ht="15" hidden="1" customHeight="1" x14ac:dyDescent="0.25">
      <c r="B9" s="204"/>
      <c r="C9" s="85" t="s">
        <v>99</v>
      </c>
      <c r="D9" s="86"/>
      <c r="E9" s="156" t="s">
        <v>16</v>
      </c>
      <c r="F9" s="87">
        <v>752160</v>
      </c>
      <c r="G9" s="87">
        <v>1437680</v>
      </c>
      <c r="H9" s="87">
        <v>1630740</v>
      </c>
      <c r="I9" s="87">
        <v>1385780</v>
      </c>
      <c r="J9" s="87">
        <v>1215650</v>
      </c>
      <c r="K9" s="87">
        <v>640940</v>
      </c>
      <c r="L9" s="87">
        <v>1382490</v>
      </c>
      <c r="M9" s="87">
        <v>1406680</v>
      </c>
      <c r="N9" s="87">
        <v>1142550</v>
      </c>
      <c r="O9" s="87">
        <v>1673230</v>
      </c>
      <c r="P9" s="87">
        <v>1363900</v>
      </c>
      <c r="Q9" s="87">
        <v>1742730</v>
      </c>
      <c r="R9" s="87">
        <v>346680</v>
      </c>
      <c r="S9" s="87">
        <v>1860970</v>
      </c>
      <c r="T9" s="87">
        <v>1275020</v>
      </c>
      <c r="U9" s="87">
        <v>1965140</v>
      </c>
      <c r="V9" s="87">
        <v>1811130</v>
      </c>
      <c r="W9" s="87">
        <v>1497620</v>
      </c>
      <c r="X9" s="87">
        <v>1553330</v>
      </c>
      <c r="Y9" s="87">
        <v>1233340</v>
      </c>
      <c r="Z9" s="87">
        <v>1765900</v>
      </c>
      <c r="AA9" s="87">
        <v>1572990</v>
      </c>
      <c r="AB9" s="87">
        <v>1737580</v>
      </c>
      <c r="AC9" s="87">
        <v>2129500</v>
      </c>
      <c r="AD9" s="87">
        <v>863340</v>
      </c>
      <c r="AE9" s="87">
        <v>2451700</v>
      </c>
      <c r="AF9" s="87">
        <v>217870</v>
      </c>
      <c r="AG9" s="345"/>
      <c r="AH9" s="345"/>
      <c r="AI9" s="207"/>
      <c r="AJ9" s="21"/>
      <c r="AK9" s="8">
        <f>SUM(F9:AI9)</f>
        <v>38056640</v>
      </c>
    </row>
    <row r="10" spans="2:38" ht="15" hidden="1" customHeight="1" x14ac:dyDescent="0.25">
      <c r="B10" s="204"/>
      <c r="C10" s="88" t="s">
        <v>98</v>
      </c>
      <c r="D10" s="89"/>
      <c r="E10" s="208" t="s">
        <v>29</v>
      </c>
      <c r="F10" s="90">
        <f t="shared" ref="F10:AF10" si="0">((F9-F8)/F8)*100</f>
        <v>-0.21888804871254028</v>
      </c>
      <c r="G10" s="90">
        <f t="shared" si="0"/>
        <v>-0.18052045435609743</v>
      </c>
      <c r="H10" s="90">
        <f t="shared" si="0"/>
        <v>-0.12983354359834892</v>
      </c>
      <c r="I10" s="90">
        <f t="shared" si="0"/>
        <v>-8.6518911592092171E-2</v>
      </c>
      <c r="J10" s="90">
        <f t="shared" si="0"/>
        <v>-0.15523103963730145</v>
      </c>
      <c r="K10" s="90">
        <f t="shared" si="0"/>
        <v>-0.13088597338651875</v>
      </c>
      <c r="L10" s="90">
        <f t="shared" si="0"/>
        <v>-0.14517876489707476</v>
      </c>
      <c r="M10" s="90">
        <f t="shared" si="0"/>
        <v>-0.27224002495533561</v>
      </c>
      <c r="N10" s="90">
        <f t="shared" si="0"/>
        <v>-0.1625291634990956</v>
      </c>
      <c r="O10" s="90">
        <f t="shared" si="0"/>
        <v>-0.17063522841852169</v>
      </c>
      <c r="P10" s="90">
        <f t="shared" si="0"/>
        <v>-3.6646144825564352E-2</v>
      </c>
      <c r="Q10" s="90">
        <f t="shared" si="0"/>
        <v>-0.13409204215303683</v>
      </c>
      <c r="R10" s="90">
        <f t="shared" si="0"/>
        <v>8.3720661681919231E-2</v>
      </c>
      <c r="S10" s="90">
        <f t="shared" si="0"/>
        <v>1.0747199011257691E-3</v>
      </c>
      <c r="T10" s="90">
        <f t="shared" si="0"/>
        <v>-2.5875249931391384E-2</v>
      </c>
      <c r="U10" s="90">
        <f t="shared" si="0"/>
        <v>-0.10624075476685492</v>
      </c>
      <c r="V10" s="90">
        <f t="shared" si="0"/>
        <v>-0.12132375243336843</v>
      </c>
      <c r="W10" s="90">
        <f t="shared" si="0"/>
        <v>-0.14601849567611899</v>
      </c>
      <c r="X10" s="90">
        <f t="shared" si="0"/>
        <v>-0.1202417695473251</v>
      </c>
      <c r="Y10" s="90">
        <f t="shared" si="0"/>
        <v>-8.5062257471301611E-2</v>
      </c>
      <c r="Z10" s="90">
        <f t="shared" si="0"/>
        <v>-6.4514668598333935E-2</v>
      </c>
      <c r="AA10" s="90">
        <f t="shared" si="0"/>
        <v>-0.12381424054249686</v>
      </c>
      <c r="AB10" s="90">
        <f t="shared" si="0"/>
        <v>-0.11611864796504942</v>
      </c>
      <c r="AC10" s="90">
        <f t="shared" si="0"/>
        <v>-0.11726078799249531</v>
      </c>
      <c r="AD10" s="90">
        <f t="shared" si="0"/>
        <v>-0.15035159141376758</v>
      </c>
      <c r="AE10" s="90">
        <f t="shared" si="0"/>
        <v>-0.17101673520908833</v>
      </c>
      <c r="AF10" s="90">
        <f t="shared" si="0"/>
        <v>-0.19240459938613769</v>
      </c>
      <c r="AG10" s="346"/>
      <c r="AH10" s="346"/>
      <c r="AI10" s="209"/>
      <c r="AJ10" s="21"/>
      <c r="AK10" s="55">
        <f>((AK9-AK8)/AK8)*100</f>
        <v>-0.12245658512517288</v>
      </c>
    </row>
    <row r="11" spans="2:38" ht="15" hidden="1" customHeight="1" x14ac:dyDescent="0.25">
      <c r="B11" s="204"/>
      <c r="C11" s="82" t="s">
        <v>124</v>
      </c>
      <c r="D11" s="83"/>
      <c r="E11" s="205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344"/>
      <c r="AH11" s="344"/>
      <c r="AI11" s="206"/>
      <c r="AJ11" s="21"/>
      <c r="AK11" s="56" t="s">
        <v>106</v>
      </c>
    </row>
    <row r="12" spans="2:38" ht="15" hidden="1" customHeight="1" x14ac:dyDescent="0.25">
      <c r="B12" s="204"/>
      <c r="C12" s="85" t="s">
        <v>105</v>
      </c>
      <c r="D12" s="86"/>
      <c r="E12" s="156" t="s">
        <v>16</v>
      </c>
      <c r="F12" s="87">
        <v>0</v>
      </c>
      <c r="G12" s="87">
        <v>0</v>
      </c>
      <c r="H12" s="87">
        <v>416839</v>
      </c>
      <c r="I12" s="87">
        <v>0</v>
      </c>
      <c r="J12" s="87">
        <v>0</v>
      </c>
      <c r="K12" s="87">
        <v>0</v>
      </c>
      <c r="L12" s="87">
        <v>0</v>
      </c>
      <c r="M12" s="87">
        <v>405115</v>
      </c>
      <c r="N12" s="87">
        <v>0</v>
      </c>
      <c r="O12" s="87">
        <v>0</v>
      </c>
      <c r="P12" s="87">
        <v>0</v>
      </c>
      <c r="Q12" s="87">
        <v>303022</v>
      </c>
      <c r="R12" s="87">
        <v>0</v>
      </c>
      <c r="S12" s="87">
        <v>0</v>
      </c>
      <c r="T12" s="87">
        <v>0</v>
      </c>
      <c r="U12" s="87">
        <v>0</v>
      </c>
      <c r="V12" s="87">
        <v>0</v>
      </c>
      <c r="W12" s="87">
        <v>492512</v>
      </c>
      <c r="X12" s="87">
        <v>0</v>
      </c>
      <c r="Y12" s="87">
        <v>0</v>
      </c>
      <c r="Z12" s="87">
        <v>547156</v>
      </c>
      <c r="AA12" s="87">
        <v>0</v>
      </c>
      <c r="AB12" s="87">
        <v>0</v>
      </c>
      <c r="AC12" s="87">
        <v>0</v>
      </c>
      <c r="AD12" s="87">
        <v>0</v>
      </c>
      <c r="AE12" s="87">
        <v>602214</v>
      </c>
      <c r="AF12" s="87">
        <v>0</v>
      </c>
      <c r="AG12" s="345"/>
      <c r="AH12" s="345"/>
      <c r="AI12" s="207"/>
      <c r="AJ12" s="21"/>
      <c r="AK12" s="8">
        <f>SUM(F12:AI12)</f>
        <v>2766858</v>
      </c>
      <c r="AL12" s="21"/>
    </row>
    <row r="13" spans="2:38" ht="15" hidden="1" customHeight="1" x14ac:dyDescent="0.25">
      <c r="B13" s="204"/>
      <c r="C13" s="85" t="s">
        <v>104</v>
      </c>
      <c r="D13" s="86"/>
      <c r="E13" s="156" t="s">
        <v>16</v>
      </c>
      <c r="F13" s="87">
        <v>0</v>
      </c>
      <c r="G13" s="87">
        <v>0</v>
      </c>
      <c r="H13" s="87">
        <v>414696</v>
      </c>
      <c r="I13" s="87">
        <v>0</v>
      </c>
      <c r="J13" s="87">
        <v>0</v>
      </c>
      <c r="K13" s="87">
        <v>0</v>
      </c>
      <c r="L13" s="87">
        <v>0</v>
      </c>
      <c r="M13" s="87">
        <v>405668</v>
      </c>
      <c r="N13" s="87">
        <v>0</v>
      </c>
      <c r="O13" s="87">
        <v>0</v>
      </c>
      <c r="P13" s="87">
        <v>0</v>
      </c>
      <c r="Q13" s="87">
        <v>305312</v>
      </c>
      <c r="R13" s="87">
        <v>0</v>
      </c>
      <c r="S13" s="87">
        <v>0</v>
      </c>
      <c r="T13" s="87">
        <v>0</v>
      </c>
      <c r="U13" s="87">
        <v>0</v>
      </c>
      <c r="V13" s="87">
        <v>0</v>
      </c>
      <c r="W13" s="87">
        <v>491508</v>
      </c>
      <c r="X13" s="87">
        <v>0</v>
      </c>
      <c r="Y13" s="87">
        <v>0</v>
      </c>
      <c r="Z13" s="87">
        <v>547615</v>
      </c>
      <c r="AA13" s="87">
        <v>0</v>
      </c>
      <c r="AB13" s="87">
        <v>0</v>
      </c>
      <c r="AC13" s="87">
        <v>0</v>
      </c>
      <c r="AD13" s="87">
        <v>0</v>
      </c>
      <c r="AE13" s="87">
        <v>601797</v>
      </c>
      <c r="AF13" s="87">
        <v>0</v>
      </c>
      <c r="AG13" s="345"/>
      <c r="AH13" s="345"/>
      <c r="AI13" s="207"/>
      <c r="AJ13" s="21"/>
      <c r="AK13" s="8">
        <f>SUM(F13:AI13)</f>
        <v>2766596</v>
      </c>
      <c r="AL13" s="21"/>
    </row>
    <row r="14" spans="2:38" ht="15" hidden="1" customHeight="1" x14ac:dyDescent="0.25">
      <c r="B14" s="204"/>
      <c r="C14" s="88" t="s">
        <v>103</v>
      </c>
      <c r="D14" s="89"/>
      <c r="E14" s="208" t="s">
        <v>29</v>
      </c>
      <c r="F14" s="90" t="e">
        <f t="shared" ref="F14:AF14" si="1">((F13-F12)/F12)*100</f>
        <v>#DIV/0!</v>
      </c>
      <c r="G14" s="90" t="e">
        <f t="shared" si="1"/>
        <v>#DIV/0!</v>
      </c>
      <c r="H14" s="90">
        <f t="shared" si="1"/>
        <v>-0.51410736519375588</v>
      </c>
      <c r="I14" s="90" t="e">
        <f t="shared" si="1"/>
        <v>#DIV/0!</v>
      </c>
      <c r="J14" s="90" t="e">
        <f t="shared" si="1"/>
        <v>#DIV/0!</v>
      </c>
      <c r="K14" s="90" t="e">
        <f t="shared" si="1"/>
        <v>#DIV/0!</v>
      </c>
      <c r="L14" s="90" t="e">
        <f t="shared" si="1"/>
        <v>#DIV/0!</v>
      </c>
      <c r="M14" s="90">
        <f t="shared" si="1"/>
        <v>0.13650444935388717</v>
      </c>
      <c r="N14" s="90" t="e">
        <f t="shared" si="1"/>
        <v>#DIV/0!</v>
      </c>
      <c r="O14" s="90" t="e">
        <f t="shared" si="1"/>
        <v>#DIV/0!</v>
      </c>
      <c r="P14" s="90" t="e">
        <f t="shared" si="1"/>
        <v>#DIV/0!</v>
      </c>
      <c r="Q14" s="90">
        <f t="shared" si="1"/>
        <v>0.75572070674736491</v>
      </c>
      <c r="R14" s="90" t="e">
        <f t="shared" si="1"/>
        <v>#DIV/0!</v>
      </c>
      <c r="S14" s="90" t="e">
        <f t="shared" si="1"/>
        <v>#DIV/0!</v>
      </c>
      <c r="T14" s="90" t="e">
        <f t="shared" si="1"/>
        <v>#DIV/0!</v>
      </c>
      <c r="U14" s="90" t="e">
        <f t="shared" si="1"/>
        <v>#DIV/0!</v>
      </c>
      <c r="V14" s="90" t="e">
        <f t="shared" si="1"/>
        <v>#DIV/0!</v>
      </c>
      <c r="W14" s="90">
        <f t="shared" si="1"/>
        <v>-0.20385290104606588</v>
      </c>
      <c r="X14" s="90" t="e">
        <f t="shared" si="1"/>
        <v>#DIV/0!</v>
      </c>
      <c r="Y14" s="90" t="e">
        <f t="shared" si="1"/>
        <v>#DIV/0!</v>
      </c>
      <c r="Z14" s="90">
        <f t="shared" si="1"/>
        <v>8.388832435356644E-2</v>
      </c>
      <c r="AA14" s="90" t="e">
        <f t="shared" si="1"/>
        <v>#DIV/0!</v>
      </c>
      <c r="AB14" s="90" t="e">
        <f t="shared" si="1"/>
        <v>#DIV/0!</v>
      </c>
      <c r="AC14" s="90" t="e">
        <f t="shared" si="1"/>
        <v>#DIV/0!</v>
      </c>
      <c r="AD14" s="90" t="e">
        <f t="shared" si="1"/>
        <v>#DIV/0!</v>
      </c>
      <c r="AE14" s="90">
        <f t="shared" si="1"/>
        <v>-6.9244487839870875E-2</v>
      </c>
      <c r="AF14" s="90" t="e">
        <f t="shared" si="1"/>
        <v>#DIV/0!</v>
      </c>
      <c r="AG14" s="346"/>
      <c r="AH14" s="346"/>
      <c r="AI14" s="209"/>
      <c r="AJ14" s="21"/>
      <c r="AK14" s="55">
        <f>((AK13-AK12)/AK12)*100</f>
        <v>-9.469224658439284E-3</v>
      </c>
    </row>
    <row r="15" spans="2:38" ht="15" hidden="1" customHeight="1" x14ac:dyDescent="0.25">
      <c r="B15" s="204"/>
      <c r="C15" s="82" t="s">
        <v>125</v>
      </c>
      <c r="D15" s="83"/>
      <c r="E15" s="205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344"/>
      <c r="AH15" s="344"/>
      <c r="AI15" s="206"/>
      <c r="AJ15" s="21"/>
      <c r="AK15" s="56" t="s">
        <v>106</v>
      </c>
    </row>
    <row r="16" spans="2:38" ht="15" hidden="1" customHeight="1" x14ac:dyDescent="0.25">
      <c r="B16" s="204"/>
      <c r="C16" s="85" t="s">
        <v>105</v>
      </c>
      <c r="D16" s="86"/>
      <c r="E16" s="156" t="s">
        <v>16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  <c r="P16" s="87">
        <v>88940</v>
      </c>
      <c r="Q16" s="87">
        <v>88610</v>
      </c>
      <c r="R16" s="87">
        <v>0</v>
      </c>
      <c r="S16" s="87">
        <v>0</v>
      </c>
      <c r="T16" s="87">
        <v>0</v>
      </c>
      <c r="U16" s="87">
        <v>0</v>
      </c>
      <c r="V16" s="87">
        <v>117530</v>
      </c>
      <c r="W16" s="87">
        <v>179000</v>
      </c>
      <c r="X16" s="87">
        <v>115330</v>
      </c>
      <c r="Y16" s="87">
        <v>0</v>
      </c>
      <c r="Z16" s="87">
        <v>0</v>
      </c>
      <c r="AA16" s="87">
        <v>116350</v>
      </c>
      <c r="AB16" s="87">
        <v>322670</v>
      </c>
      <c r="AC16" s="87">
        <v>0</v>
      </c>
      <c r="AD16" s="87">
        <v>0</v>
      </c>
      <c r="AE16" s="87">
        <v>495450</v>
      </c>
      <c r="AF16" s="87">
        <v>208030</v>
      </c>
      <c r="AG16" s="345"/>
      <c r="AH16" s="345"/>
      <c r="AI16" s="207"/>
      <c r="AJ16" s="21"/>
      <c r="AK16" s="8">
        <f>SUM(F16:AI16)</f>
        <v>1731910</v>
      </c>
    </row>
    <row r="17" spans="2:114 15079:15079" ht="15" hidden="1" customHeight="1" x14ac:dyDescent="0.25">
      <c r="B17" s="204"/>
      <c r="C17" s="85" t="s">
        <v>104</v>
      </c>
      <c r="D17" s="86"/>
      <c r="E17" s="156" t="s">
        <v>16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>
        <v>0</v>
      </c>
      <c r="L17" s="87">
        <v>0</v>
      </c>
      <c r="M17" s="87">
        <v>0</v>
      </c>
      <c r="N17" s="87">
        <v>0</v>
      </c>
      <c r="O17" s="87">
        <v>0</v>
      </c>
      <c r="P17" s="87">
        <v>89140</v>
      </c>
      <c r="Q17" s="87">
        <v>88380</v>
      </c>
      <c r="R17" s="87">
        <v>0</v>
      </c>
      <c r="S17" s="87">
        <v>0</v>
      </c>
      <c r="T17" s="87">
        <v>0</v>
      </c>
      <c r="U17" s="87">
        <v>0</v>
      </c>
      <c r="V17" s="87">
        <v>117280</v>
      </c>
      <c r="W17" s="87">
        <v>178660</v>
      </c>
      <c r="X17" s="87">
        <v>115840</v>
      </c>
      <c r="Y17" s="87">
        <v>0</v>
      </c>
      <c r="Z17" s="87">
        <v>0</v>
      </c>
      <c r="AA17" s="87">
        <v>116120</v>
      </c>
      <c r="AB17" s="87">
        <v>323460</v>
      </c>
      <c r="AC17" s="87">
        <v>0</v>
      </c>
      <c r="AD17" s="87">
        <v>0</v>
      </c>
      <c r="AE17" s="87">
        <v>496080</v>
      </c>
      <c r="AF17" s="87">
        <v>208380</v>
      </c>
      <c r="AG17" s="345"/>
      <c r="AH17" s="345"/>
      <c r="AI17" s="207"/>
      <c r="AJ17" s="21"/>
      <c r="AK17" s="8">
        <f>SUM(F17:AI17)</f>
        <v>1733340</v>
      </c>
    </row>
    <row r="18" spans="2:114 15079:15079" ht="15" hidden="1" customHeight="1" x14ac:dyDescent="0.25">
      <c r="B18" s="204"/>
      <c r="C18" s="88" t="s">
        <v>103</v>
      </c>
      <c r="D18" s="89"/>
      <c r="E18" s="208" t="s">
        <v>29</v>
      </c>
      <c r="F18" s="90" t="e">
        <f t="shared" ref="F18:AF18" si="2">((F17-F16)/F16)*100</f>
        <v>#DIV/0!</v>
      </c>
      <c r="G18" s="90" t="e">
        <f t="shared" si="2"/>
        <v>#DIV/0!</v>
      </c>
      <c r="H18" s="90" t="e">
        <f t="shared" si="2"/>
        <v>#DIV/0!</v>
      </c>
      <c r="I18" s="90" t="e">
        <f t="shared" si="2"/>
        <v>#DIV/0!</v>
      </c>
      <c r="J18" s="90" t="e">
        <f t="shared" si="2"/>
        <v>#DIV/0!</v>
      </c>
      <c r="K18" s="90" t="e">
        <f t="shared" si="2"/>
        <v>#DIV/0!</v>
      </c>
      <c r="L18" s="90" t="e">
        <f t="shared" si="2"/>
        <v>#DIV/0!</v>
      </c>
      <c r="M18" s="90" t="e">
        <f t="shared" si="2"/>
        <v>#DIV/0!</v>
      </c>
      <c r="N18" s="90" t="e">
        <f t="shared" si="2"/>
        <v>#DIV/0!</v>
      </c>
      <c r="O18" s="90" t="e">
        <f t="shared" si="2"/>
        <v>#DIV/0!</v>
      </c>
      <c r="P18" s="90">
        <f t="shared" si="2"/>
        <v>0.22487069934787499</v>
      </c>
      <c r="Q18" s="90">
        <f t="shared" si="2"/>
        <v>-0.25956438325245457</v>
      </c>
      <c r="R18" s="90" t="e">
        <f t="shared" si="2"/>
        <v>#DIV/0!</v>
      </c>
      <c r="S18" s="90" t="e">
        <f t="shared" si="2"/>
        <v>#DIV/0!</v>
      </c>
      <c r="T18" s="90" t="e">
        <f t="shared" si="2"/>
        <v>#DIV/0!</v>
      </c>
      <c r="U18" s="90" t="e">
        <f t="shared" si="2"/>
        <v>#DIV/0!</v>
      </c>
      <c r="V18" s="90">
        <f t="shared" si="2"/>
        <v>-0.21271164808984938</v>
      </c>
      <c r="W18" s="90">
        <f t="shared" si="2"/>
        <v>-0.18994413407821231</v>
      </c>
      <c r="X18" s="90">
        <f t="shared" si="2"/>
        <v>0.44220931240787309</v>
      </c>
      <c r="Y18" s="90" t="e">
        <f t="shared" si="2"/>
        <v>#DIV/0!</v>
      </c>
      <c r="Z18" s="90" t="e">
        <f t="shared" si="2"/>
        <v>#DIV/0!</v>
      </c>
      <c r="AA18" s="90">
        <f t="shared" si="2"/>
        <v>-0.1976794155565105</v>
      </c>
      <c r="AB18" s="90">
        <f t="shared" si="2"/>
        <v>0.24483218148572844</v>
      </c>
      <c r="AC18" s="90" t="e">
        <f t="shared" si="2"/>
        <v>#DIV/0!</v>
      </c>
      <c r="AD18" s="90" t="e">
        <f t="shared" si="2"/>
        <v>#DIV/0!</v>
      </c>
      <c r="AE18" s="90">
        <f t="shared" si="2"/>
        <v>0.12715712988192551</v>
      </c>
      <c r="AF18" s="90">
        <f t="shared" si="2"/>
        <v>0.16824496466855743</v>
      </c>
      <c r="AG18" s="346"/>
      <c r="AH18" s="346"/>
      <c r="AI18" s="209"/>
      <c r="AJ18" s="21"/>
      <c r="AK18" s="55">
        <f>((AK17-AK16)/AK16)*100</f>
        <v>8.2567800867250615E-2</v>
      </c>
    </row>
    <row r="19" spans="2:114 15079:15079" ht="15" hidden="1" customHeight="1" x14ac:dyDescent="0.25">
      <c r="B19" s="204"/>
      <c r="C19" s="91" t="s">
        <v>102</v>
      </c>
      <c r="D19" s="86"/>
      <c r="E19" s="156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345"/>
      <c r="AH19" s="345"/>
      <c r="AI19" s="207"/>
      <c r="AJ19" s="21"/>
      <c r="AK19" s="54" t="s">
        <v>101</v>
      </c>
    </row>
    <row r="20" spans="2:114 15079:15079" ht="15" hidden="1" customHeight="1" x14ac:dyDescent="0.25">
      <c r="B20" s="204"/>
      <c r="C20" s="85" t="s">
        <v>100</v>
      </c>
      <c r="D20" s="86"/>
      <c r="E20" s="156" t="s">
        <v>16</v>
      </c>
      <c r="F20" s="87">
        <v>81960</v>
      </c>
      <c r="G20" s="87">
        <v>111080</v>
      </c>
      <c r="H20" s="87">
        <v>157840</v>
      </c>
      <c r="I20" s="87">
        <v>74150</v>
      </c>
      <c r="J20" s="87">
        <v>80890</v>
      </c>
      <c r="K20" s="87">
        <v>0</v>
      </c>
      <c r="L20" s="87">
        <v>26250</v>
      </c>
      <c r="M20" s="87">
        <v>243450</v>
      </c>
      <c r="N20" s="87">
        <v>102170</v>
      </c>
      <c r="O20" s="87">
        <v>76200</v>
      </c>
      <c r="P20" s="87">
        <v>204720</v>
      </c>
      <c r="Q20" s="87">
        <v>81430</v>
      </c>
      <c r="R20" s="87">
        <v>0</v>
      </c>
      <c r="S20" s="87">
        <v>0</v>
      </c>
      <c r="T20" s="87">
        <v>65230</v>
      </c>
      <c r="U20" s="87">
        <v>80120</v>
      </c>
      <c r="V20" s="87">
        <v>138250</v>
      </c>
      <c r="W20" s="87">
        <v>141500</v>
      </c>
      <c r="X20" s="87">
        <v>191600</v>
      </c>
      <c r="Y20" s="87">
        <v>53500</v>
      </c>
      <c r="Z20" s="87">
        <v>25670</v>
      </c>
      <c r="AA20" s="87">
        <v>0</v>
      </c>
      <c r="AB20" s="87">
        <v>52700</v>
      </c>
      <c r="AC20" s="87">
        <v>0</v>
      </c>
      <c r="AD20" s="87">
        <v>0</v>
      </c>
      <c r="AE20" s="87">
        <v>263550</v>
      </c>
      <c r="AF20" s="87">
        <v>233750</v>
      </c>
      <c r="AG20" s="345"/>
      <c r="AH20" s="345"/>
      <c r="AI20" s="207"/>
      <c r="AJ20" s="21"/>
      <c r="AK20" s="8">
        <f>SUM(F20:AI20)</f>
        <v>2486010</v>
      </c>
    </row>
    <row r="21" spans="2:114 15079:15079" ht="15" hidden="1" customHeight="1" x14ac:dyDescent="0.25">
      <c r="B21" s="204"/>
      <c r="C21" s="85" t="s">
        <v>99</v>
      </c>
      <c r="D21" s="86"/>
      <c r="E21" s="156" t="s">
        <v>16</v>
      </c>
      <c r="F21" s="87">
        <v>81930</v>
      </c>
      <c r="G21" s="87">
        <v>110880</v>
      </c>
      <c r="H21" s="87">
        <v>157600</v>
      </c>
      <c r="I21" s="87">
        <v>74150</v>
      </c>
      <c r="J21" s="87">
        <v>80530</v>
      </c>
      <c r="K21" s="87">
        <v>0</v>
      </c>
      <c r="L21" s="87">
        <v>26200</v>
      </c>
      <c r="M21" s="87">
        <v>243280</v>
      </c>
      <c r="N21" s="87">
        <v>102020</v>
      </c>
      <c r="O21" s="87">
        <v>76180</v>
      </c>
      <c r="P21" s="87">
        <v>204420</v>
      </c>
      <c r="Q21" s="87">
        <v>81330</v>
      </c>
      <c r="R21" s="87">
        <v>0</v>
      </c>
      <c r="S21" s="87">
        <v>0</v>
      </c>
      <c r="T21" s="87">
        <v>65170</v>
      </c>
      <c r="U21" s="87">
        <v>80100</v>
      </c>
      <c r="V21" s="87">
        <v>137860</v>
      </c>
      <c r="W21" s="87">
        <v>141150</v>
      </c>
      <c r="X21" s="87">
        <v>191070</v>
      </c>
      <c r="Y21" s="87">
        <v>53490</v>
      </c>
      <c r="Z21" s="87">
        <v>25560</v>
      </c>
      <c r="AA21" s="87">
        <v>0</v>
      </c>
      <c r="AB21" s="87">
        <v>52520</v>
      </c>
      <c r="AC21" s="87">
        <v>0</v>
      </c>
      <c r="AD21" s="87">
        <v>0</v>
      </c>
      <c r="AE21" s="87">
        <v>262830</v>
      </c>
      <c r="AF21" s="87">
        <v>233560</v>
      </c>
      <c r="AG21" s="345"/>
      <c r="AH21" s="345"/>
      <c r="AI21" s="207"/>
      <c r="AJ21" s="21"/>
      <c r="AK21" s="8">
        <f>SUM(F21:AI21)</f>
        <v>2481830</v>
      </c>
    </row>
    <row r="22" spans="2:114 15079:15079" ht="15" hidden="1" customHeight="1" x14ac:dyDescent="0.25">
      <c r="B22" s="204"/>
      <c r="C22" s="85" t="s">
        <v>98</v>
      </c>
      <c r="D22" s="86"/>
      <c r="E22" s="156" t="s">
        <v>29</v>
      </c>
      <c r="F22" s="92">
        <f t="shared" ref="F22:AF22" si="3">((F21-F20)/F20)*100</f>
        <v>-3.6603221083455345E-2</v>
      </c>
      <c r="G22" s="92">
        <f t="shared" si="3"/>
        <v>-0.18005041411595246</v>
      </c>
      <c r="H22" s="92">
        <f t="shared" si="3"/>
        <v>-0.15205271160669032</v>
      </c>
      <c r="I22" s="92">
        <f t="shared" si="3"/>
        <v>0</v>
      </c>
      <c r="J22" s="92">
        <f t="shared" si="3"/>
        <v>-0.4450488317468167</v>
      </c>
      <c r="K22" s="92" t="e">
        <f t="shared" si="3"/>
        <v>#DIV/0!</v>
      </c>
      <c r="L22" s="92">
        <f t="shared" si="3"/>
        <v>-0.19047619047619047</v>
      </c>
      <c r="M22" s="92">
        <f t="shared" si="3"/>
        <v>-6.9829533785171496E-2</v>
      </c>
      <c r="N22" s="92">
        <f t="shared" si="3"/>
        <v>-0.14681413330723303</v>
      </c>
      <c r="O22" s="92">
        <f t="shared" si="3"/>
        <v>-2.6246719160104987E-2</v>
      </c>
      <c r="P22" s="92">
        <f t="shared" si="3"/>
        <v>-0.14654161781946073</v>
      </c>
      <c r="Q22" s="92">
        <f t="shared" si="3"/>
        <v>-0.12280486307257768</v>
      </c>
      <c r="R22" s="92" t="e">
        <f t="shared" si="3"/>
        <v>#DIV/0!</v>
      </c>
      <c r="S22" s="92" t="e">
        <f t="shared" si="3"/>
        <v>#DIV/0!</v>
      </c>
      <c r="T22" s="92">
        <f t="shared" si="3"/>
        <v>-9.1982216771424194E-2</v>
      </c>
      <c r="U22" s="92">
        <f t="shared" si="3"/>
        <v>-2.4962556165751375E-2</v>
      </c>
      <c r="V22" s="92">
        <f t="shared" si="3"/>
        <v>-0.28209764918625679</v>
      </c>
      <c r="W22" s="92">
        <f t="shared" si="3"/>
        <v>-0.24734982332155478</v>
      </c>
      <c r="X22" s="92">
        <f t="shared" si="3"/>
        <v>-0.27661795407098122</v>
      </c>
      <c r="Y22" s="92">
        <f t="shared" si="3"/>
        <v>-1.8691588785046728E-2</v>
      </c>
      <c r="Z22" s="92">
        <f t="shared" si="3"/>
        <v>-0.4285157771717959</v>
      </c>
      <c r="AA22" s="92" t="e">
        <f t="shared" si="3"/>
        <v>#DIV/0!</v>
      </c>
      <c r="AB22" s="92">
        <f t="shared" si="3"/>
        <v>-0.34155597722960152</v>
      </c>
      <c r="AC22" s="92" t="e">
        <f t="shared" si="3"/>
        <v>#DIV/0!</v>
      </c>
      <c r="AD22" s="92" t="e">
        <f t="shared" si="3"/>
        <v>#DIV/0!</v>
      </c>
      <c r="AE22" s="92">
        <f t="shared" si="3"/>
        <v>-0.27319294251565168</v>
      </c>
      <c r="AF22" s="92">
        <f t="shared" si="3"/>
        <v>-8.1283422459893048E-2</v>
      </c>
      <c r="AG22" s="347"/>
      <c r="AH22" s="347"/>
      <c r="AI22" s="210"/>
      <c r="AJ22" s="53"/>
      <c r="AK22" s="52">
        <f>((AK21-AK20)/AK20)*100</f>
        <v>-0.16814091656912081</v>
      </c>
    </row>
    <row r="23" spans="2:114 15079:15079" ht="15" hidden="1" customHeight="1" x14ac:dyDescent="0.25">
      <c r="B23" s="204"/>
      <c r="C23" s="82" t="s">
        <v>126</v>
      </c>
      <c r="D23" s="83"/>
      <c r="E23" s="205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344"/>
      <c r="AH23" s="344"/>
      <c r="AI23" s="206"/>
      <c r="AJ23" s="21"/>
      <c r="AK23" s="54" t="s">
        <v>101</v>
      </c>
    </row>
    <row r="24" spans="2:114 15079:15079" ht="15" hidden="1" customHeight="1" x14ac:dyDescent="0.25">
      <c r="B24" s="204"/>
      <c r="C24" s="85" t="s">
        <v>100</v>
      </c>
      <c r="D24" s="86"/>
      <c r="E24" s="156" t="s">
        <v>16</v>
      </c>
      <c r="F24" s="87">
        <v>0</v>
      </c>
      <c r="G24" s="87">
        <v>0</v>
      </c>
      <c r="H24" s="87">
        <v>0</v>
      </c>
      <c r="I24" s="87">
        <v>0</v>
      </c>
      <c r="J24" s="87">
        <v>0</v>
      </c>
      <c r="K24" s="87">
        <v>0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168910</v>
      </c>
      <c r="V24" s="87">
        <v>159800</v>
      </c>
      <c r="W24" s="87">
        <v>0</v>
      </c>
      <c r="X24" s="87">
        <v>0</v>
      </c>
      <c r="Y24" s="87">
        <v>0</v>
      </c>
      <c r="Z24" s="87">
        <v>0</v>
      </c>
      <c r="AA24" s="87">
        <v>0</v>
      </c>
      <c r="AB24" s="87">
        <v>0</v>
      </c>
      <c r="AC24" s="87">
        <v>0</v>
      </c>
      <c r="AD24" s="87">
        <v>0</v>
      </c>
      <c r="AE24" s="87">
        <v>0</v>
      </c>
      <c r="AF24" s="87">
        <v>0</v>
      </c>
      <c r="AG24" s="345"/>
      <c r="AH24" s="345"/>
      <c r="AI24" s="207"/>
      <c r="AJ24" s="21"/>
      <c r="AK24" s="8">
        <f>SUM(F24:AI24)</f>
        <v>328710</v>
      </c>
    </row>
    <row r="25" spans="2:114 15079:15079" ht="15" hidden="1" customHeight="1" x14ac:dyDescent="0.25">
      <c r="B25" s="204"/>
      <c r="C25" s="85" t="s">
        <v>99</v>
      </c>
      <c r="D25" s="86"/>
      <c r="E25" s="156" t="s">
        <v>16</v>
      </c>
      <c r="F25" s="87">
        <v>0</v>
      </c>
      <c r="G25" s="87">
        <v>0</v>
      </c>
      <c r="H25" s="87">
        <v>0</v>
      </c>
      <c r="I25" s="87">
        <v>0</v>
      </c>
      <c r="J25" s="87">
        <v>0</v>
      </c>
      <c r="K25" s="87">
        <v>0</v>
      </c>
      <c r="L25" s="87">
        <v>0</v>
      </c>
      <c r="M25" s="87">
        <v>0</v>
      </c>
      <c r="N25" s="87">
        <v>0</v>
      </c>
      <c r="O25" s="87">
        <v>0</v>
      </c>
      <c r="P25" s="87">
        <v>0</v>
      </c>
      <c r="Q25" s="87">
        <v>0</v>
      </c>
      <c r="R25" s="87">
        <v>0</v>
      </c>
      <c r="S25" s="87">
        <v>0</v>
      </c>
      <c r="T25" s="87">
        <v>0</v>
      </c>
      <c r="U25" s="87">
        <v>169570</v>
      </c>
      <c r="V25" s="87">
        <v>160340</v>
      </c>
      <c r="W25" s="87">
        <v>0</v>
      </c>
      <c r="X25" s="87">
        <v>0</v>
      </c>
      <c r="Y25" s="87">
        <v>0</v>
      </c>
      <c r="Z25" s="87">
        <v>0</v>
      </c>
      <c r="AA25" s="87">
        <v>0</v>
      </c>
      <c r="AB25" s="87">
        <v>0</v>
      </c>
      <c r="AC25" s="87">
        <v>0</v>
      </c>
      <c r="AD25" s="87">
        <v>0</v>
      </c>
      <c r="AE25" s="87">
        <v>0</v>
      </c>
      <c r="AF25" s="87">
        <v>0</v>
      </c>
      <c r="AG25" s="345"/>
      <c r="AH25" s="345"/>
      <c r="AI25" s="207"/>
      <c r="AJ25" s="21"/>
      <c r="AK25" s="8">
        <f>SUM(F25:AI25)</f>
        <v>329910</v>
      </c>
    </row>
    <row r="26" spans="2:114 15079:15079" ht="15" hidden="1" customHeight="1" x14ac:dyDescent="0.25">
      <c r="B26" s="204"/>
      <c r="C26" s="88" t="s">
        <v>98</v>
      </c>
      <c r="D26" s="89"/>
      <c r="E26" s="208" t="s">
        <v>29</v>
      </c>
      <c r="F26" s="90" t="e">
        <f t="shared" ref="F26:AF26" si="4">((F25-F24)/F24)*100</f>
        <v>#DIV/0!</v>
      </c>
      <c r="G26" s="90" t="e">
        <f t="shared" si="4"/>
        <v>#DIV/0!</v>
      </c>
      <c r="H26" s="90" t="e">
        <f t="shared" si="4"/>
        <v>#DIV/0!</v>
      </c>
      <c r="I26" s="90" t="e">
        <f t="shared" si="4"/>
        <v>#DIV/0!</v>
      </c>
      <c r="J26" s="90" t="e">
        <f t="shared" si="4"/>
        <v>#DIV/0!</v>
      </c>
      <c r="K26" s="90" t="e">
        <f t="shared" si="4"/>
        <v>#DIV/0!</v>
      </c>
      <c r="L26" s="90" t="e">
        <f t="shared" si="4"/>
        <v>#DIV/0!</v>
      </c>
      <c r="M26" s="90" t="e">
        <f t="shared" si="4"/>
        <v>#DIV/0!</v>
      </c>
      <c r="N26" s="90" t="e">
        <f t="shared" si="4"/>
        <v>#DIV/0!</v>
      </c>
      <c r="O26" s="90" t="e">
        <f t="shared" si="4"/>
        <v>#DIV/0!</v>
      </c>
      <c r="P26" s="90" t="e">
        <f t="shared" si="4"/>
        <v>#DIV/0!</v>
      </c>
      <c r="Q26" s="90" t="e">
        <f t="shared" si="4"/>
        <v>#DIV/0!</v>
      </c>
      <c r="R26" s="90" t="e">
        <f t="shared" si="4"/>
        <v>#DIV/0!</v>
      </c>
      <c r="S26" s="90" t="e">
        <f t="shared" si="4"/>
        <v>#DIV/0!</v>
      </c>
      <c r="T26" s="90" t="e">
        <f t="shared" si="4"/>
        <v>#DIV/0!</v>
      </c>
      <c r="U26" s="90">
        <f t="shared" si="4"/>
        <v>0.39074063110532237</v>
      </c>
      <c r="V26" s="90">
        <f t="shared" si="4"/>
        <v>0.3379224030037547</v>
      </c>
      <c r="W26" s="90" t="e">
        <f t="shared" si="4"/>
        <v>#DIV/0!</v>
      </c>
      <c r="X26" s="90" t="e">
        <f t="shared" si="4"/>
        <v>#DIV/0!</v>
      </c>
      <c r="Y26" s="90" t="e">
        <f t="shared" si="4"/>
        <v>#DIV/0!</v>
      </c>
      <c r="Z26" s="90" t="e">
        <f t="shared" si="4"/>
        <v>#DIV/0!</v>
      </c>
      <c r="AA26" s="90" t="e">
        <f t="shared" si="4"/>
        <v>#DIV/0!</v>
      </c>
      <c r="AB26" s="90" t="e">
        <f t="shared" si="4"/>
        <v>#DIV/0!</v>
      </c>
      <c r="AC26" s="90" t="e">
        <f t="shared" si="4"/>
        <v>#DIV/0!</v>
      </c>
      <c r="AD26" s="90" t="e">
        <f t="shared" si="4"/>
        <v>#DIV/0!</v>
      </c>
      <c r="AE26" s="90" t="e">
        <f t="shared" si="4"/>
        <v>#DIV/0!</v>
      </c>
      <c r="AF26" s="90" t="e">
        <f t="shared" si="4"/>
        <v>#DIV/0!</v>
      </c>
      <c r="AG26" s="346"/>
      <c r="AH26" s="346"/>
      <c r="AI26" s="209"/>
      <c r="AJ26" s="53"/>
      <c r="AK26" s="52">
        <f>((AK25-AK24)/AK24)*100</f>
        <v>0.36506342977092271</v>
      </c>
      <c r="CP26" s="21"/>
    </row>
    <row r="27" spans="2:114 15079:15079" ht="15" hidden="1" customHeight="1" x14ac:dyDescent="0.25">
      <c r="B27" s="204"/>
      <c r="C27" s="93" t="s">
        <v>97</v>
      </c>
      <c r="D27" s="94"/>
      <c r="E27" s="95" t="s">
        <v>16</v>
      </c>
      <c r="F27" s="96">
        <f>SUM(F9,F17,F21)+F13+F25</f>
        <v>834090</v>
      </c>
      <c r="G27" s="96">
        <f t="shared" ref="G27:AF27" si="5">SUM(G9,G17,G21)+G13+G25</f>
        <v>1548560</v>
      </c>
      <c r="H27" s="96">
        <f t="shared" si="5"/>
        <v>2203036</v>
      </c>
      <c r="I27" s="96">
        <f t="shared" si="5"/>
        <v>1459930</v>
      </c>
      <c r="J27" s="96">
        <f t="shared" si="5"/>
        <v>1296180</v>
      </c>
      <c r="K27" s="96">
        <f t="shared" si="5"/>
        <v>640940</v>
      </c>
      <c r="L27" s="96">
        <f t="shared" si="5"/>
        <v>1408690</v>
      </c>
      <c r="M27" s="96">
        <f t="shared" si="5"/>
        <v>2055628</v>
      </c>
      <c r="N27" s="96">
        <f t="shared" si="5"/>
        <v>1244570</v>
      </c>
      <c r="O27" s="96">
        <f t="shared" si="5"/>
        <v>1749410</v>
      </c>
      <c r="P27" s="96">
        <f t="shared" si="5"/>
        <v>1657460</v>
      </c>
      <c r="Q27" s="96">
        <f t="shared" si="5"/>
        <v>2217752</v>
      </c>
      <c r="R27" s="96">
        <f t="shared" si="5"/>
        <v>346680</v>
      </c>
      <c r="S27" s="96">
        <f t="shared" si="5"/>
        <v>1860970</v>
      </c>
      <c r="T27" s="96">
        <f t="shared" si="5"/>
        <v>1340190</v>
      </c>
      <c r="U27" s="96">
        <f t="shared" si="5"/>
        <v>2214810</v>
      </c>
      <c r="V27" s="96">
        <f t="shared" si="5"/>
        <v>2226610</v>
      </c>
      <c r="W27" s="96">
        <f t="shared" si="5"/>
        <v>2308938</v>
      </c>
      <c r="X27" s="96">
        <f t="shared" si="5"/>
        <v>1860240</v>
      </c>
      <c r="Y27" s="96">
        <f t="shared" si="5"/>
        <v>1286830</v>
      </c>
      <c r="Z27" s="96">
        <f t="shared" si="5"/>
        <v>2339075</v>
      </c>
      <c r="AA27" s="96">
        <f t="shared" si="5"/>
        <v>1689110</v>
      </c>
      <c r="AB27" s="96">
        <f t="shared" si="5"/>
        <v>2113560</v>
      </c>
      <c r="AC27" s="96">
        <f t="shared" si="5"/>
        <v>2129500</v>
      </c>
      <c r="AD27" s="96">
        <f t="shared" si="5"/>
        <v>863340</v>
      </c>
      <c r="AE27" s="211">
        <f t="shared" si="5"/>
        <v>3812407</v>
      </c>
      <c r="AF27" s="211">
        <f t="shared" si="5"/>
        <v>659810</v>
      </c>
      <c r="AG27" s="348"/>
      <c r="AH27" s="348"/>
      <c r="AI27" s="392"/>
      <c r="AJ27" s="21"/>
      <c r="AK27" s="51">
        <f>SUM(AK9,AK17,AK21)+AK13+AK25</f>
        <v>45368316</v>
      </c>
      <c r="AL27" s="21"/>
    </row>
    <row r="28" spans="2:114 15079:15079" x14ac:dyDescent="0.25">
      <c r="B28" s="212">
        <v>2</v>
      </c>
      <c r="C28" s="82" t="s">
        <v>96</v>
      </c>
      <c r="D28" s="98"/>
      <c r="E28" s="213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100"/>
      <c r="AD28" s="99"/>
      <c r="AE28" s="99"/>
      <c r="AF28" s="99"/>
      <c r="AG28" s="349"/>
      <c r="AH28" s="349"/>
      <c r="AI28" s="214"/>
      <c r="AJ28" s="21"/>
      <c r="AK28" s="379" t="s">
        <v>95</v>
      </c>
    </row>
    <row r="29" spans="2:114 15079:15079" x14ac:dyDescent="0.25">
      <c r="B29" s="215"/>
      <c r="C29" s="102" t="s">
        <v>18</v>
      </c>
      <c r="D29" s="83"/>
      <c r="E29" s="205"/>
      <c r="F29" s="103"/>
      <c r="G29" s="104"/>
      <c r="H29" s="103"/>
      <c r="I29" s="103"/>
      <c r="J29" s="105"/>
      <c r="K29" s="103"/>
      <c r="L29" s="103"/>
      <c r="M29" s="103"/>
      <c r="N29" s="103"/>
      <c r="O29" s="103"/>
      <c r="P29" s="103"/>
      <c r="Q29" s="103"/>
      <c r="R29" s="103"/>
      <c r="S29" s="103"/>
      <c r="T29" s="105"/>
      <c r="U29" s="106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350"/>
      <c r="AH29" s="350"/>
      <c r="AI29" s="216"/>
      <c r="AJ29" s="21"/>
      <c r="AK29" s="50" t="s">
        <v>18</v>
      </c>
    </row>
    <row r="30" spans="2:114 15079:15079" x14ac:dyDescent="0.25">
      <c r="B30" s="215"/>
      <c r="C30" s="85" t="s">
        <v>94</v>
      </c>
      <c r="D30" s="86"/>
      <c r="E30" s="156" t="s">
        <v>93</v>
      </c>
      <c r="F30" s="107">
        <v>1</v>
      </c>
      <c r="G30" s="107">
        <v>1</v>
      </c>
      <c r="H30" s="107">
        <v>1</v>
      </c>
      <c r="I30" s="107">
        <v>1</v>
      </c>
      <c r="J30" s="107">
        <v>1</v>
      </c>
      <c r="K30" s="107">
        <v>1</v>
      </c>
      <c r="L30" s="107">
        <v>1</v>
      </c>
      <c r="M30" s="107">
        <v>1</v>
      </c>
      <c r="N30" s="107">
        <v>1</v>
      </c>
      <c r="O30" s="107">
        <v>1</v>
      </c>
      <c r="P30" s="107">
        <v>1</v>
      </c>
      <c r="Q30" s="107">
        <v>1</v>
      </c>
      <c r="R30" s="107">
        <v>1</v>
      </c>
      <c r="S30" s="107">
        <v>1</v>
      </c>
      <c r="T30" s="107">
        <v>1</v>
      </c>
      <c r="U30" s="107">
        <v>1</v>
      </c>
      <c r="V30" s="107">
        <v>1</v>
      </c>
      <c r="W30" s="107">
        <v>1</v>
      </c>
      <c r="X30" s="107">
        <v>1</v>
      </c>
      <c r="Y30" s="107">
        <v>1</v>
      </c>
      <c r="Z30" s="107">
        <v>1</v>
      </c>
      <c r="AA30" s="107">
        <v>1</v>
      </c>
      <c r="AB30" s="107">
        <v>1</v>
      </c>
      <c r="AC30" s="107">
        <v>1</v>
      </c>
      <c r="AD30" s="107">
        <v>1</v>
      </c>
      <c r="AE30" s="107">
        <v>1</v>
      </c>
      <c r="AF30" s="107">
        <v>1</v>
      </c>
      <c r="AG30" s="351">
        <v>1</v>
      </c>
      <c r="AH30" s="351">
        <v>1</v>
      </c>
      <c r="AI30" s="217">
        <v>1</v>
      </c>
      <c r="AJ30" s="21"/>
      <c r="AK30" s="17">
        <f>SUM(F30:AI30)</f>
        <v>30</v>
      </c>
      <c r="AL30" s="7"/>
    </row>
    <row r="31" spans="2:114 15079:15079" x14ac:dyDescent="0.25">
      <c r="B31" s="414"/>
      <c r="C31" s="85" t="s">
        <v>147</v>
      </c>
      <c r="D31" s="86"/>
      <c r="E31" s="49" t="s">
        <v>29</v>
      </c>
      <c r="F31" s="137">
        <f>F32/2200/1000*100</f>
        <v>83.798863636363635</v>
      </c>
      <c r="G31" s="137">
        <f t="shared" ref="G31:AL31" si="6">G32/2200/1000*100</f>
        <v>100.33645454545454</v>
      </c>
      <c r="H31" s="137">
        <f t="shared" si="6"/>
        <v>67.050409090909085</v>
      </c>
      <c r="I31" s="137">
        <f t="shared" si="6"/>
        <v>90.788181818181812</v>
      </c>
      <c r="J31" s="137">
        <f t="shared" si="6"/>
        <v>91.720590909090916</v>
      </c>
      <c r="K31" s="137">
        <f t="shared" si="6"/>
        <v>88.963000000000008</v>
      </c>
      <c r="L31" s="137">
        <f t="shared" si="6"/>
        <v>97.438227272727275</v>
      </c>
      <c r="M31" s="137">
        <f t="shared" si="6"/>
        <v>99.31995454545455</v>
      </c>
      <c r="N31" s="137">
        <f t="shared" si="6"/>
        <v>82.716090909090909</v>
      </c>
      <c r="O31" s="137">
        <f t="shared" si="6"/>
        <v>79.900363636363636</v>
      </c>
      <c r="P31" s="137">
        <f t="shared" si="6"/>
        <v>80.977363636363634</v>
      </c>
      <c r="Q31" s="137">
        <f t="shared" si="6"/>
        <v>81.889681818181813</v>
      </c>
      <c r="R31" s="137">
        <f t="shared" si="6"/>
        <v>83.036454545454546</v>
      </c>
      <c r="S31" s="137">
        <f t="shared" si="6"/>
        <v>78.655999999999992</v>
      </c>
      <c r="T31" s="137">
        <f t="shared" si="6"/>
        <v>81.86763636363635</v>
      </c>
      <c r="U31" s="137">
        <f t="shared" si="6"/>
        <v>83.274863636363634</v>
      </c>
      <c r="V31" s="137">
        <f t="shared" si="6"/>
        <v>70.07413636363637</v>
      </c>
      <c r="W31" s="137">
        <f t="shared" si="6"/>
        <v>66.855999999999995</v>
      </c>
      <c r="X31" s="137">
        <f t="shared" si="6"/>
        <v>66.824545454545458</v>
      </c>
      <c r="Y31" s="137">
        <f t="shared" si="6"/>
        <v>63.898272727272733</v>
      </c>
      <c r="Z31" s="137">
        <f t="shared" si="6"/>
        <v>60.232454545454551</v>
      </c>
      <c r="AA31" s="137">
        <f t="shared" si="6"/>
        <v>60.346909090909094</v>
      </c>
      <c r="AB31" s="137">
        <f t="shared" si="6"/>
        <v>67.573727272727268</v>
      </c>
      <c r="AC31" s="137">
        <f t="shared" si="6"/>
        <v>59.808318181818187</v>
      </c>
      <c r="AD31" s="137">
        <f t="shared" si="6"/>
        <v>54.312181818181813</v>
      </c>
      <c r="AE31" s="137">
        <f t="shared" si="6"/>
        <v>56.559363636363635</v>
      </c>
      <c r="AF31" s="137">
        <f t="shared" si="6"/>
        <v>56.277272727272717</v>
      </c>
      <c r="AG31" s="137">
        <f t="shared" si="6"/>
        <v>57.262772727272726</v>
      </c>
      <c r="AH31" s="137">
        <f t="shared" si="6"/>
        <v>57.224590909090914</v>
      </c>
      <c r="AI31" s="137">
        <f t="shared" si="6"/>
        <v>64.839772727272731</v>
      </c>
      <c r="AJ31" s="137">
        <f t="shared" si="6"/>
        <v>0</v>
      </c>
      <c r="AK31" s="307">
        <f>AVERAGE(E31:AI31)</f>
        <v>74.460815151515149</v>
      </c>
      <c r="AL31" s="307">
        <f t="shared" si="6"/>
        <v>0</v>
      </c>
      <c r="DI31" s="1"/>
      <c r="DJ31" s="4"/>
      <c r="VGY31" s="1"/>
    </row>
    <row r="32" spans="2:114 15079:15079" s="1" customFormat="1" x14ac:dyDescent="0.25">
      <c r="B32" s="215"/>
      <c r="C32" s="108" t="s">
        <v>134</v>
      </c>
      <c r="D32" s="109">
        <v>39900000</v>
      </c>
      <c r="E32" s="218" t="s">
        <v>16</v>
      </c>
      <c r="F32" s="110">
        <v>1843575</v>
      </c>
      <c r="G32" s="110">
        <v>2207402</v>
      </c>
      <c r="H32" s="110">
        <v>1475109</v>
      </c>
      <c r="I32" s="110">
        <v>1997340</v>
      </c>
      <c r="J32" s="110">
        <v>2017853</v>
      </c>
      <c r="K32" s="110">
        <v>1957186</v>
      </c>
      <c r="L32" s="110">
        <v>2143641</v>
      </c>
      <c r="M32" s="110">
        <v>2185039</v>
      </c>
      <c r="N32" s="110">
        <v>1819754</v>
      </c>
      <c r="O32" s="110">
        <v>1757808</v>
      </c>
      <c r="P32" s="110">
        <v>1781502</v>
      </c>
      <c r="Q32" s="110">
        <v>1801573</v>
      </c>
      <c r="R32" s="110">
        <v>1826802</v>
      </c>
      <c r="S32" s="110">
        <v>1730432</v>
      </c>
      <c r="T32" s="110">
        <v>1801088</v>
      </c>
      <c r="U32" s="110">
        <v>1832047</v>
      </c>
      <c r="V32" s="110">
        <v>1541631</v>
      </c>
      <c r="W32" s="110">
        <v>1470832</v>
      </c>
      <c r="X32" s="110">
        <v>1470140</v>
      </c>
      <c r="Y32" s="110">
        <v>1405762</v>
      </c>
      <c r="Z32" s="110">
        <v>1325114</v>
      </c>
      <c r="AA32" s="110">
        <v>1327632</v>
      </c>
      <c r="AB32" s="110">
        <v>1486622</v>
      </c>
      <c r="AC32" s="110">
        <v>1315783</v>
      </c>
      <c r="AD32" s="110">
        <v>1194868</v>
      </c>
      <c r="AE32" s="110">
        <v>1244306</v>
      </c>
      <c r="AF32" s="110">
        <v>1238100</v>
      </c>
      <c r="AG32" s="352">
        <v>1259781</v>
      </c>
      <c r="AH32" s="352">
        <v>1258941</v>
      </c>
      <c r="AI32" s="219">
        <v>1426475</v>
      </c>
      <c r="AJ32" s="9"/>
      <c r="AK32" s="308">
        <f>SUM(F32:AI32)</f>
        <v>49144138</v>
      </c>
      <c r="AL32" s="406"/>
      <c r="CB32" s="3"/>
      <c r="DI32" s="29"/>
    </row>
    <row r="33" spans="1:15126" s="1" customFormat="1" x14ac:dyDescent="0.25">
      <c r="B33" s="215"/>
      <c r="C33" s="108" t="s">
        <v>135</v>
      </c>
      <c r="D33" s="109"/>
      <c r="E33" s="218" t="s">
        <v>16</v>
      </c>
      <c r="F33" s="110">
        <f t="shared" ref="F33:AF33" si="7">F32-F50-F55</f>
        <v>1843575</v>
      </c>
      <c r="G33" s="110">
        <f t="shared" si="7"/>
        <v>2207402</v>
      </c>
      <c r="H33" s="110">
        <f t="shared" si="7"/>
        <v>1475109</v>
      </c>
      <c r="I33" s="110">
        <f t="shared" si="7"/>
        <v>1832723</v>
      </c>
      <c r="J33" s="110">
        <f t="shared" si="7"/>
        <v>2017853</v>
      </c>
      <c r="K33" s="110">
        <f t="shared" si="7"/>
        <v>1957186</v>
      </c>
      <c r="L33" s="110">
        <f t="shared" si="7"/>
        <v>2143641</v>
      </c>
      <c r="M33" s="110">
        <f t="shared" si="7"/>
        <v>2185039</v>
      </c>
      <c r="N33" s="110">
        <f t="shared" si="7"/>
        <v>1819754</v>
      </c>
      <c r="O33" s="110">
        <f t="shared" si="7"/>
        <v>1757808</v>
      </c>
      <c r="P33" s="110">
        <f t="shared" si="7"/>
        <v>1781502</v>
      </c>
      <c r="Q33" s="110">
        <f>Q32-Q50-Q55</f>
        <v>1801573</v>
      </c>
      <c r="R33" s="110">
        <f t="shared" si="7"/>
        <v>1826802</v>
      </c>
      <c r="S33" s="110">
        <f>S32-S50-S55</f>
        <v>1730432</v>
      </c>
      <c r="T33" s="110">
        <f t="shared" si="7"/>
        <v>1143447</v>
      </c>
      <c r="U33" s="110">
        <f t="shared" si="7"/>
        <v>1832047</v>
      </c>
      <c r="V33" s="110">
        <f t="shared" si="7"/>
        <v>1541631</v>
      </c>
      <c r="W33" s="110">
        <f t="shared" si="7"/>
        <v>1470832</v>
      </c>
      <c r="X33" s="110">
        <f t="shared" si="7"/>
        <v>1470140</v>
      </c>
      <c r="Y33" s="110">
        <f t="shared" si="7"/>
        <v>1405762</v>
      </c>
      <c r="Z33" s="110">
        <f t="shared" si="7"/>
        <v>1325114</v>
      </c>
      <c r="AA33" s="110">
        <f t="shared" si="7"/>
        <v>1327632</v>
      </c>
      <c r="AB33" s="110">
        <f t="shared" si="7"/>
        <v>1486622</v>
      </c>
      <c r="AC33" s="110">
        <f t="shared" si="7"/>
        <v>715026</v>
      </c>
      <c r="AD33" s="110">
        <f t="shared" si="7"/>
        <v>1194868</v>
      </c>
      <c r="AE33" s="110">
        <f t="shared" si="7"/>
        <v>1244306</v>
      </c>
      <c r="AF33" s="110">
        <f t="shared" si="7"/>
        <v>1238100</v>
      </c>
      <c r="AG33" s="110">
        <f>AG32-AG50-AG55</f>
        <v>1055208</v>
      </c>
      <c r="AH33" s="110">
        <f>AH32-AH50-AH55</f>
        <v>506633</v>
      </c>
      <c r="AI33" s="219">
        <f>AI32-AI50-AI55</f>
        <v>1340944</v>
      </c>
      <c r="AJ33" s="9"/>
      <c r="AK33" s="309">
        <f>SUM(F33:AI33)</f>
        <v>46678711</v>
      </c>
      <c r="AL33" s="406"/>
      <c r="DI33" s="29"/>
    </row>
    <row r="34" spans="1:15126" s="1" customFormat="1" x14ac:dyDescent="0.25">
      <c r="B34" s="215"/>
      <c r="C34" s="108" t="s">
        <v>136</v>
      </c>
      <c r="D34" s="109"/>
      <c r="E34" s="218" t="s">
        <v>16</v>
      </c>
      <c r="F34" s="110">
        <f>F50+F55</f>
        <v>0</v>
      </c>
      <c r="G34" s="110">
        <f t="shared" ref="G34:AI34" si="8">G50+G55</f>
        <v>0</v>
      </c>
      <c r="H34" s="110">
        <f t="shared" si="8"/>
        <v>0</v>
      </c>
      <c r="I34" s="110">
        <f t="shared" si="8"/>
        <v>164617</v>
      </c>
      <c r="J34" s="110">
        <f t="shared" si="8"/>
        <v>0</v>
      </c>
      <c r="K34" s="110">
        <f t="shared" si="8"/>
        <v>0</v>
      </c>
      <c r="L34" s="110">
        <f t="shared" si="8"/>
        <v>0</v>
      </c>
      <c r="M34" s="110">
        <f t="shared" si="8"/>
        <v>0</v>
      </c>
      <c r="N34" s="110">
        <f t="shared" si="8"/>
        <v>0</v>
      </c>
      <c r="O34" s="110">
        <f t="shared" si="8"/>
        <v>0</v>
      </c>
      <c r="P34" s="110">
        <f t="shared" si="8"/>
        <v>0</v>
      </c>
      <c r="Q34" s="110">
        <f t="shared" si="8"/>
        <v>0</v>
      </c>
      <c r="R34" s="110">
        <f t="shared" si="8"/>
        <v>0</v>
      </c>
      <c r="S34" s="110">
        <f t="shared" si="8"/>
        <v>0</v>
      </c>
      <c r="T34" s="110">
        <f t="shared" si="8"/>
        <v>657641</v>
      </c>
      <c r="U34" s="110">
        <f t="shared" si="8"/>
        <v>0</v>
      </c>
      <c r="V34" s="110">
        <f t="shared" si="8"/>
        <v>0</v>
      </c>
      <c r="W34" s="110">
        <f t="shared" si="8"/>
        <v>0</v>
      </c>
      <c r="X34" s="110">
        <f t="shared" si="8"/>
        <v>0</v>
      </c>
      <c r="Y34" s="110">
        <f t="shared" si="8"/>
        <v>0</v>
      </c>
      <c r="Z34" s="110">
        <f t="shared" si="8"/>
        <v>0</v>
      </c>
      <c r="AA34" s="110">
        <f t="shared" si="8"/>
        <v>0</v>
      </c>
      <c r="AB34" s="110">
        <f t="shared" si="8"/>
        <v>0</v>
      </c>
      <c r="AC34" s="110">
        <f t="shared" si="8"/>
        <v>600757</v>
      </c>
      <c r="AD34" s="110">
        <f t="shared" si="8"/>
        <v>0</v>
      </c>
      <c r="AE34" s="110">
        <f t="shared" si="8"/>
        <v>0</v>
      </c>
      <c r="AF34" s="110">
        <f t="shared" si="8"/>
        <v>0</v>
      </c>
      <c r="AG34" s="110">
        <f t="shared" si="8"/>
        <v>204573</v>
      </c>
      <c r="AH34" s="110">
        <f t="shared" si="8"/>
        <v>752308</v>
      </c>
      <c r="AI34" s="219">
        <f t="shared" si="8"/>
        <v>85531</v>
      </c>
      <c r="AJ34" s="9"/>
      <c r="AK34" s="309">
        <f>SUM(F34:AI34)</f>
        <v>2465427</v>
      </c>
      <c r="AL34" s="406"/>
      <c r="DI34" s="29"/>
    </row>
    <row r="35" spans="1:15126" s="42" customFormat="1" x14ac:dyDescent="0.25">
      <c r="B35" s="220"/>
      <c r="C35" s="48" t="s">
        <v>92</v>
      </c>
      <c r="D35" s="111">
        <v>5</v>
      </c>
      <c r="E35" s="49" t="s">
        <v>29</v>
      </c>
      <c r="F35" s="112">
        <v>6.19</v>
      </c>
      <c r="G35" s="112">
        <v>6.19</v>
      </c>
      <c r="H35" s="112">
        <v>4.5199999999999996</v>
      </c>
      <c r="I35" s="112">
        <v>4.5199999999999996</v>
      </c>
      <c r="J35" s="112">
        <v>4.54</v>
      </c>
      <c r="K35" s="42">
        <v>4.4400000000000004</v>
      </c>
      <c r="L35" s="112">
        <v>4.42</v>
      </c>
      <c r="M35" s="112">
        <v>4.2300000000000004</v>
      </c>
      <c r="N35" s="112">
        <v>4.33</v>
      </c>
      <c r="O35" s="112">
        <v>5.05</v>
      </c>
      <c r="P35" s="112">
        <v>4.84</v>
      </c>
      <c r="Q35" s="112">
        <v>4.2</v>
      </c>
      <c r="R35" s="112">
        <v>4.1900000000000004</v>
      </c>
      <c r="S35" s="390">
        <v>4.5999999999999996</v>
      </c>
      <c r="T35" s="112">
        <v>4.55</v>
      </c>
      <c r="U35" s="112">
        <v>4.55</v>
      </c>
      <c r="V35" s="112">
        <v>4.32</v>
      </c>
      <c r="W35" s="112">
        <v>4.25</v>
      </c>
      <c r="X35" s="112">
        <v>4.22</v>
      </c>
      <c r="Y35" s="112">
        <v>4.24</v>
      </c>
      <c r="Z35" s="112">
        <v>4.6500000000000004</v>
      </c>
      <c r="AA35" s="112">
        <v>4.93</v>
      </c>
      <c r="AB35" s="47">
        <v>4.55</v>
      </c>
      <c r="AC35" s="112">
        <v>4.6520000000000001</v>
      </c>
      <c r="AD35" s="112">
        <v>6.34</v>
      </c>
      <c r="AE35" s="112">
        <v>6.37</v>
      </c>
      <c r="AF35" s="112">
        <v>4.8</v>
      </c>
      <c r="AG35" s="353">
        <v>3.83</v>
      </c>
      <c r="AH35" s="353">
        <v>3.91</v>
      </c>
      <c r="AI35" s="221">
        <v>3.91</v>
      </c>
      <c r="AK35" s="32">
        <f>AVERAGE(F35:AI35)</f>
        <v>4.6777333333333333</v>
      </c>
      <c r="AL35" s="222"/>
      <c r="DI35" s="222"/>
    </row>
    <row r="36" spans="1:15126" s="1" customFormat="1" x14ac:dyDescent="0.25">
      <c r="B36" s="215"/>
      <c r="C36" s="113" t="s">
        <v>91</v>
      </c>
      <c r="D36" s="114">
        <v>0.5</v>
      </c>
      <c r="E36" s="101" t="s">
        <v>29</v>
      </c>
      <c r="F36" s="112">
        <v>0.39</v>
      </c>
      <c r="G36" s="112">
        <v>0.39</v>
      </c>
      <c r="H36" s="112">
        <v>0.42</v>
      </c>
      <c r="I36" s="112">
        <v>0.41</v>
      </c>
      <c r="J36" s="112">
        <v>0.41</v>
      </c>
      <c r="K36" s="1">
        <v>0.41</v>
      </c>
      <c r="L36" s="112">
        <v>0.41</v>
      </c>
      <c r="M36" s="112">
        <v>0.41</v>
      </c>
      <c r="N36" s="112">
        <v>0.41</v>
      </c>
      <c r="O36" s="112">
        <v>0.43</v>
      </c>
      <c r="P36" s="112">
        <v>0.42</v>
      </c>
      <c r="Q36" s="112">
        <v>0.4</v>
      </c>
      <c r="R36" s="112">
        <v>0.42</v>
      </c>
      <c r="S36" s="1">
        <v>0.44</v>
      </c>
      <c r="T36" s="112">
        <v>0.44</v>
      </c>
      <c r="U36" s="112">
        <v>0.45</v>
      </c>
      <c r="V36" s="112">
        <v>0.41</v>
      </c>
      <c r="W36" s="112">
        <v>0.42</v>
      </c>
      <c r="X36" s="112">
        <v>0.41</v>
      </c>
      <c r="Y36" s="112">
        <v>0.41</v>
      </c>
      <c r="Z36" s="112">
        <v>0.43</v>
      </c>
      <c r="AA36" s="112">
        <v>0.48</v>
      </c>
      <c r="AB36" s="112">
        <v>0.42</v>
      </c>
      <c r="AC36" s="112">
        <v>0.43</v>
      </c>
      <c r="AD36" s="112">
        <v>0.46</v>
      </c>
      <c r="AE36" s="112">
        <v>0.47</v>
      </c>
      <c r="AF36" s="112">
        <v>0.48</v>
      </c>
      <c r="AG36" s="353">
        <v>0.39</v>
      </c>
      <c r="AH36" s="353">
        <v>0.4</v>
      </c>
      <c r="AI36" s="221">
        <v>0.4</v>
      </c>
      <c r="AJ36" s="9"/>
      <c r="AK36" s="32">
        <f>AVERAGE(F36:AI36)</f>
        <v>0.4223333333333335</v>
      </c>
      <c r="AL36" s="407"/>
      <c r="CB36" s="3"/>
      <c r="DI36" s="29"/>
    </row>
    <row r="37" spans="1:15126" s="1" customFormat="1" x14ac:dyDescent="0.25">
      <c r="B37" s="215"/>
      <c r="C37" s="113" t="s">
        <v>90</v>
      </c>
      <c r="D37" s="116" t="s">
        <v>89</v>
      </c>
      <c r="E37" s="101" t="s">
        <v>29</v>
      </c>
      <c r="F37" s="112">
        <v>2.2000000000000002</v>
      </c>
      <c r="G37" s="112">
        <v>2.2000000000000002</v>
      </c>
      <c r="H37" s="112">
        <v>2.21</v>
      </c>
      <c r="I37" s="112">
        <v>2.21</v>
      </c>
      <c r="J37" s="112">
        <v>2.21</v>
      </c>
      <c r="K37" s="1">
        <v>2.21</v>
      </c>
      <c r="L37" s="47">
        <v>2.21</v>
      </c>
      <c r="M37" s="112">
        <v>2.21</v>
      </c>
      <c r="N37" s="112">
        <v>2.2200000000000002</v>
      </c>
      <c r="O37" s="47">
        <v>2.21</v>
      </c>
      <c r="P37" s="47">
        <v>2.21</v>
      </c>
      <c r="Q37" s="112">
        <v>2.2200000000000002</v>
      </c>
      <c r="R37" s="47">
        <v>2.2200000000000002</v>
      </c>
      <c r="S37" s="1">
        <v>2.2200000000000002</v>
      </c>
      <c r="T37" s="112">
        <v>2.2200000000000002</v>
      </c>
      <c r="U37" s="47">
        <v>2.2200000000000002</v>
      </c>
      <c r="V37" s="112">
        <v>2.2200000000000002</v>
      </c>
      <c r="W37" s="112">
        <v>2.21</v>
      </c>
      <c r="X37" s="112">
        <v>2.21</v>
      </c>
      <c r="Y37" s="112">
        <v>2.2000000000000002</v>
      </c>
      <c r="Z37" s="112">
        <v>2.21</v>
      </c>
      <c r="AA37" s="112">
        <v>2.2000000000000002</v>
      </c>
      <c r="AB37" s="112">
        <v>2.2000000000000002</v>
      </c>
      <c r="AC37" s="112">
        <v>2.2000000000000002</v>
      </c>
      <c r="AD37" s="112">
        <v>2.2000000000000002</v>
      </c>
      <c r="AE37" s="112">
        <v>2.2000000000000002</v>
      </c>
      <c r="AF37" s="112">
        <v>2.2000000000000002</v>
      </c>
      <c r="AG37" s="353">
        <v>2.21</v>
      </c>
      <c r="AH37" s="353">
        <v>2.21</v>
      </c>
      <c r="AI37" s="221">
        <v>2.21</v>
      </c>
      <c r="AJ37" s="9"/>
      <c r="AK37" s="32">
        <f>AVERAGE(F37:AI37)</f>
        <v>2.2093333333333338</v>
      </c>
      <c r="AL37" s="222"/>
      <c r="DI37" s="29"/>
    </row>
    <row r="38" spans="1:15126" s="1" customFormat="1" x14ac:dyDescent="0.25">
      <c r="B38" s="215"/>
      <c r="C38" s="117" t="s">
        <v>88</v>
      </c>
      <c r="D38" s="118"/>
      <c r="E38" s="194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351"/>
      <c r="AH38" s="351"/>
      <c r="AI38" s="217"/>
      <c r="AJ38" s="6"/>
      <c r="AK38" s="33" t="s">
        <v>88</v>
      </c>
      <c r="AL38" s="406"/>
      <c r="DI38" s="29"/>
    </row>
    <row r="39" spans="1:15126" s="1" customFormat="1" x14ac:dyDescent="0.25">
      <c r="B39" s="223"/>
      <c r="C39" s="119" t="s">
        <v>87</v>
      </c>
      <c r="D39" s="109">
        <f>D62%*D32</f>
        <v>37585800</v>
      </c>
      <c r="E39" s="224" t="s">
        <v>16</v>
      </c>
      <c r="F39" s="110">
        <v>1738842</v>
      </c>
      <c r="G39" s="110">
        <v>2080371</v>
      </c>
      <c r="H39" s="110">
        <v>1390820</v>
      </c>
      <c r="I39" s="110">
        <v>1881959</v>
      </c>
      <c r="J39" s="110">
        <v>1904644</v>
      </c>
      <c r="K39" s="110">
        <v>1850124</v>
      </c>
      <c r="L39" s="110">
        <v>2044350</v>
      </c>
      <c r="M39" s="110">
        <v>2087266</v>
      </c>
      <c r="N39" s="110">
        <v>1734366</v>
      </c>
      <c r="O39" s="110">
        <v>1650557</v>
      </c>
      <c r="P39" s="110">
        <v>1696455</v>
      </c>
      <c r="Q39" s="110">
        <v>1715813</v>
      </c>
      <c r="R39" s="110">
        <v>1740128</v>
      </c>
      <c r="S39" s="110">
        <v>1655836</v>
      </c>
      <c r="T39" s="110">
        <v>1710594</v>
      </c>
      <c r="U39" s="110">
        <v>1734787</v>
      </c>
      <c r="V39" s="110">
        <v>1459065</v>
      </c>
      <c r="W39" s="110">
        <v>1401438</v>
      </c>
      <c r="X39" s="110">
        <v>1405022</v>
      </c>
      <c r="Y39" s="110">
        <v>1344316</v>
      </c>
      <c r="Z39" s="110">
        <v>1258676</v>
      </c>
      <c r="AA39" s="110">
        <v>1255263</v>
      </c>
      <c r="AB39" s="110">
        <v>1400662</v>
      </c>
      <c r="AC39" s="110">
        <v>1239814</v>
      </c>
      <c r="AD39" s="110">
        <v>1126619</v>
      </c>
      <c r="AE39" s="110">
        <v>1163174</v>
      </c>
      <c r="AF39" s="110">
        <v>1167464</v>
      </c>
      <c r="AG39" s="352">
        <v>1188477</v>
      </c>
      <c r="AH39" s="352">
        <v>1186256</v>
      </c>
      <c r="AI39" s="219">
        <v>1361046</v>
      </c>
      <c r="AJ39" s="9"/>
      <c r="AK39" s="308">
        <f>SUM(F39:AI39)</f>
        <v>46574204</v>
      </c>
      <c r="AL39" s="7"/>
      <c r="AW39" s="21"/>
      <c r="DI39" s="4"/>
      <c r="VHB39"/>
      <c r="VHC39"/>
      <c r="VHD39"/>
      <c r="VHE39"/>
      <c r="VHF39"/>
      <c r="VHG39"/>
      <c r="VHH39"/>
      <c r="VHI39"/>
      <c r="VHJ39"/>
      <c r="VHK39"/>
      <c r="VHL39"/>
      <c r="VHM39"/>
      <c r="VHN39"/>
      <c r="VHO39"/>
      <c r="VHP39"/>
      <c r="VHQ39"/>
      <c r="VHR39"/>
      <c r="VHS39"/>
      <c r="VHT39"/>
      <c r="VHU39"/>
      <c r="VHV39"/>
      <c r="VHW39"/>
      <c r="VHX39"/>
      <c r="VHY39"/>
      <c r="VHZ39"/>
      <c r="VIA39"/>
      <c r="VIB39"/>
      <c r="VIC39"/>
      <c r="VID39"/>
      <c r="VIE39"/>
      <c r="VIF39"/>
      <c r="VIG39"/>
      <c r="VIH39"/>
      <c r="VII39"/>
      <c r="VIJ39"/>
      <c r="VIK39"/>
      <c r="VIL39"/>
      <c r="VIM39"/>
      <c r="VIN39"/>
      <c r="VIO39"/>
      <c r="VIP39"/>
      <c r="VIQ39"/>
      <c r="VIR39"/>
      <c r="VIS39"/>
      <c r="VIT39"/>
    </row>
    <row r="40" spans="1:15126" s="1" customFormat="1" x14ac:dyDescent="0.25">
      <c r="B40" s="223"/>
      <c r="C40" s="119" t="s">
        <v>73</v>
      </c>
      <c r="D40" s="109">
        <f>D63%*D32</f>
        <v>1995000</v>
      </c>
      <c r="E40" s="224" t="s">
        <v>16</v>
      </c>
      <c r="F40" s="110">
        <v>92388</v>
      </c>
      <c r="G40" s="110">
        <v>113370</v>
      </c>
      <c r="H40" s="110">
        <v>75411</v>
      </c>
      <c r="I40" s="110">
        <v>99664</v>
      </c>
      <c r="J40" s="110">
        <v>99095</v>
      </c>
      <c r="K40" s="110">
        <v>93438</v>
      </c>
      <c r="L40" s="110">
        <v>83526</v>
      </c>
      <c r="M40" s="110">
        <v>83005</v>
      </c>
      <c r="N40" s="110">
        <v>71130</v>
      </c>
      <c r="O40" s="110">
        <v>94501</v>
      </c>
      <c r="P40" s="110">
        <v>72903</v>
      </c>
      <c r="Q40" s="110">
        <v>72904</v>
      </c>
      <c r="R40" s="110">
        <v>72674</v>
      </c>
      <c r="S40" s="110">
        <v>61526</v>
      </c>
      <c r="T40" s="110">
        <v>77521</v>
      </c>
      <c r="U40" s="110">
        <v>83090</v>
      </c>
      <c r="V40" s="110">
        <v>70836</v>
      </c>
      <c r="W40" s="110">
        <v>58584</v>
      </c>
      <c r="X40" s="110">
        <v>54589</v>
      </c>
      <c r="Y40" s="110">
        <v>50313</v>
      </c>
      <c r="Z40" s="110">
        <v>56612</v>
      </c>
      <c r="AA40" s="110">
        <v>61990</v>
      </c>
      <c r="AB40" s="110">
        <v>74968</v>
      </c>
      <c r="AC40" s="110">
        <v>66361</v>
      </c>
      <c r="AD40" s="110">
        <v>59855</v>
      </c>
      <c r="AE40" s="110">
        <v>74504</v>
      </c>
      <c r="AF40" s="110">
        <v>63811</v>
      </c>
      <c r="AG40" s="352">
        <v>64348</v>
      </c>
      <c r="AH40" s="352">
        <v>64842</v>
      </c>
      <c r="AI40" s="219">
        <v>54422</v>
      </c>
      <c r="AJ40" s="9"/>
      <c r="AK40" s="308">
        <f>SUM(F40:AI40)</f>
        <v>2222181</v>
      </c>
      <c r="AL40" s="7"/>
      <c r="DI40" s="4"/>
      <c r="VHB40"/>
      <c r="VHC40"/>
      <c r="VHD40"/>
      <c r="VHE40"/>
      <c r="VHF40"/>
      <c r="VHG40"/>
      <c r="VHH40"/>
      <c r="VHI40"/>
      <c r="VHJ40"/>
      <c r="VHK40"/>
      <c r="VHL40"/>
      <c r="VHM40"/>
      <c r="VHN40"/>
      <c r="VHO40"/>
      <c r="VHP40"/>
      <c r="VHQ40"/>
      <c r="VHR40"/>
      <c r="VHS40"/>
      <c r="VHT40"/>
      <c r="VHU40"/>
      <c r="VHV40"/>
      <c r="VHW40"/>
      <c r="VHX40"/>
      <c r="VHY40"/>
      <c r="VHZ40"/>
      <c r="VIA40"/>
      <c r="VIB40"/>
      <c r="VIC40"/>
      <c r="VID40"/>
      <c r="VIE40"/>
      <c r="VIF40"/>
      <c r="VIG40"/>
      <c r="VIH40"/>
      <c r="VII40"/>
      <c r="VIJ40"/>
      <c r="VIK40"/>
      <c r="VIL40"/>
      <c r="VIM40"/>
      <c r="VIN40"/>
      <c r="VIO40"/>
      <c r="VIP40"/>
      <c r="VIQ40"/>
      <c r="VIR40"/>
      <c r="VIS40"/>
      <c r="VIT40"/>
    </row>
    <row r="41" spans="1:15126" x14ac:dyDescent="0.25">
      <c r="B41" s="223"/>
      <c r="C41" s="120" t="s">
        <v>86</v>
      </c>
      <c r="D41" s="121"/>
      <c r="E41" s="225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350"/>
      <c r="AH41" s="350"/>
      <c r="AI41" s="216"/>
      <c r="AJ41" s="9"/>
      <c r="AK41" s="122" t="s">
        <v>72</v>
      </c>
      <c r="AL41" s="7"/>
    </row>
    <row r="42" spans="1:15126" s="1" customFormat="1" x14ac:dyDescent="0.25">
      <c r="B42" s="223"/>
      <c r="C42" s="119" t="s">
        <v>85</v>
      </c>
      <c r="D42" s="123">
        <f>SUM(D43:D44)</f>
        <v>29321000</v>
      </c>
      <c r="E42" s="224" t="s">
        <v>16</v>
      </c>
      <c r="F42" s="110">
        <f>F43+F44</f>
        <v>1483672</v>
      </c>
      <c r="G42" s="110">
        <f t="shared" ref="G42:AI42" si="9">G43+G44</f>
        <v>2020807</v>
      </c>
      <c r="H42" s="110">
        <f t="shared" si="9"/>
        <v>2051871</v>
      </c>
      <c r="I42" s="110">
        <f t="shared" si="9"/>
        <v>729394</v>
      </c>
      <c r="J42" s="110">
        <f t="shared" si="9"/>
        <v>2010405</v>
      </c>
      <c r="K42" s="110">
        <f t="shared" si="9"/>
        <v>2258145</v>
      </c>
      <c r="L42" s="110">
        <f t="shared" si="9"/>
        <v>2278275</v>
      </c>
      <c r="M42" s="110">
        <f t="shared" si="9"/>
        <v>2179692</v>
      </c>
      <c r="N42" s="110">
        <f t="shared" si="9"/>
        <v>2168298</v>
      </c>
      <c r="O42" s="110">
        <f t="shared" si="9"/>
        <v>2074103</v>
      </c>
      <c r="P42" s="110">
        <f t="shared" si="9"/>
        <v>2076663</v>
      </c>
      <c r="Q42" s="110">
        <f t="shared" si="9"/>
        <v>2012683</v>
      </c>
      <c r="R42" s="110">
        <f t="shared" si="9"/>
        <v>2004456</v>
      </c>
      <c r="S42" s="110">
        <f t="shared" si="9"/>
        <v>1540086</v>
      </c>
      <c r="T42" s="110">
        <f t="shared" si="9"/>
        <v>246155</v>
      </c>
      <c r="U42" s="110">
        <f t="shared" si="9"/>
        <v>1962927</v>
      </c>
      <c r="V42" s="110">
        <f t="shared" si="9"/>
        <v>1741483</v>
      </c>
      <c r="W42" s="110">
        <f t="shared" si="9"/>
        <v>1716566</v>
      </c>
      <c r="X42" s="110">
        <f t="shared" si="9"/>
        <v>1692395</v>
      </c>
      <c r="Y42" s="110">
        <f t="shared" si="9"/>
        <v>1352069</v>
      </c>
      <c r="Z42" s="110">
        <f t="shared" si="9"/>
        <v>1288906</v>
      </c>
      <c r="AA42" s="110">
        <f t="shared" si="9"/>
        <v>1001108</v>
      </c>
      <c r="AB42" s="110">
        <f t="shared" si="9"/>
        <v>982249</v>
      </c>
      <c r="AC42" s="110">
        <f t="shared" si="9"/>
        <v>280774</v>
      </c>
      <c r="AD42" s="110">
        <f t="shared" si="9"/>
        <v>1064447</v>
      </c>
      <c r="AE42" s="110">
        <f t="shared" si="9"/>
        <v>1164965</v>
      </c>
      <c r="AF42" s="110">
        <f t="shared" si="9"/>
        <v>400001</v>
      </c>
      <c r="AG42" s="110">
        <f t="shared" si="9"/>
        <v>1015973</v>
      </c>
      <c r="AH42" s="110">
        <f t="shared" si="9"/>
        <v>0</v>
      </c>
      <c r="AI42" s="219">
        <f t="shared" si="9"/>
        <v>1873229</v>
      </c>
      <c r="AJ42" s="9"/>
      <c r="AK42" s="308">
        <f>SUM(F42:AI42)</f>
        <v>44671797</v>
      </c>
      <c r="AL42" s="406"/>
      <c r="DI42" s="29"/>
    </row>
    <row r="43" spans="1:15126" x14ac:dyDescent="0.25">
      <c r="B43" s="223"/>
      <c r="C43" s="119" t="s">
        <v>84</v>
      </c>
      <c r="D43" s="123">
        <v>24043000</v>
      </c>
      <c r="E43" s="224" t="s">
        <v>16</v>
      </c>
      <c r="F43" s="110">
        <v>1233472</v>
      </c>
      <c r="G43" s="110">
        <v>1674906</v>
      </c>
      <c r="H43" s="110">
        <v>1691970</v>
      </c>
      <c r="I43" s="110">
        <v>598894</v>
      </c>
      <c r="J43" s="110">
        <v>1650525</v>
      </c>
      <c r="K43" s="110">
        <v>1878100</v>
      </c>
      <c r="L43" s="110">
        <v>1879768</v>
      </c>
      <c r="M43" s="110">
        <v>1810404</v>
      </c>
      <c r="N43" s="110">
        <v>1832972</v>
      </c>
      <c r="O43" s="110">
        <v>1711520</v>
      </c>
      <c r="P43" s="110">
        <v>1716077</v>
      </c>
      <c r="Q43" s="110">
        <v>1655922</v>
      </c>
      <c r="R43" s="110">
        <v>1651154</v>
      </c>
      <c r="S43" s="110">
        <v>1278238</v>
      </c>
      <c r="T43" s="110">
        <v>208032</v>
      </c>
      <c r="U43" s="110">
        <v>1614586</v>
      </c>
      <c r="V43" s="110">
        <v>1431348</v>
      </c>
      <c r="W43" s="110">
        <v>1411251</v>
      </c>
      <c r="X43" s="110">
        <v>1392453</v>
      </c>
      <c r="Y43" s="110">
        <v>1112816</v>
      </c>
      <c r="Z43" s="110">
        <v>1069318</v>
      </c>
      <c r="AA43" s="110">
        <v>829895</v>
      </c>
      <c r="AB43" s="110">
        <v>808505</v>
      </c>
      <c r="AC43" s="110">
        <v>231174</v>
      </c>
      <c r="AD43" s="110">
        <v>873973</v>
      </c>
      <c r="AE43" s="110">
        <v>956943</v>
      </c>
      <c r="AF43" s="110">
        <v>330148</v>
      </c>
      <c r="AG43" s="352">
        <v>859393</v>
      </c>
      <c r="AH43" s="352"/>
      <c r="AI43" s="219">
        <v>1536884</v>
      </c>
      <c r="AJ43" s="9"/>
      <c r="AK43" s="308">
        <f>SUM(F43:AI43)</f>
        <v>36930641</v>
      </c>
      <c r="AL43" s="4"/>
    </row>
    <row r="44" spans="1:15126" x14ac:dyDescent="0.25">
      <c r="B44" s="223"/>
      <c r="C44" s="119" t="s">
        <v>83</v>
      </c>
      <c r="D44" s="123">
        <v>5278000</v>
      </c>
      <c r="E44" s="224" t="s">
        <v>16</v>
      </c>
      <c r="F44" s="226">
        <v>250200</v>
      </c>
      <c r="G44" s="226">
        <v>345901</v>
      </c>
      <c r="H44" s="226">
        <v>359901</v>
      </c>
      <c r="I44" s="226">
        <v>130500</v>
      </c>
      <c r="J44" s="226">
        <v>359880</v>
      </c>
      <c r="K44" s="226">
        <v>380045</v>
      </c>
      <c r="L44" s="226">
        <v>398507</v>
      </c>
      <c r="M44" s="226">
        <v>369288</v>
      </c>
      <c r="N44" s="226">
        <v>335326</v>
      </c>
      <c r="O44" s="226">
        <v>362583</v>
      </c>
      <c r="P44" s="226">
        <v>360586</v>
      </c>
      <c r="Q44" s="226">
        <v>356761</v>
      </c>
      <c r="R44" s="226">
        <v>353302</v>
      </c>
      <c r="S44" s="226">
        <v>261848</v>
      </c>
      <c r="T44" s="226">
        <f>215523-117200-60200</f>
        <v>38123</v>
      </c>
      <c r="U44" s="226">
        <v>348341</v>
      </c>
      <c r="V44" s="226">
        <v>310135</v>
      </c>
      <c r="W44" s="226">
        <v>305315</v>
      </c>
      <c r="X44" s="226">
        <v>299942</v>
      </c>
      <c r="Y44" s="226">
        <v>239253</v>
      </c>
      <c r="Z44" s="226">
        <v>219588</v>
      </c>
      <c r="AA44" s="226">
        <v>171213</v>
      </c>
      <c r="AB44" s="226">
        <v>173744</v>
      </c>
      <c r="AC44" s="226">
        <v>49600</v>
      </c>
      <c r="AD44" s="226">
        <v>190474</v>
      </c>
      <c r="AE44" s="226">
        <v>208022</v>
      </c>
      <c r="AF44" s="226">
        <v>69853</v>
      </c>
      <c r="AG44" s="354">
        <f>203880-47300</f>
        <v>156580</v>
      </c>
      <c r="AH44" s="354"/>
      <c r="AI44" s="306">
        <f>356545-20200</f>
        <v>336345</v>
      </c>
      <c r="AJ44" s="9"/>
      <c r="AK44" s="308">
        <f>SUM(F44:AI44)</f>
        <v>7741156</v>
      </c>
      <c r="AL44" s="4"/>
    </row>
    <row r="45" spans="1:15126" s="305" customFormat="1" x14ac:dyDescent="0.25">
      <c r="A45" s="2"/>
      <c r="B45" s="241"/>
      <c r="C45" s="120" t="s">
        <v>138</v>
      </c>
      <c r="D45" s="303"/>
      <c r="E45" s="232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355"/>
      <c r="AH45" s="355"/>
      <c r="AI45" s="304"/>
      <c r="AJ45" s="6"/>
      <c r="AK45" s="122" t="s">
        <v>137</v>
      </c>
      <c r="AL45" s="25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5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  <c r="AMK45" s="2"/>
      <c r="AML45" s="2"/>
      <c r="AMM45" s="2"/>
      <c r="AMN45" s="2"/>
      <c r="AMO45" s="2"/>
      <c r="AMP45" s="2"/>
      <c r="AMQ45" s="2"/>
      <c r="AMR45" s="2"/>
      <c r="AMS45" s="2"/>
      <c r="AMT45" s="2"/>
      <c r="AMU45" s="2"/>
      <c r="AMV45" s="2"/>
      <c r="AMW45" s="2"/>
      <c r="AMX45" s="2"/>
      <c r="AMY45" s="2"/>
      <c r="AMZ45" s="2"/>
      <c r="ANA45" s="2"/>
      <c r="ANB45" s="2"/>
      <c r="ANC45" s="2"/>
      <c r="AND45" s="2"/>
      <c r="ANE45" s="2"/>
      <c r="ANF45" s="2"/>
      <c r="ANG45" s="2"/>
      <c r="ANH45" s="2"/>
      <c r="ANI45" s="2"/>
      <c r="ANJ45" s="2"/>
      <c r="ANK45" s="2"/>
      <c r="ANL45" s="2"/>
      <c r="ANM45" s="2"/>
      <c r="ANN45" s="2"/>
      <c r="ANO45" s="2"/>
      <c r="ANP45" s="2"/>
      <c r="ANQ45" s="2"/>
      <c r="ANR45" s="2"/>
      <c r="ANS45" s="2"/>
      <c r="ANT45" s="2"/>
      <c r="ANU45" s="2"/>
      <c r="ANV45" s="2"/>
      <c r="ANW45" s="2"/>
      <c r="ANX45" s="2"/>
      <c r="ANY45" s="2"/>
      <c r="ANZ45" s="2"/>
      <c r="AOA45" s="2"/>
      <c r="AOB45" s="2"/>
      <c r="AOC45" s="2"/>
      <c r="AOD45" s="2"/>
      <c r="AOE45" s="2"/>
      <c r="AOF45" s="2"/>
      <c r="AOG45" s="2"/>
      <c r="AOH45" s="2"/>
      <c r="AOI45" s="2"/>
      <c r="AOJ45" s="2"/>
      <c r="AOK45" s="2"/>
      <c r="AOL45" s="2"/>
      <c r="AOM45" s="2"/>
      <c r="AON45" s="2"/>
      <c r="AOO45" s="2"/>
      <c r="AOP45" s="2"/>
      <c r="AOQ45" s="2"/>
      <c r="AOR45" s="2"/>
      <c r="AOS45" s="2"/>
      <c r="AOT45" s="2"/>
      <c r="AOU45" s="2"/>
      <c r="AOV45" s="2"/>
      <c r="AOW45" s="2"/>
      <c r="AOX45" s="2"/>
      <c r="AOY45" s="2"/>
      <c r="AOZ45" s="2"/>
      <c r="APA45" s="2"/>
      <c r="APB45" s="2"/>
      <c r="APC45" s="2"/>
      <c r="APD45" s="2"/>
      <c r="APE45" s="2"/>
      <c r="APF45" s="2"/>
      <c r="APG45" s="2"/>
      <c r="APH45" s="2"/>
      <c r="API45" s="2"/>
      <c r="APJ45" s="2"/>
      <c r="APK45" s="2"/>
      <c r="APL45" s="2"/>
      <c r="APM45" s="2"/>
      <c r="APN45" s="2"/>
      <c r="APO45" s="2"/>
      <c r="APP45" s="2"/>
      <c r="APQ45" s="2"/>
      <c r="APR45" s="2"/>
      <c r="APS45" s="2"/>
      <c r="APT45" s="2"/>
      <c r="APU45" s="2"/>
      <c r="APV45" s="2"/>
      <c r="APW45" s="2"/>
      <c r="APX45" s="2"/>
      <c r="APY45" s="2"/>
      <c r="APZ45" s="2"/>
      <c r="AQA45" s="2"/>
      <c r="AQB45" s="2"/>
      <c r="AQC45" s="2"/>
      <c r="AQD45" s="2"/>
      <c r="AQE45" s="2"/>
      <c r="AQF45" s="2"/>
      <c r="AQG45" s="2"/>
      <c r="AQH45" s="2"/>
      <c r="AQI45" s="2"/>
      <c r="AQJ45" s="2"/>
      <c r="AQK45" s="2"/>
      <c r="AQL45" s="2"/>
      <c r="AQM45" s="2"/>
      <c r="AQN45" s="2"/>
      <c r="AQO45" s="2"/>
      <c r="AQP45" s="2"/>
      <c r="AQQ45" s="2"/>
      <c r="AQR45" s="2"/>
      <c r="AQS45" s="2"/>
      <c r="AQT45" s="2"/>
      <c r="AQU45" s="2"/>
      <c r="AQV45" s="2"/>
      <c r="AQW45" s="2"/>
      <c r="AQX45" s="2"/>
      <c r="AQY45" s="2"/>
      <c r="AQZ45" s="2"/>
      <c r="ARA45" s="2"/>
      <c r="ARB45" s="2"/>
      <c r="ARC45" s="2"/>
      <c r="ARD45" s="2"/>
      <c r="ARE45" s="2"/>
      <c r="ARF45" s="2"/>
      <c r="ARG45" s="2"/>
      <c r="ARH45" s="2"/>
      <c r="ARI45" s="2"/>
      <c r="ARJ45" s="2"/>
      <c r="ARK45" s="2"/>
      <c r="ARL45" s="2"/>
      <c r="ARM45" s="2"/>
      <c r="ARN45" s="2"/>
      <c r="ARO45" s="2"/>
      <c r="ARP45" s="2"/>
      <c r="ARQ45" s="2"/>
      <c r="ARR45" s="2"/>
      <c r="ARS45" s="2"/>
      <c r="ART45" s="2"/>
      <c r="ARU45" s="2"/>
      <c r="ARV45" s="2"/>
      <c r="ARW45" s="2"/>
      <c r="ARX45" s="2"/>
      <c r="ARY45" s="2"/>
      <c r="ARZ45" s="2"/>
      <c r="ASA45" s="2"/>
      <c r="ASB45" s="2"/>
      <c r="ASC45" s="2"/>
      <c r="ASD45" s="2"/>
      <c r="ASE45" s="2"/>
      <c r="ASF45" s="2"/>
      <c r="ASG45" s="2"/>
      <c r="ASH45" s="2"/>
      <c r="ASI45" s="2"/>
      <c r="ASJ45" s="2"/>
      <c r="ASK45" s="2"/>
      <c r="ASL45" s="2"/>
      <c r="ASM45" s="2"/>
      <c r="ASN45" s="2"/>
      <c r="ASO45" s="2"/>
      <c r="ASP45" s="2"/>
      <c r="ASQ45" s="2"/>
      <c r="ASR45" s="2"/>
      <c r="ASS45" s="2"/>
      <c r="AST45" s="2"/>
      <c r="ASU45" s="2"/>
      <c r="ASV45" s="2"/>
      <c r="ASW45" s="2"/>
      <c r="ASX45" s="2"/>
      <c r="ASY45" s="2"/>
      <c r="ASZ45" s="2"/>
      <c r="ATA45" s="2"/>
      <c r="ATB45" s="2"/>
      <c r="ATC45" s="2"/>
      <c r="ATD45" s="2"/>
      <c r="ATE45" s="2"/>
      <c r="ATF45" s="2"/>
      <c r="ATG45" s="2"/>
      <c r="ATH45" s="2"/>
      <c r="ATI45" s="2"/>
      <c r="ATJ45" s="2"/>
      <c r="ATK45" s="2"/>
      <c r="ATL45" s="2"/>
      <c r="ATM45" s="2"/>
      <c r="ATN45" s="2"/>
      <c r="ATO45" s="2"/>
      <c r="ATP45" s="2"/>
      <c r="ATQ45" s="2"/>
      <c r="ATR45" s="2"/>
      <c r="ATS45" s="2"/>
      <c r="ATT45" s="2"/>
      <c r="ATU45" s="2"/>
      <c r="ATV45" s="2"/>
      <c r="ATW45" s="2"/>
      <c r="ATX45" s="2"/>
      <c r="ATY45" s="2"/>
      <c r="ATZ45" s="2"/>
      <c r="AUA45" s="2"/>
      <c r="AUB45" s="2"/>
      <c r="AUC45" s="2"/>
      <c r="AUD45" s="2"/>
      <c r="AUE45" s="2"/>
      <c r="AUF45" s="2"/>
      <c r="AUG45" s="2"/>
      <c r="AUH45" s="2"/>
      <c r="AUI45" s="2"/>
      <c r="AUJ45" s="2"/>
      <c r="AUK45" s="2"/>
      <c r="AUL45" s="2"/>
      <c r="AUM45" s="2"/>
      <c r="AUN45" s="2"/>
      <c r="AUO45" s="2"/>
      <c r="AUP45" s="2"/>
      <c r="AUQ45" s="2"/>
      <c r="AUR45" s="2"/>
      <c r="AUS45" s="2"/>
      <c r="AUT45" s="2"/>
      <c r="AUU45" s="2"/>
      <c r="AUV45" s="2"/>
      <c r="AUW45" s="2"/>
      <c r="AUX45" s="2"/>
      <c r="AUY45" s="2"/>
      <c r="AUZ45" s="2"/>
      <c r="AVA45" s="2"/>
      <c r="AVB45" s="2"/>
      <c r="AVC45" s="2"/>
      <c r="AVD45" s="2"/>
      <c r="AVE45" s="2"/>
      <c r="AVF45" s="2"/>
      <c r="AVG45" s="2"/>
      <c r="AVH45" s="2"/>
      <c r="AVI45" s="2"/>
      <c r="AVJ45" s="2"/>
      <c r="AVK45" s="2"/>
      <c r="AVL45" s="2"/>
      <c r="AVM45" s="2"/>
      <c r="AVN45" s="2"/>
      <c r="AVO45" s="2"/>
      <c r="AVP45" s="2"/>
      <c r="AVQ45" s="2"/>
      <c r="AVR45" s="2"/>
      <c r="AVS45" s="2"/>
      <c r="AVT45" s="2"/>
      <c r="AVU45" s="2"/>
      <c r="AVV45" s="2"/>
      <c r="AVW45" s="2"/>
      <c r="AVX45" s="2"/>
      <c r="AVY45" s="2"/>
      <c r="AVZ45" s="2"/>
      <c r="AWA45" s="2"/>
      <c r="AWB45" s="2"/>
      <c r="AWC45" s="2"/>
      <c r="AWD45" s="2"/>
      <c r="AWE45" s="2"/>
      <c r="AWF45" s="2"/>
      <c r="AWG45" s="2"/>
      <c r="AWH45" s="2"/>
      <c r="AWI45" s="2"/>
      <c r="AWJ45" s="2"/>
      <c r="AWK45" s="2"/>
      <c r="AWL45" s="2"/>
      <c r="AWM45" s="2"/>
      <c r="AWN45" s="2"/>
      <c r="AWO45" s="2"/>
      <c r="AWP45" s="2"/>
      <c r="AWQ45" s="2"/>
      <c r="AWR45" s="2"/>
      <c r="AWS45" s="2"/>
      <c r="AWT45" s="2"/>
      <c r="AWU45" s="2"/>
      <c r="AWV45" s="2"/>
      <c r="AWW45" s="2"/>
      <c r="AWX45" s="2"/>
      <c r="AWY45" s="2"/>
      <c r="AWZ45" s="2"/>
      <c r="AXA45" s="2"/>
      <c r="AXB45" s="2"/>
      <c r="AXC45" s="2"/>
      <c r="AXD45" s="2"/>
      <c r="AXE45" s="2"/>
      <c r="AXF45" s="2"/>
      <c r="AXG45" s="2"/>
      <c r="AXH45" s="2"/>
      <c r="AXI45" s="2"/>
      <c r="AXJ45" s="2"/>
      <c r="AXK45" s="2"/>
      <c r="AXL45" s="2"/>
      <c r="AXM45" s="2"/>
      <c r="AXN45" s="2"/>
      <c r="AXO45" s="2"/>
      <c r="AXP45" s="2"/>
      <c r="AXQ45" s="2"/>
      <c r="AXR45" s="2"/>
      <c r="AXS45" s="2"/>
      <c r="AXT45" s="2"/>
      <c r="AXU45" s="2"/>
      <c r="AXV45" s="2"/>
      <c r="AXW45" s="2"/>
      <c r="AXX45" s="2"/>
      <c r="AXY45" s="2"/>
      <c r="AXZ45" s="2"/>
      <c r="AYA45" s="2"/>
      <c r="AYB45" s="2"/>
      <c r="AYC45" s="2"/>
      <c r="AYD45" s="2"/>
      <c r="AYE45" s="2"/>
      <c r="AYF45" s="2"/>
      <c r="AYG45" s="2"/>
      <c r="AYH45" s="2"/>
      <c r="AYI45" s="2"/>
      <c r="AYJ45" s="2"/>
      <c r="AYK45" s="2"/>
      <c r="AYL45" s="2"/>
      <c r="AYM45" s="2"/>
      <c r="AYN45" s="2"/>
      <c r="AYO45" s="2"/>
      <c r="AYP45" s="2"/>
      <c r="AYQ45" s="2"/>
      <c r="AYR45" s="2"/>
      <c r="AYS45" s="2"/>
      <c r="AYT45" s="2"/>
      <c r="AYU45" s="2"/>
      <c r="AYV45" s="2"/>
      <c r="AYW45" s="2"/>
      <c r="AYX45" s="2"/>
      <c r="AYY45" s="2"/>
      <c r="AYZ45" s="2"/>
      <c r="AZA45" s="2"/>
      <c r="AZB45" s="2"/>
      <c r="AZC45" s="2"/>
      <c r="AZD45" s="2"/>
      <c r="AZE45" s="2"/>
      <c r="AZF45" s="2"/>
      <c r="AZG45" s="2"/>
      <c r="AZH45" s="2"/>
      <c r="AZI45" s="2"/>
      <c r="AZJ45" s="2"/>
      <c r="AZK45" s="2"/>
      <c r="AZL45" s="2"/>
      <c r="AZM45" s="2"/>
      <c r="AZN45" s="2"/>
      <c r="AZO45" s="2"/>
      <c r="AZP45" s="2"/>
      <c r="AZQ45" s="2"/>
      <c r="AZR45" s="2"/>
      <c r="AZS45" s="2"/>
      <c r="AZT45" s="2"/>
      <c r="AZU45" s="2"/>
      <c r="AZV45" s="2"/>
      <c r="AZW45" s="2"/>
      <c r="AZX45" s="2"/>
      <c r="AZY45" s="2"/>
      <c r="AZZ45" s="2"/>
      <c r="BAA45" s="2"/>
      <c r="BAB45" s="2"/>
      <c r="BAC45" s="2"/>
      <c r="BAD45" s="2"/>
      <c r="BAE45" s="2"/>
      <c r="BAF45" s="2"/>
      <c r="BAG45" s="2"/>
      <c r="BAH45" s="2"/>
      <c r="BAI45" s="2"/>
      <c r="BAJ45" s="2"/>
      <c r="BAK45" s="2"/>
      <c r="BAL45" s="2"/>
      <c r="BAM45" s="2"/>
      <c r="BAN45" s="2"/>
      <c r="BAO45" s="2"/>
      <c r="BAP45" s="2"/>
      <c r="BAQ45" s="2"/>
      <c r="BAR45" s="2"/>
      <c r="BAS45" s="2"/>
      <c r="BAT45" s="2"/>
      <c r="BAU45" s="2"/>
      <c r="BAV45" s="2"/>
      <c r="BAW45" s="2"/>
      <c r="BAX45" s="2"/>
      <c r="BAY45" s="2"/>
      <c r="BAZ45" s="2"/>
      <c r="BBA45" s="2"/>
      <c r="BBB45" s="2"/>
      <c r="BBC45" s="2"/>
      <c r="BBD45" s="2"/>
      <c r="BBE45" s="2"/>
      <c r="BBF45" s="2"/>
      <c r="BBG45" s="2"/>
      <c r="BBH45" s="2"/>
      <c r="BBI45" s="2"/>
      <c r="BBJ45" s="2"/>
      <c r="BBK45" s="2"/>
      <c r="BBL45" s="2"/>
      <c r="BBM45" s="2"/>
      <c r="BBN45" s="2"/>
      <c r="BBO45" s="2"/>
      <c r="BBP45" s="2"/>
      <c r="BBQ45" s="2"/>
      <c r="BBR45" s="2"/>
      <c r="BBS45" s="2"/>
      <c r="BBT45" s="2"/>
      <c r="BBU45" s="2"/>
      <c r="BBV45" s="2"/>
      <c r="BBW45" s="2"/>
      <c r="BBX45" s="2"/>
      <c r="BBY45" s="2"/>
      <c r="BBZ45" s="2"/>
      <c r="BCA45" s="2"/>
      <c r="BCB45" s="2"/>
      <c r="BCC45" s="2"/>
      <c r="BCD45" s="2"/>
      <c r="BCE45" s="2"/>
      <c r="BCF45" s="2"/>
      <c r="BCG45" s="2"/>
      <c r="BCH45" s="2"/>
      <c r="BCI45" s="2"/>
      <c r="BCJ45" s="2"/>
      <c r="BCK45" s="2"/>
      <c r="BCL45" s="2"/>
      <c r="BCM45" s="2"/>
      <c r="BCN45" s="2"/>
      <c r="BCO45" s="2"/>
      <c r="BCP45" s="2"/>
      <c r="BCQ45" s="2"/>
      <c r="BCR45" s="2"/>
      <c r="BCS45" s="2"/>
      <c r="BCT45" s="2"/>
      <c r="BCU45" s="2"/>
      <c r="BCV45" s="2"/>
      <c r="BCW45" s="2"/>
      <c r="BCX45" s="2"/>
      <c r="BCY45" s="2"/>
      <c r="BCZ45" s="2"/>
      <c r="BDA45" s="2"/>
      <c r="BDB45" s="2"/>
      <c r="BDC45" s="2"/>
      <c r="BDD45" s="2"/>
      <c r="BDE45" s="2"/>
      <c r="BDF45" s="2"/>
      <c r="BDG45" s="2"/>
      <c r="BDH45" s="2"/>
      <c r="BDI45" s="2"/>
      <c r="BDJ45" s="2"/>
      <c r="BDK45" s="2"/>
      <c r="BDL45" s="2"/>
      <c r="BDM45" s="2"/>
      <c r="BDN45" s="2"/>
      <c r="BDO45" s="2"/>
      <c r="BDP45" s="2"/>
      <c r="BDQ45" s="2"/>
      <c r="BDR45" s="2"/>
      <c r="BDS45" s="2"/>
      <c r="BDT45" s="2"/>
      <c r="BDU45" s="2"/>
      <c r="BDV45" s="2"/>
      <c r="BDW45" s="2"/>
      <c r="BDX45" s="2"/>
      <c r="BDY45" s="2"/>
      <c r="BDZ45" s="2"/>
      <c r="BEA45" s="2"/>
      <c r="BEB45" s="2"/>
      <c r="BEC45" s="2"/>
      <c r="BED45" s="2"/>
      <c r="BEE45" s="2"/>
      <c r="BEF45" s="2"/>
      <c r="BEG45" s="2"/>
      <c r="BEH45" s="2"/>
      <c r="BEI45" s="2"/>
      <c r="BEJ45" s="2"/>
      <c r="BEK45" s="2"/>
      <c r="BEL45" s="2"/>
      <c r="BEM45" s="2"/>
      <c r="BEN45" s="2"/>
      <c r="BEO45" s="2"/>
      <c r="BEP45" s="2"/>
      <c r="BEQ45" s="2"/>
      <c r="BER45" s="2"/>
      <c r="BES45" s="2"/>
      <c r="BET45" s="2"/>
      <c r="BEU45" s="2"/>
      <c r="BEV45" s="2"/>
      <c r="BEW45" s="2"/>
      <c r="BEX45" s="2"/>
      <c r="BEY45" s="2"/>
      <c r="BEZ45" s="2"/>
      <c r="BFA45" s="2"/>
      <c r="BFB45" s="2"/>
      <c r="BFC45" s="2"/>
      <c r="BFD45" s="2"/>
      <c r="BFE45" s="2"/>
      <c r="BFF45" s="2"/>
      <c r="BFG45" s="2"/>
      <c r="BFH45" s="2"/>
      <c r="BFI45" s="2"/>
      <c r="BFJ45" s="2"/>
      <c r="BFK45" s="2"/>
      <c r="BFL45" s="2"/>
      <c r="BFM45" s="2"/>
      <c r="BFN45" s="2"/>
      <c r="BFO45" s="2"/>
      <c r="BFP45" s="2"/>
      <c r="BFQ45" s="2"/>
      <c r="BFR45" s="2"/>
      <c r="BFS45" s="2"/>
      <c r="BFT45" s="2"/>
      <c r="BFU45" s="2"/>
      <c r="BFV45" s="2"/>
      <c r="BFW45" s="2"/>
      <c r="BFX45" s="2"/>
      <c r="BFY45" s="2"/>
      <c r="BFZ45" s="2"/>
      <c r="BGA45" s="2"/>
      <c r="BGB45" s="2"/>
      <c r="BGC45" s="2"/>
      <c r="BGD45" s="2"/>
      <c r="BGE45" s="2"/>
      <c r="BGF45" s="2"/>
      <c r="BGG45" s="2"/>
      <c r="BGH45" s="2"/>
      <c r="BGI45" s="2"/>
      <c r="BGJ45" s="2"/>
      <c r="BGK45" s="2"/>
      <c r="BGL45" s="2"/>
      <c r="BGM45" s="2"/>
      <c r="BGN45" s="2"/>
      <c r="BGO45" s="2"/>
      <c r="BGP45" s="2"/>
      <c r="BGQ45" s="2"/>
      <c r="BGR45" s="2"/>
      <c r="BGS45" s="2"/>
      <c r="BGT45" s="2"/>
      <c r="BGU45" s="2"/>
      <c r="BGV45" s="2"/>
      <c r="BGW45" s="2"/>
      <c r="BGX45" s="2"/>
      <c r="BGY45" s="2"/>
      <c r="BGZ45" s="2"/>
      <c r="BHA45" s="2"/>
      <c r="BHB45" s="2"/>
      <c r="BHC45" s="2"/>
      <c r="BHD45" s="2"/>
      <c r="BHE45" s="2"/>
      <c r="BHF45" s="2"/>
      <c r="BHG45" s="2"/>
      <c r="BHH45" s="2"/>
      <c r="BHI45" s="2"/>
      <c r="BHJ45" s="2"/>
      <c r="BHK45" s="2"/>
      <c r="BHL45" s="2"/>
      <c r="BHM45" s="2"/>
      <c r="BHN45" s="2"/>
      <c r="BHO45" s="2"/>
      <c r="BHP45" s="2"/>
      <c r="BHQ45" s="2"/>
      <c r="BHR45" s="2"/>
      <c r="BHS45" s="2"/>
      <c r="BHT45" s="2"/>
      <c r="BHU45" s="2"/>
      <c r="BHV45" s="2"/>
      <c r="BHW45" s="2"/>
      <c r="BHX45" s="2"/>
      <c r="BHY45" s="2"/>
      <c r="BHZ45" s="2"/>
      <c r="BIA45" s="2"/>
      <c r="BIB45" s="2"/>
      <c r="BIC45" s="2"/>
      <c r="BID45" s="2"/>
      <c r="BIE45" s="2"/>
      <c r="BIF45" s="2"/>
      <c r="BIG45" s="2"/>
      <c r="BIH45" s="2"/>
      <c r="BII45" s="2"/>
      <c r="BIJ45" s="2"/>
      <c r="BIK45" s="2"/>
      <c r="BIL45" s="2"/>
      <c r="BIM45" s="2"/>
      <c r="BIN45" s="2"/>
      <c r="BIO45" s="2"/>
      <c r="BIP45" s="2"/>
      <c r="BIQ45" s="2"/>
      <c r="BIR45" s="2"/>
      <c r="BIS45" s="2"/>
      <c r="BIT45" s="2"/>
      <c r="BIU45" s="2"/>
      <c r="BIV45" s="2"/>
      <c r="BIW45" s="2"/>
      <c r="BIX45" s="2"/>
      <c r="BIY45" s="2"/>
      <c r="BIZ45" s="2"/>
      <c r="BJA45" s="2"/>
      <c r="BJB45" s="2"/>
      <c r="BJC45" s="2"/>
      <c r="BJD45" s="2"/>
      <c r="BJE45" s="2"/>
      <c r="BJF45" s="2"/>
      <c r="BJG45" s="2"/>
      <c r="BJH45" s="2"/>
      <c r="BJI45" s="2"/>
      <c r="BJJ45" s="2"/>
      <c r="BJK45" s="2"/>
      <c r="BJL45" s="2"/>
      <c r="BJM45" s="2"/>
      <c r="BJN45" s="2"/>
      <c r="BJO45" s="2"/>
      <c r="BJP45" s="2"/>
      <c r="BJQ45" s="2"/>
      <c r="BJR45" s="2"/>
      <c r="BJS45" s="2"/>
      <c r="BJT45" s="2"/>
      <c r="BJU45" s="2"/>
      <c r="BJV45" s="2"/>
      <c r="BJW45" s="2"/>
      <c r="BJX45" s="2"/>
      <c r="BJY45" s="2"/>
      <c r="BJZ45" s="2"/>
      <c r="BKA45" s="2"/>
      <c r="BKB45" s="2"/>
      <c r="BKC45" s="2"/>
      <c r="BKD45" s="2"/>
      <c r="BKE45" s="2"/>
      <c r="BKF45" s="2"/>
      <c r="BKG45" s="2"/>
      <c r="BKH45" s="2"/>
      <c r="BKI45" s="2"/>
      <c r="BKJ45" s="2"/>
      <c r="BKK45" s="2"/>
      <c r="BKL45" s="2"/>
      <c r="BKM45" s="2"/>
      <c r="BKN45" s="2"/>
      <c r="BKO45" s="2"/>
      <c r="BKP45" s="2"/>
      <c r="BKQ45" s="2"/>
      <c r="BKR45" s="2"/>
      <c r="BKS45" s="2"/>
      <c r="BKT45" s="2"/>
      <c r="BKU45" s="2"/>
      <c r="BKV45" s="2"/>
      <c r="BKW45" s="2"/>
      <c r="BKX45" s="2"/>
      <c r="BKY45" s="2"/>
      <c r="BKZ45" s="2"/>
      <c r="BLA45" s="2"/>
      <c r="BLB45" s="2"/>
      <c r="BLC45" s="2"/>
      <c r="BLD45" s="2"/>
      <c r="BLE45" s="2"/>
      <c r="BLF45" s="2"/>
      <c r="BLG45" s="2"/>
      <c r="BLH45" s="2"/>
      <c r="BLI45" s="2"/>
      <c r="BLJ45" s="2"/>
      <c r="BLK45" s="2"/>
      <c r="BLL45" s="2"/>
      <c r="BLM45" s="2"/>
      <c r="BLN45" s="2"/>
      <c r="BLO45" s="2"/>
      <c r="BLP45" s="2"/>
      <c r="BLQ45" s="2"/>
      <c r="BLR45" s="2"/>
      <c r="BLS45" s="2"/>
      <c r="BLT45" s="2"/>
      <c r="BLU45" s="2"/>
      <c r="BLV45" s="2"/>
      <c r="BLW45" s="2"/>
      <c r="BLX45" s="2"/>
      <c r="BLY45" s="2"/>
      <c r="BLZ45" s="2"/>
      <c r="BMA45" s="2"/>
      <c r="BMB45" s="2"/>
      <c r="BMC45" s="2"/>
      <c r="BMD45" s="2"/>
      <c r="BME45" s="2"/>
      <c r="BMF45" s="2"/>
      <c r="BMG45" s="2"/>
      <c r="BMH45" s="2"/>
      <c r="BMI45" s="2"/>
      <c r="BMJ45" s="2"/>
      <c r="BMK45" s="2"/>
      <c r="BML45" s="2"/>
      <c r="BMM45" s="2"/>
      <c r="BMN45" s="2"/>
      <c r="BMO45" s="2"/>
      <c r="BMP45" s="2"/>
      <c r="BMQ45" s="2"/>
      <c r="BMR45" s="2"/>
      <c r="BMS45" s="2"/>
      <c r="BMT45" s="2"/>
      <c r="BMU45" s="2"/>
      <c r="BMV45" s="2"/>
      <c r="BMW45" s="2"/>
      <c r="BMX45" s="2"/>
      <c r="BMY45" s="2"/>
      <c r="BMZ45" s="2"/>
      <c r="BNA45" s="2"/>
      <c r="BNB45" s="2"/>
      <c r="BNC45" s="2"/>
      <c r="BND45" s="2"/>
      <c r="BNE45" s="2"/>
      <c r="BNF45" s="2"/>
      <c r="BNG45" s="2"/>
      <c r="BNH45" s="2"/>
      <c r="BNI45" s="2"/>
      <c r="BNJ45" s="2"/>
      <c r="BNK45" s="2"/>
      <c r="BNL45" s="2"/>
      <c r="BNM45" s="2"/>
      <c r="BNN45" s="2"/>
      <c r="BNO45" s="2"/>
      <c r="BNP45" s="2"/>
      <c r="BNQ45" s="2"/>
      <c r="BNR45" s="2"/>
      <c r="BNS45" s="2"/>
      <c r="BNT45" s="2"/>
      <c r="BNU45" s="2"/>
      <c r="BNV45" s="2"/>
      <c r="BNW45" s="2"/>
      <c r="BNX45" s="2"/>
      <c r="BNY45" s="2"/>
      <c r="BNZ45" s="2"/>
      <c r="BOA45" s="2"/>
      <c r="BOB45" s="2"/>
      <c r="BOC45" s="2"/>
      <c r="BOD45" s="2"/>
      <c r="BOE45" s="2"/>
      <c r="BOF45" s="2"/>
      <c r="BOG45" s="2"/>
      <c r="BOH45" s="2"/>
      <c r="BOI45" s="2"/>
      <c r="BOJ45" s="2"/>
      <c r="BOK45" s="2"/>
      <c r="BOL45" s="2"/>
      <c r="BOM45" s="2"/>
      <c r="BON45" s="2"/>
      <c r="BOO45" s="2"/>
      <c r="BOP45" s="2"/>
      <c r="BOQ45" s="2"/>
      <c r="BOR45" s="2"/>
      <c r="BOS45" s="2"/>
      <c r="BOT45" s="2"/>
      <c r="BOU45" s="2"/>
      <c r="BOV45" s="2"/>
      <c r="BOW45" s="2"/>
      <c r="BOX45" s="2"/>
      <c r="BOY45" s="2"/>
      <c r="BOZ45" s="2"/>
      <c r="BPA45" s="2"/>
      <c r="BPB45" s="2"/>
      <c r="BPC45" s="2"/>
      <c r="BPD45" s="2"/>
      <c r="BPE45" s="2"/>
      <c r="BPF45" s="2"/>
      <c r="BPG45" s="2"/>
      <c r="BPH45" s="2"/>
      <c r="BPI45" s="2"/>
      <c r="BPJ45" s="2"/>
      <c r="BPK45" s="2"/>
      <c r="BPL45" s="2"/>
      <c r="BPM45" s="2"/>
      <c r="BPN45" s="2"/>
      <c r="BPO45" s="2"/>
      <c r="BPP45" s="2"/>
      <c r="BPQ45" s="2"/>
      <c r="BPR45" s="2"/>
      <c r="BPS45" s="2"/>
      <c r="BPT45" s="2"/>
      <c r="BPU45" s="2"/>
      <c r="BPV45" s="2"/>
      <c r="BPW45" s="2"/>
      <c r="BPX45" s="2"/>
      <c r="BPY45" s="2"/>
      <c r="BPZ45" s="2"/>
      <c r="BQA45" s="2"/>
      <c r="BQB45" s="2"/>
      <c r="BQC45" s="2"/>
      <c r="BQD45" s="2"/>
      <c r="BQE45" s="2"/>
      <c r="BQF45" s="2"/>
      <c r="BQG45" s="2"/>
      <c r="BQH45" s="2"/>
      <c r="BQI45" s="2"/>
      <c r="BQJ45" s="2"/>
      <c r="BQK45" s="2"/>
      <c r="BQL45" s="2"/>
      <c r="BQM45" s="2"/>
      <c r="BQN45" s="2"/>
      <c r="BQO45" s="2"/>
      <c r="BQP45" s="2"/>
      <c r="BQQ45" s="2"/>
      <c r="BQR45" s="2"/>
      <c r="BQS45" s="2"/>
      <c r="BQT45" s="2"/>
      <c r="BQU45" s="2"/>
      <c r="BQV45" s="2"/>
      <c r="BQW45" s="2"/>
      <c r="BQX45" s="2"/>
      <c r="BQY45" s="2"/>
      <c r="BQZ45" s="2"/>
      <c r="BRA45" s="2"/>
      <c r="BRB45" s="2"/>
      <c r="BRC45" s="2"/>
      <c r="BRD45" s="2"/>
      <c r="BRE45" s="2"/>
      <c r="BRF45" s="2"/>
      <c r="BRG45" s="2"/>
      <c r="BRH45" s="2"/>
      <c r="BRI45" s="2"/>
      <c r="BRJ45" s="2"/>
      <c r="BRK45" s="2"/>
      <c r="BRL45" s="2"/>
      <c r="BRM45" s="2"/>
      <c r="BRN45" s="2"/>
      <c r="BRO45" s="2"/>
      <c r="BRP45" s="2"/>
      <c r="BRQ45" s="2"/>
      <c r="BRR45" s="2"/>
      <c r="BRS45" s="2"/>
      <c r="BRT45" s="2"/>
      <c r="BRU45" s="2"/>
      <c r="BRV45" s="2"/>
      <c r="BRW45" s="2"/>
      <c r="BRX45" s="2"/>
      <c r="BRY45" s="2"/>
      <c r="BRZ45" s="2"/>
      <c r="BSA45" s="2"/>
      <c r="BSB45" s="2"/>
      <c r="BSC45" s="2"/>
      <c r="BSD45" s="2"/>
      <c r="BSE45" s="2"/>
      <c r="BSF45" s="2"/>
      <c r="BSG45" s="2"/>
      <c r="BSH45" s="2"/>
      <c r="BSI45" s="2"/>
      <c r="BSJ45" s="2"/>
      <c r="BSK45" s="2"/>
      <c r="BSL45" s="2"/>
      <c r="BSM45" s="2"/>
      <c r="BSN45" s="2"/>
      <c r="BSO45" s="2"/>
      <c r="BSP45" s="2"/>
      <c r="BSQ45" s="2"/>
      <c r="BSR45" s="2"/>
      <c r="BSS45" s="2"/>
      <c r="BST45" s="2"/>
      <c r="BSU45" s="2"/>
      <c r="BSV45" s="2"/>
      <c r="BSW45" s="2"/>
      <c r="BSX45" s="2"/>
      <c r="BSY45" s="2"/>
      <c r="BSZ45" s="2"/>
      <c r="BTA45" s="2"/>
      <c r="BTB45" s="2"/>
      <c r="BTC45" s="2"/>
      <c r="BTD45" s="2"/>
      <c r="BTE45" s="2"/>
      <c r="BTF45" s="2"/>
      <c r="BTG45" s="2"/>
      <c r="BTH45" s="2"/>
      <c r="BTI45" s="2"/>
      <c r="BTJ45" s="2"/>
      <c r="BTK45" s="2"/>
      <c r="BTL45" s="2"/>
      <c r="BTM45" s="2"/>
      <c r="BTN45" s="2"/>
      <c r="BTO45" s="2"/>
      <c r="BTP45" s="2"/>
      <c r="BTQ45" s="2"/>
      <c r="BTR45" s="2"/>
      <c r="BTS45" s="2"/>
      <c r="BTT45" s="2"/>
      <c r="BTU45" s="2"/>
      <c r="BTV45" s="2"/>
      <c r="BTW45" s="2"/>
      <c r="BTX45" s="2"/>
      <c r="BTY45" s="2"/>
      <c r="BTZ45" s="2"/>
      <c r="BUA45" s="2"/>
      <c r="BUB45" s="2"/>
      <c r="BUC45" s="2"/>
      <c r="BUD45" s="2"/>
      <c r="BUE45" s="2"/>
      <c r="BUF45" s="2"/>
      <c r="BUG45" s="2"/>
      <c r="BUH45" s="2"/>
      <c r="BUI45" s="2"/>
      <c r="BUJ45" s="2"/>
      <c r="BUK45" s="2"/>
      <c r="BUL45" s="2"/>
      <c r="BUM45" s="2"/>
      <c r="BUN45" s="2"/>
      <c r="BUO45" s="2"/>
      <c r="BUP45" s="2"/>
      <c r="BUQ45" s="2"/>
      <c r="BUR45" s="2"/>
      <c r="BUS45" s="2"/>
      <c r="BUT45" s="2"/>
      <c r="BUU45" s="2"/>
      <c r="BUV45" s="2"/>
      <c r="BUW45" s="2"/>
      <c r="BUX45" s="2"/>
      <c r="BUY45" s="2"/>
      <c r="BUZ45" s="2"/>
      <c r="BVA45" s="2"/>
      <c r="BVB45" s="2"/>
      <c r="BVC45" s="2"/>
      <c r="BVD45" s="2"/>
      <c r="BVE45" s="2"/>
      <c r="BVF45" s="2"/>
      <c r="BVG45" s="2"/>
      <c r="BVH45" s="2"/>
      <c r="BVI45" s="2"/>
      <c r="BVJ45" s="2"/>
      <c r="BVK45" s="2"/>
      <c r="BVL45" s="2"/>
      <c r="BVM45" s="2"/>
      <c r="BVN45" s="2"/>
      <c r="BVO45" s="2"/>
      <c r="BVP45" s="2"/>
      <c r="BVQ45" s="2"/>
      <c r="BVR45" s="2"/>
      <c r="BVS45" s="2"/>
      <c r="BVT45" s="2"/>
      <c r="BVU45" s="2"/>
      <c r="BVV45" s="2"/>
      <c r="BVW45" s="2"/>
      <c r="BVX45" s="2"/>
      <c r="BVY45" s="2"/>
      <c r="BVZ45" s="2"/>
      <c r="BWA45" s="2"/>
      <c r="BWB45" s="2"/>
      <c r="BWC45" s="2"/>
      <c r="BWD45" s="2"/>
      <c r="BWE45" s="2"/>
      <c r="BWF45" s="2"/>
      <c r="BWG45" s="2"/>
      <c r="BWH45" s="2"/>
      <c r="BWI45" s="2"/>
      <c r="BWJ45" s="2"/>
      <c r="BWK45" s="2"/>
      <c r="BWL45" s="2"/>
      <c r="BWM45" s="2"/>
      <c r="BWN45" s="2"/>
      <c r="BWO45" s="2"/>
      <c r="BWP45" s="2"/>
      <c r="BWQ45" s="2"/>
      <c r="BWR45" s="2"/>
      <c r="BWS45" s="2"/>
      <c r="BWT45" s="2"/>
      <c r="BWU45" s="2"/>
      <c r="BWV45" s="2"/>
      <c r="BWW45" s="2"/>
      <c r="BWX45" s="2"/>
      <c r="BWY45" s="2"/>
      <c r="BWZ45" s="2"/>
      <c r="BXA45" s="2"/>
      <c r="BXB45" s="2"/>
      <c r="BXC45" s="2"/>
      <c r="BXD45" s="2"/>
      <c r="BXE45" s="2"/>
      <c r="BXF45" s="2"/>
      <c r="BXG45" s="2"/>
      <c r="BXH45" s="2"/>
      <c r="BXI45" s="2"/>
      <c r="BXJ45" s="2"/>
      <c r="BXK45" s="2"/>
      <c r="BXL45" s="2"/>
      <c r="BXM45" s="2"/>
      <c r="BXN45" s="2"/>
      <c r="BXO45" s="2"/>
      <c r="BXP45" s="2"/>
      <c r="BXQ45" s="2"/>
      <c r="BXR45" s="2"/>
      <c r="BXS45" s="2"/>
      <c r="BXT45" s="2"/>
      <c r="BXU45" s="2"/>
      <c r="BXV45" s="2"/>
      <c r="BXW45" s="2"/>
      <c r="BXX45" s="2"/>
      <c r="BXY45" s="2"/>
      <c r="BXZ45" s="2"/>
      <c r="BYA45" s="2"/>
      <c r="BYB45" s="2"/>
      <c r="BYC45" s="2"/>
      <c r="BYD45" s="2"/>
      <c r="BYE45" s="2"/>
      <c r="BYF45" s="2"/>
      <c r="BYG45" s="2"/>
      <c r="BYH45" s="2"/>
      <c r="BYI45" s="2"/>
      <c r="BYJ45" s="2"/>
      <c r="BYK45" s="2"/>
      <c r="BYL45" s="2"/>
      <c r="BYM45" s="2"/>
      <c r="BYN45" s="2"/>
      <c r="BYO45" s="2"/>
      <c r="BYP45" s="2"/>
      <c r="BYQ45" s="2"/>
      <c r="BYR45" s="2"/>
      <c r="BYS45" s="2"/>
      <c r="BYT45" s="2"/>
      <c r="BYU45" s="2"/>
      <c r="BYV45" s="2"/>
      <c r="BYW45" s="2"/>
      <c r="BYX45" s="2"/>
      <c r="BYY45" s="2"/>
      <c r="BYZ45" s="2"/>
      <c r="BZA45" s="2"/>
      <c r="BZB45" s="2"/>
      <c r="BZC45" s="2"/>
      <c r="BZD45" s="2"/>
      <c r="BZE45" s="2"/>
      <c r="BZF45" s="2"/>
      <c r="BZG45" s="2"/>
      <c r="BZH45" s="2"/>
      <c r="BZI45" s="2"/>
      <c r="BZJ45" s="2"/>
      <c r="BZK45" s="2"/>
      <c r="BZL45" s="2"/>
      <c r="BZM45" s="2"/>
      <c r="BZN45" s="2"/>
      <c r="BZO45" s="2"/>
      <c r="BZP45" s="2"/>
      <c r="BZQ45" s="2"/>
      <c r="BZR45" s="2"/>
      <c r="BZS45" s="2"/>
      <c r="BZT45" s="2"/>
      <c r="BZU45" s="2"/>
      <c r="BZV45" s="2"/>
      <c r="BZW45" s="2"/>
      <c r="BZX45" s="2"/>
      <c r="BZY45" s="2"/>
      <c r="BZZ45" s="2"/>
      <c r="CAA45" s="2"/>
      <c r="CAB45" s="2"/>
      <c r="CAC45" s="2"/>
      <c r="CAD45" s="2"/>
      <c r="CAE45" s="2"/>
      <c r="CAF45" s="2"/>
      <c r="CAG45" s="2"/>
      <c r="CAH45" s="2"/>
      <c r="CAI45" s="2"/>
      <c r="CAJ45" s="2"/>
      <c r="CAK45" s="2"/>
      <c r="CAL45" s="2"/>
      <c r="CAM45" s="2"/>
      <c r="CAN45" s="2"/>
      <c r="CAO45" s="2"/>
      <c r="CAP45" s="2"/>
      <c r="CAQ45" s="2"/>
      <c r="CAR45" s="2"/>
      <c r="CAS45" s="2"/>
      <c r="CAT45" s="2"/>
      <c r="CAU45" s="2"/>
      <c r="CAV45" s="2"/>
      <c r="CAW45" s="2"/>
      <c r="CAX45" s="2"/>
      <c r="CAY45" s="2"/>
      <c r="CAZ45" s="2"/>
      <c r="CBA45" s="2"/>
      <c r="CBB45" s="2"/>
      <c r="CBC45" s="2"/>
      <c r="CBD45" s="2"/>
      <c r="CBE45" s="2"/>
      <c r="CBF45" s="2"/>
      <c r="CBG45" s="2"/>
      <c r="CBH45" s="2"/>
      <c r="CBI45" s="2"/>
      <c r="CBJ45" s="2"/>
      <c r="CBK45" s="2"/>
      <c r="CBL45" s="2"/>
      <c r="CBM45" s="2"/>
      <c r="CBN45" s="2"/>
      <c r="CBO45" s="2"/>
      <c r="CBP45" s="2"/>
      <c r="CBQ45" s="2"/>
      <c r="CBR45" s="2"/>
      <c r="CBS45" s="2"/>
      <c r="CBT45" s="2"/>
      <c r="CBU45" s="2"/>
      <c r="CBV45" s="2"/>
      <c r="CBW45" s="2"/>
      <c r="CBX45" s="2"/>
      <c r="CBY45" s="2"/>
      <c r="CBZ45" s="2"/>
      <c r="CCA45" s="2"/>
      <c r="CCB45" s="2"/>
      <c r="CCC45" s="2"/>
      <c r="CCD45" s="2"/>
      <c r="CCE45" s="2"/>
      <c r="CCF45" s="2"/>
      <c r="CCG45" s="2"/>
      <c r="CCH45" s="2"/>
      <c r="CCI45" s="2"/>
      <c r="CCJ45" s="2"/>
      <c r="CCK45" s="2"/>
      <c r="CCL45" s="2"/>
      <c r="CCM45" s="2"/>
      <c r="CCN45" s="2"/>
      <c r="CCO45" s="2"/>
      <c r="CCP45" s="2"/>
      <c r="CCQ45" s="2"/>
      <c r="CCR45" s="2"/>
      <c r="CCS45" s="2"/>
      <c r="CCT45" s="2"/>
      <c r="CCU45" s="2"/>
      <c r="CCV45" s="2"/>
      <c r="CCW45" s="2"/>
      <c r="CCX45" s="2"/>
      <c r="CCY45" s="2"/>
      <c r="CCZ45" s="2"/>
      <c r="CDA45" s="2"/>
      <c r="CDB45" s="2"/>
      <c r="CDC45" s="2"/>
      <c r="CDD45" s="2"/>
      <c r="CDE45" s="2"/>
      <c r="CDF45" s="2"/>
      <c r="CDG45" s="2"/>
      <c r="CDH45" s="2"/>
      <c r="CDI45" s="2"/>
      <c r="CDJ45" s="2"/>
      <c r="CDK45" s="2"/>
      <c r="CDL45" s="2"/>
      <c r="CDM45" s="2"/>
      <c r="CDN45" s="2"/>
      <c r="CDO45" s="2"/>
      <c r="CDP45" s="2"/>
      <c r="CDQ45" s="2"/>
      <c r="CDR45" s="2"/>
      <c r="CDS45" s="2"/>
      <c r="CDT45" s="2"/>
      <c r="CDU45" s="2"/>
      <c r="CDV45" s="2"/>
      <c r="CDW45" s="2"/>
      <c r="CDX45" s="2"/>
      <c r="CDY45" s="2"/>
      <c r="CDZ45" s="2"/>
      <c r="CEA45" s="2"/>
      <c r="CEB45" s="2"/>
      <c r="CEC45" s="2"/>
      <c r="CED45" s="2"/>
      <c r="CEE45" s="2"/>
      <c r="CEF45" s="2"/>
      <c r="CEG45" s="2"/>
      <c r="CEH45" s="2"/>
      <c r="CEI45" s="2"/>
      <c r="CEJ45" s="2"/>
      <c r="CEK45" s="2"/>
      <c r="CEL45" s="2"/>
      <c r="CEM45" s="2"/>
      <c r="CEN45" s="2"/>
      <c r="CEO45" s="2"/>
      <c r="CEP45" s="2"/>
      <c r="CEQ45" s="2"/>
      <c r="CER45" s="2"/>
      <c r="CES45" s="2"/>
      <c r="CET45" s="2"/>
      <c r="CEU45" s="2"/>
      <c r="CEV45" s="2"/>
      <c r="CEW45" s="2"/>
      <c r="CEX45" s="2"/>
      <c r="CEY45" s="2"/>
      <c r="CEZ45" s="2"/>
      <c r="CFA45" s="2"/>
      <c r="CFB45" s="2"/>
      <c r="CFC45" s="2"/>
      <c r="CFD45" s="2"/>
      <c r="CFE45" s="2"/>
      <c r="CFF45" s="2"/>
      <c r="CFG45" s="2"/>
      <c r="CFH45" s="2"/>
      <c r="CFI45" s="2"/>
      <c r="CFJ45" s="2"/>
      <c r="CFK45" s="2"/>
      <c r="CFL45" s="2"/>
      <c r="CFM45" s="2"/>
      <c r="CFN45" s="2"/>
      <c r="CFO45" s="2"/>
      <c r="CFP45" s="2"/>
      <c r="CFQ45" s="2"/>
      <c r="CFR45" s="2"/>
      <c r="CFS45" s="2"/>
      <c r="CFT45" s="2"/>
      <c r="CFU45" s="2"/>
      <c r="CFV45" s="2"/>
      <c r="CFW45" s="2"/>
      <c r="CFX45" s="2"/>
      <c r="CFY45" s="2"/>
      <c r="CFZ45" s="2"/>
      <c r="CGA45" s="2"/>
      <c r="CGB45" s="2"/>
      <c r="CGC45" s="2"/>
      <c r="CGD45" s="2"/>
      <c r="CGE45" s="2"/>
      <c r="CGF45" s="2"/>
      <c r="CGG45" s="2"/>
      <c r="CGH45" s="2"/>
      <c r="CGI45" s="2"/>
      <c r="CGJ45" s="2"/>
      <c r="CGK45" s="2"/>
      <c r="CGL45" s="2"/>
      <c r="CGM45" s="2"/>
      <c r="CGN45" s="2"/>
      <c r="CGO45" s="2"/>
      <c r="CGP45" s="2"/>
      <c r="CGQ45" s="2"/>
      <c r="CGR45" s="2"/>
      <c r="CGS45" s="2"/>
      <c r="CGT45" s="2"/>
      <c r="CGU45" s="2"/>
      <c r="CGV45" s="2"/>
      <c r="CGW45" s="2"/>
      <c r="CGX45" s="2"/>
      <c r="CGY45" s="2"/>
      <c r="CGZ45" s="2"/>
      <c r="CHA45" s="2"/>
      <c r="CHB45" s="2"/>
      <c r="CHC45" s="2"/>
      <c r="CHD45" s="2"/>
      <c r="CHE45" s="2"/>
      <c r="CHF45" s="2"/>
      <c r="CHG45" s="2"/>
      <c r="CHH45" s="2"/>
      <c r="CHI45" s="2"/>
      <c r="CHJ45" s="2"/>
      <c r="CHK45" s="2"/>
      <c r="CHL45" s="2"/>
      <c r="CHM45" s="2"/>
      <c r="CHN45" s="2"/>
      <c r="CHO45" s="2"/>
      <c r="CHP45" s="2"/>
      <c r="CHQ45" s="2"/>
      <c r="CHR45" s="2"/>
      <c r="CHS45" s="2"/>
      <c r="CHT45" s="2"/>
      <c r="CHU45" s="2"/>
      <c r="CHV45" s="2"/>
      <c r="CHW45" s="2"/>
      <c r="CHX45" s="2"/>
      <c r="CHY45" s="2"/>
      <c r="CHZ45" s="2"/>
      <c r="CIA45" s="2"/>
      <c r="CIB45" s="2"/>
      <c r="CIC45" s="2"/>
      <c r="CID45" s="2"/>
      <c r="CIE45" s="2"/>
      <c r="CIF45" s="2"/>
      <c r="CIG45" s="2"/>
      <c r="CIH45" s="2"/>
      <c r="CII45" s="2"/>
      <c r="CIJ45" s="2"/>
      <c r="CIK45" s="2"/>
      <c r="CIL45" s="2"/>
      <c r="CIM45" s="2"/>
      <c r="CIN45" s="2"/>
      <c r="CIO45" s="2"/>
      <c r="CIP45" s="2"/>
      <c r="CIQ45" s="2"/>
      <c r="CIR45" s="2"/>
      <c r="CIS45" s="2"/>
      <c r="CIT45" s="2"/>
      <c r="CIU45" s="2"/>
      <c r="CIV45" s="2"/>
      <c r="CIW45" s="2"/>
      <c r="CIX45" s="2"/>
      <c r="CIY45" s="2"/>
      <c r="CIZ45" s="2"/>
      <c r="CJA45" s="2"/>
      <c r="CJB45" s="2"/>
      <c r="CJC45" s="2"/>
      <c r="CJD45" s="2"/>
      <c r="CJE45" s="2"/>
      <c r="CJF45" s="2"/>
      <c r="CJG45" s="2"/>
      <c r="CJH45" s="2"/>
      <c r="CJI45" s="2"/>
      <c r="CJJ45" s="2"/>
      <c r="CJK45" s="2"/>
      <c r="CJL45" s="2"/>
      <c r="CJM45" s="2"/>
      <c r="CJN45" s="2"/>
      <c r="CJO45" s="2"/>
      <c r="CJP45" s="2"/>
      <c r="CJQ45" s="2"/>
      <c r="CJR45" s="2"/>
      <c r="CJS45" s="2"/>
      <c r="CJT45" s="2"/>
      <c r="CJU45" s="2"/>
      <c r="CJV45" s="2"/>
      <c r="CJW45" s="2"/>
      <c r="CJX45" s="2"/>
      <c r="CJY45" s="2"/>
      <c r="CJZ45" s="2"/>
      <c r="CKA45" s="2"/>
      <c r="CKB45" s="2"/>
      <c r="CKC45" s="2"/>
      <c r="CKD45" s="2"/>
      <c r="CKE45" s="2"/>
      <c r="CKF45" s="2"/>
      <c r="CKG45" s="2"/>
      <c r="CKH45" s="2"/>
      <c r="CKI45" s="2"/>
      <c r="CKJ45" s="2"/>
      <c r="CKK45" s="2"/>
      <c r="CKL45" s="2"/>
      <c r="CKM45" s="2"/>
      <c r="CKN45" s="2"/>
      <c r="CKO45" s="2"/>
      <c r="CKP45" s="2"/>
      <c r="CKQ45" s="2"/>
      <c r="CKR45" s="2"/>
      <c r="CKS45" s="2"/>
      <c r="CKT45" s="2"/>
      <c r="CKU45" s="2"/>
      <c r="CKV45" s="2"/>
      <c r="CKW45" s="2"/>
      <c r="CKX45" s="2"/>
      <c r="CKY45" s="2"/>
      <c r="CKZ45" s="2"/>
      <c r="CLA45" s="2"/>
      <c r="CLB45" s="2"/>
      <c r="CLC45" s="2"/>
      <c r="CLD45" s="2"/>
      <c r="CLE45" s="2"/>
      <c r="CLF45" s="2"/>
      <c r="CLG45" s="2"/>
      <c r="CLH45" s="2"/>
      <c r="CLI45" s="2"/>
      <c r="CLJ45" s="2"/>
      <c r="CLK45" s="2"/>
      <c r="CLL45" s="2"/>
      <c r="CLM45" s="2"/>
      <c r="CLN45" s="2"/>
      <c r="CLO45" s="2"/>
      <c r="CLP45" s="2"/>
      <c r="CLQ45" s="2"/>
      <c r="CLR45" s="2"/>
      <c r="CLS45" s="2"/>
      <c r="CLT45" s="2"/>
      <c r="CLU45" s="2"/>
      <c r="CLV45" s="2"/>
      <c r="CLW45" s="2"/>
      <c r="CLX45" s="2"/>
      <c r="CLY45" s="2"/>
      <c r="CLZ45" s="2"/>
      <c r="CMA45" s="2"/>
      <c r="CMB45" s="2"/>
      <c r="CMC45" s="2"/>
      <c r="CMD45" s="2"/>
      <c r="CME45" s="2"/>
      <c r="CMF45" s="2"/>
      <c r="CMG45" s="2"/>
      <c r="CMH45" s="2"/>
      <c r="CMI45" s="2"/>
      <c r="CMJ45" s="2"/>
      <c r="CMK45" s="2"/>
      <c r="CML45" s="2"/>
      <c r="CMM45" s="2"/>
      <c r="CMN45" s="2"/>
      <c r="CMO45" s="2"/>
      <c r="CMP45" s="2"/>
      <c r="CMQ45" s="2"/>
      <c r="CMR45" s="2"/>
      <c r="CMS45" s="2"/>
      <c r="CMT45" s="2"/>
      <c r="CMU45" s="2"/>
      <c r="CMV45" s="2"/>
      <c r="CMW45" s="2"/>
      <c r="CMX45" s="2"/>
      <c r="CMY45" s="2"/>
      <c r="CMZ45" s="2"/>
      <c r="CNA45" s="2"/>
      <c r="CNB45" s="2"/>
      <c r="CNC45" s="2"/>
      <c r="CND45" s="2"/>
      <c r="CNE45" s="2"/>
      <c r="CNF45" s="2"/>
      <c r="CNG45" s="2"/>
      <c r="CNH45" s="2"/>
      <c r="CNI45" s="2"/>
      <c r="CNJ45" s="2"/>
      <c r="CNK45" s="2"/>
      <c r="CNL45" s="2"/>
      <c r="CNM45" s="2"/>
      <c r="CNN45" s="2"/>
      <c r="CNO45" s="2"/>
      <c r="CNP45" s="2"/>
      <c r="CNQ45" s="2"/>
      <c r="CNR45" s="2"/>
      <c r="CNS45" s="2"/>
      <c r="CNT45" s="2"/>
      <c r="CNU45" s="2"/>
      <c r="CNV45" s="2"/>
      <c r="CNW45" s="2"/>
      <c r="CNX45" s="2"/>
      <c r="CNY45" s="2"/>
      <c r="CNZ45" s="2"/>
      <c r="COA45" s="2"/>
      <c r="COB45" s="2"/>
      <c r="COC45" s="2"/>
      <c r="COD45" s="2"/>
      <c r="COE45" s="2"/>
      <c r="COF45" s="2"/>
      <c r="COG45" s="2"/>
      <c r="COH45" s="2"/>
      <c r="COI45" s="2"/>
      <c r="COJ45" s="2"/>
      <c r="COK45" s="2"/>
      <c r="COL45" s="2"/>
      <c r="COM45" s="2"/>
      <c r="CON45" s="2"/>
      <c r="COO45" s="2"/>
      <c r="COP45" s="2"/>
      <c r="COQ45" s="2"/>
      <c r="COR45" s="2"/>
      <c r="COS45" s="2"/>
      <c r="COT45" s="2"/>
      <c r="COU45" s="2"/>
      <c r="COV45" s="2"/>
      <c r="COW45" s="2"/>
      <c r="COX45" s="2"/>
      <c r="COY45" s="2"/>
      <c r="COZ45" s="2"/>
      <c r="CPA45" s="2"/>
      <c r="CPB45" s="2"/>
      <c r="CPC45" s="2"/>
      <c r="CPD45" s="2"/>
      <c r="CPE45" s="2"/>
      <c r="CPF45" s="2"/>
      <c r="CPG45" s="2"/>
      <c r="CPH45" s="2"/>
      <c r="CPI45" s="2"/>
      <c r="CPJ45" s="2"/>
      <c r="CPK45" s="2"/>
      <c r="CPL45" s="2"/>
      <c r="CPM45" s="2"/>
      <c r="CPN45" s="2"/>
      <c r="CPO45" s="2"/>
      <c r="CPP45" s="2"/>
      <c r="CPQ45" s="2"/>
      <c r="CPR45" s="2"/>
      <c r="CPS45" s="2"/>
      <c r="CPT45" s="2"/>
      <c r="CPU45" s="2"/>
      <c r="CPV45" s="2"/>
      <c r="CPW45" s="2"/>
      <c r="CPX45" s="2"/>
      <c r="CPY45" s="2"/>
      <c r="CPZ45" s="2"/>
      <c r="CQA45" s="2"/>
      <c r="CQB45" s="2"/>
      <c r="CQC45" s="2"/>
      <c r="CQD45" s="2"/>
      <c r="CQE45" s="2"/>
      <c r="CQF45" s="2"/>
      <c r="CQG45" s="2"/>
      <c r="CQH45" s="2"/>
      <c r="CQI45" s="2"/>
      <c r="CQJ45" s="2"/>
      <c r="CQK45" s="2"/>
      <c r="CQL45" s="2"/>
      <c r="CQM45" s="2"/>
      <c r="CQN45" s="2"/>
      <c r="CQO45" s="2"/>
      <c r="CQP45" s="2"/>
      <c r="CQQ45" s="2"/>
      <c r="CQR45" s="2"/>
      <c r="CQS45" s="2"/>
      <c r="CQT45" s="2"/>
      <c r="CQU45" s="2"/>
      <c r="CQV45" s="2"/>
      <c r="CQW45" s="2"/>
      <c r="CQX45" s="2"/>
      <c r="CQY45" s="2"/>
      <c r="CQZ45" s="2"/>
      <c r="CRA45" s="2"/>
      <c r="CRB45" s="2"/>
      <c r="CRC45" s="2"/>
      <c r="CRD45" s="2"/>
      <c r="CRE45" s="2"/>
      <c r="CRF45" s="2"/>
      <c r="CRG45" s="2"/>
      <c r="CRH45" s="2"/>
      <c r="CRI45" s="2"/>
      <c r="CRJ45" s="2"/>
      <c r="CRK45" s="2"/>
      <c r="CRL45" s="2"/>
      <c r="CRM45" s="2"/>
      <c r="CRN45" s="2"/>
      <c r="CRO45" s="2"/>
      <c r="CRP45" s="2"/>
      <c r="CRQ45" s="2"/>
      <c r="CRR45" s="2"/>
      <c r="CRS45" s="2"/>
      <c r="CRT45" s="2"/>
      <c r="CRU45" s="2"/>
      <c r="CRV45" s="2"/>
      <c r="CRW45" s="2"/>
      <c r="CRX45" s="2"/>
      <c r="CRY45" s="2"/>
      <c r="CRZ45" s="2"/>
      <c r="CSA45" s="2"/>
      <c r="CSB45" s="2"/>
      <c r="CSC45" s="2"/>
      <c r="CSD45" s="2"/>
      <c r="CSE45" s="2"/>
      <c r="CSF45" s="2"/>
      <c r="CSG45" s="2"/>
      <c r="CSH45" s="2"/>
      <c r="CSI45" s="2"/>
      <c r="CSJ45" s="2"/>
      <c r="CSK45" s="2"/>
      <c r="CSL45" s="2"/>
      <c r="CSM45" s="2"/>
      <c r="CSN45" s="2"/>
      <c r="CSO45" s="2"/>
      <c r="CSP45" s="2"/>
      <c r="CSQ45" s="2"/>
      <c r="CSR45" s="2"/>
      <c r="CSS45" s="2"/>
      <c r="CST45" s="2"/>
      <c r="CSU45" s="2"/>
      <c r="CSV45" s="2"/>
      <c r="CSW45" s="2"/>
      <c r="CSX45" s="2"/>
      <c r="CSY45" s="2"/>
      <c r="CSZ45" s="2"/>
      <c r="CTA45" s="2"/>
      <c r="CTB45" s="2"/>
      <c r="CTC45" s="2"/>
      <c r="CTD45" s="2"/>
      <c r="CTE45" s="2"/>
      <c r="CTF45" s="2"/>
      <c r="CTG45" s="2"/>
      <c r="CTH45" s="2"/>
      <c r="CTI45" s="2"/>
      <c r="CTJ45" s="2"/>
      <c r="CTK45" s="2"/>
      <c r="CTL45" s="2"/>
      <c r="CTM45" s="2"/>
      <c r="CTN45" s="2"/>
      <c r="CTO45" s="2"/>
      <c r="CTP45" s="2"/>
      <c r="CTQ45" s="2"/>
      <c r="CTR45" s="2"/>
      <c r="CTS45" s="2"/>
      <c r="CTT45" s="2"/>
      <c r="CTU45" s="2"/>
      <c r="CTV45" s="2"/>
      <c r="CTW45" s="2"/>
      <c r="CTX45" s="2"/>
      <c r="CTY45" s="2"/>
      <c r="CTZ45" s="2"/>
      <c r="CUA45" s="2"/>
      <c r="CUB45" s="2"/>
      <c r="CUC45" s="2"/>
      <c r="CUD45" s="2"/>
      <c r="CUE45" s="2"/>
      <c r="CUF45" s="2"/>
      <c r="CUG45" s="2"/>
      <c r="CUH45" s="2"/>
      <c r="CUI45" s="2"/>
      <c r="CUJ45" s="2"/>
      <c r="CUK45" s="2"/>
      <c r="CUL45" s="2"/>
      <c r="CUM45" s="2"/>
      <c r="CUN45" s="2"/>
      <c r="CUO45" s="2"/>
      <c r="CUP45" s="2"/>
      <c r="CUQ45" s="2"/>
      <c r="CUR45" s="2"/>
      <c r="CUS45" s="2"/>
      <c r="CUT45" s="2"/>
      <c r="CUU45" s="2"/>
      <c r="CUV45" s="2"/>
      <c r="CUW45" s="2"/>
      <c r="CUX45" s="2"/>
      <c r="CUY45" s="2"/>
      <c r="CUZ45" s="2"/>
      <c r="CVA45" s="2"/>
      <c r="CVB45" s="2"/>
      <c r="CVC45" s="2"/>
      <c r="CVD45" s="2"/>
      <c r="CVE45" s="2"/>
      <c r="CVF45" s="2"/>
      <c r="CVG45" s="2"/>
      <c r="CVH45" s="2"/>
      <c r="CVI45" s="2"/>
      <c r="CVJ45" s="2"/>
      <c r="CVK45" s="2"/>
      <c r="CVL45" s="2"/>
      <c r="CVM45" s="2"/>
      <c r="CVN45" s="2"/>
      <c r="CVO45" s="2"/>
      <c r="CVP45" s="2"/>
      <c r="CVQ45" s="2"/>
      <c r="CVR45" s="2"/>
      <c r="CVS45" s="2"/>
      <c r="CVT45" s="2"/>
      <c r="CVU45" s="2"/>
      <c r="CVV45" s="2"/>
      <c r="CVW45" s="2"/>
      <c r="CVX45" s="2"/>
      <c r="CVY45" s="2"/>
      <c r="CVZ45" s="2"/>
      <c r="CWA45" s="2"/>
      <c r="CWB45" s="2"/>
      <c r="CWC45" s="2"/>
      <c r="CWD45" s="2"/>
      <c r="CWE45" s="2"/>
      <c r="CWF45" s="2"/>
      <c r="CWG45" s="2"/>
      <c r="CWH45" s="2"/>
      <c r="CWI45" s="2"/>
      <c r="CWJ45" s="2"/>
      <c r="CWK45" s="2"/>
      <c r="CWL45" s="2"/>
      <c r="CWM45" s="2"/>
      <c r="CWN45" s="2"/>
      <c r="CWO45" s="2"/>
      <c r="CWP45" s="2"/>
      <c r="CWQ45" s="2"/>
      <c r="CWR45" s="2"/>
      <c r="CWS45" s="2"/>
      <c r="CWT45" s="2"/>
      <c r="CWU45" s="2"/>
      <c r="CWV45" s="2"/>
      <c r="CWW45" s="2"/>
      <c r="CWX45" s="2"/>
      <c r="CWY45" s="2"/>
      <c r="CWZ45" s="2"/>
      <c r="CXA45" s="2"/>
      <c r="CXB45" s="2"/>
      <c r="CXC45" s="2"/>
      <c r="CXD45" s="2"/>
      <c r="CXE45" s="2"/>
      <c r="CXF45" s="2"/>
      <c r="CXG45" s="2"/>
      <c r="CXH45" s="2"/>
      <c r="CXI45" s="2"/>
      <c r="CXJ45" s="2"/>
      <c r="CXK45" s="2"/>
      <c r="CXL45" s="2"/>
      <c r="CXM45" s="2"/>
      <c r="CXN45" s="2"/>
      <c r="CXO45" s="2"/>
      <c r="CXP45" s="2"/>
      <c r="CXQ45" s="2"/>
      <c r="CXR45" s="2"/>
      <c r="CXS45" s="2"/>
      <c r="CXT45" s="2"/>
      <c r="CXU45" s="2"/>
      <c r="CXV45" s="2"/>
      <c r="CXW45" s="2"/>
      <c r="CXX45" s="2"/>
      <c r="CXY45" s="2"/>
      <c r="CXZ45" s="2"/>
      <c r="CYA45" s="2"/>
      <c r="CYB45" s="2"/>
      <c r="CYC45" s="2"/>
      <c r="CYD45" s="2"/>
      <c r="CYE45" s="2"/>
      <c r="CYF45" s="2"/>
      <c r="CYG45" s="2"/>
      <c r="CYH45" s="2"/>
      <c r="CYI45" s="2"/>
      <c r="CYJ45" s="2"/>
      <c r="CYK45" s="2"/>
      <c r="CYL45" s="2"/>
      <c r="CYM45" s="2"/>
      <c r="CYN45" s="2"/>
      <c r="CYO45" s="2"/>
      <c r="CYP45" s="2"/>
      <c r="CYQ45" s="2"/>
      <c r="CYR45" s="2"/>
      <c r="CYS45" s="2"/>
      <c r="CYT45" s="2"/>
      <c r="CYU45" s="2"/>
      <c r="CYV45" s="2"/>
      <c r="CYW45" s="2"/>
      <c r="CYX45" s="2"/>
      <c r="CYY45" s="2"/>
      <c r="CYZ45" s="2"/>
      <c r="CZA45" s="2"/>
      <c r="CZB45" s="2"/>
      <c r="CZC45" s="2"/>
      <c r="CZD45" s="2"/>
      <c r="CZE45" s="2"/>
      <c r="CZF45" s="2"/>
      <c r="CZG45" s="2"/>
      <c r="CZH45" s="2"/>
      <c r="CZI45" s="2"/>
      <c r="CZJ45" s="2"/>
      <c r="CZK45" s="2"/>
      <c r="CZL45" s="2"/>
      <c r="CZM45" s="2"/>
      <c r="CZN45" s="2"/>
      <c r="CZO45" s="2"/>
      <c r="CZP45" s="2"/>
      <c r="CZQ45" s="2"/>
      <c r="CZR45" s="2"/>
      <c r="CZS45" s="2"/>
      <c r="CZT45" s="2"/>
      <c r="CZU45" s="2"/>
      <c r="CZV45" s="2"/>
      <c r="CZW45" s="2"/>
      <c r="CZX45" s="2"/>
      <c r="CZY45" s="2"/>
      <c r="CZZ45" s="2"/>
      <c r="DAA45" s="2"/>
      <c r="DAB45" s="2"/>
      <c r="DAC45" s="2"/>
      <c r="DAD45" s="2"/>
      <c r="DAE45" s="2"/>
      <c r="DAF45" s="2"/>
      <c r="DAG45" s="2"/>
      <c r="DAH45" s="2"/>
      <c r="DAI45" s="2"/>
      <c r="DAJ45" s="2"/>
      <c r="DAK45" s="2"/>
      <c r="DAL45" s="2"/>
      <c r="DAM45" s="2"/>
      <c r="DAN45" s="2"/>
      <c r="DAO45" s="2"/>
      <c r="DAP45" s="2"/>
      <c r="DAQ45" s="2"/>
      <c r="DAR45" s="2"/>
      <c r="DAS45" s="2"/>
      <c r="DAT45" s="2"/>
      <c r="DAU45" s="2"/>
      <c r="DAV45" s="2"/>
      <c r="DAW45" s="2"/>
      <c r="DAX45" s="2"/>
      <c r="DAY45" s="2"/>
      <c r="DAZ45" s="2"/>
      <c r="DBA45" s="2"/>
      <c r="DBB45" s="2"/>
      <c r="DBC45" s="2"/>
      <c r="DBD45" s="2"/>
      <c r="DBE45" s="2"/>
      <c r="DBF45" s="2"/>
      <c r="DBG45" s="2"/>
      <c r="DBH45" s="2"/>
      <c r="DBI45" s="2"/>
      <c r="DBJ45" s="2"/>
      <c r="DBK45" s="2"/>
      <c r="DBL45" s="2"/>
      <c r="DBM45" s="2"/>
      <c r="DBN45" s="2"/>
      <c r="DBO45" s="2"/>
      <c r="DBP45" s="2"/>
      <c r="DBQ45" s="2"/>
      <c r="DBR45" s="2"/>
      <c r="DBS45" s="2"/>
      <c r="DBT45" s="2"/>
      <c r="DBU45" s="2"/>
      <c r="DBV45" s="2"/>
      <c r="DBW45" s="2"/>
      <c r="DBX45" s="2"/>
      <c r="DBY45" s="2"/>
      <c r="DBZ45" s="2"/>
      <c r="DCA45" s="2"/>
      <c r="DCB45" s="2"/>
      <c r="DCC45" s="2"/>
      <c r="DCD45" s="2"/>
      <c r="DCE45" s="2"/>
      <c r="DCF45" s="2"/>
      <c r="DCG45" s="2"/>
      <c r="DCH45" s="2"/>
      <c r="DCI45" s="2"/>
      <c r="DCJ45" s="2"/>
      <c r="DCK45" s="2"/>
      <c r="DCL45" s="2"/>
      <c r="DCM45" s="2"/>
      <c r="DCN45" s="2"/>
      <c r="DCO45" s="2"/>
      <c r="DCP45" s="2"/>
      <c r="DCQ45" s="2"/>
      <c r="DCR45" s="2"/>
      <c r="DCS45" s="2"/>
      <c r="DCT45" s="2"/>
      <c r="DCU45" s="2"/>
      <c r="DCV45" s="2"/>
      <c r="DCW45" s="2"/>
      <c r="DCX45" s="2"/>
      <c r="DCY45" s="2"/>
      <c r="DCZ45" s="2"/>
      <c r="DDA45" s="2"/>
      <c r="DDB45" s="2"/>
      <c r="DDC45" s="2"/>
      <c r="DDD45" s="2"/>
      <c r="DDE45" s="2"/>
      <c r="DDF45" s="2"/>
      <c r="DDG45" s="2"/>
      <c r="DDH45" s="2"/>
      <c r="DDI45" s="2"/>
      <c r="DDJ45" s="2"/>
      <c r="DDK45" s="2"/>
      <c r="DDL45" s="2"/>
      <c r="DDM45" s="2"/>
      <c r="DDN45" s="2"/>
      <c r="DDO45" s="2"/>
      <c r="DDP45" s="2"/>
      <c r="DDQ45" s="2"/>
      <c r="DDR45" s="2"/>
      <c r="DDS45" s="2"/>
      <c r="DDT45" s="2"/>
      <c r="DDU45" s="2"/>
      <c r="DDV45" s="2"/>
      <c r="DDW45" s="2"/>
      <c r="DDX45" s="2"/>
      <c r="DDY45" s="2"/>
      <c r="DDZ45" s="2"/>
      <c r="DEA45" s="2"/>
      <c r="DEB45" s="2"/>
      <c r="DEC45" s="2"/>
      <c r="DED45" s="2"/>
      <c r="DEE45" s="2"/>
      <c r="DEF45" s="2"/>
      <c r="DEG45" s="2"/>
      <c r="DEH45" s="2"/>
      <c r="DEI45" s="2"/>
      <c r="DEJ45" s="2"/>
      <c r="DEK45" s="2"/>
      <c r="DEL45" s="2"/>
      <c r="DEM45" s="2"/>
      <c r="DEN45" s="2"/>
      <c r="DEO45" s="2"/>
      <c r="DEP45" s="2"/>
      <c r="DEQ45" s="2"/>
      <c r="DER45" s="2"/>
      <c r="DES45" s="2"/>
      <c r="DET45" s="2"/>
      <c r="DEU45" s="2"/>
      <c r="DEV45" s="2"/>
      <c r="DEW45" s="2"/>
      <c r="DEX45" s="2"/>
      <c r="DEY45" s="2"/>
      <c r="DEZ45" s="2"/>
      <c r="DFA45" s="2"/>
      <c r="DFB45" s="2"/>
      <c r="DFC45" s="2"/>
      <c r="DFD45" s="2"/>
      <c r="DFE45" s="2"/>
      <c r="DFF45" s="2"/>
      <c r="DFG45" s="2"/>
      <c r="DFH45" s="2"/>
      <c r="DFI45" s="2"/>
      <c r="DFJ45" s="2"/>
      <c r="DFK45" s="2"/>
      <c r="DFL45" s="2"/>
      <c r="DFM45" s="2"/>
      <c r="DFN45" s="2"/>
      <c r="DFO45" s="2"/>
      <c r="DFP45" s="2"/>
      <c r="DFQ45" s="2"/>
      <c r="DFR45" s="2"/>
      <c r="DFS45" s="2"/>
      <c r="DFT45" s="2"/>
      <c r="DFU45" s="2"/>
      <c r="DFV45" s="2"/>
      <c r="DFW45" s="2"/>
      <c r="DFX45" s="2"/>
      <c r="DFY45" s="2"/>
      <c r="DFZ45" s="2"/>
      <c r="DGA45" s="2"/>
      <c r="DGB45" s="2"/>
      <c r="DGC45" s="2"/>
      <c r="DGD45" s="2"/>
      <c r="DGE45" s="2"/>
      <c r="DGF45" s="2"/>
      <c r="DGG45" s="2"/>
      <c r="DGH45" s="2"/>
      <c r="DGI45" s="2"/>
      <c r="DGJ45" s="2"/>
      <c r="DGK45" s="2"/>
      <c r="DGL45" s="2"/>
      <c r="DGM45" s="2"/>
      <c r="DGN45" s="2"/>
      <c r="DGO45" s="2"/>
      <c r="DGP45" s="2"/>
      <c r="DGQ45" s="2"/>
      <c r="DGR45" s="2"/>
      <c r="DGS45" s="2"/>
      <c r="DGT45" s="2"/>
      <c r="DGU45" s="2"/>
      <c r="DGV45" s="2"/>
      <c r="DGW45" s="2"/>
      <c r="DGX45" s="2"/>
      <c r="DGY45" s="2"/>
      <c r="DGZ45" s="2"/>
      <c r="DHA45" s="2"/>
      <c r="DHB45" s="2"/>
      <c r="DHC45" s="2"/>
      <c r="DHD45" s="2"/>
      <c r="DHE45" s="2"/>
      <c r="DHF45" s="2"/>
      <c r="DHG45" s="2"/>
      <c r="DHH45" s="2"/>
      <c r="DHI45" s="2"/>
      <c r="DHJ45" s="2"/>
      <c r="DHK45" s="2"/>
      <c r="DHL45" s="2"/>
      <c r="DHM45" s="2"/>
      <c r="DHN45" s="2"/>
      <c r="DHO45" s="2"/>
      <c r="DHP45" s="2"/>
      <c r="DHQ45" s="2"/>
      <c r="DHR45" s="2"/>
      <c r="DHS45" s="2"/>
      <c r="DHT45" s="2"/>
      <c r="DHU45" s="2"/>
      <c r="DHV45" s="2"/>
      <c r="DHW45" s="2"/>
      <c r="DHX45" s="2"/>
      <c r="DHY45" s="2"/>
      <c r="DHZ45" s="2"/>
      <c r="DIA45" s="2"/>
      <c r="DIB45" s="2"/>
      <c r="DIC45" s="2"/>
      <c r="DID45" s="2"/>
      <c r="DIE45" s="2"/>
      <c r="DIF45" s="2"/>
      <c r="DIG45" s="2"/>
      <c r="DIH45" s="2"/>
      <c r="DII45" s="2"/>
      <c r="DIJ45" s="2"/>
      <c r="DIK45" s="2"/>
      <c r="DIL45" s="2"/>
      <c r="DIM45" s="2"/>
      <c r="DIN45" s="2"/>
      <c r="DIO45" s="2"/>
      <c r="DIP45" s="2"/>
      <c r="DIQ45" s="2"/>
      <c r="DIR45" s="2"/>
      <c r="DIS45" s="2"/>
      <c r="DIT45" s="2"/>
      <c r="DIU45" s="2"/>
      <c r="DIV45" s="2"/>
      <c r="DIW45" s="2"/>
      <c r="DIX45" s="2"/>
      <c r="DIY45" s="2"/>
      <c r="DIZ45" s="2"/>
      <c r="DJA45" s="2"/>
      <c r="DJB45" s="2"/>
      <c r="DJC45" s="2"/>
      <c r="DJD45" s="2"/>
      <c r="DJE45" s="2"/>
      <c r="DJF45" s="2"/>
      <c r="DJG45" s="2"/>
      <c r="DJH45" s="2"/>
      <c r="DJI45" s="2"/>
      <c r="DJJ45" s="2"/>
      <c r="DJK45" s="2"/>
      <c r="DJL45" s="2"/>
      <c r="DJM45" s="2"/>
      <c r="DJN45" s="2"/>
      <c r="DJO45" s="2"/>
      <c r="DJP45" s="2"/>
      <c r="DJQ45" s="2"/>
      <c r="DJR45" s="2"/>
      <c r="DJS45" s="2"/>
      <c r="DJT45" s="2"/>
      <c r="DJU45" s="2"/>
      <c r="DJV45" s="2"/>
      <c r="DJW45" s="2"/>
      <c r="DJX45" s="2"/>
      <c r="DJY45" s="2"/>
      <c r="DJZ45" s="2"/>
      <c r="DKA45" s="2"/>
      <c r="DKB45" s="2"/>
      <c r="DKC45" s="2"/>
      <c r="DKD45" s="2"/>
      <c r="DKE45" s="2"/>
      <c r="DKF45" s="2"/>
      <c r="DKG45" s="2"/>
      <c r="DKH45" s="2"/>
      <c r="DKI45" s="2"/>
      <c r="DKJ45" s="2"/>
      <c r="DKK45" s="2"/>
      <c r="DKL45" s="2"/>
      <c r="DKM45" s="2"/>
      <c r="DKN45" s="2"/>
      <c r="DKO45" s="2"/>
      <c r="DKP45" s="2"/>
      <c r="DKQ45" s="2"/>
      <c r="DKR45" s="2"/>
      <c r="DKS45" s="2"/>
      <c r="DKT45" s="2"/>
      <c r="DKU45" s="2"/>
      <c r="DKV45" s="2"/>
      <c r="DKW45" s="2"/>
      <c r="DKX45" s="2"/>
      <c r="DKY45" s="2"/>
      <c r="DKZ45" s="2"/>
      <c r="DLA45" s="2"/>
      <c r="DLB45" s="2"/>
      <c r="DLC45" s="2"/>
      <c r="DLD45" s="2"/>
      <c r="DLE45" s="2"/>
      <c r="DLF45" s="2"/>
      <c r="DLG45" s="2"/>
      <c r="DLH45" s="2"/>
      <c r="DLI45" s="2"/>
      <c r="DLJ45" s="2"/>
      <c r="DLK45" s="2"/>
      <c r="DLL45" s="2"/>
      <c r="DLM45" s="2"/>
      <c r="DLN45" s="2"/>
      <c r="DLO45" s="2"/>
      <c r="DLP45" s="2"/>
      <c r="DLQ45" s="2"/>
      <c r="DLR45" s="2"/>
      <c r="DLS45" s="2"/>
      <c r="DLT45" s="2"/>
      <c r="DLU45" s="2"/>
      <c r="DLV45" s="2"/>
      <c r="DLW45" s="2"/>
      <c r="DLX45" s="2"/>
      <c r="DLY45" s="2"/>
      <c r="DLZ45" s="2"/>
      <c r="DMA45" s="2"/>
      <c r="DMB45" s="2"/>
      <c r="DMC45" s="2"/>
      <c r="DMD45" s="2"/>
      <c r="DME45" s="2"/>
      <c r="DMF45" s="2"/>
      <c r="DMG45" s="2"/>
      <c r="DMH45" s="2"/>
      <c r="DMI45" s="2"/>
      <c r="DMJ45" s="2"/>
      <c r="DMK45" s="2"/>
      <c r="DML45" s="2"/>
      <c r="DMM45" s="2"/>
      <c r="DMN45" s="2"/>
      <c r="DMO45" s="2"/>
      <c r="DMP45" s="2"/>
      <c r="DMQ45" s="2"/>
      <c r="DMR45" s="2"/>
      <c r="DMS45" s="2"/>
      <c r="DMT45" s="2"/>
      <c r="DMU45" s="2"/>
      <c r="DMV45" s="2"/>
      <c r="DMW45" s="2"/>
      <c r="DMX45" s="2"/>
      <c r="DMY45" s="2"/>
      <c r="DMZ45" s="2"/>
      <c r="DNA45" s="2"/>
      <c r="DNB45" s="2"/>
      <c r="DNC45" s="2"/>
      <c r="DND45" s="2"/>
      <c r="DNE45" s="2"/>
      <c r="DNF45" s="2"/>
      <c r="DNG45" s="2"/>
      <c r="DNH45" s="2"/>
      <c r="DNI45" s="2"/>
      <c r="DNJ45" s="2"/>
      <c r="DNK45" s="2"/>
      <c r="DNL45" s="2"/>
      <c r="DNM45" s="2"/>
      <c r="DNN45" s="2"/>
      <c r="DNO45" s="2"/>
      <c r="DNP45" s="2"/>
      <c r="DNQ45" s="2"/>
      <c r="DNR45" s="2"/>
      <c r="DNS45" s="2"/>
      <c r="DNT45" s="2"/>
      <c r="DNU45" s="2"/>
      <c r="DNV45" s="2"/>
      <c r="DNW45" s="2"/>
      <c r="DNX45" s="2"/>
      <c r="DNY45" s="2"/>
      <c r="DNZ45" s="2"/>
      <c r="DOA45" s="2"/>
      <c r="DOB45" s="2"/>
      <c r="DOC45" s="2"/>
      <c r="DOD45" s="2"/>
      <c r="DOE45" s="2"/>
      <c r="DOF45" s="2"/>
      <c r="DOG45" s="2"/>
      <c r="DOH45" s="2"/>
      <c r="DOI45" s="2"/>
      <c r="DOJ45" s="2"/>
      <c r="DOK45" s="2"/>
      <c r="DOL45" s="2"/>
      <c r="DOM45" s="2"/>
      <c r="DON45" s="2"/>
      <c r="DOO45" s="2"/>
      <c r="DOP45" s="2"/>
      <c r="DOQ45" s="2"/>
      <c r="DOR45" s="2"/>
      <c r="DOS45" s="2"/>
      <c r="DOT45" s="2"/>
      <c r="DOU45" s="2"/>
      <c r="DOV45" s="2"/>
      <c r="DOW45" s="2"/>
      <c r="DOX45" s="2"/>
      <c r="DOY45" s="2"/>
      <c r="DOZ45" s="2"/>
      <c r="DPA45" s="2"/>
      <c r="DPB45" s="2"/>
      <c r="DPC45" s="2"/>
      <c r="DPD45" s="2"/>
      <c r="DPE45" s="2"/>
      <c r="DPF45" s="2"/>
      <c r="DPG45" s="2"/>
      <c r="DPH45" s="2"/>
      <c r="DPI45" s="2"/>
      <c r="DPJ45" s="2"/>
      <c r="DPK45" s="2"/>
      <c r="DPL45" s="2"/>
      <c r="DPM45" s="2"/>
      <c r="DPN45" s="2"/>
      <c r="DPO45" s="2"/>
      <c r="DPP45" s="2"/>
      <c r="DPQ45" s="2"/>
      <c r="DPR45" s="2"/>
      <c r="DPS45" s="2"/>
      <c r="DPT45" s="2"/>
      <c r="DPU45" s="2"/>
      <c r="DPV45" s="2"/>
      <c r="DPW45" s="2"/>
      <c r="DPX45" s="2"/>
      <c r="DPY45" s="2"/>
      <c r="DPZ45" s="2"/>
      <c r="DQA45" s="2"/>
      <c r="DQB45" s="2"/>
      <c r="DQC45" s="2"/>
      <c r="DQD45" s="2"/>
      <c r="DQE45" s="2"/>
      <c r="DQF45" s="2"/>
      <c r="DQG45" s="2"/>
      <c r="DQH45" s="2"/>
      <c r="DQI45" s="2"/>
      <c r="DQJ45" s="2"/>
      <c r="DQK45" s="2"/>
      <c r="DQL45" s="2"/>
      <c r="DQM45" s="2"/>
      <c r="DQN45" s="2"/>
      <c r="DQO45" s="2"/>
      <c r="DQP45" s="2"/>
      <c r="DQQ45" s="2"/>
      <c r="DQR45" s="2"/>
      <c r="DQS45" s="2"/>
      <c r="DQT45" s="2"/>
      <c r="DQU45" s="2"/>
      <c r="DQV45" s="2"/>
      <c r="DQW45" s="2"/>
      <c r="DQX45" s="2"/>
      <c r="DQY45" s="2"/>
      <c r="DQZ45" s="2"/>
      <c r="DRA45" s="2"/>
      <c r="DRB45" s="2"/>
      <c r="DRC45" s="2"/>
      <c r="DRD45" s="2"/>
      <c r="DRE45" s="2"/>
      <c r="DRF45" s="2"/>
      <c r="DRG45" s="2"/>
      <c r="DRH45" s="2"/>
      <c r="DRI45" s="2"/>
      <c r="DRJ45" s="2"/>
      <c r="DRK45" s="2"/>
      <c r="DRL45" s="2"/>
      <c r="DRM45" s="2"/>
      <c r="DRN45" s="2"/>
      <c r="DRO45" s="2"/>
      <c r="DRP45" s="2"/>
      <c r="DRQ45" s="2"/>
      <c r="DRR45" s="2"/>
      <c r="DRS45" s="2"/>
      <c r="DRT45" s="2"/>
      <c r="DRU45" s="2"/>
      <c r="DRV45" s="2"/>
      <c r="DRW45" s="2"/>
      <c r="DRX45" s="2"/>
      <c r="DRY45" s="2"/>
      <c r="DRZ45" s="2"/>
      <c r="DSA45" s="2"/>
      <c r="DSB45" s="2"/>
      <c r="DSC45" s="2"/>
      <c r="DSD45" s="2"/>
      <c r="DSE45" s="2"/>
      <c r="DSF45" s="2"/>
      <c r="DSG45" s="2"/>
      <c r="DSH45" s="2"/>
      <c r="DSI45" s="2"/>
      <c r="DSJ45" s="2"/>
      <c r="DSK45" s="2"/>
      <c r="DSL45" s="2"/>
      <c r="DSM45" s="2"/>
      <c r="DSN45" s="2"/>
      <c r="DSO45" s="2"/>
      <c r="DSP45" s="2"/>
      <c r="DSQ45" s="2"/>
      <c r="DSR45" s="2"/>
      <c r="DSS45" s="2"/>
      <c r="DST45" s="2"/>
      <c r="DSU45" s="2"/>
      <c r="DSV45" s="2"/>
      <c r="DSW45" s="2"/>
      <c r="DSX45" s="2"/>
      <c r="DSY45" s="2"/>
      <c r="DSZ45" s="2"/>
      <c r="DTA45" s="2"/>
      <c r="DTB45" s="2"/>
      <c r="DTC45" s="2"/>
      <c r="DTD45" s="2"/>
      <c r="DTE45" s="2"/>
      <c r="DTF45" s="2"/>
      <c r="DTG45" s="2"/>
      <c r="DTH45" s="2"/>
      <c r="DTI45" s="2"/>
      <c r="DTJ45" s="2"/>
      <c r="DTK45" s="2"/>
      <c r="DTL45" s="2"/>
      <c r="DTM45" s="2"/>
      <c r="DTN45" s="2"/>
      <c r="DTO45" s="2"/>
      <c r="DTP45" s="2"/>
      <c r="DTQ45" s="2"/>
      <c r="DTR45" s="2"/>
      <c r="DTS45" s="2"/>
      <c r="DTT45" s="2"/>
      <c r="DTU45" s="2"/>
      <c r="DTV45" s="2"/>
      <c r="DTW45" s="2"/>
      <c r="DTX45" s="2"/>
      <c r="DTY45" s="2"/>
      <c r="DTZ45" s="2"/>
      <c r="DUA45" s="2"/>
      <c r="DUB45" s="2"/>
      <c r="DUC45" s="2"/>
      <c r="DUD45" s="2"/>
      <c r="DUE45" s="2"/>
      <c r="DUF45" s="2"/>
      <c r="DUG45" s="2"/>
      <c r="DUH45" s="2"/>
      <c r="DUI45" s="2"/>
      <c r="DUJ45" s="2"/>
      <c r="DUK45" s="2"/>
      <c r="DUL45" s="2"/>
      <c r="DUM45" s="2"/>
      <c r="DUN45" s="2"/>
      <c r="DUO45" s="2"/>
      <c r="DUP45" s="2"/>
      <c r="DUQ45" s="2"/>
      <c r="DUR45" s="2"/>
      <c r="DUS45" s="2"/>
      <c r="DUT45" s="2"/>
      <c r="DUU45" s="2"/>
      <c r="DUV45" s="2"/>
      <c r="DUW45" s="2"/>
      <c r="DUX45" s="2"/>
      <c r="DUY45" s="2"/>
      <c r="DUZ45" s="2"/>
      <c r="DVA45" s="2"/>
      <c r="DVB45" s="2"/>
      <c r="DVC45" s="2"/>
      <c r="DVD45" s="2"/>
      <c r="DVE45" s="2"/>
      <c r="DVF45" s="2"/>
      <c r="DVG45" s="2"/>
      <c r="DVH45" s="2"/>
      <c r="DVI45" s="2"/>
      <c r="DVJ45" s="2"/>
      <c r="DVK45" s="2"/>
      <c r="DVL45" s="2"/>
      <c r="DVM45" s="2"/>
      <c r="DVN45" s="2"/>
      <c r="DVO45" s="2"/>
      <c r="DVP45" s="2"/>
      <c r="DVQ45" s="2"/>
      <c r="DVR45" s="2"/>
      <c r="DVS45" s="2"/>
      <c r="DVT45" s="2"/>
      <c r="DVU45" s="2"/>
      <c r="DVV45" s="2"/>
      <c r="DVW45" s="2"/>
      <c r="DVX45" s="2"/>
      <c r="DVY45" s="2"/>
      <c r="DVZ45" s="2"/>
      <c r="DWA45" s="2"/>
      <c r="DWB45" s="2"/>
      <c r="DWC45" s="2"/>
      <c r="DWD45" s="2"/>
      <c r="DWE45" s="2"/>
      <c r="DWF45" s="2"/>
      <c r="DWG45" s="2"/>
      <c r="DWH45" s="2"/>
      <c r="DWI45" s="2"/>
      <c r="DWJ45" s="2"/>
      <c r="DWK45" s="2"/>
      <c r="DWL45" s="2"/>
      <c r="DWM45" s="2"/>
      <c r="DWN45" s="2"/>
      <c r="DWO45" s="2"/>
      <c r="DWP45" s="2"/>
      <c r="DWQ45" s="2"/>
      <c r="DWR45" s="2"/>
      <c r="DWS45" s="2"/>
      <c r="DWT45" s="2"/>
      <c r="DWU45" s="2"/>
      <c r="DWV45" s="2"/>
      <c r="DWW45" s="2"/>
      <c r="DWX45" s="2"/>
      <c r="DWY45" s="2"/>
      <c r="DWZ45" s="2"/>
      <c r="DXA45" s="2"/>
      <c r="DXB45" s="2"/>
      <c r="DXC45" s="2"/>
      <c r="DXD45" s="2"/>
      <c r="DXE45" s="2"/>
      <c r="DXF45" s="2"/>
      <c r="DXG45" s="2"/>
      <c r="DXH45" s="2"/>
      <c r="DXI45" s="2"/>
      <c r="DXJ45" s="2"/>
      <c r="DXK45" s="2"/>
      <c r="DXL45" s="2"/>
      <c r="DXM45" s="2"/>
      <c r="DXN45" s="2"/>
      <c r="DXO45" s="2"/>
      <c r="DXP45" s="2"/>
      <c r="DXQ45" s="2"/>
      <c r="DXR45" s="2"/>
      <c r="DXS45" s="2"/>
      <c r="DXT45" s="2"/>
      <c r="DXU45" s="2"/>
      <c r="DXV45" s="2"/>
      <c r="DXW45" s="2"/>
      <c r="DXX45" s="2"/>
      <c r="DXY45" s="2"/>
      <c r="DXZ45" s="2"/>
      <c r="DYA45" s="2"/>
      <c r="DYB45" s="2"/>
      <c r="DYC45" s="2"/>
      <c r="DYD45" s="2"/>
      <c r="DYE45" s="2"/>
      <c r="DYF45" s="2"/>
      <c r="DYG45" s="2"/>
      <c r="DYH45" s="2"/>
      <c r="DYI45" s="2"/>
      <c r="DYJ45" s="2"/>
      <c r="DYK45" s="2"/>
      <c r="DYL45" s="2"/>
      <c r="DYM45" s="2"/>
      <c r="DYN45" s="2"/>
      <c r="DYO45" s="2"/>
      <c r="DYP45" s="2"/>
      <c r="DYQ45" s="2"/>
      <c r="DYR45" s="2"/>
      <c r="DYS45" s="2"/>
      <c r="DYT45" s="2"/>
      <c r="DYU45" s="2"/>
      <c r="DYV45" s="2"/>
      <c r="DYW45" s="2"/>
      <c r="DYX45" s="2"/>
      <c r="DYY45" s="2"/>
      <c r="DYZ45" s="2"/>
      <c r="DZA45" s="2"/>
      <c r="DZB45" s="2"/>
      <c r="DZC45" s="2"/>
      <c r="DZD45" s="2"/>
      <c r="DZE45" s="2"/>
      <c r="DZF45" s="2"/>
      <c r="DZG45" s="2"/>
      <c r="DZH45" s="2"/>
      <c r="DZI45" s="2"/>
      <c r="DZJ45" s="2"/>
      <c r="DZK45" s="2"/>
      <c r="DZL45" s="2"/>
      <c r="DZM45" s="2"/>
      <c r="DZN45" s="2"/>
      <c r="DZO45" s="2"/>
      <c r="DZP45" s="2"/>
      <c r="DZQ45" s="2"/>
      <c r="DZR45" s="2"/>
      <c r="DZS45" s="2"/>
      <c r="DZT45" s="2"/>
      <c r="DZU45" s="2"/>
      <c r="DZV45" s="2"/>
      <c r="DZW45" s="2"/>
      <c r="DZX45" s="2"/>
      <c r="DZY45" s="2"/>
      <c r="DZZ45" s="2"/>
      <c r="EAA45" s="2"/>
      <c r="EAB45" s="2"/>
      <c r="EAC45" s="2"/>
      <c r="EAD45" s="2"/>
      <c r="EAE45" s="2"/>
      <c r="EAF45" s="2"/>
      <c r="EAG45" s="2"/>
      <c r="EAH45" s="2"/>
      <c r="EAI45" s="2"/>
      <c r="EAJ45" s="2"/>
      <c r="EAK45" s="2"/>
      <c r="EAL45" s="2"/>
      <c r="EAM45" s="2"/>
      <c r="EAN45" s="2"/>
      <c r="EAO45" s="2"/>
      <c r="EAP45" s="2"/>
      <c r="EAQ45" s="2"/>
      <c r="EAR45" s="2"/>
      <c r="EAS45" s="2"/>
      <c r="EAT45" s="2"/>
      <c r="EAU45" s="2"/>
      <c r="EAV45" s="2"/>
      <c r="EAW45" s="2"/>
      <c r="EAX45" s="2"/>
      <c r="EAY45" s="2"/>
      <c r="EAZ45" s="2"/>
      <c r="EBA45" s="2"/>
      <c r="EBB45" s="2"/>
      <c r="EBC45" s="2"/>
      <c r="EBD45" s="2"/>
      <c r="EBE45" s="2"/>
      <c r="EBF45" s="2"/>
      <c r="EBG45" s="2"/>
      <c r="EBH45" s="2"/>
      <c r="EBI45" s="2"/>
      <c r="EBJ45" s="2"/>
      <c r="EBK45" s="2"/>
      <c r="EBL45" s="2"/>
      <c r="EBM45" s="2"/>
      <c r="EBN45" s="2"/>
      <c r="EBO45" s="2"/>
      <c r="EBP45" s="2"/>
      <c r="EBQ45" s="2"/>
      <c r="EBR45" s="2"/>
      <c r="EBS45" s="2"/>
      <c r="EBT45" s="2"/>
      <c r="EBU45" s="2"/>
      <c r="EBV45" s="2"/>
      <c r="EBW45" s="2"/>
      <c r="EBX45" s="2"/>
      <c r="EBY45" s="2"/>
      <c r="EBZ45" s="2"/>
      <c r="ECA45" s="2"/>
      <c r="ECB45" s="2"/>
      <c r="ECC45" s="2"/>
      <c r="ECD45" s="2"/>
      <c r="ECE45" s="2"/>
      <c r="ECF45" s="2"/>
      <c r="ECG45" s="2"/>
      <c r="ECH45" s="2"/>
      <c r="ECI45" s="2"/>
      <c r="ECJ45" s="2"/>
      <c r="ECK45" s="2"/>
      <c r="ECL45" s="2"/>
      <c r="ECM45" s="2"/>
      <c r="ECN45" s="2"/>
      <c r="ECO45" s="2"/>
      <c r="ECP45" s="2"/>
      <c r="ECQ45" s="2"/>
      <c r="ECR45" s="2"/>
      <c r="ECS45" s="2"/>
      <c r="ECT45" s="2"/>
      <c r="ECU45" s="2"/>
      <c r="ECV45" s="2"/>
      <c r="ECW45" s="2"/>
      <c r="ECX45" s="2"/>
      <c r="ECY45" s="2"/>
      <c r="ECZ45" s="2"/>
      <c r="EDA45" s="2"/>
      <c r="EDB45" s="2"/>
      <c r="EDC45" s="2"/>
      <c r="EDD45" s="2"/>
      <c r="EDE45" s="2"/>
      <c r="EDF45" s="2"/>
      <c r="EDG45" s="2"/>
      <c r="EDH45" s="2"/>
      <c r="EDI45" s="2"/>
      <c r="EDJ45" s="2"/>
      <c r="EDK45" s="2"/>
      <c r="EDL45" s="2"/>
      <c r="EDM45" s="2"/>
      <c r="EDN45" s="2"/>
      <c r="EDO45" s="2"/>
      <c r="EDP45" s="2"/>
      <c r="EDQ45" s="2"/>
      <c r="EDR45" s="2"/>
      <c r="EDS45" s="2"/>
      <c r="EDT45" s="2"/>
      <c r="EDU45" s="2"/>
      <c r="EDV45" s="2"/>
      <c r="EDW45" s="2"/>
      <c r="EDX45" s="2"/>
      <c r="EDY45" s="2"/>
      <c r="EDZ45" s="2"/>
      <c r="EEA45" s="2"/>
      <c r="EEB45" s="2"/>
      <c r="EEC45" s="2"/>
      <c r="EED45" s="2"/>
      <c r="EEE45" s="2"/>
      <c r="EEF45" s="2"/>
      <c r="EEG45" s="2"/>
      <c r="EEH45" s="2"/>
      <c r="EEI45" s="2"/>
      <c r="EEJ45" s="2"/>
      <c r="EEK45" s="2"/>
      <c r="EEL45" s="2"/>
      <c r="EEM45" s="2"/>
      <c r="EEN45" s="2"/>
      <c r="EEO45" s="2"/>
      <c r="EEP45" s="2"/>
      <c r="EEQ45" s="2"/>
      <c r="EER45" s="2"/>
      <c r="EES45" s="2"/>
      <c r="EET45" s="2"/>
      <c r="EEU45" s="2"/>
      <c r="EEV45" s="2"/>
      <c r="EEW45" s="2"/>
      <c r="EEX45" s="2"/>
      <c r="EEY45" s="2"/>
      <c r="EEZ45" s="2"/>
      <c r="EFA45" s="2"/>
      <c r="EFB45" s="2"/>
      <c r="EFC45" s="2"/>
      <c r="EFD45" s="2"/>
      <c r="EFE45" s="2"/>
      <c r="EFF45" s="2"/>
      <c r="EFG45" s="2"/>
      <c r="EFH45" s="2"/>
      <c r="EFI45" s="2"/>
      <c r="EFJ45" s="2"/>
      <c r="EFK45" s="2"/>
      <c r="EFL45" s="2"/>
      <c r="EFM45" s="2"/>
      <c r="EFN45" s="2"/>
      <c r="EFO45" s="2"/>
      <c r="EFP45" s="2"/>
      <c r="EFQ45" s="2"/>
      <c r="EFR45" s="2"/>
      <c r="EFS45" s="2"/>
      <c r="EFT45" s="2"/>
      <c r="EFU45" s="2"/>
      <c r="EFV45" s="2"/>
      <c r="EFW45" s="2"/>
      <c r="EFX45" s="2"/>
      <c r="EFY45" s="2"/>
      <c r="EFZ45" s="2"/>
      <c r="EGA45" s="2"/>
      <c r="EGB45" s="2"/>
      <c r="EGC45" s="2"/>
      <c r="EGD45" s="2"/>
      <c r="EGE45" s="2"/>
      <c r="EGF45" s="2"/>
      <c r="EGG45" s="2"/>
      <c r="EGH45" s="2"/>
      <c r="EGI45" s="2"/>
      <c r="EGJ45" s="2"/>
      <c r="EGK45" s="2"/>
      <c r="EGL45" s="2"/>
      <c r="EGM45" s="2"/>
      <c r="EGN45" s="2"/>
      <c r="EGO45" s="2"/>
      <c r="EGP45" s="2"/>
      <c r="EGQ45" s="2"/>
      <c r="EGR45" s="2"/>
      <c r="EGS45" s="2"/>
      <c r="EGT45" s="2"/>
      <c r="EGU45" s="2"/>
      <c r="EGV45" s="2"/>
      <c r="EGW45" s="2"/>
      <c r="EGX45" s="2"/>
      <c r="EGY45" s="2"/>
      <c r="EGZ45" s="2"/>
      <c r="EHA45" s="2"/>
      <c r="EHB45" s="2"/>
      <c r="EHC45" s="2"/>
      <c r="EHD45" s="2"/>
      <c r="EHE45" s="2"/>
      <c r="EHF45" s="2"/>
      <c r="EHG45" s="2"/>
      <c r="EHH45" s="2"/>
      <c r="EHI45" s="2"/>
      <c r="EHJ45" s="2"/>
      <c r="EHK45" s="2"/>
      <c r="EHL45" s="2"/>
      <c r="EHM45" s="2"/>
      <c r="EHN45" s="2"/>
      <c r="EHO45" s="2"/>
      <c r="EHP45" s="2"/>
      <c r="EHQ45" s="2"/>
      <c r="EHR45" s="2"/>
      <c r="EHS45" s="2"/>
      <c r="EHT45" s="2"/>
      <c r="EHU45" s="2"/>
      <c r="EHV45" s="2"/>
      <c r="EHW45" s="2"/>
      <c r="EHX45" s="2"/>
      <c r="EHY45" s="2"/>
      <c r="EHZ45" s="2"/>
      <c r="EIA45" s="2"/>
      <c r="EIB45" s="2"/>
      <c r="EIC45" s="2"/>
      <c r="EID45" s="2"/>
      <c r="EIE45" s="2"/>
      <c r="EIF45" s="2"/>
      <c r="EIG45" s="2"/>
      <c r="EIH45" s="2"/>
      <c r="EII45" s="2"/>
      <c r="EIJ45" s="2"/>
      <c r="EIK45" s="2"/>
      <c r="EIL45" s="2"/>
      <c r="EIM45" s="2"/>
      <c r="EIN45" s="2"/>
      <c r="EIO45" s="2"/>
      <c r="EIP45" s="2"/>
      <c r="EIQ45" s="2"/>
      <c r="EIR45" s="2"/>
      <c r="EIS45" s="2"/>
      <c r="EIT45" s="2"/>
      <c r="EIU45" s="2"/>
      <c r="EIV45" s="2"/>
      <c r="EIW45" s="2"/>
      <c r="EIX45" s="2"/>
      <c r="EIY45" s="2"/>
      <c r="EIZ45" s="2"/>
      <c r="EJA45" s="2"/>
      <c r="EJB45" s="2"/>
      <c r="EJC45" s="2"/>
      <c r="EJD45" s="2"/>
      <c r="EJE45" s="2"/>
      <c r="EJF45" s="2"/>
      <c r="EJG45" s="2"/>
      <c r="EJH45" s="2"/>
      <c r="EJI45" s="2"/>
      <c r="EJJ45" s="2"/>
      <c r="EJK45" s="2"/>
      <c r="EJL45" s="2"/>
      <c r="EJM45" s="2"/>
      <c r="EJN45" s="2"/>
      <c r="EJO45" s="2"/>
      <c r="EJP45" s="2"/>
      <c r="EJQ45" s="2"/>
      <c r="EJR45" s="2"/>
      <c r="EJS45" s="2"/>
      <c r="EJT45" s="2"/>
      <c r="EJU45" s="2"/>
      <c r="EJV45" s="2"/>
      <c r="EJW45" s="2"/>
      <c r="EJX45" s="2"/>
      <c r="EJY45" s="2"/>
      <c r="EJZ45" s="2"/>
      <c r="EKA45" s="2"/>
      <c r="EKB45" s="2"/>
      <c r="EKC45" s="2"/>
      <c r="EKD45" s="2"/>
      <c r="EKE45" s="2"/>
      <c r="EKF45" s="2"/>
      <c r="EKG45" s="2"/>
      <c r="EKH45" s="2"/>
      <c r="EKI45" s="2"/>
      <c r="EKJ45" s="2"/>
      <c r="EKK45" s="2"/>
      <c r="EKL45" s="2"/>
      <c r="EKM45" s="2"/>
      <c r="EKN45" s="2"/>
      <c r="EKO45" s="2"/>
      <c r="EKP45" s="2"/>
      <c r="EKQ45" s="2"/>
      <c r="EKR45" s="2"/>
      <c r="EKS45" s="2"/>
      <c r="EKT45" s="2"/>
      <c r="EKU45" s="2"/>
      <c r="EKV45" s="2"/>
      <c r="EKW45" s="2"/>
      <c r="EKX45" s="2"/>
      <c r="EKY45" s="2"/>
      <c r="EKZ45" s="2"/>
      <c r="ELA45" s="2"/>
      <c r="ELB45" s="2"/>
      <c r="ELC45" s="2"/>
      <c r="ELD45" s="2"/>
      <c r="ELE45" s="2"/>
      <c r="ELF45" s="2"/>
      <c r="ELG45" s="2"/>
      <c r="ELH45" s="2"/>
      <c r="ELI45" s="2"/>
      <c r="ELJ45" s="2"/>
      <c r="ELK45" s="2"/>
      <c r="ELL45" s="2"/>
      <c r="ELM45" s="2"/>
      <c r="ELN45" s="2"/>
      <c r="ELO45" s="2"/>
      <c r="ELP45" s="2"/>
      <c r="ELQ45" s="2"/>
      <c r="ELR45" s="2"/>
      <c r="ELS45" s="2"/>
      <c r="ELT45" s="2"/>
      <c r="ELU45" s="2"/>
      <c r="ELV45" s="2"/>
      <c r="ELW45" s="2"/>
      <c r="ELX45" s="2"/>
      <c r="ELY45" s="2"/>
      <c r="ELZ45" s="2"/>
      <c r="EMA45" s="2"/>
      <c r="EMB45" s="2"/>
      <c r="EMC45" s="2"/>
      <c r="EMD45" s="2"/>
      <c r="EME45" s="2"/>
      <c r="EMF45" s="2"/>
      <c r="EMG45" s="2"/>
      <c r="EMH45" s="2"/>
      <c r="EMI45" s="2"/>
      <c r="EMJ45" s="2"/>
      <c r="EMK45" s="2"/>
      <c r="EML45" s="2"/>
      <c r="EMM45" s="2"/>
      <c r="EMN45" s="2"/>
      <c r="EMO45" s="2"/>
      <c r="EMP45" s="2"/>
      <c r="EMQ45" s="2"/>
      <c r="EMR45" s="2"/>
      <c r="EMS45" s="2"/>
      <c r="EMT45" s="2"/>
      <c r="EMU45" s="2"/>
      <c r="EMV45" s="2"/>
      <c r="EMW45" s="2"/>
      <c r="EMX45" s="2"/>
      <c r="EMY45" s="2"/>
      <c r="EMZ45" s="2"/>
      <c r="ENA45" s="2"/>
      <c r="ENB45" s="2"/>
      <c r="ENC45" s="2"/>
      <c r="END45" s="2"/>
      <c r="ENE45" s="2"/>
      <c r="ENF45" s="2"/>
      <c r="ENG45" s="2"/>
      <c r="ENH45" s="2"/>
      <c r="ENI45" s="2"/>
      <c r="ENJ45" s="2"/>
      <c r="ENK45" s="2"/>
      <c r="ENL45" s="2"/>
      <c r="ENM45" s="2"/>
      <c r="ENN45" s="2"/>
      <c r="ENO45" s="2"/>
      <c r="ENP45" s="2"/>
      <c r="ENQ45" s="2"/>
      <c r="ENR45" s="2"/>
      <c r="ENS45" s="2"/>
      <c r="ENT45" s="2"/>
      <c r="ENU45" s="2"/>
      <c r="ENV45" s="2"/>
      <c r="ENW45" s="2"/>
      <c r="ENX45" s="2"/>
      <c r="ENY45" s="2"/>
      <c r="ENZ45" s="2"/>
      <c r="EOA45" s="2"/>
      <c r="EOB45" s="2"/>
      <c r="EOC45" s="2"/>
      <c r="EOD45" s="2"/>
      <c r="EOE45" s="2"/>
      <c r="EOF45" s="2"/>
      <c r="EOG45" s="2"/>
      <c r="EOH45" s="2"/>
      <c r="EOI45" s="2"/>
      <c r="EOJ45" s="2"/>
      <c r="EOK45" s="2"/>
      <c r="EOL45" s="2"/>
      <c r="EOM45" s="2"/>
      <c r="EON45" s="2"/>
      <c r="EOO45" s="2"/>
      <c r="EOP45" s="2"/>
      <c r="EOQ45" s="2"/>
      <c r="EOR45" s="2"/>
      <c r="EOS45" s="2"/>
      <c r="EOT45" s="2"/>
      <c r="EOU45" s="2"/>
      <c r="EOV45" s="2"/>
      <c r="EOW45" s="2"/>
      <c r="EOX45" s="2"/>
      <c r="EOY45" s="2"/>
      <c r="EOZ45" s="2"/>
      <c r="EPA45" s="2"/>
      <c r="EPB45" s="2"/>
      <c r="EPC45" s="2"/>
      <c r="EPD45" s="2"/>
      <c r="EPE45" s="2"/>
      <c r="EPF45" s="2"/>
      <c r="EPG45" s="2"/>
      <c r="EPH45" s="2"/>
      <c r="EPI45" s="2"/>
      <c r="EPJ45" s="2"/>
      <c r="EPK45" s="2"/>
      <c r="EPL45" s="2"/>
      <c r="EPM45" s="2"/>
      <c r="EPN45" s="2"/>
      <c r="EPO45" s="2"/>
      <c r="EPP45" s="2"/>
      <c r="EPQ45" s="2"/>
      <c r="EPR45" s="2"/>
      <c r="EPS45" s="2"/>
      <c r="EPT45" s="2"/>
      <c r="EPU45" s="2"/>
      <c r="EPV45" s="2"/>
      <c r="EPW45" s="2"/>
      <c r="EPX45" s="2"/>
      <c r="EPY45" s="2"/>
      <c r="EPZ45" s="2"/>
      <c r="EQA45" s="2"/>
      <c r="EQB45" s="2"/>
      <c r="EQC45" s="2"/>
      <c r="EQD45" s="2"/>
      <c r="EQE45" s="2"/>
      <c r="EQF45" s="2"/>
      <c r="EQG45" s="2"/>
      <c r="EQH45" s="2"/>
      <c r="EQI45" s="2"/>
      <c r="EQJ45" s="2"/>
      <c r="EQK45" s="2"/>
      <c r="EQL45" s="2"/>
      <c r="EQM45" s="2"/>
      <c r="EQN45" s="2"/>
      <c r="EQO45" s="2"/>
      <c r="EQP45" s="2"/>
      <c r="EQQ45" s="2"/>
      <c r="EQR45" s="2"/>
      <c r="EQS45" s="2"/>
      <c r="EQT45" s="2"/>
      <c r="EQU45" s="2"/>
      <c r="EQV45" s="2"/>
      <c r="EQW45" s="2"/>
      <c r="EQX45" s="2"/>
      <c r="EQY45" s="2"/>
      <c r="EQZ45" s="2"/>
      <c r="ERA45" s="2"/>
      <c r="ERB45" s="2"/>
      <c r="ERC45" s="2"/>
      <c r="ERD45" s="2"/>
      <c r="ERE45" s="2"/>
      <c r="ERF45" s="2"/>
      <c r="ERG45" s="2"/>
      <c r="ERH45" s="2"/>
      <c r="ERI45" s="2"/>
      <c r="ERJ45" s="2"/>
      <c r="ERK45" s="2"/>
      <c r="ERL45" s="2"/>
      <c r="ERM45" s="2"/>
      <c r="ERN45" s="2"/>
      <c r="ERO45" s="2"/>
      <c r="ERP45" s="2"/>
      <c r="ERQ45" s="2"/>
      <c r="ERR45" s="2"/>
      <c r="ERS45" s="2"/>
      <c r="ERT45" s="2"/>
      <c r="ERU45" s="2"/>
      <c r="ERV45" s="2"/>
      <c r="ERW45" s="2"/>
      <c r="ERX45" s="2"/>
      <c r="ERY45" s="2"/>
      <c r="ERZ45" s="2"/>
      <c r="ESA45" s="2"/>
      <c r="ESB45" s="2"/>
      <c r="ESC45" s="2"/>
      <c r="ESD45" s="2"/>
      <c r="ESE45" s="2"/>
      <c r="ESF45" s="2"/>
      <c r="ESG45" s="2"/>
      <c r="ESH45" s="2"/>
      <c r="ESI45" s="2"/>
      <c r="ESJ45" s="2"/>
      <c r="ESK45" s="2"/>
      <c r="ESL45" s="2"/>
      <c r="ESM45" s="2"/>
      <c r="ESN45" s="2"/>
      <c r="ESO45" s="2"/>
      <c r="ESP45" s="2"/>
      <c r="ESQ45" s="2"/>
      <c r="ESR45" s="2"/>
      <c r="ESS45" s="2"/>
      <c r="EST45" s="2"/>
      <c r="ESU45" s="2"/>
      <c r="ESV45" s="2"/>
      <c r="ESW45" s="2"/>
      <c r="ESX45" s="2"/>
      <c r="ESY45" s="2"/>
      <c r="ESZ45" s="2"/>
      <c r="ETA45" s="2"/>
      <c r="ETB45" s="2"/>
      <c r="ETC45" s="2"/>
      <c r="ETD45" s="2"/>
      <c r="ETE45" s="2"/>
      <c r="ETF45" s="2"/>
      <c r="ETG45" s="2"/>
      <c r="ETH45" s="2"/>
      <c r="ETI45" s="2"/>
      <c r="ETJ45" s="2"/>
      <c r="ETK45" s="2"/>
      <c r="ETL45" s="2"/>
      <c r="ETM45" s="2"/>
      <c r="ETN45" s="2"/>
      <c r="ETO45" s="2"/>
      <c r="ETP45" s="2"/>
      <c r="ETQ45" s="2"/>
      <c r="ETR45" s="2"/>
      <c r="ETS45" s="2"/>
      <c r="ETT45" s="2"/>
      <c r="ETU45" s="2"/>
      <c r="ETV45" s="2"/>
      <c r="ETW45" s="2"/>
      <c r="ETX45" s="2"/>
      <c r="ETY45" s="2"/>
      <c r="ETZ45" s="2"/>
      <c r="EUA45" s="2"/>
      <c r="EUB45" s="2"/>
      <c r="EUC45" s="2"/>
      <c r="EUD45" s="2"/>
      <c r="EUE45" s="2"/>
      <c r="EUF45" s="2"/>
      <c r="EUG45" s="2"/>
      <c r="EUH45" s="2"/>
      <c r="EUI45" s="2"/>
      <c r="EUJ45" s="2"/>
      <c r="EUK45" s="2"/>
      <c r="EUL45" s="2"/>
      <c r="EUM45" s="2"/>
      <c r="EUN45" s="2"/>
      <c r="EUO45" s="2"/>
      <c r="EUP45" s="2"/>
      <c r="EUQ45" s="2"/>
      <c r="EUR45" s="2"/>
      <c r="EUS45" s="2"/>
      <c r="EUT45" s="2"/>
      <c r="EUU45" s="2"/>
      <c r="EUV45" s="2"/>
      <c r="EUW45" s="2"/>
      <c r="EUX45" s="2"/>
      <c r="EUY45" s="2"/>
      <c r="EUZ45" s="2"/>
      <c r="EVA45" s="2"/>
      <c r="EVB45" s="2"/>
      <c r="EVC45" s="2"/>
      <c r="EVD45" s="2"/>
      <c r="EVE45" s="2"/>
      <c r="EVF45" s="2"/>
      <c r="EVG45" s="2"/>
      <c r="EVH45" s="2"/>
      <c r="EVI45" s="2"/>
      <c r="EVJ45" s="2"/>
      <c r="EVK45" s="2"/>
      <c r="EVL45" s="2"/>
      <c r="EVM45" s="2"/>
      <c r="EVN45" s="2"/>
      <c r="EVO45" s="2"/>
      <c r="EVP45" s="2"/>
      <c r="EVQ45" s="2"/>
      <c r="EVR45" s="2"/>
      <c r="EVS45" s="2"/>
      <c r="EVT45" s="2"/>
      <c r="EVU45" s="2"/>
      <c r="EVV45" s="2"/>
      <c r="EVW45" s="2"/>
      <c r="EVX45" s="2"/>
      <c r="EVY45" s="2"/>
      <c r="EVZ45" s="2"/>
      <c r="EWA45" s="2"/>
      <c r="EWB45" s="2"/>
      <c r="EWC45" s="2"/>
      <c r="EWD45" s="2"/>
      <c r="EWE45" s="2"/>
      <c r="EWF45" s="2"/>
      <c r="EWG45" s="2"/>
      <c r="EWH45" s="2"/>
      <c r="EWI45" s="2"/>
      <c r="EWJ45" s="2"/>
      <c r="EWK45" s="2"/>
      <c r="EWL45" s="2"/>
      <c r="EWM45" s="2"/>
      <c r="EWN45" s="2"/>
      <c r="EWO45" s="2"/>
      <c r="EWP45" s="2"/>
      <c r="EWQ45" s="2"/>
      <c r="EWR45" s="2"/>
      <c r="EWS45" s="2"/>
      <c r="EWT45" s="2"/>
      <c r="EWU45" s="2"/>
      <c r="EWV45" s="2"/>
      <c r="EWW45" s="2"/>
      <c r="EWX45" s="2"/>
      <c r="EWY45" s="2"/>
      <c r="EWZ45" s="2"/>
      <c r="EXA45" s="2"/>
      <c r="EXB45" s="2"/>
      <c r="EXC45" s="2"/>
      <c r="EXD45" s="2"/>
      <c r="EXE45" s="2"/>
      <c r="EXF45" s="2"/>
      <c r="EXG45" s="2"/>
      <c r="EXH45" s="2"/>
      <c r="EXI45" s="2"/>
      <c r="EXJ45" s="2"/>
      <c r="EXK45" s="2"/>
      <c r="EXL45" s="2"/>
      <c r="EXM45" s="2"/>
      <c r="EXN45" s="2"/>
      <c r="EXO45" s="2"/>
      <c r="EXP45" s="2"/>
      <c r="EXQ45" s="2"/>
      <c r="EXR45" s="2"/>
      <c r="EXS45" s="2"/>
      <c r="EXT45" s="2"/>
      <c r="EXU45" s="2"/>
      <c r="EXV45" s="2"/>
      <c r="EXW45" s="2"/>
      <c r="EXX45" s="2"/>
      <c r="EXY45" s="2"/>
      <c r="EXZ45" s="2"/>
      <c r="EYA45" s="2"/>
      <c r="EYB45" s="2"/>
      <c r="EYC45" s="2"/>
      <c r="EYD45" s="2"/>
      <c r="EYE45" s="2"/>
      <c r="EYF45" s="2"/>
      <c r="EYG45" s="2"/>
      <c r="EYH45" s="2"/>
      <c r="EYI45" s="2"/>
      <c r="EYJ45" s="2"/>
      <c r="EYK45" s="2"/>
      <c r="EYL45" s="2"/>
      <c r="EYM45" s="2"/>
      <c r="EYN45" s="2"/>
      <c r="EYO45" s="2"/>
      <c r="EYP45" s="2"/>
      <c r="EYQ45" s="2"/>
      <c r="EYR45" s="2"/>
      <c r="EYS45" s="2"/>
      <c r="EYT45" s="2"/>
      <c r="EYU45" s="2"/>
      <c r="EYV45" s="2"/>
      <c r="EYW45" s="2"/>
      <c r="EYX45" s="2"/>
      <c r="EYY45" s="2"/>
      <c r="EYZ45" s="2"/>
      <c r="EZA45" s="2"/>
      <c r="EZB45" s="2"/>
      <c r="EZC45" s="2"/>
      <c r="EZD45" s="2"/>
      <c r="EZE45" s="2"/>
      <c r="EZF45" s="2"/>
      <c r="EZG45" s="2"/>
      <c r="EZH45" s="2"/>
      <c r="EZI45" s="2"/>
      <c r="EZJ45" s="2"/>
      <c r="EZK45" s="2"/>
      <c r="EZL45" s="2"/>
      <c r="EZM45" s="2"/>
      <c r="EZN45" s="2"/>
      <c r="EZO45" s="2"/>
      <c r="EZP45" s="2"/>
      <c r="EZQ45" s="2"/>
      <c r="EZR45" s="2"/>
      <c r="EZS45" s="2"/>
      <c r="EZT45" s="2"/>
      <c r="EZU45" s="2"/>
      <c r="EZV45" s="2"/>
      <c r="EZW45" s="2"/>
      <c r="EZX45" s="2"/>
      <c r="EZY45" s="2"/>
      <c r="EZZ45" s="2"/>
      <c r="FAA45" s="2"/>
      <c r="FAB45" s="2"/>
      <c r="FAC45" s="2"/>
      <c r="FAD45" s="2"/>
      <c r="FAE45" s="2"/>
      <c r="FAF45" s="2"/>
      <c r="FAG45" s="2"/>
      <c r="FAH45" s="2"/>
      <c r="FAI45" s="2"/>
      <c r="FAJ45" s="2"/>
      <c r="FAK45" s="2"/>
      <c r="FAL45" s="2"/>
      <c r="FAM45" s="2"/>
      <c r="FAN45" s="2"/>
      <c r="FAO45" s="2"/>
      <c r="FAP45" s="2"/>
      <c r="FAQ45" s="2"/>
      <c r="FAR45" s="2"/>
      <c r="FAS45" s="2"/>
      <c r="FAT45" s="2"/>
      <c r="FAU45" s="2"/>
      <c r="FAV45" s="2"/>
      <c r="FAW45" s="2"/>
      <c r="FAX45" s="2"/>
      <c r="FAY45" s="2"/>
      <c r="FAZ45" s="2"/>
      <c r="FBA45" s="2"/>
      <c r="FBB45" s="2"/>
      <c r="FBC45" s="2"/>
      <c r="FBD45" s="2"/>
      <c r="FBE45" s="2"/>
      <c r="FBF45" s="2"/>
      <c r="FBG45" s="2"/>
      <c r="FBH45" s="2"/>
      <c r="FBI45" s="2"/>
      <c r="FBJ45" s="2"/>
      <c r="FBK45" s="2"/>
      <c r="FBL45" s="2"/>
      <c r="FBM45" s="2"/>
      <c r="FBN45" s="2"/>
      <c r="FBO45" s="2"/>
      <c r="FBP45" s="2"/>
      <c r="FBQ45" s="2"/>
      <c r="FBR45" s="2"/>
      <c r="FBS45" s="2"/>
      <c r="FBT45" s="2"/>
      <c r="FBU45" s="2"/>
      <c r="FBV45" s="2"/>
      <c r="FBW45" s="2"/>
      <c r="FBX45" s="2"/>
      <c r="FBY45" s="2"/>
      <c r="FBZ45" s="2"/>
      <c r="FCA45" s="2"/>
      <c r="FCB45" s="2"/>
      <c r="FCC45" s="2"/>
      <c r="FCD45" s="2"/>
      <c r="FCE45" s="2"/>
      <c r="FCF45" s="2"/>
      <c r="FCG45" s="2"/>
      <c r="FCH45" s="2"/>
      <c r="FCI45" s="2"/>
      <c r="FCJ45" s="2"/>
      <c r="FCK45" s="2"/>
      <c r="FCL45" s="2"/>
      <c r="FCM45" s="2"/>
      <c r="FCN45" s="2"/>
      <c r="FCO45" s="2"/>
      <c r="FCP45" s="2"/>
      <c r="FCQ45" s="2"/>
      <c r="FCR45" s="2"/>
      <c r="FCS45" s="2"/>
      <c r="FCT45" s="2"/>
      <c r="FCU45" s="2"/>
      <c r="FCV45" s="2"/>
      <c r="FCW45" s="2"/>
      <c r="FCX45" s="2"/>
      <c r="FCY45" s="2"/>
      <c r="FCZ45" s="2"/>
      <c r="FDA45" s="2"/>
      <c r="FDB45" s="2"/>
      <c r="FDC45" s="2"/>
      <c r="FDD45" s="2"/>
      <c r="FDE45" s="2"/>
      <c r="FDF45" s="2"/>
      <c r="FDG45" s="2"/>
      <c r="FDH45" s="2"/>
      <c r="FDI45" s="2"/>
      <c r="FDJ45" s="2"/>
      <c r="FDK45" s="2"/>
      <c r="FDL45" s="2"/>
      <c r="FDM45" s="2"/>
      <c r="FDN45" s="2"/>
      <c r="FDO45" s="2"/>
      <c r="FDP45" s="2"/>
      <c r="FDQ45" s="2"/>
      <c r="FDR45" s="2"/>
      <c r="FDS45" s="2"/>
      <c r="FDT45" s="2"/>
      <c r="FDU45" s="2"/>
      <c r="FDV45" s="2"/>
      <c r="FDW45" s="2"/>
      <c r="FDX45" s="2"/>
      <c r="FDY45" s="2"/>
      <c r="FDZ45" s="2"/>
      <c r="FEA45" s="2"/>
      <c r="FEB45" s="2"/>
      <c r="FEC45" s="2"/>
      <c r="FED45" s="2"/>
      <c r="FEE45" s="2"/>
      <c r="FEF45" s="2"/>
      <c r="FEG45" s="2"/>
      <c r="FEH45" s="2"/>
      <c r="FEI45" s="2"/>
      <c r="FEJ45" s="2"/>
      <c r="FEK45" s="2"/>
      <c r="FEL45" s="2"/>
      <c r="FEM45" s="2"/>
      <c r="FEN45" s="2"/>
      <c r="FEO45" s="2"/>
      <c r="FEP45" s="2"/>
      <c r="FEQ45" s="2"/>
      <c r="FER45" s="2"/>
      <c r="FES45" s="2"/>
      <c r="FET45" s="2"/>
      <c r="FEU45" s="2"/>
      <c r="FEV45" s="2"/>
      <c r="FEW45" s="2"/>
      <c r="FEX45" s="2"/>
      <c r="FEY45" s="2"/>
      <c r="FEZ45" s="2"/>
      <c r="FFA45" s="2"/>
      <c r="FFB45" s="2"/>
      <c r="FFC45" s="2"/>
      <c r="FFD45" s="2"/>
      <c r="FFE45" s="2"/>
      <c r="FFF45" s="2"/>
      <c r="FFG45" s="2"/>
      <c r="FFH45" s="2"/>
      <c r="FFI45" s="2"/>
      <c r="FFJ45" s="2"/>
      <c r="FFK45" s="2"/>
      <c r="FFL45" s="2"/>
      <c r="FFM45" s="2"/>
      <c r="FFN45" s="2"/>
      <c r="FFO45" s="2"/>
      <c r="FFP45" s="2"/>
      <c r="FFQ45" s="2"/>
      <c r="FFR45" s="2"/>
      <c r="FFS45" s="2"/>
      <c r="FFT45" s="2"/>
      <c r="FFU45" s="2"/>
      <c r="FFV45" s="2"/>
      <c r="FFW45" s="2"/>
      <c r="FFX45" s="2"/>
      <c r="FFY45" s="2"/>
      <c r="FFZ45" s="2"/>
      <c r="FGA45" s="2"/>
      <c r="FGB45" s="2"/>
      <c r="FGC45" s="2"/>
      <c r="FGD45" s="2"/>
      <c r="FGE45" s="2"/>
      <c r="FGF45" s="2"/>
      <c r="FGG45" s="2"/>
      <c r="FGH45" s="2"/>
      <c r="FGI45" s="2"/>
      <c r="FGJ45" s="2"/>
      <c r="FGK45" s="2"/>
      <c r="FGL45" s="2"/>
      <c r="FGM45" s="2"/>
      <c r="FGN45" s="2"/>
      <c r="FGO45" s="2"/>
      <c r="FGP45" s="2"/>
      <c r="FGQ45" s="2"/>
      <c r="FGR45" s="2"/>
      <c r="FGS45" s="2"/>
      <c r="FGT45" s="2"/>
      <c r="FGU45" s="2"/>
      <c r="FGV45" s="2"/>
      <c r="FGW45" s="2"/>
      <c r="FGX45" s="2"/>
      <c r="FGY45" s="2"/>
      <c r="FGZ45" s="2"/>
      <c r="FHA45" s="2"/>
      <c r="FHB45" s="2"/>
      <c r="FHC45" s="2"/>
      <c r="FHD45" s="2"/>
      <c r="FHE45" s="2"/>
      <c r="FHF45" s="2"/>
      <c r="FHG45" s="2"/>
      <c r="FHH45" s="2"/>
      <c r="FHI45" s="2"/>
      <c r="FHJ45" s="2"/>
      <c r="FHK45" s="2"/>
      <c r="FHL45" s="2"/>
      <c r="FHM45" s="2"/>
      <c r="FHN45" s="2"/>
      <c r="FHO45" s="2"/>
      <c r="FHP45" s="2"/>
      <c r="FHQ45" s="2"/>
      <c r="FHR45" s="2"/>
      <c r="FHS45" s="2"/>
      <c r="FHT45" s="2"/>
      <c r="FHU45" s="2"/>
      <c r="FHV45" s="2"/>
      <c r="FHW45" s="2"/>
      <c r="FHX45" s="2"/>
      <c r="FHY45" s="2"/>
      <c r="FHZ45" s="2"/>
      <c r="FIA45" s="2"/>
      <c r="FIB45" s="2"/>
      <c r="FIC45" s="2"/>
      <c r="FID45" s="2"/>
      <c r="FIE45" s="2"/>
      <c r="FIF45" s="2"/>
      <c r="FIG45" s="2"/>
      <c r="FIH45" s="2"/>
      <c r="FII45" s="2"/>
      <c r="FIJ45" s="2"/>
      <c r="FIK45" s="2"/>
      <c r="FIL45" s="2"/>
      <c r="FIM45" s="2"/>
      <c r="FIN45" s="2"/>
      <c r="FIO45" s="2"/>
      <c r="FIP45" s="2"/>
      <c r="FIQ45" s="2"/>
      <c r="FIR45" s="2"/>
      <c r="FIS45" s="2"/>
      <c r="FIT45" s="2"/>
      <c r="FIU45" s="2"/>
      <c r="FIV45" s="2"/>
      <c r="FIW45" s="2"/>
      <c r="FIX45" s="2"/>
      <c r="FIY45" s="2"/>
      <c r="FIZ45" s="2"/>
      <c r="FJA45" s="2"/>
      <c r="FJB45" s="2"/>
      <c r="FJC45" s="2"/>
      <c r="FJD45" s="2"/>
      <c r="FJE45" s="2"/>
      <c r="FJF45" s="2"/>
      <c r="FJG45" s="2"/>
      <c r="FJH45" s="2"/>
      <c r="FJI45" s="2"/>
      <c r="FJJ45" s="2"/>
      <c r="FJK45" s="2"/>
      <c r="FJL45" s="2"/>
      <c r="FJM45" s="2"/>
      <c r="FJN45" s="2"/>
      <c r="FJO45" s="2"/>
      <c r="FJP45" s="2"/>
      <c r="FJQ45" s="2"/>
      <c r="FJR45" s="2"/>
      <c r="FJS45" s="2"/>
      <c r="FJT45" s="2"/>
      <c r="FJU45" s="2"/>
      <c r="FJV45" s="2"/>
      <c r="FJW45" s="2"/>
      <c r="FJX45" s="2"/>
      <c r="FJY45" s="2"/>
      <c r="FJZ45" s="2"/>
      <c r="FKA45" s="2"/>
      <c r="FKB45" s="2"/>
      <c r="FKC45" s="2"/>
      <c r="FKD45" s="2"/>
      <c r="FKE45" s="2"/>
      <c r="FKF45" s="2"/>
      <c r="FKG45" s="2"/>
      <c r="FKH45" s="2"/>
      <c r="FKI45" s="2"/>
      <c r="FKJ45" s="2"/>
      <c r="FKK45" s="2"/>
      <c r="FKL45" s="2"/>
      <c r="FKM45" s="2"/>
      <c r="FKN45" s="2"/>
      <c r="FKO45" s="2"/>
      <c r="FKP45" s="2"/>
      <c r="FKQ45" s="2"/>
      <c r="FKR45" s="2"/>
      <c r="FKS45" s="2"/>
      <c r="FKT45" s="2"/>
      <c r="FKU45" s="2"/>
      <c r="FKV45" s="2"/>
      <c r="FKW45" s="2"/>
      <c r="FKX45" s="2"/>
      <c r="FKY45" s="2"/>
      <c r="FKZ45" s="2"/>
      <c r="FLA45" s="2"/>
      <c r="FLB45" s="2"/>
      <c r="FLC45" s="2"/>
      <c r="FLD45" s="2"/>
      <c r="FLE45" s="2"/>
      <c r="FLF45" s="2"/>
      <c r="FLG45" s="2"/>
      <c r="FLH45" s="2"/>
      <c r="FLI45" s="2"/>
      <c r="FLJ45" s="2"/>
      <c r="FLK45" s="2"/>
      <c r="FLL45" s="2"/>
      <c r="FLM45" s="2"/>
      <c r="FLN45" s="2"/>
      <c r="FLO45" s="2"/>
      <c r="FLP45" s="2"/>
      <c r="FLQ45" s="2"/>
      <c r="FLR45" s="2"/>
      <c r="FLS45" s="2"/>
      <c r="FLT45" s="2"/>
      <c r="FLU45" s="2"/>
      <c r="FLV45" s="2"/>
      <c r="FLW45" s="2"/>
      <c r="FLX45" s="2"/>
      <c r="FLY45" s="2"/>
      <c r="FLZ45" s="2"/>
      <c r="FMA45" s="2"/>
      <c r="FMB45" s="2"/>
      <c r="FMC45" s="2"/>
      <c r="FMD45" s="2"/>
      <c r="FME45" s="2"/>
      <c r="FMF45" s="2"/>
      <c r="FMG45" s="2"/>
      <c r="FMH45" s="2"/>
      <c r="FMI45" s="2"/>
      <c r="FMJ45" s="2"/>
      <c r="FMK45" s="2"/>
      <c r="FML45" s="2"/>
      <c r="FMM45" s="2"/>
      <c r="FMN45" s="2"/>
      <c r="FMO45" s="2"/>
      <c r="FMP45" s="2"/>
      <c r="FMQ45" s="2"/>
      <c r="FMR45" s="2"/>
      <c r="FMS45" s="2"/>
      <c r="FMT45" s="2"/>
      <c r="FMU45" s="2"/>
      <c r="FMV45" s="2"/>
      <c r="FMW45" s="2"/>
      <c r="FMX45" s="2"/>
      <c r="FMY45" s="2"/>
      <c r="FMZ45" s="2"/>
      <c r="FNA45" s="2"/>
      <c r="FNB45" s="2"/>
      <c r="FNC45" s="2"/>
      <c r="FND45" s="2"/>
      <c r="FNE45" s="2"/>
      <c r="FNF45" s="2"/>
      <c r="FNG45" s="2"/>
      <c r="FNH45" s="2"/>
      <c r="FNI45" s="2"/>
      <c r="FNJ45" s="2"/>
      <c r="FNK45" s="2"/>
      <c r="FNL45" s="2"/>
      <c r="FNM45" s="2"/>
      <c r="FNN45" s="2"/>
      <c r="FNO45" s="2"/>
      <c r="FNP45" s="2"/>
      <c r="FNQ45" s="2"/>
      <c r="FNR45" s="2"/>
      <c r="FNS45" s="2"/>
      <c r="FNT45" s="2"/>
      <c r="FNU45" s="2"/>
      <c r="FNV45" s="2"/>
      <c r="FNW45" s="2"/>
      <c r="FNX45" s="2"/>
      <c r="FNY45" s="2"/>
      <c r="FNZ45" s="2"/>
      <c r="FOA45" s="2"/>
      <c r="FOB45" s="2"/>
      <c r="FOC45" s="2"/>
      <c r="FOD45" s="2"/>
      <c r="FOE45" s="2"/>
      <c r="FOF45" s="2"/>
      <c r="FOG45" s="2"/>
      <c r="FOH45" s="2"/>
      <c r="FOI45" s="2"/>
      <c r="FOJ45" s="2"/>
      <c r="FOK45" s="2"/>
      <c r="FOL45" s="2"/>
      <c r="FOM45" s="2"/>
      <c r="FON45" s="2"/>
      <c r="FOO45" s="2"/>
      <c r="FOP45" s="2"/>
      <c r="FOQ45" s="2"/>
      <c r="FOR45" s="2"/>
      <c r="FOS45" s="2"/>
      <c r="FOT45" s="2"/>
      <c r="FOU45" s="2"/>
      <c r="FOV45" s="2"/>
      <c r="FOW45" s="2"/>
      <c r="FOX45" s="2"/>
      <c r="FOY45" s="2"/>
      <c r="FOZ45" s="2"/>
      <c r="FPA45" s="2"/>
      <c r="FPB45" s="2"/>
      <c r="FPC45" s="2"/>
      <c r="FPD45" s="2"/>
      <c r="FPE45" s="2"/>
      <c r="FPF45" s="2"/>
      <c r="FPG45" s="2"/>
      <c r="FPH45" s="2"/>
      <c r="FPI45" s="2"/>
      <c r="FPJ45" s="2"/>
      <c r="FPK45" s="2"/>
      <c r="FPL45" s="2"/>
      <c r="FPM45" s="2"/>
      <c r="FPN45" s="2"/>
      <c r="FPO45" s="2"/>
      <c r="FPP45" s="2"/>
      <c r="FPQ45" s="2"/>
      <c r="FPR45" s="2"/>
      <c r="FPS45" s="2"/>
      <c r="FPT45" s="2"/>
      <c r="FPU45" s="2"/>
      <c r="FPV45" s="2"/>
      <c r="FPW45" s="2"/>
      <c r="FPX45" s="2"/>
      <c r="FPY45" s="2"/>
      <c r="FPZ45" s="2"/>
      <c r="FQA45" s="2"/>
      <c r="FQB45" s="2"/>
      <c r="FQC45" s="2"/>
      <c r="FQD45" s="2"/>
      <c r="FQE45" s="2"/>
      <c r="FQF45" s="2"/>
      <c r="FQG45" s="2"/>
      <c r="FQH45" s="2"/>
      <c r="FQI45" s="2"/>
      <c r="FQJ45" s="2"/>
      <c r="FQK45" s="2"/>
      <c r="FQL45" s="2"/>
      <c r="FQM45" s="2"/>
      <c r="FQN45" s="2"/>
      <c r="FQO45" s="2"/>
      <c r="FQP45" s="2"/>
      <c r="FQQ45" s="2"/>
      <c r="FQR45" s="2"/>
      <c r="FQS45" s="2"/>
      <c r="FQT45" s="2"/>
      <c r="FQU45" s="2"/>
      <c r="FQV45" s="2"/>
      <c r="FQW45" s="2"/>
      <c r="FQX45" s="2"/>
      <c r="FQY45" s="2"/>
      <c r="FQZ45" s="2"/>
      <c r="FRA45" s="2"/>
      <c r="FRB45" s="2"/>
      <c r="FRC45" s="2"/>
      <c r="FRD45" s="2"/>
      <c r="FRE45" s="2"/>
      <c r="FRF45" s="2"/>
      <c r="FRG45" s="2"/>
      <c r="FRH45" s="2"/>
      <c r="FRI45" s="2"/>
      <c r="FRJ45" s="2"/>
      <c r="FRK45" s="2"/>
      <c r="FRL45" s="2"/>
      <c r="FRM45" s="2"/>
      <c r="FRN45" s="2"/>
      <c r="FRO45" s="2"/>
      <c r="FRP45" s="2"/>
      <c r="FRQ45" s="2"/>
      <c r="FRR45" s="2"/>
      <c r="FRS45" s="2"/>
      <c r="FRT45" s="2"/>
      <c r="FRU45" s="2"/>
      <c r="FRV45" s="2"/>
      <c r="FRW45" s="2"/>
      <c r="FRX45" s="2"/>
      <c r="FRY45" s="2"/>
      <c r="FRZ45" s="2"/>
      <c r="FSA45" s="2"/>
      <c r="FSB45" s="2"/>
      <c r="FSC45" s="2"/>
      <c r="FSD45" s="2"/>
      <c r="FSE45" s="2"/>
      <c r="FSF45" s="2"/>
      <c r="FSG45" s="2"/>
      <c r="FSH45" s="2"/>
      <c r="FSI45" s="2"/>
      <c r="FSJ45" s="2"/>
      <c r="FSK45" s="2"/>
      <c r="FSL45" s="2"/>
      <c r="FSM45" s="2"/>
      <c r="FSN45" s="2"/>
      <c r="FSO45" s="2"/>
      <c r="FSP45" s="2"/>
      <c r="FSQ45" s="2"/>
      <c r="FSR45" s="2"/>
      <c r="FSS45" s="2"/>
      <c r="FST45" s="2"/>
      <c r="FSU45" s="2"/>
      <c r="FSV45" s="2"/>
      <c r="FSW45" s="2"/>
      <c r="FSX45" s="2"/>
      <c r="FSY45" s="2"/>
      <c r="FSZ45" s="2"/>
      <c r="FTA45" s="2"/>
      <c r="FTB45" s="2"/>
      <c r="FTC45" s="2"/>
      <c r="FTD45" s="2"/>
      <c r="FTE45" s="2"/>
      <c r="FTF45" s="2"/>
      <c r="FTG45" s="2"/>
      <c r="FTH45" s="2"/>
      <c r="FTI45" s="2"/>
      <c r="FTJ45" s="2"/>
      <c r="FTK45" s="2"/>
      <c r="FTL45" s="2"/>
      <c r="FTM45" s="2"/>
      <c r="FTN45" s="2"/>
      <c r="FTO45" s="2"/>
      <c r="FTP45" s="2"/>
      <c r="FTQ45" s="2"/>
      <c r="FTR45" s="2"/>
      <c r="FTS45" s="2"/>
      <c r="FTT45" s="2"/>
      <c r="FTU45" s="2"/>
      <c r="FTV45" s="2"/>
      <c r="FTW45" s="2"/>
      <c r="FTX45" s="2"/>
      <c r="FTY45" s="2"/>
      <c r="FTZ45" s="2"/>
      <c r="FUA45" s="2"/>
      <c r="FUB45" s="2"/>
      <c r="FUC45" s="2"/>
      <c r="FUD45" s="2"/>
      <c r="FUE45" s="2"/>
      <c r="FUF45" s="2"/>
      <c r="FUG45" s="2"/>
      <c r="FUH45" s="2"/>
      <c r="FUI45" s="2"/>
      <c r="FUJ45" s="2"/>
      <c r="FUK45" s="2"/>
      <c r="FUL45" s="2"/>
      <c r="FUM45" s="2"/>
      <c r="FUN45" s="2"/>
      <c r="FUO45" s="2"/>
      <c r="FUP45" s="2"/>
      <c r="FUQ45" s="2"/>
      <c r="FUR45" s="2"/>
      <c r="FUS45" s="2"/>
      <c r="FUT45" s="2"/>
      <c r="FUU45" s="2"/>
      <c r="FUV45" s="2"/>
      <c r="FUW45" s="2"/>
      <c r="FUX45" s="2"/>
      <c r="FUY45" s="2"/>
      <c r="FUZ45" s="2"/>
      <c r="FVA45" s="2"/>
      <c r="FVB45" s="2"/>
      <c r="FVC45" s="2"/>
      <c r="FVD45" s="2"/>
      <c r="FVE45" s="2"/>
      <c r="FVF45" s="2"/>
      <c r="FVG45" s="2"/>
      <c r="FVH45" s="2"/>
      <c r="FVI45" s="2"/>
      <c r="FVJ45" s="2"/>
      <c r="FVK45" s="2"/>
      <c r="FVL45" s="2"/>
      <c r="FVM45" s="2"/>
      <c r="FVN45" s="2"/>
      <c r="FVO45" s="2"/>
      <c r="FVP45" s="2"/>
      <c r="FVQ45" s="2"/>
      <c r="FVR45" s="2"/>
      <c r="FVS45" s="2"/>
      <c r="FVT45" s="2"/>
      <c r="FVU45" s="2"/>
      <c r="FVV45" s="2"/>
      <c r="FVW45" s="2"/>
      <c r="FVX45" s="2"/>
      <c r="FVY45" s="2"/>
      <c r="FVZ45" s="2"/>
      <c r="FWA45" s="2"/>
      <c r="FWB45" s="2"/>
      <c r="FWC45" s="2"/>
      <c r="FWD45" s="2"/>
      <c r="FWE45" s="2"/>
      <c r="FWF45" s="2"/>
      <c r="FWG45" s="2"/>
      <c r="FWH45" s="2"/>
      <c r="FWI45" s="2"/>
      <c r="FWJ45" s="2"/>
      <c r="FWK45" s="2"/>
      <c r="FWL45" s="2"/>
      <c r="FWM45" s="2"/>
      <c r="FWN45" s="2"/>
      <c r="FWO45" s="2"/>
      <c r="FWP45" s="2"/>
      <c r="FWQ45" s="2"/>
      <c r="FWR45" s="2"/>
      <c r="FWS45" s="2"/>
      <c r="FWT45" s="2"/>
      <c r="FWU45" s="2"/>
      <c r="FWV45" s="2"/>
      <c r="FWW45" s="2"/>
      <c r="FWX45" s="2"/>
      <c r="FWY45" s="2"/>
      <c r="FWZ45" s="2"/>
      <c r="FXA45" s="2"/>
      <c r="FXB45" s="2"/>
      <c r="FXC45" s="2"/>
      <c r="FXD45" s="2"/>
      <c r="FXE45" s="2"/>
      <c r="FXF45" s="2"/>
      <c r="FXG45" s="2"/>
      <c r="FXH45" s="2"/>
      <c r="FXI45" s="2"/>
      <c r="FXJ45" s="2"/>
      <c r="FXK45" s="2"/>
      <c r="FXL45" s="2"/>
      <c r="FXM45" s="2"/>
      <c r="FXN45" s="2"/>
      <c r="FXO45" s="2"/>
      <c r="FXP45" s="2"/>
      <c r="FXQ45" s="2"/>
      <c r="FXR45" s="2"/>
      <c r="FXS45" s="2"/>
      <c r="FXT45" s="2"/>
      <c r="FXU45" s="2"/>
      <c r="FXV45" s="2"/>
      <c r="FXW45" s="2"/>
      <c r="FXX45" s="2"/>
      <c r="FXY45" s="2"/>
      <c r="FXZ45" s="2"/>
      <c r="FYA45" s="2"/>
      <c r="FYB45" s="2"/>
      <c r="FYC45" s="2"/>
      <c r="FYD45" s="2"/>
      <c r="FYE45" s="2"/>
      <c r="FYF45" s="2"/>
      <c r="FYG45" s="2"/>
      <c r="FYH45" s="2"/>
      <c r="FYI45" s="2"/>
      <c r="FYJ45" s="2"/>
      <c r="FYK45" s="2"/>
      <c r="FYL45" s="2"/>
      <c r="FYM45" s="2"/>
      <c r="FYN45" s="2"/>
      <c r="FYO45" s="2"/>
      <c r="FYP45" s="2"/>
      <c r="FYQ45" s="2"/>
      <c r="FYR45" s="2"/>
      <c r="FYS45" s="2"/>
      <c r="FYT45" s="2"/>
      <c r="FYU45" s="2"/>
      <c r="FYV45" s="2"/>
      <c r="FYW45" s="2"/>
      <c r="FYX45" s="2"/>
      <c r="FYY45" s="2"/>
      <c r="FYZ45" s="2"/>
      <c r="FZA45" s="2"/>
      <c r="FZB45" s="2"/>
      <c r="FZC45" s="2"/>
      <c r="FZD45" s="2"/>
      <c r="FZE45" s="2"/>
      <c r="FZF45" s="2"/>
      <c r="FZG45" s="2"/>
      <c r="FZH45" s="2"/>
      <c r="FZI45" s="2"/>
      <c r="FZJ45" s="2"/>
      <c r="FZK45" s="2"/>
      <c r="FZL45" s="2"/>
      <c r="FZM45" s="2"/>
      <c r="FZN45" s="2"/>
      <c r="FZO45" s="2"/>
      <c r="FZP45" s="2"/>
      <c r="FZQ45" s="2"/>
      <c r="FZR45" s="2"/>
      <c r="FZS45" s="2"/>
      <c r="FZT45" s="2"/>
      <c r="FZU45" s="2"/>
      <c r="FZV45" s="2"/>
      <c r="FZW45" s="2"/>
      <c r="FZX45" s="2"/>
      <c r="FZY45" s="2"/>
      <c r="FZZ45" s="2"/>
      <c r="GAA45" s="2"/>
      <c r="GAB45" s="2"/>
      <c r="GAC45" s="2"/>
      <c r="GAD45" s="2"/>
      <c r="GAE45" s="2"/>
      <c r="GAF45" s="2"/>
      <c r="GAG45" s="2"/>
      <c r="GAH45" s="2"/>
      <c r="GAI45" s="2"/>
      <c r="GAJ45" s="2"/>
      <c r="GAK45" s="2"/>
      <c r="GAL45" s="2"/>
      <c r="GAM45" s="2"/>
      <c r="GAN45" s="2"/>
      <c r="GAO45" s="2"/>
      <c r="GAP45" s="2"/>
      <c r="GAQ45" s="2"/>
      <c r="GAR45" s="2"/>
      <c r="GAS45" s="2"/>
      <c r="GAT45" s="2"/>
      <c r="GAU45" s="2"/>
      <c r="GAV45" s="2"/>
      <c r="GAW45" s="2"/>
      <c r="GAX45" s="2"/>
      <c r="GAY45" s="2"/>
      <c r="GAZ45" s="2"/>
      <c r="GBA45" s="2"/>
      <c r="GBB45" s="2"/>
      <c r="GBC45" s="2"/>
      <c r="GBD45" s="2"/>
      <c r="GBE45" s="2"/>
      <c r="GBF45" s="2"/>
      <c r="GBG45" s="2"/>
      <c r="GBH45" s="2"/>
      <c r="GBI45" s="2"/>
      <c r="GBJ45" s="2"/>
      <c r="GBK45" s="2"/>
      <c r="GBL45" s="2"/>
      <c r="GBM45" s="2"/>
      <c r="GBN45" s="2"/>
      <c r="GBO45" s="2"/>
      <c r="GBP45" s="2"/>
      <c r="GBQ45" s="2"/>
      <c r="GBR45" s="2"/>
      <c r="GBS45" s="2"/>
      <c r="GBT45" s="2"/>
      <c r="GBU45" s="2"/>
      <c r="GBV45" s="2"/>
      <c r="GBW45" s="2"/>
      <c r="GBX45" s="2"/>
      <c r="GBY45" s="2"/>
      <c r="GBZ45" s="2"/>
      <c r="GCA45" s="2"/>
      <c r="GCB45" s="2"/>
      <c r="GCC45" s="2"/>
      <c r="GCD45" s="2"/>
      <c r="GCE45" s="2"/>
      <c r="GCF45" s="2"/>
      <c r="GCG45" s="2"/>
      <c r="GCH45" s="2"/>
      <c r="GCI45" s="2"/>
      <c r="GCJ45" s="2"/>
      <c r="GCK45" s="2"/>
      <c r="GCL45" s="2"/>
      <c r="GCM45" s="2"/>
      <c r="GCN45" s="2"/>
      <c r="GCO45" s="2"/>
      <c r="GCP45" s="2"/>
      <c r="GCQ45" s="2"/>
      <c r="GCR45" s="2"/>
      <c r="GCS45" s="2"/>
      <c r="GCT45" s="2"/>
      <c r="GCU45" s="2"/>
      <c r="GCV45" s="2"/>
      <c r="GCW45" s="2"/>
      <c r="GCX45" s="2"/>
      <c r="GCY45" s="2"/>
      <c r="GCZ45" s="2"/>
      <c r="GDA45" s="2"/>
      <c r="GDB45" s="2"/>
      <c r="GDC45" s="2"/>
      <c r="GDD45" s="2"/>
      <c r="GDE45" s="2"/>
      <c r="GDF45" s="2"/>
      <c r="GDG45" s="2"/>
      <c r="GDH45" s="2"/>
      <c r="GDI45" s="2"/>
      <c r="GDJ45" s="2"/>
      <c r="GDK45" s="2"/>
      <c r="GDL45" s="2"/>
      <c r="GDM45" s="2"/>
      <c r="GDN45" s="2"/>
      <c r="GDO45" s="2"/>
      <c r="GDP45" s="2"/>
      <c r="GDQ45" s="2"/>
      <c r="GDR45" s="2"/>
      <c r="GDS45" s="2"/>
      <c r="GDT45" s="2"/>
      <c r="GDU45" s="2"/>
      <c r="GDV45" s="2"/>
      <c r="GDW45" s="2"/>
      <c r="GDX45" s="2"/>
      <c r="GDY45" s="2"/>
      <c r="GDZ45" s="2"/>
      <c r="GEA45" s="2"/>
      <c r="GEB45" s="2"/>
      <c r="GEC45" s="2"/>
      <c r="GED45" s="2"/>
      <c r="GEE45" s="2"/>
      <c r="GEF45" s="2"/>
      <c r="GEG45" s="2"/>
      <c r="GEH45" s="2"/>
      <c r="GEI45" s="2"/>
      <c r="GEJ45" s="2"/>
      <c r="GEK45" s="2"/>
      <c r="GEL45" s="2"/>
      <c r="GEM45" s="2"/>
      <c r="GEN45" s="2"/>
      <c r="GEO45" s="2"/>
      <c r="GEP45" s="2"/>
      <c r="GEQ45" s="2"/>
      <c r="GER45" s="2"/>
      <c r="GES45" s="2"/>
      <c r="GET45" s="2"/>
      <c r="GEU45" s="2"/>
      <c r="GEV45" s="2"/>
      <c r="GEW45" s="2"/>
      <c r="GEX45" s="2"/>
      <c r="GEY45" s="2"/>
      <c r="GEZ45" s="2"/>
      <c r="GFA45" s="2"/>
      <c r="GFB45" s="2"/>
      <c r="GFC45" s="2"/>
      <c r="GFD45" s="2"/>
      <c r="GFE45" s="2"/>
      <c r="GFF45" s="2"/>
      <c r="GFG45" s="2"/>
      <c r="GFH45" s="2"/>
      <c r="GFI45" s="2"/>
      <c r="GFJ45" s="2"/>
      <c r="GFK45" s="2"/>
      <c r="GFL45" s="2"/>
      <c r="GFM45" s="2"/>
      <c r="GFN45" s="2"/>
      <c r="GFO45" s="2"/>
      <c r="GFP45" s="2"/>
      <c r="GFQ45" s="2"/>
      <c r="GFR45" s="2"/>
      <c r="GFS45" s="2"/>
      <c r="GFT45" s="2"/>
      <c r="GFU45" s="2"/>
      <c r="GFV45" s="2"/>
      <c r="GFW45" s="2"/>
      <c r="GFX45" s="2"/>
      <c r="GFY45" s="2"/>
      <c r="GFZ45" s="2"/>
      <c r="GGA45" s="2"/>
      <c r="GGB45" s="2"/>
      <c r="GGC45" s="2"/>
      <c r="GGD45" s="2"/>
      <c r="GGE45" s="2"/>
      <c r="GGF45" s="2"/>
      <c r="GGG45" s="2"/>
      <c r="GGH45" s="2"/>
      <c r="GGI45" s="2"/>
      <c r="GGJ45" s="2"/>
      <c r="GGK45" s="2"/>
      <c r="GGL45" s="2"/>
      <c r="GGM45" s="2"/>
      <c r="GGN45" s="2"/>
      <c r="GGO45" s="2"/>
      <c r="GGP45" s="2"/>
      <c r="GGQ45" s="2"/>
      <c r="GGR45" s="2"/>
      <c r="GGS45" s="2"/>
      <c r="GGT45" s="2"/>
      <c r="GGU45" s="2"/>
      <c r="GGV45" s="2"/>
      <c r="GGW45" s="2"/>
      <c r="GGX45" s="2"/>
      <c r="GGY45" s="2"/>
      <c r="GGZ45" s="2"/>
      <c r="GHA45" s="2"/>
      <c r="GHB45" s="2"/>
      <c r="GHC45" s="2"/>
      <c r="GHD45" s="2"/>
      <c r="GHE45" s="2"/>
      <c r="GHF45" s="2"/>
      <c r="GHG45" s="2"/>
      <c r="GHH45" s="2"/>
      <c r="GHI45" s="2"/>
      <c r="GHJ45" s="2"/>
      <c r="GHK45" s="2"/>
      <c r="GHL45" s="2"/>
      <c r="GHM45" s="2"/>
      <c r="GHN45" s="2"/>
      <c r="GHO45" s="2"/>
      <c r="GHP45" s="2"/>
      <c r="GHQ45" s="2"/>
      <c r="GHR45" s="2"/>
      <c r="GHS45" s="2"/>
      <c r="GHT45" s="2"/>
      <c r="GHU45" s="2"/>
      <c r="GHV45" s="2"/>
      <c r="GHW45" s="2"/>
      <c r="GHX45" s="2"/>
      <c r="GHY45" s="2"/>
      <c r="GHZ45" s="2"/>
      <c r="GIA45" s="2"/>
      <c r="GIB45" s="2"/>
      <c r="GIC45" s="2"/>
      <c r="GID45" s="2"/>
      <c r="GIE45" s="2"/>
      <c r="GIF45" s="2"/>
      <c r="GIG45" s="2"/>
      <c r="GIH45" s="2"/>
      <c r="GII45" s="2"/>
      <c r="GIJ45" s="2"/>
      <c r="GIK45" s="2"/>
      <c r="GIL45" s="2"/>
      <c r="GIM45" s="2"/>
      <c r="GIN45" s="2"/>
      <c r="GIO45" s="2"/>
      <c r="GIP45" s="2"/>
      <c r="GIQ45" s="2"/>
      <c r="GIR45" s="2"/>
      <c r="GIS45" s="2"/>
      <c r="GIT45" s="2"/>
      <c r="GIU45" s="2"/>
      <c r="GIV45" s="2"/>
      <c r="GIW45" s="2"/>
      <c r="GIX45" s="2"/>
      <c r="GIY45" s="2"/>
      <c r="GIZ45" s="2"/>
      <c r="GJA45" s="2"/>
      <c r="GJB45" s="2"/>
      <c r="GJC45" s="2"/>
      <c r="GJD45" s="2"/>
      <c r="GJE45" s="2"/>
      <c r="GJF45" s="2"/>
      <c r="GJG45" s="2"/>
      <c r="GJH45" s="2"/>
      <c r="GJI45" s="2"/>
      <c r="GJJ45" s="2"/>
      <c r="GJK45" s="2"/>
      <c r="GJL45" s="2"/>
      <c r="GJM45" s="2"/>
      <c r="GJN45" s="2"/>
      <c r="GJO45" s="2"/>
      <c r="GJP45" s="2"/>
      <c r="GJQ45" s="2"/>
      <c r="GJR45" s="2"/>
      <c r="GJS45" s="2"/>
      <c r="GJT45" s="2"/>
      <c r="GJU45" s="2"/>
      <c r="GJV45" s="2"/>
      <c r="GJW45" s="2"/>
      <c r="GJX45" s="2"/>
      <c r="GJY45" s="2"/>
      <c r="GJZ45" s="2"/>
      <c r="GKA45" s="2"/>
      <c r="GKB45" s="2"/>
      <c r="GKC45" s="2"/>
      <c r="GKD45" s="2"/>
      <c r="GKE45" s="2"/>
      <c r="GKF45" s="2"/>
      <c r="GKG45" s="2"/>
      <c r="GKH45" s="2"/>
      <c r="GKI45" s="2"/>
      <c r="GKJ45" s="2"/>
      <c r="GKK45" s="2"/>
      <c r="GKL45" s="2"/>
      <c r="GKM45" s="2"/>
      <c r="GKN45" s="2"/>
      <c r="GKO45" s="2"/>
      <c r="GKP45" s="2"/>
      <c r="GKQ45" s="2"/>
      <c r="GKR45" s="2"/>
      <c r="GKS45" s="2"/>
      <c r="GKT45" s="2"/>
      <c r="GKU45" s="2"/>
      <c r="GKV45" s="2"/>
      <c r="GKW45" s="2"/>
      <c r="GKX45" s="2"/>
      <c r="GKY45" s="2"/>
      <c r="GKZ45" s="2"/>
      <c r="GLA45" s="2"/>
      <c r="GLB45" s="2"/>
      <c r="GLC45" s="2"/>
      <c r="GLD45" s="2"/>
      <c r="GLE45" s="2"/>
      <c r="GLF45" s="2"/>
      <c r="GLG45" s="2"/>
      <c r="GLH45" s="2"/>
      <c r="GLI45" s="2"/>
      <c r="GLJ45" s="2"/>
      <c r="GLK45" s="2"/>
      <c r="GLL45" s="2"/>
      <c r="GLM45" s="2"/>
      <c r="GLN45" s="2"/>
      <c r="GLO45" s="2"/>
      <c r="GLP45" s="2"/>
      <c r="GLQ45" s="2"/>
      <c r="GLR45" s="2"/>
      <c r="GLS45" s="2"/>
      <c r="GLT45" s="2"/>
      <c r="GLU45" s="2"/>
      <c r="GLV45" s="2"/>
      <c r="GLW45" s="2"/>
      <c r="GLX45" s="2"/>
      <c r="GLY45" s="2"/>
      <c r="GLZ45" s="2"/>
      <c r="GMA45" s="2"/>
      <c r="GMB45" s="2"/>
      <c r="GMC45" s="2"/>
      <c r="GMD45" s="2"/>
      <c r="GME45" s="2"/>
      <c r="GMF45" s="2"/>
      <c r="GMG45" s="2"/>
      <c r="GMH45" s="2"/>
      <c r="GMI45" s="2"/>
      <c r="GMJ45" s="2"/>
      <c r="GMK45" s="2"/>
      <c r="GML45" s="2"/>
      <c r="GMM45" s="2"/>
      <c r="GMN45" s="2"/>
      <c r="GMO45" s="2"/>
      <c r="GMP45" s="2"/>
      <c r="GMQ45" s="2"/>
      <c r="GMR45" s="2"/>
      <c r="GMS45" s="2"/>
      <c r="GMT45" s="2"/>
      <c r="GMU45" s="2"/>
      <c r="GMV45" s="2"/>
      <c r="GMW45" s="2"/>
      <c r="GMX45" s="2"/>
      <c r="GMY45" s="2"/>
      <c r="GMZ45" s="2"/>
      <c r="GNA45" s="2"/>
      <c r="GNB45" s="2"/>
      <c r="GNC45" s="2"/>
      <c r="GND45" s="2"/>
      <c r="GNE45" s="2"/>
      <c r="GNF45" s="2"/>
      <c r="GNG45" s="2"/>
      <c r="GNH45" s="2"/>
      <c r="GNI45" s="2"/>
      <c r="GNJ45" s="2"/>
      <c r="GNK45" s="2"/>
      <c r="GNL45" s="2"/>
      <c r="GNM45" s="2"/>
      <c r="GNN45" s="2"/>
      <c r="GNO45" s="2"/>
      <c r="GNP45" s="2"/>
      <c r="GNQ45" s="2"/>
      <c r="GNR45" s="2"/>
      <c r="GNS45" s="2"/>
      <c r="GNT45" s="2"/>
      <c r="GNU45" s="2"/>
      <c r="GNV45" s="2"/>
      <c r="GNW45" s="2"/>
      <c r="GNX45" s="2"/>
      <c r="GNY45" s="2"/>
      <c r="GNZ45" s="2"/>
      <c r="GOA45" s="2"/>
      <c r="GOB45" s="2"/>
      <c r="GOC45" s="2"/>
      <c r="GOD45" s="2"/>
      <c r="GOE45" s="2"/>
      <c r="GOF45" s="2"/>
      <c r="GOG45" s="2"/>
      <c r="GOH45" s="2"/>
      <c r="GOI45" s="2"/>
      <c r="GOJ45" s="2"/>
      <c r="GOK45" s="2"/>
      <c r="GOL45" s="2"/>
      <c r="GOM45" s="2"/>
      <c r="GON45" s="2"/>
      <c r="GOO45" s="2"/>
      <c r="GOP45" s="2"/>
      <c r="GOQ45" s="2"/>
      <c r="GOR45" s="2"/>
      <c r="GOS45" s="2"/>
      <c r="GOT45" s="2"/>
      <c r="GOU45" s="2"/>
      <c r="GOV45" s="2"/>
      <c r="GOW45" s="2"/>
      <c r="GOX45" s="2"/>
      <c r="GOY45" s="2"/>
      <c r="GOZ45" s="2"/>
      <c r="GPA45" s="2"/>
      <c r="GPB45" s="2"/>
      <c r="GPC45" s="2"/>
      <c r="GPD45" s="2"/>
      <c r="GPE45" s="2"/>
      <c r="GPF45" s="2"/>
      <c r="GPG45" s="2"/>
      <c r="GPH45" s="2"/>
      <c r="GPI45" s="2"/>
      <c r="GPJ45" s="2"/>
      <c r="GPK45" s="2"/>
      <c r="GPL45" s="2"/>
      <c r="GPM45" s="2"/>
      <c r="GPN45" s="2"/>
      <c r="GPO45" s="2"/>
      <c r="GPP45" s="2"/>
      <c r="GPQ45" s="2"/>
      <c r="GPR45" s="2"/>
      <c r="GPS45" s="2"/>
      <c r="GPT45" s="2"/>
      <c r="GPU45" s="2"/>
      <c r="GPV45" s="2"/>
      <c r="GPW45" s="2"/>
      <c r="GPX45" s="2"/>
      <c r="GPY45" s="2"/>
      <c r="GPZ45" s="2"/>
      <c r="GQA45" s="2"/>
      <c r="GQB45" s="2"/>
      <c r="GQC45" s="2"/>
      <c r="GQD45" s="2"/>
      <c r="GQE45" s="2"/>
      <c r="GQF45" s="2"/>
      <c r="GQG45" s="2"/>
      <c r="GQH45" s="2"/>
      <c r="GQI45" s="2"/>
      <c r="GQJ45" s="2"/>
      <c r="GQK45" s="2"/>
      <c r="GQL45" s="2"/>
      <c r="GQM45" s="2"/>
      <c r="GQN45" s="2"/>
      <c r="GQO45" s="2"/>
      <c r="GQP45" s="2"/>
      <c r="GQQ45" s="2"/>
      <c r="GQR45" s="2"/>
      <c r="GQS45" s="2"/>
      <c r="GQT45" s="2"/>
      <c r="GQU45" s="2"/>
      <c r="GQV45" s="2"/>
      <c r="GQW45" s="2"/>
      <c r="GQX45" s="2"/>
      <c r="GQY45" s="2"/>
      <c r="GQZ45" s="2"/>
      <c r="GRA45" s="2"/>
      <c r="GRB45" s="2"/>
      <c r="GRC45" s="2"/>
      <c r="GRD45" s="2"/>
      <c r="GRE45" s="2"/>
      <c r="GRF45" s="2"/>
      <c r="GRG45" s="2"/>
      <c r="GRH45" s="2"/>
      <c r="GRI45" s="2"/>
      <c r="GRJ45" s="2"/>
      <c r="GRK45" s="2"/>
      <c r="GRL45" s="2"/>
      <c r="GRM45" s="2"/>
      <c r="GRN45" s="2"/>
      <c r="GRO45" s="2"/>
      <c r="GRP45" s="2"/>
      <c r="GRQ45" s="2"/>
      <c r="GRR45" s="2"/>
      <c r="GRS45" s="2"/>
      <c r="GRT45" s="2"/>
      <c r="GRU45" s="2"/>
      <c r="GRV45" s="2"/>
      <c r="GRW45" s="2"/>
      <c r="GRX45" s="2"/>
      <c r="GRY45" s="2"/>
      <c r="GRZ45" s="2"/>
      <c r="GSA45" s="2"/>
      <c r="GSB45" s="2"/>
      <c r="GSC45" s="2"/>
      <c r="GSD45" s="2"/>
      <c r="GSE45" s="2"/>
      <c r="GSF45" s="2"/>
      <c r="GSG45" s="2"/>
      <c r="GSH45" s="2"/>
      <c r="GSI45" s="2"/>
      <c r="GSJ45" s="2"/>
      <c r="GSK45" s="2"/>
      <c r="GSL45" s="2"/>
      <c r="GSM45" s="2"/>
      <c r="GSN45" s="2"/>
      <c r="GSO45" s="2"/>
      <c r="GSP45" s="2"/>
      <c r="GSQ45" s="2"/>
      <c r="GSR45" s="2"/>
      <c r="GSS45" s="2"/>
      <c r="GST45" s="2"/>
      <c r="GSU45" s="2"/>
      <c r="GSV45" s="2"/>
      <c r="GSW45" s="2"/>
      <c r="GSX45" s="2"/>
      <c r="GSY45" s="2"/>
      <c r="GSZ45" s="2"/>
      <c r="GTA45" s="2"/>
      <c r="GTB45" s="2"/>
      <c r="GTC45" s="2"/>
      <c r="GTD45" s="2"/>
      <c r="GTE45" s="2"/>
      <c r="GTF45" s="2"/>
      <c r="GTG45" s="2"/>
      <c r="GTH45" s="2"/>
      <c r="GTI45" s="2"/>
      <c r="GTJ45" s="2"/>
      <c r="GTK45" s="2"/>
      <c r="GTL45" s="2"/>
      <c r="GTM45" s="2"/>
      <c r="GTN45" s="2"/>
      <c r="GTO45" s="2"/>
      <c r="GTP45" s="2"/>
      <c r="GTQ45" s="2"/>
      <c r="GTR45" s="2"/>
      <c r="GTS45" s="2"/>
      <c r="GTT45" s="2"/>
      <c r="GTU45" s="2"/>
      <c r="GTV45" s="2"/>
      <c r="GTW45" s="2"/>
      <c r="GTX45" s="2"/>
      <c r="GTY45" s="2"/>
      <c r="GTZ45" s="2"/>
      <c r="GUA45" s="2"/>
      <c r="GUB45" s="2"/>
      <c r="GUC45" s="2"/>
      <c r="GUD45" s="2"/>
      <c r="GUE45" s="2"/>
      <c r="GUF45" s="2"/>
      <c r="GUG45" s="2"/>
      <c r="GUH45" s="2"/>
      <c r="GUI45" s="2"/>
      <c r="GUJ45" s="2"/>
      <c r="GUK45" s="2"/>
      <c r="GUL45" s="2"/>
      <c r="GUM45" s="2"/>
      <c r="GUN45" s="2"/>
      <c r="GUO45" s="2"/>
      <c r="GUP45" s="2"/>
      <c r="GUQ45" s="2"/>
      <c r="GUR45" s="2"/>
      <c r="GUS45" s="2"/>
      <c r="GUT45" s="2"/>
      <c r="GUU45" s="2"/>
      <c r="GUV45" s="2"/>
      <c r="GUW45" s="2"/>
      <c r="GUX45" s="2"/>
      <c r="GUY45" s="2"/>
      <c r="GUZ45" s="2"/>
      <c r="GVA45" s="2"/>
      <c r="GVB45" s="2"/>
      <c r="GVC45" s="2"/>
      <c r="GVD45" s="2"/>
      <c r="GVE45" s="2"/>
      <c r="GVF45" s="2"/>
      <c r="GVG45" s="2"/>
      <c r="GVH45" s="2"/>
      <c r="GVI45" s="2"/>
      <c r="GVJ45" s="2"/>
      <c r="GVK45" s="2"/>
      <c r="GVL45" s="2"/>
      <c r="GVM45" s="2"/>
      <c r="GVN45" s="2"/>
      <c r="GVO45" s="2"/>
      <c r="GVP45" s="2"/>
      <c r="GVQ45" s="2"/>
      <c r="GVR45" s="2"/>
      <c r="GVS45" s="2"/>
      <c r="GVT45" s="2"/>
      <c r="GVU45" s="2"/>
      <c r="GVV45" s="2"/>
      <c r="GVW45" s="2"/>
      <c r="GVX45" s="2"/>
      <c r="GVY45" s="2"/>
      <c r="GVZ45" s="2"/>
      <c r="GWA45" s="2"/>
      <c r="GWB45" s="2"/>
      <c r="GWC45" s="2"/>
      <c r="GWD45" s="2"/>
      <c r="GWE45" s="2"/>
      <c r="GWF45" s="2"/>
      <c r="GWG45" s="2"/>
      <c r="GWH45" s="2"/>
      <c r="GWI45" s="2"/>
      <c r="GWJ45" s="2"/>
      <c r="GWK45" s="2"/>
      <c r="GWL45" s="2"/>
      <c r="GWM45" s="2"/>
      <c r="GWN45" s="2"/>
      <c r="GWO45" s="2"/>
      <c r="GWP45" s="2"/>
      <c r="GWQ45" s="2"/>
      <c r="GWR45" s="2"/>
      <c r="GWS45" s="2"/>
      <c r="GWT45" s="2"/>
      <c r="GWU45" s="2"/>
      <c r="GWV45" s="2"/>
      <c r="GWW45" s="2"/>
      <c r="GWX45" s="2"/>
      <c r="GWY45" s="2"/>
      <c r="GWZ45" s="2"/>
      <c r="GXA45" s="2"/>
      <c r="GXB45" s="2"/>
      <c r="GXC45" s="2"/>
      <c r="GXD45" s="2"/>
      <c r="GXE45" s="2"/>
      <c r="GXF45" s="2"/>
      <c r="GXG45" s="2"/>
      <c r="GXH45" s="2"/>
      <c r="GXI45" s="2"/>
      <c r="GXJ45" s="2"/>
      <c r="GXK45" s="2"/>
      <c r="GXL45" s="2"/>
      <c r="GXM45" s="2"/>
      <c r="GXN45" s="2"/>
      <c r="GXO45" s="2"/>
      <c r="GXP45" s="2"/>
      <c r="GXQ45" s="2"/>
      <c r="GXR45" s="2"/>
      <c r="GXS45" s="2"/>
      <c r="GXT45" s="2"/>
      <c r="GXU45" s="2"/>
      <c r="GXV45" s="2"/>
      <c r="GXW45" s="2"/>
      <c r="GXX45" s="2"/>
      <c r="GXY45" s="2"/>
      <c r="GXZ45" s="2"/>
      <c r="GYA45" s="2"/>
      <c r="GYB45" s="2"/>
      <c r="GYC45" s="2"/>
      <c r="GYD45" s="2"/>
      <c r="GYE45" s="2"/>
      <c r="GYF45" s="2"/>
      <c r="GYG45" s="2"/>
      <c r="GYH45" s="2"/>
      <c r="GYI45" s="2"/>
      <c r="GYJ45" s="2"/>
      <c r="GYK45" s="2"/>
      <c r="GYL45" s="2"/>
      <c r="GYM45" s="2"/>
      <c r="GYN45" s="2"/>
      <c r="GYO45" s="2"/>
      <c r="GYP45" s="2"/>
      <c r="GYQ45" s="2"/>
      <c r="GYR45" s="2"/>
      <c r="GYS45" s="2"/>
      <c r="GYT45" s="2"/>
      <c r="GYU45" s="2"/>
      <c r="GYV45" s="2"/>
      <c r="GYW45" s="2"/>
      <c r="GYX45" s="2"/>
      <c r="GYY45" s="2"/>
      <c r="GYZ45" s="2"/>
      <c r="GZA45" s="2"/>
      <c r="GZB45" s="2"/>
      <c r="GZC45" s="2"/>
      <c r="GZD45" s="2"/>
      <c r="GZE45" s="2"/>
      <c r="GZF45" s="2"/>
      <c r="GZG45" s="2"/>
      <c r="GZH45" s="2"/>
      <c r="GZI45" s="2"/>
      <c r="GZJ45" s="2"/>
      <c r="GZK45" s="2"/>
      <c r="GZL45" s="2"/>
      <c r="GZM45" s="2"/>
      <c r="GZN45" s="2"/>
      <c r="GZO45" s="2"/>
      <c r="GZP45" s="2"/>
      <c r="GZQ45" s="2"/>
      <c r="GZR45" s="2"/>
      <c r="GZS45" s="2"/>
      <c r="GZT45" s="2"/>
      <c r="GZU45" s="2"/>
      <c r="GZV45" s="2"/>
      <c r="GZW45" s="2"/>
      <c r="GZX45" s="2"/>
      <c r="GZY45" s="2"/>
      <c r="GZZ45" s="2"/>
      <c r="HAA45" s="2"/>
      <c r="HAB45" s="2"/>
      <c r="HAC45" s="2"/>
      <c r="HAD45" s="2"/>
      <c r="HAE45" s="2"/>
      <c r="HAF45" s="2"/>
      <c r="HAG45" s="2"/>
      <c r="HAH45" s="2"/>
      <c r="HAI45" s="2"/>
      <c r="HAJ45" s="2"/>
      <c r="HAK45" s="2"/>
      <c r="HAL45" s="2"/>
      <c r="HAM45" s="2"/>
      <c r="HAN45" s="2"/>
      <c r="HAO45" s="2"/>
      <c r="HAP45" s="2"/>
      <c r="HAQ45" s="2"/>
      <c r="HAR45" s="2"/>
      <c r="HAS45" s="2"/>
      <c r="HAT45" s="2"/>
      <c r="HAU45" s="2"/>
      <c r="HAV45" s="2"/>
      <c r="HAW45" s="2"/>
      <c r="HAX45" s="2"/>
      <c r="HAY45" s="2"/>
      <c r="HAZ45" s="2"/>
      <c r="HBA45" s="2"/>
      <c r="HBB45" s="2"/>
      <c r="HBC45" s="2"/>
      <c r="HBD45" s="2"/>
      <c r="HBE45" s="2"/>
      <c r="HBF45" s="2"/>
      <c r="HBG45" s="2"/>
      <c r="HBH45" s="2"/>
      <c r="HBI45" s="2"/>
      <c r="HBJ45" s="2"/>
      <c r="HBK45" s="2"/>
      <c r="HBL45" s="2"/>
      <c r="HBM45" s="2"/>
      <c r="HBN45" s="2"/>
      <c r="HBO45" s="2"/>
      <c r="HBP45" s="2"/>
      <c r="HBQ45" s="2"/>
      <c r="HBR45" s="2"/>
      <c r="HBS45" s="2"/>
      <c r="HBT45" s="2"/>
      <c r="HBU45" s="2"/>
      <c r="HBV45" s="2"/>
      <c r="HBW45" s="2"/>
      <c r="HBX45" s="2"/>
      <c r="HBY45" s="2"/>
      <c r="HBZ45" s="2"/>
      <c r="HCA45" s="2"/>
      <c r="HCB45" s="2"/>
      <c r="HCC45" s="2"/>
      <c r="HCD45" s="2"/>
      <c r="HCE45" s="2"/>
      <c r="HCF45" s="2"/>
      <c r="HCG45" s="2"/>
      <c r="HCH45" s="2"/>
      <c r="HCI45" s="2"/>
      <c r="HCJ45" s="2"/>
      <c r="HCK45" s="2"/>
      <c r="HCL45" s="2"/>
      <c r="HCM45" s="2"/>
      <c r="HCN45" s="2"/>
      <c r="HCO45" s="2"/>
      <c r="HCP45" s="2"/>
      <c r="HCQ45" s="2"/>
      <c r="HCR45" s="2"/>
      <c r="HCS45" s="2"/>
      <c r="HCT45" s="2"/>
      <c r="HCU45" s="2"/>
      <c r="HCV45" s="2"/>
      <c r="HCW45" s="2"/>
      <c r="HCX45" s="2"/>
      <c r="HCY45" s="2"/>
      <c r="HCZ45" s="2"/>
      <c r="HDA45" s="2"/>
      <c r="HDB45" s="2"/>
      <c r="HDC45" s="2"/>
      <c r="HDD45" s="2"/>
      <c r="HDE45" s="2"/>
      <c r="HDF45" s="2"/>
      <c r="HDG45" s="2"/>
      <c r="HDH45" s="2"/>
      <c r="HDI45" s="2"/>
      <c r="HDJ45" s="2"/>
      <c r="HDK45" s="2"/>
      <c r="HDL45" s="2"/>
      <c r="HDM45" s="2"/>
      <c r="HDN45" s="2"/>
      <c r="HDO45" s="2"/>
      <c r="HDP45" s="2"/>
      <c r="HDQ45" s="2"/>
      <c r="HDR45" s="2"/>
      <c r="HDS45" s="2"/>
      <c r="HDT45" s="2"/>
      <c r="HDU45" s="2"/>
      <c r="HDV45" s="2"/>
      <c r="HDW45" s="2"/>
      <c r="HDX45" s="2"/>
      <c r="HDY45" s="2"/>
      <c r="HDZ45" s="2"/>
      <c r="HEA45" s="2"/>
      <c r="HEB45" s="2"/>
      <c r="HEC45" s="2"/>
      <c r="HED45" s="2"/>
      <c r="HEE45" s="2"/>
      <c r="HEF45" s="2"/>
      <c r="HEG45" s="2"/>
      <c r="HEH45" s="2"/>
      <c r="HEI45" s="2"/>
      <c r="HEJ45" s="2"/>
      <c r="HEK45" s="2"/>
      <c r="HEL45" s="2"/>
      <c r="HEM45" s="2"/>
      <c r="HEN45" s="2"/>
      <c r="HEO45" s="2"/>
      <c r="HEP45" s="2"/>
      <c r="HEQ45" s="2"/>
      <c r="HER45" s="2"/>
      <c r="HES45" s="2"/>
      <c r="HET45" s="2"/>
      <c r="HEU45" s="2"/>
      <c r="HEV45" s="2"/>
      <c r="HEW45" s="2"/>
      <c r="HEX45" s="2"/>
      <c r="HEY45" s="2"/>
      <c r="HEZ45" s="2"/>
      <c r="HFA45" s="2"/>
      <c r="HFB45" s="2"/>
      <c r="HFC45" s="2"/>
      <c r="HFD45" s="2"/>
      <c r="HFE45" s="2"/>
      <c r="HFF45" s="2"/>
      <c r="HFG45" s="2"/>
      <c r="HFH45" s="2"/>
      <c r="HFI45" s="2"/>
      <c r="HFJ45" s="2"/>
      <c r="HFK45" s="2"/>
      <c r="HFL45" s="2"/>
      <c r="HFM45" s="2"/>
      <c r="HFN45" s="2"/>
      <c r="HFO45" s="2"/>
      <c r="HFP45" s="2"/>
      <c r="HFQ45" s="2"/>
      <c r="HFR45" s="2"/>
      <c r="HFS45" s="2"/>
      <c r="HFT45" s="2"/>
      <c r="HFU45" s="2"/>
      <c r="HFV45" s="2"/>
      <c r="HFW45" s="2"/>
      <c r="HFX45" s="2"/>
      <c r="HFY45" s="2"/>
      <c r="HFZ45" s="2"/>
      <c r="HGA45" s="2"/>
      <c r="HGB45" s="2"/>
      <c r="HGC45" s="2"/>
      <c r="HGD45" s="2"/>
      <c r="HGE45" s="2"/>
      <c r="HGF45" s="2"/>
      <c r="HGG45" s="2"/>
      <c r="HGH45" s="2"/>
      <c r="HGI45" s="2"/>
      <c r="HGJ45" s="2"/>
      <c r="HGK45" s="2"/>
      <c r="HGL45" s="2"/>
      <c r="HGM45" s="2"/>
      <c r="HGN45" s="2"/>
      <c r="HGO45" s="2"/>
      <c r="HGP45" s="2"/>
      <c r="HGQ45" s="2"/>
      <c r="HGR45" s="2"/>
      <c r="HGS45" s="2"/>
      <c r="HGT45" s="2"/>
      <c r="HGU45" s="2"/>
      <c r="HGV45" s="2"/>
      <c r="HGW45" s="2"/>
      <c r="HGX45" s="2"/>
      <c r="HGY45" s="2"/>
      <c r="HGZ45" s="2"/>
      <c r="HHA45" s="2"/>
      <c r="HHB45" s="2"/>
      <c r="HHC45" s="2"/>
      <c r="HHD45" s="2"/>
      <c r="HHE45" s="2"/>
      <c r="HHF45" s="2"/>
      <c r="HHG45" s="2"/>
      <c r="HHH45" s="2"/>
      <c r="HHI45" s="2"/>
      <c r="HHJ45" s="2"/>
      <c r="HHK45" s="2"/>
      <c r="HHL45" s="2"/>
      <c r="HHM45" s="2"/>
      <c r="HHN45" s="2"/>
      <c r="HHO45" s="2"/>
      <c r="HHP45" s="2"/>
      <c r="HHQ45" s="2"/>
      <c r="HHR45" s="2"/>
      <c r="HHS45" s="2"/>
      <c r="HHT45" s="2"/>
      <c r="HHU45" s="2"/>
      <c r="HHV45" s="2"/>
      <c r="HHW45" s="2"/>
      <c r="HHX45" s="2"/>
      <c r="HHY45" s="2"/>
      <c r="HHZ45" s="2"/>
      <c r="HIA45" s="2"/>
      <c r="HIB45" s="2"/>
      <c r="HIC45" s="2"/>
      <c r="HID45" s="2"/>
      <c r="HIE45" s="2"/>
      <c r="HIF45" s="2"/>
      <c r="HIG45" s="2"/>
      <c r="HIH45" s="2"/>
      <c r="HII45" s="2"/>
      <c r="HIJ45" s="2"/>
      <c r="HIK45" s="2"/>
      <c r="HIL45" s="2"/>
      <c r="HIM45" s="2"/>
      <c r="HIN45" s="2"/>
      <c r="HIO45" s="2"/>
      <c r="HIP45" s="2"/>
      <c r="HIQ45" s="2"/>
      <c r="HIR45" s="2"/>
      <c r="HIS45" s="2"/>
      <c r="HIT45" s="2"/>
      <c r="HIU45" s="2"/>
      <c r="HIV45" s="2"/>
      <c r="HIW45" s="2"/>
      <c r="HIX45" s="2"/>
      <c r="HIY45" s="2"/>
      <c r="HIZ45" s="2"/>
      <c r="HJA45" s="2"/>
      <c r="HJB45" s="2"/>
      <c r="HJC45" s="2"/>
      <c r="HJD45" s="2"/>
      <c r="HJE45" s="2"/>
      <c r="HJF45" s="2"/>
      <c r="HJG45" s="2"/>
      <c r="HJH45" s="2"/>
      <c r="HJI45" s="2"/>
      <c r="HJJ45" s="2"/>
      <c r="HJK45" s="2"/>
      <c r="HJL45" s="2"/>
      <c r="HJM45" s="2"/>
      <c r="HJN45" s="2"/>
      <c r="HJO45" s="2"/>
      <c r="HJP45" s="2"/>
      <c r="HJQ45" s="2"/>
      <c r="HJR45" s="2"/>
      <c r="HJS45" s="2"/>
      <c r="HJT45" s="2"/>
      <c r="HJU45" s="2"/>
      <c r="HJV45" s="2"/>
      <c r="HJW45" s="2"/>
      <c r="HJX45" s="2"/>
      <c r="HJY45" s="2"/>
      <c r="HJZ45" s="2"/>
      <c r="HKA45" s="2"/>
      <c r="HKB45" s="2"/>
      <c r="HKC45" s="2"/>
      <c r="HKD45" s="2"/>
      <c r="HKE45" s="2"/>
      <c r="HKF45" s="2"/>
      <c r="HKG45" s="2"/>
      <c r="HKH45" s="2"/>
      <c r="HKI45" s="2"/>
      <c r="HKJ45" s="2"/>
      <c r="HKK45" s="2"/>
      <c r="HKL45" s="2"/>
      <c r="HKM45" s="2"/>
      <c r="HKN45" s="2"/>
      <c r="HKO45" s="2"/>
      <c r="HKP45" s="2"/>
      <c r="HKQ45" s="2"/>
      <c r="HKR45" s="2"/>
      <c r="HKS45" s="2"/>
      <c r="HKT45" s="2"/>
      <c r="HKU45" s="2"/>
      <c r="HKV45" s="2"/>
      <c r="HKW45" s="2"/>
      <c r="HKX45" s="2"/>
      <c r="HKY45" s="2"/>
      <c r="HKZ45" s="2"/>
      <c r="HLA45" s="2"/>
      <c r="HLB45" s="2"/>
      <c r="HLC45" s="2"/>
      <c r="HLD45" s="2"/>
      <c r="HLE45" s="2"/>
      <c r="HLF45" s="2"/>
      <c r="HLG45" s="2"/>
      <c r="HLH45" s="2"/>
      <c r="HLI45" s="2"/>
      <c r="HLJ45" s="2"/>
      <c r="HLK45" s="2"/>
      <c r="HLL45" s="2"/>
      <c r="HLM45" s="2"/>
      <c r="HLN45" s="2"/>
      <c r="HLO45" s="2"/>
      <c r="HLP45" s="2"/>
      <c r="HLQ45" s="2"/>
      <c r="HLR45" s="2"/>
      <c r="HLS45" s="2"/>
      <c r="HLT45" s="2"/>
      <c r="HLU45" s="2"/>
      <c r="HLV45" s="2"/>
      <c r="HLW45" s="2"/>
      <c r="HLX45" s="2"/>
      <c r="HLY45" s="2"/>
      <c r="HLZ45" s="2"/>
      <c r="HMA45" s="2"/>
      <c r="HMB45" s="2"/>
      <c r="HMC45" s="2"/>
      <c r="HMD45" s="2"/>
      <c r="HME45" s="2"/>
      <c r="HMF45" s="2"/>
      <c r="HMG45" s="2"/>
      <c r="HMH45" s="2"/>
      <c r="HMI45" s="2"/>
      <c r="HMJ45" s="2"/>
      <c r="HMK45" s="2"/>
      <c r="HML45" s="2"/>
      <c r="HMM45" s="2"/>
      <c r="HMN45" s="2"/>
      <c r="HMO45" s="2"/>
      <c r="HMP45" s="2"/>
      <c r="HMQ45" s="2"/>
      <c r="HMR45" s="2"/>
      <c r="HMS45" s="2"/>
      <c r="HMT45" s="2"/>
      <c r="HMU45" s="2"/>
      <c r="HMV45" s="2"/>
      <c r="HMW45" s="2"/>
      <c r="HMX45" s="2"/>
      <c r="HMY45" s="2"/>
      <c r="HMZ45" s="2"/>
      <c r="HNA45" s="2"/>
      <c r="HNB45" s="2"/>
      <c r="HNC45" s="2"/>
      <c r="HND45" s="2"/>
      <c r="HNE45" s="2"/>
      <c r="HNF45" s="2"/>
      <c r="HNG45" s="2"/>
      <c r="HNH45" s="2"/>
      <c r="HNI45" s="2"/>
      <c r="HNJ45" s="2"/>
      <c r="HNK45" s="2"/>
      <c r="HNL45" s="2"/>
      <c r="HNM45" s="2"/>
      <c r="HNN45" s="2"/>
      <c r="HNO45" s="2"/>
      <c r="HNP45" s="2"/>
      <c r="HNQ45" s="2"/>
      <c r="HNR45" s="2"/>
      <c r="HNS45" s="2"/>
      <c r="HNT45" s="2"/>
      <c r="HNU45" s="2"/>
      <c r="HNV45" s="2"/>
      <c r="HNW45" s="2"/>
      <c r="HNX45" s="2"/>
      <c r="HNY45" s="2"/>
      <c r="HNZ45" s="2"/>
      <c r="HOA45" s="2"/>
      <c r="HOB45" s="2"/>
      <c r="HOC45" s="2"/>
      <c r="HOD45" s="2"/>
      <c r="HOE45" s="2"/>
      <c r="HOF45" s="2"/>
      <c r="HOG45" s="2"/>
      <c r="HOH45" s="2"/>
      <c r="HOI45" s="2"/>
      <c r="HOJ45" s="2"/>
      <c r="HOK45" s="2"/>
      <c r="HOL45" s="2"/>
      <c r="HOM45" s="2"/>
      <c r="HON45" s="2"/>
      <c r="HOO45" s="2"/>
      <c r="HOP45" s="2"/>
      <c r="HOQ45" s="2"/>
      <c r="HOR45" s="2"/>
      <c r="HOS45" s="2"/>
      <c r="HOT45" s="2"/>
      <c r="HOU45" s="2"/>
      <c r="HOV45" s="2"/>
      <c r="HOW45" s="2"/>
      <c r="HOX45" s="2"/>
      <c r="HOY45" s="2"/>
      <c r="HOZ45" s="2"/>
      <c r="HPA45" s="2"/>
      <c r="HPB45" s="2"/>
      <c r="HPC45" s="2"/>
      <c r="HPD45" s="2"/>
      <c r="HPE45" s="2"/>
      <c r="HPF45" s="2"/>
      <c r="HPG45" s="2"/>
      <c r="HPH45" s="2"/>
      <c r="HPI45" s="2"/>
      <c r="HPJ45" s="2"/>
      <c r="HPK45" s="2"/>
      <c r="HPL45" s="2"/>
      <c r="HPM45" s="2"/>
      <c r="HPN45" s="2"/>
      <c r="HPO45" s="2"/>
      <c r="HPP45" s="2"/>
      <c r="HPQ45" s="2"/>
      <c r="HPR45" s="2"/>
      <c r="HPS45" s="2"/>
      <c r="HPT45" s="2"/>
      <c r="HPU45" s="2"/>
      <c r="HPV45" s="2"/>
      <c r="HPW45" s="2"/>
      <c r="HPX45" s="2"/>
      <c r="HPY45" s="2"/>
      <c r="HPZ45" s="2"/>
      <c r="HQA45" s="2"/>
      <c r="HQB45" s="2"/>
      <c r="HQC45" s="2"/>
      <c r="HQD45" s="2"/>
      <c r="HQE45" s="2"/>
      <c r="HQF45" s="2"/>
      <c r="HQG45" s="2"/>
      <c r="HQH45" s="2"/>
      <c r="HQI45" s="2"/>
      <c r="HQJ45" s="2"/>
      <c r="HQK45" s="2"/>
      <c r="HQL45" s="2"/>
      <c r="HQM45" s="2"/>
      <c r="HQN45" s="2"/>
      <c r="HQO45" s="2"/>
      <c r="HQP45" s="2"/>
      <c r="HQQ45" s="2"/>
      <c r="HQR45" s="2"/>
      <c r="HQS45" s="2"/>
      <c r="HQT45" s="2"/>
      <c r="HQU45" s="2"/>
      <c r="HQV45" s="2"/>
      <c r="HQW45" s="2"/>
      <c r="HQX45" s="2"/>
      <c r="HQY45" s="2"/>
      <c r="HQZ45" s="2"/>
      <c r="HRA45" s="2"/>
      <c r="HRB45" s="2"/>
      <c r="HRC45" s="2"/>
      <c r="HRD45" s="2"/>
      <c r="HRE45" s="2"/>
      <c r="HRF45" s="2"/>
      <c r="HRG45" s="2"/>
      <c r="HRH45" s="2"/>
      <c r="HRI45" s="2"/>
      <c r="HRJ45" s="2"/>
      <c r="HRK45" s="2"/>
      <c r="HRL45" s="2"/>
      <c r="HRM45" s="2"/>
      <c r="HRN45" s="2"/>
      <c r="HRO45" s="2"/>
      <c r="HRP45" s="2"/>
      <c r="HRQ45" s="2"/>
      <c r="HRR45" s="2"/>
      <c r="HRS45" s="2"/>
      <c r="HRT45" s="2"/>
      <c r="HRU45" s="2"/>
      <c r="HRV45" s="2"/>
      <c r="HRW45" s="2"/>
      <c r="HRX45" s="2"/>
      <c r="HRY45" s="2"/>
      <c r="HRZ45" s="2"/>
      <c r="HSA45" s="2"/>
      <c r="HSB45" s="2"/>
      <c r="HSC45" s="2"/>
      <c r="HSD45" s="2"/>
      <c r="HSE45" s="2"/>
      <c r="HSF45" s="2"/>
      <c r="HSG45" s="2"/>
      <c r="HSH45" s="2"/>
      <c r="HSI45" s="2"/>
      <c r="HSJ45" s="2"/>
      <c r="HSK45" s="2"/>
      <c r="HSL45" s="2"/>
      <c r="HSM45" s="2"/>
      <c r="HSN45" s="2"/>
      <c r="HSO45" s="2"/>
      <c r="HSP45" s="2"/>
      <c r="HSQ45" s="2"/>
      <c r="HSR45" s="2"/>
      <c r="HSS45" s="2"/>
      <c r="HST45" s="2"/>
      <c r="HSU45" s="2"/>
      <c r="HSV45" s="2"/>
      <c r="HSW45" s="2"/>
      <c r="HSX45" s="2"/>
      <c r="HSY45" s="2"/>
      <c r="HSZ45" s="2"/>
      <c r="HTA45" s="2"/>
      <c r="HTB45" s="2"/>
      <c r="HTC45" s="2"/>
      <c r="HTD45" s="2"/>
      <c r="HTE45" s="2"/>
      <c r="HTF45" s="2"/>
      <c r="HTG45" s="2"/>
      <c r="HTH45" s="2"/>
      <c r="HTI45" s="2"/>
      <c r="HTJ45" s="2"/>
      <c r="HTK45" s="2"/>
      <c r="HTL45" s="2"/>
      <c r="HTM45" s="2"/>
      <c r="HTN45" s="2"/>
      <c r="HTO45" s="2"/>
      <c r="HTP45" s="2"/>
      <c r="HTQ45" s="2"/>
      <c r="HTR45" s="2"/>
      <c r="HTS45" s="2"/>
      <c r="HTT45" s="2"/>
      <c r="HTU45" s="2"/>
      <c r="HTV45" s="2"/>
      <c r="HTW45" s="2"/>
      <c r="HTX45" s="2"/>
      <c r="HTY45" s="2"/>
      <c r="HTZ45" s="2"/>
      <c r="HUA45" s="2"/>
      <c r="HUB45" s="2"/>
      <c r="HUC45" s="2"/>
      <c r="HUD45" s="2"/>
      <c r="HUE45" s="2"/>
      <c r="HUF45" s="2"/>
      <c r="HUG45" s="2"/>
      <c r="HUH45" s="2"/>
      <c r="HUI45" s="2"/>
      <c r="HUJ45" s="2"/>
      <c r="HUK45" s="2"/>
      <c r="HUL45" s="2"/>
      <c r="HUM45" s="2"/>
      <c r="HUN45" s="2"/>
      <c r="HUO45" s="2"/>
      <c r="HUP45" s="2"/>
      <c r="HUQ45" s="2"/>
      <c r="HUR45" s="2"/>
      <c r="HUS45" s="2"/>
      <c r="HUT45" s="2"/>
      <c r="HUU45" s="2"/>
      <c r="HUV45" s="2"/>
      <c r="HUW45" s="2"/>
      <c r="HUX45" s="2"/>
      <c r="HUY45" s="2"/>
      <c r="HUZ45" s="2"/>
      <c r="HVA45" s="2"/>
      <c r="HVB45" s="2"/>
      <c r="HVC45" s="2"/>
      <c r="HVD45" s="2"/>
      <c r="HVE45" s="2"/>
      <c r="HVF45" s="2"/>
      <c r="HVG45" s="2"/>
      <c r="HVH45" s="2"/>
      <c r="HVI45" s="2"/>
      <c r="HVJ45" s="2"/>
      <c r="HVK45" s="2"/>
      <c r="HVL45" s="2"/>
      <c r="HVM45" s="2"/>
      <c r="HVN45" s="2"/>
      <c r="HVO45" s="2"/>
      <c r="HVP45" s="2"/>
      <c r="HVQ45" s="2"/>
      <c r="HVR45" s="2"/>
      <c r="HVS45" s="2"/>
      <c r="HVT45" s="2"/>
      <c r="HVU45" s="2"/>
      <c r="HVV45" s="2"/>
      <c r="HVW45" s="2"/>
      <c r="HVX45" s="2"/>
      <c r="HVY45" s="2"/>
      <c r="HVZ45" s="2"/>
      <c r="HWA45" s="2"/>
      <c r="HWB45" s="2"/>
      <c r="HWC45" s="2"/>
      <c r="HWD45" s="2"/>
      <c r="HWE45" s="2"/>
      <c r="HWF45" s="2"/>
      <c r="HWG45" s="2"/>
      <c r="HWH45" s="2"/>
      <c r="HWI45" s="2"/>
      <c r="HWJ45" s="2"/>
      <c r="HWK45" s="2"/>
      <c r="HWL45" s="2"/>
      <c r="HWM45" s="2"/>
      <c r="HWN45" s="2"/>
      <c r="HWO45" s="2"/>
      <c r="HWP45" s="2"/>
      <c r="HWQ45" s="2"/>
      <c r="HWR45" s="2"/>
      <c r="HWS45" s="2"/>
      <c r="HWT45" s="2"/>
      <c r="HWU45" s="2"/>
      <c r="HWV45" s="2"/>
      <c r="HWW45" s="2"/>
      <c r="HWX45" s="2"/>
      <c r="HWY45" s="2"/>
      <c r="HWZ45" s="2"/>
      <c r="HXA45" s="2"/>
      <c r="HXB45" s="2"/>
      <c r="HXC45" s="2"/>
      <c r="HXD45" s="2"/>
      <c r="HXE45" s="2"/>
      <c r="HXF45" s="2"/>
      <c r="HXG45" s="2"/>
      <c r="HXH45" s="2"/>
      <c r="HXI45" s="2"/>
      <c r="HXJ45" s="2"/>
      <c r="HXK45" s="2"/>
      <c r="HXL45" s="2"/>
      <c r="HXM45" s="2"/>
      <c r="HXN45" s="2"/>
      <c r="HXO45" s="2"/>
      <c r="HXP45" s="2"/>
      <c r="HXQ45" s="2"/>
      <c r="HXR45" s="2"/>
      <c r="HXS45" s="2"/>
      <c r="HXT45" s="2"/>
      <c r="HXU45" s="2"/>
      <c r="HXV45" s="2"/>
      <c r="HXW45" s="2"/>
      <c r="HXX45" s="2"/>
      <c r="HXY45" s="2"/>
      <c r="HXZ45" s="2"/>
      <c r="HYA45" s="2"/>
      <c r="HYB45" s="2"/>
      <c r="HYC45" s="2"/>
      <c r="HYD45" s="2"/>
      <c r="HYE45" s="2"/>
      <c r="HYF45" s="2"/>
      <c r="HYG45" s="2"/>
      <c r="HYH45" s="2"/>
      <c r="HYI45" s="2"/>
      <c r="HYJ45" s="2"/>
      <c r="HYK45" s="2"/>
      <c r="HYL45" s="2"/>
      <c r="HYM45" s="2"/>
      <c r="HYN45" s="2"/>
      <c r="HYO45" s="2"/>
      <c r="HYP45" s="2"/>
      <c r="HYQ45" s="2"/>
      <c r="HYR45" s="2"/>
      <c r="HYS45" s="2"/>
      <c r="HYT45" s="2"/>
      <c r="HYU45" s="2"/>
      <c r="HYV45" s="2"/>
      <c r="HYW45" s="2"/>
      <c r="HYX45" s="2"/>
      <c r="HYY45" s="2"/>
      <c r="HYZ45" s="2"/>
      <c r="HZA45" s="2"/>
      <c r="HZB45" s="2"/>
      <c r="HZC45" s="2"/>
      <c r="HZD45" s="2"/>
      <c r="HZE45" s="2"/>
      <c r="HZF45" s="2"/>
      <c r="HZG45" s="2"/>
      <c r="HZH45" s="2"/>
      <c r="HZI45" s="2"/>
      <c r="HZJ45" s="2"/>
      <c r="HZK45" s="2"/>
      <c r="HZL45" s="2"/>
      <c r="HZM45" s="2"/>
      <c r="HZN45" s="2"/>
      <c r="HZO45" s="2"/>
      <c r="HZP45" s="2"/>
      <c r="HZQ45" s="2"/>
      <c r="HZR45" s="2"/>
      <c r="HZS45" s="2"/>
      <c r="HZT45" s="2"/>
      <c r="HZU45" s="2"/>
      <c r="HZV45" s="2"/>
      <c r="HZW45" s="2"/>
      <c r="HZX45" s="2"/>
      <c r="HZY45" s="2"/>
      <c r="HZZ45" s="2"/>
      <c r="IAA45" s="2"/>
      <c r="IAB45" s="2"/>
      <c r="IAC45" s="2"/>
      <c r="IAD45" s="2"/>
      <c r="IAE45" s="2"/>
      <c r="IAF45" s="2"/>
      <c r="IAG45" s="2"/>
      <c r="IAH45" s="2"/>
      <c r="IAI45" s="2"/>
      <c r="IAJ45" s="2"/>
      <c r="IAK45" s="2"/>
      <c r="IAL45" s="2"/>
      <c r="IAM45" s="2"/>
      <c r="IAN45" s="2"/>
      <c r="IAO45" s="2"/>
      <c r="IAP45" s="2"/>
      <c r="IAQ45" s="2"/>
      <c r="IAR45" s="2"/>
      <c r="IAS45" s="2"/>
      <c r="IAT45" s="2"/>
      <c r="IAU45" s="2"/>
      <c r="IAV45" s="2"/>
      <c r="IAW45" s="2"/>
      <c r="IAX45" s="2"/>
      <c r="IAY45" s="2"/>
      <c r="IAZ45" s="2"/>
      <c r="IBA45" s="2"/>
      <c r="IBB45" s="2"/>
      <c r="IBC45" s="2"/>
      <c r="IBD45" s="2"/>
      <c r="IBE45" s="2"/>
      <c r="IBF45" s="2"/>
      <c r="IBG45" s="2"/>
      <c r="IBH45" s="2"/>
      <c r="IBI45" s="2"/>
      <c r="IBJ45" s="2"/>
      <c r="IBK45" s="2"/>
      <c r="IBL45" s="2"/>
      <c r="IBM45" s="2"/>
      <c r="IBN45" s="2"/>
      <c r="IBO45" s="2"/>
      <c r="IBP45" s="2"/>
      <c r="IBQ45" s="2"/>
      <c r="IBR45" s="2"/>
      <c r="IBS45" s="2"/>
      <c r="IBT45" s="2"/>
      <c r="IBU45" s="2"/>
      <c r="IBV45" s="2"/>
      <c r="IBW45" s="2"/>
      <c r="IBX45" s="2"/>
      <c r="IBY45" s="2"/>
      <c r="IBZ45" s="2"/>
      <c r="ICA45" s="2"/>
      <c r="ICB45" s="2"/>
      <c r="ICC45" s="2"/>
      <c r="ICD45" s="2"/>
      <c r="ICE45" s="2"/>
      <c r="ICF45" s="2"/>
      <c r="ICG45" s="2"/>
      <c r="ICH45" s="2"/>
      <c r="ICI45" s="2"/>
      <c r="ICJ45" s="2"/>
      <c r="ICK45" s="2"/>
      <c r="ICL45" s="2"/>
      <c r="ICM45" s="2"/>
      <c r="ICN45" s="2"/>
      <c r="ICO45" s="2"/>
      <c r="ICP45" s="2"/>
      <c r="ICQ45" s="2"/>
      <c r="ICR45" s="2"/>
      <c r="ICS45" s="2"/>
      <c r="ICT45" s="2"/>
      <c r="ICU45" s="2"/>
      <c r="ICV45" s="2"/>
      <c r="ICW45" s="2"/>
      <c r="ICX45" s="2"/>
      <c r="ICY45" s="2"/>
      <c r="ICZ45" s="2"/>
      <c r="IDA45" s="2"/>
      <c r="IDB45" s="2"/>
      <c r="IDC45" s="2"/>
      <c r="IDD45" s="2"/>
      <c r="IDE45" s="2"/>
      <c r="IDF45" s="2"/>
      <c r="IDG45" s="2"/>
      <c r="IDH45" s="2"/>
      <c r="IDI45" s="2"/>
      <c r="IDJ45" s="2"/>
      <c r="IDK45" s="2"/>
      <c r="IDL45" s="2"/>
      <c r="IDM45" s="2"/>
      <c r="IDN45" s="2"/>
      <c r="IDO45" s="2"/>
      <c r="IDP45" s="2"/>
      <c r="IDQ45" s="2"/>
      <c r="IDR45" s="2"/>
      <c r="IDS45" s="2"/>
      <c r="IDT45" s="2"/>
      <c r="IDU45" s="2"/>
      <c r="IDV45" s="2"/>
      <c r="IDW45" s="2"/>
      <c r="IDX45" s="2"/>
      <c r="IDY45" s="2"/>
      <c r="IDZ45" s="2"/>
      <c r="IEA45" s="2"/>
      <c r="IEB45" s="2"/>
      <c r="IEC45" s="2"/>
      <c r="IED45" s="2"/>
      <c r="IEE45" s="2"/>
      <c r="IEF45" s="2"/>
      <c r="IEG45" s="2"/>
      <c r="IEH45" s="2"/>
      <c r="IEI45" s="2"/>
      <c r="IEJ45" s="2"/>
      <c r="IEK45" s="2"/>
      <c r="IEL45" s="2"/>
      <c r="IEM45" s="2"/>
      <c r="IEN45" s="2"/>
      <c r="IEO45" s="2"/>
      <c r="IEP45" s="2"/>
      <c r="IEQ45" s="2"/>
      <c r="IER45" s="2"/>
      <c r="IES45" s="2"/>
      <c r="IET45" s="2"/>
      <c r="IEU45" s="2"/>
      <c r="IEV45" s="2"/>
      <c r="IEW45" s="2"/>
      <c r="IEX45" s="2"/>
      <c r="IEY45" s="2"/>
      <c r="IEZ45" s="2"/>
      <c r="IFA45" s="2"/>
      <c r="IFB45" s="2"/>
      <c r="IFC45" s="2"/>
      <c r="IFD45" s="2"/>
      <c r="IFE45" s="2"/>
      <c r="IFF45" s="2"/>
      <c r="IFG45" s="2"/>
      <c r="IFH45" s="2"/>
      <c r="IFI45" s="2"/>
      <c r="IFJ45" s="2"/>
      <c r="IFK45" s="2"/>
      <c r="IFL45" s="2"/>
      <c r="IFM45" s="2"/>
      <c r="IFN45" s="2"/>
      <c r="IFO45" s="2"/>
      <c r="IFP45" s="2"/>
      <c r="IFQ45" s="2"/>
      <c r="IFR45" s="2"/>
      <c r="IFS45" s="2"/>
      <c r="IFT45" s="2"/>
      <c r="IFU45" s="2"/>
      <c r="IFV45" s="2"/>
      <c r="IFW45" s="2"/>
      <c r="IFX45" s="2"/>
      <c r="IFY45" s="2"/>
      <c r="IFZ45" s="2"/>
      <c r="IGA45" s="2"/>
      <c r="IGB45" s="2"/>
      <c r="IGC45" s="2"/>
      <c r="IGD45" s="2"/>
      <c r="IGE45" s="2"/>
      <c r="IGF45" s="2"/>
      <c r="IGG45" s="2"/>
      <c r="IGH45" s="2"/>
      <c r="IGI45" s="2"/>
      <c r="IGJ45" s="2"/>
      <c r="IGK45" s="2"/>
      <c r="IGL45" s="2"/>
      <c r="IGM45" s="2"/>
      <c r="IGN45" s="2"/>
      <c r="IGO45" s="2"/>
      <c r="IGP45" s="2"/>
      <c r="IGQ45" s="2"/>
      <c r="IGR45" s="2"/>
      <c r="IGS45" s="2"/>
      <c r="IGT45" s="2"/>
      <c r="IGU45" s="2"/>
      <c r="IGV45" s="2"/>
      <c r="IGW45" s="2"/>
      <c r="IGX45" s="2"/>
      <c r="IGY45" s="2"/>
      <c r="IGZ45" s="2"/>
      <c r="IHA45" s="2"/>
      <c r="IHB45" s="2"/>
      <c r="IHC45" s="2"/>
      <c r="IHD45" s="2"/>
      <c r="IHE45" s="2"/>
      <c r="IHF45" s="2"/>
      <c r="IHG45" s="2"/>
      <c r="IHH45" s="2"/>
      <c r="IHI45" s="2"/>
      <c r="IHJ45" s="2"/>
      <c r="IHK45" s="2"/>
      <c r="IHL45" s="2"/>
      <c r="IHM45" s="2"/>
      <c r="IHN45" s="2"/>
      <c r="IHO45" s="2"/>
      <c r="IHP45" s="2"/>
      <c r="IHQ45" s="2"/>
      <c r="IHR45" s="2"/>
      <c r="IHS45" s="2"/>
      <c r="IHT45" s="2"/>
      <c r="IHU45" s="2"/>
      <c r="IHV45" s="2"/>
      <c r="IHW45" s="2"/>
      <c r="IHX45" s="2"/>
      <c r="IHY45" s="2"/>
      <c r="IHZ45" s="2"/>
      <c r="IIA45" s="2"/>
      <c r="IIB45" s="2"/>
      <c r="IIC45" s="2"/>
      <c r="IID45" s="2"/>
      <c r="IIE45" s="2"/>
      <c r="IIF45" s="2"/>
      <c r="IIG45" s="2"/>
      <c r="IIH45" s="2"/>
      <c r="III45" s="2"/>
      <c r="IIJ45" s="2"/>
      <c r="IIK45" s="2"/>
      <c r="IIL45" s="2"/>
      <c r="IIM45" s="2"/>
      <c r="IIN45" s="2"/>
      <c r="IIO45" s="2"/>
      <c r="IIP45" s="2"/>
      <c r="IIQ45" s="2"/>
      <c r="IIR45" s="2"/>
      <c r="IIS45" s="2"/>
      <c r="IIT45" s="2"/>
      <c r="IIU45" s="2"/>
      <c r="IIV45" s="2"/>
      <c r="IIW45" s="2"/>
      <c r="IIX45" s="2"/>
      <c r="IIY45" s="2"/>
      <c r="IIZ45" s="2"/>
      <c r="IJA45" s="2"/>
      <c r="IJB45" s="2"/>
      <c r="IJC45" s="2"/>
      <c r="IJD45" s="2"/>
      <c r="IJE45" s="2"/>
      <c r="IJF45" s="2"/>
      <c r="IJG45" s="2"/>
      <c r="IJH45" s="2"/>
      <c r="IJI45" s="2"/>
      <c r="IJJ45" s="2"/>
      <c r="IJK45" s="2"/>
      <c r="IJL45" s="2"/>
      <c r="IJM45" s="2"/>
      <c r="IJN45" s="2"/>
      <c r="IJO45" s="2"/>
      <c r="IJP45" s="2"/>
      <c r="IJQ45" s="2"/>
      <c r="IJR45" s="2"/>
      <c r="IJS45" s="2"/>
      <c r="IJT45" s="2"/>
      <c r="IJU45" s="2"/>
      <c r="IJV45" s="2"/>
      <c r="IJW45" s="2"/>
      <c r="IJX45" s="2"/>
      <c r="IJY45" s="2"/>
      <c r="IJZ45" s="2"/>
      <c r="IKA45" s="2"/>
      <c r="IKB45" s="2"/>
      <c r="IKC45" s="2"/>
      <c r="IKD45" s="2"/>
      <c r="IKE45" s="2"/>
      <c r="IKF45" s="2"/>
      <c r="IKG45" s="2"/>
      <c r="IKH45" s="2"/>
      <c r="IKI45" s="2"/>
      <c r="IKJ45" s="2"/>
      <c r="IKK45" s="2"/>
      <c r="IKL45" s="2"/>
      <c r="IKM45" s="2"/>
      <c r="IKN45" s="2"/>
      <c r="IKO45" s="2"/>
      <c r="IKP45" s="2"/>
      <c r="IKQ45" s="2"/>
      <c r="IKR45" s="2"/>
      <c r="IKS45" s="2"/>
      <c r="IKT45" s="2"/>
      <c r="IKU45" s="2"/>
      <c r="IKV45" s="2"/>
      <c r="IKW45" s="2"/>
      <c r="IKX45" s="2"/>
      <c r="IKY45" s="2"/>
      <c r="IKZ45" s="2"/>
      <c r="ILA45" s="2"/>
      <c r="ILB45" s="2"/>
      <c r="ILC45" s="2"/>
      <c r="ILD45" s="2"/>
      <c r="ILE45" s="2"/>
      <c r="ILF45" s="2"/>
      <c r="ILG45" s="2"/>
      <c r="ILH45" s="2"/>
      <c r="ILI45" s="2"/>
      <c r="ILJ45" s="2"/>
      <c r="ILK45" s="2"/>
      <c r="ILL45" s="2"/>
      <c r="ILM45" s="2"/>
      <c r="ILN45" s="2"/>
      <c r="ILO45" s="2"/>
      <c r="ILP45" s="2"/>
      <c r="ILQ45" s="2"/>
      <c r="ILR45" s="2"/>
      <c r="ILS45" s="2"/>
      <c r="ILT45" s="2"/>
      <c r="ILU45" s="2"/>
      <c r="ILV45" s="2"/>
      <c r="ILW45" s="2"/>
      <c r="ILX45" s="2"/>
      <c r="ILY45" s="2"/>
      <c r="ILZ45" s="2"/>
      <c r="IMA45" s="2"/>
      <c r="IMB45" s="2"/>
      <c r="IMC45" s="2"/>
      <c r="IMD45" s="2"/>
      <c r="IME45" s="2"/>
      <c r="IMF45" s="2"/>
      <c r="IMG45" s="2"/>
      <c r="IMH45" s="2"/>
      <c r="IMI45" s="2"/>
      <c r="IMJ45" s="2"/>
      <c r="IMK45" s="2"/>
      <c r="IML45" s="2"/>
      <c r="IMM45" s="2"/>
      <c r="IMN45" s="2"/>
      <c r="IMO45" s="2"/>
      <c r="IMP45" s="2"/>
      <c r="IMQ45" s="2"/>
      <c r="IMR45" s="2"/>
      <c r="IMS45" s="2"/>
      <c r="IMT45" s="2"/>
      <c r="IMU45" s="2"/>
      <c r="IMV45" s="2"/>
      <c r="IMW45" s="2"/>
      <c r="IMX45" s="2"/>
      <c r="IMY45" s="2"/>
      <c r="IMZ45" s="2"/>
      <c r="INA45" s="2"/>
      <c r="INB45" s="2"/>
      <c r="INC45" s="2"/>
      <c r="IND45" s="2"/>
      <c r="INE45" s="2"/>
      <c r="INF45" s="2"/>
      <c r="ING45" s="2"/>
      <c r="INH45" s="2"/>
      <c r="INI45" s="2"/>
      <c r="INJ45" s="2"/>
      <c r="INK45" s="2"/>
      <c r="INL45" s="2"/>
      <c r="INM45" s="2"/>
      <c r="INN45" s="2"/>
      <c r="INO45" s="2"/>
      <c r="INP45" s="2"/>
      <c r="INQ45" s="2"/>
      <c r="INR45" s="2"/>
      <c r="INS45" s="2"/>
      <c r="INT45" s="2"/>
      <c r="INU45" s="2"/>
      <c r="INV45" s="2"/>
      <c r="INW45" s="2"/>
      <c r="INX45" s="2"/>
      <c r="INY45" s="2"/>
      <c r="INZ45" s="2"/>
      <c r="IOA45" s="2"/>
      <c r="IOB45" s="2"/>
      <c r="IOC45" s="2"/>
      <c r="IOD45" s="2"/>
      <c r="IOE45" s="2"/>
      <c r="IOF45" s="2"/>
      <c r="IOG45" s="2"/>
      <c r="IOH45" s="2"/>
      <c r="IOI45" s="2"/>
      <c r="IOJ45" s="2"/>
      <c r="IOK45" s="2"/>
      <c r="IOL45" s="2"/>
      <c r="IOM45" s="2"/>
      <c r="ION45" s="2"/>
      <c r="IOO45" s="2"/>
      <c r="IOP45" s="2"/>
      <c r="IOQ45" s="2"/>
      <c r="IOR45" s="2"/>
      <c r="IOS45" s="2"/>
      <c r="IOT45" s="2"/>
      <c r="IOU45" s="2"/>
      <c r="IOV45" s="2"/>
      <c r="IOW45" s="2"/>
      <c r="IOX45" s="2"/>
      <c r="IOY45" s="2"/>
      <c r="IOZ45" s="2"/>
      <c r="IPA45" s="2"/>
      <c r="IPB45" s="2"/>
      <c r="IPC45" s="2"/>
      <c r="IPD45" s="2"/>
      <c r="IPE45" s="2"/>
      <c r="IPF45" s="2"/>
      <c r="IPG45" s="2"/>
      <c r="IPH45" s="2"/>
      <c r="IPI45" s="2"/>
      <c r="IPJ45" s="2"/>
      <c r="IPK45" s="2"/>
      <c r="IPL45" s="2"/>
      <c r="IPM45" s="2"/>
      <c r="IPN45" s="2"/>
      <c r="IPO45" s="2"/>
      <c r="IPP45" s="2"/>
      <c r="IPQ45" s="2"/>
      <c r="IPR45" s="2"/>
      <c r="IPS45" s="2"/>
      <c r="IPT45" s="2"/>
      <c r="IPU45" s="2"/>
      <c r="IPV45" s="2"/>
      <c r="IPW45" s="2"/>
      <c r="IPX45" s="2"/>
      <c r="IPY45" s="2"/>
      <c r="IPZ45" s="2"/>
      <c r="IQA45" s="2"/>
      <c r="IQB45" s="2"/>
      <c r="IQC45" s="2"/>
      <c r="IQD45" s="2"/>
      <c r="IQE45" s="2"/>
      <c r="IQF45" s="2"/>
      <c r="IQG45" s="2"/>
      <c r="IQH45" s="2"/>
      <c r="IQI45" s="2"/>
      <c r="IQJ45" s="2"/>
      <c r="IQK45" s="2"/>
      <c r="IQL45" s="2"/>
      <c r="IQM45" s="2"/>
      <c r="IQN45" s="2"/>
      <c r="IQO45" s="2"/>
      <c r="IQP45" s="2"/>
      <c r="IQQ45" s="2"/>
      <c r="IQR45" s="2"/>
      <c r="IQS45" s="2"/>
      <c r="IQT45" s="2"/>
      <c r="IQU45" s="2"/>
      <c r="IQV45" s="2"/>
      <c r="IQW45" s="2"/>
      <c r="IQX45" s="2"/>
      <c r="IQY45" s="2"/>
      <c r="IQZ45" s="2"/>
      <c r="IRA45" s="2"/>
      <c r="IRB45" s="2"/>
      <c r="IRC45" s="2"/>
      <c r="IRD45" s="2"/>
      <c r="IRE45" s="2"/>
      <c r="IRF45" s="2"/>
      <c r="IRG45" s="2"/>
      <c r="IRH45" s="2"/>
      <c r="IRI45" s="2"/>
      <c r="IRJ45" s="2"/>
      <c r="IRK45" s="2"/>
      <c r="IRL45" s="2"/>
      <c r="IRM45" s="2"/>
      <c r="IRN45" s="2"/>
      <c r="IRO45" s="2"/>
      <c r="IRP45" s="2"/>
      <c r="IRQ45" s="2"/>
      <c r="IRR45" s="2"/>
      <c r="IRS45" s="2"/>
      <c r="IRT45" s="2"/>
      <c r="IRU45" s="2"/>
      <c r="IRV45" s="2"/>
      <c r="IRW45" s="2"/>
      <c r="IRX45" s="2"/>
      <c r="IRY45" s="2"/>
      <c r="IRZ45" s="2"/>
      <c r="ISA45" s="2"/>
      <c r="ISB45" s="2"/>
      <c r="ISC45" s="2"/>
      <c r="ISD45" s="2"/>
      <c r="ISE45" s="2"/>
      <c r="ISF45" s="2"/>
      <c r="ISG45" s="2"/>
      <c r="ISH45" s="2"/>
      <c r="ISI45" s="2"/>
      <c r="ISJ45" s="2"/>
      <c r="ISK45" s="2"/>
      <c r="ISL45" s="2"/>
      <c r="ISM45" s="2"/>
      <c r="ISN45" s="2"/>
      <c r="ISO45" s="2"/>
      <c r="ISP45" s="2"/>
      <c r="ISQ45" s="2"/>
      <c r="ISR45" s="2"/>
      <c r="ISS45" s="2"/>
      <c r="IST45" s="2"/>
      <c r="ISU45" s="2"/>
      <c r="ISV45" s="2"/>
      <c r="ISW45" s="2"/>
      <c r="ISX45" s="2"/>
      <c r="ISY45" s="2"/>
      <c r="ISZ45" s="2"/>
      <c r="ITA45" s="2"/>
      <c r="ITB45" s="2"/>
      <c r="ITC45" s="2"/>
      <c r="ITD45" s="2"/>
      <c r="ITE45" s="2"/>
      <c r="ITF45" s="2"/>
      <c r="ITG45" s="2"/>
      <c r="ITH45" s="2"/>
      <c r="ITI45" s="2"/>
      <c r="ITJ45" s="2"/>
      <c r="ITK45" s="2"/>
      <c r="ITL45" s="2"/>
      <c r="ITM45" s="2"/>
      <c r="ITN45" s="2"/>
      <c r="ITO45" s="2"/>
      <c r="ITP45" s="2"/>
      <c r="ITQ45" s="2"/>
      <c r="ITR45" s="2"/>
      <c r="ITS45" s="2"/>
      <c r="ITT45" s="2"/>
      <c r="ITU45" s="2"/>
      <c r="ITV45" s="2"/>
      <c r="ITW45" s="2"/>
      <c r="ITX45" s="2"/>
      <c r="ITY45" s="2"/>
      <c r="ITZ45" s="2"/>
      <c r="IUA45" s="2"/>
      <c r="IUB45" s="2"/>
      <c r="IUC45" s="2"/>
      <c r="IUD45" s="2"/>
      <c r="IUE45" s="2"/>
      <c r="IUF45" s="2"/>
      <c r="IUG45" s="2"/>
      <c r="IUH45" s="2"/>
      <c r="IUI45" s="2"/>
      <c r="IUJ45" s="2"/>
      <c r="IUK45" s="2"/>
      <c r="IUL45" s="2"/>
      <c r="IUM45" s="2"/>
      <c r="IUN45" s="2"/>
      <c r="IUO45" s="2"/>
      <c r="IUP45" s="2"/>
      <c r="IUQ45" s="2"/>
      <c r="IUR45" s="2"/>
      <c r="IUS45" s="2"/>
      <c r="IUT45" s="2"/>
      <c r="IUU45" s="2"/>
      <c r="IUV45" s="2"/>
      <c r="IUW45" s="2"/>
      <c r="IUX45" s="2"/>
      <c r="IUY45" s="2"/>
      <c r="IUZ45" s="2"/>
      <c r="IVA45" s="2"/>
      <c r="IVB45" s="2"/>
      <c r="IVC45" s="2"/>
      <c r="IVD45" s="2"/>
      <c r="IVE45" s="2"/>
      <c r="IVF45" s="2"/>
      <c r="IVG45" s="2"/>
      <c r="IVH45" s="2"/>
      <c r="IVI45" s="2"/>
      <c r="IVJ45" s="2"/>
      <c r="IVK45" s="2"/>
      <c r="IVL45" s="2"/>
      <c r="IVM45" s="2"/>
      <c r="IVN45" s="2"/>
      <c r="IVO45" s="2"/>
      <c r="IVP45" s="2"/>
      <c r="IVQ45" s="2"/>
      <c r="IVR45" s="2"/>
      <c r="IVS45" s="2"/>
      <c r="IVT45" s="2"/>
      <c r="IVU45" s="2"/>
      <c r="IVV45" s="2"/>
      <c r="IVW45" s="2"/>
      <c r="IVX45" s="2"/>
      <c r="IVY45" s="2"/>
      <c r="IVZ45" s="2"/>
      <c r="IWA45" s="2"/>
      <c r="IWB45" s="2"/>
      <c r="IWC45" s="2"/>
      <c r="IWD45" s="2"/>
      <c r="IWE45" s="2"/>
      <c r="IWF45" s="2"/>
      <c r="IWG45" s="2"/>
      <c r="IWH45" s="2"/>
      <c r="IWI45" s="2"/>
      <c r="IWJ45" s="2"/>
      <c r="IWK45" s="2"/>
      <c r="IWL45" s="2"/>
      <c r="IWM45" s="2"/>
      <c r="IWN45" s="2"/>
      <c r="IWO45" s="2"/>
      <c r="IWP45" s="2"/>
      <c r="IWQ45" s="2"/>
      <c r="IWR45" s="2"/>
      <c r="IWS45" s="2"/>
      <c r="IWT45" s="2"/>
      <c r="IWU45" s="2"/>
      <c r="IWV45" s="2"/>
      <c r="IWW45" s="2"/>
      <c r="IWX45" s="2"/>
      <c r="IWY45" s="2"/>
      <c r="IWZ45" s="2"/>
      <c r="IXA45" s="2"/>
      <c r="IXB45" s="2"/>
      <c r="IXC45" s="2"/>
      <c r="IXD45" s="2"/>
      <c r="IXE45" s="2"/>
      <c r="IXF45" s="2"/>
      <c r="IXG45" s="2"/>
      <c r="IXH45" s="2"/>
      <c r="IXI45" s="2"/>
      <c r="IXJ45" s="2"/>
      <c r="IXK45" s="2"/>
      <c r="IXL45" s="2"/>
      <c r="IXM45" s="2"/>
      <c r="IXN45" s="2"/>
      <c r="IXO45" s="2"/>
      <c r="IXP45" s="2"/>
      <c r="IXQ45" s="2"/>
      <c r="IXR45" s="2"/>
      <c r="IXS45" s="2"/>
      <c r="IXT45" s="2"/>
      <c r="IXU45" s="2"/>
      <c r="IXV45" s="2"/>
      <c r="IXW45" s="2"/>
      <c r="IXX45" s="2"/>
      <c r="IXY45" s="2"/>
      <c r="IXZ45" s="2"/>
      <c r="IYA45" s="2"/>
      <c r="IYB45" s="2"/>
      <c r="IYC45" s="2"/>
      <c r="IYD45" s="2"/>
      <c r="IYE45" s="2"/>
      <c r="IYF45" s="2"/>
      <c r="IYG45" s="2"/>
      <c r="IYH45" s="2"/>
      <c r="IYI45" s="2"/>
      <c r="IYJ45" s="2"/>
      <c r="IYK45" s="2"/>
      <c r="IYL45" s="2"/>
      <c r="IYM45" s="2"/>
      <c r="IYN45" s="2"/>
      <c r="IYO45" s="2"/>
      <c r="IYP45" s="2"/>
      <c r="IYQ45" s="2"/>
      <c r="IYR45" s="2"/>
      <c r="IYS45" s="2"/>
      <c r="IYT45" s="2"/>
      <c r="IYU45" s="2"/>
      <c r="IYV45" s="2"/>
      <c r="IYW45" s="2"/>
      <c r="IYX45" s="2"/>
      <c r="IYY45" s="2"/>
      <c r="IYZ45" s="2"/>
      <c r="IZA45" s="2"/>
      <c r="IZB45" s="2"/>
      <c r="IZC45" s="2"/>
      <c r="IZD45" s="2"/>
      <c r="IZE45" s="2"/>
      <c r="IZF45" s="2"/>
      <c r="IZG45" s="2"/>
      <c r="IZH45" s="2"/>
      <c r="IZI45" s="2"/>
      <c r="IZJ45" s="2"/>
      <c r="IZK45" s="2"/>
      <c r="IZL45" s="2"/>
      <c r="IZM45" s="2"/>
      <c r="IZN45" s="2"/>
      <c r="IZO45" s="2"/>
      <c r="IZP45" s="2"/>
      <c r="IZQ45" s="2"/>
      <c r="IZR45" s="2"/>
      <c r="IZS45" s="2"/>
      <c r="IZT45" s="2"/>
      <c r="IZU45" s="2"/>
      <c r="IZV45" s="2"/>
      <c r="IZW45" s="2"/>
      <c r="IZX45" s="2"/>
      <c r="IZY45" s="2"/>
      <c r="IZZ45" s="2"/>
      <c r="JAA45" s="2"/>
      <c r="JAB45" s="2"/>
      <c r="JAC45" s="2"/>
      <c r="JAD45" s="2"/>
      <c r="JAE45" s="2"/>
      <c r="JAF45" s="2"/>
      <c r="JAG45" s="2"/>
      <c r="JAH45" s="2"/>
      <c r="JAI45" s="2"/>
      <c r="JAJ45" s="2"/>
      <c r="JAK45" s="2"/>
      <c r="JAL45" s="2"/>
      <c r="JAM45" s="2"/>
      <c r="JAN45" s="2"/>
      <c r="JAO45" s="2"/>
      <c r="JAP45" s="2"/>
      <c r="JAQ45" s="2"/>
      <c r="JAR45" s="2"/>
      <c r="JAS45" s="2"/>
      <c r="JAT45" s="2"/>
      <c r="JAU45" s="2"/>
      <c r="JAV45" s="2"/>
      <c r="JAW45" s="2"/>
      <c r="JAX45" s="2"/>
      <c r="JAY45" s="2"/>
      <c r="JAZ45" s="2"/>
      <c r="JBA45" s="2"/>
      <c r="JBB45" s="2"/>
      <c r="JBC45" s="2"/>
      <c r="JBD45" s="2"/>
      <c r="JBE45" s="2"/>
      <c r="JBF45" s="2"/>
      <c r="JBG45" s="2"/>
      <c r="JBH45" s="2"/>
      <c r="JBI45" s="2"/>
      <c r="JBJ45" s="2"/>
      <c r="JBK45" s="2"/>
      <c r="JBL45" s="2"/>
      <c r="JBM45" s="2"/>
      <c r="JBN45" s="2"/>
      <c r="JBO45" s="2"/>
      <c r="JBP45" s="2"/>
      <c r="JBQ45" s="2"/>
      <c r="JBR45" s="2"/>
      <c r="JBS45" s="2"/>
      <c r="JBT45" s="2"/>
      <c r="JBU45" s="2"/>
      <c r="JBV45" s="2"/>
      <c r="JBW45" s="2"/>
      <c r="JBX45" s="2"/>
      <c r="JBY45" s="2"/>
      <c r="JBZ45" s="2"/>
      <c r="JCA45" s="2"/>
      <c r="JCB45" s="2"/>
      <c r="JCC45" s="2"/>
      <c r="JCD45" s="2"/>
      <c r="JCE45" s="2"/>
      <c r="JCF45" s="2"/>
      <c r="JCG45" s="2"/>
      <c r="JCH45" s="2"/>
      <c r="JCI45" s="2"/>
      <c r="JCJ45" s="2"/>
      <c r="JCK45" s="2"/>
      <c r="JCL45" s="2"/>
      <c r="JCM45" s="2"/>
      <c r="JCN45" s="2"/>
      <c r="JCO45" s="2"/>
      <c r="JCP45" s="2"/>
      <c r="JCQ45" s="2"/>
      <c r="JCR45" s="2"/>
      <c r="JCS45" s="2"/>
      <c r="JCT45" s="2"/>
      <c r="JCU45" s="2"/>
      <c r="JCV45" s="2"/>
      <c r="JCW45" s="2"/>
      <c r="JCX45" s="2"/>
      <c r="JCY45" s="2"/>
      <c r="JCZ45" s="2"/>
      <c r="JDA45" s="2"/>
      <c r="JDB45" s="2"/>
      <c r="JDC45" s="2"/>
      <c r="JDD45" s="2"/>
      <c r="JDE45" s="2"/>
      <c r="JDF45" s="2"/>
      <c r="JDG45" s="2"/>
      <c r="JDH45" s="2"/>
      <c r="JDI45" s="2"/>
      <c r="JDJ45" s="2"/>
      <c r="JDK45" s="2"/>
      <c r="JDL45" s="2"/>
      <c r="JDM45" s="2"/>
      <c r="JDN45" s="2"/>
      <c r="JDO45" s="2"/>
      <c r="JDP45" s="2"/>
      <c r="JDQ45" s="2"/>
      <c r="JDR45" s="2"/>
      <c r="JDS45" s="2"/>
      <c r="JDT45" s="2"/>
      <c r="JDU45" s="2"/>
      <c r="JDV45" s="2"/>
      <c r="JDW45" s="2"/>
      <c r="JDX45" s="2"/>
      <c r="JDY45" s="2"/>
      <c r="JDZ45" s="2"/>
      <c r="JEA45" s="2"/>
      <c r="JEB45" s="2"/>
      <c r="JEC45" s="2"/>
      <c r="JED45" s="2"/>
      <c r="JEE45" s="2"/>
      <c r="JEF45" s="2"/>
      <c r="JEG45" s="2"/>
      <c r="JEH45" s="2"/>
      <c r="JEI45" s="2"/>
      <c r="JEJ45" s="2"/>
      <c r="JEK45" s="2"/>
      <c r="JEL45" s="2"/>
      <c r="JEM45" s="2"/>
      <c r="JEN45" s="2"/>
      <c r="JEO45" s="2"/>
      <c r="JEP45" s="2"/>
      <c r="JEQ45" s="2"/>
      <c r="JER45" s="2"/>
      <c r="JES45" s="2"/>
      <c r="JET45" s="2"/>
      <c r="JEU45" s="2"/>
      <c r="JEV45" s="2"/>
      <c r="JEW45" s="2"/>
      <c r="JEX45" s="2"/>
      <c r="JEY45" s="2"/>
      <c r="JEZ45" s="2"/>
      <c r="JFA45" s="2"/>
      <c r="JFB45" s="2"/>
      <c r="JFC45" s="2"/>
      <c r="JFD45" s="2"/>
      <c r="JFE45" s="2"/>
      <c r="JFF45" s="2"/>
      <c r="JFG45" s="2"/>
      <c r="JFH45" s="2"/>
      <c r="JFI45" s="2"/>
      <c r="JFJ45" s="2"/>
      <c r="JFK45" s="2"/>
      <c r="JFL45" s="2"/>
      <c r="JFM45" s="2"/>
      <c r="JFN45" s="2"/>
      <c r="JFO45" s="2"/>
      <c r="JFP45" s="2"/>
      <c r="JFQ45" s="2"/>
      <c r="JFR45" s="2"/>
      <c r="JFS45" s="2"/>
      <c r="JFT45" s="2"/>
      <c r="JFU45" s="2"/>
      <c r="JFV45" s="2"/>
      <c r="JFW45" s="2"/>
      <c r="JFX45" s="2"/>
      <c r="JFY45" s="2"/>
      <c r="JFZ45" s="2"/>
      <c r="JGA45" s="2"/>
      <c r="JGB45" s="2"/>
      <c r="JGC45" s="2"/>
      <c r="JGD45" s="2"/>
      <c r="JGE45" s="2"/>
      <c r="JGF45" s="2"/>
      <c r="JGG45" s="2"/>
      <c r="JGH45" s="2"/>
      <c r="JGI45" s="2"/>
      <c r="JGJ45" s="2"/>
      <c r="JGK45" s="2"/>
      <c r="JGL45" s="2"/>
      <c r="JGM45" s="2"/>
      <c r="JGN45" s="2"/>
      <c r="JGO45" s="2"/>
      <c r="JGP45" s="2"/>
      <c r="JGQ45" s="2"/>
      <c r="JGR45" s="2"/>
      <c r="JGS45" s="2"/>
      <c r="JGT45" s="2"/>
      <c r="JGU45" s="2"/>
      <c r="JGV45" s="2"/>
      <c r="JGW45" s="2"/>
      <c r="JGX45" s="2"/>
      <c r="JGY45" s="2"/>
      <c r="JGZ45" s="2"/>
      <c r="JHA45" s="2"/>
      <c r="JHB45" s="2"/>
      <c r="JHC45" s="2"/>
      <c r="JHD45" s="2"/>
      <c r="JHE45" s="2"/>
      <c r="JHF45" s="2"/>
      <c r="JHG45" s="2"/>
      <c r="JHH45" s="2"/>
      <c r="JHI45" s="2"/>
      <c r="JHJ45" s="2"/>
      <c r="JHK45" s="2"/>
      <c r="JHL45" s="2"/>
      <c r="JHM45" s="2"/>
      <c r="JHN45" s="2"/>
      <c r="JHO45" s="2"/>
      <c r="JHP45" s="2"/>
      <c r="JHQ45" s="2"/>
      <c r="JHR45" s="2"/>
      <c r="JHS45" s="2"/>
      <c r="JHT45" s="2"/>
      <c r="JHU45" s="2"/>
      <c r="JHV45" s="2"/>
      <c r="JHW45" s="2"/>
      <c r="JHX45" s="2"/>
      <c r="JHY45" s="2"/>
      <c r="JHZ45" s="2"/>
      <c r="JIA45" s="2"/>
      <c r="JIB45" s="2"/>
      <c r="JIC45" s="2"/>
      <c r="JID45" s="2"/>
      <c r="JIE45" s="2"/>
      <c r="JIF45" s="2"/>
      <c r="JIG45" s="2"/>
      <c r="JIH45" s="2"/>
      <c r="JII45" s="2"/>
      <c r="JIJ45" s="2"/>
      <c r="JIK45" s="2"/>
      <c r="JIL45" s="2"/>
      <c r="JIM45" s="2"/>
      <c r="JIN45" s="2"/>
      <c r="JIO45" s="2"/>
      <c r="JIP45" s="2"/>
      <c r="JIQ45" s="2"/>
      <c r="JIR45" s="2"/>
      <c r="JIS45" s="2"/>
      <c r="JIT45" s="2"/>
      <c r="JIU45" s="2"/>
      <c r="JIV45" s="2"/>
      <c r="JIW45" s="2"/>
      <c r="JIX45" s="2"/>
      <c r="JIY45" s="2"/>
      <c r="JIZ45" s="2"/>
      <c r="JJA45" s="2"/>
      <c r="JJB45" s="2"/>
      <c r="JJC45" s="2"/>
      <c r="JJD45" s="2"/>
      <c r="JJE45" s="2"/>
      <c r="JJF45" s="2"/>
      <c r="JJG45" s="2"/>
      <c r="JJH45" s="2"/>
      <c r="JJI45" s="2"/>
      <c r="JJJ45" s="2"/>
      <c r="JJK45" s="2"/>
      <c r="JJL45" s="2"/>
      <c r="JJM45" s="2"/>
      <c r="JJN45" s="2"/>
      <c r="JJO45" s="2"/>
      <c r="JJP45" s="2"/>
      <c r="JJQ45" s="2"/>
      <c r="JJR45" s="2"/>
      <c r="JJS45" s="2"/>
      <c r="JJT45" s="2"/>
      <c r="JJU45" s="2"/>
      <c r="JJV45" s="2"/>
      <c r="JJW45" s="2"/>
      <c r="JJX45" s="2"/>
      <c r="JJY45" s="2"/>
      <c r="JJZ45" s="2"/>
      <c r="JKA45" s="2"/>
      <c r="JKB45" s="2"/>
      <c r="JKC45" s="2"/>
      <c r="JKD45" s="2"/>
      <c r="JKE45" s="2"/>
      <c r="JKF45" s="2"/>
      <c r="JKG45" s="2"/>
      <c r="JKH45" s="2"/>
      <c r="JKI45" s="2"/>
      <c r="JKJ45" s="2"/>
      <c r="JKK45" s="2"/>
      <c r="JKL45" s="2"/>
      <c r="JKM45" s="2"/>
      <c r="JKN45" s="2"/>
      <c r="JKO45" s="2"/>
      <c r="JKP45" s="2"/>
      <c r="JKQ45" s="2"/>
      <c r="JKR45" s="2"/>
      <c r="JKS45" s="2"/>
      <c r="JKT45" s="2"/>
      <c r="JKU45" s="2"/>
      <c r="JKV45" s="2"/>
      <c r="JKW45" s="2"/>
      <c r="JKX45" s="2"/>
      <c r="JKY45" s="2"/>
      <c r="JKZ45" s="2"/>
      <c r="JLA45" s="2"/>
      <c r="JLB45" s="2"/>
      <c r="JLC45" s="2"/>
      <c r="JLD45" s="2"/>
      <c r="JLE45" s="2"/>
      <c r="JLF45" s="2"/>
      <c r="JLG45" s="2"/>
      <c r="JLH45" s="2"/>
      <c r="JLI45" s="2"/>
      <c r="JLJ45" s="2"/>
      <c r="JLK45" s="2"/>
      <c r="JLL45" s="2"/>
      <c r="JLM45" s="2"/>
      <c r="JLN45" s="2"/>
      <c r="JLO45" s="2"/>
      <c r="JLP45" s="2"/>
      <c r="JLQ45" s="2"/>
      <c r="JLR45" s="2"/>
      <c r="JLS45" s="2"/>
      <c r="JLT45" s="2"/>
      <c r="JLU45" s="2"/>
      <c r="JLV45" s="2"/>
      <c r="JLW45" s="2"/>
      <c r="JLX45" s="2"/>
      <c r="JLY45" s="2"/>
      <c r="JLZ45" s="2"/>
      <c r="JMA45" s="2"/>
      <c r="JMB45" s="2"/>
      <c r="JMC45" s="2"/>
      <c r="JMD45" s="2"/>
      <c r="JME45" s="2"/>
      <c r="JMF45" s="2"/>
      <c r="JMG45" s="2"/>
      <c r="JMH45" s="2"/>
      <c r="JMI45" s="2"/>
      <c r="JMJ45" s="2"/>
      <c r="JMK45" s="2"/>
      <c r="JML45" s="2"/>
      <c r="JMM45" s="2"/>
      <c r="JMN45" s="2"/>
      <c r="JMO45" s="2"/>
      <c r="JMP45" s="2"/>
      <c r="JMQ45" s="2"/>
      <c r="JMR45" s="2"/>
      <c r="JMS45" s="2"/>
      <c r="JMT45" s="2"/>
      <c r="JMU45" s="2"/>
      <c r="JMV45" s="2"/>
      <c r="JMW45" s="2"/>
      <c r="JMX45" s="2"/>
      <c r="JMY45" s="2"/>
      <c r="JMZ45" s="2"/>
      <c r="JNA45" s="2"/>
      <c r="JNB45" s="2"/>
      <c r="JNC45" s="2"/>
      <c r="JND45" s="2"/>
      <c r="JNE45" s="2"/>
      <c r="JNF45" s="2"/>
      <c r="JNG45" s="2"/>
      <c r="JNH45" s="2"/>
      <c r="JNI45" s="2"/>
      <c r="JNJ45" s="2"/>
      <c r="JNK45" s="2"/>
      <c r="JNL45" s="2"/>
      <c r="JNM45" s="2"/>
      <c r="JNN45" s="2"/>
      <c r="JNO45" s="2"/>
      <c r="JNP45" s="2"/>
      <c r="JNQ45" s="2"/>
      <c r="JNR45" s="2"/>
      <c r="JNS45" s="2"/>
      <c r="JNT45" s="2"/>
      <c r="JNU45" s="2"/>
      <c r="JNV45" s="2"/>
      <c r="JNW45" s="2"/>
      <c r="JNX45" s="2"/>
      <c r="JNY45" s="2"/>
      <c r="JNZ45" s="2"/>
      <c r="JOA45" s="2"/>
      <c r="JOB45" s="2"/>
      <c r="JOC45" s="2"/>
      <c r="JOD45" s="2"/>
      <c r="JOE45" s="2"/>
      <c r="JOF45" s="2"/>
      <c r="JOG45" s="2"/>
      <c r="JOH45" s="2"/>
      <c r="JOI45" s="2"/>
      <c r="JOJ45" s="2"/>
      <c r="JOK45" s="2"/>
      <c r="JOL45" s="2"/>
      <c r="JOM45" s="2"/>
      <c r="JON45" s="2"/>
      <c r="JOO45" s="2"/>
      <c r="JOP45" s="2"/>
      <c r="JOQ45" s="2"/>
      <c r="JOR45" s="2"/>
      <c r="JOS45" s="2"/>
      <c r="JOT45" s="2"/>
      <c r="JOU45" s="2"/>
      <c r="JOV45" s="2"/>
      <c r="JOW45" s="2"/>
      <c r="JOX45" s="2"/>
      <c r="JOY45" s="2"/>
      <c r="JOZ45" s="2"/>
      <c r="JPA45" s="2"/>
      <c r="JPB45" s="2"/>
      <c r="JPC45" s="2"/>
      <c r="JPD45" s="2"/>
      <c r="JPE45" s="2"/>
      <c r="JPF45" s="2"/>
      <c r="JPG45" s="2"/>
      <c r="JPH45" s="2"/>
      <c r="JPI45" s="2"/>
      <c r="JPJ45" s="2"/>
      <c r="JPK45" s="2"/>
      <c r="JPL45" s="2"/>
      <c r="JPM45" s="2"/>
      <c r="JPN45" s="2"/>
      <c r="JPO45" s="2"/>
      <c r="JPP45" s="2"/>
      <c r="JPQ45" s="2"/>
      <c r="JPR45" s="2"/>
      <c r="JPS45" s="2"/>
      <c r="JPT45" s="2"/>
      <c r="JPU45" s="2"/>
      <c r="JPV45" s="2"/>
      <c r="JPW45" s="2"/>
      <c r="JPX45" s="2"/>
      <c r="JPY45" s="2"/>
      <c r="JPZ45" s="2"/>
      <c r="JQA45" s="2"/>
      <c r="JQB45" s="2"/>
      <c r="JQC45" s="2"/>
      <c r="JQD45" s="2"/>
      <c r="JQE45" s="2"/>
      <c r="JQF45" s="2"/>
      <c r="JQG45" s="2"/>
      <c r="JQH45" s="2"/>
      <c r="JQI45" s="2"/>
      <c r="JQJ45" s="2"/>
      <c r="JQK45" s="2"/>
      <c r="JQL45" s="2"/>
      <c r="JQM45" s="2"/>
      <c r="JQN45" s="2"/>
      <c r="JQO45" s="2"/>
      <c r="JQP45" s="2"/>
      <c r="JQQ45" s="2"/>
      <c r="JQR45" s="2"/>
      <c r="JQS45" s="2"/>
      <c r="JQT45" s="2"/>
      <c r="JQU45" s="2"/>
      <c r="JQV45" s="2"/>
      <c r="JQW45" s="2"/>
      <c r="JQX45" s="2"/>
      <c r="JQY45" s="2"/>
      <c r="JQZ45" s="2"/>
      <c r="JRA45" s="2"/>
      <c r="JRB45" s="2"/>
      <c r="JRC45" s="2"/>
      <c r="JRD45" s="2"/>
      <c r="JRE45" s="2"/>
      <c r="JRF45" s="2"/>
      <c r="JRG45" s="2"/>
      <c r="JRH45" s="2"/>
      <c r="JRI45" s="2"/>
      <c r="JRJ45" s="2"/>
      <c r="JRK45" s="2"/>
      <c r="JRL45" s="2"/>
      <c r="JRM45" s="2"/>
      <c r="JRN45" s="2"/>
      <c r="JRO45" s="2"/>
      <c r="JRP45" s="2"/>
      <c r="JRQ45" s="2"/>
      <c r="JRR45" s="2"/>
      <c r="JRS45" s="2"/>
      <c r="JRT45" s="2"/>
      <c r="JRU45" s="2"/>
      <c r="JRV45" s="2"/>
      <c r="JRW45" s="2"/>
      <c r="JRX45" s="2"/>
      <c r="JRY45" s="2"/>
      <c r="JRZ45" s="2"/>
      <c r="JSA45" s="2"/>
      <c r="JSB45" s="2"/>
      <c r="JSC45" s="2"/>
      <c r="JSD45" s="2"/>
      <c r="JSE45" s="2"/>
      <c r="JSF45" s="2"/>
      <c r="JSG45" s="2"/>
      <c r="JSH45" s="2"/>
      <c r="JSI45" s="2"/>
      <c r="JSJ45" s="2"/>
      <c r="JSK45" s="2"/>
      <c r="JSL45" s="2"/>
      <c r="JSM45" s="2"/>
      <c r="JSN45" s="2"/>
      <c r="JSO45" s="2"/>
      <c r="JSP45" s="2"/>
      <c r="JSQ45" s="2"/>
      <c r="JSR45" s="2"/>
      <c r="JSS45" s="2"/>
      <c r="JST45" s="2"/>
      <c r="JSU45" s="2"/>
      <c r="JSV45" s="2"/>
      <c r="JSW45" s="2"/>
      <c r="JSX45" s="2"/>
      <c r="JSY45" s="2"/>
      <c r="JSZ45" s="2"/>
      <c r="JTA45" s="2"/>
      <c r="JTB45" s="2"/>
      <c r="JTC45" s="2"/>
      <c r="JTD45" s="2"/>
      <c r="JTE45" s="2"/>
      <c r="JTF45" s="2"/>
      <c r="JTG45" s="2"/>
      <c r="JTH45" s="2"/>
      <c r="JTI45" s="2"/>
      <c r="JTJ45" s="2"/>
      <c r="JTK45" s="2"/>
      <c r="JTL45" s="2"/>
      <c r="JTM45" s="2"/>
      <c r="JTN45" s="2"/>
      <c r="JTO45" s="2"/>
      <c r="JTP45" s="2"/>
      <c r="JTQ45" s="2"/>
      <c r="JTR45" s="2"/>
      <c r="JTS45" s="2"/>
      <c r="JTT45" s="2"/>
      <c r="JTU45" s="2"/>
      <c r="JTV45" s="2"/>
      <c r="JTW45" s="2"/>
      <c r="JTX45" s="2"/>
      <c r="JTY45" s="2"/>
      <c r="JTZ45" s="2"/>
      <c r="JUA45" s="2"/>
      <c r="JUB45" s="2"/>
      <c r="JUC45" s="2"/>
      <c r="JUD45" s="2"/>
      <c r="JUE45" s="2"/>
      <c r="JUF45" s="2"/>
      <c r="JUG45" s="2"/>
      <c r="JUH45" s="2"/>
      <c r="JUI45" s="2"/>
      <c r="JUJ45" s="2"/>
      <c r="JUK45" s="2"/>
      <c r="JUL45" s="2"/>
      <c r="JUM45" s="2"/>
      <c r="JUN45" s="2"/>
      <c r="JUO45" s="2"/>
      <c r="JUP45" s="2"/>
      <c r="JUQ45" s="2"/>
      <c r="JUR45" s="2"/>
      <c r="JUS45" s="2"/>
      <c r="JUT45" s="2"/>
      <c r="JUU45" s="2"/>
      <c r="JUV45" s="2"/>
      <c r="JUW45" s="2"/>
      <c r="JUX45" s="2"/>
      <c r="JUY45" s="2"/>
      <c r="JUZ45" s="2"/>
      <c r="JVA45" s="2"/>
      <c r="JVB45" s="2"/>
      <c r="JVC45" s="2"/>
      <c r="JVD45" s="2"/>
      <c r="JVE45" s="2"/>
      <c r="JVF45" s="2"/>
      <c r="JVG45" s="2"/>
      <c r="JVH45" s="2"/>
      <c r="JVI45" s="2"/>
      <c r="JVJ45" s="2"/>
      <c r="JVK45" s="2"/>
      <c r="JVL45" s="2"/>
      <c r="JVM45" s="2"/>
      <c r="JVN45" s="2"/>
      <c r="JVO45" s="2"/>
      <c r="JVP45" s="2"/>
      <c r="JVQ45" s="2"/>
      <c r="JVR45" s="2"/>
      <c r="JVS45" s="2"/>
      <c r="JVT45" s="2"/>
      <c r="JVU45" s="2"/>
      <c r="JVV45" s="2"/>
      <c r="JVW45" s="2"/>
      <c r="JVX45" s="2"/>
      <c r="JVY45" s="2"/>
      <c r="JVZ45" s="2"/>
      <c r="JWA45" s="2"/>
      <c r="JWB45" s="2"/>
      <c r="JWC45" s="2"/>
      <c r="JWD45" s="2"/>
      <c r="JWE45" s="2"/>
      <c r="JWF45" s="2"/>
      <c r="JWG45" s="2"/>
      <c r="JWH45" s="2"/>
      <c r="JWI45" s="2"/>
      <c r="JWJ45" s="2"/>
      <c r="JWK45" s="2"/>
      <c r="JWL45" s="2"/>
      <c r="JWM45" s="2"/>
      <c r="JWN45" s="2"/>
      <c r="JWO45" s="2"/>
      <c r="JWP45" s="2"/>
      <c r="JWQ45" s="2"/>
      <c r="JWR45" s="2"/>
      <c r="JWS45" s="2"/>
      <c r="JWT45" s="2"/>
      <c r="JWU45" s="2"/>
      <c r="JWV45" s="2"/>
      <c r="JWW45" s="2"/>
      <c r="JWX45" s="2"/>
      <c r="JWY45" s="2"/>
      <c r="JWZ45" s="2"/>
      <c r="JXA45" s="2"/>
      <c r="JXB45" s="2"/>
      <c r="JXC45" s="2"/>
      <c r="JXD45" s="2"/>
      <c r="JXE45" s="2"/>
      <c r="JXF45" s="2"/>
      <c r="JXG45" s="2"/>
      <c r="JXH45" s="2"/>
      <c r="JXI45" s="2"/>
      <c r="JXJ45" s="2"/>
      <c r="JXK45" s="2"/>
      <c r="JXL45" s="2"/>
      <c r="JXM45" s="2"/>
      <c r="JXN45" s="2"/>
      <c r="JXO45" s="2"/>
      <c r="JXP45" s="2"/>
      <c r="JXQ45" s="2"/>
      <c r="JXR45" s="2"/>
      <c r="JXS45" s="2"/>
      <c r="JXT45" s="2"/>
      <c r="JXU45" s="2"/>
      <c r="JXV45" s="2"/>
      <c r="JXW45" s="2"/>
      <c r="JXX45" s="2"/>
      <c r="JXY45" s="2"/>
      <c r="JXZ45" s="2"/>
      <c r="JYA45" s="2"/>
      <c r="JYB45" s="2"/>
      <c r="JYC45" s="2"/>
      <c r="JYD45" s="2"/>
      <c r="JYE45" s="2"/>
      <c r="JYF45" s="2"/>
      <c r="JYG45" s="2"/>
      <c r="JYH45" s="2"/>
      <c r="JYI45" s="2"/>
      <c r="JYJ45" s="2"/>
      <c r="JYK45" s="2"/>
      <c r="JYL45" s="2"/>
      <c r="JYM45" s="2"/>
      <c r="JYN45" s="2"/>
      <c r="JYO45" s="2"/>
      <c r="JYP45" s="2"/>
      <c r="JYQ45" s="2"/>
      <c r="JYR45" s="2"/>
      <c r="JYS45" s="2"/>
      <c r="JYT45" s="2"/>
      <c r="JYU45" s="2"/>
      <c r="JYV45" s="2"/>
      <c r="JYW45" s="2"/>
      <c r="JYX45" s="2"/>
      <c r="JYY45" s="2"/>
      <c r="JYZ45" s="2"/>
      <c r="JZA45" s="2"/>
      <c r="JZB45" s="2"/>
      <c r="JZC45" s="2"/>
      <c r="JZD45" s="2"/>
      <c r="JZE45" s="2"/>
      <c r="JZF45" s="2"/>
      <c r="JZG45" s="2"/>
      <c r="JZH45" s="2"/>
      <c r="JZI45" s="2"/>
      <c r="JZJ45" s="2"/>
      <c r="JZK45" s="2"/>
      <c r="JZL45" s="2"/>
      <c r="JZM45" s="2"/>
      <c r="JZN45" s="2"/>
      <c r="JZO45" s="2"/>
      <c r="JZP45" s="2"/>
      <c r="JZQ45" s="2"/>
      <c r="JZR45" s="2"/>
      <c r="JZS45" s="2"/>
      <c r="JZT45" s="2"/>
      <c r="JZU45" s="2"/>
      <c r="JZV45" s="2"/>
      <c r="JZW45" s="2"/>
      <c r="JZX45" s="2"/>
      <c r="JZY45" s="2"/>
      <c r="JZZ45" s="2"/>
      <c r="KAA45" s="2"/>
      <c r="KAB45" s="2"/>
      <c r="KAC45" s="2"/>
      <c r="KAD45" s="2"/>
      <c r="KAE45" s="2"/>
      <c r="KAF45" s="2"/>
      <c r="KAG45" s="2"/>
      <c r="KAH45" s="2"/>
      <c r="KAI45" s="2"/>
      <c r="KAJ45" s="2"/>
      <c r="KAK45" s="2"/>
      <c r="KAL45" s="2"/>
      <c r="KAM45" s="2"/>
      <c r="KAN45" s="2"/>
      <c r="KAO45" s="2"/>
      <c r="KAP45" s="2"/>
      <c r="KAQ45" s="2"/>
      <c r="KAR45" s="2"/>
      <c r="KAS45" s="2"/>
      <c r="KAT45" s="2"/>
      <c r="KAU45" s="2"/>
      <c r="KAV45" s="2"/>
      <c r="KAW45" s="2"/>
      <c r="KAX45" s="2"/>
      <c r="KAY45" s="2"/>
      <c r="KAZ45" s="2"/>
      <c r="KBA45" s="2"/>
      <c r="KBB45" s="2"/>
      <c r="KBC45" s="2"/>
      <c r="KBD45" s="2"/>
      <c r="KBE45" s="2"/>
      <c r="KBF45" s="2"/>
      <c r="KBG45" s="2"/>
      <c r="KBH45" s="2"/>
      <c r="KBI45" s="2"/>
      <c r="KBJ45" s="2"/>
      <c r="KBK45" s="2"/>
      <c r="KBL45" s="2"/>
      <c r="KBM45" s="2"/>
      <c r="KBN45" s="2"/>
      <c r="KBO45" s="2"/>
      <c r="KBP45" s="2"/>
      <c r="KBQ45" s="2"/>
      <c r="KBR45" s="2"/>
      <c r="KBS45" s="2"/>
      <c r="KBT45" s="2"/>
      <c r="KBU45" s="2"/>
      <c r="KBV45" s="2"/>
      <c r="KBW45" s="2"/>
      <c r="KBX45" s="2"/>
      <c r="KBY45" s="2"/>
      <c r="KBZ45" s="2"/>
      <c r="KCA45" s="2"/>
      <c r="KCB45" s="2"/>
      <c r="KCC45" s="2"/>
      <c r="KCD45" s="2"/>
      <c r="KCE45" s="2"/>
      <c r="KCF45" s="2"/>
      <c r="KCG45" s="2"/>
      <c r="KCH45" s="2"/>
      <c r="KCI45" s="2"/>
      <c r="KCJ45" s="2"/>
      <c r="KCK45" s="2"/>
      <c r="KCL45" s="2"/>
      <c r="KCM45" s="2"/>
      <c r="KCN45" s="2"/>
      <c r="KCO45" s="2"/>
      <c r="KCP45" s="2"/>
      <c r="KCQ45" s="2"/>
      <c r="KCR45" s="2"/>
      <c r="KCS45" s="2"/>
      <c r="KCT45" s="2"/>
      <c r="KCU45" s="2"/>
      <c r="KCV45" s="2"/>
      <c r="KCW45" s="2"/>
      <c r="KCX45" s="2"/>
      <c r="KCY45" s="2"/>
      <c r="KCZ45" s="2"/>
      <c r="KDA45" s="2"/>
      <c r="KDB45" s="2"/>
      <c r="KDC45" s="2"/>
      <c r="KDD45" s="2"/>
      <c r="KDE45" s="2"/>
      <c r="KDF45" s="2"/>
      <c r="KDG45" s="2"/>
      <c r="KDH45" s="2"/>
      <c r="KDI45" s="2"/>
      <c r="KDJ45" s="2"/>
      <c r="KDK45" s="2"/>
      <c r="KDL45" s="2"/>
      <c r="KDM45" s="2"/>
      <c r="KDN45" s="2"/>
      <c r="KDO45" s="2"/>
      <c r="KDP45" s="2"/>
      <c r="KDQ45" s="2"/>
      <c r="KDR45" s="2"/>
      <c r="KDS45" s="2"/>
      <c r="KDT45" s="2"/>
      <c r="KDU45" s="2"/>
      <c r="KDV45" s="2"/>
      <c r="KDW45" s="2"/>
      <c r="KDX45" s="2"/>
      <c r="KDY45" s="2"/>
      <c r="KDZ45" s="2"/>
      <c r="KEA45" s="2"/>
      <c r="KEB45" s="2"/>
      <c r="KEC45" s="2"/>
      <c r="KED45" s="2"/>
      <c r="KEE45" s="2"/>
      <c r="KEF45" s="2"/>
      <c r="KEG45" s="2"/>
      <c r="KEH45" s="2"/>
      <c r="KEI45" s="2"/>
      <c r="KEJ45" s="2"/>
      <c r="KEK45" s="2"/>
      <c r="KEL45" s="2"/>
      <c r="KEM45" s="2"/>
      <c r="KEN45" s="2"/>
      <c r="KEO45" s="2"/>
      <c r="KEP45" s="2"/>
      <c r="KEQ45" s="2"/>
      <c r="KER45" s="2"/>
      <c r="KES45" s="2"/>
      <c r="KET45" s="2"/>
      <c r="KEU45" s="2"/>
      <c r="KEV45" s="2"/>
      <c r="KEW45" s="2"/>
      <c r="KEX45" s="2"/>
      <c r="KEY45" s="2"/>
      <c r="KEZ45" s="2"/>
      <c r="KFA45" s="2"/>
      <c r="KFB45" s="2"/>
      <c r="KFC45" s="2"/>
      <c r="KFD45" s="2"/>
      <c r="KFE45" s="2"/>
      <c r="KFF45" s="2"/>
      <c r="KFG45" s="2"/>
      <c r="KFH45" s="2"/>
      <c r="KFI45" s="2"/>
      <c r="KFJ45" s="2"/>
      <c r="KFK45" s="2"/>
      <c r="KFL45" s="2"/>
      <c r="KFM45" s="2"/>
      <c r="KFN45" s="2"/>
      <c r="KFO45" s="2"/>
      <c r="KFP45" s="2"/>
      <c r="KFQ45" s="2"/>
      <c r="KFR45" s="2"/>
      <c r="KFS45" s="2"/>
      <c r="KFT45" s="2"/>
      <c r="KFU45" s="2"/>
      <c r="KFV45" s="2"/>
      <c r="KFW45" s="2"/>
      <c r="KFX45" s="2"/>
      <c r="KFY45" s="2"/>
      <c r="KFZ45" s="2"/>
      <c r="KGA45" s="2"/>
      <c r="KGB45" s="2"/>
      <c r="KGC45" s="2"/>
      <c r="KGD45" s="2"/>
      <c r="KGE45" s="2"/>
      <c r="KGF45" s="2"/>
      <c r="KGG45" s="2"/>
      <c r="KGH45" s="2"/>
      <c r="KGI45" s="2"/>
      <c r="KGJ45" s="2"/>
      <c r="KGK45" s="2"/>
      <c r="KGL45" s="2"/>
      <c r="KGM45" s="2"/>
      <c r="KGN45" s="2"/>
      <c r="KGO45" s="2"/>
      <c r="KGP45" s="2"/>
      <c r="KGQ45" s="2"/>
      <c r="KGR45" s="2"/>
      <c r="KGS45" s="2"/>
      <c r="KGT45" s="2"/>
      <c r="KGU45" s="2"/>
      <c r="KGV45" s="2"/>
      <c r="KGW45" s="2"/>
      <c r="KGX45" s="2"/>
      <c r="KGY45" s="2"/>
      <c r="KGZ45" s="2"/>
      <c r="KHA45" s="2"/>
      <c r="KHB45" s="2"/>
      <c r="KHC45" s="2"/>
      <c r="KHD45" s="2"/>
      <c r="KHE45" s="2"/>
      <c r="KHF45" s="2"/>
      <c r="KHG45" s="2"/>
      <c r="KHH45" s="2"/>
      <c r="KHI45" s="2"/>
      <c r="KHJ45" s="2"/>
      <c r="KHK45" s="2"/>
      <c r="KHL45" s="2"/>
      <c r="KHM45" s="2"/>
      <c r="KHN45" s="2"/>
      <c r="KHO45" s="2"/>
      <c r="KHP45" s="2"/>
      <c r="KHQ45" s="2"/>
      <c r="KHR45" s="2"/>
      <c r="KHS45" s="2"/>
      <c r="KHT45" s="2"/>
      <c r="KHU45" s="2"/>
      <c r="KHV45" s="2"/>
      <c r="KHW45" s="2"/>
      <c r="KHX45" s="2"/>
      <c r="KHY45" s="2"/>
      <c r="KHZ45" s="2"/>
      <c r="KIA45" s="2"/>
      <c r="KIB45" s="2"/>
      <c r="KIC45" s="2"/>
      <c r="KID45" s="2"/>
      <c r="KIE45" s="2"/>
      <c r="KIF45" s="2"/>
      <c r="KIG45" s="2"/>
      <c r="KIH45" s="2"/>
      <c r="KII45" s="2"/>
      <c r="KIJ45" s="2"/>
      <c r="KIK45" s="2"/>
      <c r="KIL45" s="2"/>
      <c r="KIM45" s="2"/>
      <c r="KIN45" s="2"/>
      <c r="KIO45" s="2"/>
      <c r="KIP45" s="2"/>
      <c r="KIQ45" s="2"/>
      <c r="KIR45" s="2"/>
      <c r="KIS45" s="2"/>
      <c r="KIT45" s="2"/>
      <c r="KIU45" s="2"/>
      <c r="KIV45" s="2"/>
      <c r="KIW45" s="2"/>
      <c r="KIX45" s="2"/>
      <c r="KIY45" s="2"/>
      <c r="KIZ45" s="2"/>
      <c r="KJA45" s="2"/>
      <c r="KJB45" s="2"/>
      <c r="KJC45" s="2"/>
      <c r="KJD45" s="2"/>
      <c r="KJE45" s="2"/>
      <c r="KJF45" s="2"/>
      <c r="KJG45" s="2"/>
      <c r="KJH45" s="2"/>
      <c r="KJI45" s="2"/>
      <c r="KJJ45" s="2"/>
      <c r="KJK45" s="2"/>
      <c r="KJL45" s="2"/>
      <c r="KJM45" s="2"/>
      <c r="KJN45" s="2"/>
      <c r="KJO45" s="2"/>
      <c r="KJP45" s="2"/>
      <c r="KJQ45" s="2"/>
      <c r="KJR45" s="2"/>
      <c r="KJS45" s="2"/>
      <c r="KJT45" s="2"/>
      <c r="KJU45" s="2"/>
      <c r="KJV45" s="2"/>
      <c r="KJW45" s="2"/>
      <c r="KJX45" s="2"/>
      <c r="KJY45" s="2"/>
      <c r="KJZ45" s="2"/>
      <c r="KKA45" s="2"/>
      <c r="KKB45" s="2"/>
      <c r="KKC45" s="2"/>
      <c r="KKD45" s="2"/>
      <c r="KKE45" s="2"/>
      <c r="KKF45" s="2"/>
      <c r="KKG45" s="2"/>
      <c r="KKH45" s="2"/>
      <c r="KKI45" s="2"/>
      <c r="KKJ45" s="2"/>
      <c r="KKK45" s="2"/>
      <c r="KKL45" s="2"/>
      <c r="KKM45" s="2"/>
      <c r="KKN45" s="2"/>
      <c r="KKO45" s="2"/>
      <c r="KKP45" s="2"/>
      <c r="KKQ45" s="2"/>
      <c r="KKR45" s="2"/>
      <c r="KKS45" s="2"/>
      <c r="KKT45" s="2"/>
      <c r="KKU45" s="2"/>
      <c r="KKV45" s="2"/>
      <c r="KKW45" s="2"/>
      <c r="KKX45" s="2"/>
      <c r="KKY45" s="2"/>
      <c r="KKZ45" s="2"/>
      <c r="KLA45" s="2"/>
      <c r="KLB45" s="2"/>
      <c r="KLC45" s="2"/>
      <c r="KLD45" s="2"/>
      <c r="KLE45" s="2"/>
      <c r="KLF45" s="2"/>
      <c r="KLG45" s="2"/>
      <c r="KLH45" s="2"/>
      <c r="KLI45" s="2"/>
      <c r="KLJ45" s="2"/>
      <c r="KLK45" s="2"/>
      <c r="KLL45" s="2"/>
      <c r="KLM45" s="2"/>
      <c r="KLN45" s="2"/>
      <c r="KLO45" s="2"/>
      <c r="KLP45" s="2"/>
      <c r="KLQ45" s="2"/>
      <c r="KLR45" s="2"/>
      <c r="KLS45" s="2"/>
      <c r="KLT45" s="2"/>
      <c r="KLU45" s="2"/>
      <c r="KLV45" s="2"/>
      <c r="KLW45" s="2"/>
      <c r="KLX45" s="2"/>
      <c r="KLY45" s="2"/>
      <c r="KLZ45" s="2"/>
      <c r="KMA45" s="2"/>
      <c r="KMB45" s="2"/>
      <c r="KMC45" s="2"/>
      <c r="KMD45" s="2"/>
      <c r="KME45" s="2"/>
      <c r="KMF45" s="2"/>
      <c r="KMG45" s="2"/>
      <c r="KMH45" s="2"/>
      <c r="KMI45" s="2"/>
      <c r="KMJ45" s="2"/>
      <c r="KMK45" s="2"/>
      <c r="KML45" s="2"/>
      <c r="KMM45" s="2"/>
      <c r="KMN45" s="2"/>
      <c r="KMO45" s="2"/>
      <c r="KMP45" s="2"/>
      <c r="KMQ45" s="2"/>
      <c r="KMR45" s="2"/>
      <c r="KMS45" s="2"/>
      <c r="KMT45" s="2"/>
      <c r="KMU45" s="2"/>
      <c r="KMV45" s="2"/>
      <c r="KMW45" s="2"/>
      <c r="KMX45" s="2"/>
      <c r="KMY45" s="2"/>
      <c r="KMZ45" s="2"/>
      <c r="KNA45" s="2"/>
      <c r="KNB45" s="2"/>
      <c r="KNC45" s="2"/>
      <c r="KND45" s="2"/>
      <c r="KNE45" s="2"/>
      <c r="KNF45" s="2"/>
      <c r="KNG45" s="2"/>
      <c r="KNH45" s="2"/>
      <c r="KNI45" s="2"/>
      <c r="KNJ45" s="2"/>
      <c r="KNK45" s="2"/>
      <c r="KNL45" s="2"/>
      <c r="KNM45" s="2"/>
      <c r="KNN45" s="2"/>
      <c r="KNO45" s="2"/>
      <c r="KNP45" s="2"/>
      <c r="KNQ45" s="2"/>
      <c r="KNR45" s="2"/>
      <c r="KNS45" s="2"/>
      <c r="KNT45" s="2"/>
      <c r="KNU45" s="2"/>
      <c r="KNV45" s="2"/>
      <c r="KNW45" s="2"/>
      <c r="KNX45" s="2"/>
      <c r="KNY45" s="2"/>
      <c r="KNZ45" s="2"/>
      <c r="KOA45" s="2"/>
      <c r="KOB45" s="2"/>
      <c r="KOC45" s="2"/>
      <c r="KOD45" s="2"/>
      <c r="KOE45" s="2"/>
      <c r="KOF45" s="2"/>
      <c r="KOG45" s="2"/>
      <c r="KOH45" s="2"/>
      <c r="KOI45" s="2"/>
      <c r="KOJ45" s="2"/>
      <c r="KOK45" s="2"/>
      <c r="KOL45" s="2"/>
      <c r="KOM45" s="2"/>
      <c r="KON45" s="2"/>
      <c r="KOO45" s="2"/>
      <c r="KOP45" s="2"/>
      <c r="KOQ45" s="2"/>
      <c r="KOR45" s="2"/>
      <c r="KOS45" s="2"/>
      <c r="KOT45" s="2"/>
      <c r="KOU45" s="2"/>
      <c r="KOV45" s="2"/>
      <c r="KOW45" s="2"/>
      <c r="KOX45" s="2"/>
      <c r="KOY45" s="2"/>
      <c r="KOZ45" s="2"/>
      <c r="KPA45" s="2"/>
      <c r="KPB45" s="2"/>
      <c r="KPC45" s="2"/>
      <c r="KPD45" s="2"/>
      <c r="KPE45" s="2"/>
      <c r="KPF45" s="2"/>
      <c r="KPG45" s="2"/>
      <c r="KPH45" s="2"/>
      <c r="KPI45" s="2"/>
      <c r="KPJ45" s="2"/>
      <c r="KPK45" s="2"/>
      <c r="KPL45" s="2"/>
      <c r="KPM45" s="2"/>
      <c r="KPN45" s="2"/>
      <c r="KPO45" s="2"/>
      <c r="KPP45" s="2"/>
      <c r="KPQ45" s="2"/>
      <c r="KPR45" s="2"/>
      <c r="KPS45" s="2"/>
      <c r="KPT45" s="2"/>
      <c r="KPU45" s="2"/>
      <c r="KPV45" s="2"/>
      <c r="KPW45" s="2"/>
      <c r="KPX45" s="2"/>
      <c r="KPY45" s="2"/>
      <c r="KPZ45" s="2"/>
      <c r="KQA45" s="2"/>
      <c r="KQB45" s="2"/>
      <c r="KQC45" s="2"/>
      <c r="KQD45" s="2"/>
      <c r="KQE45" s="2"/>
      <c r="KQF45" s="2"/>
      <c r="KQG45" s="2"/>
      <c r="KQH45" s="2"/>
      <c r="KQI45" s="2"/>
      <c r="KQJ45" s="2"/>
      <c r="KQK45" s="2"/>
      <c r="KQL45" s="2"/>
      <c r="KQM45" s="2"/>
      <c r="KQN45" s="2"/>
      <c r="KQO45" s="2"/>
      <c r="KQP45" s="2"/>
      <c r="KQQ45" s="2"/>
      <c r="KQR45" s="2"/>
      <c r="KQS45" s="2"/>
      <c r="KQT45" s="2"/>
      <c r="KQU45" s="2"/>
      <c r="KQV45" s="2"/>
      <c r="KQW45" s="2"/>
      <c r="KQX45" s="2"/>
      <c r="KQY45" s="2"/>
      <c r="KQZ45" s="2"/>
      <c r="KRA45" s="2"/>
      <c r="KRB45" s="2"/>
      <c r="KRC45" s="2"/>
      <c r="KRD45" s="2"/>
      <c r="KRE45" s="2"/>
      <c r="KRF45" s="2"/>
      <c r="KRG45" s="2"/>
      <c r="KRH45" s="2"/>
      <c r="KRI45" s="2"/>
      <c r="KRJ45" s="2"/>
      <c r="KRK45" s="2"/>
      <c r="KRL45" s="2"/>
      <c r="KRM45" s="2"/>
      <c r="KRN45" s="2"/>
      <c r="KRO45" s="2"/>
      <c r="KRP45" s="2"/>
      <c r="KRQ45" s="2"/>
      <c r="KRR45" s="2"/>
      <c r="KRS45" s="2"/>
      <c r="KRT45" s="2"/>
      <c r="KRU45" s="2"/>
      <c r="KRV45" s="2"/>
      <c r="KRW45" s="2"/>
      <c r="KRX45" s="2"/>
      <c r="KRY45" s="2"/>
      <c r="KRZ45" s="2"/>
      <c r="KSA45" s="2"/>
      <c r="KSB45" s="2"/>
      <c r="KSC45" s="2"/>
      <c r="KSD45" s="2"/>
      <c r="KSE45" s="2"/>
      <c r="KSF45" s="2"/>
      <c r="KSG45" s="2"/>
      <c r="KSH45" s="2"/>
      <c r="KSI45" s="2"/>
      <c r="KSJ45" s="2"/>
      <c r="KSK45" s="2"/>
      <c r="KSL45" s="2"/>
      <c r="KSM45" s="2"/>
      <c r="KSN45" s="2"/>
      <c r="KSO45" s="2"/>
      <c r="KSP45" s="2"/>
      <c r="KSQ45" s="2"/>
      <c r="KSR45" s="2"/>
      <c r="KSS45" s="2"/>
      <c r="KST45" s="2"/>
      <c r="KSU45" s="2"/>
      <c r="KSV45" s="2"/>
      <c r="KSW45" s="2"/>
      <c r="KSX45" s="2"/>
      <c r="KSY45" s="2"/>
      <c r="KSZ45" s="2"/>
      <c r="KTA45" s="2"/>
      <c r="KTB45" s="2"/>
      <c r="KTC45" s="2"/>
      <c r="KTD45" s="2"/>
      <c r="KTE45" s="2"/>
      <c r="KTF45" s="2"/>
      <c r="KTG45" s="2"/>
      <c r="KTH45" s="2"/>
      <c r="KTI45" s="2"/>
      <c r="KTJ45" s="2"/>
      <c r="KTK45" s="2"/>
      <c r="KTL45" s="2"/>
      <c r="KTM45" s="2"/>
      <c r="KTN45" s="2"/>
      <c r="KTO45" s="2"/>
      <c r="KTP45" s="2"/>
      <c r="KTQ45" s="2"/>
      <c r="KTR45" s="2"/>
      <c r="KTS45" s="2"/>
      <c r="KTT45" s="2"/>
      <c r="KTU45" s="2"/>
      <c r="KTV45" s="2"/>
      <c r="KTW45" s="2"/>
      <c r="KTX45" s="2"/>
      <c r="KTY45" s="2"/>
      <c r="KTZ45" s="2"/>
      <c r="KUA45" s="2"/>
      <c r="KUB45" s="2"/>
      <c r="KUC45" s="2"/>
      <c r="KUD45" s="2"/>
      <c r="KUE45" s="2"/>
      <c r="KUF45" s="2"/>
      <c r="KUG45" s="2"/>
      <c r="KUH45" s="2"/>
      <c r="KUI45" s="2"/>
      <c r="KUJ45" s="2"/>
      <c r="KUK45" s="2"/>
      <c r="KUL45" s="2"/>
      <c r="KUM45" s="2"/>
      <c r="KUN45" s="2"/>
      <c r="KUO45" s="2"/>
      <c r="KUP45" s="2"/>
      <c r="KUQ45" s="2"/>
      <c r="KUR45" s="2"/>
      <c r="KUS45" s="2"/>
      <c r="KUT45" s="2"/>
      <c r="KUU45" s="2"/>
      <c r="KUV45" s="2"/>
      <c r="KUW45" s="2"/>
      <c r="KUX45" s="2"/>
      <c r="KUY45" s="2"/>
      <c r="KUZ45" s="2"/>
      <c r="KVA45" s="2"/>
      <c r="KVB45" s="2"/>
      <c r="KVC45" s="2"/>
      <c r="KVD45" s="2"/>
      <c r="KVE45" s="2"/>
      <c r="KVF45" s="2"/>
      <c r="KVG45" s="2"/>
      <c r="KVH45" s="2"/>
      <c r="KVI45" s="2"/>
      <c r="KVJ45" s="2"/>
      <c r="KVK45" s="2"/>
      <c r="KVL45" s="2"/>
      <c r="KVM45" s="2"/>
      <c r="KVN45" s="2"/>
      <c r="KVO45" s="2"/>
      <c r="KVP45" s="2"/>
      <c r="KVQ45" s="2"/>
      <c r="KVR45" s="2"/>
      <c r="KVS45" s="2"/>
      <c r="KVT45" s="2"/>
      <c r="KVU45" s="2"/>
      <c r="KVV45" s="2"/>
      <c r="KVW45" s="2"/>
      <c r="KVX45" s="2"/>
      <c r="KVY45" s="2"/>
      <c r="KVZ45" s="2"/>
      <c r="KWA45" s="2"/>
      <c r="KWB45" s="2"/>
      <c r="KWC45" s="2"/>
      <c r="KWD45" s="2"/>
      <c r="KWE45" s="2"/>
      <c r="KWF45" s="2"/>
      <c r="KWG45" s="2"/>
      <c r="KWH45" s="2"/>
      <c r="KWI45" s="2"/>
      <c r="KWJ45" s="2"/>
      <c r="KWK45" s="2"/>
      <c r="KWL45" s="2"/>
      <c r="KWM45" s="2"/>
      <c r="KWN45" s="2"/>
      <c r="KWO45" s="2"/>
      <c r="KWP45" s="2"/>
      <c r="KWQ45" s="2"/>
      <c r="KWR45" s="2"/>
      <c r="KWS45" s="2"/>
      <c r="KWT45" s="2"/>
      <c r="KWU45" s="2"/>
      <c r="KWV45" s="2"/>
      <c r="KWW45" s="2"/>
      <c r="KWX45" s="2"/>
      <c r="KWY45" s="2"/>
      <c r="KWZ45" s="2"/>
      <c r="KXA45" s="2"/>
      <c r="KXB45" s="2"/>
      <c r="KXC45" s="2"/>
      <c r="KXD45" s="2"/>
      <c r="KXE45" s="2"/>
      <c r="KXF45" s="2"/>
      <c r="KXG45" s="2"/>
      <c r="KXH45" s="2"/>
      <c r="KXI45" s="2"/>
      <c r="KXJ45" s="2"/>
      <c r="KXK45" s="2"/>
      <c r="KXL45" s="2"/>
      <c r="KXM45" s="2"/>
      <c r="KXN45" s="2"/>
      <c r="KXO45" s="2"/>
      <c r="KXP45" s="2"/>
      <c r="KXQ45" s="2"/>
      <c r="KXR45" s="2"/>
      <c r="KXS45" s="2"/>
      <c r="KXT45" s="2"/>
      <c r="KXU45" s="2"/>
      <c r="KXV45" s="2"/>
      <c r="KXW45" s="2"/>
      <c r="KXX45" s="2"/>
      <c r="KXY45" s="2"/>
      <c r="KXZ45" s="2"/>
      <c r="KYA45" s="2"/>
      <c r="KYB45" s="2"/>
      <c r="KYC45" s="2"/>
      <c r="KYD45" s="2"/>
      <c r="KYE45" s="2"/>
      <c r="KYF45" s="2"/>
      <c r="KYG45" s="2"/>
      <c r="KYH45" s="2"/>
      <c r="KYI45" s="2"/>
      <c r="KYJ45" s="2"/>
      <c r="KYK45" s="2"/>
      <c r="KYL45" s="2"/>
      <c r="KYM45" s="2"/>
      <c r="KYN45" s="2"/>
      <c r="KYO45" s="2"/>
      <c r="KYP45" s="2"/>
      <c r="KYQ45" s="2"/>
      <c r="KYR45" s="2"/>
      <c r="KYS45" s="2"/>
      <c r="KYT45" s="2"/>
      <c r="KYU45" s="2"/>
      <c r="KYV45" s="2"/>
      <c r="KYW45" s="2"/>
      <c r="KYX45" s="2"/>
      <c r="KYY45" s="2"/>
      <c r="KYZ45" s="2"/>
      <c r="KZA45" s="2"/>
      <c r="KZB45" s="2"/>
      <c r="KZC45" s="2"/>
      <c r="KZD45" s="2"/>
      <c r="KZE45" s="2"/>
      <c r="KZF45" s="2"/>
      <c r="KZG45" s="2"/>
      <c r="KZH45" s="2"/>
      <c r="KZI45" s="2"/>
      <c r="KZJ45" s="2"/>
      <c r="KZK45" s="2"/>
      <c r="KZL45" s="2"/>
      <c r="KZM45" s="2"/>
      <c r="KZN45" s="2"/>
      <c r="KZO45" s="2"/>
      <c r="KZP45" s="2"/>
      <c r="KZQ45" s="2"/>
      <c r="KZR45" s="2"/>
      <c r="KZS45" s="2"/>
      <c r="KZT45" s="2"/>
      <c r="KZU45" s="2"/>
      <c r="KZV45" s="2"/>
      <c r="KZW45" s="2"/>
      <c r="KZX45" s="2"/>
      <c r="KZY45" s="2"/>
      <c r="KZZ45" s="2"/>
      <c r="LAA45" s="2"/>
      <c r="LAB45" s="2"/>
      <c r="LAC45" s="2"/>
      <c r="LAD45" s="2"/>
      <c r="LAE45" s="2"/>
      <c r="LAF45" s="2"/>
      <c r="LAG45" s="2"/>
      <c r="LAH45" s="2"/>
      <c r="LAI45" s="2"/>
      <c r="LAJ45" s="2"/>
      <c r="LAK45" s="2"/>
      <c r="LAL45" s="2"/>
      <c r="LAM45" s="2"/>
      <c r="LAN45" s="2"/>
      <c r="LAO45" s="2"/>
      <c r="LAP45" s="2"/>
      <c r="LAQ45" s="2"/>
      <c r="LAR45" s="2"/>
      <c r="LAS45" s="2"/>
      <c r="LAT45" s="2"/>
      <c r="LAU45" s="2"/>
      <c r="LAV45" s="2"/>
      <c r="LAW45" s="2"/>
      <c r="LAX45" s="2"/>
      <c r="LAY45" s="2"/>
      <c r="LAZ45" s="2"/>
      <c r="LBA45" s="2"/>
      <c r="LBB45" s="2"/>
      <c r="LBC45" s="2"/>
      <c r="LBD45" s="2"/>
      <c r="LBE45" s="2"/>
      <c r="LBF45" s="2"/>
      <c r="LBG45" s="2"/>
      <c r="LBH45" s="2"/>
      <c r="LBI45" s="2"/>
      <c r="LBJ45" s="2"/>
      <c r="LBK45" s="2"/>
      <c r="LBL45" s="2"/>
      <c r="LBM45" s="2"/>
      <c r="LBN45" s="2"/>
      <c r="LBO45" s="2"/>
      <c r="LBP45" s="2"/>
      <c r="LBQ45" s="2"/>
      <c r="LBR45" s="2"/>
      <c r="LBS45" s="2"/>
      <c r="LBT45" s="2"/>
      <c r="LBU45" s="2"/>
      <c r="LBV45" s="2"/>
      <c r="LBW45" s="2"/>
      <c r="LBX45" s="2"/>
      <c r="LBY45" s="2"/>
      <c r="LBZ45" s="2"/>
      <c r="LCA45" s="2"/>
      <c r="LCB45" s="2"/>
      <c r="LCC45" s="2"/>
      <c r="LCD45" s="2"/>
      <c r="LCE45" s="2"/>
      <c r="LCF45" s="2"/>
      <c r="LCG45" s="2"/>
      <c r="LCH45" s="2"/>
      <c r="LCI45" s="2"/>
      <c r="LCJ45" s="2"/>
      <c r="LCK45" s="2"/>
      <c r="LCL45" s="2"/>
      <c r="LCM45" s="2"/>
      <c r="LCN45" s="2"/>
      <c r="LCO45" s="2"/>
      <c r="LCP45" s="2"/>
      <c r="LCQ45" s="2"/>
      <c r="LCR45" s="2"/>
      <c r="LCS45" s="2"/>
      <c r="LCT45" s="2"/>
      <c r="LCU45" s="2"/>
      <c r="LCV45" s="2"/>
      <c r="LCW45" s="2"/>
      <c r="LCX45" s="2"/>
      <c r="LCY45" s="2"/>
      <c r="LCZ45" s="2"/>
      <c r="LDA45" s="2"/>
      <c r="LDB45" s="2"/>
      <c r="LDC45" s="2"/>
      <c r="LDD45" s="2"/>
      <c r="LDE45" s="2"/>
      <c r="LDF45" s="2"/>
      <c r="LDG45" s="2"/>
      <c r="LDH45" s="2"/>
      <c r="LDI45" s="2"/>
      <c r="LDJ45" s="2"/>
      <c r="LDK45" s="2"/>
      <c r="LDL45" s="2"/>
      <c r="LDM45" s="2"/>
      <c r="LDN45" s="2"/>
      <c r="LDO45" s="2"/>
      <c r="LDP45" s="2"/>
      <c r="LDQ45" s="2"/>
      <c r="LDR45" s="2"/>
      <c r="LDS45" s="2"/>
      <c r="LDT45" s="2"/>
      <c r="LDU45" s="2"/>
      <c r="LDV45" s="2"/>
      <c r="LDW45" s="2"/>
      <c r="LDX45" s="2"/>
      <c r="LDY45" s="2"/>
      <c r="LDZ45" s="2"/>
      <c r="LEA45" s="2"/>
      <c r="LEB45" s="2"/>
      <c r="LEC45" s="2"/>
      <c r="LED45" s="2"/>
      <c r="LEE45" s="2"/>
      <c r="LEF45" s="2"/>
      <c r="LEG45" s="2"/>
      <c r="LEH45" s="2"/>
      <c r="LEI45" s="2"/>
      <c r="LEJ45" s="2"/>
      <c r="LEK45" s="2"/>
      <c r="LEL45" s="2"/>
      <c r="LEM45" s="2"/>
      <c r="LEN45" s="2"/>
      <c r="LEO45" s="2"/>
      <c r="LEP45" s="2"/>
      <c r="LEQ45" s="2"/>
      <c r="LER45" s="2"/>
      <c r="LES45" s="2"/>
      <c r="LET45" s="2"/>
      <c r="LEU45" s="2"/>
      <c r="LEV45" s="2"/>
      <c r="LEW45" s="2"/>
      <c r="LEX45" s="2"/>
      <c r="LEY45" s="2"/>
      <c r="LEZ45" s="2"/>
      <c r="LFA45" s="2"/>
      <c r="LFB45" s="2"/>
      <c r="LFC45" s="2"/>
      <c r="LFD45" s="2"/>
      <c r="LFE45" s="2"/>
      <c r="LFF45" s="2"/>
      <c r="LFG45" s="2"/>
      <c r="LFH45" s="2"/>
      <c r="LFI45" s="2"/>
      <c r="LFJ45" s="2"/>
      <c r="LFK45" s="2"/>
      <c r="LFL45" s="2"/>
      <c r="LFM45" s="2"/>
      <c r="LFN45" s="2"/>
      <c r="LFO45" s="2"/>
      <c r="LFP45" s="2"/>
      <c r="LFQ45" s="2"/>
      <c r="LFR45" s="2"/>
      <c r="LFS45" s="2"/>
      <c r="LFT45" s="2"/>
      <c r="LFU45" s="2"/>
      <c r="LFV45" s="2"/>
      <c r="LFW45" s="2"/>
      <c r="LFX45" s="2"/>
      <c r="LFY45" s="2"/>
      <c r="LFZ45" s="2"/>
      <c r="LGA45" s="2"/>
      <c r="LGB45" s="2"/>
      <c r="LGC45" s="2"/>
      <c r="LGD45" s="2"/>
      <c r="LGE45" s="2"/>
      <c r="LGF45" s="2"/>
      <c r="LGG45" s="2"/>
      <c r="LGH45" s="2"/>
      <c r="LGI45" s="2"/>
      <c r="LGJ45" s="2"/>
      <c r="LGK45" s="2"/>
      <c r="LGL45" s="2"/>
      <c r="LGM45" s="2"/>
      <c r="LGN45" s="2"/>
      <c r="LGO45" s="2"/>
      <c r="LGP45" s="2"/>
      <c r="LGQ45" s="2"/>
      <c r="LGR45" s="2"/>
      <c r="LGS45" s="2"/>
      <c r="LGT45" s="2"/>
      <c r="LGU45" s="2"/>
      <c r="LGV45" s="2"/>
      <c r="LGW45" s="2"/>
      <c r="LGX45" s="2"/>
      <c r="LGY45" s="2"/>
      <c r="LGZ45" s="2"/>
      <c r="LHA45" s="2"/>
      <c r="LHB45" s="2"/>
      <c r="LHC45" s="2"/>
      <c r="LHD45" s="2"/>
      <c r="LHE45" s="2"/>
      <c r="LHF45" s="2"/>
      <c r="LHG45" s="2"/>
      <c r="LHH45" s="2"/>
      <c r="LHI45" s="2"/>
      <c r="LHJ45" s="2"/>
      <c r="LHK45" s="2"/>
      <c r="LHL45" s="2"/>
      <c r="LHM45" s="2"/>
      <c r="LHN45" s="2"/>
      <c r="LHO45" s="2"/>
      <c r="LHP45" s="2"/>
      <c r="LHQ45" s="2"/>
      <c r="LHR45" s="2"/>
      <c r="LHS45" s="2"/>
      <c r="LHT45" s="2"/>
      <c r="LHU45" s="2"/>
      <c r="LHV45" s="2"/>
      <c r="LHW45" s="2"/>
      <c r="LHX45" s="2"/>
      <c r="LHY45" s="2"/>
      <c r="LHZ45" s="2"/>
      <c r="LIA45" s="2"/>
      <c r="LIB45" s="2"/>
      <c r="LIC45" s="2"/>
      <c r="LID45" s="2"/>
      <c r="LIE45" s="2"/>
      <c r="LIF45" s="2"/>
      <c r="LIG45" s="2"/>
      <c r="LIH45" s="2"/>
      <c r="LII45" s="2"/>
      <c r="LIJ45" s="2"/>
      <c r="LIK45" s="2"/>
      <c r="LIL45" s="2"/>
      <c r="LIM45" s="2"/>
      <c r="LIN45" s="2"/>
      <c r="LIO45" s="2"/>
      <c r="LIP45" s="2"/>
      <c r="LIQ45" s="2"/>
      <c r="LIR45" s="2"/>
      <c r="LIS45" s="2"/>
      <c r="LIT45" s="2"/>
      <c r="LIU45" s="2"/>
      <c r="LIV45" s="2"/>
      <c r="LIW45" s="2"/>
      <c r="LIX45" s="2"/>
      <c r="LIY45" s="2"/>
      <c r="LIZ45" s="2"/>
      <c r="LJA45" s="2"/>
      <c r="LJB45" s="2"/>
      <c r="LJC45" s="2"/>
      <c r="LJD45" s="2"/>
      <c r="LJE45" s="2"/>
      <c r="LJF45" s="2"/>
      <c r="LJG45" s="2"/>
      <c r="LJH45" s="2"/>
      <c r="LJI45" s="2"/>
      <c r="LJJ45" s="2"/>
      <c r="LJK45" s="2"/>
      <c r="LJL45" s="2"/>
      <c r="LJM45" s="2"/>
      <c r="LJN45" s="2"/>
      <c r="LJO45" s="2"/>
      <c r="LJP45" s="2"/>
      <c r="LJQ45" s="2"/>
      <c r="LJR45" s="2"/>
      <c r="LJS45" s="2"/>
      <c r="LJT45" s="2"/>
      <c r="LJU45" s="2"/>
      <c r="LJV45" s="2"/>
      <c r="LJW45" s="2"/>
      <c r="LJX45" s="2"/>
      <c r="LJY45" s="2"/>
      <c r="LJZ45" s="2"/>
      <c r="LKA45" s="2"/>
      <c r="LKB45" s="2"/>
      <c r="LKC45" s="2"/>
      <c r="LKD45" s="2"/>
      <c r="LKE45" s="2"/>
      <c r="LKF45" s="2"/>
      <c r="LKG45" s="2"/>
      <c r="LKH45" s="2"/>
      <c r="LKI45" s="2"/>
      <c r="LKJ45" s="2"/>
      <c r="LKK45" s="2"/>
      <c r="LKL45" s="2"/>
      <c r="LKM45" s="2"/>
      <c r="LKN45" s="2"/>
      <c r="LKO45" s="2"/>
      <c r="LKP45" s="2"/>
      <c r="LKQ45" s="2"/>
      <c r="LKR45" s="2"/>
      <c r="LKS45" s="2"/>
      <c r="LKT45" s="2"/>
      <c r="LKU45" s="2"/>
      <c r="LKV45" s="2"/>
      <c r="LKW45" s="2"/>
      <c r="LKX45" s="2"/>
      <c r="LKY45" s="2"/>
      <c r="LKZ45" s="2"/>
      <c r="LLA45" s="2"/>
      <c r="LLB45" s="2"/>
      <c r="LLC45" s="2"/>
      <c r="LLD45" s="2"/>
      <c r="LLE45" s="2"/>
      <c r="LLF45" s="2"/>
      <c r="LLG45" s="2"/>
      <c r="LLH45" s="2"/>
      <c r="LLI45" s="2"/>
      <c r="LLJ45" s="2"/>
      <c r="LLK45" s="2"/>
      <c r="LLL45" s="2"/>
      <c r="LLM45" s="2"/>
      <c r="LLN45" s="2"/>
      <c r="LLO45" s="2"/>
      <c r="LLP45" s="2"/>
      <c r="LLQ45" s="2"/>
      <c r="LLR45" s="2"/>
      <c r="LLS45" s="2"/>
      <c r="LLT45" s="2"/>
      <c r="LLU45" s="2"/>
      <c r="LLV45" s="2"/>
      <c r="LLW45" s="2"/>
      <c r="LLX45" s="2"/>
      <c r="LLY45" s="2"/>
      <c r="LLZ45" s="2"/>
      <c r="LMA45" s="2"/>
      <c r="LMB45" s="2"/>
      <c r="LMC45" s="2"/>
      <c r="LMD45" s="2"/>
      <c r="LME45" s="2"/>
      <c r="LMF45" s="2"/>
      <c r="LMG45" s="2"/>
      <c r="LMH45" s="2"/>
      <c r="LMI45" s="2"/>
      <c r="LMJ45" s="2"/>
      <c r="LMK45" s="2"/>
      <c r="LML45" s="2"/>
      <c r="LMM45" s="2"/>
      <c r="LMN45" s="2"/>
      <c r="LMO45" s="2"/>
      <c r="LMP45" s="2"/>
      <c r="LMQ45" s="2"/>
      <c r="LMR45" s="2"/>
      <c r="LMS45" s="2"/>
      <c r="LMT45" s="2"/>
      <c r="LMU45" s="2"/>
      <c r="LMV45" s="2"/>
      <c r="LMW45" s="2"/>
      <c r="LMX45" s="2"/>
      <c r="LMY45" s="2"/>
      <c r="LMZ45" s="2"/>
      <c r="LNA45" s="2"/>
      <c r="LNB45" s="2"/>
      <c r="LNC45" s="2"/>
      <c r="LND45" s="2"/>
      <c r="LNE45" s="2"/>
      <c r="LNF45" s="2"/>
      <c r="LNG45" s="2"/>
      <c r="LNH45" s="2"/>
      <c r="LNI45" s="2"/>
      <c r="LNJ45" s="2"/>
      <c r="LNK45" s="2"/>
      <c r="LNL45" s="2"/>
      <c r="LNM45" s="2"/>
      <c r="LNN45" s="2"/>
      <c r="LNO45" s="2"/>
      <c r="LNP45" s="2"/>
      <c r="LNQ45" s="2"/>
      <c r="LNR45" s="2"/>
      <c r="LNS45" s="2"/>
      <c r="LNT45" s="2"/>
      <c r="LNU45" s="2"/>
      <c r="LNV45" s="2"/>
      <c r="LNW45" s="2"/>
      <c r="LNX45" s="2"/>
      <c r="LNY45" s="2"/>
      <c r="LNZ45" s="2"/>
      <c r="LOA45" s="2"/>
      <c r="LOB45" s="2"/>
      <c r="LOC45" s="2"/>
      <c r="LOD45" s="2"/>
      <c r="LOE45" s="2"/>
      <c r="LOF45" s="2"/>
      <c r="LOG45" s="2"/>
      <c r="LOH45" s="2"/>
      <c r="LOI45" s="2"/>
      <c r="LOJ45" s="2"/>
      <c r="LOK45" s="2"/>
      <c r="LOL45" s="2"/>
      <c r="LOM45" s="2"/>
      <c r="LON45" s="2"/>
      <c r="LOO45" s="2"/>
      <c r="LOP45" s="2"/>
      <c r="LOQ45" s="2"/>
      <c r="LOR45" s="2"/>
      <c r="LOS45" s="2"/>
      <c r="LOT45" s="2"/>
      <c r="LOU45" s="2"/>
      <c r="LOV45" s="2"/>
      <c r="LOW45" s="2"/>
      <c r="LOX45" s="2"/>
      <c r="LOY45" s="2"/>
      <c r="LOZ45" s="2"/>
      <c r="LPA45" s="2"/>
      <c r="LPB45" s="2"/>
      <c r="LPC45" s="2"/>
      <c r="LPD45" s="2"/>
      <c r="LPE45" s="2"/>
      <c r="LPF45" s="2"/>
      <c r="LPG45" s="2"/>
      <c r="LPH45" s="2"/>
      <c r="LPI45" s="2"/>
      <c r="LPJ45" s="2"/>
      <c r="LPK45" s="2"/>
      <c r="LPL45" s="2"/>
      <c r="LPM45" s="2"/>
      <c r="LPN45" s="2"/>
      <c r="LPO45" s="2"/>
      <c r="LPP45" s="2"/>
      <c r="LPQ45" s="2"/>
      <c r="LPR45" s="2"/>
      <c r="LPS45" s="2"/>
      <c r="LPT45" s="2"/>
      <c r="LPU45" s="2"/>
      <c r="LPV45" s="2"/>
      <c r="LPW45" s="2"/>
      <c r="LPX45" s="2"/>
      <c r="LPY45" s="2"/>
      <c r="LPZ45" s="2"/>
      <c r="LQA45" s="2"/>
      <c r="LQB45" s="2"/>
      <c r="LQC45" s="2"/>
      <c r="LQD45" s="2"/>
      <c r="LQE45" s="2"/>
      <c r="LQF45" s="2"/>
      <c r="LQG45" s="2"/>
      <c r="LQH45" s="2"/>
      <c r="LQI45" s="2"/>
      <c r="LQJ45" s="2"/>
      <c r="LQK45" s="2"/>
      <c r="LQL45" s="2"/>
      <c r="LQM45" s="2"/>
      <c r="LQN45" s="2"/>
      <c r="LQO45" s="2"/>
      <c r="LQP45" s="2"/>
      <c r="LQQ45" s="2"/>
      <c r="LQR45" s="2"/>
      <c r="LQS45" s="2"/>
      <c r="LQT45" s="2"/>
      <c r="LQU45" s="2"/>
      <c r="LQV45" s="2"/>
      <c r="LQW45" s="2"/>
      <c r="LQX45" s="2"/>
      <c r="LQY45" s="2"/>
      <c r="LQZ45" s="2"/>
      <c r="LRA45" s="2"/>
      <c r="LRB45" s="2"/>
      <c r="LRC45" s="2"/>
      <c r="LRD45" s="2"/>
      <c r="LRE45" s="2"/>
      <c r="LRF45" s="2"/>
      <c r="LRG45" s="2"/>
      <c r="LRH45" s="2"/>
      <c r="LRI45" s="2"/>
      <c r="LRJ45" s="2"/>
      <c r="LRK45" s="2"/>
      <c r="LRL45" s="2"/>
      <c r="LRM45" s="2"/>
      <c r="LRN45" s="2"/>
      <c r="LRO45" s="2"/>
      <c r="LRP45" s="2"/>
      <c r="LRQ45" s="2"/>
      <c r="LRR45" s="2"/>
      <c r="LRS45" s="2"/>
      <c r="LRT45" s="2"/>
      <c r="LRU45" s="2"/>
      <c r="LRV45" s="2"/>
      <c r="LRW45" s="2"/>
      <c r="LRX45" s="2"/>
      <c r="LRY45" s="2"/>
      <c r="LRZ45" s="2"/>
      <c r="LSA45" s="2"/>
      <c r="LSB45" s="2"/>
      <c r="LSC45" s="2"/>
      <c r="LSD45" s="2"/>
      <c r="LSE45" s="2"/>
      <c r="LSF45" s="2"/>
      <c r="LSG45" s="2"/>
      <c r="LSH45" s="2"/>
      <c r="LSI45" s="2"/>
      <c r="LSJ45" s="2"/>
      <c r="LSK45" s="2"/>
      <c r="LSL45" s="2"/>
      <c r="LSM45" s="2"/>
      <c r="LSN45" s="2"/>
      <c r="LSO45" s="2"/>
      <c r="LSP45" s="2"/>
      <c r="LSQ45" s="2"/>
      <c r="LSR45" s="2"/>
      <c r="LSS45" s="2"/>
      <c r="LST45" s="2"/>
      <c r="LSU45" s="2"/>
      <c r="LSV45" s="2"/>
      <c r="LSW45" s="2"/>
      <c r="LSX45" s="2"/>
      <c r="LSY45" s="2"/>
      <c r="LSZ45" s="2"/>
      <c r="LTA45" s="2"/>
      <c r="LTB45" s="2"/>
      <c r="LTC45" s="2"/>
      <c r="LTD45" s="2"/>
      <c r="LTE45" s="2"/>
      <c r="LTF45" s="2"/>
      <c r="LTG45" s="2"/>
      <c r="LTH45" s="2"/>
      <c r="LTI45" s="2"/>
      <c r="LTJ45" s="2"/>
      <c r="LTK45" s="2"/>
      <c r="LTL45" s="2"/>
      <c r="LTM45" s="2"/>
      <c r="LTN45" s="2"/>
      <c r="LTO45" s="2"/>
      <c r="LTP45" s="2"/>
      <c r="LTQ45" s="2"/>
      <c r="LTR45" s="2"/>
      <c r="LTS45" s="2"/>
      <c r="LTT45" s="2"/>
      <c r="LTU45" s="2"/>
      <c r="LTV45" s="2"/>
      <c r="LTW45" s="2"/>
      <c r="LTX45" s="2"/>
      <c r="LTY45" s="2"/>
      <c r="LTZ45" s="2"/>
      <c r="LUA45" s="2"/>
      <c r="LUB45" s="2"/>
      <c r="LUC45" s="2"/>
      <c r="LUD45" s="2"/>
      <c r="LUE45" s="2"/>
      <c r="LUF45" s="2"/>
      <c r="LUG45" s="2"/>
      <c r="LUH45" s="2"/>
      <c r="LUI45" s="2"/>
      <c r="LUJ45" s="2"/>
      <c r="LUK45" s="2"/>
      <c r="LUL45" s="2"/>
      <c r="LUM45" s="2"/>
      <c r="LUN45" s="2"/>
      <c r="LUO45" s="2"/>
      <c r="LUP45" s="2"/>
      <c r="LUQ45" s="2"/>
      <c r="LUR45" s="2"/>
      <c r="LUS45" s="2"/>
      <c r="LUT45" s="2"/>
      <c r="LUU45" s="2"/>
      <c r="LUV45" s="2"/>
      <c r="LUW45" s="2"/>
      <c r="LUX45" s="2"/>
      <c r="LUY45" s="2"/>
      <c r="LUZ45" s="2"/>
      <c r="LVA45" s="2"/>
      <c r="LVB45" s="2"/>
      <c r="LVC45" s="2"/>
      <c r="LVD45" s="2"/>
      <c r="LVE45" s="2"/>
      <c r="LVF45" s="2"/>
      <c r="LVG45" s="2"/>
      <c r="LVH45" s="2"/>
      <c r="LVI45" s="2"/>
      <c r="LVJ45" s="2"/>
      <c r="LVK45" s="2"/>
      <c r="LVL45" s="2"/>
      <c r="LVM45" s="2"/>
      <c r="LVN45" s="2"/>
      <c r="LVO45" s="2"/>
      <c r="LVP45" s="2"/>
      <c r="LVQ45" s="2"/>
      <c r="LVR45" s="2"/>
      <c r="LVS45" s="2"/>
      <c r="LVT45" s="2"/>
      <c r="LVU45" s="2"/>
      <c r="LVV45" s="2"/>
      <c r="LVW45" s="2"/>
      <c r="LVX45" s="2"/>
      <c r="LVY45" s="2"/>
      <c r="LVZ45" s="2"/>
      <c r="LWA45" s="2"/>
      <c r="LWB45" s="2"/>
      <c r="LWC45" s="2"/>
      <c r="LWD45" s="2"/>
      <c r="LWE45" s="2"/>
      <c r="LWF45" s="2"/>
      <c r="LWG45" s="2"/>
      <c r="LWH45" s="2"/>
      <c r="LWI45" s="2"/>
      <c r="LWJ45" s="2"/>
      <c r="LWK45" s="2"/>
      <c r="LWL45" s="2"/>
      <c r="LWM45" s="2"/>
      <c r="LWN45" s="2"/>
      <c r="LWO45" s="2"/>
      <c r="LWP45" s="2"/>
      <c r="LWQ45" s="2"/>
      <c r="LWR45" s="2"/>
      <c r="LWS45" s="2"/>
      <c r="LWT45" s="2"/>
      <c r="LWU45" s="2"/>
      <c r="LWV45" s="2"/>
      <c r="LWW45" s="2"/>
      <c r="LWX45" s="2"/>
      <c r="LWY45" s="2"/>
      <c r="LWZ45" s="2"/>
      <c r="LXA45" s="2"/>
      <c r="LXB45" s="2"/>
      <c r="LXC45" s="2"/>
      <c r="LXD45" s="2"/>
      <c r="LXE45" s="2"/>
      <c r="LXF45" s="2"/>
      <c r="LXG45" s="2"/>
      <c r="LXH45" s="2"/>
      <c r="LXI45" s="2"/>
      <c r="LXJ45" s="2"/>
      <c r="LXK45" s="2"/>
      <c r="LXL45" s="2"/>
      <c r="LXM45" s="2"/>
      <c r="LXN45" s="2"/>
      <c r="LXO45" s="2"/>
      <c r="LXP45" s="2"/>
      <c r="LXQ45" s="2"/>
      <c r="LXR45" s="2"/>
      <c r="LXS45" s="2"/>
      <c r="LXT45" s="2"/>
      <c r="LXU45" s="2"/>
      <c r="LXV45" s="2"/>
      <c r="LXW45" s="2"/>
      <c r="LXX45" s="2"/>
      <c r="LXY45" s="2"/>
      <c r="LXZ45" s="2"/>
      <c r="LYA45" s="2"/>
      <c r="LYB45" s="2"/>
      <c r="LYC45" s="2"/>
      <c r="LYD45" s="2"/>
      <c r="LYE45" s="2"/>
      <c r="LYF45" s="2"/>
      <c r="LYG45" s="2"/>
      <c r="LYH45" s="2"/>
      <c r="LYI45" s="2"/>
      <c r="LYJ45" s="2"/>
      <c r="LYK45" s="2"/>
      <c r="LYL45" s="2"/>
      <c r="LYM45" s="2"/>
      <c r="LYN45" s="2"/>
      <c r="LYO45" s="2"/>
      <c r="LYP45" s="2"/>
      <c r="LYQ45" s="2"/>
      <c r="LYR45" s="2"/>
      <c r="LYS45" s="2"/>
      <c r="LYT45" s="2"/>
      <c r="LYU45" s="2"/>
      <c r="LYV45" s="2"/>
      <c r="LYW45" s="2"/>
      <c r="LYX45" s="2"/>
      <c r="LYY45" s="2"/>
      <c r="LYZ45" s="2"/>
      <c r="LZA45" s="2"/>
      <c r="LZB45" s="2"/>
      <c r="LZC45" s="2"/>
      <c r="LZD45" s="2"/>
      <c r="LZE45" s="2"/>
      <c r="LZF45" s="2"/>
      <c r="LZG45" s="2"/>
      <c r="LZH45" s="2"/>
      <c r="LZI45" s="2"/>
      <c r="LZJ45" s="2"/>
      <c r="LZK45" s="2"/>
      <c r="LZL45" s="2"/>
      <c r="LZM45" s="2"/>
      <c r="LZN45" s="2"/>
      <c r="LZO45" s="2"/>
      <c r="LZP45" s="2"/>
      <c r="LZQ45" s="2"/>
      <c r="LZR45" s="2"/>
      <c r="LZS45" s="2"/>
      <c r="LZT45" s="2"/>
      <c r="LZU45" s="2"/>
      <c r="LZV45" s="2"/>
      <c r="LZW45" s="2"/>
      <c r="LZX45" s="2"/>
      <c r="LZY45" s="2"/>
      <c r="LZZ45" s="2"/>
      <c r="MAA45" s="2"/>
      <c r="MAB45" s="2"/>
      <c r="MAC45" s="2"/>
      <c r="MAD45" s="2"/>
      <c r="MAE45" s="2"/>
      <c r="MAF45" s="2"/>
      <c r="MAG45" s="2"/>
      <c r="MAH45" s="2"/>
      <c r="MAI45" s="2"/>
      <c r="MAJ45" s="2"/>
      <c r="MAK45" s="2"/>
      <c r="MAL45" s="2"/>
      <c r="MAM45" s="2"/>
      <c r="MAN45" s="2"/>
      <c r="MAO45" s="2"/>
      <c r="MAP45" s="2"/>
      <c r="MAQ45" s="2"/>
      <c r="MAR45" s="2"/>
      <c r="MAS45" s="2"/>
      <c r="MAT45" s="2"/>
      <c r="MAU45" s="2"/>
      <c r="MAV45" s="2"/>
      <c r="MAW45" s="2"/>
      <c r="MAX45" s="2"/>
      <c r="MAY45" s="2"/>
      <c r="MAZ45" s="2"/>
      <c r="MBA45" s="2"/>
      <c r="MBB45" s="2"/>
      <c r="MBC45" s="2"/>
      <c r="MBD45" s="2"/>
      <c r="MBE45" s="2"/>
      <c r="MBF45" s="2"/>
      <c r="MBG45" s="2"/>
      <c r="MBH45" s="2"/>
      <c r="MBI45" s="2"/>
      <c r="MBJ45" s="2"/>
      <c r="MBK45" s="2"/>
      <c r="MBL45" s="2"/>
      <c r="MBM45" s="2"/>
      <c r="MBN45" s="2"/>
      <c r="MBO45" s="2"/>
      <c r="MBP45" s="2"/>
      <c r="MBQ45" s="2"/>
      <c r="MBR45" s="2"/>
      <c r="MBS45" s="2"/>
      <c r="MBT45" s="2"/>
      <c r="MBU45" s="2"/>
      <c r="MBV45" s="2"/>
      <c r="MBW45" s="2"/>
      <c r="MBX45" s="2"/>
      <c r="MBY45" s="2"/>
      <c r="MBZ45" s="2"/>
      <c r="MCA45" s="2"/>
      <c r="MCB45" s="2"/>
      <c r="MCC45" s="2"/>
      <c r="MCD45" s="2"/>
      <c r="MCE45" s="2"/>
      <c r="MCF45" s="2"/>
      <c r="MCG45" s="2"/>
      <c r="MCH45" s="2"/>
      <c r="MCI45" s="2"/>
      <c r="MCJ45" s="2"/>
      <c r="MCK45" s="2"/>
      <c r="MCL45" s="2"/>
      <c r="MCM45" s="2"/>
      <c r="MCN45" s="2"/>
      <c r="MCO45" s="2"/>
      <c r="MCP45" s="2"/>
      <c r="MCQ45" s="2"/>
      <c r="MCR45" s="2"/>
      <c r="MCS45" s="2"/>
      <c r="MCT45" s="2"/>
      <c r="MCU45" s="2"/>
      <c r="MCV45" s="2"/>
      <c r="MCW45" s="2"/>
      <c r="MCX45" s="2"/>
      <c r="MCY45" s="2"/>
      <c r="MCZ45" s="2"/>
      <c r="MDA45" s="2"/>
      <c r="MDB45" s="2"/>
      <c r="MDC45" s="2"/>
      <c r="MDD45" s="2"/>
      <c r="MDE45" s="2"/>
      <c r="MDF45" s="2"/>
      <c r="MDG45" s="2"/>
      <c r="MDH45" s="2"/>
      <c r="MDI45" s="2"/>
      <c r="MDJ45" s="2"/>
      <c r="MDK45" s="2"/>
      <c r="MDL45" s="2"/>
      <c r="MDM45" s="2"/>
      <c r="MDN45" s="2"/>
      <c r="MDO45" s="2"/>
      <c r="MDP45" s="2"/>
      <c r="MDQ45" s="2"/>
      <c r="MDR45" s="2"/>
      <c r="MDS45" s="2"/>
      <c r="MDT45" s="2"/>
      <c r="MDU45" s="2"/>
      <c r="MDV45" s="2"/>
      <c r="MDW45" s="2"/>
      <c r="MDX45" s="2"/>
      <c r="MDY45" s="2"/>
      <c r="MDZ45" s="2"/>
      <c r="MEA45" s="2"/>
      <c r="MEB45" s="2"/>
      <c r="MEC45" s="2"/>
      <c r="MED45" s="2"/>
      <c r="MEE45" s="2"/>
      <c r="MEF45" s="2"/>
      <c r="MEG45" s="2"/>
      <c r="MEH45" s="2"/>
      <c r="MEI45" s="2"/>
      <c r="MEJ45" s="2"/>
      <c r="MEK45" s="2"/>
      <c r="MEL45" s="2"/>
      <c r="MEM45" s="2"/>
      <c r="MEN45" s="2"/>
      <c r="MEO45" s="2"/>
      <c r="MEP45" s="2"/>
      <c r="MEQ45" s="2"/>
      <c r="MER45" s="2"/>
      <c r="MES45" s="2"/>
      <c r="MET45" s="2"/>
      <c r="MEU45" s="2"/>
      <c r="MEV45" s="2"/>
      <c r="MEW45" s="2"/>
      <c r="MEX45" s="2"/>
      <c r="MEY45" s="2"/>
      <c r="MEZ45" s="2"/>
      <c r="MFA45" s="2"/>
      <c r="MFB45" s="2"/>
      <c r="MFC45" s="2"/>
      <c r="MFD45" s="2"/>
      <c r="MFE45" s="2"/>
      <c r="MFF45" s="2"/>
      <c r="MFG45" s="2"/>
      <c r="MFH45" s="2"/>
      <c r="MFI45" s="2"/>
      <c r="MFJ45" s="2"/>
      <c r="MFK45" s="2"/>
      <c r="MFL45" s="2"/>
      <c r="MFM45" s="2"/>
      <c r="MFN45" s="2"/>
      <c r="MFO45" s="2"/>
      <c r="MFP45" s="2"/>
      <c r="MFQ45" s="2"/>
      <c r="MFR45" s="2"/>
      <c r="MFS45" s="2"/>
      <c r="MFT45" s="2"/>
      <c r="MFU45" s="2"/>
      <c r="MFV45" s="2"/>
      <c r="MFW45" s="2"/>
      <c r="MFX45" s="2"/>
      <c r="MFY45" s="2"/>
      <c r="MFZ45" s="2"/>
      <c r="MGA45" s="2"/>
      <c r="MGB45" s="2"/>
      <c r="MGC45" s="2"/>
      <c r="MGD45" s="2"/>
      <c r="MGE45" s="2"/>
      <c r="MGF45" s="2"/>
      <c r="MGG45" s="2"/>
      <c r="MGH45" s="2"/>
      <c r="MGI45" s="2"/>
      <c r="MGJ45" s="2"/>
      <c r="MGK45" s="2"/>
      <c r="MGL45" s="2"/>
      <c r="MGM45" s="2"/>
      <c r="MGN45" s="2"/>
      <c r="MGO45" s="2"/>
      <c r="MGP45" s="2"/>
      <c r="MGQ45" s="2"/>
      <c r="MGR45" s="2"/>
      <c r="MGS45" s="2"/>
      <c r="MGT45" s="2"/>
      <c r="MGU45" s="2"/>
      <c r="MGV45" s="2"/>
      <c r="MGW45" s="2"/>
      <c r="MGX45" s="2"/>
      <c r="MGY45" s="2"/>
      <c r="MGZ45" s="2"/>
      <c r="MHA45" s="2"/>
      <c r="MHB45" s="2"/>
      <c r="MHC45" s="2"/>
      <c r="MHD45" s="2"/>
      <c r="MHE45" s="2"/>
      <c r="MHF45" s="2"/>
      <c r="MHG45" s="2"/>
      <c r="MHH45" s="2"/>
      <c r="MHI45" s="2"/>
      <c r="MHJ45" s="2"/>
      <c r="MHK45" s="2"/>
      <c r="MHL45" s="2"/>
      <c r="MHM45" s="2"/>
      <c r="MHN45" s="2"/>
      <c r="MHO45" s="2"/>
      <c r="MHP45" s="2"/>
      <c r="MHQ45" s="2"/>
      <c r="MHR45" s="2"/>
      <c r="MHS45" s="2"/>
      <c r="MHT45" s="2"/>
      <c r="MHU45" s="2"/>
      <c r="MHV45" s="2"/>
      <c r="MHW45" s="2"/>
      <c r="MHX45" s="2"/>
      <c r="MHY45" s="2"/>
      <c r="MHZ45" s="2"/>
      <c r="MIA45" s="2"/>
      <c r="MIB45" s="2"/>
      <c r="MIC45" s="2"/>
      <c r="MID45" s="2"/>
      <c r="MIE45" s="2"/>
      <c r="MIF45" s="2"/>
      <c r="MIG45" s="2"/>
      <c r="MIH45" s="2"/>
      <c r="MII45" s="2"/>
      <c r="MIJ45" s="2"/>
      <c r="MIK45" s="2"/>
      <c r="MIL45" s="2"/>
      <c r="MIM45" s="2"/>
      <c r="MIN45" s="2"/>
      <c r="MIO45" s="2"/>
      <c r="MIP45" s="2"/>
      <c r="MIQ45" s="2"/>
      <c r="MIR45" s="2"/>
      <c r="MIS45" s="2"/>
      <c r="MIT45" s="2"/>
      <c r="MIU45" s="2"/>
      <c r="MIV45" s="2"/>
      <c r="MIW45" s="2"/>
      <c r="MIX45" s="2"/>
      <c r="MIY45" s="2"/>
      <c r="MIZ45" s="2"/>
      <c r="MJA45" s="2"/>
      <c r="MJB45" s="2"/>
      <c r="MJC45" s="2"/>
      <c r="MJD45" s="2"/>
      <c r="MJE45" s="2"/>
      <c r="MJF45" s="2"/>
      <c r="MJG45" s="2"/>
      <c r="MJH45" s="2"/>
      <c r="MJI45" s="2"/>
      <c r="MJJ45" s="2"/>
      <c r="MJK45" s="2"/>
      <c r="MJL45" s="2"/>
      <c r="MJM45" s="2"/>
      <c r="MJN45" s="2"/>
      <c r="MJO45" s="2"/>
      <c r="MJP45" s="2"/>
      <c r="MJQ45" s="2"/>
      <c r="MJR45" s="2"/>
      <c r="MJS45" s="2"/>
      <c r="MJT45" s="2"/>
      <c r="MJU45" s="2"/>
      <c r="MJV45" s="2"/>
      <c r="MJW45" s="2"/>
      <c r="MJX45" s="2"/>
      <c r="MJY45" s="2"/>
      <c r="MJZ45" s="2"/>
      <c r="MKA45" s="2"/>
      <c r="MKB45" s="2"/>
      <c r="MKC45" s="2"/>
      <c r="MKD45" s="2"/>
      <c r="MKE45" s="2"/>
      <c r="MKF45" s="2"/>
      <c r="MKG45" s="2"/>
      <c r="MKH45" s="2"/>
      <c r="MKI45" s="2"/>
      <c r="MKJ45" s="2"/>
      <c r="MKK45" s="2"/>
      <c r="MKL45" s="2"/>
      <c r="MKM45" s="2"/>
      <c r="MKN45" s="2"/>
      <c r="MKO45" s="2"/>
      <c r="MKP45" s="2"/>
      <c r="MKQ45" s="2"/>
      <c r="MKR45" s="2"/>
      <c r="MKS45" s="2"/>
      <c r="MKT45" s="2"/>
      <c r="MKU45" s="2"/>
      <c r="MKV45" s="2"/>
      <c r="MKW45" s="2"/>
      <c r="MKX45" s="2"/>
      <c r="MKY45" s="2"/>
      <c r="MKZ45" s="2"/>
      <c r="MLA45" s="2"/>
      <c r="MLB45" s="2"/>
      <c r="MLC45" s="2"/>
      <c r="MLD45" s="2"/>
      <c r="MLE45" s="2"/>
      <c r="MLF45" s="2"/>
      <c r="MLG45" s="2"/>
      <c r="MLH45" s="2"/>
      <c r="MLI45" s="2"/>
      <c r="MLJ45" s="2"/>
      <c r="MLK45" s="2"/>
      <c r="MLL45" s="2"/>
      <c r="MLM45" s="2"/>
      <c r="MLN45" s="2"/>
      <c r="MLO45" s="2"/>
      <c r="MLP45" s="2"/>
      <c r="MLQ45" s="2"/>
      <c r="MLR45" s="2"/>
      <c r="MLS45" s="2"/>
      <c r="MLT45" s="2"/>
      <c r="MLU45" s="2"/>
      <c r="MLV45" s="2"/>
      <c r="MLW45" s="2"/>
      <c r="MLX45" s="2"/>
      <c r="MLY45" s="2"/>
      <c r="MLZ45" s="2"/>
      <c r="MMA45" s="2"/>
      <c r="MMB45" s="2"/>
      <c r="MMC45" s="2"/>
      <c r="MMD45" s="2"/>
      <c r="MME45" s="2"/>
      <c r="MMF45" s="2"/>
      <c r="MMG45" s="2"/>
      <c r="MMH45" s="2"/>
      <c r="MMI45" s="2"/>
      <c r="MMJ45" s="2"/>
      <c r="MMK45" s="2"/>
      <c r="MML45" s="2"/>
      <c r="MMM45" s="2"/>
      <c r="MMN45" s="2"/>
      <c r="MMO45" s="2"/>
      <c r="MMP45" s="2"/>
      <c r="MMQ45" s="2"/>
      <c r="MMR45" s="2"/>
      <c r="MMS45" s="2"/>
      <c r="MMT45" s="2"/>
      <c r="MMU45" s="2"/>
      <c r="MMV45" s="2"/>
      <c r="MMW45" s="2"/>
      <c r="MMX45" s="2"/>
      <c r="MMY45" s="2"/>
      <c r="MMZ45" s="2"/>
      <c r="MNA45" s="2"/>
      <c r="MNB45" s="2"/>
      <c r="MNC45" s="2"/>
      <c r="MND45" s="2"/>
      <c r="MNE45" s="2"/>
      <c r="MNF45" s="2"/>
      <c r="MNG45" s="2"/>
      <c r="MNH45" s="2"/>
      <c r="MNI45" s="2"/>
      <c r="MNJ45" s="2"/>
      <c r="MNK45" s="2"/>
      <c r="MNL45" s="2"/>
      <c r="MNM45" s="2"/>
      <c r="MNN45" s="2"/>
      <c r="MNO45" s="2"/>
      <c r="MNP45" s="2"/>
      <c r="MNQ45" s="2"/>
      <c r="MNR45" s="2"/>
      <c r="MNS45" s="2"/>
      <c r="MNT45" s="2"/>
      <c r="MNU45" s="2"/>
      <c r="MNV45" s="2"/>
      <c r="MNW45" s="2"/>
      <c r="MNX45" s="2"/>
      <c r="MNY45" s="2"/>
      <c r="MNZ45" s="2"/>
      <c r="MOA45" s="2"/>
      <c r="MOB45" s="2"/>
      <c r="MOC45" s="2"/>
      <c r="MOD45" s="2"/>
      <c r="MOE45" s="2"/>
      <c r="MOF45" s="2"/>
      <c r="MOG45" s="2"/>
      <c r="MOH45" s="2"/>
      <c r="MOI45" s="2"/>
      <c r="MOJ45" s="2"/>
      <c r="MOK45" s="2"/>
      <c r="MOL45" s="2"/>
      <c r="MOM45" s="2"/>
      <c r="MON45" s="2"/>
      <c r="MOO45" s="2"/>
      <c r="MOP45" s="2"/>
      <c r="MOQ45" s="2"/>
      <c r="MOR45" s="2"/>
      <c r="MOS45" s="2"/>
      <c r="MOT45" s="2"/>
      <c r="MOU45" s="2"/>
      <c r="MOV45" s="2"/>
      <c r="MOW45" s="2"/>
      <c r="MOX45" s="2"/>
      <c r="MOY45" s="2"/>
      <c r="MOZ45" s="2"/>
      <c r="MPA45" s="2"/>
      <c r="MPB45" s="2"/>
      <c r="MPC45" s="2"/>
      <c r="MPD45" s="2"/>
      <c r="MPE45" s="2"/>
      <c r="MPF45" s="2"/>
      <c r="MPG45" s="2"/>
      <c r="MPH45" s="2"/>
      <c r="MPI45" s="2"/>
      <c r="MPJ45" s="2"/>
      <c r="MPK45" s="2"/>
      <c r="MPL45" s="2"/>
      <c r="MPM45" s="2"/>
      <c r="MPN45" s="2"/>
      <c r="MPO45" s="2"/>
      <c r="MPP45" s="2"/>
      <c r="MPQ45" s="2"/>
      <c r="MPR45" s="2"/>
      <c r="MPS45" s="2"/>
      <c r="MPT45" s="2"/>
      <c r="MPU45" s="2"/>
      <c r="MPV45" s="2"/>
      <c r="MPW45" s="2"/>
      <c r="MPX45" s="2"/>
      <c r="MPY45" s="2"/>
      <c r="MPZ45" s="2"/>
      <c r="MQA45" s="2"/>
      <c r="MQB45" s="2"/>
      <c r="MQC45" s="2"/>
      <c r="MQD45" s="2"/>
      <c r="MQE45" s="2"/>
      <c r="MQF45" s="2"/>
      <c r="MQG45" s="2"/>
      <c r="MQH45" s="2"/>
      <c r="MQI45" s="2"/>
      <c r="MQJ45" s="2"/>
      <c r="MQK45" s="2"/>
      <c r="MQL45" s="2"/>
      <c r="MQM45" s="2"/>
      <c r="MQN45" s="2"/>
      <c r="MQO45" s="2"/>
      <c r="MQP45" s="2"/>
      <c r="MQQ45" s="2"/>
      <c r="MQR45" s="2"/>
      <c r="MQS45" s="2"/>
      <c r="MQT45" s="2"/>
      <c r="MQU45" s="2"/>
      <c r="MQV45" s="2"/>
      <c r="MQW45" s="2"/>
      <c r="MQX45" s="2"/>
      <c r="MQY45" s="2"/>
      <c r="MQZ45" s="2"/>
      <c r="MRA45" s="2"/>
      <c r="MRB45" s="2"/>
      <c r="MRC45" s="2"/>
      <c r="MRD45" s="2"/>
      <c r="MRE45" s="2"/>
      <c r="MRF45" s="2"/>
      <c r="MRG45" s="2"/>
      <c r="MRH45" s="2"/>
      <c r="MRI45" s="2"/>
      <c r="MRJ45" s="2"/>
      <c r="MRK45" s="2"/>
      <c r="MRL45" s="2"/>
      <c r="MRM45" s="2"/>
      <c r="MRN45" s="2"/>
      <c r="MRO45" s="2"/>
      <c r="MRP45" s="2"/>
      <c r="MRQ45" s="2"/>
      <c r="MRR45" s="2"/>
      <c r="MRS45" s="2"/>
      <c r="MRT45" s="2"/>
      <c r="MRU45" s="2"/>
      <c r="MRV45" s="2"/>
      <c r="MRW45" s="2"/>
      <c r="MRX45" s="2"/>
      <c r="MRY45" s="2"/>
      <c r="MRZ45" s="2"/>
      <c r="MSA45" s="2"/>
      <c r="MSB45" s="2"/>
      <c r="MSC45" s="2"/>
      <c r="MSD45" s="2"/>
      <c r="MSE45" s="2"/>
      <c r="MSF45" s="2"/>
      <c r="MSG45" s="2"/>
      <c r="MSH45" s="2"/>
      <c r="MSI45" s="2"/>
      <c r="MSJ45" s="2"/>
      <c r="MSK45" s="2"/>
      <c r="MSL45" s="2"/>
      <c r="MSM45" s="2"/>
      <c r="MSN45" s="2"/>
      <c r="MSO45" s="2"/>
      <c r="MSP45" s="2"/>
      <c r="MSQ45" s="2"/>
      <c r="MSR45" s="2"/>
      <c r="MSS45" s="2"/>
      <c r="MST45" s="2"/>
      <c r="MSU45" s="2"/>
      <c r="MSV45" s="2"/>
      <c r="MSW45" s="2"/>
      <c r="MSX45" s="2"/>
      <c r="MSY45" s="2"/>
      <c r="MSZ45" s="2"/>
      <c r="MTA45" s="2"/>
      <c r="MTB45" s="2"/>
      <c r="MTC45" s="2"/>
      <c r="MTD45" s="2"/>
      <c r="MTE45" s="2"/>
      <c r="MTF45" s="2"/>
      <c r="MTG45" s="2"/>
      <c r="MTH45" s="2"/>
      <c r="MTI45" s="2"/>
      <c r="MTJ45" s="2"/>
      <c r="MTK45" s="2"/>
      <c r="MTL45" s="2"/>
      <c r="MTM45" s="2"/>
      <c r="MTN45" s="2"/>
      <c r="MTO45" s="2"/>
      <c r="MTP45" s="2"/>
      <c r="MTQ45" s="2"/>
      <c r="MTR45" s="2"/>
      <c r="MTS45" s="2"/>
      <c r="MTT45" s="2"/>
      <c r="MTU45" s="2"/>
      <c r="MTV45" s="2"/>
      <c r="MTW45" s="2"/>
      <c r="MTX45" s="2"/>
      <c r="MTY45" s="2"/>
      <c r="MTZ45" s="2"/>
      <c r="MUA45" s="2"/>
      <c r="MUB45" s="2"/>
      <c r="MUC45" s="2"/>
      <c r="MUD45" s="2"/>
      <c r="MUE45" s="2"/>
      <c r="MUF45" s="2"/>
      <c r="MUG45" s="2"/>
      <c r="MUH45" s="2"/>
      <c r="MUI45" s="2"/>
      <c r="MUJ45" s="2"/>
      <c r="MUK45" s="2"/>
      <c r="MUL45" s="2"/>
      <c r="MUM45" s="2"/>
      <c r="MUN45" s="2"/>
      <c r="MUO45" s="2"/>
      <c r="MUP45" s="2"/>
      <c r="MUQ45" s="2"/>
      <c r="MUR45" s="2"/>
      <c r="MUS45" s="2"/>
      <c r="MUT45" s="2"/>
      <c r="MUU45" s="2"/>
      <c r="MUV45" s="2"/>
      <c r="MUW45" s="2"/>
      <c r="MUX45" s="2"/>
      <c r="MUY45" s="2"/>
      <c r="MUZ45" s="2"/>
      <c r="MVA45" s="2"/>
      <c r="MVB45" s="2"/>
      <c r="MVC45" s="2"/>
      <c r="MVD45" s="2"/>
      <c r="MVE45" s="2"/>
      <c r="MVF45" s="2"/>
      <c r="MVG45" s="2"/>
      <c r="MVH45" s="2"/>
      <c r="MVI45" s="2"/>
      <c r="MVJ45" s="2"/>
      <c r="MVK45" s="2"/>
      <c r="MVL45" s="2"/>
      <c r="MVM45" s="2"/>
      <c r="MVN45" s="2"/>
      <c r="MVO45" s="2"/>
      <c r="MVP45" s="2"/>
      <c r="MVQ45" s="2"/>
      <c r="MVR45" s="2"/>
      <c r="MVS45" s="2"/>
      <c r="MVT45" s="2"/>
      <c r="MVU45" s="2"/>
      <c r="MVV45" s="2"/>
      <c r="MVW45" s="2"/>
      <c r="MVX45" s="2"/>
      <c r="MVY45" s="2"/>
      <c r="MVZ45" s="2"/>
      <c r="MWA45" s="2"/>
      <c r="MWB45" s="2"/>
      <c r="MWC45" s="2"/>
      <c r="MWD45" s="2"/>
      <c r="MWE45" s="2"/>
      <c r="MWF45" s="2"/>
      <c r="MWG45" s="2"/>
      <c r="MWH45" s="2"/>
      <c r="MWI45" s="2"/>
      <c r="MWJ45" s="2"/>
      <c r="MWK45" s="2"/>
      <c r="MWL45" s="2"/>
      <c r="MWM45" s="2"/>
      <c r="MWN45" s="2"/>
      <c r="MWO45" s="2"/>
      <c r="MWP45" s="2"/>
      <c r="MWQ45" s="2"/>
      <c r="MWR45" s="2"/>
      <c r="MWS45" s="2"/>
      <c r="MWT45" s="2"/>
      <c r="MWU45" s="2"/>
      <c r="MWV45" s="2"/>
      <c r="MWW45" s="2"/>
      <c r="MWX45" s="2"/>
      <c r="MWY45" s="2"/>
      <c r="MWZ45" s="2"/>
      <c r="MXA45" s="2"/>
      <c r="MXB45" s="2"/>
      <c r="MXC45" s="2"/>
      <c r="MXD45" s="2"/>
      <c r="MXE45" s="2"/>
      <c r="MXF45" s="2"/>
      <c r="MXG45" s="2"/>
      <c r="MXH45" s="2"/>
      <c r="MXI45" s="2"/>
      <c r="MXJ45" s="2"/>
      <c r="MXK45" s="2"/>
      <c r="MXL45" s="2"/>
      <c r="MXM45" s="2"/>
      <c r="MXN45" s="2"/>
      <c r="MXO45" s="2"/>
      <c r="MXP45" s="2"/>
      <c r="MXQ45" s="2"/>
      <c r="MXR45" s="2"/>
      <c r="MXS45" s="2"/>
      <c r="MXT45" s="2"/>
      <c r="MXU45" s="2"/>
      <c r="MXV45" s="2"/>
      <c r="MXW45" s="2"/>
      <c r="MXX45" s="2"/>
      <c r="MXY45" s="2"/>
      <c r="MXZ45" s="2"/>
      <c r="MYA45" s="2"/>
      <c r="MYB45" s="2"/>
      <c r="MYC45" s="2"/>
      <c r="MYD45" s="2"/>
      <c r="MYE45" s="2"/>
      <c r="MYF45" s="2"/>
      <c r="MYG45" s="2"/>
      <c r="MYH45" s="2"/>
      <c r="MYI45" s="2"/>
      <c r="MYJ45" s="2"/>
      <c r="MYK45" s="2"/>
      <c r="MYL45" s="2"/>
      <c r="MYM45" s="2"/>
      <c r="MYN45" s="2"/>
      <c r="MYO45" s="2"/>
      <c r="MYP45" s="2"/>
      <c r="MYQ45" s="2"/>
      <c r="MYR45" s="2"/>
      <c r="MYS45" s="2"/>
      <c r="MYT45" s="2"/>
      <c r="MYU45" s="2"/>
      <c r="MYV45" s="2"/>
      <c r="MYW45" s="2"/>
      <c r="MYX45" s="2"/>
      <c r="MYY45" s="2"/>
      <c r="MYZ45" s="2"/>
      <c r="MZA45" s="2"/>
      <c r="MZB45" s="2"/>
      <c r="MZC45" s="2"/>
      <c r="MZD45" s="2"/>
      <c r="MZE45" s="2"/>
      <c r="MZF45" s="2"/>
      <c r="MZG45" s="2"/>
      <c r="MZH45" s="2"/>
      <c r="MZI45" s="2"/>
      <c r="MZJ45" s="2"/>
      <c r="MZK45" s="2"/>
      <c r="MZL45" s="2"/>
      <c r="MZM45" s="2"/>
      <c r="MZN45" s="2"/>
      <c r="MZO45" s="2"/>
      <c r="MZP45" s="2"/>
      <c r="MZQ45" s="2"/>
      <c r="MZR45" s="2"/>
      <c r="MZS45" s="2"/>
      <c r="MZT45" s="2"/>
      <c r="MZU45" s="2"/>
      <c r="MZV45" s="2"/>
      <c r="MZW45" s="2"/>
      <c r="MZX45" s="2"/>
      <c r="MZY45" s="2"/>
      <c r="MZZ45" s="2"/>
      <c r="NAA45" s="2"/>
      <c r="NAB45" s="2"/>
      <c r="NAC45" s="2"/>
      <c r="NAD45" s="2"/>
      <c r="NAE45" s="2"/>
      <c r="NAF45" s="2"/>
      <c r="NAG45" s="2"/>
      <c r="NAH45" s="2"/>
      <c r="NAI45" s="2"/>
      <c r="NAJ45" s="2"/>
      <c r="NAK45" s="2"/>
      <c r="NAL45" s="2"/>
      <c r="NAM45" s="2"/>
      <c r="NAN45" s="2"/>
      <c r="NAO45" s="2"/>
      <c r="NAP45" s="2"/>
      <c r="NAQ45" s="2"/>
      <c r="NAR45" s="2"/>
      <c r="NAS45" s="2"/>
      <c r="NAT45" s="2"/>
      <c r="NAU45" s="2"/>
      <c r="NAV45" s="2"/>
      <c r="NAW45" s="2"/>
      <c r="NAX45" s="2"/>
      <c r="NAY45" s="2"/>
      <c r="NAZ45" s="2"/>
      <c r="NBA45" s="2"/>
      <c r="NBB45" s="2"/>
      <c r="NBC45" s="2"/>
      <c r="NBD45" s="2"/>
      <c r="NBE45" s="2"/>
      <c r="NBF45" s="2"/>
      <c r="NBG45" s="2"/>
      <c r="NBH45" s="2"/>
      <c r="NBI45" s="2"/>
      <c r="NBJ45" s="2"/>
      <c r="NBK45" s="2"/>
      <c r="NBL45" s="2"/>
      <c r="NBM45" s="2"/>
      <c r="NBN45" s="2"/>
      <c r="NBO45" s="2"/>
      <c r="NBP45" s="2"/>
      <c r="NBQ45" s="2"/>
      <c r="NBR45" s="2"/>
      <c r="NBS45" s="2"/>
      <c r="NBT45" s="2"/>
      <c r="NBU45" s="2"/>
      <c r="NBV45" s="2"/>
      <c r="NBW45" s="2"/>
      <c r="NBX45" s="2"/>
      <c r="NBY45" s="2"/>
      <c r="NBZ45" s="2"/>
      <c r="NCA45" s="2"/>
      <c r="NCB45" s="2"/>
      <c r="NCC45" s="2"/>
      <c r="NCD45" s="2"/>
      <c r="NCE45" s="2"/>
      <c r="NCF45" s="2"/>
      <c r="NCG45" s="2"/>
      <c r="NCH45" s="2"/>
      <c r="NCI45" s="2"/>
      <c r="NCJ45" s="2"/>
      <c r="NCK45" s="2"/>
      <c r="NCL45" s="2"/>
      <c r="NCM45" s="2"/>
      <c r="NCN45" s="2"/>
      <c r="NCO45" s="2"/>
      <c r="NCP45" s="2"/>
      <c r="NCQ45" s="2"/>
      <c r="NCR45" s="2"/>
      <c r="NCS45" s="2"/>
      <c r="NCT45" s="2"/>
      <c r="NCU45" s="2"/>
      <c r="NCV45" s="2"/>
      <c r="NCW45" s="2"/>
      <c r="NCX45" s="2"/>
      <c r="NCY45" s="2"/>
      <c r="NCZ45" s="2"/>
      <c r="NDA45" s="2"/>
      <c r="NDB45" s="2"/>
      <c r="NDC45" s="2"/>
      <c r="NDD45" s="2"/>
      <c r="NDE45" s="2"/>
      <c r="NDF45" s="2"/>
      <c r="NDG45" s="2"/>
      <c r="NDH45" s="2"/>
      <c r="NDI45" s="2"/>
      <c r="NDJ45" s="2"/>
      <c r="NDK45" s="2"/>
      <c r="NDL45" s="2"/>
      <c r="NDM45" s="2"/>
      <c r="NDN45" s="2"/>
      <c r="NDO45" s="2"/>
      <c r="NDP45" s="2"/>
      <c r="NDQ45" s="2"/>
      <c r="NDR45" s="2"/>
      <c r="NDS45" s="2"/>
      <c r="NDT45" s="2"/>
      <c r="NDU45" s="2"/>
      <c r="NDV45" s="2"/>
      <c r="NDW45" s="2"/>
      <c r="NDX45" s="2"/>
      <c r="NDY45" s="2"/>
      <c r="NDZ45" s="2"/>
      <c r="NEA45" s="2"/>
      <c r="NEB45" s="2"/>
      <c r="NEC45" s="2"/>
      <c r="NED45" s="2"/>
      <c r="NEE45" s="2"/>
      <c r="NEF45" s="2"/>
      <c r="NEG45" s="2"/>
      <c r="NEH45" s="2"/>
      <c r="NEI45" s="2"/>
      <c r="NEJ45" s="2"/>
      <c r="NEK45" s="2"/>
      <c r="NEL45" s="2"/>
      <c r="NEM45" s="2"/>
      <c r="NEN45" s="2"/>
      <c r="NEO45" s="2"/>
      <c r="NEP45" s="2"/>
      <c r="NEQ45" s="2"/>
      <c r="NER45" s="2"/>
      <c r="NES45" s="2"/>
      <c r="NET45" s="2"/>
      <c r="NEU45" s="2"/>
      <c r="NEV45" s="2"/>
      <c r="NEW45" s="2"/>
      <c r="NEX45" s="2"/>
      <c r="NEY45" s="2"/>
      <c r="NEZ45" s="2"/>
      <c r="NFA45" s="2"/>
      <c r="NFB45" s="2"/>
      <c r="NFC45" s="2"/>
      <c r="NFD45" s="2"/>
      <c r="NFE45" s="2"/>
      <c r="NFF45" s="2"/>
      <c r="NFG45" s="2"/>
      <c r="NFH45" s="2"/>
      <c r="NFI45" s="2"/>
      <c r="NFJ45" s="2"/>
      <c r="NFK45" s="2"/>
      <c r="NFL45" s="2"/>
      <c r="NFM45" s="2"/>
      <c r="NFN45" s="2"/>
      <c r="NFO45" s="2"/>
      <c r="NFP45" s="2"/>
      <c r="NFQ45" s="2"/>
      <c r="NFR45" s="2"/>
      <c r="NFS45" s="2"/>
      <c r="NFT45" s="2"/>
      <c r="NFU45" s="2"/>
      <c r="NFV45" s="2"/>
      <c r="NFW45" s="2"/>
      <c r="NFX45" s="2"/>
      <c r="NFY45" s="2"/>
      <c r="NFZ45" s="2"/>
      <c r="NGA45" s="2"/>
      <c r="NGB45" s="2"/>
      <c r="NGC45" s="2"/>
      <c r="NGD45" s="2"/>
      <c r="NGE45" s="2"/>
      <c r="NGF45" s="2"/>
      <c r="NGG45" s="2"/>
      <c r="NGH45" s="2"/>
      <c r="NGI45" s="2"/>
      <c r="NGJ45" s="2"/>
      <c r="NGK45" s="2"/>
      <c r="NGL45" s="2"/>
      <c r="NGM45" s="2"/>
      <c r="NGN45" s="2"/>
      <c r="NGO45" s="2"/>
      <c r="NGP45" s="2"/>
      <c r="NGQ45" s="2"/>
      <c r="NGR45" s="2"/>
      <c r="NGS45" s="2"/>
      <c r="NGT45" s="2"/>
      <c r="NGU45" s="2"/>
      <c r="NGV45" s="2"/>
      <c r="NGW45" s="2"/>
      <c r="NGX45" s="2"/>
      <c r="NGY45" s="2"/>
      <c r="NGZ45" s="2"/>
      <c r="NHA45" s="2"/>
      <c r="NHB45" s="2"/>
      <c r="NHC45" s="2"/>
      <c r="NHD45" s="2"/>
      <c r="NHE45" s="2"/>
      <c r="NHF45" s="2"/>
      <c r="NHG45" s="2"/>
      <c r="NHH45" s="2"/>
      <c r="NHI45" s="2"/>
      <c r="NHJ45" s="2"/>
      <c r="NHK45" s="2"/>
      <c r="NHL45" s="2"/>
      <c r="NHM45" s="2"/>
      <c r="NHN45" s="2"/>
      <c r="NHO45" s="2"/>
      <c r="NHP45" s="2"/>
      <c r="NHQ45" s="2"/>
      <c r="NHR45" s="2"/>
      <c r="NHS45" s="2"/>
      <c r="NHT45" s="2"/>
      <c r="NHU45" s="2"/>
      <c r="NHV45" s="2"/>
      <c r="NHW45" s="2"/>
      <c r="NHX45" s="2"/>
      <c r="NHY45" s="2"/>
      <c r="NHZ45" s="2"/>
      <c r="NIA45" s="2"/>
      <c r="NIB45" s="2"/>
      <c r="NIC45" s="2"/>
      <c r="NID45" s="2"/>
      <c r="NIE45" s="2"/>
      <c r="NIF45" s="2"/>
      <c r="NIG45" s="2"/>
      <c r="NIH45" s="2"/>
      <c r="NII45" s="2"/>
      <c r="NIJ45" s="2"/>
      <c r="NIK45" s="2"/>
      <c r="NIL45" s="2"/>
      <c r="NIM45" s="2"/>
      <c r="NIN45" s="2"/>
      <c r="NIO45" s="2"/>
      <c r="NIP45" s="2"/>
      <c r="NIQ45" s="2"/>
      <c r="NIR45" s="2"/>
      <c r="NIS45" s="2"/>
      <c r="NIT45" s="2"/>
      <c r="NIU45" s="2"/>
      <c r="NIV45" s="2"/>
      <c r="NIW45" s="2"/>
      <c r="NIX45" s="2"/>
      <c r="NIY45" s="2"/>
      <c r="NIZ45" s="2"/>
      <c r="NJA45" s="2"/>
      <c r="NJB45" s="2"/>
      <c r="NJC45" s="2"/>
      <c r="NJD45" s="2"/>
      <c r="NJE45" s="2"/>
      <c r="NJF45" s="2"/>
      <c r="NJG45" s="2"/>
      <c r="NJH45" s="2"/>
      <c r="NJI45" s="2"/>
      <c r="NJJ45" s="2"/>
      <c r="NJK45" s="2"/>
      <c r="NJL45" s="2"/>
      <c r="NJM45" s="2"/>
      <c r="NJN45" s="2"/>
      <c r="NJO45" s="2"/>
      <c r="NJP45" s="2"/>
      <c r="NJQ45" s="2"/>
      <c r="NJR45" s="2"/>
      <c r="NJS45" s="2"/>
      <c r="NJT45" s="2"/>
      <c r="NJU45" s="2"/>
      <c r="NJV45" s="2"/>
      <c r="NJW45" s="2"/>
      <c r="NJX45" s="2"/>
      <c r="NJY45" s="2"/>
      <c r="NJZ45" s="2"/>
      <c r="NKA45" s="2"/>
      <c r="NKB45" s="2"/>
      <c r="NKC45" s="2"/>
      <c r="NKD45" s="2"/>
      <c r="NKE45" s="2"/>
      <c r="NKF45" s="2"/>
      <c r="NKG45" s="2"/>
      <c r="NKH45" s="2"/>
      <c r="NKI45" s="2"/>
      <c r="NKJ45" s="2"/>
      <c r="NKK45" s="2"/>
      <c r="NKL45" s="2"/>
      <c r="NKM45" s="2"/>
      <c r="NKN45" s="2"/>
      <c r="NKO45" s="2"/>
      <c r="NKP45" s="2"/>
      <c r="NKQ45" s="2"/>
      <c r="NKR45" s="2"/>
      <c r="NKS45" s="2"/>
      <c r="NKT45" s="2"/>
      <c r="NKU45" s="2"/>
      <c r="NKV45" s="2"/>
      <c r="NKW45" s="2"/>
      <c r="NKX45" s="2"/>
      <c r="NKY45" s="2"/>
      <c r="NKZ45" s="2"/>
      <c r="NLA45" s="2"/>
      <c r="NLB45" s="2"/>
      <c r="NLC45" s="2"/>
      <c r="NLD45" s="2"/>
      <c r="NLE45" s="2"/>
      <c r="NLF45" s="2"/>
      <c r="NLG45" s="2"/>
      <c r="NLH45" s="2"/>
      <c r="NLI45" s="2"/>
      <c r="NLJ45" s="2"/>
      <c r="NLK45" s="2"/>
      <c r="NLL45" s="2"/>
      <c r="NLM45" s="2"/>
      <c r="NLN45" s="2"/>
      <c r="NLO45" s="2"/>
      <c r="NLP45" s="2"/>
      <c r="NLQ45" s="2"/>
      <c r="NLR45" s="2"/>
      <c r="NLS45" s="2"/>
      <c r="NLT45" s="2"/>
      <c r="NLU45" s="2"/>
      <c r="NLV45" s="2"/>
      <c r="NLW45" s="2"/>
      <c r="NLX45" s="2"/>
      <c r="NLY45" s="2"/>
      <c r="NLZ45" s="2"/>
      <c r="NMA45" s="2"/>
      <c r="NMB45" s="2"/>
      <c r="NMC45" s="2"/>
      <c r="NMD45" s="2"/>
      <c r="NME45" s="2"/>
      <c r="NMF45" s="2"/>
      <c r="NMG45" s="2"/>
      <c r="NMH45" s="2"/>
      <c r="NMI45" s="2"/>
      <c r="NMJ45" s="2"/>
      <c r="NMK45" s="2"/>
      <c r="NML45" s="2"/>
      <c r="NMM45" s="2"/>
      <c r="NMN45" s="2"/>
      <c r="NMO45" s="2"/>
      <c r="NMP45" s="2"/>
      <c r="NMQ45" s="2"/>
      <c r="NMR45" s="2"/>
      <c r="NMS45" s="2"/>
      <c r="NMT45" s="2"/>
      <c r="NMU45" s="2"/>
      <c r="NMV45" s="2"/>
      <c r="NMW45" s="2"/>
      <c r="NMX45" s="2"/>
      <c r="NMY45" s="2"/>
      <c r="NMZ45" s="2"/>
      <c r="NNA45" s="2"/>
      <c r="NNB45" s="2"/>
      <c r="NNC45" s="2"/>
      <c r="NND45" s="2"/>
      <c r="NNE45" s="2"/>
      <c r="NNF45" s="2"/>
      <c r="NNG45" s="2"/>
      <c r="NNH45" s="2"/>
      <c r="NNI45" s="2"/>
      <c r="NNJ45" s="2"/>
      <c r="NNK45" s="2"/>
      <c r="NNL45" s="2"/>
      <c r="NNM45" s="2"/>
      <c r="NNN45" s="2"/>
      <c r="NNO45" s="2"/>
      <c r="NNP45" s="2"/>
      <c r="NNQ45" s="2"/>
      <c r="NNR45" s="2"/>
      <c r="NNS45" s="2"/>
      <c r="NNT45" s="2"/>
      <c r="NNU45" s="2"/>
      <c r="NNV45" s="2"/>
      <c r="NNW45" s="2"/>
      <c r="NNX45" s="2"/>
      <c r="NNY45" s="2"/>
      <c r="NNZ45" s="2"/>
      <c r="NOA45" s="2"/>
      <c r="NOB45" s="2"/>
      <c r="NOC45" s="2"/>
      <c r="NOD45" s="2"/>
      <c r="NOE45" s="2"/>
      <c r="NOF45" s="2"/>
      <c r="NOG45" s="2"/>
      <c r="NOH45" s="2"/>
      <c r="NOI45" s="2"/>
      <c r="NOJ45" s="2"/>
      <c r="NOK45" s="2"/>
      <c r="NOL45" s="2"/>
      <c r="NOM45" s="2"/>
      <c r="NON45" s="2"/>
      <c r="NOO45" s="2"/>
      <c r="NOP45" s="2"/>
      <c r="NOQ45" s="2"/>
      <c r="NOR45" s="2"/>
      <c r="NOS45" s="2"/>
      <c r="NOT45" s="2"/>
      <c r="NOU45" s="2"/>
      <c r="NOV45" s="2"/>
      <c r="NOW45" s="2"/>
      <c r="NOX45" s="2"/>
      <c r="NOY45" s="2"/>
      <c r="NOZ45" s="2"/>
      <c r="NPA45" s="2"/>
      <c r="NPB45" s="2"/>
      <c r="NPC45" s="2"/>
      <c r="NPD45" s="2"/>
      <c r="NPE45" s="2"/>
      <c r="NPF45" s="2"/>
      <c r="NPG45" s="2"/>
      <c r="NPH45" s="2"/>
      <c r="NPI45" s="2"/>
      <c r="NPJ45" s="2"/>
      <c r="NPK45" s="2"/>
      <c r="NPL45" s="2"/>
      <c r="NPM45" s="2"/>
      <c r="NPN45" s="2"/>
      <c r="NPO45" s="2"/>
      <c r="NPP45" s="2"/>
      <c r="NPQ45" s="2"/>
      <c r="NPR45" s="2"/>
      <c r="NPS45" s="2"/>
      <c r="NPT45" s="2"/>
      <c r="NPU45" s="2"/>
      <c r="NPV45" s="2"/>
      <c r="NPW45" s="2"/>
      <c r="NPX45" s="2"/>
      <c r="NPY45" s="2"/>
      <c r="NPZ45" s="2"/>
      <c r="NQA45" s="2"/>
      <c r="NQB45" s="2"/>
      <c r="NQC45" s="2"/>
      <c r="NQD45" s="2"/>
      <c r="NQE45" s="2"/>
      <c r="NQF45" s="2"/>
      <c r="NQG45" s="2"/>
      <c r="NQH45" s="2"/>
      <c r="NQI45" s="2"/>
      <c r="NQJ45" s="2"/>
      <c r="NQK45" s="2"/>
      <c r="NQL45" s="2"/>
      <c r="NQM45" s="2"/>
      <c r="NQN45" s="2"/>
      <c r="NQO45" s="2"/>
      <c r="NQP45" s="2"/>
      <c r="NQQ45" s="2"/>
      <c r="NQR45" s="2"/>
      <c r="NQS45" s="2"/>
      <c r="NQT45" s="2"/>
      <c r="NQU45" s="2"/>
      <c r="NQV45" s="2"/>
      <c r="NQW45" s="2"/>
      <c r="NQX45" s="2"/>
      <c r="NQY45" s="2"/>
      <c r="NQZ45" s="2"/>
      <c r="NRA45" s="2"/>
      <c r="NRB45" s="2"/>
      <c r="NRC45" s="2"/>
      <c r="NRD45" s="2"/>
      <c r="NRE45" s="2"/>
      <c r="NRF45" s="2"/>
      <c r="NRG45" s="2"/>
      <c r="NRH45" s="2"/>
      <c r="NRI45" s="2"/>
      <c r="NRJ45" s="2"/>
      <c r="NRK45" s="2"/>
      <c r="NRL45" s="2"/>
      <c r="NRM45" s="2"/>
      <c r="NRN45" s="2"/>
      <c r="NRO45" s="2"/>
      <c r="NRP45" s="2"/>
      <c r="NRQ45" s="2"/>
      <c r="NRR45" s="2"/>
      <c r="NRS45" s="2"/>
      <c r="NRT45" s="2"/>
      <c r="NRU45" s="2"/>
      <c r="NRV45" s="2"/>
      <c r="NRW45" s="2"/>
      <c r="NRX45" s="2"/>
      <c r="NRY45" s="2"/>
      <c r="NRZ45" s="2"/>
      <c r="NSA45" s="2"/>
      <c r="NSB45" s="2"/>
      <c r="NSC45" s="2"/>
      <c r="NSD45" s="2"/>
      <c r="NSE45" s="2"/>
      <c r="NSF45" s="2"/>
      <c r="NSG45" s="2"/>
      <c r="NSH45" s="2"/>
      <c r="NSI45" s="2"/>
      <c r="NSJ45" s="2"/>
      <c r="NSK45" s="2"/>
      <c r="NSL45" s="2"/>
      <c r="NSM45" s="2"/>
      <c r="NSN45" s="2"/>
      <c r="NSO45" s="2"/>
      <c r="NSP45" s="2"/>
      <c r="NSQ45" s="2"/>
      <c r="NSR45" s="2"/>
      <c r="NSS45" s="2"/>
      <c r="NST45" s="2"/>
      <c r="NSU45" s="2"/>
      <c r="NSV45" s="2"/>
      <c r="NSW45" s="2"/>
      <c r="NSX45" s="2"/>
      <c r="NSY45" s="2"/>
      <c r="NSZ45" s="2"/>
      <c r="NTA45" s="2"/>
      <c r="NTB45" s="2"/>
      <c r="NTC45" s="2"/>
      <c r="NTD45" s="2"/>
      <c r="NTE45" s="2"/>
      <c r="NTF45" s="2"/>
      <c r="NTG45" s="2"/>
      <c r="NTH45" s="2"/>
      <c r="NTI45" s="2"/>
      <c r="NTJ45" s="2"/>
      <c r="NTK45" s="2"/>
      <c r="NTL45" s="2"/>
      <c r="NTM45" s="2"/>
      <c r="NTN45" s="2"/>
      <c r="NTO45" s="2"/>
      <c r="NTP45" s="2"/>
      <c r="NTQ45" s="2"/>
      <c r="NTR45" s="2"/>
      <c r="NTS45" s="2"/>
      <c r="NTT45" s="2"/>
      <c r="NTU45" s="2"/>
      <c r="NTV45" s="2"/>
      <c r="NTW45" s="2"/>
      <c r="NTX45" s="2"/>
      <c r="NTY45" s="2"/>
      <c r="NTZ45" s="2"/>
      <c r="NUA45" s="2"/>
      <c r="NUB45" s="2"/>
      <c r="NUC45" s="2"/>
      <c r="NUD45" s="2"/>
      <c r="NUE45" s="2"/>
      <c r="NUF45" s="2"/>
      <c r="NUG45" s="2"/>
      <c r="NUH45" s="2"/>
      <c r="NUI45" s="2"/>
      <c r="NUJ45" s="2"/>
      <c r="NUK45" s="2"/>
      <c r="NUL45" s="2"/>
      <c r="NUM45" s="2"/>
      <c r="NUN45" s="2"/>
      <c r="NUO45" s="2"/>
      <c r="NUP45" s="2"/>
      <c r="NUQ45" s="2"/>
      <c r="NUR45" s="2"/>
      <c r="NUS45" s="2"/>
      <c r="NUT45" s="2"/>
      <c r="NUU45" s="2"/>
      <c r="NUV45" s="2"/>
      <c r="NUW45" s="2"/>
      <c r="NUX45" s="2"/>
      <c r="NUY45" s="2"/>
      <c r="NUZ45" s="2"/>
      <c r="NVA45" s="2"/>
      <c r="NVB45" s="2"/>
      <c r="NVC45" s="2"/>
      <c r="NVD45" s="2"/>
      <c r="NVE45" s="2"/>
      <c r="NVF45" s="2"/>
      <c r="NVG45" s="2"/>
      <c r="NVH45" s="2"/>
      <c r="NVI45" s="2"/>
      <c r="NVJ45" s="2"/>
      <c r="NVK45" s="2"/>
      <c r="NVL45" s="2"/>
      <c r="NVM45" s="2"/>
      <c r="NVN45" s="2"/>
      <c r="NVO45" s="2"/>
      <c r="NVP45" s="2"/>
      <c r="NVQ45" s="2"/>
      <c r="NVR45" s="2"/>
      <c r="NVS45" s="2"/>
      <c r="NVT45" s="2"/>
      <c r="NVU45" s="2"/>
      <c r="NVV45" s="2"/>
      <c r="NVW45" s="2"/>
      <c r="NVX45" s="2"/>
      <c r="NVY45" s="2"/>
      <c r="NVZ45" s="2"/>
      <c r="NWA45" s="2"/>
      <c r="NWB45" s="2"/>
      <c r="NWC45" s="2"/>
      <c r="NWD45" s="2"/>
      <c r="NWE45" s="2"/>
      <c r="NWF45" s="2"/>
      <c r="NWG45" s="2"/>
      <c r="NWH45" s="2"/>
      <c r="NWI45" s="2"/>
      <c r="NWJ45" s="2"/>
      <c r="NWK45" s="2"/>
      <c r="NWL45" s="2"/>
      <c r="NWM45" s="2"/>
      <c r="NWN45" s="2"/>
      <c r="NWO45" s="2"/>
      <c r="NWP45" s="2"/>
      <c r="NWQ45" s="2"/>
      <c r="NWR45" s="2"/>
      <c r="NWS45" s="2"/>
      <c r="NWT45" s="2"/>
      <c r="NWU45" s="2"/>
      <c r="NWV45" s="2"/>
      <c r="NWW45" s="2"/>
      <c r="NWX45" s="2"/>
      <c r="NWY45" s="2"/>
      <c r="NWZ45" s="2"/>
      <c r="NXA45" s="2"/>
      <c r="NXB45" s="2"/>
      <c r="NXC45" s="2"/>
      <c r="NXD45" s="2"/>
      <c r="NXE45" s="2"/>
      <c r="NXF45" s="2"/>
      <c r="NXG45" s="2"/>
      <c r="NXH45" s="2"/>
      <c r="NXI45" s="2"/>
      <c r="NXJ45" s="2"/>
      <c r="NXK45" s="2"/>
      <c r="NXL45" s="2"/>
      <c r="NXM45" s="2"/>
      <c r="NXN45" s="2"/>
      <c r="NXO45" s="2"/>
      <c r="NXP45" s="2"/>
      <c r="NXQ45" s="2"/>
      <c r="NXR45" s="2"/>
      <c r="NXS45" s="2"/>
      <c r="NXT45" s="2"/>
      <c r="NXU45" s="2"/>
      <c r="NXV45" s="2"/>
      <c r="NXW45" s="2"/>
      <c r="NXX45" s="2"/>
      <c r="NXY45" s="2"/>
      <c r="NXZ45" s="2"/>
      <c r="NYA45" s="2"/>
      <c r="NYB45" s="2"/>
      <c r="NYC45" s="2"/>
      <c r="NYD45" s="2"/>
      <c r="NYE45" s="2"/>
      <c r="NYF45" s="2"/>
      <c r="NYG45" s="2"/>
      <c r="NYH45" s="2"/>
      <c r="NYI45" s="2"/>
      <c r="NYJ45" s="2"/>
      <c r="NYK45" s="2"/>
      <c r="NYL45" s="2"/>
      <c r="NYM45" s="2"/>
      <c r="NYN45" s="2"/>
      <c r="NYO45" s="2"/>
      <c r="NYP45" s="2"/>
      <c r="NYQ45" s="2"/>
      <c r="NYR45" s="2"/>
      <c r="NYS45" s="2"/>
      <c r="NYT45" s="2"/>
      <c r="NYU45" s="2"/>
      <c r="NYV45" s="2"/>
      <c r="NYW45" s="2"/>
      <c r="NYX45" s="2"/>
      <c r="NYY45" s="2"/>
      <c r="NYZ45" s="2"/>
      <c r="NZA45" s="2"/>
      <c r="NZB45" s="2"/>
      <c r="NZC45" s="2"/>
      <c r="NZD45" s="2"/>
      <c r="NZE45" s="2"/>
      <c r="NZF45" s="2"/>
      <c r="NZG45" s="2"/>
      <c r="NZH45" s="2"/>
      <c r="NZI45" s="2"/>
      <c r="NZJ45" s="2"/>
      <c r="NZK45" s="2"/>
      <c r="NZL45" s="2"/>
      <c r="NZM45" s="2"/>
      <c r="NZN45" s="2"/>
      <c r="NZO45" s="2"/>
      <c r="NZP45" s="2"/>
      <c r="NZQ45" s="2"/>
      <c r="NZR45" s="2"/>
      <c r="NZS45" s="2"/>
      <c r="NZT45" s="2"/>
      <c r="NZU45" s="2"/>
      <c r="NZV45" s="2"/>
      <c r="NZW45" s="2"/>
      <c r="NZX45" s="2"/>
      <c r="NZY45" s="2"/>
      <c r="NZZ45" s="2"/>
      <c r="OAA45" s="2"/>
      <c r="OAB45" s="2"/>
      <c r="OAC45" s="2"/>
      <c r="OAD45" s="2"/>
      <c r="OAE45" s="2"/>
      <c r="OAF45" s="2"/>
      <c r="OAG45" s="2"/>
      <c r="OAH45" s="2"/>
      <c r="OAI45" s="2"/>
      <c r="OAJ45" s="2"/>
      <c r="OAK45" s="2"/>
      <c r="OAL45" s="2"/>
      <c r="OAM45" s="2"/>
      <c r="OAN45" s="2"/>
      <c r="OAO45" s="2"/>
      <c r="OAP45" s="2"/>
      <c r="OAQ45" s="2"/>
      <c r="OAR45" s="2"/>
      <c r="OAS45" s="2"/>
      <c r="OAT45" s="2"/>
      <c r="OAU45" s="2"/>
      <c r="OAV45" s="2"/>
      <c r="OAW45" s="2"/>
      <c r="OAX45" s="2"/>
      <c r="OAY45" s="2"/>
      <c r="OAZ45" s="2"/>
      <c r="OBA45" s="2"/>
      <c r="OBB45" s="2"/>
      <c r="OBC45" s="2"/>
      <c r="OBD45" s="2"/>
      <c r="OBE45" s="2"/>
      <c r="OBF45" s="2"/>
      <c r="OBG45" s="2"/>
      <c r="OBH45" s="2"/>
      <c r="OBI45" s="2"/>
      <c r="OBJ45" s="2"/>
      <c r="OBK45" s="2"/>
      <c r="OBL45" s="2"/>
      <c r="OBM45" s="2"/>
      <c r="OBN45" s="2"/>
      <c r="OBO45" s="2"/>
      <c r="OBP45" s="2"/>
      <c r="OBQ45" s="2"/>
      <c r="OBR45" s="2"/>
      <c r="OBS45" s="2"/>
      <c r="OBT45" s="2"/>
      <c r="OBU45" s="2"/>
      <c r="OBV45" s="2"/>
      <c r="OBW45" s="2"/>
      <c r="OBX45" s="2"/>
      <c r="OBY45" s="2"/>
      <c r="OBZ45" s="2"/>
      <c r="OCA45" s="2"/>
      <c r="OCB45" s="2"/>
      <c r="OCC45" s="2"/>
      <c r="OCD45" s="2"/>
      <c r="OCE45" s="2"/>
      <c r="OCF45" s="2"/>
      <c r="OCG45" s="2"/>
      <c r="OCH45" s="2"/>
      <c r="OCI45" s="2"/>
      <c r="OCJ45" s="2"/>
      <c r="OCK45" s="2"/>
      <c r="OCL45" s="2"/>
      <c r="OCM45" s="2"/>
      <c r="OCN45" s="2"/>
      <c r="OCO45" s="2"/>
      <c r="OCP45" s="2"/>
      <c r="OCQ45" s="2"/>
      <c r="OCR45" s="2"/>
      <c r="OCS45" s="2"/>
      <c r="OCT45" s="2"/>
      <c r="OCU45" s="2"/>
      <c r="OCV45" s="2"/>
      <c r="OCW45" s="2"/>
      <c r="OCX45" s="2"/>
      <c r="OCY45" s="2"/>
      <c r="OCZ45" s="2"/>
      <c r="ODA45" s="2"/>
      <c r="ODB45" s="2"/>
      <c r="ODC45" s="2"/>
      <c r="ODD45" s="2"/>
      <c r="ODE45" s="2"/>
      <c r="ODF45" s="2"/>
      <c r="ODG45" s="2"/>
      <c r="ODH45" s="2"/>
      <c r="ODI45" s="2"/>
      <c r="ODJ45" s="2"/>
      <c r="ODK45" s="2"/>
      <c r="ODL45" s="2"/>
      <c r="ODM45" s="2"/>
      <c r="ODN45" s="2"/>
      <c r="ODO45" s="2"/>
      <c r="ODP45" s="2"/>
      <c r="ODQ45" s="2"/>
      <c r="ODR45" s="2"/>
      <c r="ODS45" s="2"/>
      <c r="ODT45" s="2"/>
      <c r="ODU45" s="2"/>
      <c r="ODV45" s="2"/>
      <c r="ODW45" s="2"/>
      <c r="ODX45" s="2"/>
      <c r="ODY45" s="2"/>
      <c r="ODZ45" s="2"/>
      <c r="OEA45" s="2"/>
      <c r="OEB45" s="2"/>
      <c r="OEC45" s="2"/>
      <c r="OED45" s="2"/>
      <c r="OEE45" s="2"/>
      <c r="OEF45" s="2"/>
      <c r="OEG45" s="2"/>
      <c r="OEH45" s="2"/>
      <c r="OEI45" s="2"/>
      <c r="OEJ45" s="2"/>
      <c r="OEK45" s="2"/>
      <c r="OEL45" s="2"/>
      <c r="OEM45" s="2"/>
      <c r="OEN45" s="2"/>
      <c r="OEO45" s="2"/>
      <c r="OEP45" s="2"/>
      <c r="OEQ45" s="2"/>
      <c r="OER45" s="2"/>
      <c r="OES45" s="2"/>
      <c r="OET45" s="2"/>
      <c r="OEU45" s="2"/>
      <c r="OEV45" s="2"/>
      <c r="OEW45" s="2"/>
      <c r="OEX45" s="2"/>
      <c r="OEY45" s="2"/>
      <c r="OEZ45" s="2"/>
      <c r="OFA45" s="2"/>
      <c r="OFB45" s="2"/>
      <c r="OFC45" s="2"/>
      <c r="OFD45" s="2"/>
      <c r="OFE45" s="2"/>
      <c r="OFF45" s="2"/>
      <c r="OFG45" s="2"/>
      <c r="OFH45" s="2"/>
      <c r="OFI45" s="2"/>
      <c r="OFJ45" s="2"/>
      <c r="OFK45" s="2"/>
      <c r="OFL45" s="2"/>
      <c r="OFM45" s="2"/>
      <c r="OFN45" s="2"/>
      <c r="OFO45" s="2"/>
      <c r="OFP45" s="2"/>
      <c r="OFQ45" s="2"/>
      <c r="OFR45" s="2"/>
      <c r="OFS45" s="2"/>
      <c r="OFT45" s="2"/>
      <c r="OFU45" s="2"/>
      <c r="OFV45" s="2"/>
      <c r="OFW45" s="2"/>
      <c r="OFX45" s="2"/>
      <c r="OFY45" s="2"/>
      <c r="OFZ45" s="2"/>
      <c r="OGA45" s="2"/>
      <c r="OGB45" s="2"/>
      <c r="OGC45" s="2"/>
      <c r="OGD45" s="2"/>
      <c r="OGE45" s="2"/>
      <c r="OGF45" s="2"/>
      <c r="OGG45" s="2"/>
      <c r="OGH45" s="2"/>
      <c r="OGI45" s="2"/>
      <c r="OGJ45" s="2"/>
      <c r="OGK45" s="2"/>
      <c r="OGL45" s="2"/>
      <c r="OGM45" s="2"/>
      <c r="OGN45" s="2"/>
      <c r="OGO45" s="2"/>
      <c r="OGP45" s="2"/>
      <c r="OGQ45" s="2"/>
      <c r="OGR45" s="2"/>
      <c r="OGS45" s="2"/>
      <c r="OGT45" s="2"/>
      <c r="OGU45" s="2"/>
      <c r="OGV45" s="2"/>
      <c r="OGW45" s="2"/>
      <c r="OGX45" s="2"/>
      <c r="OGY45" s="2"/>
      <c r="OGZ45" s="2"/>
      <c r="OHA45" s="2"/>
      <c r="OHB45" s="2"/>
      <c r="OHC45" s="2"/>
      <c r="OHD45" s="2"/>
      <c r="OHE45" s="2"/>
      <c r="OHF45" s="2"/>
      <c r="OHG45" s="2"/>
      <c r="OHH45" s="2"/>
      <c r="OHI45" s="2"/>
      <c r="OHJ45" s="2"/>
      <c r="OHK45" s="2"/>
      <c r="OHL45" s="2"/>
      <c r="OHM45" s="2"/>
      <c r="OHN45" s="2"/>
      <c r="OHO45" s="2"/>
      <c r="OHP45" s="2"/>
      <c r="OHQ45" s="2"/>
      <c r="OHR45" s="2"/>
      <c r="OHS45" s="2"/>
      <c r="OHT45" s="2"/>
      <c r="OHU45" s="2"/>
      <c r="OHV45" s="2"/>
      <c r="OHW45" s="2"/>
      <c r="OHX45" s="2"/>
      <c r="OHY45" s="2"/>
      <c r="OHZ45" s="2"/>
      <c r="OIA45" s="2"/>
      <c r="OIB45" s="2"/>
      <c r="OIC45" s="2"/>
      <c r="OID45" s="2"/>
      <c r="OIE45" s="2"/>
      <c r="OIF45" s="2"/>
      <c r="OIG45" s="2"/>
      <c r="OIH45" s="2"/>
      <c r="OII45" s="2"/>
      <c r="OIJ45" s="2"/>
      <c r="OIK45" s="2"/>
      <c r="OIL45" s="2"/>
      <c r="OIM45" s="2"/>
      <c r="OIN45" s="2"/>
      <c r="OIO45" s="2"/>
      <c r="OIP45" s="2"/>
      <c r="OIQ45" s="2"/>
      <c r="OIR45" s="2"/>
      <c r="OIS45" s="2"/>
      <c r="OIT45" s="2"/>
      <c r="OIU45" s="2"/>
      <c r="OIV45" s="2"/>
      <c r="OIW45" s="2"/>
      <c r="OIX45" s="2"/>
      <c r="OIY45" s="2"/>
      <c r="OIZ45" s="2"/>
      <c r="OJA45" s="2"/>
      <c r="OJB45" s="2"/>
      <c r="OJC45" s="2"/>
      <c r="OJD45" s="2"/>
      <c r="OJE45" s="2"/>
      <c r="OJF45" s="2"/>
      <c r="OJG45" s="2"/>
      <c r="OJH45" s="2"/>
      <c r="OJI45" s="2"/>
      <c r="OJJ45" s="2"/>
      <c r="OJK45" s="2"/>
      <c r="OJL45" s="2"/>
      <c r="OJM45" s="2"/>
      <c r="OJN45" s="2"/>
      <c r="OJO45" s="2"/>
      <c r="OJP45" s="2"/>
      <c r="OJQ45" s="2"/>
      <c r="OJR45" s="2"/>
      <c r="OJS45" s="2"/>
      <c r="OJT45" s="2"/>
      <c r="OJU45" s="2"/>
      <c r="OJV45" s="2"/>
      <c r="OJW45" s="2"/>
      <c r="OJX45" s="2"/>
      <c r="OJY45" s="2"/>
      <c r="OJZ45" s="2"/>
      <c r="OKA45" s="2"/>
      <c r="OKB45" s="2"/>
      <c r="OKC45" s="2"/>
      <c r="OKD45" s="2"/>
      <c r="OKE45" s="2"/>
      <c r="OKF45" s="2"/>
      <c r="OKG45" s="2"/>
      <c r="OKH45" s="2"/>
      <c r="OKI45" s="2"/>
      <c r="OKJ45" s="2"/>
      <c r="OKK45" s="2"/>
      <c r="OKL45" s="2"/>
      <c r="OKM45" s="2"/>
      <c r="OKN45" s="2"/>
      <c r="OKO45" s="2"/>
      <c r="OKP45" s="2"/>
      <c r="OKQ45" s="2"/>
      <c r="OKR45" s="2"/>
      <c r="OKS45" s="2"/>
      <c r="OKT45" s="2"/>
      <c r="OKU45" s="2"/>
      <c r="OKV45" s="2"/>
      <c r="OKW45" s="2"/>
      <c r="OKX45" s="2"/>
      <c r="OKY45" s="2"/>
      <c r="OKZ45" s="2"/>
      <c r="OLA45" s="2"/>
      <c r="OLB45" s="2"/>
      <c r="OLC45" s="2"/>
      <c r="OLD45" s="2"/>
      <c r="OLE45" s="2"/>
      <c r="OLF45" s="2"/>
      <c r="OLG45" s="2"/>
      <c r="OLH45" s="2"/>
      <c r="OLI45" s="2"/>
      <c r="OLJ45" s="2"/>
      <c r="OLK45" s="2"/>
      <c r="OLL45" s="2"/>
      <c r="OLM45" s="2"/>
      <c r="OLN45" s="2"/>
      <c r="OLO45" s="2"/>
      <c r="OLP45" s="2"/>
      <c r="OLQ45" s="2"/>
      <c r="OLR45" s="2"/>
      <c r="OLS45" s="2"/>
      <c r="OLT45" s="2"/>
      <c r="OLU45" s="2"/>
      <c r="OLV45" s="2"/>
      <c r="OLW45" s="2"/>
      <c r="OLX45" s="2"/>
      <c r="OLY45" s="2"/>
      <c r="OLZ45" s="2"/>
      <c r="OMA45" s="2"/>
      <c r="OMB45" s="2"/>
      <c r="OMC45" s="2"/>
      <c r="OMD45" s="2"/>
      <c r="OME45" s="2"/>
      <c r="OMF45" s="2"/>
      <c r="OMG45" s="2"/>
      <c r="OMH45" s="2"/>
      <c r="OMI45" s="2"/>
      <c r="OMJ45" s="2"/>
      <c r="OMK45" s="2"/>
      <c r="OML45" s="2"/>
      <c r="OMM45" s="2"/>
      <c r="OMN45" s="2"/>
      <c r="OMO45" s="2"/>
      <c r="OMP45" s="2"/>
      <c r="OMQ45" s="2"/>
      <c r="OMR45" s="2"/>
      <c r="OMS45" s="2"/>
      <c r="OMT45" s="2"/>
      <c r="OMU45" s="2"/>
      <c r="OMV45" s="2"/>
      <c r="OMW45" s="2"/>
      <c r="OMX45" s="2"/>
      <c r="OMY45" s="2"/>
      <c r="OMZ45" s="2"/>
      <c r="ONA45" s="2"/>
      <c r="ONB45" s="2"/>
      <c r="ONC45" s="2"/>
      <c r="OND45" s="2"/>
      <c r="ONE45" s="2"/>
      <c r="ONF45" s="2"/>
      <c r="ONG45" s="2"/>
      <c r="ONH45" s="2"/>
      <c r="ONI45" s="2"/>
      <c r="ONJ45" s="2"/>
      <c r="ONK45" s="2"/>
      <c r="ONL45" s="2"/>
      <c r="ONM45" s="2"/>
      <c r="ONN45" s="2"/>
      <c r="ONO45" s="2"/>
      <c r="ONP45" s="2"/>
      <c r="ONQ45" s="2"/>
      <c r="ONR45" s="2"/>
      <c r="ONS45" s="2"/>
      <c r="ONT45" s="2"/>
      <c r="ONU45" s="2"/>
      <c r="ONV45" s="2"/>
      <c r="ONW45" s="2"/>
      <c r="ONX45" s="2"/>
      <c r="ONY45" s="2"/>
      <c r="ONZ45" s="2"/>
      <c r="OOA45" s="2"/>
      <c r="OOB45" s="2"/>
      <c r="OOC45" s="2"/>
      <c r="OOD45" s="2"/>
      <c r="OOE45" s="2"/>
      <c r="OOF45" s="2"/>
      <c r="OOG45" s="2"/>
      <c r="OOH45" s="2"/>
      <c r="OOI45" s="2"/>
      <c r="OOJ45" s="2"/>
      <c r="OOK45" s="2"/>
      <c r="OOL45" s="2"/>
      <c r="OOM45" s="2"/>
      <c r="OON45" s="2"/>
      <c r="OOO45" s="2"/>
      <c r="OOP45" s="2"/>
      <c r="OOQ45" s="2"/>
      <c r="OOR45" s="2"/>
      <c r="OOS45" s="2"/>
      <c r="OOT45" s="2"/>
      <c r="OOU45" s="2"/>
      <c r="OOV45" s="2"/>
      <c r="OOW45" s="2"/>
      <c r="OOX45" s="2"/>
      <c r="OOY45" s="2"/>
      <c r="OOZ45" s="2"/>
      <c r="OPA45" s="2"/>
      <c r="OPB45" s="2"/>
      <c r="OPC45" s="2"/>
      <c r="OPD45" s="2"/>
      <c r="OPE45" s="2"/>
      <c r="OPF45" s="2"/>
      <c r="OPG45" s="2"/>
      <c r="OPH45" s="2"/>
      <c r="OPI45" s="2"/>
      <c r="OPJ45" s="2"/>
      <c r="OPK45" s="2"/>
      <c r="OPL45" s="2"/>
      <c r="OPM45" s="2"/>
      <c r="OPN45" s="2"/>
      <c r="OPO45" s="2"/>
      <c r="OPP45" s="2"/>
      <c r="OPQ45" s="2"/>
      <c r="OPR45" s="2"/>
      <c r="OPS45" s="2"/>
      <c r="OPT45" s="2"/>
      <c r="OPU45" s="2"/>
      <c r="OPV45" s="2"/>
      <c r="OPW45" s="2"/>
      <c r="OPX45" s="2"/>
      <c r="OPY45" s="2"/>
      <c r="OPZ45" s="2"/>
      <c r="OQA45" s="2"/>
      <c r="OQB45" s="2"/>
      <c r="OQC45" s="2"/>
      <c r="OQD45" s="2"/>
      <c r="OQE45" s="2"/>
      <c r="OQF45" s="2"/>
      <c r="OQG45" s="2"/>
      <c r="OQH45" s="2"/>
      <c r="OQI45" s="2"/>
      <c r="OQJ45" s="2"/>
      <c r="OQK45" s="2"/>
      <c r="OQL45" s="2"/>
      <c r="OQM45" s="2"/>
      <c r="OQN45" s="2"/>
      <c r="OQO45" s="2"/>
      <c r="OQP45" s="2"/>
      <c r="OQQ45" s="2"/>
      <c r="OQR45" s="2"/>
      <c r="OQS45" s="2"/>
      <c r="OQT45" s="2"/>
      <c r="OQU45" s="2"/>
      <c r="OQV45" s="2"/>
      <c r="OQW45" s="2"/>
      <c r="OQX45" s="2"/>
      <c r="OQY45" s="2"/>
      <c r="OQZ45" s="2"/>
      <c r="ORA45" s="2"/>
      <c r="ORB45" s="2"/>
      <c r="ORC45" s="2"/>
      <c r="ORD45" s="2"/>
      <c r="ORE45" s="2"/>
      <c r="ORF45" s="2"/>
      <c r="ORG45" s="2"/>
      <c r="ORH45" s="2"/>
      <c r="ORI45" s="2"/>
      <c r="ORJ45" s="2"/>
      <c r="ORK45" s="2"/>
      <c r="ORL45" s="2"/>
      <c r="ORM45" s="2"/>
      <c r="ORN45" s="2"/>
      <c r="ORO45" s="2"/>
      <c r="ORP45" s="2"/>
      <c r="ORQ45" s="2"/>
      <c r="ORR45" s="2"/>
      <c r="ORS45" s="2"/>
      <c r="ORT45" s="2"/>
      <c r="ORU45" s="2"/>
      <c r="ORV45" s="2"/>
      <c r="ORW45" s="2"/>
      <c r="ORX45" s="2"/>
      <c r="ORY45" s="2"/>
      <c r="ORZ45" s="2"/>
      <c r="OSA45" s="2"/>
      <c r="OSB45" s="2"/>
      <c r="OSC45" s="2"/>
      <c r="OSD45" s="2"/>
      <c r="OSE45" s="2"/>
      <c r="OSF45" s="2"/>
      <c r="OSG45" s="2"/>
      <c r="OSH45" s="2"/>
      <c r="OSI45" s="2"/>
      <c r="OSJ45" s="2"/>
      <c r="OSK45" s="2"/>
      <c r="OSL45" s="2"/>
      <c r="OSM45" s="2"/>
      <c r="OSN45" s="2"/>
      <c r="OSO45" s="2"/>
      <c r="OSP45" s="2"/>
      <c r="OSQ45" s="2"/>
      <c r="OSR45" s="2"/>
      <c r="OSS45" s="2"/>
      <c r="OST45" s="2"/>
      <c r="OSU45" s="2"/>
      <c r="OSV45" s="2"/>
      <c r="OSW45" s="2"/>
      <c r="OSX45" s="2"/>
      <c r="OSY45" s="2"/>
      <c r="OSZ45" s="2"/>
      <c r="OTA45" s="2"/>
      <c r="OTB45" s="2"/>
      <c r="OTC45" s="2"/>
      <c r="OTD45" s="2"/>
      <c r="OTE45" s="2"/>
      <c r="OTF45" s="2"/>
      <c r="OTG45" s="2"/>
      <c r="OTH45" s="2"/>
      <c r="OTI45" s="2"/>
      <c r="OTJ45" s="2"/>
      <c r="OTK45" s="2"/>
      <c r="OTL45" s="2"/>
      <c r="OTM45" s="2"/>
      <c r="OTN45" s="2"/>
      <c r="OTO45" s="2"/>
      <c r="OTP45" s="2"/>
      <c r="OTQ45" s="2"/>
      <c r="OTR45" s="2"/>
      <c r="OTS45" s="2"/>
      <c r="OTT45" s="2"/>
      <c r="OTU45" s="2"/>
      <c r="OTV45" s="2"/>
      <c r="OTW45" s="2"/>
      <c r="OTX45" s="2"/>
      <c r="OTY45" s="2"/>
      <c r="OTZ45" s="2"/>
      <c r="OUA45" s="2"/>
      <c r="OUB45" s="2"/>
      <c r="OUC45" s="2"/>
      <c r="OUD45" s="2"/>
      <c r="OUE45" s="2"/>
      <c r="OUF45" s="2"/>
      <c r="OUG45" s="2"/>
      <c r="OUH45" s="2"/>
      <c r="OUI45" s="2"/>
      <c r="OUJ45" s="2"/>
      <c r="OUK45" s="2"/>
      <c r="OUL45" s="2"/>
      <c r="OUM45" s="2"/>
      <c r="OUN45" s="2"/>
      <c r="OUO45" s="2"/>
      <c r="OUP45" s="2"/>
      <c r="OUQ45" s="2"/>
      <c r="OUR45" s="2"/>
      <c r="OUS45" s="2"/>
      <c r="OUT45" s="2"/>
      <c r="OUU45" s="2"/>
      <c r="OUV45" s="2"/>
      <c r="OUW45" s="2"/>
      <c r="OUX45" s="2"/>
      <c r="OUY45" s="2"/>
      <c r="OUZ45" s="2"/>
      <c r="OVA45" s="2"/>
      <c r="OVB45" s="2"/>
      <c r="OVC45" s="2"/>
      <c r="OVD45" s="2"/>
      <c r="OVE45" s="2"/>
      <c r="OVF45" s="2"/>
      <c r="OVG45" s="2"/>
      <c r="OVH45" s="2"/>
      <c r="OVI45" s="2"/>
      <c r="OVJ45" s="2"/>
      <c r="OVK45" s="2"/>
      <c r="OVL45" s="2"/>
      <c r="OVM45" s="2"/>
      <c r="OVN45" s="2"/>
      <c r="OVO45" s="2"/>
      <c r="OVP45" s="2"/>
      <c r="OVQ45" s="2"/>
      <c r="OVR45" s="2"/>
      <c r="OVS45" s="2"/>
      <c r="OVT45" s="2"/>
      <c r="OVU45" s="2"/>
      <c r="OVV45" s="2"/>
      <c r="OVW45" s="2"/>
      <c r="OVX45" s="2"/>
      <c r="OVY45" s="2"/>
      <c r="OVZ45" s="2"/>
      <c r="OWA45" s="2"/>
      <c r="OWB45" s="2"/>
      <c r="OWC45" s="2"/>
      <c r="OWD45" s="2"/>
      <c r="OWE45" s="2"/>
      <c r="OWF45" s="2"/>
      <c r="OWG45" s="2"/>
      <c r="OWH45" s="2"/>
      <c r="OWI45" s="2"/>
      <c r="OWJ45" s="2"/>
      <c r="OWK45" s="2"/>
      <c r="OWL45" s="2"/>
      <c r="OWM45" s="2"/>
      <c r="OWN45" s="2"/>
      <c r="OWO45" s="2"/>
      <c r="OWP45" s="2"/>
      <c r="OWQ45" s="2"/>
      <c r="OWR45" s="2"/>
      <c r="OWS45" s="2"/>
      <c r="OWT45" s="2"/>
      <c r="OWU45" s="2"/>
      <c r="OWV45" s="2"/>
      <c r="OWW45" s="2"/>
      <c r="OWX45" s="2"/>
      <c r="OWY45" s="2"/>
      <c r="OWZ45" s="2"/>
      <c r="OXA45" s="2"/>
      <c r="OXB45" s="2"/>
      <c r="OXC45" s="2"/>
      <c r="OXD45" s="2"/>
      <c r="OXE45" s="2"/>
      <c r="OXF45" s="2"/>
      <c r="OXG45" s="2"/>
      <c r="OXH45" s="2"/>
      <c r="OXI45" s="2"/>
      <c r="OXJ45" s="2"/>
      <c r="OXK45" s="2"/>
      <c r="OXL45" s="2"/>
      <c r="OXM45" s="2"/>
      <c r="OXN45" s="2"/>
      <c r="OXO45" s="2"/>
      <c r="OXP45" s="2"/>
      <c r="OXQ45" s="2"/>
      <c r="OXR45" s="2"/>
      <c r="OXS45" s="2"/>
      <c r="OXT45" s="2"/>
      <c r="OXU45" s="2"/>
      <c r="OXV45" s="2"/>
      <c r="OXW45" s="2"/>
      <c r="OXX45" s="2"/>
      <c r="OXY45" s="2"/>
      <c r="OXZ45" s="2"/>
      <c r="OYA45" s="2"/>
      <c r="OYB45" s="2"/>
      <c r="OYC45" s="2"/>
      <c r="OYD45" s="2"/>
      <c r="OYE45" s="2"/>
      <c r="OYF45" s="2"/>
      <c r="OYG45" s="2"/>
      <c r="OYH45" s="2"/>
      <c r="OYI45" s="2"/>
      <c r="OYJ45" s="2"/>
      <c r="OYK45" s="2"/>
      <c r="OYL45" s="2"/>
      <c r="OYM45" s="2"/>
      <c r="OYN45" s="2"/>
      <c r="OYO45" s="2"/>
      <c r="OYP45" s="2"/>
      <c r="OYQ45" s="2"/>
      <c r="OYR45" s="2"/>
      <c r="OYS45" s="2"/>
      <c r="OYT45" s="2"/>
      <c r="OYU45" s="2"/>
      <c r="OYV45" s="2"/>
      <c r="OYW45" s="2"/>
      <c r="OYX45" s="2"/>
      <c r="OYY45" s="2"/>
      <c r="OYZ45" s="2"/>
      <c r="OZA45" s="2"/>
      <c r="OZB45" s="2"/>
      <c r="OZC45" s="2"/>
      <c r="OZD45" s="2"/>
      <c r="OZE45" s="2"/>
      <c r="OZF45" s="2"/>
      <c r="OZG45" s="2"/>
      <c r="OZH45" s="2"/>
      <c r="OZI45" s="2"/>
      <c r="OZJ45" s="2"/>
      <c r="OZK45" s="2"/>
      <c r="OZL45" s="2"/>
      <c r="OZM45" s="2"/>
      <c r="OZN45" s="2"/>
      <c r="OZO45" s="2"/>
      <c r="OZP45" s="2"/>
      <c r="OZQ45" s="2"/>
      <c r="OZR45" s="2"/>
      <c r="OZS45" s="2"/>
      <c r="OZT45" s="2"/>
      <c r="OZU45" s="2"/>
      <c r="OZV45" s="2"/>
      <c r="OZW45" s="2"/>
      <c r="OZX45" s="2"/>
      <c r="OZY45" s="2"/>
      <c r="OZZ45" s="2"/>
      <c r="PAA45" s="2"/>
      <c r="PAB45" s="2"/>
      <c r="PAC45" s="2"/>
      <c r="PAD45" s="2"/>
      <c r="PAE45" s="2"/>
      <c r="PAF45" s="2"/>
      <c r="PAG45" s="2"/>
      <c r="PAH45" s="2"/>
      <c r="PAI45" s="2"/>
      <c r="PAJ45" s="2"/>
      <c r="PAK45" s="2"/>
      <c r="PAL45" s="2"/>
      <c r="PAM45" s="2"/>
      <c r="PAN45" s="2"/>
      <c r="PAO45" s="2"/>
      <c r="PAP45" s="2"/>
      <c r="PAQ45" s="2"/>
      <c r="PAR45" s="2"/>
      <c r="PAS45" s="2"/>
      <c r="PAT45" s="2"/>
      <c r="PAU45" s="2"/>
      <c r="PAV45" s="2"/>
      <c r="PAW45" s="2"/>
      <c r="PAX45" s="2"/>
      <c r="PAY45" s="2"/>
      <c r="PAZ45" s="2"/>
      <c r="PBA45" s="2"/>
      <c r="PBB45" s="2"/>
      <c r="PBC45" s="2"/>
      <c r="PBD45" s="2"/>
      <c r="PBE45" s="2"/>
      <c r="PBF45" s="2"/>
      <c r="PBG45" s="2"/>
      <c r="PBH45" s="2"/>
      <c r="PBI45" s="2"/>
      <c r="PBJ45" s="2"/>
      <c r="PBK45" s="2"/>
      <c r="PBL45" s="2"/>
      <c r="PBM45" s="2"/>
      <c r="PBN45" s="2"/>
      <c r="PBO45" s="2"/>
      <c r="PBP45" s="2"/>
      <c r="PBQ45" s="2"/>
      <c r="PBR45" s="2"/>
      <c r="PBS45" s="2"/>
      <c r="PBT45" s="2"/>
      <c r="PBU45" s="2"/>
      <c r="PBV45" s="2"/>
      <c r="PBW45" s="2"/>
      <c r="PBX45" s="2"/>
      <c r="PBY45" s="2"/>
      <c r="PBZ45" s="2"/>
      <c r="PCA45" s="2"/>
      <c r="PCB45" s="2"/>
      <c r="PCC45" s="2"/>
      <c r="PCD45" s="2"/>
      <c r="PCE45" s="2"/>
      <c r="PCF45" s="2"/>
      <c r="PCG45" s="2"/>
      <c r="PCH45" s="2"/>
      <c r="PCI45" s="2"/>
      <c r="PCJ45" s="2"/>
      <c r="PCK45" s="2"/>
      <c r="PCL45" s="2"/>
      <c r="PCM45" s="2"/>
      <c r="PCN45" s="2"/>
      <c r="PCO45" s="2"/>
      <c r="PCP45" s="2"/>
      <c r="PCQ45" s="2"/>
      <c r="PCR45" s="2"/>
      <c r="PCS45" s="2"/>
      <c r="PCT45" s="2"/>
      <c r="PCU45" s="2"/>
      <c r="PCV45" s="2"/>
      <c r="PCW45" s="2"/>
      <c r="PCX45" s="2"/>
      <c r="PCY45" s="2"/>
      <c r="PCZ45" s="2"/>
      <c r="PDA45" s="2"/>
      <c r="PDB45" s="2"/>
      <c r="PDC45" s="2"/>
      <c r="PDD45" s="2"/>
      <c r="PDE45" s="2"/>
      <c r="PDF45" s="2"/>
      <c r="PDG45" s="2"/>
      <c r="PDH45" s="2"/>
      <c r="PDI45" s="2"/>
      <c r="PDJ45" s="2"/>
      <c r="PDK45" s="2"/>
      <c r="PDL45" s="2"/>
      <c r="PDM45" s="2"/>
      <c r="PDN45" s="2"/>
      <c r="PDO45" s="2"/>
      <c r="PDP45" s="2"/>
      <c r="PDQ45" s="2"/>
      <c r="PDR45" s="2"/>
      <c r="PDS45" s="2"/>
      <c r="PDT45" s="2"/>
      <c r="PDU45" s="2"/>
      <c r="PDV45" s="2"/>
      <c r="PDW45" s="2"/>
      <c r="PDX45" s="2"/>
      <c r="PDY45" s="2"/>
      <c r="PDZ45" s="2"/>
      <c r="PEA45" s="2"/>
      <c r="PEB45" s="2"/>
      <c r="PEC45" s="2"/>
      <c r="PED45" s="2"/>
      <c r="PEE45" s="2"/>
      <c r="PEF45" s="2"/>
      <c r="PEG45" s="2"/>
      <c r="PEH45" s="2"/>
      <c r="PEI45" s="2"/>
      <c r="PEJ45" s="2"/>
      <c r="PEK45" s="2"/>
      <c r="PEL45" s="2"/>
      <c r="PEM45" s="2"/>
      <c r="PEN45" s="2"/>
      <c r="PEO45" s="2"/>
      <c r="PEP45" s="2"/>
      <c r="PEQ45" s="2"/>
      <c r="PER45" s="2"/>
      <c r="PES45" s="2"/>
      <c r="PET45" s="2"/>
      <c r="PEU45" s="2"/>
      <c r="PEV45" s="2"/>
      <c r="PEW45" s="2"/>
      <c r="PEX45" s="2"/>
      <c r="PEY45" s="2"/>
      <c r="PEZ45" s="2"/>
      <c r="PFA45" s="2"/>
      <c r="PFB45" s="2"/>
      <c r="PFC45" s="2"/>
      <c r="PFD45" s="2"/>
      <c r="PFE45" s="2"/>
      <c r="PFF45" s="2"/>
      <c r="PFG45" s="2"/>
      <c r="PFH45" s="2"/>
      <c r="PFI45" s="2"/>
      <c r="PFJ45" s="2"/>
      <c r="PFK45" s="2"/>
      <c r="PFL45" s="2"/>
      <c r="PFM45" s="2"/>
      <c r="PFN45" s="2"/>
      <c r="PFO45" s="2"/>
      <c r="PFP45" s="2"/>
      <c r="PFQ45" s="2"/>
      <c r="PFR45" s="2"/>
      <c r="PFS45" s="2"/>
      <c r="PFT45" s="2"/>
      <c r="PFU45" s="2"/>
      <c r="PFV45" s="2"/>
      <c r="PFW45" s="2"/>
      <c r="PFX45" s="2"/>
      <c r="PFY45" s="2"/>
      <c r="PFZ45" s="2"/>
      <c r="PGA45" s="2"/>
      <c r="PGB45" s="2"/>
      <c r="PGC45" s="2"/>
      <c r="PGD45" s="2"/>
      <c r="PGE45" s="2"/>
      <c r="PGF45" s="2"/>
      <c r="PGG45" s="2"/>
      <c r="PGH45" s="2"/>
      <c r="PGI45" s="2"/>
      <c r="PGJ45" s="2"/>
      <c r="PGK45" s="2"/>
      <c r="PGL45" s="2"/>
      <c r="PGM45" s="2"/>
      <c r="PGN45" s="2"/>
      <c r="PGO45" s="2"/>
      <c r="PGP45" s="2"/>
      <c r="PGQ45" s="2"/>
      <c r="PGR45" s="2"/>
      <c r="PGS45" s="2"/>
      <c r="PGT45" s="2"/>
      <c r="PGU45" s="2"/>
      <c r="PGV45" s="2"/>
      <c r="PGW45" s="2"/>
      <c r="PGX45" s="2"/>
      <c r="PGY45" s="2"/>
      <c r="PGZ45" s="2"/>
      <c r="PHA45" s="2"/>
      <c r="PHB45" s="2"/>
      <c r="PHC45" s="2"/>
      <c r="PHD45" s="2"/>
      <c r="PHE45" s="2"/>
      <c r="PHF45" s="2"/>
      <c r="PHG45" s="2"/>
      <c r="PHH45" s="2"/>
      <c r="PHI45" s="2"/>
      <c r="PHJ45" s="2"/>
      <c r="PHK45" s="2"/>
      <c r="PHL45" s="2"/>
      <c r="PHM45" s="2"/>
      <c r="PHN45" s="2"/>
      <c r="PHO45" s="2"/>
      <c r="PHP45" s="2"/>
      <c r="PHQ45" s="2"/>
      <c r="PHR45" s="2"/>
      <c r="PHS45" s="2"/>
      <c r="PHT45" s="2"/>
      <c r="PHU45" s="2"/>
      <c r="PHV45" s="2"/>
      <c r="PHW45" s="2"/>
      <c r="PHX45" s="2"/>
      <c r="PHY45" s="2"/>
      <c r="PHZ45" s="2"/>
      <c r="PIA45" s="2"/>
      <c r="PIB45" s="2"/>
      <c r="PIC45" s="2"/>
      <c r="PID45" s="2"/>
      <c r="PIE45" s="2"/>
      <c r="PIF45" s="2"/>
      <c r="PIG45" s="2"/>
      <c r="PIH45" s="2"/>
      <c r="PII45" s="2"/>
      <c r="PIJ45" s="2"/>
      <c r="PIK45" s="2"/>
      <c r="PIL45" s="2"/>
      <c r="PIM45" s="2"/>
      <c r="PIN45" s="2"/>
      <c r="PIO45" s="2"/>
      <c r="PIP45" s="2"/>
      <c r="PIQ45" s="2"/>
      <c r="PIR45" s="2"/>
      <c r="PIS45" s="2"/>
      <c r="PIT45" s="2"/>
      <c r="PIU45" s="2"/>
      <c r="PIV45" s="2"/>
      <c r="PIW45" s="2"/>
      <c r="PIX45" s="2"/>
      <c r="PIY45" s="2"/>
      <c r="PIZ45" s="2"/>
      <c r="PJA45" s="2"/>
      <c r="PJB45" s="2"/>
      <c r="PJC45" s="2"/>
      <c r="PJD45" s="2"/>
      <c r="PJE45" s="2"/>
      <c r="PJF45" s="2"/>
      <c r="PJG45" s="2"/>
      <c r="PJH45" s="2"/>
      <c r="PJI45" s="2"/>
      <c r="PJJ45" s="2"/>
      <c r="PJK45" s="2"/>
      <c r="PJL45" s="2"/>
      <c r="PJM45" s="2"/>
      <c r="PJN45" s="2"/>
      <c r="PJO45" s="2"/>
      <c r="PJP45" s="2"/>
      <c r="PJQ45" s="2"/>
      <c r="PJR45" s="2"/>
      <c r="PJS45" s="2"/>
      <c r="PJT45" s="2"/>
      <c r="PJU45" s="2"/>
      <c r="PJV45" s="2"/>
      <c r="PJW45" s="2"/>
      <c r="PJX45" s="2"/>
      <c r="PJY45" s="2"/>
      <c r="PJZ45" s="2"/>
      <c r="PKA45" s="2"/>
      <c r="PKB45" s="2"/>
      <c r="PKC45" s="2"/>
      <c r="PKD45" s="2"/>
      <c r="PKE45" s="2"/>
      <c r="PKF45" s="2"/>
      <c r="PKG45" s="2"/>
      <c r="PKH45" s="2"/>
      <c r="PKI45" s="2"/>
      <c r="PKJ45" s="2"/>
      <c r="PKK45" s="2"/>
      <c r="PKL45" s="2"/>
      <c r="PKM45" s="2"/>
      <c r="PKN45" s="2"/>
      <c r="PKO45" s="2"/>
      <c r="PKP45" s="2"/>
      <c r="PKQ45" s="2"/>
      <c r="PKR45" s="2"/>
      <c r="PKS45" s="2"/>
      <c r="PKT45" s="2"/>
      <c r="PKU45" s="2"/>
      <c r="PKV45" s="2"/>
      <c r="PKW45" s="2"/>
      <c r="PKX45" s="2"/>
      <c r="PKY45" s="2"/>
      <c r="PKZ45" s="2"/>
      <c r="PLA45" s="2"/>
      <c r="PLB45" s="2"/>
      <c r="PLC45" s="2"/>
      <c r="PLD45" s="2"/>
      <c r="PLE45" s="2"/>
      <c r="PLF45" s="2"/>
      <c r="PLG45" s="2"/>
      <c r="PLH45" s="2"/>
      <c r="PLI45" s="2"/>
      <c r="PLJ45" s="2"/>
      <c r="PLK45" s="2"/>
      <c r="PLL45" s="2"/>
      <c r="PLM45" s="2"/>
      <c r="PLN45" s="2"/>
      <c r="PLO45" s="2"/>
      <c r="PLP45" s="2"/>
      <c r="PLQ45" s="2"/>
      <c r="PLR45" s="2"/>
      <c r="PLS45" s="2"/>
      <c r="PLT45" s="2"/>
      <c r="PLU45" s="2"/>
      <c r="PLV45" s="2"/>
      <c r="PLW45" s="2"/>
      <c r="PLX45" s="2"/>
      <c r="PLY45" s="2"/>
      <c r="PLZ45" s="2"/>
      <c r="PMA45" s="2"/>
      <c r="PMB45" s="2"/>
      <c r="PMC45" s="2"/>
      <c r="PMD45" s="2"/>
      <c r="PME45" s="2"/>
      <c r="PMF45" s="2"/>
      <c r="PMG45" s="2"/>
      <c r="PMH45" s="2"/>
      <c r="PMI45" s="2"/>
      <c r="PMJ45" s="2"/>
      <c r="PMK45" s="2"/>
      <c r="PML45" s="2"/>
      <c r="PMM45" s="2"/>
      <c r="PMN45" s="2"/>
      <c r="PMO45" s="2"/>
      <c r="PMP45" s="2"/>
      <c r="PMQ45" s="2"/>
      <c r="PMR45" s="2"/>
      <c r="PMS45" s="2"/>
      <c r="PMT45" s="2"/>
      <c r="PMU45" s="2"/>
      <c r="PMV45" s="2"/>
      <c r="PMW45" s="2"/>
      <c r="PMX45" s="2"/>
      <c r="PMY45" s="2"/>
      <c r="PMZ45" s="2"/>
      <c r="PNA45" s="2"/>
      <c r="PNB45" s="2"/>
      <c r="PNC45" s="2"/>
      <c r="PND45" s="2"/>
      <c r="PNE45" s="2"/>
      <c r="PNF45" s="2"/>
      <c r="PNG45" s="2"/>
      <c r="PNH45" s="2"/>
      <c r="PNI45" s="2"/>
      <c r="PNJ45" s="2"/>
      <c r="PNK45" s="2"/>
      <c r="PNL45" s="2"/>
      <c r="PNM45" s="2"/>
      <c r="PNN45" s="2"/>
      <c r="PNO45" s="2"/>
      <c r="PNP45" s="2"/>
      <c r="PNQ45" s="2"/>
      <c r="PNR45" s="2"/>
      <c r="PNS45" s="2"/>
      <c r="PNT45" s="2"/>
      <c r="PNU45" s="2"/>
      <c r="PNV45" s="2"/>
      <c r="PNW45" s="2"/>
      <c r="PNX45" s="2"/>
      <c r="PNY45" s="2"/>
      <c r="PNZ45" s="2"/>
      <c r="POA45" s="2"/>
      <c r="POB45" s="2"/>
      <c r="POC45" s="2"/>
      <c r="POD45" s="2"/>
      <c r="POE45" s="2"/>
      <c r="POF45" s="2"/>
      <c r="POG45" s="2"/>
      <c r="POH45" s="2"/>
      <c r="POI45" s="2"/>
      <c r="POJ45" s="2"/>
      <c r="POK45" s="2"/>
      <c r="POL45" s="2"/>
      <c r="POM45" s="2"/>
      <c r="PON45" s="2"/>
      <c r="POO45" s="2"/>
      <c r="POP45" s="2"/>
      <c r="POQ45" s="2"/>
      <c r="POR45" s="2"/>
      <c r="POS45" s="2"/>
      <c r="POT45" s="2"/>
      <c r="POU45" s="2"/>
      <c r="POV45" s="2"/>
      <c r="POW45" s="2"/>
      <c r="POX45" s="2"/>
      <c r="POY45" s="2"/>
      <c r="POZ45" s="2"/>
      <c r="PPA45" s="2"/>
      <c r="PPB45" s="2"/>
      <c r="PPC45" s="2"/>
      <c r="PPD45" s="2"/>
      <c r="PPE45" s="2"/>
      <c r="PPF45" s="2"/>
      <c r="PPG45" s="2"/>
      <c r="PPH45" s="2"/>
      <c r="PPI45" s="2"/>
      <c r="PPJ45" s="2"/>
      <c r="PPK45" s="2"/>
      <c r="PPL45" s="2"/>
      <c r="PPM45" s="2"/>
      <c r="PPN45" s="2"/>
      <c r="PPO45" s="2"/>
      <c r="PPP45" s="2"/>
      <c r="PPQ45" s="2"/>
      <c r="PPR45" s="2"/>
      <c r="PPS45" s="2"/>
      <c r="PPT45" s="2"/>
      <c r="PPU45" s="2"/>
      <c r="PPV45" s="2"/>
      <c r="PPW45" s="2"/>
      <c r="PPX45" s="2"/>
      <c r="PPY45" s="2"/>
      <c r="PPZ45" s="2"/>
      <c r="PQA45" s="2"/>
      <c r="PQB45" s="2"/>
      <c r="PQC45" s="2"/>
      <c r="PQD45" s="2"/>
      <c r="PQE45" s="2"/>
      <c r="PQF45" s="2"/>
      <c r="PQG45" s="2"/>
      <c r="PQH45" s="2"/>
      <c r="PQI45" s="2"/>
      <c r="PQJ45" s="2"/>
      <c r="PQK45" s="2"/>
      <c r="PQL45" s="2"/>
      <c r="PQM45" s="2"/>
      <c r="PQN45" s="2"/>
      <c r="PQO45" s="2"/>
      <c r="PQP45" s="2"/>
      <c r="PQQ45" s="2"/>
      <c r="PQR45" s="2"/>
      <c r="PQS45" s="2"/>
      <c r="PQT45" s="2"/>
      <c r="PQU45" s="2"/>
      <c r="PQV45" s="2"/>
      <c r="PQW45" s="2"/>
      <c r="PQX45" s="2"/>
      <c r="PQY45" s="2"/>
      <c r="PQZ45" s="2"/>
      <c r="PRA45" s="2"/>
      <c r="PRB45" s="2"/>
      <c r="PRC45" s="2"/>
      <c r="PRD45" s="2"/>
      <c r="PRE45" s="2"/>
      <c r="PRF45" s="2"/>
      <c r="PRG45" s="2"/>
      <c r="PRH45" s="2"/>
      <c r="PRI45" s="2"/>
      <c r="PRJ45" s="2"/>
      <c r="PRK45" s="2"/>
      <c r="PRL45" s="2"/>
      <c r="PRM45" s="2"/>
      <c r="PRN45" s="2"/>
      <c r="PRO45" s="2"/>
      <c r="PRP45" s="2"/>
      <c r="PRQ45" s="2"/>
      <c r="PRR45" s="2"/>
      <c r="PRS45" s="2"/>
      <c r="PRT45" s="2"/>
      <c r="PRU45" s="2"/>
      <c r="PRV45" s="2"/>
      <c r="PRW45" s="2"/>
      <c r="PRX45" s="2"/>
      <c r="PRY45" s="2"/>
      <c r="PRZ45" s="2"/>
      <c r="PSA45" s="2"/>
      <c r="PSB45" s="2"/>
      <c r="PSC45" s="2"/>
      <c r="PSD45" s="2"/>
      <c r="PSE45" s="2"/>
      <c r="PSF45" s="2"/>
      <c r="PSG45" s="2"/>
      <c r="PSH45" s="2"/>
      <c r="PSI45" s="2"/>
      <c r="PSJ45" s="2"/>
      <c r="PSK45" s="2"/>
      <c r="PSL45" s="2"/>
      <c r="PSM45" s="2"/>
      <c r="PSN45" s="2"/>
      <c r="PSO45" s="2"/>
      <c r="PSP45" s="2"/>
      <c r="PSQ45" s="2"/>
      <c r="PSR45" s="2"/>
      <c r="PSS45" s="2"/>
      <c r="PST45" s="2"/>
      <c r="PSU45" s="2"/>
      <c r="PSV45" s="2"/>
      <c r="PSW45" s="2"/>
      <c r="PSX45" s="2"/>
      <c r="PSY45" s="2"/>
      <c r="PSZ45" s="2"/>
      <c r="PTA45" s="2"/>
      <c r="PTB45" s="2"/>
      <c r="PTC45" s="2"/>
      <c r="PTD45" s="2"/>
      <c r="PTE45" s="2"/>
      <c r="PTF45" s="2"/>
      <c r="PTG45" s="2"/>
      <c r="PTH45" s="2"/>
      <c r="PTI45" s="2"/>
      <c r="PTJ45" s="2"/>
      <c r="PTK45" s="2"/>
      <c r="PTL45" s="2"/>
      <c r="PTM45" s="2"/>
      <c r="PTN45" s="2"/>
      <c r="PTO45" s="2"/>
      <c r="PTP45" s="2"/>
      <c r="PTQ45" s="2"/>
      <c r="PTR45" s="2"/>
      <c r="PTS45" s="2"/>
      <c r="PTT45" s="2"/>
      <c r="PTU45" s="2"/>
      <c r="PTV45" s="2"/>
      <c r="PTW45" s="2"/>
      <c r="PTX45" s="2"/>
      <c r="PTY45" s="2"/>
      <c r="PTZ45" s="2"/>
      <c r="PUA45" s="2"/>
      <c r="PUB45" s="2"/>
      <c r="PUC45" s="2"/>
      <c r="PUD45" s="2"/>
      <c r="PUE45" s="2"/>
      <c r="PUF45" s="2"/>
      <c r="PUG45" s="2"/>
      <c r="PUH45" s="2"/>
      <c r="PUI45" s="2"/>
      <c r="PUJ45" s="2"/>
      <c r="PUK45" s="2"/>
      <c r="PUL45" s="2"/>
      <c r="PUM45" s="2"/>
      <c r="PUN45" s="2"/>
      <c r="PUO45" s="2"/>
      <c r="PUP45" s="2"/>
      <c r="PUQ45" s="2"/>
      <c r="PUR45" s="2"/>
      <c r="PUS45" s="2"/>
      <c r="PUT45" s="2"/>
      <c r="PUU45" s="2"/>
      <c r="PUV45" s="2"/>
      <c r="PUW45" s="2"/>
      <c r="PUX45" s="2"/>
      <c r="PUY45" s="2"/>
      <c r="PUZ45" s="2"/>
      <c r="PVA45" s="2"/>
      <c r="PVB45" s="2"/>
      <c r="PVC45" s="2"/>
      <c r="PVD45" s="2"/>
      <c r="PVE45" s="2"/>
      <c r="PVF45" s="2"/>
      <c r="PVG45" s="2"/>
      <c r="PVH45" s="2"/>
      <c r="PVI45" s="2"/>
      <c r="PVJ45" s="2"/>
      <c r="PVK45" s="2"/>
      <c r="PVL45" s="2"/>
      <c r="PVM45" s="2"/>
      <c r="PVN45" s="2"/>
      <c r="PVO45" s="2"/>
      <c r="PVP45" s="2"/>
      <c r="PVQ45" s="2"/>
      <c r="PVR45" s="2"/>
      <c r="PVS45" s="2"/>
      <c r="PVT45" s="2"/>
      <c r="PVU45" s="2"/>
      <c r="PVV45" s="2"/>
      <c r="PVW45" s="2"/>
      <c r="PVX45" s="2"/>
      <c r="PVY45" s="2"/>
      <c r="PVZ45" s="2"/>
      <c r="PWA45" s="2"/>
      <c r="PWB45" s="2"/>
      <c r="PWC45" s="2"/>
      <c r="PWD45" s="2"/>
      <c r="PWE45" s="2"/>
      <c r="PWF45" s="2"/>
      <c r="PWG45" s="2"/>
      <c r="PWH45" s="2"/>
      <c r="PWI45" s="2"/>
      <c r="PWJ45" s="2"/>
      <c r="PWK45" s="2"/>
      <c r="PWL45" s="2"/>
      <c r="PWM45" s="2"/>
      <c r="PWN45" s="2"/>
      <c r="PWO45" s="2"/>
      <c r="PWP45" s="2"/>
      <c r="PWQ45" s="2"/>
      <c r="PWR45" s="2"/>
      <c r="PWS45" s="2"/>
      <c r="PWT45" s="2"/>
      <c r="PWU45" s="2"/>
      <c r="PWV45" s="2"/>
      <c r="PWW45" s="2"/>
      <c r="PWX45" s="2"/>
      <c r="PWY45" s="2"/>
      <c r="PWZ45" s="2"/>
      <c r="PXA45" s="2"/>
      <c r="PXB45" s="2"/>
      <c r="PXC45" s="2"/>
      <c r="PXD45" s="2"/>
      <c r="PXE45" s="2"/>
      <c r="PXF45" s="2"/>
      <c r="PXG45" s="2"/>
      <c r="PXH45" s="2"/>
      <c r="PXI45" s="2"/>
      <c r="PXJ45" s="2"/>
      <c r="PXK45" s="2"/>
      <c r="PXL45" s="2"/>
      <c r="PXM45" s="2"/>
      <c r="PXN45" s="2"/>
      <c r="PXO45" s="2"/>
      <c r="PXP45" s="2"/>
      <c r="PXQ45" s="2"/>
      <c r="PXR45" s="2"/>
      <c r="PXS45" s="2"/>
      <c r="PXT45" s="2"/>
      <c r="PXU45" s="2"/>
      <c r="PXV45" s="2"/>
      <c r="PXW45" s="2"/>
      <c r="PXX45" s="2"/>
      <c r="PXY45" s="2"/>
      <c r="PXZ45" s="2"/>
      <c r="PYA45" s="2"/>
      <c r="PYB45" s="2"/>
      <c r="PYC45" s="2"/>
      <c r="PYD45" s="2"/>
      <c r="PYE45" s="2"/>
      <c r="PYF45" s="2"/>
      <c r="PYG45" s="2"/>
      <c r="PYH45" s="2"/>
      <c r="PYI45" s="2"/>
      <c r="PYJ45" s="2"/>
      <c r="PYK45" s="2"/>
      <c r="PYL45" s="2"/>
      <c r="PYM45" s="2"/>
      <c r="PYN45" s="2"/>
      <c r="PYO45" s="2"/>
      <c r="PYP45" s="2"/>
      <c r="PYQ45" s="2"/>
      <c r="PYR45" s="2"/>
      <c r="PYS45" s="2"/>
      <c r="PYT45" s="2"/>
      <c r="PYU45" s="2"/>
      <c r="PYV45" s="2"/>
      <c r="PYW45" s="2"/>
      <c r="PYX45" s="2"/>
      <c r="PYY45" s="2"/>
      <c r="PYZ45" s="2"/>
      <c r="PZA45" s="2"/>
      <c r="PZB45" s="2"/>
      <c r="PZC45" s="2"/>
      <c r="PZD45" s="2"/>
      <c r="PZE45" s="2"/>
      <c r="PZF45" s="2"/>
      <c r="PZG45" s="2"/>
      <c r="PZH45" s="2"/>
      <c r="PZI45" s="2"/>
      <c r="PZJ45" s="2"/>
      <c r="PZK45" s="2"/>
      <c r="PZL45" s="2"/>
      <c r="PZM45" s="2"/>
      <c r="PZN45" s="2"/>
      <c r="PZO45" s="2"/>
      <c r="PZP45" s="2"/>
      <c r="PZQ45" s="2"/>
      <c r="PZR45" s="2"/>
      <c r="PZS45" s="2"/>
      <c r="PZT45" s="2"/>
      <c r="PZU45" s="2"/>
      <c r="PZV45" s="2"/>
      <c r="PZW45" s="2"/>
      <c r="PZX45" s="2"/>
      <c r="PZY45" s="2"/>
      <c r="PZZ45" s="2"/>
      <c r="QAA45" s="2"/>
      <c r="QAB45" s="2"/>
      <c r="QAC45" s="2"/>
      <c r="QAD45" s="2"/>
      <c r="QAE45" s="2"/>
      <c r="QAF45" s="2"/>
      <c r="QAG45" s="2"/>
      <c r="QAH45" s="2"/>
      <c r="QAI45" s="2"/>
      <c r="QAJ45" s="2"/>
      <c r="QAK45" s="2"/>
      <c r="QAL45" s="2"/>
      <c r="QAM45" s="2"/>
      <c r="QAN45" s="2"/>
      <c r="QAO45" s="2"/>
      <c r="QAP45" s="2"/>
      <c r="QAQ45" s="2"/>
      <c r="QAR45" s="2"/>
      <c r="QAS45" s="2"/>
      <c r="QAT45" s="2"/>
      <c r="QAU45" s="2"/>
      <c r="QAV45" s="2"/>
      <c r="QAW45" s="2"/>
      <c r="QAX45" s="2"/>
      <c r="QAY45" s="2"/>
      <c r="QAZ45" s="2"/>
      <c r="QBA45" s="2"/>
      <c r="QBB45" s="2"/>
      <c r="QBC45" s="2"/>
      <c r="QBD45" s="2"/>
      <c r="QBE45" s="2"/>
      <c r="QBF45" s="2"/>
      <c r="QBG45" s="2"/>
      <c r="QBH45" s="2"/>
      <c r="QBI45" s="2"/>
      <c r="QBJ45" s="2"/>
      <c r="QBK45" s="2"/>
      <c r="QBL45" s="2"/>
      <c r="QBM45" s="2"/>
      <c r="QBN45" s="2"/>
      <c r="QBO45" s="2"/>
      <c r="QBP45" s="2"/>
      <c r="QBQ45" s="2"/>
      <c r="QBR45" s="2"/>
      <c r="QBS45" s="2"/>
      <c r="QBT45" s="2"/>
      <c r="QBU45" s="2"/>
      <c r="QBV45" s="2"/>
      <c r="QBW45" s="2"/>
      <c r="QBX45" s="2"/>
      <c r="QBY45" s="2"/>
      <c r="QBZ45" s="2"/>
      <c r="QCA45" s="2"/>
      <c r="QCB45" s="2"/>
      <c r="QCC45" s="2"/>
      <c r="QCD45" s="2"/>
      <c r="QCE45" s="2"/>
      <c r="QCF45" s="2"/>
      <c r="QCG45" s="2"/>
      <c r="QCH45" s="2"/>
      <c r="QCI45" s="2"/>
      <c r="QCJ45" s="2"/>
      <c r="QCK45" s="2"/>
      <c r="QCL45" s="2"/>
      <c r="QCM45" s="2"/>
      <c r="QCN45" s="2"/>
      <c r="QCO45" s="2"/>
      <c r="QCP45" s="2"/>
      <c r="QCQ45" s="2"/>
      <c r="QCR45" s="2"/>
      <c r="QCS45" s="2"/>
      <c r="QCT45" s="2"/>
      <c r="QCU45" s="2"/>
      <c r="QCV45" s="2"/>
      <c r="QCW45" s="2"/>
      <c r="QCX45" s="2"/>
      <c r="QCY45" s="2"/>
      <c r="QCZ45" s="2"/>
      <c r="QDA45" s="2"/>
      <c r="QDB45" s="2"/>
      <c r="QDC45" s="2"/>
      <c r="QDD45" s="2"/>
      <c r="QDE45" s="2"/>
      <c r="QDF45" s="2"/>
      <c r="QDG45" s="2"/>
      <c r="QDH45" s="2"/>
      <c r="QDI45" s="2"/>
      <c r="QDJ45" s="2"/>
      <c r="QDK45" s="2"/>
      <c r="QDL45" s="2"/>
      <c r="QDM45" s="2"/>
      <c r="QDN45" s="2"/>
      <c r="QDO45" s="2"/>
      <c r="QDP45" s="2"/>
      <c r="QDQ45" s="2"/>
      <c r="QDR45" s="2"/>
      <c r="QDS45" s="2"/>
      <c r="QDT45" s="2"/>
      <c r="QDU45" s="2"/>
      <c r="QDV45" s="2"/>
      <c r="QDW45" s="2"/>
      <c r="QDX45" s="2"/>
      <c r="QDY45" s="2"/>
      <c r="QDZ45" s="2"/>
      <c r="QEA45" s="2"/>
      <c r="QEB45" s="2"/>
      <c r="QEC45" s="2"/>
      <c r="QED45" s="2"/>
      <c r="QEE45" s="2"/>
      <c r="QEF45" s="2"/>
      <c r="QEG45" s="2"/>
      <c r="QEH45" s="2"/>
      <c r="QEI45" s="2"/>
      <c r="QEJ45" s="2"/>
      <c r="QEK45" s="2"/>
      <c r="QEL45" s="2"/>
      <c r="QEM45" s="2"/>
      <c r="QEN45" s="2"/>
      <c r="QEO45" s="2"/>
      <c r="QEP45" s="2"/>
      <c r="QEQ45" s="2"/>
      <c r="QER45" s="2"/>
      <c r="QES45" s="2"/>
      <c r="QET45" s="2"/>
      <c r="QEU45" s="2"/>
      <c r="QEV45" s="2"/>
      <c r="QEW45" s="2"/>
      <c r="QEX45" s="2"/>
      <c r="QEY45" s="2"/>
      <c r="QEZ45" s="2"/>
      <c r="QFA45" s="2"/>
      <c r="QFB45" s="2"/>
      <c r="QFC45" s="2"/>
      <c r="QFD45" s="2"/>
      <c r="QFE45" s="2"/>
      <c r="QFF45" s="2"/>
      <c r="QFG45" s="2"/>
      <c r="QFH45" s="2"/>
      <c r="QFI45" s="2"/>
      <c r="QFJ45" s="2"/>
      <c r="QFK45" s="2"/>
      <c r="QFL45" s="2"/>
      <c r="QFM45" s="2"/>
      <c r="QFN45" s="2"/>
      <c r="QFO45" s="2"/>
      <c r="QFP45" s="2"/>
      <c r="QFQ45" s="2"/>
      <c r="QFR45" s="2"/>
      <c r="QFS45" s="2"/>
      <c r="QFT45" s="2"/>
      <c r="QFU45" s="2"/>
      <c r="QFV45" s="2"/>
      <c r="QFW45" s="2"/>
      <c r="QFX45" s="2"/>
      <c r="QFY45" s="2"/>
      <c r="QFZ45" s="2"/>
      <c r="QGA45" s="2"/>
      <c r="QGB45" s="2"/>
      <c r="QGC45" s="2"/>
      <c r="QGD45" s="2"/>
      <c r="QGE45" s="2"/>
      <c r="QGF45" s="2"/>
      <c r="QGG45" s="2"/>
      <c r="QGH45" s="2"/>
      <c r="QGI45" s="2"/>
      <c r="QGJ45" s="2"/>
      <c r="QGK45" s="2"/>
      <c r="QGL45" s="2"/>
      <c r="QGM45" s="2"/>
      <c r="QGN45" s="2"/>
      <c r="QGO45" s="2"/>
      <c r="QGP45" s="2"/>
      <c r="QGQ45" s="2"/>
      <c r="QGR45" s="2"/>
      <c r="QGS45" s="2"/>
      <c r="QGT45" s="2"/>
      <c r="QGU45" s="2"/>
      <c r="QGV45" s="2"/>
      <c r="QGW45" s="2"/>
      <c r="QGX45" s="2"/>
      <c r="QGY45" s="2"/>
      <c r="QGZ45" s="2"/>
      <c r="QHA45" s="2"/>
      <c r="QHB45" s="2"/>
      <c r="QHC45" s="2"/>
      <c r="QHD45" s="2"/>
      <c r="QHE45" s="2"/>
      <c r="QHF45" s="2"/>
      <c r="QHG45" s="2"/>
      <c r="QHH45" s="2"/>
      <c r="QHI45" s="2"/>
      <c r="QHJ45" s="2"/>
      <c r="QHK45" s="2"/>
      <c r="QHL45" s="2"/>
      <c r="QHM45" s="2"/>
      <c r="QHN45" s="2"/>
      <c r="QHO45" s="2"/>
      <c r="QHP45" s="2"/>
      <c r="QHQ45" s="2"/>
      <c r="QHR45" s="2"/>
      <c r="QHS45" s="2"/>
      <c r="QHT45" s="2"/>
      <c r="QHU45" s="2"/>
      <c r="QHV45" s="2"/>
      <c r="QHW45" s="2"/>
      <c r="QHX45" s="2"/>
      <c r="QHY45" s="2"/>
      <c r="QHZ45" s="2"/>
      <c r="QIA45" s="2"/>
      <c r="QIB45" s="2"/>
      <c r="QIC45" s="2"/>
      <c r="QID45" s="2"/>
      <c r="QIE45" s="2"/>
      <c r="QIF45" s="2"/>
      <c r="QIG45" s="2"/>
      <c r="QIH45" s="2"/>
      <c r="QII45" s="2"/>
      <c r="QIJ45" s="2"/>
      <c r="QIK45" s="2"/>
      <c r="QIL45" s="2"/>
      <c r="QIM45" s="2"/>
      <c r="QIN45" s="2"/>
      <c r="QIO45" s="2"/>
      <c r="QIP45" s="2"/>
      <c r="QIQ45" s="2"/>
      <c r="QIR45" s="2"/>
      <c r="QIS45" s="2"/>
      <c r="QIT45" s="2"/>
      <c r="QIU45" s="2"/>
      <c r="QIV45" s="2"/>
      <c r="QIW45" s="2"/>
      <c r="QIX45" s="2"/>
      <c r="QIY45" s="2"/>
      <c r="QIZ45" s="2"/>
      <c r="QJA45" s="2"/>
      <c r="QJB45" s="2"/>
      <c r="QJC45" s="2"/>
      <c r="QJD45" s="2"/>
      <c r="QJE45" s="2"/>
      <c r="QJF45" s="2"/>
      <c r="QJG45" s="2"/>
      <c r="QJH45" s="2"/>
      <c r="QJI45" s="2"/>
      <c r="QJJ45" s="2"/>
      <c r="QJK45" s="2"/>
      <c r="QJL45" s="2"/>
      <c r="QJM45" s="2"/>
      <c r="QJN45" s="2"/>
      <c r="QJO45" s="2"/>
      <c r="QJP45" s="2"/>
      <c r="QJQ45" s="2"/>
      <c r="QJR45" s="2"/>
      <c r="QJS45" s="2"/>
      <c r="QJT45" s="2"/>
      <c r="QJU45" s="2"/>
      <c r="QJV45" s="2"/>
      <c r="QJW45" s="2"/>
      <c r="QJX45" s="2"/>
      <c r="QJY45" s="2"/>
      <c r="QJZ45" s="2"/>
      <c r="QKA45" s="2"/>
      <c r="QKB45" s="2"/>
      <c r="QKC45" s="2"/>
      <c r="QKD45" s="2"/>
      <c r="QKE45" s="2"/>
      <c r="QKF45" s="2"/>
      <c r="QKG45" s="2"/>
      <c r="QKH45" s="2"/>
      <c r="QKI45" s="2"/>
      <c r="QKJ45" s="2"/>
      <c r="QKK45" s="2"/>
      <c r="QKL45" s="2"/>
      <c r="QKM45" s="2"/>
      <c r="QKN45" s="2"/>
      <c r="QKO45" s="2"/>
      <c r="QKP45" s="2"/>
      <c r="QKQ45" s="2"/>
      <c r="QKR45" s="2"/>
      <c r="QKS45" s="2"/>
      <c r="QKT45" s="2"/>
      <c r="QKU45" s="2"/>
      <c r="QKV45" s="2"/>
      <c r="QKW45" s="2"/>
      <c r="QKX45" s="2"/>
      <c r="QKY45" s="2"/>
      <c r="QKZ45" s="2"/>
      <c r="QLA45" s="2"/>
      <c r="QLB45" s="2"/>
      <c r="QLC45" s="2"/>
      <c r="QLD45" s="2"/>
      <c r="QLE45" s="2"/>
      <c r="QLF45" s="2"/>
      <c r="QLG45" s="2"/>
      <c r="QLH45" s="2"/>
      <c r="QLI45" s="2"/>
      <c r="QLJ45" s="2"/>
      <c r="QLK45" s="2"/>
      <c r="QLL45" s="2"/>
      <c r="QLM45" s="2"/>
      <c r="QLN45" s="2"/>
      <c r="QLO45" s="2"/>
      <c r="QLP45" s="2"/>
      <c r="QLQ45" s="2"/>
      <c r="QLR45" s="2"/>
      <c r="QLS45" s="2"/>
      <c r="QLT45" s="2"/>
      <c r="QLU45" s="2"/>
      <c r="QLV45" s="2"/>
      <c r="QLW45" s="2"/>
      <c r="QLX45" s="2"/>
      <c r="QLY45" s="2"/>
      <c r="QLZ45" s="2"/>
      <c r="QMA45" s="2"/>
      <c r="QMB45" s="2"/>
      <c r="QMC45" s="2"/>
      <c r="QMD45" s="2"/>
      <c r="QME45" s="2"/>
      <c r="QMF45" s="2"/>
      <c r="QMG45" s="2"/>
      <c r="QMH45" s="2"/>
      <c r="QMI45" s="2"/>
      <c r="QMJ45" s="2"/>
      <c r="QMK45" s="2"/>
      <c r="QML45" s="2"/>
      <c r="QMM45" s="2"/>
      <c r="QMN45" s="2"/>
      <c r="QMO45" s="2"/>
      <c r="QMP45" s="2"/>
      <c r="QMQ45" s="2"/>
      <c r="QMR45" s="2"/>
      <c r="QMS45" s="2"/>
      <c r="QMT45" s="2"/>
      <c r="QMU45" s="2"/>
      <c r="QMV45" s="2"/>
      <c r="QMW45" s="2"/>
      <c r="QMX45" s="2"/>
      <c r="QMY45" s="2"/>
      <c r="QMZ45" s="2"/>
      <c r="QNA45" s="2"/>
      <c r="QNB45" s="2"/>
      <c r="QNC45" s="2"/>
      <c r="QND45" s="2"/>
      <c r="QNE45" s="2"/>
      <c r="QNF45" s="2"/>
      <c r="QNG45" s="2"/>
      <c r="QNH45" s="2"/>
      <c r="QNI45" s="2"/>
      <c r="QNJ45" s="2"/>
      <c r="QNK45" s="2"/>
      <c r="QNL45" s="2"/>
      <c r="QNM45" s="2"/>
      <c r="QNN45" s="2"/>
      <c r="QNO45" s="2"/>
      <c r="QNP45" s="2"/>
      <c r="QNQ45" s="2"/>
      <c r="QNR45" s="2"/>
      <c r="QNS45" s="2"/>
      <c r="QNT45" s="2"/>
      <c r="QNU45" s="2"/>
      <c r="QNV45" s="2"/>
      <c r="QNW45" s="2"/>
      <c r="QNX45" s="2"/>
      <c r="QNY45" s="2"/>
      <c r="QNZ45" s="2"/>
      <c r="QOA45" s="2"/>
      <c r="QOB45" s="2"/>
      <c r="QOC45" s="2"/>
      <c r="QOD45" s="2"/>
      <c r="QOE45" s="2"/>
      <c r="QOF45" s="2"/>
      <c r="QOG45" s="2"/>
      <c r="QOH45" s="2"/>
      <c r="QOI45" s="2"/>
      <c r="QOJ45" s="2"/>
      <c r="QOK45" s="2"/>
      <c r="QOL45" s="2"/>
      <c r="QOM45" s="2"/>
      <c r="QON45" s="2"/>
      <c r="QOO45" s="2"/>
      <c r="QOP45" s="2"/>
      <c r="QOQ45" s="2"/>
      <c r="QOR45" s="2"/>
      <c r="QOS45" s="2"/>
      <c r="QOT45" s="2"/>
      <c r="QOU45" s="2"/>
      <c r="QOV45" s="2"/>
      <c r="QOW45" s="2"/>
      <c r="QOX45" s="2"/>
      <c r="QOY45" s="2"/>
      <c r="QOZ45" s="2"/>
      <c r="QPA45" s="2"/>
      <c r="QPB45" s="2"/>
      <c r="QPC45" s="2"/>
      <c r="QPD45" s="2"/>
      <c r="QPE45" s="2"/>
      <c r="QPF45" s="2"/>
      <c r="QPG45" s="2"/>
      <c r="QPH45" s="2"/>
      <c r="QPI45" s="2"/>
      <c r="QPJ45" s="2"/>
      <c r="QPK45" s="2"/>
      <c r="QPL45" s="2"/>
      <c r="QPM45" s="2"/>
      <c r="QPN45" s="2"/>
      <c r="QPO45" s="2"/>
      <c r="QPP45" s="2"/>
      <c r="QPQ45" s="2"/>
      <c r="QPR45" s="2"/>
      <c r="QPS45" s="2"/>
      <c r="QPT45" s="2"/>
      <c r="QPU45" s="2"/>
      <c r="QPV45" s="2"/>
      <c r="QPW45" s="2"/>
      <c r="QPX45" s="2"/>
      <c r="QPY45" s="2"/>
      <c r="QPZ45" s="2"/>
      <c r="QQA45" s="2"/>
      <c r="QQB45" s="2"/>
      <c r="QQC45" s="2"/>
      <c r="QQD45" s="2"/>
      <c r="QQE45" s="2"/>
      <c r="QQF45" s="2"/>
      <c r="QQG45" s="2"/>
      <c r="QQH45" s="2"/>
      <c r="QQI45" s="2"/>
      <c r="QQJ45" s="2"/>
      <c r="QQK45" s="2"/>
      <c r="QQL45" s="2"/>
      <c r="QQM45" s="2"/>
      <c r="QQN45" s="2"/>
      <c r="QQO45" s="2"/>
      <c r="QQP45" s="2"/>
      <c r="QQQ45" s="2"/>
      <c r="QQR45" s="2"/>
      <c r="QQS45" s="2"/>
      <c r="QQT45" s="2"/>
      <c r="QQU45" s="2"/>
      <c r="QQV45" s="2"/>
      <c r="QQW45" s="2"/>
      <c r="QQX45" s="2"/>
      <c r="QQY45" s="2"/>
      <c r="QQZ45" s="2"/>
      <c r="QRA45" s="2"/>
      <c r="QRB45" s="2"/>
      <c r="QRC45" s="2"/>
      <c r="QRD45" s="2"/>
      <c r="QRE45" s="2"/>
      <c r="QRF45" s="2"/>
      <c r="QRG45" s="2"/>
      <c r="QRH45" s="2"/>
      <c r="QRI45" s="2"/>
      <c r="QRJ45" s="2"/>
      <c r="QRK45" s="2"/>
      <c r="QRL45" s="2"/>
      <c r="QRM45" s="2"/>
      <c r="QRN45" s="2"/>
      <c r="QRO45" s="2"/>
      <c r="QRP45" s="2"/>
      <c r="QRQ45" s="2"/>
      <c r="QRR45" s="2"/>
      <c r="QRS45" s="2"/>
      <c r="QRT45" s="2"/>
      <c r="QRU45" s="2"/>
      <c r="QRV45" s="2"/>
      <c r="QRW45" s="2"/>
      <c r="QRX45" s="2"/>
      <c r="QRY45" s="2"/>
      <c r="QRZ45" s="2"/>
      <c r="QSA45" s="2"/>
      <c r="QSB45" s="2"/>
      <c r="QSC45" s="2"/>
      <c r="QSD45" s="2"/>
      <c r="QSE45" s="2"/>
      <c r="QSF45" s="2"/>
      <c r="QSG45" s="2"/>
      <c r="QSH45" s="2"/>
      <c r="QSI45" s="2"/>
      <c r="QSJ45" s="2"/>
      <c r="QSK45" s="2"/>
      <c r="QSL45" s="2"/>
      <c r="QSM45" s="2"/>
      <c r="QSN45" s="2"/>
      <c r="QSO45" s="2"/>
      <c r="QSP45" s="2"/>
      <c r="QSQ45" s="2"/>
      <c r="QSR45" s="2"/>
      <c r="QSS45" s="2"/>
      <c r="QST45" s="2"/>
      <c r="QSU45" s="2"/>
      <c r="QSV45" s="2"/>
      <c r="QSW45" s="2"/>
      <c r="QSX45" s="2"/>
      <c r="QSY45" s="2"/>
      <c r="QSZ45" s="2"/>
      <c r="QTA45" s="2"/>
      <c r="QTB45" s="2"/>
      <c r="QTC45" s="2"/>
      <c r="QTD45" s="2"/>
      <c r="QTE45" s="2"/>
      <c r="QTF45" s="2"/>
      <c r="QTG45" s="2"/>
      <c r="QTH45" s="2"/>
      <c r="QTI45" s="2"/>
      <c r="QTJ45" s="2"/>
      <c r="QTK45" s="2"/>
      <c r="QTL45" s="2"/>
      <c r="QTM45" s="2"/>
      <c r="QTN45" s="2"/>
      <c r="QTO45" s="2"/>
      <c r="QTP45" s="2"/>
      <c r="QTQ45" s="2"/>
      <c r="QTR45" s="2"/>
      <c r="QTS45" s="2"/>
      <c r="QTT45" s="2"/>
      <c r="QTU45" s="2"/>
      <c r="QTV45" s="2"/>
      <c r="QTW45" s="2"/>
      <c r="QTX45" s="2"/>
      <c r="QTY45" s="2"/>
      <c r="QTZ45" s="2"/>
      <c r="QUA45" s="2"/>
      <c r="QUB45" s="2"/>
      <c r="QUC45" s="2"/>
      <c r="QUD45" s="2"/>
      <c r="QUE45" s="2"/>
      <c r="QUF45" s="2"/>
      <c r="QUG45" s="2"/>
      <c r="QUH45" s="2"/>
      <c r="QUI45" s="2"/>
      <c r="QUJ45" s="2"/>
      <c r="QUK45" s="2"/>
      <c r="QUL45" s="2"/>
      <c r="QUM45" s="2"/>
      <c r="QUN45" s="2"/>
      <c r="QUO45" s="2"/>
      <c r="QUP45" s="2"/>
      <c r="QUQ45" s="2"/>
      <c r="QUR45" s="2"/>
      <c r="QUS45" s="2"/>
      <c r="QUT45" s="2"/>
      <c r="QUU45" s="2"/>
      <c r="QUV45" s="2"/>
      <c r="QUW45" s="2"/>
      <c r="QUX45" s="2"/>
      <c r="QUY45" s="2"/>
      <c r="QUZ45" s="2"/>
      <c r="QVA45" s="2"/>
      <c r="QVB45" s="2"/>
      <c r="QVC45" s="2"/>
      <c r="QVD45" s="2"/>
      <c r="QVE45" s="2"/>
      <c r="QVF45" s="2"/>
      <c r="QVG45" s="2"/>
      <c r="QVH45" s="2"/>
      <c r="QVI45" s="2"/>
      <c r="QVJ45" s="2"/>
      <c r="QVK45" s="2"/>
      <c r="QVL45" s="2"/>
      <c r="QVM45" s="2"/>
      <c r="QVN45" s="2"/>
      <c r="QVO45" s="2"/>
      <c r="QVP45" s="2"/>
      <c r="QVQ45" s="2"/>
      <c r="QVR45" s="2"/>
      <c r="QVS45" s="2"/>
      <c r="QVT45" s="2"/>
      <c r="QVU45" s="2"/>
      <c r="QVV45" s="2"/>
      <c r="QVW45" s="2"/>
      <c r="QVX45" s="2"/>
      <c r="QVY45" s="2"/>
      <c r="QVZ45" s="2"/>
      <c r="QWA45" s="2"/>
      <c r="QWB45" s="2"/>
      <c r="QWC45" s="2"/>
      <c r="QWD45" s="2"/>
      <c r="QWE45" s="2"/>
      <c r="QWF45" s="2"/>
      <c r="QWG45" s="2"/>
      <c r="QWH45" s="2"/>
      <c r="QWI45" s="2"/>
      <c r="QWJ45" s="2"/>
      <c r="QWK45" s="2"/>
      <c r="QWL45" s="2"/>
      <c r="QWM45" s="2"/>
      <c r="QWN45" s="2"/>
      <c r="QWO45" s="2"/>
      <c r="QWP45" s="2"/>
      <c r="QWQ45" s="2"/>
      <c r="QWR45" s="2"/>
      <c r="QWS45" s="2"/>
      <c r="QWT45" s="2"/>
      <c r="QWU45" s="2"/>
      <c r="QWV45" s="2"/>
      <c r="QWW45" s="2"/>
      <c r="QWX45" s="2"/>
      <c r="QWY45" s="2"/>
      <c r="QWZ45" s="2"/>
      <c r="QXA45" s="2"/>
      <c r="QXB45" s="2"/>
      <c r="QXC45" s="2"/>
      <c r="QXD45" s="2"/>
      <c r="QXE45" s="2"/>
      <c r="QXF45" s="2"/>
      <c r="QXG45" s="2"/>
      <c r="QXH45" s="2"/>
      <c r="QXI45" s="2"/>
      <c r="QXJ45" s="2"/>
      <c r="QXK45" s="2"/>
      <c r="QXL45" s="2"/>
      <c r="QXM45" s="2"/>
      <c r="QXN45" s="2"/>
      <c r="QXO45" s="2"/>
      <c r="QXP45" s="2"/>
      <c r="QXQ45" s="2"/>
      <c r="QXR45" s="2"/>
      <c r="QXS45" s="2"/>
      <c r="QXT45" s="2"/>
      <c r="QXU45" s="2"/>
      <c r="QXV45" s="2"/>
      <c r="QXW45" s="2"/>
      <c r="QXX45" s="2"/>
      <c r="QXY45" s="2"/>
      <c r="QXZ45" s="2"/>
      <c r="QYA45" s="2"/>
      <c r="QYB45" s="2"/>
      <c r="QYC45" s="2"/>
      <c r="QYD45" s="2"/>
      <c r="QYE45" s="2"/>
      <c r="QYF45" s="2"/>
      <c r="QYG45" s="2"/>
      <c r="QYH45" s="2"/>
      <c r="QYI45" s="2"/>
      <c r="QYJ45" s="2"/>
      <c r="QYK45" s="2"/>
      <c r="QYL45" s="2"/>
      <c r="QYM45" s="2"/>
      <c r="QYN45" s="2"/>
      <c r="QYO45" s="2"/>
      <c r="QYP45" s="2"/>
      <c r="QYQ45" s="2"/>
      <c r="QYR45" s="2"/>
      <c r="QYS45" s="2"/>
      <c r="QYT45" s="2"/>
      <c r="QYU45" s="2"/>
      <c r="QYV45" s="2"/>
      <c r="QYW45" s="2"/>
      <c r="QYX45" s="2"/>
      <c r="QYY45" s="2"/>
      <c r="QYZ45" s="2"/>
      <c r="QZA45" s="2"/>
      <c r="QZB45" s="2"/>
      <c r="QZC45" s="2"/>
      <c r="QZD45" s="2"/>
      <c r="QZE45" s="2"/>
      <c r="QZF45" s="2"/>
      <c r="QZG45" s="2"/>
      <c r="QZH45" s="2"/>
      <c r="QZI45" s="2"/>
      <c r="QZJ45" s="2"/>
      <c r="QZK45" s="2"/>
      <c r="QZL45" s="2"/>
      <c r="QZM45" s="2"/>
      <c r="QZN45" s="2"/>
      <c r="QZO45" s="2"/>
      <c r="QZP45" s="2"/>
      <c r="QZQ45" s="2"/>
      <c r="QZR45" s="2"/>
      <c r="QZS45" s="2"/>
      <c r="QZT45" s="2"/>
      <c r="QZU45" s="2"/>
      <c r="QZV45" s="2"/>
      <c r="QZW45" s="2"/>
      <c r="QZX45" s="2"/>
      <c r="QZY45" s="2"/>
      <c r="QZZ45" s="2"/>
      <c r="RAA45" s="2"/>
      <c r="RAB45" s="2"/>
      <c r="RAC45" s="2"/>
      <c r="RAD45" s="2"/>
      <c r="RAE45" s="2"/>
      <c r="RAF45" s="2"/>
      <c r="RAG45" s="2"/>
      <c r="RAH45" s="2"/>
      <c r="RAI45" s="2"/>
      <c r="RAJ45" s="2"/>
      <c r="RAK45" s="2"/>
      <c r="RAL45" s="2"/>
      <c r="RAM45" s="2"/>
      <c r="RAN45" s="2"/>
      <c r="RAO45" s="2"/>
      <c r="RAP45" s="2"/>
      <c r="RAQ45" s="2"/>
      <c r="RAR45" s="2"/>
      <c r="RAS45" s="2"/>
      <c r="RAT45" s="2"/>
      <c r="RAU45" s="2"/>
      <c r="RAV45" s="2"/>
      <c r="RAW45" s="2"/>
      <c r="RAX45" s="2"/>
      <c r="RAY45" s="2"/>
      <c r="RAZ45" s="2"/>
      <c r="RBA45" s="2"/>
      <c r="RBB45" s="2"/>
      <c r="RBC45" s="2"/>
      <c r="RBD45" s="2"/>
      <c r="RBE45" s="2"/>
      <c r="RBF45" s="2"/>
      <c r="RBG45" s="2"/>
      <c r="RBH45" s="2"/>
      <c r="RBI45" s="2"/>
      <c r="RBJ45" s="2"/>
      <c r="RBK45" s="2"/>
      <c r="RBL45" s="2"/>
      <c r="RBM45" s="2"/>
      <c r="RBN45" s="2"/>
      <c r="RBO45" s="2"/>
      <c r="RBP45" s="2"/>
      <c r="RBQ45" s="2"/>
      <c r="RBR45" s="2"/>
      <c r="RBS45" s="2"/>
      <c r="RBT45" s="2"/>
      <c r="RBU45" s="2"/>
      <c r="RBV45" s="2"/>
      <c r="RBW45" s="2"/>
      <c r="RBX45" s="2"/>
      <c r="RBY45" s="2"/>
      <c r="RBZ45" s="2"/>
      <c r="RCA45" s="2"/>
      <c r="RCB45" s="2"/>
      <c r="RCC45" s="2"/>
      <c r="RCD45" s="2"/>
      <c r="RCE45" s="2"/>
      <c r="RCF45" s="2"/>
      <c r="RCG45" s="2"/>
      <c r="RCH45" s="2"/>
      <c r="RCI45" s="2"/>
      <c r="RCJ45" s="2"/>
      <c r="RCK45" s="2"/>
      <c r="RCL45" s="2"/>
      <c r="RCM45" s="2"/>
      <c r="RCN45" s="2"/>
      <c r="RCO45" s="2"/>
      <c r="RCP45" s="2"/>
      <c r="RCQ45" s="2"/>
      <c r="RCR45" s="2"/>
      <c r="RCS45" s="2"/>
      <c r="RCT45" s="2"/>
      <c r="RCU45" s="2"/>
      <c r="RCV45" s="2"/>
      <c r="RCW45" s="2"/>
      <c r="RCX45" s="2"/>
      <c r="RCY45" s="2"/>
      <c r="RCZ45" s="2"/>
      <c r="RDA45" s="2"/>
      <c r="RDB45" s="2"/>
      <c r="RDC45" s="2"/>
      <c r="RDD45" s="2"/>
      <c r="RDE45" s="2"/>
      <c r="RDF45" s="2"/>
      <c r="RDG45" s="2"/>
      <c r="RDH45" s="2"/>
      <c r="RDI45" s="2"/>
      <c r="RDJ45" s="2"/>
      <c r="RDK45" s="2"/>
      <c r="RDL45" s="2"/>
      <c r="RDM45" s="2"/>
      <c r="RDN45" s="2"/>
      <c r="RDO45" s="2"/>
      <c r="RDP45" s="2"/>
      <c r="RDQ45" s="2"/>
      <c r="RDR45" s="2"/>
      <c r="RDS45" s="2"/>
      <c r="RDT45" s="2"/>
      <c r="RDU45" s="2"/>
      <c r="RDV45" s="2"/>
      <c r="RDW45" s="2"/>
      <c r="RDX45" s="2"/>
      <c r="RDY45" s="2"/>
      <c r="RDZ45" s="2"/>
      <c r="REA45" s="2"/>
      <c r="REB45" s="2"/>
      <c r="REC45" s="2"/>
      <c r="RED45" s="2"/>
      <c r="REE45" s="2"/>
      <c r="REF45" s="2"/>
      <c r="REG45" s="2"/>
      <c r="REH45" s="2"/>
      <c r="REI45" s="2"/>
      <c r="REJ45" s="2"/>
      <c r="REK45" s="2"/>
      <c r="REL45" s="2"/>
      <c r="REM45" s="2"/>
      <c r="REN45" s="2"/>
      <c r="REO45" s="2"/>
      <c r="REP45" s="2"/>
      <c r="REQ45" s="2"/>
      <c r="RER45" s="2"/>
      <c r="RES45" s="2"/>
      <c r="RET45" s="2"/>
      <c r="REU45" s="2"/>
      <c r="REV45" s="2"/>
      <c r="REW45" s="2"/>
      <c r="REX45" s="2"/>
      <c r="REY45" s="2"/>
      <c r="REZ45" s="2"/>
      <c r="RFA45" s="2"/>
      <c r="RFB45" s="2"/>
      <c r="RFC45" s="2"/>
      <c r="RFD45" s="2"/>
      <c r="RFE45" s="2"/>
      <c r="RFF45" s="2"/>
      <c r="RFG45" s="2"/>
      <c r="RFH45" s="2"/>
      <c r="RFI45" s="2"/>
      <c r="RFJ45" s="2"/>
      <c r="RFK45" s="2"/>
      <c r="RFL45" s="2"/>
      <c r="RFM45" s="2"/>
      <c r="RFN45" s="2"/>
      <c r="RFO45" s="2"/>
      <c r="RFP45" s="2"/>
      <c r="RFQ45" s="2"/>
      <c r="RFR45" s="2"/>
      <c r="RFS45" s="2"/>
      <c r="RFT45" s="2"/>
      <c r="RFU45" s="2"/>
      <c r="RFV45" s="2"/>
      <c r="RFW45" s="2"/>
      <c r="RFX45" s="2"/>
      <c r="RFY45" s="2"/>
      <c r="RFZ45" s="2"/>
      <c r="RGA45" s="2"/>
      <c r="RGB45" s="2"/>
      <c r="RGC45" s="2"/>
      <c r="RGD45" s="2"/>
      <c r="RGE45" s="2"/>
      <c r="RGF45" s="2"/>
      <c r="RGG45" s="2"/>
      <c r="RGH45" s="2"/>
      <c r="RGI45" s="2"/>
      <c r="RGJ45" s="2"/>
      <c r="RGK45" s="2"/>
      <c r="RGL45" s="2"/>
      <c r="RGM45" s="2"/>
      <c r="RGN45" s="2"/>
      <c r="RGO45" s="2"/>
      <c r="RGP45" s="2"/>
      <c r="RGQ45" s="2"/>
      <c r="RGR45" s="2"/>
      <c r="RGS45" s="2"/>
      <c r="RGT45" s="2"/>
      <c r="RGU45" s="2"/>
      <c r="RGV45" s="2"/>
      <c r="RGW45" s="2"/>
      <c r="RGX45" s="2"/>
      <c r="RGY45" s="2"/>
      <c r="RGZ45" s="2"/>
      <c r="RHA45" s="2"/>
      <c r="RHB45" s="2"/>
      <c r="RHC45" s="2"/>
      <c r="RHD45" s="2"/>
      <c r="RHE45" s="2"/>
      <c r="RHF45" s="2"/>
      <c r="RHG45" s="2"/>
      <c r="RHH45" s="2"/>
      <c r="RHI45" s="2"/>
      <c r="RHJ45" s="2"/>
      <c r="RHK45" s="2"/>
      <c r="RHL45" s="2"/>
      <c r="RHM45" s="2"/>
      <c r="RHN45" s="2"/>
      <c r="RHO45" s="2"/>
      <c r="RHP45" s="2"/>
      <c r="RHQ45" s="2"/>
      <c r="RHR45" s="2"/>
      <c r="RHS45" s="2"/>
      <c r="RHT45" s="2"/>
      <c r="RHU45" s="2"/>
      <c r="RHV45" s="2"/>
      <c r="RHW45" s="2"/>
      <c r="RHX45" s="2"/>
      <c r="RHY45" s="2"/>
      <c r="RHZ45" s="2"/>
      <c r="RIA45" s="2"/>
      <c r="RIB45" s="2"/>
      <c r="RIC45" s="2"/>
      <c r="RID45" s="2"/>
      <c r="RIE45" s="2"/>
      <c r="RIF45" s="2"/>
      <c r="RIG45" s="2"/>
      <c r="RIH45" s="2"/>
      <c r="RII45" s="2"/>
      <c r="RIJ45" s="2"/>
      <c r="RIK45" s="2"/>
      <c r="RIL45" s="2"/>
      <c r="RIM45" s="2"/>
      <c r="RIN45" s="2"/>
      <c r="RIO45" s="2"/>
      <c r="RIP45" s="2"/>
      <c r="RIQ45" s="2"/>
      <c r="RIR45" s="2"/>
      <c r="RIS45" s="2"/>
      <c r="RIT45" s="2"/>
      <c r="RIU45" s="2"/>
      <c r="RIV45" s="2"/>
      <c r="RIW45" s="2"/>
      <c r="RIX45" s="2"/>
      <c r="RIY45" s="2"/>
      <c r="RIZ45" s="2"/>
      <c r="RJA45" s="2"/>
      <c r="RJB45" s="2"/>
      <c r="RJC45" s="2"/>
      <c r="RJD45" s="2"/>
      <c r="RJE45" s="2"/>
      <c r="RJF45" s="2"/>
      <c r="RJG45" s="2"/>
      <c r="RJH45" s="2"/>
      <c r="RJI45" s="2"/>
      <c r="RJJ45" s="2"/>
      <c r="RJK45" s="2"/>
      <c r="RJL45" s="2"/>
      <c r="RJM45" s="2"/>
      <c r="RJN45" s="2"/>
      <c r="RJO45" s="2"/>
      <c r="RJP45" s="2"/>
      <c r="RJQ45" s="2"/>
      <c r="RJR45" s="2"/>
      <c r="RJS45" s="2"/>
      <c r="RJT45" s="2"/>
      <c r="RJU45" s="2"/>
      <c r="RJV45" s="2"/>
      <c r="RJW45" s="2"/>
      <c r="RJX45" s="2"/>
      <c r="RJY45" s="2"/>
      <c r="RJZ45" s="2"/>
      <c r="RKA45" s="2"/>
      <c r="RKB45" s="2"/>
      <c r="RKC45" s="2"/>
      <c r="RKD45" s="2"/>
      <c r="RKE45" s="2"/>
      <c r="RKF45" s="2"/>
      <c r="RKG45" s="2"/>
      <c r="RKH45" s="2"/>
      <c r="RKI45" s="2"/>
      <c r="RKJ45" s="2"/>
      <c r="RKK45" s="2"/>
      <c r="RKL45" s="2"/>
      <c r="RKM45" s="2"/>
      <c r="RKN45" s="2"/>
      <c r="RKO45" s="2"/>
      <c r="RKP45" s="2"/>
      <c r="RKQ45" s="2"/>
      <c r="RKR45" s="2"/>
      <c r="RKS45" s="2"/>
      <c r="RKT45" s="2"/>
      <c r="RKU45" s="2"/>
      <c r="RKV45" s="2"/>
      <c r="RKW45" s="2"/>
      <c r="RKX45" s="2"/>
      <c r="RKY45" s="2"/>
      <c r="RKZ45" s="2"/>
      <c r="RLA45" s="2"/>
      <c r="RLB45" s="2"/>
      <c r="RLC45" s="2"/>
      <c r="RLD45" s="2"/>
      <c r="RLE45" s="2"/>
      <c r="RLF45" s="2"/>
      <c r="RLG45" s="2"/>
      <c r="RLH45" s="2"/>
      <c r="RLI45" s="2"/>
      <c r="RLJ45" s="2"/>
      <c r="RLK45" s="2"/>
      <c r="RLL45" s="2"/>
      <c r="RLM45" s="2"/>
      <c r="RLN45" s="2"/>
      <c r="RLO45" s="2"/>
      <c r="RLP45" s="2"/>
      <c r="RLQ45" s="2"/>
      <c r="RLR45" s="2"/>
      <c r="RLS45" s="2"/>
      <c r="RLT45" s="2"/>
      <c r="RLU45" s="2"/>
      <c r="RLV45" s="2"/>
      <c r="RLW45" s="2"/>
      <c r="RLX45" s="2"/>
      <c r="RLY45" s="2"/>
      <c r="RLZ45" s="2"/>
      <c r="RMA45" s="2"/>
      <c r="RMB45" s="2"/>
      <c r="RMC45" s="2"/>
      <c r="RMD45" s="2"/>
      <c r="RME45" s="2"/>
      <c r="RMF45" s="2"/>
      <c r="RMG45" s="2"/>
      <c r="RMH45" s="2"/>
      <c r="RMI45" s="2"/>
      <c r="RMJ45" s="2"/>
      <c r="RMK45" s="2"/>
      <c r="RML45" s="2"/>
      <c r="RMM45" s="2"/>
      <c r="RMN45" s="2"/>
      <c r="RMO45" s="2"/>
      <c r="RMP45" s="2"/>
      <c r="RMQ45" s="2"/>
      <c r="RMR45" s="2"/>
      <c r="RMS45" s="2"/>
      <c r="RMT45" s="2"/>
      <c r="RMU45" s="2"/>
      <c r="RMV45" s="2"/>
      <c r="RMW45" s="2"/>
      <c r="RMX45" s="2"/>
      <c r="RMY45" s="2"/>
      <c r="RMZ45" s="2"/>
      <c r="RNA45" s="2"/>
      <c r="RNB45" s="2"/>
      <c r="RNC45" s="2"/>
      <c r="RND45" s="2"/>
      <c r="RNE45" s="2"/>
      <c r="RNF45" s="2"/>
      <c r="RNG45" s="2"/>
      <c r="RNH45" s="2"/>
      <c r="RNI45" s="2"/>
      <c r="RNJ45" s="2"/>
      <c r="RNK45" s="2"/>
      <c r="RNL45" s="2"/>
      <c r="RNM45" s="2"/>
      <c r="RNN45" s="2"/>
      <c r="RNO45" s="2"/>
      <c r="RNP45" s="2"/>
      <c r="RNQ45" s="2"/>
      <c r="RNR45" s="2"/>
      <c r="RNS45" s="2"/>
      <c r="RNT45" s="2"/>
      <c r="RNU45" s="2"/>
      <c r="RNV45" s="2"/>
      <c r="RNW45" s="2"/>
      <c r="RNX45" s="2"/>
      <c r="RNY45" s="2"/>
      <c r="RNZ45" s="2"/>
      <c r="ROA45" s="2"/>
      <c r="ROB45" s="2"/>
      <c r="ROC45" s="2"/>
      <c r="ROD45" s="2"/>
      <c r="ROE45" s="2"/>
      <c r="ROF45" s="2"/>
      <c r="ROG45" s="2"/>
      <c r="ROH45" s="2"/>
      <c r="ROI45" s="2"/>
      <c r="ROJ45" s="2"/>
      <c r="ROK45" s="2"/>
      <c r="ROL45" s="2"/>
      <c r="ROM45" s="2"/>
      <c r="RON45" s="2"/>
      <c r="ROO45" s="2"/>
      <c r="ROP45" s="2"/>
      <c r="ROQ45" s="2"/>
      <c r="ROR45" s="2"/>
      <c r="ROS45" s="2"/>
      <c r="ROT45" s="2"/>
      <c r="ROU45" s="2"/>
      <c r="ROV45" s="2"/>
      <c r="ROW45" s="2"/>
      <c r="ROX45" s="2"/>
      <c r="ROY45" s="2"/>
      <c r="ROZ45" s="2"/>
      <c r="RPA45" s="2"/>
      <c r="RPB45" s="2"/>
      <c r="RPC45" s="2"/>
      <c r="RPD45" s="2"/>
      <c r="RPE45" s="2"/>
      <c r="RPF45" s="2"/>
      <c r="RPG45" s="2"/>
      <c r="RPH45" s="2"/>
      <c r="RPI45" s="2"/>
      <c r="RPJ45" s="2"/>
      <c r="RPK45" s="2"/>
      <c r="RPL45" s="2"/>
      <c r="RPM45" s="2"/>
      <c r="RPN45" s="2"/>
      <c r="RPO45" s="2"/>
      <c r="RPP45" s="2"/>
      <c r="RPQ45" s="2"/>
      <c r="RPR45" s="2"/>
      <c r="RPS45" s="2"/>
      <c r="RPT45" s="2"/>
      <c r="RPU45" s="2"/>
      <c r="RPV45" s="2"/>
      <c r="RPW45" s="2"/>
      <c r="RPX45" s="2"/>
      <c r="RPY45" s="2"/>
      <c r="RPZ45" s="2"/>
      <c r="RQA45" s="2"/>
      <c r="RQB45" s="2"/>
      <c r="RQC45" s="2"/>
      <c r="RQD45" s="2"/>
      <c r="RQE45" s="2"/>
      <c r="RQF45" s="2"/>
      <c r="RQG45" s="2"/>
      <c r="RQH45" s="2"/>
      <c r="RQI45" s="2"/>
      <c r="RQJ45" s="2"/>
      <c r="RQK45" s="2"/>
      <c r="RQL45" s="2"/>
      <c r="RQM45" s="2"/>
      <c r="RQN45" s="2"/>
      <c r="RQO45" s="2"/>
      <c r="RQP45" s="2"/>
      <c r="RQQ45" s="2"/>
      <c r="RQR45" s="2"/>
      <c r="RQS45" s="2"/>
      <c r="RQT45" s="2"/>
      <c r="RQU45" s="2"/>
      <c r="RQV45" s="2"/>
      <c r="RQW45" s="2"/>
      <c r="RQX45" s="2"/>
      <c r="RQY45" s="2"/>
      <c r="RQZ45" s="2"/>
      <c r="RRA45" s="2"/>
      <c r="RRB45" s="2"/>
      <c r="RRC45" s="2"/>
      <c r="RRD45" s="2"/>
      <c r="RRE45" s="2"/>
      <c r="RRF45" s="2"/>
      <c r="RRG45" s="2"/>
      <c r="RRH45" s="2"/>
      <c r="RRI45" s="2"/>
      <c r="RRJ45" s="2"/>
      <c r="RRK45" s="2"/>
      <c r="RRL45" s="2"/>
      <c r="RRM45" s="2"/>
      <c r="RRN45" s="2"/>
      <c r="RRO45" s="2"/>
      <c r="RRP45" s="2"/>
      <c r="RRQ45" s="2"/>
      <c r="RRR45" s="2"/>
      <c r="RRS45" s="2"/>
      <c r="RRT45" s="2"/>
      <c r="RRU45" s="2"/>
      <c r="RRV45" s="2"/>
      <c r="RRW45" s="2"/>
      <c r="RRX45" s="2"/>
      <c r="RRY45" s="2"/>
      <c r="RRZ45" s="2"/>
      <c r="RSA45" s="2"/>
      <c r="RSB45" s="2"/>
      <c r="RSC45" s="2"/>
      <c r="RSD45" s="2"/>
      <c r="RSE45" s="2"/>
      <c r="RSF45" s="2"/>
      <c r="RSG45" s="2"/>
      <c r="RSH45" s="2"/>
      <c r="RSI45" s="2"/>
      <c r="RSJ45" s="2"/>
      <c r="RSK45" s="2"/>
      <c r="RSL45" s="2"/>
      <c r="RSM45" s="2"/>
      <c r="RSN45" s="2"/>
      <c r="RSO45" s="2"/>
      <c r="RSP45" s="2"/>
      <c r="RSQ45" s="2"/>
      <c r="RSR45" s="2"/>
      <c r="RSS45" s="2"/>
      <c r="RST45" s="2"/>
      <c r="RSU45" s="2"/>
      <c r="RSV45" s="2"/>
      <c r="RSW45" s="2"/>
      <c r="RSX45" s="2"/>
      <c r="RSY45" s="2"/>
      <c r="RSZ45" s="2"/>
      <c r="RTA45" s="2"/>
      <c r="RTB45" s="2"/>
      <c r="RTC45" s="2"/>
      <c r="RTD45" s="2"/>
      <c r="RTE45" s="2"/>
      <c r="RTF45" s="2"/>
      <c r="RTG45" s="2"/>
      <c r="RTH45" s="2"/>
      <c r="RTI45" s="2"/>
      <c r="RTJ45" s="2"/>
      <c r="RTK45" s="2"/>
      <c r="RTL45" s="2"/>
      <c r="RTM45" s="2"/>
      <c r="RTN45" s="2"/>
      <c r="RTO45" s="2"/>
      <c r="RTP45" s="2"/>
      <c r="RTQ45" s="2"/>
      <c r="RTR45" s="2"/>
      <c r="RTS45" s="2"/>
      <c r="RTT45" s="2"/>
      <c r="RTU45" s="2"/>
      <c r="RTV45" s="2"/>
      <c r="RTW45" s="2"/>
      <c r="RTX45" s="2"/>
      <c r="RTY45" s="2"/>
      <c r="RTZ45" s="2"/>
      <c r="RUA45" s="2"/>
      <c r="RUB45" s="2"/>
      <c r="RUC45" s="2"/>
      <c r="RUD45" s="2"/>
      <c r="RUE45" s="2"/>
      <c r="RUF45" s="2"/>
      <c r="RUG45" s="2"/>
      <c r="RUH45" s="2"/>
      <c r="RUI45" s="2"/>
      <c r="RUJ45" s="2"/>
      <c r="RUK45" s="2"/>
      <c r="RUL45" s="2"/>
      <c r="RUM45" s="2"/>
      <c r="RUN45" s="2"/>
      <c r="RUO45" s="2"/>
      <c r="RUP45" s="2"/>
      <c r="RUQ45" s="2"/>
      <c r="RUR45" s="2"/>
      <c r="RUS45" s="2"/>
      <c r="RUT45" s="2"/>
      <c r="RUU45" s="2"/>
      <c r="RUV45" s="2"/>
      <c r="RUW45" s="2"/>
      <c r="RUX45" s="2"/>
      <c r="RUY45" s="2"/>
      <c r="RUZ45" s="2"/>
      <c r="RVA45" s="2"/>
      <c r="RVB45" s="2"/>
      <c r="RVC45" s="2"/>
      <c r="RVD45" s="2"/>
      <c r="RVE45" s="2"/>
      <c r="RVF45" s="2"/>
      <c r="RVG45" s="2"/>
      <c r="RVH45" s="2"/>
      <c r="RVI45" s="2"/>
      <c r="RVJ45" s="2"/>
      <c r="RVK45" s="2"/>
      <c r="RVL45" s="2"/>
      <c r="RVM45" s="2"/>
      <c r="RVN45" s="2"/>
      <c r="RVO45" s="2"/>
      <c r="RVP45" s="2"/>
      <c r="RVQ45" s="2"/>
      <c r="RVR45" s="2"/>
      <c r="RVS45" s="2"/>
      <c r="RVT45" s="2"/>
      <c r="RVU45" s="2"/>
      <c r="RVV45" s="2"/>
      <c r="RVW45" s="2"/>
      <c r="RVX45" s="2"/>
      <c r="RVY45" s="2"/>
      <c r="RVZ45" s="2"/>
      <c r="RWA45" s="2"/>
      <c r="RWB45" s="2"/>
      <c r="RWC45" s="2"/>
      <c r="RWD45" s="2"/>
      <c r="RWE45" s="2"/>
      <c r="RWF45" s="2"/>
      <c r="RWG45" s="2"/>
      <c r="RWH45" s="2"/>
      <c r="RWI45" s="2"/>
      <c r="RWJ45" s="2"/>
      <c r="RWK45" s="2"/>
      <c r="RWL45" s="2"/>
      <c r="RWM45" s="2"/>
      <c r="RWN45" s="2"/>
      <c r="RWO45" s="2"/>
      <c r="RWP45" s="2"/>
      <c r="RWQ45" s="2"/>
      <c r="RWR45" s="2"/>
      <c r="RWS45" s="2"/>
      <c r="RWT45" s="2"/>
      <c r="RWU45" s="2"/>
      <c r="RWV45" s="2"/>
      <c r="RWW45" s="2"/>
      <c r="RWX45" s="2"/>
      <c r="RWY45" s="2"/>
      <c r="RWZ45" s="2"/>
      <c r="RXA45" s="2"/>
      <c r="RXB45" s="2"/>
      <c r="RXC45" s="2"/>
      <c r="RXD45" s="2"/>
      <c r="RXE45" s="2"/>
      <c r="RXF45" s="2"/>
      <c r="RXG45" s="2"/>
      <c r="RXH45" s="2"/>
      <c r="RXI45" s="2"/>
      <c r="RXJ45" s="2"/>
      <c r="RXK45" s="2"/>
      <c r="RXL45" s="2"/>
      <c r="RXM45" s="2"/>
      <c r="RXN45" s="2"/>
      <c r="RXO45" s="2"/>
      <c r="RXP45" s="2"/>
      <c r="RXQ45" s="2"/>
      <c r="RXR45" s="2"/>
      <c r="RXS45" s="2"/>
      <c r="RXT45" s="2"/>
      <c r="RXU45" s="2"/>
      <c r="RXV45" s="2"/>
      <c r="RXW45" s="2"/>
      <c r="RXX45" s="2"/>
      <c r="RXY45" s="2"/>
      <c r="RXZ45" s="2"/>
      <c r="RYA45" s="2"/>
      <c r="RYB45" s="2"/>
      <c r="RYC45" s="2"/>
      <c r="RYD45" s="2"/>
      <c r="RYE45" s="2"/>
      <c r="RYF45" s="2"/>
      <c r="RYG45" s="2"/>
      <c r="RYH45" s="2"/>
      <c r="RYI45" s="2"/>
      <c r="RYJ45" s="2"/>
      <c r="RYK45" s="2"/>
      <c r="RYL45" s="2"/>
      <c r="RYM45" s="2"/>
      <c r="RYN45" s="2"/>
      <c r="RYO45" s="2"/>
      <c r="RYP45" s="2"/>
      <c r="RYQ45" s="2"/>
      <c r="RYR45" s="2"/>
      <c r="RYS45" s="2"/>
      <c r="RYT45" s="2"/>
      <c r="RYU45" s="2"/>
      <c r="RYV45" s="2"/>
      <c r="RYW45" s="2"/>
      <c r="RYX45" s="2"/>
      <c r="RYY45" s="2"/>
      <c r="RYZ45" s="2"/>
      <c r="RZA45" s="2"/>
      <c r="RZB45" s="2"/>
      <c r="RZC45" s="2"/>
      <c r="RZD45" s="2"/>
      <c r="RZE45" s="2"/>
      <c r="RZF45" s="2"/>
      <c r="RZG45" s="2"/>
      <c r="RZH45" s="2"/>
      <c r="RZI45" s="2"/>
      <c r="RZJ45" s="2"/>
      <c r="RZK45" s="2"/>
      <c r="RZL45" s="2"/>
      <c r="RZM45" s="2"/>
      <c r="RZN45" s="2"/>
      <c r="RZO45" s="2"/>
      <c r="RZP45" s="2"/>
      <c r="RZQ45" s="2"/>
      <c r="RZR45" s="2"/>
      <c r="RZS45" s="2"/>
      <c r="RZT45" s="2"/>
      <c r="RZU45" s="2"/>
      <c r="RZV45" s="2"/>
      <c r="RZW45" s="2"/>
      <c r="RZX45" s="2"/>
      <c r="RZY45" s="2"/>
      <c r="RZZ45" s="2"/>
      <c r="SAA45" s="2"/>
      <c r="SAB45" s="2"/>
      <c r="SAC45" s="2"/>
      <c r="SAD45" s="2"/>
      <c r="SAE45" s="2"/>
      <c r="SAF45" s="2"/>
      <c r="SAG45" s="2"/>
      <c r="SAH45" s="2"/>
      <c r="SAI45" s="2"/>
      <c r="SAJ45" s="2"/>
      <c r="SAK45" s="2"/>
      <c r="SAL45" s="2"/>
      <c r="SAM45" s="2"/>
      <c r="SAN45" s="2"/>
      <c r="SAO45" s="2"/>
      <c r="SAP45" s="2"/>
      <c r="SAQ45" s="2"/>
      <c r="SAR45" s="2"/>
      <c r="SAS45" s="2"/>
      <c r="SAT45" s="2"/>
      <c r="SAU45" s="2"/>
      <c r="SAV45" s="2"/>
      <c r="SAW45" s="2"/>
      <c r="SAX45" s="2"/>
      <c r="SAY45" s="2"/>
      <c r="SAZ45" s="2"/>
      <c r="SBA45" s="2"/>
      <c r="SBB45" s="2"/>
      <c r="SBC45" s="2"/>
      <c r="SBD45" s="2"/>
      <c r="SBE45" s="2"/>
      <c r="SBF45" s="2"/>
      <c r="SBG45" s="2"/>
      <c r="SBH45" s="2"/>
      <c r="SBI45" s="2"/>
      <c r="SBJ45" s="2"/>
      <c r="SBK45" s="2"/>
      <c r="SBL45" s="2"/>
      <c r="SBM45" s="2"/>
      <c r="SBN45" s="2"/>
      <c r="SBO45" s="2"/>
      <c r="SBP45" s="2"/>
      <c r="SBQ45" s="2"/>
      <c r="SBR45" s="2"/>
      <c r="SBS45" s="2"/>
      <c r="SBT45" s="2"/>
      <c r="SBU45" s="2"/>
      <c r="SBV45" s="2"/>
      <c r="SBW45" s="2"/>
      <c r="SBX45" s="2"/>
      <c r="SBY45" s="2"/>
      <c r="SBZ45" s="2"/>
      <c r="SCA45" s="2"/>
      <c r="SCB45" s="2"/>
      <c r="SCC45" s="2"/>
      <c r="SCD45" s="2"/>
      <c r="SCE45" s="2"/>
      <c r="SCF45" s="2"/>
      <c r="SCG45" s="2"/>
      <c r="SCH45" s="2"/>
      <c r="SCI45" s="2"/>
      <c r="SCJ45" s="2"/>
      <c r="SCK45" s="2"/>
      <c r="SCL45" s="2"/>
      <c r="SCM45" s="2"/>
      <c r="SCN45" s="2"/>
      <c r="SCO45" s="2"/>
      <c r="SCP45" s="2"/>
      <c r="SCQ45" s="2"/>
      <c r="SCR45" s="2"/>
      <c r="SCS45" s="2"/>
      <c r="SCT45" s="2"/>
      <c r="SCU45" s="2"/>
      <c r="SCV45" s="2"/>
      <c r="SCW45" s="2"/>
      <c r="SCX45" s="2"/>
      <c r="SCY45" s="2"/>
      <c r="SCZ45" s="2"/>
      <c r="SDA45" s="2"/>
      <c r="SDB45" s="2"/>
      <c r="SDC45" s="2"/>
      <c r="SDD45" s="2"/>
      <c r="SDE45" s="2"/>
      <c r="SDF45" s="2"/>
      <c r="SDG45" s="2"/>
      <c r="SDH45" s="2"/>
      <c r="SDI45" s="2"/>
      <c r="SDJ45" s="2"/>
      <c r="SDK45" s="2"/>
      <c r="SDL45" s="2"/>
      <c r="SDM45" s="2"/>
      <c r="SDN45" s="2"/>
      <c r="SDO45" s="2"/>
      <c r="SDP45" s="2"/>
      <c r="SDQ45" s="2"/>
      <c r="SDR45" s="2"/>
      <c r="SDS45" s="2"/>
      <c r="SDT45" s="2"/>
      <c r="SDU45" s="2"/>
      <c r="SDV45" s="2"/>
      <c r="SDW45" s="2"/>
      <c r="SDX45" s="2"/>
      <c r="SDY45" s="2"/>
      <c r="SDZ45" s="2"/>
      <c r="SEA45" s="2"/>
      <c r="SEB45" s="2"/>
      <c r="SEC45" s="2"/>
      <c r="SED45" s="2"/>
      <c r="SEE45" s="2"/>
      <c r="SEF45" s="2"/>
      <c r="SEG45" s="2"/>
      <c r="SEH45" s="2"/>
      <c r="SEI45" s="2"/>
      <c r="SEJ45" s="2"/>
      <c r="SEK45" s="2"/>
      <c r="SEL45" s="2"/>
      <c r="SEM45" s="2"/>
      <c r="SEN45" s="2"/>
      <c r="SEO45" s="2"/>
      <c r="SEP45" s="2"/>
      <c r="SEQ45" s="2"/>
      <c r="SER45" s="2"/>
      <c r="SES45" s="2"/>
      <c r="SET45" s="2"/>
      <c r="SEU45" s="2"/>
      <c r="SEV45" s="2"/>
      <c r="SEW45" s="2"/>
      <c r="SEX45" s="2"/>
      <c r="SEY45" s="2"/>
      <c r="SEZ45" s="2"/>
      <c r="SFA45" s="2"/>
      <c r="SFB45" s="2"/>
      <c r="SFC45" s="2"/>
      <c r="SFD45" s="2"/>
      <c r="SFE45" s="2"/>
      <c r="SFF45" s="2"/>
      <c r="SFG45" s="2"/>
      <c r="SFH45" s="2"/>
      <c r="SFI45" s="2"/>
      <c r="SFJ45" s="2"/>
      <c r="SFK45" s="2"/>
      <c r="SFL45" s="2"/>
      <c r="SFM45" s="2"/>
      <c r="SFN45" s="2"/>
      <c r="SFO45" s="2"/>
      <c r="SFP45" s="2"/>
      <c r="SFQ45" s="2"/>
      <c r="SFR45" s="2"/>
      <c r="SFS45" s="2"/>
      <c r="SFT45" s="2"/>
      <c r="SFU45" s="2"/>
      <c r="SFV45" s="2"/>
      <c r="SFW45" s="2"/>
      <c r="SFX45" s="2"/>
      <c r="SFY45" s="2"/>
      <c r="SFZ45" s="2"/>
      <c r="SGA45" s="2"/>
      <c r="SGB45" s="2"/>
      <c r="SGC45" s="2"/>
      <c r="SGD45" s="2"/>
      <c r="SGE45" s="2"/>
      <c r="SGF45" s="2"/>
      <c r="SGG45" s="2"/>
      <c r="SGH45" s="2"/>
      <c r="SGI45" s="2"/>
      <c r="SGJ45" s="2"/>
      <c r="SGK45" s="2"/>
      <c r="SGL45" s="2"/>
      <c r="SGM45" s="2"/>
      <c r="SGN45" s="2"/>
      <c r="SGO45" s="2"/>
      <c r="SGP45" s="2"/>
      <c r="SGQ45" s="2"/>
      <c r="SGR45" s="2"/>
      <c r="SGS45" s="2"/>
      <c r="SGT45" s="2"/>
      <c r="SGU45" s="2"/>
      <c r="SGV45" s="2"/>
      <c r="SGW45" s="2"/>
      <c r="SGX45" s="2"/>
      <c r="SGY45" s="2"/>
      <c r="SGZ45" s="2"/>
      <c r="SHA45" s="2"/>
      <c r="SHB45" s="2"/>
      <c r="SHC45" s="2"/>
      <c r="SHD45" s="2"/>
      <c r="SHE45" s="2"/>
      <c r="SHF45" s="2"/>
      <c r="SHG45" s="2"/>
      <c r="SHH45" s="2"/>
      <c r="SHI45" s="2"/>
      <c r="SHJ45" s="2"/>
      <c r="SHK45" s="2"/>
      <c r="SHL45" s="2"/>
      <c r="SHM45" s="2"/>
      <c r="SHN45" s="2"/>
      <c r="SHO45" s="2"/>
      <c r="SHP45" s="2"/>
      <c r="SHQ45" s="2"/>
      <c r="SHR45" s="2"/>
      <c r="SHS45" s="2"/>
      <c r="SHT45" s="2"/>
      <c r="SHU45" s="2"/>
      <c r="SHV45" s="2"/>
      <c r="SHW45" s="2"/>
      <c r="SHX45" s="2"/>
      <c r="SHY45" s="2"/>
      <c r="SHZ45" s="2"/>
      <c r="SIA45" s="2"/>
      <c r="SIB45" s="2"/>
      <c r="SIC45" s="2"/>
      <c r="SID45" s="2"/>
      <c r="SIE45" s="2"/>
      <c r="SIF45" s="2"/>
      <c r="SIG45" s="2"/>
      <c r="SIH45" s="2"/>
      <c r="SII45" s="2"/>
      <c r="SIJ45" s="2"/>
      <c r="SIK45" s="2"/>
      <c r="SIL45" s="2"/>
      <c r="SIM45" s="2"/>
      <c r="SIN45" s="2"/>
      <c r="SIO45" s="2"/>
      <c r="SIP45" s="2"/>
      <c r="SIQ45" s="2"/>
      <c r="SIR45" s="2"/>
      <c r="SIS45" s="2"/>
      <c r="SIT45" s="2"/>
      <c r="SIU45" s="2"/>
      <c r="SIV45" s="2"/>
      <c r="SIW45" s="2"/>
      <c r="SIX45" s="2"/>
      <c r="SIY45" s="2"/>
      <c r="SIZ45" s="2"/>
      <c r="SJA45" s="2"/>
      <c r="SJB45" s="2"/>
      <c r="SJC45" s="2"/>
      <c r="SJD45" s="2"/>
      <c r="SJE45" s="2"/>
      <c r="SJF45" s="2"/>
      <c r="SJG45" s="2"/>
      <c r="SJH45" s="2"/>
      <c r="SJI45" s="2"/>
      <c r="SJJ45" s="2"/>
      <c r="SJK45" s="2"/>
      <c r="SJL45" s="2"/>
      <c r="SJM45" s="2"/>
      <c r="SJN45" s="2"/>
      <c r="SJO45" s="2"/>
      <c r="SJP45" s="2"/>
      <c r="SJQ45" s="2"/>
      <c r="SJR45" s="2"/>
      <c r="SJS45" s="2"/>
      <c r="SJT45" s="2"/>
      <c r="SJU45" s="2"/>
      <c r="SJV45" s="2"/>
      <c r="SJW45" s="2"/>
      <c r="SJX45" s="2"/>
      <c r="SJY45" s="2"/>
      <c r="SJZ45" s="2"/>
      <c r="SKA45" s="2"/>
      <c r="SKB45" s="2"/>
      <c r="SKC45" s="2"/>
      <c r="SKD45" s="2"/>
      <c r="SKE45" s="2"/>
      <c r="SKF45" s="2"/>
      <c r="SKG45" s="2"/>
      <c r="SKH45" s="2"/>
      <c r="SKI45" s="2"/>
      <c r="SKJ45" s="2"/>
      <c r="SKK45" s="2"/>
      <c r="SKL45" s="2"/>
      <c r="SKM45" s="2"/>
      <c r="SKN45" s="2"/>
      <c r="SKO45" s="2"/>
      <c r="SKP45" s="2"/>
      <c r="SKQ45" s="2"/>
      <c r="SKR45" s="2"/>
      <c r="SKS45" s="2"/>
      <c r="SKT45" s="2"/>
      <c r="SKU45" s="2"/>
      <c r="SKV45" s="2"/>
      <c r="SKW45" s="2"/>
      <c r="SKX45" s="2"/>
      <c r="SKY45" s="2"/>
      <c r="SKZ45" s="2"/>
      <c r="SLA45" s="2"/>
      <c r="SLB45" s="2"/>
      <c r="SLC45" s="2"/>
      <c r="SLD45" s="2"/>
      <c r="SLE45" s="2"/>
      <c r="SLF45" s="2"/>
      <c r="SLG45" s="2"/>
      <c r="SLH45" s="2"/>
      <c r="SLI45" s="2"/>
      <c r="SLJ45" s="2"/>
      <c r="SLK45" s="2"/>
      <c r="SLL45" s="2"/>
      <c r="SLM45" s="2"/>
      <c r="SLN45" s="2"/>
      <c r="SLO45" s="2"/>
      <c r="SLP45" s="2"/>
      <c r="SLQ45" s="2"/>
      <c r="SLR45" s="2"/>
      <c r="SLS45" s="2"/>
      <c r="SLT45" s="2"/>
      <c r="SLU45" s="2"/>
      <c r="SLV45" s="2"/>
      <c r="SLW45" s="2"/>
      <c r="SLX45" s="2"/>
      <c r="SLY45" s="2"/>
      <c r="SLZ45" s="2"/>
      <c r="SMA45" s="2"/>
      <c r="SMB45" s="2"/>
      <c r="SMC45" s="2"/>
      <c r="SMD45" s="2"/>
      <c r="SME45" s="2"/>
      <c r="SMF45" s="2"/>
      <c r="SMG45" s="2"/>
      <c r="SMH45" s="2"/>
      <c r="SMI45" s="2"/>
      <c r="SMJ45" s="2"/>
      <c r="SMK45" s="2"/>
      <c r="SML45" s="2"/>
      <c r="SMM45" s="2"/>
      <c r="SMN45" s="2"/>
      <c r="SMO45" s="2"/>
      <c r="SMP45" s="2"/>
      <c r="SMQ45" s="2"/>
      <c r="SMR45" s="2"/>
      <c r="SMS45" s="2"/>
      <c r="SMT45" s="2"/>
      <c r="SMU45" s="2"/>
      <c r="SMV45" s="2"/>
      <c r="SMW45" s="2"/>
      <c r="SMX45" s="2"/>
      <c r="SMY45" s="2"/>
      <c r="SMZ45" s="2"/>
      <c r="SNA45" s="2"/>
      <c r="SNB45" s="2"/>
      <c r="SNC45" s="2"/>
      <c r="SND45" s="2"/>
      <c r="SNE45" s="2"/>
      <c r="SNF45" s="2"/>
      <c r="SNG45" s="2"/>
      <c r="SNH45" s="2"/>
      <c r="SNI45" s="2"/>
      <c r="SNJ45" s="2"/>
      <c r="SNK45" s="2"/>
      <c r="SNL45" s="2"/>
      <c r="SNM45" s="2"/>
      <c r="SNN45" s="2"/>
      <c r="SNO45" s="2"/>
      <c r="SNP45" s="2"/>
      <c r="SNQ45" s="2"/>
      <c r="SNR45" s="2"/>
      <c r="SNS45" s="2"/>
      <c r="SNT45" s="2"/>
      <c r="SNU45" s="2"/>
      <c r="SNV45" s="2"/>
      <c r="SNW45" s="2"/>
      <c r="SNX45" s="2"/>
      <c r="SNY45" s="2"/>
      <c r="SNZ45" s="2"/>
      <c r="SOA45" s="2"/>
      <c r="SOB45" s="2"/>
      <c r="SOC45" s="2"/>
      <c r="SOD45" s="2"/>
      <c r="SOE45" s="2"/>
      <c r="SOF45" s="2"/>
      <c r="SOG45" s="2"/>
      <c r="SOH45" s="2"/>
      <c r="SOI45" s="2"/>
      <c r="SOJ45" s="2"/>
      <c r="SOK45" s="2"/>
      <c r="SOL45" s="2"/>
      <c r="SOM45" s="2"/>
      <c r="SON45" s="2"/>
      <c r="SOO45" s="2"/>
      <c r="SOP45" s="2"/>
      <c r="SOQ45" s="2"/>
      <c r="SOR45" s="2"/>
      <c r="SOS45" s="2"/>
      <c r="SOT45" s="2"/>
      <c r="SOU45" s="2"/>
      <c r="SOV45" s="2"/>
      <c r="SOW45" s="2"/>
      <c r="SOX45" s="2"/>
      <c r="SOY45" s="2"/>
      <c r="SOZ45" s="2"/>
      <c r="SPA45" s="2"/>
      <c r="SPB45" s="2"/>
      <c r="SPC45" s="2"/>
      <c r="SPD45" s="2"/>
      <c r="SPE45" s="2"/>
      <c r="SPF45" s="2"/>
      <c r="SPG45" s="2"/>
      <c r="SPH45" s="2"/>
      <c r="SPI45" s="2"/>
      <c r="SPJ45" s="2"/>
      <c r="SPK45" s="2"/>
      <c r="SPL45" s="2"/>
      <c r="SPM45" s="2"/>
      <c r="SPN45" s="2"/>
      <c r="SPO45" s="2"/>
      <c r="SPP45" s="2"/>
      <c r="SPQ45" s="2"/>
      <c r="SPR45" s="2"/>
      <c r="SPS45" s="2"/>
      <c r="SPT45" s="2"/>
      <c r="SPU45" s="2"/>
      <c r="SPV45" s="2"/>
      <c r="SPW45" s="2"/>
      <c r="SPX45" s="2"/>
      <c r="SPY45" s="2"/>
      <c r="SPZ45" s="2"/>
      <c r="SQA45" s="2"/>
      <c r="SQB45" s="2"/>
      <c r="SQC45" s="2"/>
      <c r="SQD45" s="2"/>
      <c r="SQE45" s="2"/>
      <c r="SQF45" s="2"/>
      <c r="SQG45" s="2"/>
      <c r="SQH45" s="2"/>
      <c r="SQI45" s="2"/>
      <c r="SQJ45" s="2"/>
      <c r="SQK45" s="2"/>
      <c r="SQL45" s="2"/>
      <c r="SQM45" s="2"/>
      <c r="SQN45" s="2"/>
      <c r="SQO45" s="2"/>
      <c r="SQP45" s="2"/>
      <c r="SQQ45" s="2"/>
      <c r="SQR45" s="2"/>
      <c r="SQS45" s="2"/>
      <c r="SQT45" s="2"/>
      <c r="SQU45" s="2"/>
      <c r="SQV45" s="2"/>
      <c r="SQW45" s="2"/>
      <c r="SQX45" s="2"/>
      <c r="SQY45" s="2"/>
      <c r="SQZ45" s="2"/>
      <c r="SRA45" s="2"/>
      <c r="SRB45" s="2"/>
      <c r="SRC45" s="2"/>
      <c r="SRD45" s="2"/>
      <c r="SRE45" s="2"/>
      <c r="SRF45" s="2"/>
      <c r="SRG45" s="2"/>
      <c r="SRH45" s="2"/>
      <c r="SRI45" s="2"/>
      <c r="SRJ45" s="2"/>
      <c r="SRK45" s="2"/>
      <c r="SRL45" s="2"/>
      <c r="SRM45" s="2"/>
      <c r="SRN45" s="2"/>
      <c r="SRO45" s="2"/>
      <c r="SRP45" s="2"/>
      <c r="SRQ45" s="2"/>
      <c r="SRR45" s="2"/>
      <c r="SRS45" s="2"/>
      <c r="SRT45" s="2"/>
      <c r="SRU45" s="2"/>
      <c r="SRV45" s="2"/>
      <c r="SRW45" s="2"/>
      <c r="SRX45" s="2"/>
      <c r="SRY45" s="2"/>
      <c r="SRZ45" s="2"/>
      <c r="SSA45" s="2"/>
      <c r="SSB45" s="2"/>
      <c r="SSC45" s="2"/>
      <c r="SSD45" s="2"/>
      <c r="SSE45" s="2"/>
      <c r="SSF45" s="2"/>
      <c r="SSG45" s="2"/>
      <c r="SSH45" s="2"/>
      <c r="SSI45" s="2"/>
      <c r="SSJ45" s="2"/>
      <c r="SSK45" s="2"/>
      <c r="SSL45" s="2"/>
      <c r="SSM45" s="2"/>
      <c r="SSN45" s="2"/>
      <c r="SSO45" s="2"/>
      <c r="SSP45" s="2"/>
      <c r="SSQ45" s="2"/>
      <c r="SSR45" s="2"/>
      <c r="SSS45" s="2"/>
      <c r="SST45" s="2"/>
      <c r="SSU45" s="2"/>
      <c r="SSV45" s="2"/>
      <c r="SSW45" s="2"/>
      <c r="SSX45" s="2"/>
      <c r="SSY45" s="2"/>
      <c r="SSZ45" s="2"/>
      <c r="STA45" s="2"/>
      <c r="STB45" s="2"/>
      <c r="STC45" s="2"/>
      <c r="STD45" s="2"/>
      <c r="STE45" s="2"/>
      <c r="STF45" s="2"/>
      <c r="STG45" s="2"/>
      <c r="STH45" s="2"/>
      <c r="STI45" s="2"/>
      <c r="STJ45" s="2"/>
      <c r="STK45" s="2"/>
      <c r="STL45" s="2"/>
      <c r="STM45" s="2"/>
      <c r="STN45" s="2"/>
      <c r="STO45" s="2"/>
      <c r="STP45" s="2"/>
      <c r="STQ45" s="2"/>
      <c r="STR45" s="2"/>
      <c r="STS45" s="2"/>
      <c r="STT45" s="2"/>
      <c r="STU45" s="2"/>
      <c r="STV45" s="2"/>
      <c r="STW45" s="2"/>
      <c r="STX45" s="2"/>
      <c r="STY45" s="2"/>
      <c r="STZ45" s="2"/>
      <c r="SUA45" s="2"/>
      <c r="SUB45" s="2"/>
      <c r="SUC45" s="2"/>
      <c r="SUD45" s="2"/>
      <c r="SUE45" s="2"/>
      <c r="SUF45" s="2"/>
      <c r="SUG45" s="2"/>
      <c r="SUH45" s="2"/>
      <c r="SUI45" s="2"/>
      <c r="SUJ45" s="2"/>
      <c r="SUK45" s="2"/>
      <c r="SUL45" s="2"/>
      <c r="SUM45" s="2"/>
      <c r="SUN45" s="2"/>
      <c r="SUO45" s="2"/>
      <c r="SUP45" s="2"/>
      <c r="SUQ45" s="2"/>
      <c r="SUR45" s="2"/>
      <c r="SUS45" s="2"/>
      <c r="SUT45" s="2"/>
      <c r="SUU45" s="2"/>
      <c r="SUV45" s="2"/>
      <c r="SUW45" s="2"/>
      <c r="SUX45" s="2"/>
      <c r="SUY45" s="2"/>
      <c r="SUZ45" s="2"/>
      <c r="SVA45" s="2"/>
      <c r="SVB45" s="2"/>
      <c r="SVC45" s="2"/>
      <c r="SVD45" s="2"/>
      <c r="SVE45" s="2"/>
      <c r="SVF45" s="2"/>
      <c r="SVG45" s="2"/>
      <c r="SVH45" s="2"/>
      <c r="SVI45" s="2"/>
      <c r="SVJ45" s="2"/>
      <c r="SVK45" s="2"/>
      <c r="SVL45" s="2"/>
      <c r="SVM45" s="2"/>
      <c r="SVN45" s="2"/>
      <c r="SVO45" s="2"/>
      <c r="SVP45" s="2"/>
      <c r="SVQ45" s="2"/>
      <c r="SVR45" s="2"/>
      <c r="SVS45" s="2"/>
      <c r="SVT45" s="2"/>
      <c r="SVU45" s="2"/>
      <c r="SVV45" s="2"/>
      <c r="SVW45" s="2"/>
      <c r="SVX45" s="2"/>
      <c r="SVY45" s="2"/>
      <c r="SVZ45" s="2"/>
      <c r="SWA45" s="2"/>
      <c r="SWB45" s="2"/>
      <c r="SWC45" s="2"/>
      <c r="SWD45" s="2"/>
      <c r="SWE45" s="2"/>
      <c r="SWF45" s="2"/>
      <c r="SWG45" s="2"/>
      <c r="SWH45" s="2"/>
      <c r="SWI45" s="2"/>
      <c r="SWJ45" s="2"/>
      <c r="SWK45" s="2"/>
      <c r="SWL45" s="2"/>
      <c r="SWM45" s="2"/>
      <c r="SWN45" s="2"/>
      <c r="SWO45" s="2"/>
      <c r="SWP45" s="2"/>
      <c r="SWQ45" s="2"/>
      <c r="SWR45" s="2"/>
      <c r="SWS45" s="2"/>
      <c r="SWT45" s="2"/>
      <c r="SWU45" s="2"/>
      <c r="SWV45" s="2"/>
      <c r="SWW45" s="2"/>
      <c r="SWX45" s="2"/>
      <c r="SWY45" s="2"/>
      <c r="SWZ45" s="2"/>
      <c r="SXA45" s="2"/>
      <c r="SXB45" s="2"/>
      <c r="SXC45" s="2"/>
      <c r="SXD45" s="2"/>
      <c r="SXE45" s="2"/>
      <c r="SXF45" s="2"/>
      <c r="SXG45" s="2"/>
      <c r="SXH45" s="2"/>
      <c r="SXI45" s="2"/>
      <c r="SXJ45" s="2"/>
      <c r="SXK45" s="2"/>
      <c r="SXL45" s="2"/>
      <c r="SXM45" s="2"/>
      <c r="SXN45" s="2"/>
      <c r="SXO45" s="2"/>
      <c r="SXP45" s="2"/>
      <c r="SXQ45" s="2"/>
      <c r="SXR45" s="2"/>
      <c r="SXS45" s="2"/>
      <c r="SXT45" s="2"/>
      <c r="SXU45" s="2"/>
      <c r="SXV45" s="2"/>
      <c r="SXW45" s="2"/>
      <c r="SXX45" s="2"/>
      <c r="SXY45" s="2"/>
      <c r="SXZ45" s="2"/>
      <c r="SYA45" s="2"/>
      <c r="SYB45" s="2"/>
      <c r="SYC45" s="2"/>
      <c r="SYD45" s="2"/>
      <c r="SYE45" s="2"/>
      <c r="SYF45" s="2"/>
      <c r="SYG45" s="2"/>
      <c r="SYH45" s="2"/>
      <c r="SYI45" s="2"/>
      <c r="SYJ45" s="2"/>
      <c r="SYK45" s="2"/>
      <c r="SYL45" s="2"/>
      <c r="SYM45" s="2"/>
      <c r="SYN45" s="2"/>
      <c r="SYO45" s="2"/>
      <c r="SYP45" s="2"/>
      <c r="SYQ45" s="2"/>
      <c r="SYR45" s="2"/>
      <c r="SYS45" s="2"/>
      <c r="SYT45" s="2"/>
      <c r="SYU45" s="2"/>
      <c r="SYV45" s="2"/>
      <c r="SYW45" s="2"/>
      <c r="SYX45" s="2"/>
      <c r="SYY45" s="2"/>
      <c r="SYZ45" s="2"/>
      <c r="SZA45" s="2"/>
      <c r="SZB45" s="2"/>
      <c r="SZC45" s="2"/>
      <c r="SZD45" s="2"/>
      <c r="SZE45" s="2"/>
      <c r="SZF45" s="2"/>
      <c r="SZG45" s="2"/>
      <c r="SZH45" s="2"/>
      <c r="SZI45" s="2"/>
      <c r="SZJ45" s="2"/>
      <c r="SZK45" s="2"/>
      <c r="SZL45" s="2"/>
      <c r="SZM45" s="2"/>
      <c r="SZN45" s="2"/>
      <c r="SZO45" s="2"/>
      <c r="SZP45" s="2"/>
      <c r="SZQ45" s="2"/>
      <c r="SZR45" s="2"/>
      <c r="SZS45" s="2"/>
      <c r="SZT45" s="2"/>
      <c r="SZU45" s="2"/>
      <c r="SZV45" s="2"/>
      <c r="SZW45" s="2"/>
      <c r="SZX45" s="2"/>
      <c r="SZY45" s="2"/>
      <c r="SZZ45" s="2"/>
      <c r="TAA45" s="2"/>
      <c r="TAB45" s="2"/>
      <c r="TAC45" s="2"/>
      <c r="TAD45" s="2"/>
      <c r="TAE45" s="2"/>
      <c r="TAF45" s="2"/>
      <c r="TAG45" s="2"/>
      <c r="TAH45" s="2"/>
      <c r="TAI45" s="2"/>
      <c r="TAJ45" s="2"/>
      <c r="TAK45" s="2"/>
      <c r="TAL45" s="2"/>
      <c r="TAM45" s="2"/>
      <c r="TAN45" s="2"/>
      <c r="TAO45" s="2"/>
      <c r="TAP45" s="2"/>
      <c r="TAQ45" s="2"/>
      <c r="TAR45" s="2"/>
      <c r="TAS45" s="2"/>
      <c r="TAT45" s="2"/>
      <c r="TAU45" s="2"/>
      <c r="TAV45" s="2"/>
      <c r="TAW45" s="2"/>
      <c r="TAX45" s="2"/>
      <c r="TAY45" s="2"/>
      <c r="TAZ45" s="2"/>
      <c r="TBA45" s="2"/>
      <c r="TBB45" s="2"/>
      <c r="TBC45" s="2"/>
      <c r="TBD45" s="2"/>
      <c r="TBE45" s="2"/>
      <c r="TBF45" s="2"/>
      <c r="TBG45" s="2"/>
      <c r="TBH45" s="2"/>
      <c r="TBI45" s="2"/>
      <c r="TBJ45" s="2"/>
      <c r="TBK45" s="2"/>
      <c r="TBL45" s="2"/>
      <c r="TBM45" s="2"/>
      <c r="TBN45" s="2"/>
      <c r="TBO45" s="2"/>
      <c r="TBP45" s="2"/>
      <c r="TBQ45" s="2"/>
      <c r="TBR45" s="2"/>
      <c r="TBS45" s="2"/>
      <c r="TBT45" s="2"/>
      <c r="TBU45" s="2"/>
      <c r="TBV45" s="2"/>
      <c r="TBW45" s="2"/>
      <c r="TBX45" s="2"/>
      <c r="TBY45" s="2"/>
      <c r="TBZ45" s="2"/>
      <c r="TCA45" s="2"/>
      <c r="TCB45" s="2"/>
      <c r="TCC45" s="2"/>
      <c r="TCD45" s="2"/>
      <c r="TCE45" s="2"/>
      <c r="TCF45" s="2"/>
      <c r="TCG45" s="2"/>
      <c r="TCH45" s="2"/>
      <c r="TCI45" s="2"/>
      <c r="TCJ45" s="2"/>
      <c r="TCK45" s="2"/>
      <c r="TCL45" s="2"/>
      <c r="TCM45" s="2"/>
      <c r="TCN45" s="2"/>
      <c r="TCO45" s="2"/>
      <c r="TCP45" s="2"/>
      <c r="TCQ45" s="2"/>
      <c r="TCR45" s="2"/>
      <c r="TCS45" s="2"/>
      <c r="TCT45" s="2"/>
      <c r="TCU45" s="2"/>
      <c r="TCV45" s="2"/>
      <c r="TCW45" s="2"/>
      <c r="TCX45" s="2"/>
      <c r="TCY45" s="2"/>
      <c r="TCZ45" s="2"/>
      <c r="TDA45" s="2"/>
      <c r="TDB45" s="2"/>
      <c r="TDC45" s="2"/>
      <c r="TDD45" s="2"/>
      <c r="TDE45" s="2"/>
      <c r="TDF45" s="2"/>
      <c r="TDG45" s="2"/>
      <c r="TDH45" s="2"/>
      <c r="TDI45" s="2"/>
      <c r="TDJ45" s="2"/>
      <c r="TDK45" s="2"/>
      <c r="TDL45" s="2"/>
      <c r="TDM45" s="2"/>
      <c r="TDN45" s="2"/>
      <c r="TDO45" s="2"/>
      <c r="TDP45" s="2"/>
      <c r="TDQ45" s="2"/>
      <c r="TDR45" s="2"/>
      <c r="TDS45" s="2"/>
      <c r="TDT45" s="2"/>
      <c r="TDU45" s="2"/>
      <c r="TDV45" s="2"/>
      <c r="TDW45" s="2"/>
      <c r="TDX45" s="2"/>
      <c r="TDY45" s="2"/>
      <c r="TDZ45" s="2"/>
      <c r="TEA45" s="2"/>
      <c r="TEB45" s="2"/>
      <c r="TEC45" s="2"/>
      <c r="TED45" s="2"/>
      <c r="TEE45" s="2"/>
      <c r="TEF45" s="2"/>
      <c r="TEG45" s="2"/>
      <c r="TEH45" s="2"/>
      <c r="TEI45" s="2"/>
      <c r="TEJ45" s="2"/>
      <c r="TEK45" s="2"/>
      <c r="TEL45" s="2"/>
      <c r="TEM45" s="2"/>
      <c r="TEN45" s="2"/>
      <c r="TEO45" s="2"/>
      <c r="TEP45" s="2"/>
      <c r="TEQ45" s="2"/>
      <c r="TER45" s="2"/>
      <c r="TES45" s="2"/>
      <c r="TET45" s="2"/>
      <c r="TEU45" s="2"/>
      <c r="TEV45" s="2"/>
      <c r="TEW45" s="2"/>
      <c r="TEX45" s="2"/>
      <c r="TEY45" s="2"/>
      <c r="TEZ45" s="2"/>
      <c r="TFA45" s="2"/>
      <c r="TFB45" s="2"/>
      <c r="TFC45" s="2"/>
      <c r="TFD45" s="2"/>
      <c r="TFE45" s="2"/>
      <c r="TFF45" s="2"/>
      <c r="TFG45" s="2"/>
      <c r="TFH45" s="2"/>
      <c r="TFI45" s="2"/>
      <c r="TFJ45" s="2"/>
      <c r="TFK45" s="2"/>
      <c r="TFL45" s="2"/>
      <c r="TFM45" s="2"/>
      <c r="TFN45" s="2"/>
      <c r="TFO45" s="2"/>
      <c r="TFP45" s="2"/>
      <c r="TFQ45" s="2"/>
      <c r="TFR45" s="2"/>
      <c r="TFS45" s="2"/>
      <c r="TFT45" s="2"/>
      <c r="TFU45" s="2"/>
      <c r="TFV45" s="2"/>
      <c r="TFW45" s="2"/>
      <c r="TFX45" s="2"/>
      <c r="TFY45" s="2"/>
      <c r="TFZ45" s="2"/>
      <c r="TGA45" s="2"/>
      <c r="TGB45" s="2"/>
      <c r="TGC45" s="2"/>
      <c r="TGD45" s="2"/>
      <c r="TGE45" s="2"/>
      <c r="TGF45" s="2"/>
      <c r="TGG45" s="2"/>
      <c r="TGH45" s="2"/>
      <c r="TGI45" s="2"/>
      <c r="TGJ45" s="2"/>
      <c r="TGK45" s="2"/>
      <c r="TGL45" s="2"/>
      <c r="TGM45" s="2"/>
      <c r="TGN45" s="2"/>
      <c r="TGO45" s="2"/>
      <c r="TGP45" s="2"/>
      <c r="TGQ45" s="2"/>
      <c r="TGR45" s="2"/>
      <c r="TGS45" s="2"/>
      <c r="TGT45" s="2"/>
      <c r="TGU45" s="2"/>
      <c r="TGV45" s="2"/>
      <c r="TGW45" s="2"/>
      <c r="TGX45" s="2"/>
      <c r="TGY45" s="2"/>
      <c r="TGZ45" s="2"/>
      <c r="THA45" s="2"/>
      <c r="THB45" s="2"/>
      <c r="THC45" s="2"/>
      <c r="THD45" s="2"/>
      <c r="THE45" s="2"/>
      <c r="THF45" s="2"/>
      <c r="THG45" s="2"/>
      <c r="THH45" s="2"/>
      <c r="THI45" s="2"/>
      <c r="THJ45" s="2"/>
      <c r="THK45" s="2"/>
      <c r="THL45" s="2"/>
      <c r="THM45" s="2"/>
      <c r="THN45" s="2"/>
      <c r="THO45" s="2"/>
      <c r="THP45" s="2"/>
      <c r="THQ45" s="2"/>
      <c r="THR45" s="2"/>
      <c r="THS45" s="2"/>
      <c r="THT45" s="2"/>
      <c r="THU45" s="2"/>
      <c r="THV45" s="2"/>
      <c r="THW45" s="2"/>
      <c r="THX45" s="2"/>
      <c r="THY45" s="2"/>
      <c r="THZ45" s="2"/>
      <c r="TIA45" s="2"/>
      <c r="TIB45" s="2"/>
      <c r="TIC45" s="2"/>
      <c r="TID45" s="2"/>
      <c r="TIE45" s="2"/>
      <c r="TIF45" s="2"/>
      <c r="TIG45" s="2"/>
      <c r="TIH45" s="2"/>
      <c r="TII45" s="2"/>
      <c r="TIJ45" s="2"/>
      <c r="TIK45" s="2"/>
      <c r="TIL45" s="2"/>
      <c r="TIM45" s="2"/>
      <c r="TIN45" s="2"/>
      <c r="TIO45" s="2"/>
      <c r="TIP45" s="2"/>
      <c r="TIQ45" s="2"/>
      <c r="TIR45" s="2"/>
      <c r="TIS45" s="2"/>
      <c r="TIT45" s="2"/>
      <c r="TIU45" s="2"/>
      <c r="TIV45" s="2"/>
      <c r="TIW45" s="2"/>
      <c r="TIX45" s="2"/>
      <c r="TIY45" s="2"/>
      <c r="TIZ45" s="2"/>
      <c r="TJA45" s="2"/>
      <c r="TJB45" s="2"/>
      <c r="TJC45" s="2"/>
      <c r="TJD45" s="2"/>
      <c r="TJE45" s="2"/>
      <c r="TJF45" s="2"/>
      <c r="TJG45" s="2"/>
      <c r="TJH45" s="2"/>
      <c r="TJI45" s="2"/>
      <c r="TJJ45" s="2"/>
      <c r="TJK45" s="2"/>
      <c r="TJL45" s="2"/>
      <c r="TJM45" s="2"/>
      <c r="TJN45" s="2"/>
      <c r="TJO45" s="2"/>
      <c r="TJP45" s="2"/>
      <c r="TJQ45" s="2"/>
      <c r="TJR45" s="2"/>
      <c r="TJS45" s="2"/>
      <c r="TJT45" s="2"/>
      <c r="TJU45" s="2"/>
      <c r="TJV45" s="2"/>
      <c r="TJW45" s="2"/>
      <c r="TJX45" s="2"/>
      <c r="TJY45" s="2"/>
      <c r="TJZ45" s="2"/>
      <c r="TKA45" s="2"/>
      <c r="TKB45" s="2"/>
      <c r="TKC45" s="2"/>
      <c r="TKD45" s="2"/>
      <c r="TKE45" s="2"/>
      <c r="TKF45" s="2"/>
      <c r="TKG45" s="2"/>
      <c r="TKH45" s="2"/>
      <c r="TKI45" s="2"/>
      <c r="TKJ45" s="2"/>
      <c r="TKK45" s="2"/>
      <c r="TKL45" s="2"/>
      <c r="TKM45" s="2"/>
      <c r="TKN45" s="2"/>
      <c r="TKO45" s="2"/>
      <c r="TKP45" s="2"/>
      <c r="TKQ45" s="2"/>
      <c r="TKR45" s="2"/>
      <c r="TKS45" s="2"/>
      <c r="TKT45" s="2"/>
      <c r="TKU45" s="2"/>
      <c r="TKV45" s="2"/>
      <c r="TKW45" s="2"/>
      <c r="TKX45" s="2"/>
      <c r="TKY45" s="2"/>
      <c r="TKZ45" s="2"/>
      <c r="TLA45" s="2"/>
      <c r="TLB45" s="2"/>
      <c r="TLC45" s="2"/>
      <c r="TLD45" s="2"/>
      <c r="TLE45" s="2"/>
      <c r="TLF45" s="2"/>
      <c r="TLG45" s="2"/>
      <c r="TLH45" s="2"/>
      <c r="TLI45" s="2"/>
      <c r="TLJ45" s="2"/>
      <c r="TLK45" s="2"/>
      <c r="TLL45" s="2"/>
      <c r="TLM45" s="2"/>
      <c r="TLN45" s="2"/>
      <c r="TLO45" s="2"/>
      <c r="TLP45" s="2"/>
      <c r="TLQ45" s="2"/>
      <c r="TLR45" s="2"/>
      <c r="TLS45" s="2"/>
      <c r="TLT45" s="2"/>
      <c r="TLU45" s="2"/>
      <c r="TLV45" s="2"/>
      <c r="TLW45" s="2"/>
      <c r="TLX45" s="2"/>
      <c r="TLY45" s="2"/>
      <c r="TLZ45" s="2"/>
      <c r="TMA45" s="2"/>
      <c r="TMB45" s="2"/>
      <c r="TMC45" s="2"/>
      <c r="TMD45" s="2"/>
      <c r="TME45" s="2"/>
      <c r="TMF45" s="2"/>
      <c r="TMG45" s="2"/>
      <c r="TMH45" s="2"/>
      <c r="TMI45" s="2"/>
      <c r="TMJ45" s="2"/>
      <c r="TMK45" s="2"/>
      <c r="TML45" s="2"/>
      <c r="TMM45" s="2"/>
      <c r="TMN45" s="2"/>
      <c r="TMO45" s="2"/>
      <c r="TMP45" s="2"/>
      <c r="TMQ45" s="2"/>
      <c r="TMR45" s="2"/>
      <c r="TMS45" s="2"/>
      <c r="TMT45" s="2"/>
      <c r="TMU45" s="2"/>
      <c r="TMV45" s="2"/>
      <c r="TMW45" s="2"/>
      <c r="TMX45" s="2"/>
      <c r="TMY45" s="2"/>
      <c r="TMZ45" s="2"/>
      <c r="TNA45" s="2"/>
      <c r="TNB45" s="2"/>
      <c r="TNC45" s="2"/>
      <c r="TND45" s="2"/>
      <c r="TNE45" s="2"/>
      <c r="TNF45" s="2"/>
      <c r="TNG45" s="2"/>
      <c r="TNH45" s="2"/>
      <c r="TNI45" s="2"/>
      <c r="TNJ45" s="2"/>
      <c r="TNK45" s="2"/>
      <c r="TNL45" s="2"/>
      <c r="TNM45" s="2"/>
      <c r="TNN45" s="2"/>
      <c r="TNO45" s="2"/>
      <c r="TNP45" s="2"/>
      <c r="TNQ45" s="2"/>
      <c r="TNR45" s="2"/>
      <c r="TNS45" s="2"/>
      <c r="TNT45" s="2"/>
      <c r="TNU45" s="2"/>
      <c r="TNV45" s="2"/>
      <c r="TNW45" s="2"/>
      <c r="TNX45" s="2"/>
      <c r="TNY45" s="2"/>
      <c r="TNZ45" s="2"/>
      <c r="TOA45" s="2"/>
      <c r="TOB45" s="2"/>
      <c r="TOC45" s="2"/>
      <c r="TOD45" s="2"/>
      <c r="TOE45" s="2"/>
      <c r="TOF45" s="2"/>
      <c r="TOG45" s="2"/>
      <c r="TOH45" s="2"/>
      <c r="TOI45" s="2"/>
      <c r="TOJ45" s="2"/>
      <c r="TOK45" s="2"/>
      <c r="TOL45" s="2"/>
      <c r="TOM45" s="2"/>
      <c r="TON45" s="2"/>
      <c r="TOO45" s="2"/>
      <c r="TOP45" s="2"/>
      <c r="TOQ45" s="2"/>
      <c r="TOR45" s="2"/>
      <c r="TOS45" s="2"/>
      <c r="TOT45" s="2"/>
      <c r="TOU45" s="2"/>
      <c r="TOV45" s="2"/>
      <c r="TOW45" s="2"/>
      <c r="TOX45" s="2"/>
      <c r="TOY45" s="2"/>
      <c r="TOZ45" s="2"/>
      <c r="TPA45" s="2"/>
      <c r="TPB45" s="2"/>
      <c r="TPC45" s="2"/>
      <c r="TPD45" s="2"/>
      <c r="TPE45" s="2"/>
      <c r="TPF45" s="2"/>
      <c r="TPG45" s="2"/>
      <c r="TPH45" s="2"/>
      <c r="TPI45" s="2"/>
      <c r="TPJ45" s="2"/>
      <c r="TPK45" s="2"/>
      <c r="TPL45" s="2"/>
      <c r="TPM45" s="2"/>
      <c r="TPN45" s="2"/>
      <c r="TPO45" s="2"/>
      <c r="TPP45" s="2"/>
      <c r="TPQ45" s="2"/>
      <c r="TPR45" s="2"/>
      <c r="TPS45" s="2"/>
      <c r="TPT45" s="2"/>
      <c r="TPU45" s="2"/>
      <c r="TPV45" s="2"/>
      <c r="TPW45" s="2"/>
      <c r="TPX45" s="2"/>
      <c r="TPY45" s="2"/>
      <c r="TPZ45" s="2"/>
      <c r="TQA45" s="2"/>
      <c r="TQB45" s="2"/>
      <c r="TQC45" s="2"/>
      <c r="TQD45" s="2"/>
      <c r="TQE45" s="2"/>
      <c r="TQF45" s="2"/>
      <c r="TQG45" s="2"/>
      <c r="TQH45" s="2"/>
      <c r="TQI45" s="2"/>
      <c r="TQJ45" s="2"/>
      <c r="TQK45" s="2"/>
      <c r="TQL45" s="2"/>
      <c r="TQM45" s="2"/>
      <c r="TQN45" s="2"/>
      <c r="TQO45" s="2"/>
      <c r="TQP45" s="2"/>
      <c r="TQQ45" s="2"/>
      <c r="TQR45" s="2"/>
      <c r="TQS45" s="2"/>
      <c r="TQT45" s="2"/>
      <c r="TQU45" s="2"/>
      <c r="TQV45" s="2"/>
      <c r="TQW45" s="2"/>
      <c r="TQX45" s="2"/>
      <c r="TQY45" s="2"/>
      <c r="TQZ45" s="2"/>
      <c r="TRA45" s="2"/>
      <c r="TRB45" s="2"/>
      <c r="TRC45" s="2"/>
      <c r="TRD45" s="2"/>
      <c r="TRE45" s="2"/>
      <c r="TRF45" s="2"/>
      <c r="TRG45" s="2"/>
      <c r="TRH45" s="2"/>
      <c r="TRI45" s="2"/>
      <c r="TRJ45" s="2"/>
      <c r="TRK45" s="2"/>
      <c r="TRL45" s="2"/>
      <c r="TRM45" s="2"/>
      <c r="TRN45" s="2"/>
      <c r="TRO45" s="2"/>
      <c r="TRP45" s="2"/>
      <c r="TRQ45" s="2"/>
      <c r="TRR45" s="2"/>
      <c r="TRS45" s="2"/>
      <c r="TRT45" s="2"/>
      <c r="TRU45" s="2"/>
      <c r="TRV45" s="2"/>
      <c r="TRW45" s="2"/>
      <c r="TRX45" s="2"/>
      <c r="TRY45" s="2"/>
      <c r="TRZ45" s="2"/>
      <c r="TSA45" s="2"/>
      <c r="TSB45" s="2"/>
      <c r="TSC45" s="2"/>
      <c r="TSD45" s="2"/>
      <c r="TSE45" s="2"/>
      <c r="TSF45" s="2"/>
      <c r="TSG45" s="2"/>
      <c r="TSH45" s="2"/>
      <c r="TSI45" s="2"/>
      <c r="TSJ45" s="2"/>
      <c r="TSK45" s="2"/>
      <c r="TSL45" s="2"/>
      <c r="TSM45" s="2"/>
      <c r="TSN45" s="2"/>
      <c r="TSO45" s="2"/>
      <c r="TSP45" s="2"/>
      <c r="TSQ45" s="2"/>
      <c r="TSR45" s="2"/>
      <c r="TSS45" s="2"/>
      <c r="TST45" s="2"/>
      <c r="TSU45" s="2"/>
      <c r="TSV45" s="2"/>
      <c r="TSW45" s="2"/>
      <c r="TSX45" s="2"/>
      <c r="TSY45" s="2"/>
      <c r="TSZ45" s="2"/>
      <c r="TTA45" s="2"/>
      <c r="TTB45" s="2"/>
      <c r="TTC45" s="2"/>
      <c r="TTD45" s="2"/>
      <c r="TTE45" s="2"/>
      <c r="TTF45" s="2"/>
      <c r="TTG45" s="2"/>
      <c r="TTH45" s="2"/>
      <c r="TTI45" s="2"/>
      <c r="TTJ45" s="2"/>
      <c r="TTK45" s="2"/>
      <c r="TTL45" s="2"/>
      <c r="TTM45" s="2"/>
      <c r="TTN45" s="2"/>
      <c r="TTO45" s="2"/>
      <c r="TTP45" s="2"/>
      <c r="TTQ45" s="2"/>
      <c r="TTR45" s="2"/>
      <c r="TTS45" s="2"/>
      <c r="TTT45" s="2"/>
      <c r="TTU45" s="2"/>
      <c r="TTV45" s="2"/>
      <c r="TTW45" s="2"/>
      <c r="TTX45" s="2"/>
      <c r="TTY45" s="2"/>
      <c r="TTZ45" s="2"/>
      <c r="TUA45" s="2"/>
      <c r="TUB45" s="2"/>
      <c r="TUC45" s="2"/>
      <c r="TUD45" s="2"/>
      <c r="TUE45" s="2"/>
      <c r="TUF45" s="2"/>
      <c r="TUG45" s="2"/>
      <c r="TUH45" s="2"/>
      <c r="TUI45" s="2"/>
      <c r="TUJ45" s="2"/>
      <c r="TUK45" s="2"/>
      <c r="TUL45" s="2"/>
      <c r="TUM45" s="2"/>
      <c r="TUN45" s="2"/>
      <c r="TUO45" s="2"/>
      <c r="TUP45" s="2"/>
      <c r="TUQ45" s="2"/>
      <c r="TUR45" s="2"/>
      <c r="TUS45" s="2"/>
      <c r="TUT45" s="2"/>
      <c r="TUU45" s="2"/>
      <c r="TUV45" s="2"/>
      <c r="TUW45" s="2"/>
      <c r="TUX45" s="2"/>
      <c r="TUY45" s="2"/>
      <c r="TUZ45" s="2"/>
      <c r="TVA45" s="2"/>
      <c r="TVB45" s="2"/>
      <c r="TVC45" s="2"/>
      <c r="TVD45" s="2"/>
      <c r="TVE45" s="2"/>
      <c r="TVF45" s="2"/>
      <c r="TVG45" s="2"/>
      <c r="TVH45" s="2"/>
      <c r="TVI45" s="2"/>
      <c r="TVJ45" s="2"/>
      <c r="TVK45" s="2"/>
      <c r="TVL45" s="2"/>
      <c r="TVM45" s="2"/>
      <c r="TVN45" s="2"/>
      <c r="TVO45" s="2"/>
      <c r="TVP45" s="2"/>
      <c r="TVQ45" s="2"/>
      <c r="TVR45" s="2"/>
      <c r="TVS45" s="2"/>
      <c r="TVT45" s="2"/>
      <c r="TVU45" s="2"/>
      <c r="TVV45" s="2"/>
      <c r="TVW45" s="2"/>
      <c r="TVX45" s="2"/>
      <c r="TVY45" s="2"/>
      <c r="TVZ45" s="2"/>
      <c r="TWA45" s="2"/>
      <c r="TWB45" s="2"/>
      <c r="TWC45" s="2"/>
      <c r="TWD45" s="2"/>
      <c r="TWE45" s="2"/>
      <c r="TWF45" s="2"/>
      <c r="TWG45" s="2"/>
      <c r="TWH45" s="2"/>
      <c r="TWI45" s="2"/>
      <c r="TWJ45" s="2"/>
      <c r="TWK45" s="2"/>
      <c r="TWL45" s="2"/>
      <c r="TWM45" s="2"/>
      <c r="TWN45" s="2"/>
      <c r="TWO45" s="2"/>
      <c r="TWP45" s="2"/>
      <c r="TWQ45" s="2"/>
      <c r="TWR45" s="2"/>
      <c r="TWS45" s="2"/>
      <c r="TWT45" s="2"/>
      <c r="TWU45" s="2"/>
      <c r="TWV45" s="2"/>
      <c r="TWW45" s="2"/>
      <c r="TWX45" s="2"/>
      <c r="TWY45" s="2"/>
      <c r="TWZ45" s="2"/>
      <c r="TXA45" s="2"/>
      <c r="TXB45" s="2"/>
      <c r="TXC45" s="2"/>
      <c r="TXD45" s="2"/>
      <c r="TXE45" s="2"/>
      <c r="TXF45" s="2"/>
      <c r="TXG45" s="2"/>
      <c r="TXH45" s="2"/>
      <c r="TXI45" s="2"/>
      <c r="TXJ45" s="2"/>
      <c r="TXK45" s="2"/>
      <c r="TXL45" s="2"/>
      <c r="TXM45" s="2"/>
      <c r="TXN45" s="2"/>
      <c r="TXO45" s="2"/>
      <c r="TXP45" s="2"/>
      <c r="TXQ45" s="2"/>
      <c r="TXR45" s="2"/>
      <c r="TXS45" s="2"/>
      <c r="TXT45" s="2"/>
      <c r="TXU45" s="2"/>
      <c r="TXV45" s="2"/>
      <c r="TXW45" s="2"/>
      <c r="TXX45" s="2"/>
      <c r="TXY45" s="2"/>
      <c r="TXZ45" s="2"/>
      <c r="TYA45" s="2"/>
      <c r="TYB45" s="2"/>
      <c r="TYC45" s="2"/>
      <c r="TYD45" s="2"/>
      <c r="TYE45" s="2"/>
      <c r="TYF45" s="2"/>
      <c r="TYG45" s="2"/>
      <c r="TYH45" s="2"/>
      <c r="TYI45" s="2"/>
      <c r="TYJ45" s="2"/>
      <c r="TYK45" s="2"/>
      <c r="TYL45" s="2"/>
      <c r="TYM45" s="2"/>
      <c r="TYN45" s="2"/>
      <c r="TYO45" s="2"/>
      <c r="TYP45" s="2"/>
      <c r="TYQ45" s="2"/>
      <c r="TYR45" s="2"/>
      <c r="TYS45" s="2"/>
      <c r="TYT45" s="2"/>
      <c r="TYU45" s="2"/>
      <c r="TYV45" s="2"/>
      <c r="TYW45" s="2"/>
      <c r="TYX45" s="2"/>
      <c r="TYY45" s="2"/>
      <c r="TYZ45" s="2"/>
      <c r="TZA45" s="2"/>
      <c r="TZB45" s="2"/>
      <c r="TZC45" s="2"/>
      <c r="TZD45" s="2"/>
      <c r="TZE45" s="2"/>
      <c r="TZF45" s="2"/>
      <c r="TZG45" s="2"/>
      <c r="TZH45" s="2"/>
      <c r="TZI45" s="2"/>
      <c r="TZJ45" s="2"/>
      <c r="TZK45" s="2"/>
      <c r="TZL45" s="2"/>
      <c r="TZM45" s="2"/>
      <c r="TZN45" s="2"/>
      <c r="TZO45" s="2"/>
      <c r="TZP45" s="2"/>
      <c r="TZQ45" s="2"/>
      <c r="TZR45" s="2"/>
      <c r="TZS45" s="2"/>
      <c r="TZT45" s="2"/>
      <c r="TZU45" s="2"/>
      <c r="TZV45" s="2"/>
      <c r="TZW45" s="2"/>
      <c r="TZX45" s="2"/>
      <c r="TZY45" s="2"/>
      <c r="TZZ45" s="2"/>
      <c r="UAA45" s="2"/>
      <c r="UAB45" s="2"/>
      <c r="UAC45" s="2"/>
      <c r="UAD45" s="2"/>
      <c r="UAE45" s="2"/>
      <c r="UAF45" s="2"/>
      <c r="UAG45" s="2"/>
      <c r="UAH45" s="2"/>
      <c r="UAI45" s="2"/>
      <c r="UAJ45" s="2"/>
      <c r="UAK45" s="2"/>
      <c r="UAL45" s="2"/>
      <c r="UAM45" s="2"/>
      <c r="UAN45" s="2"/>
      <c r="UAO45" s="2"/>
      <c r="UAP45" s="2"/>
      <c r="UAQ45" s="2"/>
      <c r="UAR45" s="2"/>
      <c r="UAS45" s="2"/>
      <c r="UAT45" s="2"/>
      <c r="UAU45" s="2"/>
      <c r="UAV45" s="2"/>
      <c r="UAW45" s="2"/>
      <c r="UAX45" s="2"/>
      <c r="UAY45" s="2"/>
      <c r="UAZ45" s="2"/>
      <c r="UBA45" s="2"/>
      <c r="UBB45" s="2"/>
      <c r="UBC45" s="2"/>
      <c r="UBD45" s="2"/>
      <c r="UBE45" s="2"/>
      <c r="UBF45" s="2"/>
      <c r="UBG45" s="2"/>
      <c r="UBH45" s="2"/>
      <c r="UBI45" s="2"/>
      <c r="UBJ45" s="2"/>
      <c r="UBK45" s="2"/>
      <c r="UBL45" s="2"/>
      <c r="UBM45" s="2"/>
      <c r="UBN45" s="2"/>
      <c r="UBO45" s="2"/>
      <c r="UBP45" s="2"/>
      <c r="UBQ45" s="2"/>
      <c r="UBR45" s="2"/>
      <c r="UBS45" s="2"/>
      <c r="UBT45" s="2"/>
      <c r="UBU45" s="2"/>
      <c r="UBV45" s="2"/>
      <c r="UBW45" s="2"/>
      <c r="UBX45" s="2"/>
      <c r="UBY45" s="2"/>
      <c r="UBZ45" s="2"/>
      <c r="UCA45" s="2"/>
      <c r="UCB45" s="2"/>
      <c r="UCC45" s="2"/>
      <c r="UCD45" s="2"/>
      <c r="UCE45" s="2"/>
      <c r="UCF45" s="2"/>
      <c r="UCG45" s="2"/>
      <c r="UCH45" s="2"/>
      <c r="UCI45" s="2"/>
      <c r="UCJ45" s="2"/>
      <c r="UCK45" s="2"/>
      <c r="UCL45" s="2"/>
      <c r="UCM45" s="2"/>
      <c r="UCN45" s="2"/>
      <c r="UCO45" s="2"/>
      <c r="UCP45" s="2"/>
      <c r="UCQ45" s="2"/>
      <c r="UCR45" s="2"/>
      <c r="UCS45" s="2"/>
      <c r="UCT45" s="2"/>
      <c r="UCU45" s="2"/>
      <c r="UCV45" s="2"/>
      <c r="UCW45" s="2"/>
      <c r="UCX45" s="2"/>
      <c r="UCY45" s="2"/>
      <c r="UCZ45" s="2"/>
      <c r="UDA45" s="2"/>
      <c r="UDB45" s="2"/>
      <c r="UDC45" s="2"/>
      <c r="UDD45" s="2"/>
      <c r="UDE45" s="2"/>
      <c r="UDF45" s="2"/>
      <c r="UDG45" s="2"/>
      <c r="UDH45" s="2"/>
      <c r="UDI45" s="2"/>
      <c r="UDJ45" s="2"/>
      <c r="UDK45" s="2"/>
      <c r="UDL45" s="2"/>
      <c r="UDM45" s="2"/>
      <c r="UDN45" s="2"/>
      <c r="UDO45" s="2"/>
      <c r="UDP45" s="2"/>
      <c r="UDQ45" s="2"/>
      <c r="UDR45" s="2"/>
      <c r="UDS45" s="2"/>
      <c r="UDT45" s="2"/>
      <c r="UDU45" s="2"/>
      <c r="UDV45" s="2"/>
      <c r="UDW45" s="2"/>
      <c r="UDX45" s="2"/>
      <c r="UDY45" s="2"/>
      <c r="UDZ45" s="2"/>
      <c r="UEA45" s="2"/>
      <c r="UEB45" s="2"/>
      <c r="UEC45" s="2"/>
      <c r="UED45" s="2"/>
      <c r="UEE45" s="2"/>
      <c r="UEF45" s="2"/>
      <c r="UEG45" s="2"/>
      <c r="UEH45" s="2"/>
      <c r="UEI45" s="2"/>
      <c r="UEJ45" s="2"/>
      <c r="UEK45" s="2"/>
      <c r="UEL45" s="2"/>
      <c r="UEM45" s="2"/>
      <c r="UEN45" s="2"/>
      <c r="UEO45" s="2"/>
      <c r="UEP45" s="2"/>
      <c r="UEQ45" s="2"/>
      <c r="UER45" s="2"/>
      <c r="UES45" s="2"/>
      <c r="UET45" s="2"/>
      <c r="UEU45" s="2"/>
      <c r="UEV45" s="2"/>
      <c r="UEW45" s="2"/>
      <c r="UEX45" s="2"/>
      <c r="UEY45" s="2"/>
      <c r="UEZ45" s="2"/>
      <c r="UFA45" s="2"/>
      <c r="UFB45" s="2"/>
      <c r="UFC45" s="2"/>
      <c r="UFD45" s="2"/>
      <c r="UFE45" s="2"/>
      <c r="UFF45" s="2"/>
      <c r="UFG45" s="2"/>
      <c r="UFH45" s="2"/>
      <c r="UFI45" s="2"/>
      <c r="UFJ45" s="2"/>
      <c r="UFK45" s="2"/>
      <c r="UFL45" s="2"/>
      <c r="UFM45" s="2"/>
      <c r="UFN45" s="2"/>
      <c r="UFO45" s="2"/>
      <c r="UFP45" s="2"/>
      <c r="UFQ45" s="2"/>
      <c r="UFR45" s="2"/>
      <c r="UFS45" s="2"/>
      <c r="UFT45" s="2"/>
      <c r="UFU45" s="2"/>
      <c r="UFV45" s="2"/>
      <c r="UFW45" s="2"/>
      <c r="UFX45" s="2"/>
      <c r="UFY45" s="2"/>
      <c r="UFZ45" s="2"/>
      <c r="UGA45" s="2"/>
      <c r="UGB45" s="2"/>
      <c r="UGC45" s="2"/>
      <c r="UGD45" s="2"/>
      <c r="UGE45" s="2"/>
      <c r="UGF45" s="2"/>
      <c r="UGG45" s="2"/>
      <c r="UGH45" s="2"/>
      <c r="UGI45" s="2"/>
      <c r="UGJ45" s="2"/>
      <c r="UGK45" s="2"/>
      <c r="UGL45" s="2"/>
      <c r="UGM45" s="2"/>
      <c r="UGN45" s="2"/>
      <c r="UGO45" s="2"/>
      <c r="UGP45" s="2"/>
      <c r="UGQ45" s="2"/>
      <c r="UGR45" s="2"/>
      <c r="UGS45" s="2"/>
      <c r="UGT45" s="2"/>
      <c r="UGU45" s="2"/>
      <c r="UGV45" s="2"/>
      <c r="UGW45" s="2"/>
      <c r="UGX45" s="2"/>
      <c r="UGY45" s="2"/>
      <c r="UGZ45" s="2"/>
      <c r="UHA45" s="2"/>
      <c r="UHB45" s="2"/>
      <c r="UHC45" s="2"/>
      <c r="UHD45" s="2"/>
      <c r="UHE45" s="2"/>
      <c r="UHF45" s="2"/>
      <c r="UHG45" s="2"/>
      <c r="UHH45" s="2"/>
      <c r="UHI45" s="2"/>
      <c r="UHJ45" s="2"/>
      <c r="UHK45" s="2"/>
      <c r="UHL45" s="2"/>
      <c r="UHM45" s="2"/>
      <c r="UHN45" s="2"/>
      <c r="UHO45" s="2"/>
      <c r="UHP45" s="2"/>
      <c r="UHQ45" s="2"/>
      <c r="UHR45" s="2"/>
      <c r="UHS45" s="2"/>
      <c r="UHT45" s="2"/>
      <c r="UHU45" s="2"/>
      <c r="UHV45" s="2"/>
      <c r="UHW45" s="2"/>
      <c r="UHX45" s="2"/>
      <c r="UHY45" s="2"/>
      <c r="UHZ45" s="2"/>
      <c r="UIA45" s="2"/>
      <c r="UIB45" s="2"/>
      <c r="UIC45" s="2"/>
      <c r="UID45" s="2"/>
      <c r="UIE45" s="2"/>
      <c r="UIF45" s="2"/>
      <c r="UIG45" s="2"/>
      <c r="UIH45" s="2"/>
      <c r="UII45" s="2"/>
      <c r="UIJ45" s="2"/>
      <c r="UIK45" s="2"/>
      <c r="UIL45" s="2"/>
      <c r="UIM45" s="2"/>
      <c r="UIN45" s="2"/>
      <c r="UIO45" s="2"/>
      <c r="UIP45" s="2"/>
      <c r="UIQ45" s="2"/>
      <c r="UIR45" s="2"/>
      <c r="UIS45" s="2"/>
      <c r="UIT45" s="2"/>
      <c r="UIU45" s="2"/>
      <c r="UIV45" s="2"/>
      <c r="UIW45" s="2"/>
      <c r="UIX45" s="2"/>
      <c r="UIY45" s="2"/>
      <c r="UIZ45" s="2"/>
      <c r="UJA45" s="2"/>
      <c r="UJB45" s="2"/>
      <c r="UJC45" s="2"/>
      <c r="UJD45" s="2"/>
      <c r="UJE45" s="2"/>
      <c r="UJF45" s="2"/>
      <c r="UJG45" s="2"/>
      <c r="UJH45" s="2"/>
      <c r="UJI45" s="2"/>
      <c r="UJJ45" s="2"/>
      <c r="UJK45" s="2"/>
      <c r="UJL45" s="2"/>
      <c r="UJM45" s="2"/>
      <c r="UJN45" s="2"/>
      <c r="UJO45" s="2"/>
      <c r="UJP45" s="2"/>
      <c r="UJQ45" s="2"/>
      <c r="UJR45" s="2"/>
      <c r="UJS45" s="2"/>
      <c r="UJT45" s="2"/>
      <c r="UJU45" s="2"/>
      <c r="UJV45" s="2"/>
      <c r="UJW45" s="2"/>
      <c r="UJX45" s="2"/>
      <c r="UJY45" s="2"/>
      <c r="UJZ45" s="2"/>
      <c r="UKA45" s="2"/>
      <c r="UKB45" s="2"/>
      <c r="UKC45" s="2"/>
      <c r="UKD45" s="2"/>
      <c r="UKE45" s="2"/>
      <c r="UKF45" s="2"/>
      <c r="UKG45" s="2"/>
      <c r="UKH45" s="2"/>
      <c r="UKI45" s="2"/>
      <c r="UKJ45" s="2"/>
      <c r="UKK45" s="2"/>
      <c r="UKL45" s="2"/>
      <c r="UKM45" s="2"/>
      <c r="UKN45" s="2"/>
      <c r="UKO45" s="2"/>
      <c r="UKP45" s="2"/>
      <c r="UKQ45" s="2"/>
      <c r="UKR45" s="2"/>
      <c r="UKS45" s="2"/>
      <c r="UKT45" s="2"/>
      <c r="UKU45" s="2"/>
      <c r="UKV45" s="2"/>
      <c r="UKW45" s="2"/>
      <c r="UKX45" s="2"/>
      <c r="UKY45" s="2"/>
      <c r="UKZ45" s="2"/>
      <c r="ULA45" s="2"/>
      <c r="ULB45" s="2"/>
      <c r="ULC45" s="2"/>
      <c r="ULD45" s="2"/>
      <c r="ULE45" s="2"/>
      <c r="ULF45" s="2"/>
      <c r="ULG45" s="2"/>
      <c r="ULH45" s="2"/>
      <c r="ULI45" s="2"/>
      <c r="ULJ45" s="2"/>
      <c r="ULK45" s="2"/>
      <c r="ULL45" s="2"/>
      <c r="ULM45" s="2"/>
      <c r="ULN45" s="2"/>
      <c r="ULO45" s="2"/>
      <c r="ULP45" s="2"/>
      <c r="ULQ45" s="2"/>
      <c r="ULR45" s="2"/>
      <c r="ULS45" s="2"/>
      <c r="ULT45" s="2"/>
      <c r="ULU45" s="2"/>
      <c r="ULV45" s="2"/>
      <c r="ULW45" s="2"/>
      <c r="ULX45" s="2"/>
      <c r="ULY45" s="2"/>
      <c r="ULZ45" s="2"/>
      <c r="UMA45" s="2"/>
      <c r="UMB45" s="2"/>
      <c r="UMC45" s="2"/>
      <c r="UMD45" s="2"/>
      <c r="UME45" s="2"/>
      <c r="UMF45" s="2"/>
      <c r="UMG45" s="2"/>
      <c r="UMH45" s="2"/>
      <c r="UMI45" s="2"/>
      <c r="UMJ45" s="2"/>
      <c r="UMK45" s="2"/>
      <c r="UML45" s="2"/>
      <c r="UMM45" s="2"/>
      <c r="UMN45" s="2"/>
      <c r="UMO45" s="2"/>
      <c r="UMP45" s="2"/>
      <c r="UMQ45" s="2"/>
      <c r="UMR45" s="2"/>
      <c r="UMS45" s="2"/>
      <c r="UMT45" s="2"/>
      <c r="UMU45" s="2"/>
      <c r="UMV45" s="2"/>
      <c r="UMW45" s="2"/>
      <c r="UMX45" s="2"/>
      <c r="UMY45" s="2"/>
      <c r="UMZ45" s="2"/>
      <c r="UNA45" s="2"/>
      <c r="UNB45" s="2"/>
      <c r="UNC45" s="2"/>
      <c r="UND45" s="2"/>
      <c r="UNE45" s="2"/>
      <c r="UNF45" s="2"/>
      <c r="UNG45" s="2"/>
      <c r="UNH45" s="2"/>
      <c r="UNI45" s="2"/>
      <c r="UNJ45" s="2"/>
      <c r="UNK45" s="2"/>
      <c r="UNL45" s="2"/>
      <c r="UNM45" s="2"/>
      <c r="UNN45" s="2"/>
      <c r="UNO45" s="2"/>
      <c r="UNP45" s="2"/>
      <c r="UNQ45" s="2"/>
      <c r="UNR45" s="2"/>
      <c r="UNS45" s="2"/>
      <c r="UNT45" s="2"/>
      <c r="UNU45" s="2"/>
      <c r="UNV45" s="2"/>
      <c r="UNW45" s="2"/>
      <c r="UNX45" s="2"/>
      <c r="UNY45" s="2"/>
      <c r="UNZ45" s="2"/>
      <c r="UOA45" s="2"/>
      <c r="UOB45" s="2"/>
      <c r="UOC45" s="2"/>
      <c r="UOD45" s="2"/>
      <c r="UOE45" s="2"/>
      <c r="UOF45" s="2"/>
      <c r="UOG45" s="2"/>
      <c r="UOH45" s="2"/>
      <c r="UOI45" s="2"/>
      <c r="UOJ45" s="2"/>
      <c r="UOK45" s="2"/>
      <c r="UOL45" s="2"/>
      <c r="UOM45" s="2"/>
      <c r="UON45" s="2"/>
      <c r="UOO45" s="2"/>
      <c r="UOP45" s="2"/>
      <c r="UOQ45" s="2"/>
      <c r="UOR45" s="2"/>
      <c r="UOS45" s="2"/>
      <c r="UOT45" s="2"/>
      <c r="UOU45" s="2"/>
      <c r="UOV45" s="2"/>
      <c r="UOW45" s="2"/>
      <c r="UOX45" s="2"/>
      <c r="UOY45" s="2"/>
      <c r="UOZ45" s="2"/>
      <c r="UPA45" s="2"/>
      <c r="UPB45" s="2"/>
      <c r="UPC45" s="2"/>
      <c r="UPD45" s="2"/>
      <c r="UPE45" s="2"/>
      <c r="UPF45" s="2"/>
      <c r="UPG45" s="2"/>
      <c r="UPH45" s="2"/>
      <c r="UPI45" s="2"/>
      <c r="UPJ45" s="2"/>
      <c r="UPK45" s="2"/>
      <c r="UPL45" s="2"/>
      <c r="UPM45" s="2"/>
      <c r="UPN45" s="2"/>
      <c r="UPO45" s="2"/>
      <c r="UPP45" s="2"/>
      <c r="UPQ45" s="2"/>
      <c r="UPR45" s="2"/>
      <c r="UPS45" s="2"/>
      <c r="UPT45" s="2"/>
      <c r="UPU45" s="2"/>
      <c r="UPV45" s="2"/>
      <c r="UPW45" s="2"/>
      <c r="UPX45" s="2"/>
      <c r="UPY45" s="2"/>
      <c r="UPZ45" s="2"/>
      <c r="UQA45" s="2"/>
      <c r="UQB45" s="2"/>
      <c r="UQC45" s="2"/>
      <c r="UQD45" s="2"/>
      <c r="UQE45" s="2"/>
      <c r="UQF45" s="2"/>
      <c r="UQG45" s="2"/>
      <c r="UQH45" s="2"/>
      <c r="UQI45" s="2"/>
      <c r="UQJ45" s="2"/>
      <c r="UQK45" s="2"/>
      <c r="UQL45" s="2"/>
      <c r="UQM45" s="2"/>
      <c r="UQN45" s="2"/>
      <c r="UQO45" s="2"/>
      <c r="UQP45" s="2"/>
      <c r="UQQ45" s="2"/>
      <c r="UQR45" s="2"/>
      <c r="UQS45" s="2"/>
      <c r="UQT45" s="2"/>
      <c r="UQU45" s="2"/>
      <c r="UQV45" s="2"/>
      <c r="UQW45" s="2"/>
      <c r="UQX45" s="2"/>
      <c r="UQY45" s="2"/>
      <c r="UQZ45" s="2"/>
      <c r="URA45" s="2"/>
      <c r="URB45" s="2"/>
      <c r="URC45" s="2"/>
      <c r="URD45" s="2"/>
      <c r="URE45" s="2"/>
      <c r="URF45" s="2"/>
      <c r="URG45" s="2"/>
      <c r="URH45" s="2"/>
      <c r="URI45" s="2"/>
      <c r="URJ45" s="2"/>
      <c r="URK45" s="2"/>
      <c r="URL45" s="2"/>
      <c r="URM45" s="2"/>
      <c r="URN45" s="2"/>
      <c r="URO45" s="2"/>
      <c r="URP45" s="2"/>
      <c r="URQ45" s="2"/>
      <c r="URR45" s="2"/>
      <c r="URS45" s="2"/>
      <c r="URT45" s="2"/>
      <c r="URU45" s="2"/>
      <c r="URV45" s="2"/>
      <c r="URW45" s="2"/>
      <c r="URX45" s="2"/>
      <c r="URY45" s="2"/>
      <c r="URZ45" s="2"/>
      <c r="USA45" s="2"/>
      <c r="USB45" s="2"/>
      <c r="USC45" s="2"/>
      <c r="USD45" s="2"/>
      <c r="USE45" s="2"/>
      <c r="USF45" s="2"/>
      <c r="USG45" s="2"/>
      <c r="USH45" s="2"/>
      <c r="USI45" s="2"/>
      <c r="USJ45" s="2"/>
      <c r="USK45" s="2"/>
      <c r="USL45" s="2"/>
      <c r="USM45" s="2"/>
      <c r="USN45" s="2"/>
      <c r="USO45" s="2"/>
      <c r="USP45" s="2"/>
      <c r="USQ45" s="2"/>
      <c r="USR45" s="2"/>
      <c r="USS45" s="2"/>
      <c r="UST45" s="2"/>
      <c r="USU45" s="2"/>
      <c r="USV45" s="2"/>
      <c r="USW45" s="2"/>
      <c r="USX45" s="2"/>
      <c r="USY45" s="2"/>
      <c r="USZ45" s="2"/>
      <c r="UTA45" s="2"/>
      <c r="UTB45" s="2"/>
      <c r="UTC45" s="2"/>
      <c r="UTD45" s="2"/>
      <c r="UTE45" s="2"/>
      <c r="UTF45" s="2"/>
      <c r="UTG45" s="2"/>
      <c r="UTH45" s="2"/>
      <c r="UTI45" s="2"/>
      <c r="UTJ45" s="2"/>
      <c r="UTK45" s="2"/>
      <c r="UTL45" s="2"/>
      <c r="UTM45" s="2"/>
      <c r="UTN45" s="2"/>
      <c r="UTO45" s="2"/>
      <c r="UTP45" s="2"/>
      <c r="UTQ45" s="2"/>
      <c r="UTR45" s="2"/>
      <c r="UTS45" s="2"/>
      <c r="UTT45" s="2"/>
      <c r="UTU45" s="2"/>
      <c r="UTV45" s="2"/>
      <c r="UTW45" s="2"/>
      <c r="UTX45" s="2"/>
      <c r="UTY45" s="2"/>
      <c r="UTZ45" s="2"/>
      <c r="UUA45" s="2"/>
      <c r="UUB45" s="2"/>
      <c r="UUC45" s="2"/>
      <c r="UUD45" s="2"/>
      <c r="UUE45" s="2"/>
      <c r="UUF45" s="2"/>
      <c r="UUG45" s="2"/>
      <c r="UUH45" s="2"/>
      <c r="UUI45" s="2"/>
      <c r="UUJ45" s="2"/>
      <c r="UUK45" s="2"/>
      <c r="UUL45" s="2"/>
      <c r="UUM45" s="2"/>
      <c r="UUN45" s="2"/>
      <c r="UUO45" s="2"/>
      <c r="UUP45" s="2"/>
      <c r="UUQ45" s="2"/>
      <c r="UUR45" s="2"/>
      <c r="UUS45" s="2"/>
      <c r="UUT45" s="2"/>
      <c r="UUU45" s="2"/>
      <c r="UUV45" s="2"/>
      <c r="UUW45" s="2"/>
      <c r="UUX45" s="2"/>
      <c r="UUY45" s="2"/>
      <c r="UUZ45" s="2"/>
      <c r="UVA45" s="2"/>
      <c r="UVB45" s="2"/>
      <c r="UVC45" s="2"/>
      <c r="UVD45" s="2"/>
      <c r="UVE45" s="2"/>
      <c r="UVF45" s="2"/>
      <c r="UVG45" s="2"/>
      <c r="UVH45" s="2"/>
      <c r="UVI45" s="2"/>
      <c r="UVJ45" s="2"/>
      <c r="UVK45" s="2"/>
      <c r="UVL45" s="2"/>
      <c r="UVM45" s="2"/>
      <c r="UVN45" s="2"/>
      <c r="UVO45" s="2"/>
      <c r="UVP45" s="2"/>
      <c r="UVQ45" s="2"/>
      <c r="UVR45" s="2"/>
      <c r="UVS45" s="2"/>
      <c r="UVT45" s="2"/>
      <c r="UVU45" s="2"/>
      <c r="UVV45" s="2"/>
      <c r="UVW45" s="2"/>
      <c r="UVX45" s="2"/>
      <c r="UVY45" s="2"/>
      <c r="UVZ45" s="2"/>
      <c r="UWA45" s="2"/>
      <c r="UWB45" s="2"/>
      <c r="UWC45" s="2"/>
      <c r="UWD45" s="2"/>
      <c r="UWE45" s="2"/>
      <c r="UWF45" s="2"/>
      <c r="UWG45" s="2"/>
      <c r="UWH45" s="2"/>
      <c r="UWI45" s="2"/>
      <c r="UWJ45" s="2"/>
      <c r="UWK45" s="2"/>
      <c r="UWL45" s="2"/>
      <c r="UWM45" s="2"/>
      <c r="UWN45" s="2"/>
      <c r="UWO45" s="2"/>
      <c r="UWP45" s="2"/>
      <c r="UWQ45" s="2"/>
      <c r="UWR45" s="2"/>
      <c r="UWS45" s="2"/>
      <c r="UWT45" s="2"/>
      <c r="UWU45" s="2"/>
      <c r="UWV45" s="2"/>
      <c r="UWW45" s="2"/>
      <c r="UWX45" s="2"/>
      <c r="UWY45" s="2"/>
      <c r="UWZ45" s="2"/>
      <c r="UXA45" s="2"/>
      <c r="UXB45" s="2"/>
      <c r="UXC45" s="2"/>
      <c r="UXD45" s="2"/>
      <c r="UXE45" s="2"/>
      <c r="UXF45" s="2"/>
      <c r="UXG45" s="2"/>
      <c r="UXH45" s="2"/>
      <c r="UXI45" s="2"/>
      <c r="UXJ45" s="2"/>
      <c r="UXK45" s="2"/>
      <c r="UXL45" s="2"/>
      <c r="UXM45" s="2"/>
      <c r="UXN45" s="2"/>
      <c r="UXO45" s="2"/>
      <c r="UXP45" s="2"/>
      <c r="UXQ45" s="2"/>
      <c r="UXR45" s="2"/>
      <c r="UXS45" s="2"/>
      <c r="UXT45" s="2"/>
      <c r="UXU45" s="2"/>
      <c r="UXV45" s="2"/>
      <c r="UXW45" s="2"/>
      <c r="UXX45" s="2"/>
      <c r="UXY45" s="2"/>
      <c r="UXZ45" s="2"/>
      <c r="UYA45" s="2"/>
      <c r="UYB45" s="2"/>
      <c r="UYC45" s="2"/>
      <c r="UYD45" s="2"/>
      <c r="UYE45" s="2"/>
      <c r="UYF45" s="2"/>
      <c r="UYG45" s="2"/>
      <c r="UYH45" s="2"/>
      <c r="UYI45" s="2"/>
      <c r="UYJ45" s="2"/>
      <c r="UYK45" s="2"/>
      <c r="UYL45" s="2"/>
      <c r="UYM45" s="2"/>
      <c r="UYN45" s="2"/>
      <c r="UYO45" s="2"/>
      <c r="UYP45" s="2"/>
      <c r="UYQ45" s="2"/>
      <c r="UYR45" s="2"/>
      <c r="UYS45" s="2"/>
      <c r="UYT45" s="2"/>
      <c r="UYU45" s="2"/>
      <c r="UYV45" s="2"/>
      <c r="UYW45" s="2"/>
      <c r="UYX45" s="2"/>
      <c r="UYY45" s="2"/>
      <c r="UYZ45" s="2"/>
      <c r="UZA45" s="2"/>
      <c r="UZB45" s="2"/>
      <c r="UZC45" s="2"/>
      <c r="UZD45" s="2"/>
      <c r="UZE45" s="2"/>
      <c r="UZF45" s="2"/>
      <c r="UZG45" s="2"/>
      <c r="UZH45" s="2"/>
      <c r="UZI45" s="2"/>
      <c r="UZJ45" s="2"/>
      <c r="UZK45" s="2"/>
      <c r="UZL45" s="2"/>
      <c r="UZM45" s="2"/>
      <c r="UZN45" s="2"/>
      <c r="UZO45" s="2"/>
      <c r="UZP45" s="2"/>
      <c r="UZQ45" s="2"/>
      <c r="UZR45" s="2"/>
      <c r="UZS45" s="2"/>
      <c r="UZT45" s="2"/>
      <c r="UZU45" s="2"/>
      <c r="UZV45" s="2"/>
      <c r="UZW45" s="2"/>
      <c r="UZX45" s="2"/>
      <c r="UZY45" s="2"/>
      <c r="UZZ45" s="2"/>
      <c r="VAA45" s="2"/>
      <c r="VAB45" s="2"/>
      <c r="VAC45" s="2"/>
      <c r="VAD45" s="2"/>
      <c r="VAE45" s="2"/>
      <c r="VAF45" s="2"/>
      <c r="VAG45" s="2"/>
      <c r="VAH45" s="2"/>
      <c r="VAI45" s="2"/>
      <c r="VAJ45" s="2"/>
      <c r="VAK45" s="2"/>
      <c r="VAL45" s="2"/>
      <c r="VAM45" s="2"/>
      <c r="VAN45" s="2"/>
      <c r="VAO45" s="2"/>
      <c r="VAP45" s="2"/>
      <c r="VAQ45" s="2"/>
      <c r="VAR45" s="2"/>
      <c r="VAS45" s="2"/>
      <c r="VAT45" s="2"/>
      <c r="VAU45" s="2"/>
      <c r="VAV45" s="2"/>
      <c r="VAW45" s="2"/>
      <c r="VAX45" s="2"/>
      <c r="VAY45" s="2"/>
      <c r="VAZ45" s="2"/>
      <c r="VBA45" s="2"/>
      <c r="VBB45" s="2"/>
      <c r="VBC45" s="2"/>
      <c r="VBD45" s="2"/>
      <c r="VBE45" s="2"/>
      <c r="VBF45" s="2"/>
      <c r="VBG45" s="2"/>
      <c r="VBH45" s="2"/>
      <c r="VBI45" s="2"/>
      <c r="VBJ45" s="2"/>
      <c r="VBK45" s="2"/>
      <c r="VBL45" s="2"/>
      <c r="VBM45" s="2"/>
      <c r="VBN45" s="2"/>
      <c r="VBO45" s="2"/>
      <c r="VBP45" s="2"/>
      <c r="VBQ45" s="2"/>
      <c r="VBR45" s="2"/>
      <c r="VBS45" s="2"/>
      <c r="VBT45" s="2"/>
      <c r="VBU45" s="2"/>
      <c r="VBV45" s="2"/>
      <c r="VBW45" s="2"/>
      <c r="VBX45" s="2"/>
      <c r="VBY45" s="2"/>
      <c r="VBZ45" s="2"/>
      <c r="VCA45" s="2"/>
      <c r="VCB45" s="2"/>
      <c r="VCC45" s="2"/>
      <c r="VCD45" s="2"/>
      <c r="VCE45" s="2"/>
      <c r="VCF45" s="2"/>
      <c r="VCG45" s="2"/>
      <c r="VCH45" s="2"/>
      <c r="VCI45" s="2"/>
      <c r="VCJ45" s="2"/>
      <c r="VCK45" s="2"/>
      <c r="VCL45" s="2"/>
      <c r="VCM45" s="2"/>
      <c r="VCN45" s="2"/>
      <c r="VCO45" s="2"/>
      <c r="VCP45" s="2"/>
      <c r="VCQ45" s="2"/>
      <c r="VCR45" s="2"/>
      <c r="VCS45" s="2"/>
      <c r="VCT45" s="2"/>
      <c r="VCU45" s="2"/>
      <c r="VCV45" s="2"/>
      <c r="VCW45" s="2"/>
      <c r="VCX45" s="2"/>
      <c r="VCY45" s="2"/>
      <c r="VCZ45" s="2"/>
      <c r="VDA45" s="2"/>
      <c r="VDB45" s="2"/>
      <c r="VDC45" s="2"/>
      <c r="VDD45" s="2"/>
      <c r="VDE45" s="2"/>
      <c r="VDF45" s="2"/>
      <c r="VDG45" s="2"/>
      <c r="VDH45" s="2"/>
      <c r="VDI45" s="2"/>
      <c r="VDJ45" s="2"/>
      <c r="VDK45" s="2"/>
      <c r="VDL45" s="2"/>
      <c r="VDM45" s="2"/>
      <c r="VDN45" s="2"/>
      <c r="VDO45" s="2"/>
      <c r="VDP45" s="2"/>
      <c r="VDQ45" s="2"/>
      <c r="VDR45" s="2"/>
      <c r="VDS45" s="2"/>
      <c r="VDT45" s="2"/>
      <c r="VDU45" s="2"/>
      <c r="VDV45" s="2"/>
      <c r="VDW45" s="2"/>
      <c r="VDX45" s="2"/>
      <c r="VDY45" s="2"/>
      <c r="VDZ45" s="2"/>
      <c r="VEA45" s="2"/>
      <c r="VEB45" s="2"/>
      <c r="VEC45" s="2"/>
      <c r="VED45" s="2"/>
      <c r="VEE45" s="2"/>
      <c r="VEF45" s="2"/>
      <c r="VEG45" s="2"/>
      <c r="VEH45" s="2"/>
      <c r="VEI45" s="2"/>
      <c r="VEJ45" s="2"/>
      <c r="VEK45" s="2"/>
      <c r="VEL45" s="2"/>
      <c r="VEM45" s="2"/>
      <c r="VEN45" s="2"/>
      <c r="VEO45" s="2"/>
      <c r="VEP45" s="2"/>
      <c r="VEQ45" s="2"/>
      <c r="VER45" s="2"/>
      <c r="VES45" s="2"/>
      <c r="VET45" s="2"/>
      <c r="VEU45" s="2"/>
      <c r="VEV45" s="2"/>
      <c r="VEW45" s="2"/>
      <c r="VEX45" s="2"/>
      <c r="VEY45" s="2"/>
      <c r="VEZ45" s="2"/>
      <c r="VFA45" s="2"/>
      <c r="VFB45" s="2"/>
      <c r="VFC45" s="2"/>
      <c r="VFD45" s="2"/>
      <c r="VFE45" s="2"/>
      <c r="VFF45" s="2"/>
      <c r="VFG45" s="2"/>
      <c r="VFH45" s="2"/>
      <c r="VFI45" s="2"/>
      <c r="VFJ45" s="2"/>
      <c r="VFK45" s="2"/>
      <c r="VFL45" s="2"/>
      <c r="VFM45" s="2"/>
      <c r="VFN45" s="2"/>
      <c r="VFO45" s="2"/>
      <c r="VFP45" s="2"/>
      <c r="VFQ45" s="2"/>
      <c r="VFR45" s="2"/>
      <c r="VFS45" s="2"/>
      <c r="VFT45" s="2"/>
      <c r="VFU45" s="2"/>
      <c r="VFV45" s="2"/>
      <c r="VFW45" s="2"/>
      <c r="VFX45" s="2"/>
      <c r="VFY45" s="2"/>
      <c r="VFZ45" s="2"/>
      <c r="VGA45" s="2"/>
      <c r="VGB45" s="2"/>
      <c r="VGC45" s="2"/>
      <c r="VGD45" s="2"/>
      <c r="VGE45" s="2"/>
      <c r="VGF45" s="2"/>
      <c r="VGG45" s="2"/>
      <c r="VGH45" s="2"/>
      <c r="VGI45" s="2"/>
      <c r="VGJ45" s="2"/>
      <c r="VGK45" s="2"/>
      <c r="VGL45" s="2"/>
      <c r="VGM45" s="2"/>
      <c r="VGN45" s="2"/>
      <c r="VGO45" s="2"/>
      <c r="VGP45" s="2"/>
      <c r="VGQ45" s="2"/>
      <c r="VGR45" s="2"/>
      <c r="VGS45" s="2"/>
      <c r="VGT45" s="2"/>
      <c r="VGU45" s="2"/>
      <c r="VGV45" s="2"/>
      <c r="VGW45" s="2"/>
      <c r="VGX45" s="2"/>
    </row>
    <row r="46" spans="1:15126" x14ac:dyDescent="0.25">
      <c r="B46" s="223"/>
      <c r="C46" s="119" t="s">
        <v>85</v>
      </c>
      <c r="D46" s="123">
        <f>SUM(D47:D48)</f>
        <v>0</v>
      </c>
      <c r="E46" s="224" t="s">
        <v>16</v>
      </c>
      <c r="F46" s="110">
        <f>F47+F48</f>
        <v>433819</v>
      </c>
      <c r="G46" s="110">
        <f t="shared" ref="G46:AI46" si="10">G47+G48</f>
        <v>0</v>
      </c>
      <c r="H46" s="110">
        <f t="shared" si="10"/>
        <v>0</v>
      </c>
      <c r="I46" s="110">
        <f t="shared" si="10"/>
        <v>0</v>
      </c>
      <c r="J46" s="110">
        <f t="shared" si="10"/>
        <v>0</v>
      </c>
      <c r="K46" s="110">
        <f t="shared" si="10"/>
        <v>0</v>
      </c>
      <c r="L46" s="110">
        <f t="shared" si="10"/>
        <v>0</v>
      </c>
      <c r="M46" s="110">
        <f t="shared" si="10"/>
        <v>0</v>
      </c>
      <c r="N46" s="110">
        <f t="shared" si="10"/>
        <v>0</v>
      </c>
      <c r="O46" s="110">
        <f t="shared" si="10"/>
        <v>0</v>
      </c>
      <c r="P46" s="110">
        <f t="shared" si="10"/>
        <v>0</v>
      </c>
      <c r="Q46" s="110">
        <f t="shared" si="10"/>
        <v>0</v>
      </c>
      <c r="R46" s="110">
        <f t="shared" si="10"/>
        <v>0</v>
      </c>
      <c r="S46" s="110">
        <f t="shared" si="10"/>
        <v>0</v>
      </c>
      <c r="T46" s="110">
        <f t="shared" si="10"/>
        <v>0</v>
      </c>
      <c r="U46" s="110">
        <f t="shared" si="10"/>
        <v>0</v>
      </c>
      <c r="V46" s="110">
        <f t="shared" si="10"/>
        <v>0</v>
      </c>
      <c r="W46" s="110">
        <f t="shared" si="10"/>
        <v>0</v>
      </c>
      <c r="X46" s="110">
        <f t="shared" si="10"/>
        <v>0</v>
      </c>
      <c r="Y46" s="110">
        <f t="shared" si="10"/>
        <v>0</v>
      </c>
      <c r="Z46" s="110">
        <f t="shared" si="10"/>
        <v>0</v>
      </c>
      <c r="AA46" s="110">
        <f t="shared" si="10"/>
        <v>0</v>
      </c>
      <c r="AB46" s="110">
        <f t="shared" si="10"/>
        <v>0</v>
      </c>
      <c r="AC46" s="110">
        <f t="shared" si="10"/>
        <v>0</v>
      </c>
      <c r="AD46" s="110">
        <f t="shared" si="10"/>
        <v>0</v>
      </c>
      <c r="AE46" s="110">
        <f t="shared" si="10"/>
        <v>0</v>
      </c>
      <c r="AF46" s="110">
        <f t="shared" si="10"/>
        <v>0</v>
      </c>
      <c r="AG46" s="110">
        <f t="shared" si="10"/>
        <v>0</v>
      </c>
      <c r="AH46" s="110">
        <f t="shared" si="10"/>
        <v>0</v>
      </c>
      <c r="AI46" s="219">
        <f t="shared" si="10"/>
        <v>0</v>
      </c>
      <c r="AJ46" s="9"/>
      <c r="AK46" s="308">
        <f>SUM(F46:AI46)</f>
        <v>433819</v>
      </c>
      <c r="AL46" s="4"/>
    </row>
    <row r="47" spans="1:15126" x14ac:dyDescent="0.25">
      <c r="B47" s="223"/>
      <c r="C47" s="119" t="s">
        <v>133</v>
      </c>
      <c r="D47" s="123"/>
      <c r="E47" s="224" t="s">
        <v>16</v>
      </c>
      <c r="F47" s="110">
        <v>329163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352"/>
      <c r="AH47" s="352"/>
      <c r="AI47" s="219"/>
      <c r="AJ47" s="9"/>
      <c r="AK47" s="308">
        <f>SUM(F47:AI47)</f>
        <v>329163</v>
      </c>
      <c r="AL47" s="4"/>
    </row>
    <row r="48" spans="1:15126" x14ac:dyDescent="0.25">
      <c r="B48" s="223"/>
      <c r="C48" s="119" t="s">
        <v>83</v>
      </c>
      <c r="D48" s="123"/>
      <c r="E48" s="224" t="s">
        <v>16</v>
      </c>
      <c r="F48" s="110">
        <f>354856-250200</f>
        <v>104656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226"/>
      <c r="AB48" s="110"/>
      <c r="AC48" s="110"/>
      <c r="AD48" s="110"/>
      <c r="AE48" s="110"/>
      <c r="AF48" s="110"/>
      <c r="AG48" s="352"/>
      <c r="AH48" s="352"/>
      <c r="AI48" s="219"/>
      <c r="AJ48" s="9"/>
      <c r="AK48" s="308">
        <f>SUM(F48:AI48)</f>
        <v>104656</v>
      </c>
      <c r="AL48" s="4"/>
    </row>
    <row r="49" spans="1:15078" x14ac:dyDescent="0.25">
      <c r="B49" s="223"/>
      <c r="C49" s="120" t="s">
        <v>139</v>
      </c>
      <c r="D49" s="124"/>
      <c r="E49" s="225"/>
      <c r="F49" s="103"/>
      <c r="G49" s="103"/>
      <c r="H49" s="103"/>
      <c r="I49" s="125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26"/>
      <c r="Z49" s="127"/>
      <c r="AA49" s="128"/>
      <c r="AB49" s="126"/>
      <c r="AC49" s="126"/>
      <c r="AD49" s="126"/>
      <c r="AE49" s="126"/>
      <c r="AF49" s="126"/>
      <c r="AG49" s="356"/>
      <c r="AH49" s="356"/>
      <c r="AI49" s="227"/>
      <c r="AJ49" s="9"/>
      <c r="AK49" s="122" t="s">
        <v>71</v>
      </c>
      <c r="AL49" s="4"/>
    </row>
    <row r="50" spans="1:15078" s="132" customFormat="1" x14ac:dyDescent="0.2">
      <c r="A50" s="44"/>
      <c r="B50" s="228"/>
      <c r="C50" s="129" t="s">
        <v>81</v>
      </c>
      <c r="D50" s="130"/>
      <c r="E50" s="229" t="s">
        <v>16</v>
      </c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>
        <v>498555</v>
      </c>
      <c r="U50" s="110"/>
      <c r="V50" s="110"/>
      <c r="W50" s="110"/>
      <c r="X50" s="110"/>
      <c r="Y50" s="110"/>
      <c r="Z50" s="110"/>
      <c r="AA50" s="110"/>
      <c r="AB50" s="110"/>
      <c r="AC50" s="110">
        <v>260205</v>
      </c>
      <c r="AD50" s="131"/>
      <c r="AE50" s="131"/>
      <c r="AF50" s="131"/>
      <c r="AG50" s="357">
        <v>204573</v>
      </c>
      <c r="AH50" s="357">
        <v>528494</v>
      </c>
      <c r="AI50" s="230">
        <v>85531</v>
      </c>
      <c r="AJ50" s="36"/>
      <c r="AK50" s="310">
        <f>SUM(F50:AI50)</f>
        <v>1577358</v>
      </c>
      <c r="AL50" s="13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13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  <c r="EY50" s="44"/>
      <c r="EZ50" s="44"/>
      <c r="FA50" s="44"/>
      <c r="FB50" s="44"/>
      <c r="FC50" s="44"/>
      <c r="FD50" s="44"/>
      <c r="FE50" s="44"/>
      <c r="FF50" s="44"/>
      <c r="FG50" s="44"/>
      <c r="FH50" s="44"/>
      <c r="FI50" s="44"/>
      <c r="FJ50" s="44"/>
      <c r="FK50" s="44"/>
      <c r="FL50" s="44"/>
      <c r="FM50" s="44"/>
      <c r="FN50" s="44"/>
      <c r="FO50" s="44"/>
      <c r="FP50" s="44"/>
      <c r="FQ50" s="44"/>
      <c r="FR50" s="44"/>
      <c r="FS50" s="44"/>
      <c r="FT50" s="44"/>
      <c r="FU50" s="44"/>
      <c r="FV50" s="44"/>
      <c r="FW50" s="44"/>
      <c r="FX50" s="44"/>
      <c r="FY50" s="44"/>
      <c r="FZ50" s="44"/>
      <c r="GA50" s="44"/>
      <c r="GB50" s="44"/>
      <c r="GC50" s="44"/>
      <c r="GD50" s="44"/>
      <c r="GE50" s="44"/>
      <c r="GF50" s="44"/>
      <c r="GG50" s="44"/>
      <c r="GH50" s="44"/>
      <c r="GI50" s="44"/>
      <c r="GJ50" s="44"/>
      <c r="GK50" s="44"/>
      <c r="GL50" s="44"/>
      <c r="GM50" s="44"/>
      <c r="GN50" s="44"/>
      <c r="GO50" s="44"/>
      <c r="GP50" s="44"/>
      <c r="GQ50" s="44"/>
      <c r="GR50" s="44"/>
      <c r="GS50" s="44"/>
      <c r="GT50" s="44"/>
      <c r="GU50" s="44"/>
      <c r="GV50" s="44"/>
      <c r="GW50" s="44"/>
      <c r="GX50" s="44"/>
      <c r="GY50" s="44"/>
      <c r="GZ50" s="44"/>
      <c r="HA50" s="44"/>
      <c r="HB50" s="44"/>
      <c r="HC50" s="44"/>
      <c r="HD50" s="44"/>
      <c r="HE50" s="44"/>
      <c r="HF50" s="44"/>
      <c r="HG50" s="44"/>
      <c r="HH50" s="44"/>
      <c r="HI50" s="44"/>
      <c r="HJ50" s="44"/>
      <c r="HK50" s="44"/>
      <c r="HL50" s="44"/>
      <c r="HM50" s="44"/>
      <c r="HN50" s="44"/>
      <c r="HO50" s="44"/>
      <c r="HP50" s="44"/>
      <c r="HQ50" s="44"/>
      <c r="HR50" s="44"/>
      <c r="HS50" s="44"/>
      <c r="HT50" s="44"/>
      <c r="HU50" s="44"/>
      <c r="HV50" s="44"/>
      <c r="HW50" s="44"/>
      <c r="HX50" s="44"/>
      <c r="HY50" s="44"/>
      <c r="HZ50" s="44"/>
      <c r="IA50" s="44"/>
      <c r="IB50" s="44"/>
      <c r="IC50" s="44"/>
      <c r="ID50" s="44"/>
      <c r="IE50" s="44"/>
      <c r="IF50" s="44"/>
      <c r="IG50" s="44"/>
      <c r="IH50" s="44"/>
      <c r="II50" s="44"/>
      <c r="IJ50" s="44"/>
      <c r="IK50" s="44"/>
      <c r="IL50" s="44"/>
      <c r="IM50" s="44"/>
      <c r="IN50" s="44"/>
      <c r="IO50" s="44"/>
      <c r="IP50" s="44"/>
      <c r="IQ50" s="44"/>
      <c r="IR50" s="44"/>
      <c r="IS50" s="44"/>
      <c r="IT50" s="44"/>
      <c r="IU50" s="44"/>
      <c r="IV50" s="44"/>
      <c r="IW50" s="44"/>
      <c r="IX50" s="44"/>
      <c r="IY50" s="44"/>
      <c r="IZ50" s="44"/>
      <c r="JA50" s="44"/>
      <c r="JB50" s="44"/>
      <c r="JC50" s="44"/>
      <c r="JD50" s="44"/>
      <c r="JE50" s="44"/>
      <c r="JF50" s="44"/>
      <c r="JG50" s="44"/>
      <c r="JH50" s="44"/>
      <c r="JI50" s="44"/>
      <c r="JJ50" s="44"/>
      <c r="JK50" s="44"/>
      <c r="JL50" s="44"/>
      <c r="JM50" s="44"/>
      <c r="JN50" s="44"/>
      <c r="JO50" s="44"/>
      <c r="JP50" s="44"/>
      <c r="JQ50" s="44"/>
      <c r="JR50" s="44"/>
      <c r="JS50" s="44"/>
      <c r="JT50" s="44"/>
      <c r="JU50" s="44"/>
      <c r="JV50" s="44"/>
      <c r="JW50" s="44"/>
      <c r="JX50" s="44"/>
      <c r="JY50" s="44"/>
      <c r="JZ50" s="44"/>
      <c r="KA50" s="44"/>
      <c r="KB50" s="44"/>
      <c r="KC50" s="44"/>
      <c r="KD50" s="44"/>
      <c r="KE50" s="44"/>
      <c r="KF50" s="44"/>
      <c r="KG50" s="44"/>
      <c r="KH50" s="44"/>
      <c r="KI50" s="44"/>
      <c r="KJ50" s="44"/>
      <c r="KK50" s="44"/>
      <c r="KL50" s="44"/>
      <c r="KM50" s="44"/>
      <c r="KN50" s="44"/>
      <c r="KO50" s="44"/>
      <c r="KP50" s="44"/>
      <c r="KQ50" s="44"/>
      <c r="KR50" s="44"/>
      <c r="KS50" s="44"/>
      <c r="KT50" s="44"/>
      <c r="KU50" s="44"/>
      <c r="KV50" s="44"/>
      <c r="KW50" s="44"/>
      <c r="KX50" s="44"/>
      <c r="KY50" s="44"/>
      <c r="KZ50" s="44"/>
      <c r="LA50" s="44"/>
      <c r="LB50" s="44"/>
      <c r="LC50" s="44"/>
      <c r="LD50" s="44"/>
      <c r="LE50" s="44"/>
      <c r="LF50" s="44"/>
      <c r="LG50" s="44"/>
      <c r="LH50" s="44"/>
      <c r="LI50" s="44"/>
      <c r="LJ50" s="44"/>
      <c r="LK50" s="44"/>
      <c r="LL50" s="44"/>
      <c r="LM50" s="44"/>
      <c r="LN50" s="44"/>
      <c r="LO50" s="44"/>
      <c r="LP50" s="44"/>
      <c r="LQ50" s="44"/>
      <c r="LR50" s="44"/>
      <c r="LS50" s="44"/>
      <c r="LT50" s="44"/>
      <c r="LU50" s="44"/>
      <c r="LV50" s="44"/>
      <c r="LW50" s="44"/>
      <c r="LX50" s="44"/>
      <c r="LY50" s="44"/>
      <c r="LZ50" s="44"/>
      <c r="MA50" s="44"/>
      <c r="MB50" s="44"/>
      <c r="MC50" s="44"/>
      <c r="MD50" s="44"/>
      <c r="ME50" s="44"/>
      <c r="MF50" s="44"/>
      <c r="MG50" s="44"/>
      <c r="MH50" s="44"/>
      <c r="MI50" s="44"/>
      <c r="MJ50" s="44"/>
      <c r="MK50" s="44"/>
      <c r="ML50" s="44"/>
      <c r="MM50" s="44"/>
      <c r="MN50" s="44"/>
      <c r="MO50" s="44"/>
      <c r="MP50" s="44"/>
      <c r="MQ50" s="44"/>
      <c r="MR50" s="44"/>
      <c r="MS50" s="44"/>
      <c r="MT50" s="44"/>
      <c r="MU50" s="44"/>
      <c r="MV50" s="44"/>
      <c r="MW50" s="44"/>
      <c r="MX50" s="44"/>
      <c r="MY50" s="44"/>
      <c r="MZ50" s="44"/>
      <c r="NA50" s="44"/>
      <c r="NB50" s="44"/>
      <c r="NC50" s="44"/>
      <c r="ND50" s="44"/>
      <c r="NE50" s="44"/>
      <c r="NF50" s="44"/>
      <c r="NG50" s="44"/>
      <c r="NH50" s="44"/>
      <c r="NI50" s="44"/>
      <c r="NJ50" s="44"/>
      <c r="NK50" s="44"/>
      <c r="NL50" s="44"/>
      <c r="NM50" s="44"/>
      <c r="NN50" s="44"/>
      <c r="NO50" s="44"/>
      <c r="NP50" s="44"/>
      <c r="NQ50" s="44"/>
      <c r="NR50" s="44"/>
      <c r="NS50" s="44"/>
      <c r="NT50" s="44"/>
      <c r="NU50" s="44"/>
      <c r="NV50" s="44"/>
      <c r="NW50" s="44"/>
      <c r="NX50" s="44"/>
      <c r="NY50" s="44"/>
      <c r="NZ50" s="44"/>
      <c r="OA50" s="44"/>
      <c r="OB50" s="44"/>
      <c r="OC50" s="44"/>
      <c r="OD50" s="44"/>
      <c r="OE50" s="44"/>
      <c r="OF50" s="44"/>
      <c r="OG50" s="44"/>
      <c r="OH50" s="44"/>
      <c r="OI50" s="44"/>
      <c r="OJ50" s="44"/>
      <c r="OK50" s="44"/>
      <c r="OL50" s="44"/>
      <c r="OM50" s="44"/>
      <c r="ON50" s="44"/>
      <c r="OO50" s="44"/>
      <c r="OP50" s="44"/>
      <c r="OQ50" s="44"/>
      <c r="OR50" s="44"/>
      <c r="OS50" s="44"/>
      <c r="OT50" s="44"/>
      <c r="OU50" s="44"/>
      <c r="OV50" s="44"/>
      <c r="OW50" s="44"/>
      <c r="OX50" s="44"/>
      <c r="OY50" s="44"/>
      <c r="OZ50" s="44"/>
      <c r="PA50" s="44"/>
      <c r="PB50" s="44"/>
      <c r="PC50" s="44"/>
      <c r="PD50" s="44"/>
      <c r="PE50" s="44"/>
      <c r="PF50" s="44"/>
      <c r="PG50" s="44"/>
      <c r="PH50" s="44"/>
      <c r="PI50" s="44"/>
      <c r="PJ50" s="44"/>
      <c r="PK50" s="44"/>
      <c r="PL50" s="44"/>
      <c r="PM50" s="44"/>
      <c r="PN50" s="44"/>
      <c r="PO50" s="44"/>
      <c r="PP50" s="44"/>
      <c r="PQ50" s="44"/>
      <c r="PR50" s="44"/>
      <c r="PS50" s="44"/>
      <c r="PT50" s="44"/>
      <c r="PU50" s="44"/>
      <c r="PV50" s="44"/>
      <c r="PW50" s="44"/>
      <c r="PX50" s="44"/>
      <c r="PY50" s="44"/>
      <c r="PZ50" s="44"/>
      <c r="QA50" s="44"/>
      <c r="QB50" s="44"/>
      <c r="QC50" s="44"/>
      <c r="QD50" s="44"/>
      <c r="QE50" s="44"/>
      <c r="QF50" s="44"/>
      <c r="QG50" s="44"/>
      <c r="QH50" s="44"/>
      <c r="QI50" s="44"/>
      <c r="QJ50" s="44"/>
      <c r="QK50" s="44"/>
      <c r="QL50" s="44"/>
      <c r="QM50" s="44"/>
      <c r="QN50" s="44"/>
      <c r="QO50" s="44"/>
      <c r="QP50" s="44"/>
      <c r="QQ50" s="44"/>
      <c r="QR50" s="44"/>
      <c r="QS50" s="44"/>
      <c r="QT50" s="44"/>
      <c r="QU50" s="44"/>
      <c r="QV50" s="44"/>
      <c r="QW50" s="44"/>
      <c r="QX50" s="44"/>
      <c r="QY50" s="44"/>
      <c r="QZ50" s="44"/>
      <c r="RA50" s="44"/>
      <c r="RB50" s="44"/>
      <c r="RC50" s="44"/>
      <c r="RD50" s="44"/>
      <c r="RE50" s="44"/>
      <c r="RF50" s="44"/>
      <c r="RG50" s="44"/>
      <c r="RH50" s="44"/>
      <c r="RI50" s="44"/>
      <c r="RJ50" s="44"/>
      <c r="RK50" s="44"/>
      <c r="RL50" s="44"/>
      <c r="RM50" s="44"/>
      <c r="RN50" s="44"/>
      <c r="RO50" s="44"/>
      <c r="RP50" s="44"/>
      <c r="RQ50" s="44"/>
      <c r="RR50" s="44"/>
      <c r="RS50" s="44"/>
      <c r="RT50" s="44"/>
      <c r="RU50" s="44"/>
      <c r="RV50" s="44"/>
      <c r="RW50" s="44"/>
      <c r="RX50" s="44"/>
      <c r="RY50" s="44"/>
      <c r="RZ50" s="44"/>
      <c r="SA50" s="44"/>
      <c r="SB50" s="44"/>
      <c r="SC50" s="44"/>
      <c r="SD50" s="44"/>
      <c r="SE50" s="44"/>
      <c r="SF50" s="44"/>
      <c r="SG50" s="44"/>
      <c r="SH50" s="44"/>
      <c r="SI50" s="44"/>
      <c r="SJ50" s="44"/>
      <c r="SK50" s="44"/>
      <c r="SL50" s="44"/>
      <c r="SM50" s="44"/>
      <c r="SN50" s="44"/>
      <c r="SO50" s="44"/>
      <c r="SP50" s="44"/>
      <c r="SQ50" s="44"/>
      <c r="SR50" s="44"/>
      <c r="SS50" s="44"/>
      <c r="ST50" s="44"/>
      <c r="SU50" s="44"/>
      <c r="SV50" s="44"/>
      <c r="SW50" s="44"/>
      <c r="SX50" s="44"/>
      <c r="SY50" s="44"/>
      <c r="SZ50" s="44"/>
      <c r="TA50" s="44"/>
      <c r="TB50" s="44"/>
      <c r="TC50" s="44"/>
      <c r="TD50" s="44"/>
      <c r="TE50" s="44"/>
      <c r="TF50" s="44"/>
      <c r="TG50" s="44"/>
      <c r="TH50" s="44"/>
      <c r="TI50" s="44"/>
      <c r="TJ50" s="44"/>
      <c r="TK50" s="44"/>
      <c r="TL50" s="44"/>
      <c r="TM50" s="44"/>
      <c r="TN50" s="44"/>
      <c r="TO50" s="44"/>
      <c r="TP50" s="44"/>
      <c r="TQ50" s="44"/>
      <c r="TR50" s="44"/>
      <c r="TS50" s="44"/>
      <c r="TT50" s="44"/>
      <c r="TU50" s="44"/>
      <c r="TV50" s="44"/>
      <c r="TW50" s="44"/>
      <c r="TX50" s="44"/>
      <c r="TY50" s="44"/>
      <c r="TZ50" s="44"/>
      <c r="UA50" s="44"/>
      <c r="UB50" s="44"/>
      <c r="UC50" s="44"/>
      <c r="UD50" s="44"/>
      <c r="UE50" s="44"/>
      <c r="UF50" s="44"/>
      <c r="UG50" s="44"/>
      <c r="UH50" s="44"/>
      <c r="UI50" s="44"/>
      <c r="UJ50" s="44"/>
      <c r="UK50" s="44"/>
      <c r="UL50" s="44"/>
      <c r="UM50" s="44"/>
      <c r="UN50" s="44"/>
      <c r="UO50" s="44"/>
      <c r="UP50" s="44"/>
      <c r="UQ50" s="44"/>
      <c r="UR50" s="44"/>
      <c r="US50" s="44"/>
      <c r="UT50" s="44"/>
      <c r="UU50" s="44"/>
      <c r="UV50" s="44"/>
      <c r="UW50" s="44"/>
      <c r="UX50" s="44"/>
      <c r="UY50" s="44"/>
      <c r="UZ50" s="44"/>
      <c r="VA50" s="44"/>
      <c r="VB50" s="44"/>
      <c r="VC50" s="44"/>
      <c r="VD50" s="44"/>
      <c r="VE50" s="44"/>
      <c r="VF50" s="44"/>
      <c r="VG50" s="44"/>
      <c r="VH50" s="44"/>
      <c r="VI50" s="44"/>
      <c r="VJ50" s="44"/>
      <c r="VK50" s="44"/>
      <c r="VL50" s="44"/>
      <c r="VM50" s="44"/>
      <c r="VN50" s="44"/>
      <c r="VO50" s="44"/>
      <c r="VP50" s="44"/>
      <c r="VQ50" s="44"/>
      <c r="VR50" s="44"/>
      <c r="VS50" s="44"/>
      <c r="VT50" s="44"/>
      <c r="VU50" s="44"/>
      <c r="VV50" s="44"/>
      <c r="VW50" s="44"/>
      <c r="VX50" s="44"/>
      <c r="VY50" s="44"/>
      <c r="VZ50" s="44"/>
      <c r="WA50" s="44"/>
      <c r="WB50" s="44"/>
      <c r="WC50" s="44"/>
      <c r="WD50" s="44"/>
      <c r="WE50" s="44"/>
      <c r="WF50" s="44"/>
      <c r="WG50" s="44"/>
      <c r="WH50" s="44"/>
      <c r="WI50" s="44"/>
      <c r="WJ50" s="44"/>
      <c r="WK50" s="44"/>
      <c r="WL50" s="44"/>
      <c r="WM50" s="44"/>
      <c r="WN50" s="44"/>
      <c r="WO50" s="44"/>
      <c r="WP50" s="44"/>
      <c r="WQ50" s="44"/>
      <c r="WR50" s="44"/>
      <c r="WS50" s="44"/>
      <c r="WT50" s="44"/>
      <c r="WU50" s="44"/>
      <c r="WV50" s="44"/>
      <c r="WW50" s="44"/>
      <c r="WX50" s="44"/>
      <c r="WY50" s="44"/>
      <c r="WZ50" s="44"/>
      <c r="XA50" s="44"/>
      <c r="XB50" s="44"/>
      <c r="XC50" s="44"/>
      <c r="XD50" s="44"/>
      <c r="XE50" s="44"/>
      <c r="XF50" s="44"/>
      <c r="XG50" s="44"/>
      <c r="XH50" s="44"/>
      <c r="XI50" s="44"/>
      <c r="XJ50" s="44"/>
      <c r="XK50" s="44"/>
      <c r="XL50" s="44"/>
      <c r="XM50" s="44"/>
      <c r="XN50" s="44"/>
      <c r="XO50" s="44"/>
      <c r="XP50" s="44"/>
      <c r="XQ50" s="44"/>
      <c r="XR50" s="44"/>
      <c r="XS50" s="44"/>
      <c r="XT50" s="44"/>
      <c r="XU50" s="44"/>
      <c r="XV50" s="44"/>
      <c r="XW50" s="44"/>
      <c r="XX50" s="44"/>
      <c r="XY50" s="44"/>
      <c r="XZ50" s="44"/>
      <c r="YA50" s="44"/>
      <c r="YB50" s="44"/>
      <c r="YC50" s="44"/>
      <c r="YD50" s="44"/>
      <c r="YE50" s="44"/>
      <c r="YF50" s="44"/>
      <c r="YG50" s="44"/>
      <c r="YH50" s="44"/>
      <c r="YI50" s="44"/>
      <c r="YJ50" s="44"/>
      <c r="YK50" s="44"/>
      <c r="YL50" s="44"/>
      <c r="YM50" s="44"/>
      <c r="YN50" s="44"/>
      <c r="YO50" s="44"/>
      <c r="YP50" s="44"/>
      <c r="YQ50" s="44"/>
      <c r="YR50" s="44"/>
      <c r="YS50" s="44"/>
      <c r="YT50" s="44"/>
      <c r="YU50" s="44"/>
      <c r="YV50" s="44"/>
      <c r="YW50" s="44"/>
      <c r="YX50" s="44"/>
      <c r="YY50" s="44"/>
      <c r="YZ50" s="44"/>
      <c r="ZA50" s="44"/>
      <c r="ZB50" s="44"/>
      <c r="ZC50" s="44"/>
      <c r="ZD50" s="44"/>
      <c r="ZE50" s="44"/>
      <c r="ZF50" s="44"/>
      <c r="ZG50" s="44"/>
      <c r="ZH50" s="44"/>
      <c r="ZI50" s="44"/>
      <c r="ZJ50" s="44"/>
      <c r="ZK50" s="44"/>
      <c r="ZL50" s="44"/>
      <c r="ZM50" s="44"/>
      <c r="ZN50" s="44"/>
      <c r="ZO50" s="44"/>
      <c r="ZP50" s="44"/>
      <c r="ZQ50" s="44"/>
      <c r="ZR50" s="44"/>
      <c r="ZS50" s="44"/>
      <c r="ZT50" s="44"/>
      <c r="ZU50" s="44"/>
      <c r="ZV50" s="44"/>
      <c r="ZW50" s="44"/>
      <c r="ZX50" s="44"/>
      <c r="ZY50" s="44"/>
      <c r="ZZ50" s="44"/>
      <c r="AAA50" s="44"/>
      <c r="AAB50" s="44"/>
      <c r="AAC50" s="44"/>
      <c r="AAD50" s="44"/>
      <c r="AAE50" s="44"/>
      <c r="AAF50" s="44"/>
      <c r="AAG50" s="44"/>
      <c r="AAH50" s="44"/>
      <c r="AAI50" s="44"/>
      <c r="AAJ50" s="44"/>
      <c r="AAK50" s="44"/>
      <c r="AAL50" s="44"/>
      <c r="AAM50" s="44"/>
      <c r="AAN50" s="44"/>
      <c r="AAO50" s="44"/>
      <c r="AAP50" s="44"/>
      <c r="AAQ50" s="44"/>
      <c r="AAR50" s="44"/>
      <c r="AAS50" s="44"/>
      <c r="AAT50" s="44"/>
      <c r="AAU50" s="44"/>
      <c r="AAV50" s="44"/>
      <c r="AAW50" s="44"/>
      <c r="AAX50" s="44"/>
      <c r="AAY50" s="44"/>
      <c r="AAZ50" s="44"/>
      <c r="ABA50" s="44"/>
      <c r="ABB50" s="44"/>
      <c r="ABC50" s="44"/>
      <c r="ABD50" s="44"/>
      <c r="ABE50" s="44"/>
      <c r="ABF50" s="44"/>
      <c r="ABG50" s="44"/>
      <c r="ABH50" s="44"/>
      <c r="ABI50" s="44"/>
      <c r="ABJ50" s="44"/>
      <c r="ABK50" s="44"/>
      <c r="ABL50" s="44"/>
      <c r="ABM50" s="44"/>
      <c r="ABN50" s="44"/>
      <c r="ABO50" s="44"/>
      <c r="ABP50" s="44"/>
      <c r="ABQ50" s="44"/>
      <c r="ABR50" s="44"/>
      <c r="ABS50" s="44"/>
      <c r="ABT50" s="44"/>
      <c r="ABU50" s="44"/>
      <c r="ABV50" s="44"/>
      <c r="ABW50" s="44"/>
      <c r="ABX50" s="44"/>
      <c r="ABY50" s="44"/>
      <c r="ABZ50" s="44"/>
      <c r="ACA50" s="44"/>
      <c r="ACB50" s="44"/>
      <c r="ACC50" s="44"/>
      <c r="ACD50" s="44"/>
      <c r="ACE50" s="44"/>
      <c r="ACF50" s="44"/>
      <c r="ACG50" s="44"/>
      <c r="ACH50" s="44"/>
      <c r="ACI50" s="44"/>
      <c r="ACJ50" s="44"/>
      <c r="ACK50" s="44"/>
      <c r="ACL50" s="44"/>
      <c r="ACM50" s="44"/>
      <c r="ACN50" s="44"/>
      <c r="ACO50" s="44"/>
      <c r="ACP50" s="44"/>
      <c r="ACQ50" s="44"/>
      <c r="ACR50" s="44"/>
      <c r="ACS50" s="44"/>
      <c r="ACT50" s="44"/>
      <c r="ACU50" s="44"/>
      <c r="ACV50" s="44"/>
      <c r="ACW50" s="44"/>
      <c r="ACX50" s="44"/>
      <c r="ACY50" s="44"/>
      <c r="ACZ50" s="44"/>
      <c r="ADA50" s="44"/>
      <c r="ADB50" s="44"/>
      <c r="ADC50" s="44"/>
      <c r="ADD50" s="44"/>
      <c r="ADE50" s="44"/>
      <c r="ADF50" s="44"/>
      <c r="ADG50" s="44"/>
      <c r="ADH50" s="44"/>
      <c r="ADI50" s="44"/>
      <c r="ADJ50" s="44"/>
      <c r="ADK50" s="44"/>
      <c r="ADL50" s="44"/>
      <c r="ADM50" s="44"/>
      <c r="ADN50" s="44"/>
      <c r="ADO50" s="44"/>
      <c r="ADP50" s="44"/>
      <c r="ADQ50" s="44"/>
      <c r="ADR50" s="44"/>
      <c r="ADS50" s="44"/>
      <c r="ADT50" s="44"/>
      <c r="ADU50" s="44"/>
      <c r="ADV50" s="44"/>
      <c r="ADW50" s="44"/>
      <c r="ADX50" s="44"/>
      <c r="ADY50" s="44"/>
      <c r="ADZ50" s="44"/>
      <c r="AEA50" s="44"/>
      <c r="AEB50" s="44"/>
      <c r="AEC50" s="44"/>
      <c r="AED50" s="44"/>
      <c r="AEE50" s="44"/>
      <c r="AEF50" s="44"/>
      <c r="AEG50" s="44"/>
      <c r="AEH50" s="44"/>
      <c r="AEI50" s="44"/>
      <c r="AEJ50" s="44"/>
      <c r="AEK50" s="44"/>
      <c r="AEL50" s="44"/>
      <c r="AEM50" s="44"/>
      <c r="AEN50" s="44"/>
      <c r="AEO50" s="44"/>
      <c r="AEP50" s="44"/>
      <c r="AEQ50" s="44"/>
      <c r="AER50" s="44"/>
      <c r="AES50" s="44"/>
      <c r="AET50" s="44"/>
      <c r="AEU50" s="44"/>
      <c r="AEV50" s="44"/>
      <c r="AEW50" s="44"/>
      <c r="AEX50" s="44"/>
      <c r="AEY50" s="44"/>
      <c r="AEZ50" s="44"/>
      <c r="AFA50" s="44"/>
      <c r="AFB50" s="44"/>
      <c r="AFC50" s="44"/>
      <c r="AFD50" s="44"/>
      <c r="AFE50" s="44"/>
      <c r="AFF50" s="44"/>
      <c r="AFG50" s="44"/>
      <c r="AFH50" s="44"/>
      <c r="AFI50" s="44"/>
      <c r="AFJ50" s="44"/>
      <c r="AFK50" s="44"/>
      <c r="AFL50" s="44"/>
      <c r="AFM50" s="44"/>
      <c r="AFN50" s="44"/>
      <c r="AFO50" s="44"/>
      <c r="AFP50" s="44"/>
      <c r="AFQ50" s="44"/>
      <c r="AFR50" s="44"/>
      <c r="AFS50" s="44"/>
      <c r="AFT50" s="44"/>
      <c r="AFU50" s="44"/>
      <c r="AFV50" s="44"/>
      <c r="AFW50" s="44"/>
      <c r="AFX50" s="44"/>
      <c r="AFY50" s="44"/>
      <c r="AFZ50" s="44"/>
      <c r="AGA50" s="44"/>
      <c r="AGB50" s="44"/>
      <c r="AGC50" s="44"/>
      <c r="AGD50" s="44"/>
      <c r="AGE50" s="44"/>
      <c r="AGF50" s="44"/>
      <c r="AGG50" s="44"/>
      <c r="AGH50" s="44"/>
      <c r="AGI50" s="44"/>
      <c r="AGJ50" s="44"/>
      <c r="AGK50" s="44"/>
      <c r="AGL50" s="44"/>
      <c r="AGM50" s="44"/>
      <c r="AGN50" s="44"/>
      <c r="AGO50" s="44"/>
      <c r="AGP50" s="44"/>
      <c r="AGQ50" s="44"/>
      <c r="AGR50" s="44"/>
      <c r="AGS50" s="44"/>
      <c r="AGT50" s="44"/>
      <c r="AGU50" s="44"/>
      <c r="AGV50" s="44"/>
      <c r="AGW50" s="44"/>
      <c r="AGX50" s="44"/>
      <c r="AGY50" s="44"/>
      <c r="AGZ50" s="44"/>
      <c r="AHA50" s="44"/>
      <c r="AHB50" s="44"/>
      <c r="AHC50" s="44"/>
      <c r="AHD50" s="44"/>
      <c r="AHE50" s="44"/>
      <c r="AHF50" s="44"/>
      <c r="AHG50" s="44"/>
      <c r="AHH50" s="44"/>
      <c r="AHI50" s="44"/>
      <c r="AHJ50" s="44"/>
      <c r="AHK50" s="44"/>
      <c r="AHL50" s="44"/>
      <c r="AHM50" s="44"/>
      <c r="AHN50" s="44"/>
      <c r="AHO50" s="44"/>
      <c r="AHP50" s="44"/>
      <c r="AHQ50" s="44"/>
      <c r="AHR50" s="44"/>
      <c r="AHS50" s="44"/>
      <c r="AHT50" s="44"/>
      <c r="AHU50" s="44"/>
      <c r="AHV50" s="44"/>
      <c r="AHW50" s="44"/>
      <c r="AHX50" s="44"/>
      <c r="AHY50" s="44"/>
      <c r="AHZ50" s="44"/>
      <c r="AIA50" s="44"/>
      <c r="AIB50" s="44"/>
      <c r="AIC50" s="44"/>
      <c r="AID50" s="44"/>
      <c r="AIE50" s="44"/>
      <c r="AIF50" s="44"/>
      <c r="AIG50" s="44"/>
      <c r="AIH50" s="44"/>
      <c r="AII50" s="44"/>
      <c r="AIJ50" s="44"/>
      <c r="AIK50" s="44"/>
      <c r="AIL50" s="44"/>
      <c r="AIM50" s="44"/>
      <c r="AIN50" s="44"/>
      <c r="AIO50" s="44"/>
      <c r="AIP50" s="44"/>
      <c r="AIQ50" s="44"/>
      <c r="AIR50" s="44"/>
      <c r="AIS50" s="44"/>
      <c r="AIT50" s="44"/>
      <c r="AIU50" s="44"/>
      <c r="AIV50" s="44"/>
      <c r="AIW50" s="44"/>
      <c r="AIX50" s="44"/>
      <c r="AIY50" s="44"/>
      <c r="AIZ50" s="44"/>
      <c r="AJA50" s="44"/>
      <c r="AJB50" s="44"/>
      <c r="AJC50" s="44"/>
      <c r="AJD50" s="44"/>
      <c r="AJE50" s="44"/>
      <c r="AJF50" s="44"/>
      <c r="AJG50" s="44"/>
      <c r="AJH50" s="44"/>
      <c r="AJI50" s="44"/>
      <c r="AJJ50" s="44"/>
      <c r="AJK50" s="44"/>
      <c r="AJL50" s="44"/>
      <c r="AJM50" s="44"/>
      <c r="AJN50" s="44"/>
      <c r="AJO50" s="44"/>
      <c r="AJP50" s="44"/>
      <c r="AJQ50" s="44"/>
      <c r="AJR50" s="44"/>
      <c r="AJS50" s="44"/>
      <c r="AJT50" s="44"/>
      <c r="AJU50" s="44"/>
      <c r="AJV50" s="44"/>
      <c r="AJW50" s="44"/>
      <c r="AJX50" s="44"/>
      <c r="AJY50" s="44"/>
      <c r="AJZ50" s="44"/>
      <c r="AKA50" s="44"/>
      <c r="AKB50" s="44"/>
      <c r="AKC50" s="44"/>
      <c r="AKD50" s="44"/>
      <c r="AKE50" s="44"/>
      <c r="AKF50" s="44"/>
      <c r="AKG50" s="44"/>
      <c r="AKH50" s="44"/>
      <c r="AKI50" s="44"/>
      <c r="AKJ50" s="44"/>
      <c r="AKK50" s="44"/>
      <c r="AKL50" s="44"/>
      <c r="AKM50" s="44"/>
      <c r="AKN50" s="44"/>
      <c r="AKO50" s="44"/>
      <c r="AKP50" s="44"/>
      <c r="AKQ50" s="44"/>
      <c r="AKR50" s="44"/>
      <c r="AKS50" s="44"/>
      <c r="AKT50" s="44"/>
      <c r="AKU50" s="44"/>
      <c r="AKV50" s="44"/>
      <c r="AKW50" s="44"/>
      <c r="AKX50" s="44"/>
      <c r="AKY50" s="44"/>
      <c r="AKZ50" s="44"/>
      <c r="ALA50" s="44"/>
      <c r="ALB50" s="44"/>
      <c r="ALC50" s="44"/>
      <c r="ALD50" s="44"/>
      <c r="ALE50" s="44"/>
      <c r="ALF50" s="44"/>
      <c r="ALG50" s="44"/>
      <c r="ALH50" s="44"/>
      <c r="ALI50" s="44"/>
      <c r="ALJ50" s="44"/>
      <c r="ALK50" s="44"/>
      <c r="ALL50" s="44"/>
      <c r="ALM50" s="44"/>
      <c r="ALN50" s="44"/>
      <c r="ALO50" s="44"/>
      <c r="ALP50" s="44"/>
      <c r="ALQ50" s="44"/>
      <c r="ALR50" s="44"/>
      <c r="ALS50" s="44"/>
      <c r="ALT50" s="44"/>
      <c r="ALU50" s="44"/>
      <c r="ALV50" s="44"/>
      <c r="ALW50" s="44"/>
      <c r="ALX50" s="44"/>
      <c r="ALY50" s="44"/>
      <c r="ALZ50" s="44"/>
      <c r="AMA50" s="44"/>
      <c r="AMB50" s="44"/>
      <c r="AMC50" s="44"/>
      <c r="AMD50" s="44"/>
      <c r="AME50" s="44"/>
      <c r="AMF50" s="44"/>
      <c r="AMG50" s="44"/>
      <c r="AMH50" s="44"/>
      <c r="AMI50" s="44"/>
      <c r="AMJ50" s="44"/>
      <c r="AMK50" s="44"/>
      <c r="AML50" s="44"/>
      <c r="AMM50" s="44"/>
      <c r="AMN50" s="44"/>
      <c r="AMO50" s="44"/>
      <c r="AMP50" s="44"/>
      <c r="AMQ50" s="44"/>
      <c r="AMR50" s="44"/>
      <c r="AMS50" s="44"/>
      <c r="AMT50" s="44"/>
      <c r="AMU50" s="44"/>
      <c r="AMV50" s="44"/>
      <c r="AMW50" s="44"/>
      <c r="AMX50" s="44"/>
      <c r="AMY50" s="44"/>
      <c r="AMZ50" s="44"/>
      <c r="ANA50" s="44"/>
      <c r="ANB50" s="44"/>
      <c r="ANC50" s="44"/>
      <c r="AND50" s="44"/>
      <c r="ANE50" s="44"/>
      <c r="ANF50" s="44"/>
      <c r="ANG50" s="44"/>
      <c r="ANH50" s="44"/>
      <c r="ANI50" s="44"/>
      <c r="ANJ50" s="44"/>
      <c r="ANK50" s="44"/>
      <c r="ANL50" s="44"/>
      <c r="ANM50" s="44"/>
      <c r="ANN50" s="44"/>
      <c r="ANO50" s="44"/>
      <c r="ANP50" s="44"/>
      <c r="ANQ50" s="44"/>
      <c r="ANR50" s="44"/>
      <c r="ANS50" s="44"/>
      <c r="ANT50" s="44"/>
      <c r="ANU50" s="44"/>
      <c r="ANV50" s="44"/>
      <c r="ANW50" s="44"/>
      <c r="ANX50" s="44"/>
      <c r="ANY50" s="44"/>
      <c r="ANZ50" s="44"/>
      <c r="AOA50" s="44"/>
      <c r="AOB50" s="44"/>
      <c r="AOC50" s="44"/>
      <c r="AOD50" s="44"/>
      <c r="AOE50" s="44"/>
      <c r="AOF50" s="44"/>
      <c r="AOG50" s="44"/>
      <c r="AOH50" s="44"/>
      <c r="AOI50" s="44"/>
      <c r="AOJ50" s="44"/>
      <c r="AOK50" s="44"/>
      <c r="AOL50" s="44"/>
      <c r="AOM50" s="44"/>
      <c r="AON50" s="44"/>
      <c r="AOO50" s="44"/>
      <c r="AOP50" s="44"/>
      <c r="AOQ50" s="44"/>
      <c r="AOR50" s="44"/>
      <c r="AOS50" s="44"/>
      <c r="AOT50" s="44"/>
      <c r="AOU50" s="44"/>
      <c r="AOV50" s="44"/>
      <c r="AOW50" s="44"/>
      <c r="AOX50" s="44"/>
      <c r="AOY50" s="44"/>
      <c r="AOZ50" s="44"/>
      <c r="APA50" s="44"/>
      <c r="APB50" s="44"/>
      <c r="APC50" s="44"/>
      <c r="APD50" s="44"/>
      <c r="APE50" s="44"/>
      <c r="APF50" s="44"/>
      <c r="APG50" s="44"/>
      <c r="APH50" s="44"/>
      <c r="API50" s="44"/>
      <c r="APJ50" s="44"/>
      <c r="APK50" s="44"/>
      <c r="APL50" s="44"/>
      <c r="APM50" s="44"/>
      <c r="APN50" s="44"/>
      <c r="APO50" s="44"/>
      <c r="APP50" s="44"/>
      <c r="APQ50" s="44"/>
      <c r="APR50" s="44"/>
      <c r="APS50" s="44"/>
      <c r="APT50" s="44"/>
      <c r="APU50" s="44"/>
      <c r="APV50" s="44"/>
      <c r="APW50" s="44"/>
      <c r="APX50" s="44"/>
      <c r="APY50" s="44"/>
      <c r="APZ50" s="44"/>
      <c r="AQA50" s="44"/>
      <c r="AQB50" s="44"/>
      <c r="AQC50" s="44"/>
      <c r="AQD50" s="44"/>
      <c r="AQE50" s="44"/>
      <c r="AQF50" s="44"/>
      <c r="AQG50" s="44"/>
      <c r="AQH50" s="44"/>
      <c r="AQI50" s="44"/>
      <c r="AQJ50" s="44"/>
      <c r="AQK50" s="44"/>
      <c r="AQL50" s="44"/>
      <c r="AQM50" s="44"/>
      <c r="AQN50" s="44"/>
      <c r="AQO50" s="44"/>
      <c r="AQP50" s="44"/>
      <c r="AQQ50" s="44"/>
      <c r="AQR50" s="44"/>
      <c r="AQS50" s="44"/>
      <c r="AQT50" s="44"/>
      <c r="AQU50" s="44"/>
      <c r="AQV50" s="44"/>
      <c r="AQW50" s="44"/>
      <c r="AQX50" s="44"/>
      <c r="AQY50" s="44"/>
      <c r="AQZ50" s="44"/>
      <c r="ARA50" s="44"/>
      <c r="ARB50" s="44"/>
      <c r="ARC50" s="44"/>
      <c r="ARD50" s="44"/>
      <c r="ARE50" s="44"/>
      <c r="ARF50" s="44"/>
      <c r="ARG50" s="44"/>
      <c r="ARH50" s="44"/>
      <c r="ARI50" s="44"/>
      <c r="ARJ50" s="44"/>
      <c r="ARK50" s="44"/>
      <c r="ARL50" s="44"/>
      <c r="ARM50" s="44"/>
      <c r="ARN50" s="44"/>
      <c r="ARO50" s="44"/>
      <c r="ARP50" s="44"/>
      <c r="ARQ50" s="44"/>
      <c r="ARR50" s="44"/>
      <c r="ARS50" s="44"/>
      <c r="ART50" s="44"/>
      <c r="ARU50" s="44"/>
      <c r="ARV50" s="44"/>
      <c r="ARW50" s="44"/>
      <c r="ARX50" s="44"/>
      <c r="ARY50" s="44"/>
      <c r="ARZ50" s="44"/>
      <c r="ASA50" s="44"/>
      <c r="ASB50" s="44"/>
      <c r="ASC50" s="44"/>
      <c r="ASD50" s="44"/>
      <c r="ASE50" s="44"/>
      <c r="ASF50" s="44"/>
      <c r="ASG50" s="44"/>
      <c r="ASH50" s="44"/>
      <c r="ASI50" s="44"/>
      <c r="ASJ50" s="44"/>
      <c r="ASK50" s="44"/>
      <c r="ASL50" s="44"/>
      <c r="ASM50" s="44"/>
      <c r="ASN50" s="44"/>
      <c r="ASO50" s="44"/>
      <c r="ASP50" s="44"/>
      <c r="ASQ50" s="44"/>
      <c r="ASR50" s="44"/>
      <c r="ASS50" s="44"/>
      <c r="AST50" s="44"/>
      <c r="ASU50" s="44"/>
      <c r="ASV50" s="44"/>
      <c r="ASW50" s="44"/>
      <c r="ASX50" s="44"/>
      <c r="ASY50" s="44"/>
      <c r="ASZ50" s="44"/>
      <c r="ATA50" s="44"/>
      <c r="ATB50" s="44"/>
      <c r="ATC50" s="44"/>
      <c r="ATD50" s="44"/>
      <c r="ATE50" s="44"/>
      <c r="ATF50" s="44"/>
      <c r="ATG50" s="44"/>
      <c r="ATH50" s="44"/>
      <c r="ATI50" s="44"/>
      <c r="ATJ50" s="44"/>
      <c r="ATK50" s="44"/>
      <c r="ATL50" s="44"/>
      <c r="ATM50" s="44"/>
      <c r="ATN50" s="44"/>
      <c r="ATO50" s="44"/>
      <c r="ATP50" s="44"/>
      <c r="ATQ50" s="44"/>
      <c r="ATR50" s="44"/>
      <c r="ATS50" s="44"/>
      <c r="ATT50" s="44"/>
      <c r="ATU50" s="44"/>
      <c r="ATV50" s="44"/>
      <c r="ATW50" s="44"/>
      <c r="ATX50" s="44"/>
      <c r="ATY50" s="44"/>
      <c r="ATZ50" s="44"/>
      <c r="AUA50" s="44"/>
      <c r="AUB50" s="44"/>
      <c r="AUC50" s="44"/>
      <c r="AUD50" s="44"/>
      <c r="AUE50" s="44"/>
      <c r="AUF50" s="44"/>
      <c r="AUG50" s="44"/>
      <c r="AUH50" s="44"/>
      <c r="AUI50" s="44"/>
      <c r="AUJ50" s="44"/>
      <c r="AUK50" s="44"/>
      <c r="AUL50" s="44"/>
      <c r="AUM50" s="44"/>
      <c r="AUN50" s="44"/>
      <c r="AUO50" s="44"/>
      <c r="AUP50" s="44"/>
      <c r="AUQ50" s="44"/>
      <c r="AUR50" s="44"/>
      <c r="AUS50" s="44"/>
      <c r="AUT50" s="44"/>
      <c r="AUU50" s="44"/>
      <c r="AUV50" s="44"/>
      <c r="AUW50" s="44"/>
      <c r="AUX50" s="44"/>
      <c r="AUY50" s="44"/>
      <c r="AUZ50" s="44"/>
      <c r="AVA50" s="44"/>
      <c r="AVB50" s="44"/>
      <c r="AVC50" s="44"/>
      <c r="AVD50" s="44"/>
      <c r="AVE50" s="44"/>
      <c r="AVF50" s="44"/>
      <c r="AVG50" s="44"/>
      <c r="AVH50" s="44"/>
      <c r="AVI50" s="44"/>
      <c r="AVJ50" s="44"/>
      <c r="AVK50" s="44"/>
      <c r="AVL50" s="44"/>
      <c r="AVM50" s="44"/>
      <c r="AVN50" s="44"/>
      <c r="AVO50" s="44"/>
      <c r="AVP50" s="44"/>
      <c r="AVQ50" s="44"/>
      <c r="AVR50" s="44"/>
      <c r="AVS50" s="44"/>
      <c r="AVT50" s="44"/>
      <c r="AVU50" s="44"/>
      <c r="AVV50" s="44"/>
      <c r="AVW50" s="44"/>
      <c r="AVX50" s="44"/>
      <c r="AVY50" s="44"/>
      <c r="AVZ50" s="44"/>
      <c r="AWA50" s="44"/>
      <c r="AWB50" s="44"/>
      <c r="AWC50" s="44"/>
      <c r="AWD50" s="44"/>
      <c r="AWE50" s="44"/>
      <c r="AWF50" s="44"/>
      <c r="AWG50" s="44"/>
      <c r="AWH50" s="44"/>
      <c r="AWI50" s="44"/>
      <c r="AWJ50" s="44"/>
      <c r="AWK50" s="44"/>
      <c r="AWL50" s="44"/>
      <c r="AWM50" s="44"/>
      <c r="AWN50" s="44"/>
      <c r="AWO50" s="44"/>
      <c r="AWP50" s="44"/>
      <c r="AWQ50" s="44"/>
      <c r="AWR50" s="44"/>
      <c r="AWS50" s="44"/>
      <c r="AWT50" s="44"/>
      <c r="AWU50" s="44"/>
      <c r="AWV50" s="44"/>
      <c r="AWW50" s="44"/>
      <c r="AWX50" s="44"/>
      <c r="AWY50" s="44"/>
      <c r="AWZ50" s="44"/>
      <c r="AXA50" s="44"/>
      <c r="AXB50" s="44"/>
      <c r="AXC50" s="44"/>
      <c r="AXD50" s="44"/>
      <c r="AXE50" s="44"/>
      <c r="AXF50" s="44"/>
      <c r="AXG50" s="44"/>
      <c r="AXH50" s="44"/>
      <c r="AXI50" s="44"/>
      <c r="AXJ50" s="44"/>
      <c r="AXK50" s="44"/>
      <c r="AXL50" s="44"/>
      <c r="AXM50" s="44"/>
      <c r="AXN50" s="44"/>
      <c r="AXO50" s="44"/>
      <c r="AXP50" s="44"/>
      <c r="AXQ50" s="44"/>
      <c r="AXR50" s="44"/>
      <c r="AXS50" s="44"/>
      <c r="AXT50" s="44"/>
      <c r="AXU50" s="44"/>
      <c r="AXV50" s="44"/>
      <c r="AXW50" s="44"/>
      <c r="AXX50" s="44"/>
      <c r="AXY50" s="44"/>
      <c r="AXZ50" s="44"/>
      <c r="AYA50" s="44"/>
      <c r="AYB50" s="44"/>
      <c r="AYC50" s="44"/>
      <c r="AYD50" s="44"/>
      <c r="AYE50" s="44"/>
      <c r="AYF50" s="44"/>
      <c r="AYG50" s="44"/>
      <c r="AYH50" s="44"/>
      <c r="AYI50" s="44"/>
      <c r="AYJ50" s="44"/>
      <c r="AYK50" s="44"/>
      <c r="AYL50" s="44"/>
      <c r="AYM50" s="44"/>
      <c r="AYN50" s="44"/>
      <c r="AYO50" s="44"/>
      <c r="AYP50" s="44"/>
      <c r="AYQ50" s="44"/>
      <c r="AYR50" s="44"/>
      <c r="AYS50" s="44"/>
      <c r="AYT50" s="44"/>
      <c r="AYU50" s="44"/>
      <c r="AYV50" s="44"/>
      <c r="AYW50" s="44"/>
      <c r="AYX50" s="44"/>
      <c r="AYY50" s="44"/>
      <c r="AYZ50" s="44"/>
      <c r="AZA50" s="44"/>
      <c r="AZB50" s="44"/>
      <c r="AZC50" s="44"/>
      <c r="AZD50" s="44"/>
      <c r="AZE50" s="44"/>
      <c r="AZF50" s="44"/>
      <c r="AZG50" s="44"/>
      <c r="AZH50" s="44"/>
      <c r="AZI50" s="44"/>
      <c r="AZJ50" s="44"/>
      <c r="AZK50" s="44"/>
      <c r="AZL50" s="44"/>
      <c r="AZM50" s="44"/>
      <c r="AZN50" s="44"/>
      <c r="AZO50" s="44"/>
      <c r="AZP50" s="44"/>
      <c r="AZQ50" s="44"/>
      <c r="AZR50" s="44"/>
      <c r="AZS50" s="44"/>
      <c r="AZT50" s="44"/>
      <c r="AZU50" s="44"/>
      <c r="AZV50" s="44"/>
      <c r="AZW50" s="44"/>
      <c r="AZX50" s="44"/>
      <c r="AZY50" s="44"/>
      <c r="AZZ50" s="44"/>
      <c r="BAA50" s="44"/>
      <c r="BAB50" s="44"/>
      <c r="BAC50" s="44"/>
      <c r="BAD50" s="44"/>
      <c r="BAE50" s="44"/>
      <c r="BAF50" s="44"/>
      <c r="BAG50" s="44"/>
      <c r="BAH50" s="44"/>
      <c r="BAI50" s="44"/>
      <c r="BAJ50" s="44"/>
      <c r="BAK50" s="44"/>
      <c r="BAL50" s="44"/>
      <c r="BAM50" s="44"/>
      <c r="BAN50" s="44"/>
      <c r="BAO50" s="44"/>
      <c r="BAP50" s="44"/>
      <c r="BAQ50" s="44"/>
      <c r="BAR50" s="44"/>
      <c r="BAS50" s="44"/>
      <c r="BAT50" s="44"/>
      <c r="BAU50" s="44"/>
      <c r="BAV50" s="44"/>
      <c r="BAW50" s="44"/>
      <c r="BAX50" s="44"/>
      <c r="BAY50" s="44"/>
      <c r="BAZ50" s="44"/>
      <c r="BBA50" s="44"/>
      <c r="BBB50" s="44"/>
      <c r="BBC50" s="44"/>
      <c r="BBD50" s="44"/>
      <c r="BBE50" s="44"/>
      <c r="BBF50" s="44"/>
      <c r="BBG50" s="44"/>
      <c r="BBH50" s="44"/>
      <c r="BBI50" s="44"/>
      <c r="BBJ50" s="44"/>
      <c r="BBK50" s="44"/>
      <c r="BBL50" s="44"/>
      <c r="BBM50" s="44"/>
      <c r="BBN50" s="44"/>
      <c r="BBO50" s="44"/>
      <c r="BBP50" s="44"/>
      <c r="BBQ50" s="44"/>
      <c r="BBR50" s="44"/>
      <c r="BBS50" s="44"/>
      <c r="BBT50" s="44"/>
      <c r="BBU50" s="44"/>
      <c r="BBV50" s="44"/>
      <c r="BBW50" s="44"/>
      <c r="BBX50" s="44"/>
      <c r="BBY50" s="44"/>
      <c r="BBZ50" s="44"/>
      <c r="BCA50" s="44"/>
      <c r="BCB50" s="44"/>
      <c r="BCC50" s="44"/>
      <c r="BCD50" s="44"/>
      <c r="BCE50" s="44"/>
      <c r="BCF50" s="44"/>
      <c r="BCG50" s="44"/>
      <c r="BCH50" s="44"/>
      <c r="BCI50" s="44"/>
      <c r="BCJ50" s="44"/>
      <c r="BCK50" s="44"/>
      <c r="BCL50" s="44"/>
      <c r="BCM50" s="44"/>
      <c r="BCN50" s="44"/>
      <c r="BCO50" s="44"/>
      <c r="BCP50" s="44"/>
      <c r="BCQ50" s="44"/>
      <c r="BCR50" s="44"/>
      <c r="BCS50" s="44"/>
      <c r="BCT50" s="44"/>
      <c r="BCU50" s="44"/>
      <c r="BCV50" s="44"/>
      <c r="BCW50" s="44"/>
      <c r="BCX50" s="44"/>
      <c r="BCY50" s="44"/>
      <c r="BCZ50" s="44"/>
      <c r="BDA50" s="44"/>
      <c r="BDB50" s="44"/>
      <c r="BDC50" s="44"/>
      <c r="BDD50" s="44"/>
      <c r="BDE50" s="44"/>
      <c r="BDF50" s="44"/>
      <c r="BDG50" s="44"/>
      <c r="BDH50" s="44"/>
      <c r="BDI50" s="44"/>
      <c r="BDJ50" s="44"/>
      <c r="BDK50" s="44"/>
      <c r="BDL50" s="44"/>
      <c r="BDM50" s="44"/>
      <c r="BDN50" s="44"/>
      <c r="BDO50" s="44"/>
      <c r="BDP50" s="44"/>
      <c r="BDQ50" s="44"/>
      <c r="BDR50" s="44"/>
      <c r="BDS50" s="44"/>
      <c r="BDT50" s="44"/>
      <c r="BDU50" s="44"/>
      <c r="BDV50" s="44"/>
      <c r="BDW50" s="44"/>
      <c r="BDX50" s="44"/>
      <c r="BDY50" s="44"/>
      <c r="BDZ50" s="44"/>
      <c r="BEA50" s="44"/>
      <c r="BEB50" s="44"/>
      <c r="BEC50" s="44"/>
      <c r="BED50" s="44"/>
      <c r="BEE50" s="44"/>
      <c r="BEF50" s="44"/>
      <c r="BEG50" s="44"/>
      <c r="BEH50" s="44"/>
      <c r="BEI50" s="44"/>
      <c r="BEJ50" s="44"/>
      <c r="BEK50" s="44"/>
      <c r="BEL50" s="44"/>
      <c r="BEM50" s="44"/>
      <c r="BEN50" s="44"/>
      <c r="BEO50" s="44"/>
      <c r="BEP50" s="44"/>
      <c r="BEQ50" s="44"/>
      <c r="BER50" s="44"/>
      <c r="BES50" s="44"/>
      <c r="BET50" s="44"/>
      <c r="BEU50" s="44"/>
      <c r="BEV50" s="44"/>
      <c r="BEW50" s="44"/>
      <c r="BEX50" s="44"/>
      <c r="BEY50" s="44"/>
      <c r="BEZ50" s="44"/>
      <c r="BFA50" s="44"/>
      <c r="BFB50" s="44"/>
      <c r="BFC50" s="44"/>
      <c r="BFD50" s="44"/>
      <c r="BFE50" s="44"/>
      <c r="BFF50" s="44"/>
      <c r="BFG50" s="44"/>
      <c r="BFH50" s="44"/>
      <c r="BFI50" s="44"/>
      <c r="BFJ50" s="44"/>
      <c r="BFK50" s="44"/>
      <c r="BFL50" s="44"/>
      <c r="BFM50" s="44"/>
      <c r="BFN50" s="44"/>
      <c r="BFO50" s="44"/>
      <c r="BFP50" s="44"/>
      <c r="BFQ50" s="44"/>
      <c r="BFR50" s="44"/>
      <c r="BFS50" s="44"/>
      <c r="BFT50" s="44"/>
      <c r="BFU50" s="44"/>
      <c r="BFV50" s="44"/>
      <c r="BFW50" s="44"/>
      <c r="BFX50" s="44"/>
      <c r="BFY50" s="44"/>
      <c r="BFZ50" s="44"/>
      <c r="BGA50" s="44"/>
      <c r="BGB50" s="44"/>
      <c r="BGC50" s="44"/>
      <c r="BGD50" s="44"/>
      <c r="BGE50" s="44"/>
      <c r="BGF50" s="44"/>
      <c r="BGG50" s="44"/>
      <c r="BGH50" s="44"/>
      <c r="BGI50" s="44"/>
      <c r="BGJ50" s="44"/>
      <c r="BGK50" s="44"/>
      <c r="BGL50" s="44"/>
      <c r="BGM50" s="44"/>
      <c r="BGN50" s="44"/>
      <c r="BGO50" s="44"/>
      <c r="BGP50" s="44"/>
      <c r="BGQ50" s="44"/>
      <c r="BGR50" s="44"/>
      <c r="BGS50" s="44"/>
      <c r="BGT50" s="44"/>
      <c r="BGU50" s="44"/>
      <c r="BGV50" s="44"/>
      <c r="BGW50" s="44"/>
      <c r="BGX50" s="44"/>
      <c r="BGY50" s="44"/>
      <c r="BGZ50" s="44"/>
      <c r="BHA50" s="44"/>
      <c r="BHB50" s="44"/>
      <c r="BHC50" s="44"/>
      <c r="BHD50" s="44"/>
      <c r="BHE50" s="44"/>
      <c r="BHF50" s="44"/>
      <c r="BHG50" s="44"/>
      <c r="BHH50" s="44"/>
      <c r="BHI50" s="44"/>
      <c r="BHJ50" s="44"/>
      <c r="BHK50" s="44"/>
      <c r="BHL50" s="44"/>
      <c r="BHM50" s="44"/>
      <c r="BHN50" s="44"/>
      <c r="BHO50" s="44"/>
      <c r="BHP50" s="44"/>
      <c r="BHQ50" s="44"/>
      <c r="BHR50" s="44"/>
      <c r="BHS50" s="44"/>
      <c r="BHT50" s="44"/>
      <c r="BHU50" s="44"/>
      <c r="BHV50" s="44"/>
      <c r="BHW50" s="44"/>
      <c r="BHX50" s="44"/>
      <c r="BHY50" s="44"/>
      <c r="BHZ50" s="44"/>
      <c r="BIA50" s="44"/>
      <c r="BIB50" s="44"/>
      <c r="BIC50" s="44"/>
      <c r="BID50" s="44"/>
      <c r="BIE50" s="44"/>
      <c r="BIF50" s="44"/>
      <c r="BIG50" s="44"/>
      <c r="BIH50" s="44"/>
      <c r="BII50" s="44"/>
      <c r="BIJ50" s="44"/>
      <c r="BIK50" s="44"/>
      <c r="BIL50" s="44"/>
      <c r="BIM50" s="44"/>
      <c r="BIN50" s="44"/>
      <c r="BIO50" s="44"/>
      <c r="BIP50" s="44"/>
      <c r="BIQ50" s="44"/>
      <c r="BIR50" s="44"/>
      <c r="BIS50" s="44"/>
      <c r="BIT50" s="44"/>
      <c r="BIU50" s="44"/>
      <c r="BIV50" s="44"/>
      <c r="BIW50" s="44"/>
      <c r="BIX50" s="44"/>
      <c r="BIY50" s="44"/>
      <c r="BIZ50" s="44"/>
      <c r="BJA50" s="44"/>
      <c r="BJB50" s="44"/>
      <c r="BJC50" s="44"/>
      <c r="BJD50" s="44"/>
      <c r="BJE50" s="44"/>
      <c r="BJF50" s="44"/>
      <c r="BJG50" s="44"/>
      <c r="BJH50" s="44"/>
      <c r="BJI50" s="44"/>
      <c r="BJJ50" s="44"/>
      <c r="BJK50" s="44"/>
      <c r="BJL50" s="44"/>
      <c r="BJM50" s="44"/>
      <c r="BJN50" s="44"/>
      <c r="BJO50" s="44"/>
      <c r="BJP50" s="44"/>
      <c r="BJQ50" s="44"/>
      <c r="BJR50" s="44"/>
      <c r="BJS50" s="44"/>
      <c r="BJT50" s="44"/>
      <c r="BJU50" s="44"/>
      <c r="BJV50" s="44"/>
      <c r="BJW50" s="44"/>
      <c r="BJX50" s="44"/>
      <c r="BJY50" s="44"/>
      <c r="BJZ50" s="44"/>
      <c r="BKA50" s="44"/>
      <c r="BKB50" s="44"/>
      <c r="BKC50" s="44"/>
      <c r="BKD50" s="44"/>
      <c r="BKE50" s="44"/>
      <c r="BKF50" s="44"/>
      <c r="BKG50" s="44"/>
      <c r="BKH50" s="44"/>
      <c r="BKI50" s="44"/>
      <c r="BKJ50" s="44"/>
      <c r="BKK50" s="44"/>
      <c r="BKL50" s="44"/>
      <c r="BKM50" s="44"/>
      <c r="BKN50" s="44"/>
      <c r="BKO50" s="44"/>
      <c r="BKP50" s="44"/>
      <c r="BKQ50" s="44"/>
      <c r="BKR50" s="44"/>
      <c r="BKS50" s="44"/>
      <c r="BKT50" s="44"/>
      <c r="BKU50" s="44"/>
      <c r="BKV50" s="44"/>
      <c r="BKW50" s="44"/>
      <c r="BKX50" s="44"/>
      <c r="BKY50" s="44"/>
      <c r="BKZ50" s="44"/>
      <c r="BLA50" s="44"/>
      <c r="BLB50" s="44"/>
      <c r="BLC50" s="44"/>
      <c r="BLD50" s="44"/>
      <c r="BLE50" s="44"/>
      <c r="BLF50" s="44"/>
      <c r="BLG50" s="44"/>
      <c r="BLH50" s="44"/>
      <c r="BLI50" s="44"/>
      <c r="BLJ50" s="44"/>
      <c r="BLK50" s="44"/>
      <c r="BLL50" s="44"/>
      <c r="BLM50" s="44"/>
      <c r="BLN50" s="44"/>
      <c r="BLO50" s="44"/>
      <c r="BLP50" s="44"/>
      <c r="BLQ50" s="44"/>
      <c r="BLR50" s="44"/>
      <c r="BLS50" s="44"/>
      <c r="BLT50" s="44"/>
      <c r="BLU50" s="44"/>
      <c r="BLV50" s="44"/>
      <c r="BLW50" s="44"/>
      <c r="BLX50" s="44"/>
      <c r="BLY50" s="44"/>
      <c r="BLZ50" s="44"/>
      <c r="BMA50" s="44"/>
      <c r="BMB50" s="44"/>
      <c r="BMC50" s="44"/>
      <c r="BMD50" s="44"/>
      <c r="BME50" s="44"/>
      <c r="BMF50" s="44"/>
      <c r="BMG50" s="44"/>
      <c r="BMH50" s="44"/>
      <c r="BMI50" s="44"/>
      <c r="BMJ50" s="44"/>
      <c r="BMK50" s="44"/>
      <c r="BML50" s="44"/>
      <c r="BMM50" s="44"/>
      <c r="BMN50" s="44"/>
      <c r="BMO50" s="44"/>
      <c r="BMP50" s="44"/>
      <c r="BMQ50" s="44"/>
      <c r="BMR50" s="44"/>
      <c r="BMS50" s="44"/>
      <c r="BMT50" s="44"/>
      <c r="BMU50" s="44"/>
      <c r="BMV50" s="44"/>
      <c r="BMW50" s="44"/>
      <c r="BMX50" s="44"/>
      <c r="BMY50" s="44"/>
      <c r="BMZ50" s="44"/>
      <c r="BNA50" s="44"/>
      <c r="BNB50" s="44"/>
      <c r="BNC50" s="44"/>
      <c r="BND50" s="44"/>
      <c r="BNE50" s="44"/>
      <c r="BNF50" s="44"/>
      <c r="BNG50" s="44"/>
      <c r="BNH50" s="44"/>
      <c r="BNI50" s="44"/>
      <c r="BNJ50" s="44"/>
      <c r="BNK50" s="44"/>
      <c r="BNL50" s="44"/>
      <c r="BNM50" s="44"/>
      <c r="BNN50" s="44"/>
      <c r="BNO50" s="44"/>
      <c r="BNP50" s="44"/>
      <c r="BNQ50" s="44"/>
      <c r="BNR50" s="44"/>
      <c r="BNS50" s="44"/>
      <c r="BNT50" s="44"/>
      <c r="BNU50" s="44"/>
      <c r="BNV50" s="44"/>
      <c r="BNW50" s="44"/>
      <c r="BNX50" s="44"/>
      <c r="BNY50" s="44"/>
      <c r="BNZ50" s="44"/>
      <c r="BOA50" s="44"/>
      <c r="BOB50" s="44"/>
      <c r="BOC50" s="44"/>
      <c r="BOD50" s="44"/>
      <c r="BOE50" s="44"/>
      <c r="BOF50" s="44"/>
      <c r="BOG50" s="44"/>
      <c r="BOH50" s="44"/>
      <c r="BOI50" s="44"/>
      <c r="BOJ50" s="44"/>
      <c r="BOK50" s="44"/>
      <c r="BOL50" s="44"/>
      <c r="BOM50" s="44"/>
      <c r="BON50" s="44"/>
      <c r="BOO50" s="44"/>
      <c r="BOP50" s="44"/>
      <c r="BOQ50" s="44"/>
      <c r="BOR50" s="44"/>
      <c r="BOS50" s="44"/>
      <c r="BOT50" s="44"/>
      <c r="BOU50" s="44"/>
      <c r="BOV50" s="44"/>
      <c r="BOW50" s="44"/>
      <c r="BOX50" s="44"/>
      <c r="BOY50" s="44"/>
      <c r="BOZ50" s="44"/>
      <c r="BPA50" s="44"/>
      <c r="BPB50" s="44"/>
      <c r="BPC50" s="44"/>
      <c r="BPD50" s="44"/>
      <c r="BPE50" s="44"/>
      <c r="BPF50" s="44"/>
      <c r="BPG50" s="44"/>
      <c r="BPH50" s="44"/>
      <c r="BPI50" s="44"/>
      <c r="BPJ50" s="44"/>
      <c r="BPK50" s="44"/>
      <c r="BPL50" s="44"/>
      <c r="BPM50" s="44"/>
      <c r="BPN50" s="44"/>
      <c r="BPO50" s="44"/>
      <c r="BPP50" s="44"/>
      <c r="BPQ50" s="44"/>
      <c r="BPR50" s="44"/>
      <c r="BPS50" s="44"/>
      <c r="BPT50" s="44"/>
      <c r="BPU50" s="44"/>
      <c r="BPV50" s="44"/>
      <c r="BPW50" s="44"/>
      <c r="BPX50" s="44"/>
      <c r="BPY50" s="44"/>
      <c r="BPZ50" s="44"/>
      <c r="BQA50" s="44"/>
      <c r="BQB50" s="44"/>
      <c r="BQC50" s="44"/>
      <c r="BQD50" s="44"/>
      <c r="BQE50" s="44"/>
      <c r="BQF50" s="44"/>
      <c r="BQG50" s="44"/>
      <c r="BQH50" s="44"/>
      <c r="BQI50" s="44"/>
      <c r="BQJ50" s="44"/>
      <c r="BQK50" s="44"/>
      <c r="BQL50" s="44"/>
      <c r="BQM50" s="44"/>
      <c r="BQN50" s="44"/>
      <c r="BQO50" s="44"/>
      <c r="BQP50" s="44"/>
      <c r="BQQ50" s="44"/>
      <c r="BQR50" s="44"/>
      <c r="BQS50" s="44"/>
      <c r="BQT50" s="44"/>
      <c r="BQU50" s="44"/>
      <c r="BQV50" s="44"/>
      <c r="BQW50" s="44"/>
      <c r="BQX50" s="44"/>
      <c r="BQY50" s="44"/>
      <c r="BQZ50" s="44"/>
      <c r="BRA50" s="44"/>
      <c r="BRB50" s="44"/>
      <c r="BRC50" s="44"/>
      <c r="BRD50" s="44"/>
      <c r="BRE50" s="44"/>
      <c r="BRF50" s="44"/>
      <c r="BRG50" s="44"/>
      <c r="BRH50" s="44"/>
      <c r="BRI50" s="44"/>
      <c r="BRJ50" s="44"/>
      <c r="BRK50" s="44"/>
      <c r="BRL50" s="44"/>
      <c r="BRM50" s="44"/>
      <c r="BRN50" s="44"/>
      <c r="BRO50" s="44"/>
      <c r="BRP50" s="44"/>
      <c r="BRQ50" s="44"/>
      <c r="BRR50" s="44"/>
      <c r="BRS50" s="44"/>
      <c r="BRT50" s="44"/>
      <c r="BRU50" s="44"/>
      <c r="BRV50" s="44"/>
      <c r="BRW50" s="44"/>
      <c r="BRX50" s="44"/>
      <c r="BRY50" s="44"/>
      <c r="BRZ50" s="44"/>
      <c r="BSA50" s="44"/>
      <c r="BSB50" s="44"/>
      <c r="BSC50" s="44"/>
      <c r="BSD50" s="44"/>
      <c r="BSE50" s="44"/>
      <c r="BSF50" s="44"/>
      <c r="BSG50" s="44"/>
      <c r="BSH50" s="44"/>
      <c r="BSI50" s="44"/>
      <c r="BSJ50" s="44"/>
      <c r="BSK50" s="44"/>
      <c r="BSL50" s="44"/>
      <c r="BSM50" s="44"/>
      <c r="BSN50" s="44"/>
      <c r="BSO50" s="44"/>
      <c r="BSP50" s="44"/>
      <c r="BSQ50" s="44"/>
      <c r="BSR50" s="44"/>
      <c r="BSS50" s="44"/>
      <c r="BST50" s="44"/>
      <c r="BSU50" s="44"/>
      <c r="BSV50" s="44"/>
      <c r="BSW50" s="44"/>
      <c r="BSX50" s="44"/>
      <c r="BSY50" s="44"/>
      <c r="BSZ50" s="44"/>
      <c r="BTA50" s="44"/>
      <c r="BTB50" s="44"/>
      <c r="BTC50" s="44"/>
      <c r="BTD50" s="44"/>
      <c r="BTE50" s="44"/>
      <c r="BTF50" s="44"/>
      <c r="BTG50" s="44"/>
      <c r="BTH50" s="44"/>
      <c r="BTI50" s="44"/>
      <c r="BTJ50" s="44"/>
      <c r="BTK50" s="44"/>
      <c r="BTL50" s="44"/>
      <c r="BTM50" s="44"/>
      <c r="BTN50" s="44"/>
      <c r="BTO50" s="44"/>
      <c r="BTP50" s="44"/>
      <c r="BTQ50" s="44"/>
      <c r="BTR50" s="44"/>
      <c r="BTS50" s="44"/>
      <c r="BTT50" s="44"/>
      <c r="BTU50" s="44"/>
      <c r="BTV50" s="44"/>
      <c r="BTW50" s="44"/>
      <c r="BTX50" s="44"/>
      <c r="BTY50" s="44"/>
      <c r="BTZ50" s="44"/>
      <c r="BUA50" s="44"/>
      <c r="BUB50" s="44"/>
      <c r="BUC50" s="44"/>
      <c r="BUD50" s="44"/>
      <c r="BUE50" s="44"/>
      <c r="BUF50" s="44"/>
      <c r="BUG50" s="44"/>
      <c r="BUH50" s="44"/>
      <c r="BUI50" s="44"/>
      <c r="BUJ50" s="44"/>
      <c r="BUK50" s="44"/>
      <c r="BUL50" s="44"/>
      <c r="BUM50" s="44"/>
      <c r="BUN50" s="44"/>
      <c r="BUO50" s="44"/>
      <c r="BUP50" s="44"/>
      <c r="BUQ50" s="44"/>
      <c r="BUR50" s="44"/>
      <c r="BUS50" s="44"/>
      <c r="BUT50" s="44"/>
      <c r="BUU50" s="44"/>
      <c r="BUV50" s="44"/>
      <c r="BUW50" s="44"/>
      <c r="BUX50" s="44"/>
      <c r="BUY50" s="44"/>
      <c r="BUZ50" s="44"/>
      <c r="BVA50" s="44"/>
      <c r="BVB50" s="44"/>
      <c r="BVC50" s="44"/>
      <c r="BVD50" s="44"/>
      <c r="BVE50" s="44"/>
      <c r="BVF50" s="44"/>
      <c r="BVG50" s="44"/>
      <c r="BVH50" s="44"/>
      <c r="BVI50" s="44"/>
      <c r="BVJ50" s="44"/>
      <c r="BVK50" s="44"/>
      <c r="BVL50" s="44"/>
      <c r="BVM50" s="44"/>
      <c r="BVN50" s="44"/>
      <c r="BVO50" s="44"/>
      <c r="BVP50" s="44"/>
      <c r="BVQ50" s="44"/>
      <c r="BVR50" s="44"/>
      <c r="BVS50" s="44"/>
      <c r="BVT50" s="44"/>
      <c r="BVU50" s="44"/>
      <c r="BVV50" s="44"/>
      <c r="BVW50" s="44"/>
      <c r="BVX50" s="44"/>
      <c r="BVY50" s="44"/>
      <c r="BVZ50" s="44"/>
      <c r="BWA50" s="44"/>
      <c r="BWB50" s="44"/>
      <c r="BWC50" s="44"/>
      <c r="BWD50" s="44"/>
      <c r="BWE50" s="44"/>
      <c r="BWF50" s="44"/>
      <c r="BWG50" s="44"/>
      <c r="BWH50" s="44"/>
      <c r="BWI50" s="44"/>
      <c r="BWJ50" s="44"/>
      <c r="BWK50" s="44"/>
      <c r="BWL50" s="44"/>
      <c r="BWM50" s="44"/>
      <c r="BWN50" s="44"/>
      <c r="BWO50" s="44"/>
      <c r="BWP50" s="44"/>
      <c r="BWQ50" s="44"/>
      <c r="BWR50" s="44"/>
      <c r="BWS50" s="44"/>
      <c r="BWT50" s="44"/>
      <c r="BWU50" s="44"/>
      <c r="BWV50" s="44"/>
      <c r="BWW50" s="44"/>
      <c r="BWX50" s="44"/>
      <c r="BWY50" s="44"/>
      <c r="BWZ50" s="44"/>
      <c r="BXA50" s="44"/>
      <c r="BXB50" s="44"/>
      <c r="BXC50" s="44"/>
      <c r="BXD50" s="44"/>
      <c r="BXE50" s="44"/>
      <c r="BXF50" s="44"/>
      <c r="BXG50" s="44"/>
      <c r="BXH50" s="44"/>
      <c r="BXI50" s="44"/>
      <c r="BXJ50" s="44"/>
      <c r="BXK50" s="44"/>
      <c r="BXL50" s="44"/>
      <c r="BXM50" s="44"/>
      <c r="BXN50" s="44"/>
      <c r="BXO50" s="44"/>
      <c r="BXP50" s="44"/>
      <c r="BXQ50" s="44"/>
      <c r="BXR50" s="44"/>
      <c r="BXS50" s="44"/>
      <c r="BXT50" s="44"/>
      <c r="BXU50" s="44"/>
      <c r="BXV50" s="44"/>
      <c r="BXW50" s="44"/>
      <c r="BXX50" s="44"/>
      <c r="BXY50" s="44"/>
      <c r="BXZ50" s="44"/>
      <c r="BYA50" s="44"/>
      <c r="BYB50" s="44"/>
      <c r="BYC50" s="44"/>
      <c r="BYD50" s="44"/>
      <c r="BYE50" s="44"/>
      <c r="BYF50" s="44"/>
      <c r="BYG50" s="44"/>
      <c r="BYH50" s="44"/>
      <c r="BYI50" s="44"/>
      <c r="BYJ50" s="44"/>
      <c r="BYK50" s="44"/>
      <c r="BYL50" s="44"/>
      <c r="BYM50" s="44"/>
      <c r="BYN50" s="44"/>
      <c r="BYO50" s="44"/>
      <c r="BYP50" s="44"/>
      <c r="BYQ50" s="44"/>
      <c r="BYR50" s="44"/>
      <c r="BYS50" s="44"/>
      <c r="BYT50" s="44"/>
      <c r="BYU50" s="44"/>
      <c r="BYV50" s="44"/>
      <c r="BYW50" s="44"/>
      <c r="BYX50" s="44"/>
      <c r="BYY50" s="44"/>
      <c r="BYZ50" s="44"/>
      <c r="BZA50" s="44"/>
      <c r="BZB50" s="44"/>
      <c r="BZC50" s="44"/>
      <c r="BZD50" s="44"/>
      <c r="BZE50" s="44"/>
      <c r="BZF50" s="44"/>
      <c r="BZG50" s="44"/>
      <c r="BZH50" s="44"/>
      <c r="BZI50" s="44"/>
      <c r="BZJ50" s="44"/>
      <c r="BZK50" s="44"/>
      <c r="BZL50" s="44"/>
      <c r="BZM50" s="44"/>
      <c r="BZN50" s="44"/>
      <c r="BZO50" s="44"/>
      <c r="BZP50" s="44"/>
      <c r="BZQ50" s="44"/>
      <c r="BZR50" s="44"/>
      <c r="BZS50" s="44"/>
      <c r="BZT50" s="44"/>
      <c r="BZU50" s="44"/>
      <c r="BZV50" s="44"/>
      <c r="BZW50" s="44"/>
      <c r="BZX50" s="44"/>
      <c r="BZY50" s="44"/>
      <c r="BZZ50" s="44"/>
      <c r="CAA50" s="44"/>
      <c r="CAB50" s="44"/>
      <c r="CAC50" s="44"/>
      <c r="CAD50" s="44"/>
      <c r="CAE50" s="44"/>
      <c r="CAF50" s="44"/>
      <c r="CAG50" s="44"/>
      <c r="CAH50" s="44"/>
      <c r="CAI50" s="44"/>
      <c r="CAJ50" s="44"/>
      <c r="CAK50" s="44"/>
      <c r="CAL50" s="44"/>
      <c r="CAM50" s="44"/>
      <c r="CAN50" s="44"/>
      <c r="CAO50" s="44"/>
      <c r="CAP50" s="44"/>
      <c r="CAQ50" s="44"/>
      <c r="CAR50" s="44"/>
      <c r="CAS50" s="44"/>
      <c r="CAT50" s="44"/>
      <c r="CAU50" s="44"/>
      <c r="CAV50" s="44"/>
      <c r="CAW50" s="44"/>
      <c r="CAX50" s="44"/>
      <c r="CAY50" s="44"/>
      <c r="CAZ50" s="44"/>
      <c r="CBA50" s="44"/>
      <c r="CBB50" s="44"/>
      <c r="CBC50" s="44"/>
      <c r="CBD50" s="44"/>
      <c r="CBE50" s="44"/>
      <c r="CBF50" s="44"/>
      <c r="CBG50" s="44"/>
      <c r="CBH50" s="44"/>
      <c r="CBI50" s="44"/>
      <c r="CBJ50" s="44"/>
      <c r="CBK50" s="44"/>
      <c r="CBL50" s="44"/>
      <c r="CBM50" s="44"/>
      <c r="CBN50" s="44"/>
      <c r="CBO50" s="44"/>
      <c r="CBP50" s="44"/>
      <c r="CBQ50" s="44"/>
      <c r="CBR50" s="44"/>
      <c r="CBS50" s="44"/>
      <c r="CBT50" s="44"/>
      <c r="CBU50" s="44"/>
      <c r="CBV50" s="44"/>
      <c r="CBW50" s="44"/>
      <c r="CBX50" s="44"/>
      <c r="CBY50" s="44"/>
      <c r="CBZ50" s="44"/>
      <c r="CCA50" s="44"/>
      <c r="CCB50" s="44"/>
      <c r="CCC50" s="44"/>
      <c r="CCD50" s="44"/>
      <c r="CCE50" s="44"/>
      <c r="CCF50" s="44"/>
      <c r="CCG50" s="44"/>
      <c r="CCH50" s="44"/>
      <c r="CCI50" s="44"/>
      <c r="CCJ50" s="44"/>
      <c r="CCK50" s="44"/>
      <c r="CCL50" s="44"/>
      <c r="CCM50" s="44"/>
      <c r="CCN50" s="44"/>
      <c r="CCO50" s="44"/>
      <c r="CCP50" s="44"/>
      <c r="CCQ50" s="44"/>
      <c r="CCR50" s="44"/>
      <c r="CCS50" s="44"/>
      <c r="CCT50" s="44"/>
      <c r="CCU50" s="44"/>
      <c r="CCV50" s="44"/>
      <c r="CCW50" s="44"/>
      <c r="CCX50" s="44"/>
      <c r="CCY50" s="44"/>
      <c r="CCZ50" s="44"/>
      <c r="CDA50" s="44"/>
      <c r="CDB50" s="44"/>
      <c r="CDC50" s="44"/>
      <c r="CDD50" s="44"/>
      <c r="CDE50" s="44"/>
      <c r="CDF50" s="44"/>
      <c r="CDG50" s="44"/>
      <c r="CDH50" s="44"/>
      <c r="CDI50" s="44"/>
      <c r="CDJ50" s="44"/>
      <c r="CDK50" s="44"/>
      <c r="CDL50" s="44"/>
      <c r="CDM50" s="44"/>
      <c r="CDN50" s="44"/>
      <c r="CDO50" s="44"/>
      <c r="CDP50" s="44"/>
      <c r="CDQ50" s="44"/>
      <c r="CDR50" s="44"/>
      <c r="CDS50" s="44"/>
      <c r="CDT50" s="44"/>
      <c r="CDU50" s="44"/>
      <c r="CDV50" s="44"/>
      <c r="CDW50" s="44"/>
      <c r="CDX50" s="44"/>
      <c r="CDY50" s="44"/>
      <c r="CDZ50" s="44"/>
      <c r="CEA50" s="44"/>
      <c r="CEB50" s="44"/>
      <c r="CEC50" s="44"/>
      <c r="CED50" s="44"/>
      <c r="CEE50" s="44"/>
      <c r="CEF50" s="44"/>
      <c r="CEG50" s="44"/>
      <c r="CEH50" s="44"/>
      <c r="CEI50" s="44"/>
      <c r="CEJ50" s="44"/>
      <c r="CEK50" s="44"/>
      <c r="CEL50" s="44"/>
      <c r="CEM50" s="44"/>
      <c r="CEN50" s="44"/>
      <c r="CEO50" s="44"/>
      <c r="CEP50" s="44"/>
      <c r="CEQ50" s="44"/>
      <c r="CER50" s="44"/>
      <c r="CES50" s="44"/>
      <c r="CET50" s="44"/>
      <c r="CEU50" s="44"/>
      <c r="CEV50" s="44"/>
      <c r="CEW50" s="44"/>
      <c r="CEX50" s="44"/>
      <c r="CEY50" s="44"/>
      <c r="CEZ50" s="44"/>
      <c r="CFA50" s="44"/>
      <c r="CFB50" s="44"/>
      <c r="CFC50" s="44"/>
      <c r="CFD50" s="44"/>
      <c r="CFE50" s="44"/>
      <c r="CFF50" s="44"/>
      <c r="CFG50" s="44"/>
      <c r="CFH50" s="44"/>
      <c r="CFI50" s="44"/>
      <c r="CFJ50" s="44"/>
      <c r="CFK50" s="44"/>
      <c r="CFL50" s="44"/>
      <c r="CFM50" s="44"/>
      <c r="CFN50" s="44"/>
      <c r="CFO50" s="44"/>
      <c r="CFP50" s="44"/>
      <c r="CFQ50" s="44"/>
      <c r="CFR50" s="44"/>
      <c r="CFS50" s="44"/>
      <c r="CFT50" s="44"/>
      <c r="CFU50" s="44"/>
      <c r="CFV50" s="44"/>
      <c r="CFW50" s="44"/>
      <c r="CFX50" s="44"/>
      <c r="CFY50" s="44"/>
      <c r="CFZ50" s="44"/>
      <c r="CGA50" s="44"/>
      <c r="CGB50" s="44"/>
      <c r="CGC50" s="44"/>
      <c r="CGD50" s="44"/>
      <c r="CGE50" s="44"/>
      <c r="CGF50" s="44"/>
      <c r="CGG50" s="44"/>
      <c r="CGH50" s="44"/>
      <c r="CGI50" s="44"/>
      <c r="CGJ50" s="44"/>
      <c r="CGK50" s="44"/>
      <c r="CGL50" s="44"/>
      <c r="CGM50" s="44"/>
      <c r="CGN50" s="44"/>
      <c r="CGO50" s="44"/>
      <c r="CGP50" s="44"/>
      <c r="CGQ50" s="44"/>
      <c r="CGR50" s="44"/>
      <c r="CGS50" s="44"/>
      <c r="CGT50" s="44"/>
      <c r="CGU50" s="44"/>
      <c r="CGV50" s="44"/>
      <c r="CGW50" s="44"/>
      <c r="CGX50" s="44"/>
      <c r="CGY50" s="44"/>
      <c r="CGZ50" s="44"/>
      <c r="CHA50" s="44"/>
      <c r="CHB50" s="44"/>
      <c r="CHC50" s="44"/>
      <c r="CHD50" s="44"/>
      <c r="CHE50" s="44"/>
      <c r="CHF50" s="44"/>
      <c r="CHG50" s="44"/>
      <c r="CHH50" s="44"/>
      <c r="CHI50" s="44"/>
      <c r="CHJ50" s="44"/>
      <c r="CHK50" s="44"/>
      <c r="CHL50" s="44"/>
      <c r="CHM50" s="44"/>
      <c r="CHN50" s="44"/>
      <c r="CHO50" s="44"/>
      <c r="CHP50" s="44"/>
      <c r="CHQ50" s="44"/>
      <c r="CHR50" s="44"/>
      <c r="CHS50" s="44"/>
      <c r="CHT50" s="44"/>
      <c r="CHU50" s="44"/>
      <c r="CHV50" s="44"/>
      <c r="CHW50" s="44"/>
      <c r="CHX50" s="44"/>
      <c r="CHY50" s="44"/>
      <c r="CHZ50" s="44"/>
      <c r="CIA50" s="44"/>
      <c r="CIB50" s="44"/>
      <c r="CIC50" s="44"/>
      <c r="CID50" s="44"/>
      <c r="CIE50" s="44"/>
      <c r="CIF50" s="44"/>
      <c r="CIG50" s="44"/>
      <c r="CIH50" s="44"/>
      <c r="CII50" s="44"/>
      <c r="CIJ50" s="44"/>
      <c r="CIK50" s="44"/>
      <c r="CIL50" s="44"/>
      <c r="CIM50" s="44"/>
      <c r="CIN50" s="44"/>
      <c r="CIO50" s="44"/>
      <c r="CIP50" s="44"/>
      <c r="CIQ50" s="44"/>
      <c r="CIR50" s="44"/>
      <c r="CIS50" s="44"/>
      <c r="CIT50" s="44"/>
      <c r="CIU50" s="44"/>
      <c r="CIV50" s="44"/>
      <c r="CIW50" s="44"/>
      <c r="CIX50" s="44"/>
      <c r="CIY50" s="44"/>
      <c r="CIZ50" s="44"/>
      <c r="CJA50" s="44"/>
      <c r="CJB50" s="44"/>
      <c r="CJC50" s="44"/>
      <c r="CJD50" s="44"/>
      <c r="CJE50" s="44"/>
      <c r="CJF50" s="44"/>
      <c r="CJG50" s="44"/>
      <c r="CJH50" s="44"/>
      <c r="CJI50" s="44"/>
      <c r="CJJ50" s="44"/>
      <c r="CJK50" s="44"/>
      <c r="CJL50" s="44"/>
      <c r="CJM50" s="44"/>
      <c r="CJN50" s="44"/>
      <c r="CJO50" s="44"/>
      <c r="CJP50" s="44"/>
      <c r="CJQ50" s="44"/>
      <c r="CJR50" s="44"/>
      <c r="CJS50" s="44"/>
      <c r="CJT50" s="44"/>
      <c r="CJU50" s="44"/>
      <c r="CJV50" s="44"/>
      <c r="CJW50" s="44"/>
      <c r="CJX50" s="44"/>
      <c r="CJY50" s="44"/>
      <c r="CJZ50" s="44"/>
      <c r="CKA50" s="44"/>
      <c r="CKB50" s="44"/>
      <c r="CKC50" s="44"/>
      <c r="CKD50" s="44"/>
      <c r="CKE50" s="44"/>
      <c r="CKF50" s="44"/>
      <c r="CKG50" s="44"/>
      <c r="CKH50" s="44"/>
      <c r="CKI50" s="44"/>
      <c r="CKJ50" s="44"/>
      <c r="CKK50" s="44"/>
      <c r="CKL50" s="44"/>
      <c r="CKM50" s="44"/>
      <c r="CKN50" s="44"/>
      <c r="CKO50" s="44"/>
      <c r="CKP50" s="44"/>
      <c r="CKQ50" s="44"/>
      <c r="CKR50" s="44"/>
      <c r="CKS50" s="44"/>
      <c r="CKT50" s="44"/>
      <c r="CKU50" s="44"/>
      <c r="CKV50" s="44"/>
      <c r="CKW50" s="44"/>
      <c r="CKX50" s="44"/>
      <c r="CKY50" s="44"/>
      <c r="CKZ50" s="44"/>
      <c r="CLA50" s="44"/>
      <c r="CLB50" s="44"/>
      <c r="CLC50" s="44"/>
      <c r="CLD50" s="44"/>
      <c r="CLE50" s="44"/>
      <c r="CLF50" s="44"/>
      <c r="CLG50" s="44"/>
      <c r="CLH50" s="44"/>
      <c r="CLI50" s="44"/>
      <c r="CLJ50" s="44"/>
      <c r="CLK50" s="44"/>
      <c r="CLL50" s="44"/>
      <c r="CLM50" s="44"/>
      <c r="CLN50" s="44"/>
      <c r="CLO50" s="44"/>
      <c r="CLP50" s="44"/>
      <c r="CLQ50" s="44"/>
      <c r="CLR50" s="44"/>
      <c r="CLS50" s="44"/>
      <c r="CLT50" s="44"/>
      <c r="CLU50" s="44"/>
      <c r="CLV50" s="44"/>
      <c r="CLW50" s="44"/>
      <c r="CLX50" s="44"/>
      <c r="CLY50" s="44"/>
      <c r="CLZ50" s="44"/>
      <c r="CMA50" s="44"/>
      <c r="CMB50" s="44"/>
      <c r="CMC50" s="44"/>
      <c r="CMD50" s="44"/>
      <c r="CME50" s="44"/>
      <c r="CMF50" s="44"/>
      <c r="CMG50" s="44"/>
      <c r="CMH50" s="44"/>
      <c r="CMI50" s="44"/>
      <c r="CMJ50" s="44"/>
      <c r="CMK50" s="44"/>
      <c r="CML50" s="44"/>
      <c r="CMM50" s="44"/>
      <c r="CMN50" s="44"/>
      <c r="CMO50" s="44"/>
      <c r="CMP50" s="44"/>
      <c r="CMQ50" s="44"/>
      <c r="CMR50" s="44"/>
      <c r="CMS50" s="44"/>
      <c r="CMT50" s="44"/>
      <c r="CMU50" s="44"/>
      <c r="CMV50" s="44"/>
      <c r="CMW50" s="44"/>
      <c r="CMX50" s="44"/>
      <c r="CMY50" s="44"/>
      <c r="CMZ50" s="44"/>
      <c r="CNA50" s="44"/>
      <c r="CNB50" s="44"/>
      <c r="CNC50" s="44"/>
      <c r="CND50" s="44"/>
      <c r="CNE50" s="44"/>
      <c r="CNF50" s="44"/>
      <c r="CNG50" s="44"/>
      <c r="CNH50" s="44"/>
      <c r="CNI50" s="44"/>
      <c r="CNJ50" s="44"/>
      <c r="CNK50" s="44"/>
      <c r="CNL50" s="44"/>
      <c r="CNM50" s="44"/>
      <c r="CNN50" s="44"/>
      <c r="CNO50" s="44"/>
      <c r="CNP50" s="44"/>
      <c r="CNQ50" s="44"/>
      <c r="CNR50" s="44"/>
      <c r="CNS50" s="44"/>
      <c r="CNT50" s="44"/>
      <c r="CNU50" s="44"/>
      <c r="CNV50" s="44"/>
      <c r="CNW50" s="44"/>
      <c r="CNX50" s="44"/>
      <c r="CNY50" s="44"/>
      <c r="CNZ50" s="44"/>
      <c r="COA50" s="44"/>
      <c r="COB50" s="44"/>
      <c r="COC50" s="44"/>
      <c r="COD50" s="44"/>
      <c r="COE50" s="44"/>
      <c r="COF50" s="44"/>
      <c r="COG50" s="44"/>
      <c r="COH50" s="44"/>
      <c r="COI50" s="44"/>
      <c r="COJ50" s="44"/>
      <c r="COK50" s="44"/>
      <c r="COL50" s="44"/>
      <c r="COM50" s="44"/>
      <c r="CON50" s="44"/>
      <c r="COO50" s="44"/>
      <c r="COP50" s="44"/>
      <c r="COQ50" s="44"/>
      <c r="COR50" s="44"/>
      <c r="COS50" s="44"/>
      <c r="COT50" s="44"/>
      <c r="COU50" s="44"/>
      <c r="COV50" s="44"/>
      <c r="COW50" s="44"/>
      <c r="COX50" s="44"/>
      <c r="COY50" s="44"/>
      <c r="COZ50" s="44"/>
      <c r="CPA50" s="44"/>
      <c r="CPB50" s="44"/>
      <c r="CPC50" s="44"/>
      <c r="CPD50" s="44"/>
      <c r="CPE50" s="44"/>
      <c r="CPF50" s="44"/>
      <c r="CPG50" s="44"/>
      <c r="CPH50" s="44"/>
      <c r="CPI50" s="44"/>
      <c r="CPJ50" s="44"/>
      <c r="CPK50" s="44"/>
      <c r="CPL50" s="44"/>
      <c r="CPM50" s="44"/>
      <c r="CPN50" s="44"/>
      <c r="CPO50" s="44"/>
      <c r="CPP50" s="44"/>
      <c r="CPQ50" s="44"/>
      <c r="CPR50" s="44"/>
      <c r="CPS50" s="44"/>
      <c r="CPT50" s="44"/>
      <c r="CPU50" s="44"/>
      <c r="CPV50" s="44"/>
      <c r="CPW50" s="44"/>
      <c r="CPX50" s="44"/>
      <c r="CPY50" s="44"/>
      <c r="CPZ50" s="44"/>
      <c r="CQA50" s="44"/>
      <c r="CQB50" s="44"/>
      <c r="CQC50" s="44"/>
      <c r="CQD50" s="44"/>
      <c r="CQE50" s="44"/>
      <c r="CQF50" s="44"/>
      <c r="CQG50" s="44"/>
      <c r="CQH50" s="44"/>
      <c r="CQI50" s="44"/>
      <c r="CQJ50" s="44"/>
      <c r="CQK50" s="44"/>
      <c r="CQL50" s="44"/>
      <c r="CQM50" s="44"/>
      <c r="CQN50" s="44"/>
      <c r="CQO50" s="44"/>
      <c r="CQP50" s="44"/>
      <c r="CQQ50" s="44"/>
      <c r="CQR50" s="44"/>
      <c r="CQS50" s="44"/>
      <c r="CQT50" s="44"/>
      <c r="CQU50" s="44"/>
      <c r="CQV50" s="44"/>
      <c r="CQW50" s="44"/>
      <c r="CQX50" s="44"/>
      <c r="CQY50" s="44"/>
      <c r="CQZ50" s="44"/>
      <c r="CRA50" s="44"/>
      <c r="CRB50" s="44"/>
      <c r="CRC50" s="44"/>
      <c r="CRD50" s="44"/>
      <c r="CRE50" s="44"/>
      <c r="CRF50" s="44"/>
      <c r="CRG50" s="44"/>
      <c r="CRH50" s="44"/>
      <c r="CRI50" s="44"/>
      <c r="CRJ50" s="44"/>
      <c r="CRK50" s="44"/>
      <c r="CRL50" s="44"/>
      <c r="CRM50" s="44"/>
      <c r="CRN50" s="44"/>
      <c r="CRO50" s="44"/>
      <c r="CRP50" s="44"/>
      <c r="CRQ50" s="44"/>
      <c r="CRR50" s="44"/>
      <c r="CRS50" s="44"/>
      <c r="CRT50" s="44"/>
      <c r="CRU50" s="44"/>
      <c r="CRV50" s="44"/>
      <c r="CRW50" s="44"/>
      <c r="CRX50" s="44"/>
      <c r="CRY50" s="44"/>
      <c r="CRZ50" s="44"/>
      <c r="CSA50" s="44"/>
      <c r="CSB50" s="44"/>
      <c r="CSC50" s="44"/>
      <c r="CSD50" s="44"/>
      <c r="CSE50" s="44"/>
      <c r="CSF50" s="44"/>
      <c r="CSG50" s="44"/>
      <c r="CSH50" s="44"/>
      <c r="CSI50" s="44"/>
      <c r="CSJ50" s="44"/>
      <c r="CSK50" s="44"/>
      <c r="CSL50" s="44"/>
      <c r="CSM50" s="44"/>
      <c r="CSN50" s="44"/>
      <c r="CSO50" s="44"/>
      <c r="CSP50" s="44"/>
      <c r="CSQ50" s="44"/>
      <c r="CSR50" s="44"/>
      <c r="CSS50" s="44"/>
      <c r="CST50" s="44"/>
      <c r="CSU50" s="44"/>
      <c r="CSV50" s="44"/>
      <c r="CSW50" s="44"/>
      <c r="CSX50" s="44"/>
      <c r="CSY50" s="44"/>
      <c r="CSZ50" s="44"/>
      <c r="CTA50" s="44"/>
      <c r="CTB50" s="44"/>
      <c r="CTC50" s="44"/>
      <c r="CTD50" s="44"/>
      <c r="CTE50" s="44"/>
      <c r="CTF50" s="44"/>
      <c r="CTG50" s="44"/>
      <c r="CTH50" s="44"/>
      <c r="CTI50" s="44"/>
      <c r="CTJ50" s="44"/>
      <c r="CTK50" s="44"/>
      <c r="CTL50" s="44"/>
      <c r="CTM50" s="44"/>
      <c r="CTN50" s="44"/>
      <c r="CTO50" s="44"/>
      <c r="CTP50" s="44"/>
      <c r="CTQ50" s="44"/>
      <c r="CTR50" s="44"/>
      <c r="CTS50" s="44"/>
      <c r="CTT50" s="44"/>
      <c r="CTU50" s="44"/>
      <c r="CTV50" s="44"/>
      <c r="CTW50" s="44"/>
      <c r="CTX50" s="44"/>
      <c r="CTY50" s="44"/>
      <c r="CTZ50" s="44"/>
      <c r="CUA50" s="44"/>
      <c r="CUB50" s="44"/>
      <c r="CUC50" s="44"/>
      <c r="CUD50" s="44"/>
      <c r="CUE50" s="44"/>
      <c r="CUF50" s="44"/>
      <c r="CUG50" s="44"/>
      <c r="CUH50" s="44"/>
      <c r="CUI50" s="44"/>
      <c r="CUJ50" s="44"/>
      <c r="CUK50" s="44"/>
      <c r="CUL50" s="44"/>
      <c r="CUM50" s="44"/>
      <c r="CUN50" s="44"/>
      <c r="CUO50" s="44"/>
      <c r="CUP50" s="44"/>
      <c r="CUQ50" s="44"/>
      <c r="CUR50" s="44"/>
      <c r="CUS50" s="44"/>
      <c r="CUT50" s="44"/>
      <c r="CUU50" s="44"/>
      <c r="CUV50" s="44"/>
      <c r="CUW50" s="44"/>
      <c r="CUX50" s="44"/>
      <c r="CUY50" s="44"/>
      <c r="CUZ50" s="44"/>
      <c r="CVA50" s="44"/>
      <c r="CVB50" s="44"/>
      <c r="CVC50" s="44"/>
      <c r="CVD50" s="44"/>
      <c r="CVE50" s="44"/>
      <c r="CVF50" s="44"/>
      <c r="CVG50" s="44"/>
      <c r="CVH50" s="44"/>
      <c r="CVI50" s="44"/>
      <c r="CVJ50" s="44"/>
      <c r="CVK50" s="44"/>
      <c r="CVL50" s="44"/>
      <c r="CVM50" s="44"/>
      <c r="CVN50" s="44"/>
      <c r="CVO50" s="44"/>
      <c r="CVP50" s="44"/>
      <c r="CVQ50" s="44"/>
      <c r="CVR50" s="44"/>
      <c r="CVS50" s="44"/>
      <c r="CVT50" s="44"/>
      <c r="CVU50" s="44"/>
      <c r="CVV50" s="44"/>
      <c r="CVW50" s="44"/>
      <c r="CVX50" s="44"/>
      <c r="CVY50" s="44"/>
      <c r="CVZ50" s="44"/>
      <c r="CWA50" s="44"/>
      <c r="CWB50" s="44"/>
      <c r="CWC50" s="44"/>
      <c r="CWD50" s="44"/>
      <c r="CWE50" s="44"/>
      <c r="CWF50" s="44"/>
      <c r="CWG50" s="44"/>
      <c r="CWH50" s="44"/>
      <c r="CWI50" s="44"/>
      <c r="CWJ50" s="44"/>
      <c r="CWK50" s="44"/>
      <c r="CWL50" s="44"/>
      <c r="CWM50" s="44"/>
      <c r="CWN50" s="44"/>
      <c r="CWO50" s="44"/>
      <c r="CWP50" s="44"/>
      <c r="CWQ50" s="44"/>
      <c r="CWR50" s="44"/>
      <c r="CWS50" s="44"/>
      <c r="CWT50" s="44"/>
      <c r="CWU50" s="44"/>
      <c r="CWV50" s="44"/>
      <c r="CWW50" s="44"/>
      <c r="CWX50" s="44"/>
      <c r="CWY50" s="44"/>
      <c r="CWZ50" s="44"/>
      <c r="CXA50" s="44"/>
      <c r="CXB50" s="44"/>
      <c r="CXC50" s="44"/>
      <c r="CXD50" s="44"/>
      <c r="CXE50" s="44"/>
      <c r="CXF50" s="44"/>
      <c r="CXG50" s="44"/>
      <c r="CXH50" s="44"/>
      <c r="CXI50" s="44"/>
      <c r="CXJ50" s="44"/>
      <c r="CXK50" s="44"/>
      <c r="CXL50" s="44"/>
      <c r="CXM50" s="44"/>
      <c r="CXN50" s="44"/>
      <c r="CXO50" s="44"/>
      <c r="CXP50" s="44"/>
      <c r="CXQ50" s="44"/>
      <c r="CXR50" s="44"/>
      <c r="CXS50" s="44"/>
      <c r="CXT50" s="44"/>
      <c r="CXU50" s="44"/>
      <c r="CXV50" s="44"/>
      <c r="CXW50" s="44"/>
      <c r="CXX50" s="44"/>
      <c r="CXY50" s="44"/>
      <c r="CXZ50" s="44"/>
      <c r="CYA50" s="44"/>
      <c r="CYB50" s="44"/>
      <c r="CYC50" s="44"/>
      <c r="CYD50" s="44"/>
      <c r="CYE50" s="44"/>
      <c r="CYF50" s="44"/>
      <c r="CYG50" s="44"/>
      <c r="CYH50" s="44"/>
      <c r="CYI50" s="44"/>
      <c r="CYJ50" s="44"/>
      <c r="CYK50" s="44"/>
      <c r="CYL50" s="44"/>
      <c r="CYM50" s="44"/>
      <c r="CYN50" s="44"/>
      <c r="CYO50" s="44"/>
      <c r="CYP50" s="44"/>
      <c r="CYQ50" s="44"/>
      <c r="CYR50" s="44"/>
      <c r="CYS50" s="44"/>
      <c r="CYT50" s="44"/>
      <c r="CYU50" s="44"/>
      <c r="CYV50" s="44"/>
      <c r="CYW50" s="44"/>
      <c r="CYX50" s="44"/>
      <c r="CYY50" s="44"/>
      <c r="CYZ50" s="44"/>
      <c r="CZA50" s="44"/>
      <c r="CZB50" s="44"/>
      <c r="CZC50" s="44"/>
      <c r="CZD50" s="44"/>
      <c r="CZE50" s="44"/>
      <c r="CZF50" s="44"/>
      <c r="CZG50" s="44"/>
      <c r="CZH50" s="44"/>
      <c r="CZI50" s="44"/>
      <c r="CZJ50" s="44"/>
      <c r="CZK50" s="44"/>
      <c r="CZL50" s="44"/>
      <c r="CZM50" s="44"/>
      <c r="CZN50" s="44"/>
      <c r="CZO50" s="44"/>
      <c r="CZP50" s="44"/>
      <c r="CZQ50" s="44"/>
      <c r="CZR50" s="44"/>
      <c r="CZS50" s="44"/>
      <c r="CZT50" s="44"/>
      <c r="CZU50" s="44"/>
      <c r="CZV50" s="44"/>
      <c r="CZW50" s="44"/>
      <c r="CZX50" s="44"/>
      <c r="CZY50" s="44"/>
      <c r="CZZ50" s="44"/>
      <c r="DAA50" s="44"/>
      <c r="DAB50" s="44"/>
      <c r="DAC50" s="44"/>
      <c r="DAD50" s="44"/>
      <c r="DAE50" s="44"/>
      <c r="DAF50" s="44"/>
      <c r="DAG50" s="44"/>
      <c r="DAH50" s="44"/>
      <c r="DAI50" s="44"/>
      <c r="DAJ50" s="44"/>
      <c r="DAK50" s="44"/>
      <c r="DAL50" s="44"/>
      <c r="DAM50" s="44"/>
      <c r="DAN50" s="44"/>
      <c r="DAO50" s="44"/>
      <c r="DAP50" s="44"/>
      <c r="DAQ50" s="44"/>
      <c r="DAR50" s="44"/>
      <c r="DAS50" s="44"/>
      <c r="DAT50" s="44"/>
      <c r="DAU50" s="44"/>
      <c r="DAV50" s="44"/>
      <c r="DAW50" s="44"/>
      <c r="DAX50" s="44"/>
      <c r="DAY50" s="44"/>
      <c r="DAZ50" s="44"/>
      <c r="DBA50" s="44"/>
      <c r="DBB50" s="44"/>
      <c r="DBC50" s="44"/>
      <c r="DBD50" s="44"/>
      <c r="DBE50" s="44"/>
      <c r="DBF50" s="44"/>
      <c r="DBG50" s="44"/>
      <c r="DBH50" s="44"/>
      <c r="DBI50" s="44"/>
      <c r="DBJ50" s="44"/>
      <c r="DBK50" s="44"/>
      <c r="DBL50" s="44"/>
      <c r="DBM50" s="44"/>
      <c r="DBN50" s="44"/>
      <c r="DBO50" s="44"/>
      <c r="DBP50" s="44"/>
      <c r="DBQ50" s="44"/>
      <c r="DBR50" s="44"/>
      <c r="DBS50" s="44"/>
      <c r="DBT50" s="44"/>
      <c r="DBU50" s="44"/>
      <c r="DBV50" s="44"/>
      <c r="DBW50" s="44"/>
      <c r="DBX50" s="44"/>
      <c r="DBY50" s="44"/>
      <c r="DBZ50" s="44"/>
      <c r="DCA50" s="44"/>
      <c r="DCB50" s="44"/>
      <c r="DCC50" s="44"/>
      <c r="DCD50" s="44"/>
      <c r="DCE50" s="44"/>
      <c r="DCF50" s="44"/>
      <c r="DCG50" s="44"/>
      <c r="DCH50" s="44"/>
      <c r="DCI50" s="44"/>
      <c r="DCJ50" s="44"/>
      <c r="DCK50" s="44"/>
      <c r="DCL50" s="44"/>
      <c r="DCM50" s="44"/>
      <c r="DCN50" s="44"/>
      <c r="DCO50" s="44"/>
      <c r="DCP50" s="44"/>
      <c r="DCQ50" s="44"/>
      <c r="DCR50" s="44"/>
      <c r="DCS50" s="44"/>
      <c r="DCT50" s="44"/>
      <c r="DCU50" s="44"/>
      <c r="DCV50" s="44"/>
      <c r="DCW50" s="44"/>
      <c r="DCX50" s="44"/>
      <c r="DCY50" s="44"/>
      <c r="DCZ50" s="44"/>
      <c r="DDA50" s="44"/>
      <c r="DDB50" s="44"/>
      <c r="DDC50" s="44"/>
      <c r="DDD50" s="44"/>
      <c r="DDE50" s="44"/>
      <c r="DDF50" s="44"/>
      <c r="DDG50" s="44"/>
      <c r="DDH50" s="44"/>
      <c r="DDI50" s="44"/>
      <c r="DDJ50" s="44"/>
      <c r="DDK50" s="44"/>
      <c r="DDL50" s="44"/>
      <c r="DDM50" s="44"/>
      <c r="DDN50" s="44"/>
      <c r="DDO50" s="44"/>
      <c r="DDP50" s="44"/>
      <c r="DDQ50" s="44"/>
      <c r="DDR50" s="44"/>
      <c r="DDS50" s="44"/>
      <c r="DDT50" s="44"/>
      <c r="DDU50" s="44"/>
      <c r="DDV50" s="44"/>
      <c r="DDW50" s="44"/>
      <c r="DDX50" s="44"/>
      <c r="DDY50" s="44"/>
      <c r="DDZ50" s="44"/>
      <c r="DEA50" s="44"/>
      <c r="DEB50" s="44"/>
      <c r="DEC50" s="44"/>
      <c r="DED50" s="44"/>
      <c r="DEE50" s="44"/>
      <c r="DEF50" s="44"/>
      <c r="DEG50" s="44"/>
      <c r="DEH50" s="44"/>
      <c r="DEI50" s="44"/>
      <c r="DEJ50" s="44"/>
      <c r="DEK50" s="44"/>
      <c r="DEL50" s="44"/>
      <c r="DEM50" s="44"/>
      <c r="DEN50" s="44"/>
      <c r="DEO50" s="44"/>
      <c r="DEP50" s="44"/>
      <c r="DEQ50" s="44"/>
      <c r="DER50" s="44"/>
      <c r="DES50" s="44"/>
      <c r="DET50" s="44"/>
      <c r="DEU50" s="44"/>
      <c r="DEV50" s="44"/>
      <c r="DEW50" s="44"/>
      <c r="DEX50" s="44"/>
      <c r="DEY50" s="44"/>
      <c r="DEZ50" s="44"/>
      <c r="DFA50" s="44"/>
      <c r="DFB50" s="44"/>
      <c r="DFC50" s="44"/>
      <c r="DFD50" s="44"/>
      <c r="DFE50" s="44"/>
      <c r="DFF50" s="44"/>
      <c r="DFG50" s="44"/>
      <c r="DFH50" s="44"/>
      <c r="DFI50" s="44"/>
      <c r="DFJ50" s="44"/>
      <c r="DFK50" s="44"/>
      <c r="DFL50" s="44"/>
      <c r="DFM50" s="44"/>
      <c r="DFN50" s="44"/>
      <c r="DFO50" s="44"/>
      <c r="DFP50" s="44"/>
      <c r="DFQ50" s="44"/>
      <c r="DFR50" s="44"/>
      <c r="DFS50" s="44"/>
      <c r="DFT50" s="44"/>
      <c r="DFU50" s="44"/>
      <c r="DFV50" s="44"/>
      <c r="DFW50" s="44"/>
      <c r="DFX50" s="44"/>
      <c r="DFY50" s="44"/>
      <c r="DFZ50" s="44"/>
      <c r="DGA50" s="44"/>
      <c r="DGB50" s="44"/>
      <c r="DGC50" s="44"/>
      <c r="DGD50" s="44"/>
      <c r="DGE50" s="44"/>
      <c r="DGF50" s="44"/>
      <c r="DGG50" s="44"/>
      <c r="DGH50" s="44"/>
      <c r="DGI50" s="44"/>
      <c r="DGJ50" s="44"/>
      <c r="DGK50" s="44"/>
      <c r="DGL50" s="44"/>
      <c r="DGM50" s="44"/>
      <c r="DGN50" s="44"/>
      <c r="DGO50" s="44"/>
      <c r="DGP50" s="44"/>
      <c r="DGQ50" s="44"/>
      <c r="DGR50" s="44"/>
      <c r="DGS50" s="44"/>
      <c r="DGT50" s="44"/>
      <c r="DGU50" s="44"/>
      <c r="DGV50" s="44"/>
      <c r="DGW50" s="44"/>
      <c r="DGX50" s="44"/>
      <c r="DGY50" s="44"/>
      <c r="DGZ50" s="44"/>
      <c r="DHA50" s="44"/>
      <c r="DHB50" s="44"/>
      <c r="DHC50" s="44"/>
      <c r="DHD50" s="44"/>
      <c r="DHE50" s="44"/>
      <c r="DHF50" s="44"/>
      <c r="DHG50" s="44"/>
      <c r="DHH50" s="44"/>
      <c r="DHI50" s="44"/>
      <c r="DHJ50" s="44"/>
      <c r="DHK50" s="44"/>
      <c r="DHL50" s="44"/>
      <c r="DHM50" s="44"/>
      <c r="DHN50" s="44"/>
      <c r="DHO50" s="44"/>
      <c r="DHP50" s="44"/>
      <c r="DHQ50" s="44"/>
      <c r="DHR50" s="44"/>
      <c r="DHS50" s="44"/>
      <c r="DHT50" s="44"/>
      <c r="DHU50" s="44"/>
      <c r="DHV50" s="44"/>
      <c r="DHW50" s="44"/>
      <c r="DHX50" s="44"/>
      <c r="DHY50" s="44"/>
      <c r="DHZ50" s="44"/>
      <c r="DIA50" s="44"/>
      <c r="DIB50" s="44"/>
      <c r="DIC50" s="44"/>
      <c r="DID50" s="44"/>
      <c r="DIE50" s="44"/>
      <c r="DIF50" s="44"/>
      <c r="DIG50" s="44"/>
      <c r="DIH50" s="44"/>
      <c r="DII50" s="44"/>
      <c r="DIJ50" s="44"/>
      <c r="DIK50" s="44"/>
      <c r="DIL50" s="44"/>
      <c r="DIM50" s="44"/>
      <c r="DIN50" s="44"/>
      <c r="DIO50" s="44"/>
      <c r="DIP50" s="44"/>
      <c r="DIQ50" s="44"/>
      <c r="DIR50" s="44"/>
      <c r="DIS50" s="44"/>
      <c r="DIT50" s="44"/>
      <c r="DIU50" s="44"/>
      <c r="DIV50" s="44"/>
      <c r="DIW50" s="44"/>
      <c r="DIX50" s="44"/>
      <c r="DIY50" s="44"/>
      <c r="DIZ50" s="44"/>
      <c r="DJA50" s="44"/>
      <c r="DJB50" s="44"/>
      <c r="DJC50" s="44"/>
      <c r="DJD50" s="44"/>
      <c r="DJE50" s="44"/>
      <c r="DJF50" s="44"/>
      <c r="DJG50" s="44"/>
      <c r="DJH50" s="44"/>
      <c r="DJI50" s="44"/>
      <c r="DJJ50" s="44"/>
      <c r="DJK50" s="44"/>
      <c r="DJL50" s="44"/>
      <c r="DJM50" s="44"/>
      <c r="DJN50" s="44"/>
      <c r="DJO50" s="44"/>
      <c r="DJP50" s="44"/>
      <c r="DJQ50" s="44"/>
      <c r="DJR50" s="44"/>
      <c r="DJS50" s="44"/>
      <c r="DJT50" s="44"/>
      <c r="DJU50" s="44"/>
      <c r="DJV50" s="44"/>
      <c r="DJW50" s="44"/>
      <c r="DJX50" s="44"/>
      <c r="DJY50" s="44"/>
      <c r="DJZ50" s="44"/>
      <c r="DKA50" s="44"/>
      <c r="DKB50" s="44"/>
      <c r="DKC50" s="44"/>
      <c r="DKD50" s="44"/>
      <c r="DKE50" s="44"/>
      <c r="DKF50" s="44"/>
      <c r="DKG50" s="44"/>
      <c r="DKH50" s="44"/>
      <c r="DKI50" s="44"/>
      <c r="DKJ50" s="44"/>
      <c r="DKK50" s="44"/>
      <c r="DKL50" s="44"/>
      <c r="DKM50" s="44"/>
      <c r="DKN50" s="44"/>
      <c r="DKO50" s="44"/>
      <c r="DKP50" s="44"/>
      <c r="DKQ50" s="44"/>
      <c r="DKR50" s="44"/>
      <c r="DKS50" s="44"/>
      <c r="DKT50" s="44"/>
      <c r="DKU50" s="44"/>
      <c r="DKV50" s="44"/>
      <c r="DKW50" s="44"/>
      <c r="DKX50" s="44"/>
      <c r="DKY50" s="44"/>
      <c r="DKZ50" s="44"/>
      <c r="DLA50" s="44"/>
      <c r="DLB50" s="44"/>
      <c r="DLC50" s="44"/>
      <c r="DLD50" s="44"/>
      <c r="DLE50" s="44"/>
      <c r="DLF50" s="44"/>
      <c r="DLG50" s="44"/>
      <c r="DLH50" s="44"/>
      <c r="DLI50" s="44"/>
      <c r="DLJ50" s="44"/>
      <c r="DLK50" s="44"/>
      <c r="DLL50" s="44"/>
      <c r="DLM50" s="44"/>
      <c r="DLN50" s="44"/>
      <c r="DLO50" s="44"/>
      <c r="DLP50" s="44"/>
      <c r="DLQ50" s="44"/>
      <c r="DLR50" s="44"/>
      <c r="DLS50" s="44"/>
      <c r="DLT50" s="44"/>
      <c r="DLU50" s="44"/>
      <c r="DLV50" s="44"/>
      <c r="DLW50" s="44"/>
      <c r="DLX50" s="44"/>
      <c r="DLY50" s="44"/>
      <c r="DLZ50" s="44"/>
      <c r="DMA50" s="44"/>
      <c r="DMB50" s="44"/>
      <c r="DMC50" s="44"/>
      <c r="DMD50" s="44"/>
      <c r="DME50" s="44"/>
      <c r="DMF50" s="44"/>
      <c r="DMG50" s="44"/>
      <c r="DMH50" s="44"/>
      <c r="DMI50" s="44"/>
      <c r="DMJ50" s="44"/>
      <c r="DMK50" s="44"/>
      <c r="DML50" s="44"/>
      <c r="DMM50" s="44"/>
      <c r="DMN50" s="44"/>
      <c r="DMO50" s="44"/>
      <c r="DMP50" s="44"/>
      <c r="DMQ50" s="44"/>
      <c r="DMR50" s="44"/>
      <c r="DMS50" s="44"/>
      <c r="DMT50" s="44"/>
      <c r="DMU50" s="44"/>
      <c r="DMV50" s="44"/>
      <c r="DMW50" s="44"/>
      <c r="DMX50" s="44"/>
      <c r="DMY50" s="44"/>
      <c r="DMZ50" s="44"/>
      <c r="DNA50" s="44"/>
      <c r="DNB50" s="44"/>
      <c r="DNC50" s="44"/>
      <c r="DND50" s="44"/>
      <c r="DNE50" s="44"/>
      <c r="DNF50" s="44"/>
      <c r="DNG50" s="44"/>
      <c r="DNH50" s="44"/>
      <c r="DNI50" s="44"/>
      <c r="DNJ50" s="44"/>
      <c r="DNK50" s="44"/>
      <c r="DNL50" s="44"/>
      <c r="DNM50" s="44"/>
      <c r="DNN50" s="44"/>
      <c r="DNO50" s="44"/>
      <c r="DNP50" s="44"/>
      <c r="DNQ50" s="44"/>
      <c r="DNR50" s="44"/>
      <c r="DNS50" s="44"/>
      <c r="DNT50" s="44"/>
      <c r="DNU50" s="44"/>
      <c r="DNV50" s="44"/>
      <c r="DNW50" s="44"/>
      <c r="DNX50" s="44"/>
      <c r="DNY50" s="44"/>
      <c r="DNZ50" s="44"/>
      <c r="DOA50" s="44"/>
      <c r="DOB50" s="44"/>
      <c r="DOC50" s="44"/>
      <c r="DOD50" s="44"/>
      <c r="DOE50" s="44"/>
      <c r="DOF50" s="44"/>
      <c r="DOG50" s="44"/>
      <c r="DOH50" s="44"/>
      <c r="DOI50" s="44"/>
      <c r="DOJ50" s="44"/>
      <c r="DOK50" s="44"/>
      <c r="DOL50" s="44"/>
      <c r="DOM50" s="44"/>
      <c r="DON50" s="44"/>
      <c r="DOO50" s="44"/>
      <c r="DOP50" s="44"/>
      <c r="DOQ50" s="44"/>
      <c r="DOR50" s="44"/>
      <c r="DOS50" s="44"/>
      <c r="DOT50" s="44"/>
      <c r="DOU50" s="44"/>
      <c r="DOV50" s="44"/>
      <c r="DOW50" s="44"/>
      <c r="DOX50" s="44"/>
      <c r="DOY50" s="44"/>
      <c r="DOZ50" s="44"/>
      <c r="DPA50" s="44"/>
      <c r="DPB50" s="44"/>
      <c r="DPC50" s="44"/>
      <c r="DPD50" s="44"/>
      <c r="DPE50" s="44"/>
      <c r="DPF50" s="44"/>
      <c r="DPG50" s="44"/>
      <c r="DPH50" s="44"/>
      <c r="DPI50" s="44"/>
      <c r="DPJ50" s="44"/>
      <c r="DPK50" s="44"/>
      <c r="DPL50" s="44"/>
      <c r="DPM50" s="44"/>
      <c r="DPN50" s="44"/>
      <c r="DPO50" s="44"/>
      <c r="DPP50" s="44"/>
      <c r="DPQ50" s="44"/>
      <c r="DPR50" s="44"/>
      <c r="DPS50" s="44"/>
      <c r="DPT50" s="44"/>
      <c r="DPU50" s="44"/>
      <c r="DPV50" s="44"/>
      <c r="DPW50" s="44"/>
      <c r="DPX50" s="44"/>
      <c r="DPY50" s="44"/>
      <c r="DPZ50" s="44"/>
      <c r="DQA50" s="44"/>
      <c r="DQB50" s="44"/>
      <c r="DQC50" s="44"/>
      <c r="DQD50" s="44"/>
      <c r="DQE50" s="44"/>
      <c r="DQF50" s="44"/>
      <c r="DQG50" s="44"/>
      <c r="DQH50" s="44"/>
      <c r="DQI50" s="44"/>
      <c r="DQJ50" s="44"/>
      <c r="DQK50" s="44"/>
      <c r="DQL50" s="44"/>
      <c r="DQM50" s="44"/>
      <c r="DQN50" s="44"/>
      <c r="DQO50" s="44"/>
      <c r="DQP50" s="44"/>
      <c r="DQQ50" s="44"/>
      <c r="DQR50" s="44"/>
      <c r="DQS50" s="44"/>
      <c r="DQT50" s="44"/>
      <c r="DQU50" s="44"/>
      <c r="DQV50" s="44"/>
      <c r="DQW50" s="44"/>
      <c r="DQX50" s="44"/>
      <c r="DQY50" s="44"/>
      <c r="DQZ50" s="44"/>
      <c r="DRA50" s="44"/>
      <c r="DRB50" s="44"/>
      <c r="DRC50" s="44"/>
      <c r="DRD50" s="44"/>
      <c r="DRE50" s="44"/>
      <c r="DRF50" s="44"/>
      <c r="DRG50" s="44"/>
      <c r="DRH50" s="44"/>
      <c r="DRI50" s="44"/>
      <c r="DRJ50" s="44"/>
      <c r="DRK50" s="44"/>
      <c r="DRL50" s="44"/>
      <c r="DRM50" s="44"/>
      <c r="DRN50" s="44"/>
      <c r="DRO50" s="44"/>
      <c r="DRP50" s="44"/>
      <c r="DRQ50" s="44"/>
      <c r="DRR50" s="44"/>
      <c r="DRS50" s="44"/>
      <c r="DRT50" s="44"/>
      <c r="DRU50" s="44"/>
      <c r="DRV50" s="44"/>
      <c r="DRW50" s="44"/>
      <c r="DRX50" s="44"/>
      <c r="DRY50" s="44"/>
      <c r="DRZ50" s="44"/>
      <c r="DSA50" s="44"/>
      <c r="DSB50" s="44"/>
      <c r="DSC50" s="44"/>
      <c r="DSD50" s="44"/>
      <c r="DSE50" s="44"/>
      <c r="DSF50" s="44"/>
      <c r="DSG50" s="44"/>
      <c r="DSH50" s="44"/>
      <c r="DSI50" s="44"/>
      <c r="DSJ50" s="44"/>
      <c r="DSK50" s="44"/>
      <c r="DSL50" s="44"/>
      <c r="DSM50" s="44"/>
      <c r="DSN50" s="44"/>
      <c r="DSO50" s="44"/>
      <c r="DSP50" s="44"/>
      <c r="DSQ50" s="44"/>
      <c r="DSR50" s="44"/>
      <c r="DSS50" s="44"/>
      <c r="DST50" s="44"/>
      <c r="DSU50" s="44"/>
      <c r="DSV50" s="44"/>
      <c r="DSW50" s="44"/>
      <c r="DSX50" s="44"/>
      <c r="DSY50" s="44"/>
      <c r="DSZ50" s="44"/>
      <c r="DTA50" s="44"/>
      <c r="DTB50" s="44"/>
      <c r="DTC50" s="44"/>
      <c r="DTD50" s="44"/>
      <c r="DTE50" s="44"/>
      <c r="DTF50" s="44"/>
      <c r="DTG50" s="44"/>
      <c r="DTH50" s="44"/>
      <c r="DTI50" s="44"/>
      <c r="DTJ50" s="44"/>
      <c r="DTK50" s="44"/>
      <c r="DTL50" s="44"/>
      <c r="DTM50" s="44"/>
      <c r="DTN50" s="44"/>
      <c r="DTO50" s="44"/>
      <c r="DTP50" s="44"/>
      <c r="DTQ50" s="44"/>
      <c r="DTR50" s="44"/>
      <c r="DTS50" s="44"/>
      <c r="DTT50" s="44"/>
      <c r="DTU50" s="44"/>
      <c r="DTV50" s="44"/>
      <c r="DTW50" s="44"/>
      <c r="DTX50" s="44"/>
      <c r="DTY50" s="44"/>
      <c r="DTZ50" s="44"/>
      <c r="DUA50" s="44"/>
      <c r="DUB50" s="44"/>
      <c r="DUC50" s="44"/>
      <c r="DUD50" s="44"/>
      <c r="DUE50" s="44"/>
      <c r="DUF50" s="44"/>
      <c r="DUG50" s="44"/>
      <c r="DUH50" s="44"/>
      <c r="DUI50" s="44"/>
      <c r="DUJ50" s="44"/>
      <c r="DUK50" s="44"/>
      <c r="DUL50" s="44"/>
      <c r="DUM50" s="44"/>
      <c r="DUN50" s="44"/>
      <c r="DUO50" s="44"/>
      <c r="DUP50" s="44"/>
      <c r="DUQ50" s="44"/>
      <c r="DUR50" s="44"/>
      <c r="DUS50" s="44"/>
      <c r="DUT50" s="44"/>
      <c r="DUU50" s="44"/>
      <c r="DUV50" s="44"/>
      <c r="DUW50" s="44"/>
      <c r="DUX50" s="44"/>
      <c r="DUY50" s="44"/>
      <c r="DUZ50" s="44"/>
      <c r="DVA50" s="44"/>
      <c r="DVB50" s="44"/>
      <c r="DVC50" s="44"/>
      <c r="DVD50" s="44"/>
      <c r="DVE50" s="44"/>
      <c r="DVF50" s="44"/>
      <c r="DVG50" s="44"/>
      <c r="DVH50" s="44"/>
      <c r="DVI50" s="44"/>
      <c r="DVJ50" s="44"/>
      <c r="DVK50" s="44"/>
      <c r="DVL50" s="44"/>
      <c r="DVM50" s="44"/>
      <c r="DVN50" s="44"/>
      <c r="DVO50" s="44"/>
      <c r="DVP50" s="44"/>
      <c r="DVQ50" s="44"/>
      <c r="DVR50" s="44"/>
      <c r="DVS50" s="44"/>
      <c r="DVT50" s="44"/>
      <c r="DVU50" s="44"/>
      <c r="DVV50" s="44"/>
      <c r="DVW50" s="44"/>
      <c r="DVX50" s="44"/>
      <c r="DVY50" s="44"/>
      <c r="DVZ50" s="44"/>
      <c r="DWA50" s="44"/>
      <c r="DWB50" s="44"/>
      <c r="DWC50" s="44"/>
      <c r="DWD50" s="44"/>
      <c r="DWE50" s="44"/>
      <c r="DWF50" s="44"/>
      <c r="DWG50" s="44"/>
      <c r="DWH50" s="44"/>
      <c r="DWI50" s="44"/>
      <c r="DWJ50" s="44"/>
      <c r="DWK50" s="44"/>
      <c r="DWL50" s="44"/>
      <c r="DWM50" s="44"/>
      <c r="DWN50" s="44"/>
      <c r="DWO50" s="44"/>
      <c r="DWP50" s="44"/>
      <c r="DWQ50" s="44"/>
      <c r="DWR50" s="44"/>
      <c r="DWS50" s="44"/>
      <c r="DWT50" s="44"/>
      <c r="DWU50" s="44"/>
      <c r="DWV50" s="44"/>
      <c r="DWW50" s="44"/>
      <c r="DWX50" s="44"/>
      <c r="DWY50" s="44"/>
      <c r="DWZ50" s="44"/>
      <c r="DXA50" s="44"/>
      <c r="DXB50" s="44"/>
      <c r="DXC50" s="44"/>
      <c r="DXD50" s="44"/>
      <c r="DXE50" s="44"/>
      <c r="DXF50" s="44"/>
      <c r="DXG50" s="44"/>
      <c r="DXH50" s="44"/>
      <c r="DXI50" s="44"/>
      <c r="DXJ50" s="44"/>
      <c r="DXK50" s="44"/>
      <c r="DXL50" s="44"/>
      <c r="DXM50" s="44"/>
      <c r="DXN50" s="44"/>
      <c r="DXO50" s="44"/>
      <c r="DXP50" s="44"/>
      <c r="DXQ50" s="44"/>
      <c r="DXR50" s="44"/>
      <c r="DXS50" s="44"/>
      <c r="DXT50" s="44"/>
      <c r="DXU50" s="44"/>
      <c r="DXV50" s="44"/>
      <c r="DXW50" s="44"/>
      <c r="DXX50" s="44"/>
      <c r="DXY50" s="44"/>
      <c r="DXZ50" s="44"/>
      <c r="DYA50" s="44"/>
      <c r="DYB50" s="44"/>
      <c r="DYC50" s="44"/>
      <c r="DYD50" s="44"/>
      <c r="DYE50" s="44"/>
      <c r="DYF50" s="44"/>
      <c r="DYG50" s="44"/>
      <c r="DYH50" s="44"/>
      <c r="DYI50" s="44"/>
      <c r="DYJ50" s="44"/>
      <c r="DYK50" s="44"/>
      <c r="DYL50" s="44"/>
      <c r="DYM50" s="44"/>
      <c r="DYN50" s="44"/>
      <c r="DYO50" s="44"/>
      <c r="DYP50" s="44"/>
      <c r="DYQ50" s="44"/>
      <c r="DYR50" s="44"/>
      <c r="DYS50" s="44"/>
      <c r="DYT50" s="44"/>
      <c r="DYU50" s="44"/>
      <c r="DYV50" s="44"/>
      <c r="DYW50" s="44"/>
      <c r="DYX50" s="44"/>
      <c r="DYY50" s="44"/>
      <c r="DYZ50" s="44"/>
      <c r="DZA50" s="44"/>
      <c r="DZB50" s="44"/>
      <c r="DZC50" s="44"/>
      <c r="DZD50" s="44"/>
      <c r="DZE50" s="44"/>
      <c r="DZF50" s="44"/>
      <c r="DZG50" s="44"/>
      <c r="DZH50" s="44"/>
      <c r="DZI50" s="44"/>
      <c r="DZJ50" s="44"/>
      <c r="DZK50" s="44"/>
      <c r="DZL50" s="44"/>
      <c r="DZM50" s="44"/>
      <c r="DZN50" s="44"/>
      <c r="DZO50" s="44"/>
      <c r="DZP50" s="44"/>
      <c r="DZQ50" s="44"/>
      <c r="DZR50" s="44"/>
      <c r="DZS50" s="44"/>
      <c r="DZT50" s="44"/>
      <c r="DZU50" s="44"/>
      <c r="DZV50" s="44"/>
      <c r="DZW50" s="44"/>
      <c r="DZX50" s="44"/>
      <c r="DZY50" s="44"/>
      <c r="DZZ50" s="44"/>
      <c r="EAA50" s="44"/>
      <c r="EAB50" s="44"/>
      <c r="EAC50" s="44"/>
      <c r="EAD50" s="44"/>
      <c r="EAE50" s="44"/>
      <c r="EAF50" s="44"/>
      <c r="EAG50" s="44"/>
      <c r="EAH50" s="44"/>
      <c r="EAI50" s="44"/>
      <c r="EAJ50" s="44"/>
      <c r="EAK50" s="44"/>
      <c r="EAL50" s="44"/>
      <c r="EAM50" s="44"/>
      <c r="EAN50" s="44"/>
      <c r="EAO50" s="44"/>
      <c r="EAP50" s="44"/>
      <c r="EAQ50" s="44"/>
      <c r="EAR50" s="44"/>
      <c r="EAS50" s="44"/>
      <c r="EAT50" s="44"/>
      <c r="EAU50" s="44"/>
      <c r="EAV50" s="44"/>
      <c r="EAW50" s="44"/>
      <c r="EAX50" s="44"/>
      <c r="EAY50" s="44"/>
      <c r="EAZ50" s="44"/>
      <c r="EBA50" s="44"/>
      <c r="EBB50" s="44"/>
      <c r="EBC50" s="44"/>
      <c r="EBD50" s="44"/>
      <c r="EBE50" s="44"/>
      <c r="EBF50" s="44"/>
      <c r="EBG50" s="44"/>
      <c r="EBH50" s="44"/>
      <c r="EBI50" s="44"/>
      <c r="EBJ50" s="44"/>
      <c r="EBK50" s="44"/>
      <c r="EBL50" s="44"/>
      <c r="EBM50" s="44"/>
      <c r="EBN50" s="44"/>
      <c r="EBO50" s="44"/>
      <c r="EBP50" s="44"/>
      <c r="EBQ50" s="44"/>
      <c r="EBR50" s="44"/>
      <c r="EBS50" s="44"/>
      <c r="EBT50" s="44"/>
      <c r="EBU50" s="44"/>
      <c r="EBV50" s="44"/>
      <c r="EBW50" s="44"/>
      <c r="EBX50" s="44"/>
      <c r="EBY50" s="44"/>
      <c r="EBZ50" s="44"/>
      <c r="ECA50" s="44"/>
      <c r="ECB50" s="44"/>
      <c r="ECC50" s="44"/>
      <c r="ECD50" s="44"/>
      <c r="ECE50" s="44"/>
      <c r="ECF50" s="44"/>
      <c r="ECG50" s="44"/>
      <c r="ECH50" s="44"/>
      <c r="ECI50" s="44"/>
      <c r="ECJ50" s="44"/>
      <c r="ECK50" s="44"/>
      <c r="ECL50" s="44"/>
      <c r="ECM50" s="44"/>
      <c r="ECN50" s="44"/>
      <c r="ECO50" s="44"/>
      <c r="ECP50" s="44"/>
      <c r="ECQ50" s="44"/>
      <c r="ECR50" s="44"/>
      <c r="ECS50" s="44"/>
      <c r="ECT50" s="44"/>
      <c r="ECU50" s="44"/>
      <c r="ECV50" s="44"/>
      <c r="ECW50" s="44"/>
      <c r="ECX50" s="44"/>
      <c r="ECY50" s="44"/>
      <c r="ECZ50" s="44"/>
      <c r="EDA50" s="44"/>
      <c r="EDB50" s="44"/>
      <c r="EDC50" s="44"/>
      <c r="EDD50" s="44"/>
      <c r="EDE50" s="44"/>
      <c r="EDF50" s="44"/>
      <c r="EDG50" s="44"/>
      <c r="EDH50" s="44"/>
      <c r="EDI50" s="44"/>
      <c r="EDJ50" s="44"/>
      <c r="EDK50" s="44"/>
      <c r="EDL50" s="44"/>
      <c r="EDM50" s="44"/>
      <c r="EDN50" s="44"/>
      <c r="EDO50" s="44"/>
      <c r="EDP50" s="44"/>
      <c r="EDQ50" s="44"/>
      <c r="EDR50" s="44"/>
      <c r="EDS50" s="44"/>
      <c r="EDT50" s="44"/>
      <c r="EDU50" s="44"/>
      <c r="EDV50" s="44"/>
      <c r="EDW50" s="44"/>
      <c r="EDX50" s="44"/>
      <c r="EDY50" s="44"/>
      <c r="EDZ50" s="44"/>
      <c r="EEA50" s="44"/>
      <c r="EEB50" s="44"/>
      <c r="EEC50" s="44"/>
      <c r="EED50" s="44"/>
      <c r="EEE50" s="44"/>
      <c r="EEF50" s="44"/>
      <c r="EEG50" s="44"/>
      <c r="EEH50" s="44"/>
      <c r="EEI50" s="44"/>
      <c r="EEJ50" s="44"/>
      <c r="EEK50" s="44"/>
      <c r="EEL50" s="44"/>
      <c r="EEM50" s="44"/>
      <c r="EEN50" s="44"/>
      <c r="EEO50" s="44"/>
      <c r="EEP50" s="44"/>
      <c r="EEQ50" s="44"/>
      <c r="EER50" s="44"/>
      <c r="EES50" s="44"/>
      <c r="EET50" s="44"/>
      <c r="EEU50" s="44"/>
      <c r="EEV50" s="44"/>
      <c r="EEW50" s="44"/>
      <c r="EEX50" s="44"/>
      <c r="EEY50" s="44"/>
      <c r="EEZ50" s="44"/>
      <c r="EFA50" s="44"/>
      <c r="EFB50" s="44"/>
      <c r="EFC50" s="44"/>
      <c r="EFD50" s="44"/>
      <c r="EFE50" s="44"/>
      <c r="EFF50" s="44"/>
      <c r="EFG50" s="44"/>
      <c r="EFH50" s="44"/>
      <c r="EFI50" s="44"/>
      <c r="EFJ50" s="44"/>
      <c r="EFK50" s="44"/>
      <c r="EFL50" s="44"/>
      <c r="EFM50" s="44"/>
      <c r="EFN50" s="44"/>
      <c r="EFO50" s="44"/>
      <c r="EFP50" s="44"/>
      <c r="EFQ50" s="44"/>
      <c r="EFR50" s="44"/>
      <c r="EFS50" s="44"/>
      <c r="EFT50" s="44"/>
      <c r="EFU50" s="44"/>
      <c r="EFV50" s="44"/>
      <c r="EFW50" s="44"/>
      <c r="EFX50" s="44"/>
      <c r="EFY50" s="44"/>
      <c r="EFZ50" s="44"/>
      <c r="EGA50" s="44"/>
      <c r="EGB50" s="44"/>
      <c r="EGC50" s="44"/>
      <c r="EGD50" s="44"/>
      <c r="EGE50" s="44"/>
      <c r="EGF50" s="44"/>
      <c r="EGG50" s="44"/>
      <c r="EGH50" s="44"/>
      <c r="EGI50" s="44"/>
      <c r="EGJ50" s="44"/>
      <c r="EGK50" s="44"/>
      <c r="EGL50" s="44"/>
      <c r="EGM50" s="44"/>
      <c r="EGN50" s="44"/>
      <c r="EGO50" s="44"/>
      <c r="EGP50" s="44"/>
      <c r="EGQ50" s="44"/>
      <c r="EGR50" s="44"/>
      <c r="EGS50" s="44"/>
      <c r="EGT50" s="44"/>
      <c r="EGU50" s="44"/>
      <c r="EGV50" s="44"/>
      <c r="EGW50" s="44"/>
      <c r="EGX50" s="44"/>
      <c r="EGY50" s="44"/>
      <c r="EGZ50" s="44"/>
      <c r="EHA50" s="44"/>
      <c r="EHB50" s="44"/>
      <c r="EHC50" s="44"/>
      <c r="EHD50" s="44"/>
      <c r="EHE50" s="44"/>
      <c r="EHF50" s="44"/>
      <c r="EHG50" s="44"/>
      <c r="EHH50" s="44"/>
      <c r="EHI50" s="44"/>
      <c r="EHJ50" s="44"/>
      <c r="EHK50" s="44"/>
      <c r="EHL50" s="44"/>
      <c r="EHM50" s="44"/>
      <c r="EHN50" s="44"/>
      <c r="EHO50" s="44"/>
      <c r="EHP50" s="44"/>
      <c r="EHQ50" s="44"/>
      <c r="EHR50" s="44"/>
      <c r="EHS50" s="44"/>
      <c r="EHT50" s="44"/>
      <c r="EHU50" s="44"/>
      <c r="EHV50" s="44"/>
      <c r="EHW50" s="44"/>
      <c r="EHX50" s="44"/>
      <c r="EHY50" s="44"/>
      <c r="EHZ50" s="44"/>
      <c r="EIA50" s="44"/>
      <c r="EIB50" s="44"/>
      <c r="EIC50" s="44"/>
      <c r="EID50" s="44"/>
      <c r="EIE50" s="44"/>
      <c r="EIF50" s="44"/>
      <c r="EIG50" s="44"/>
      <c r="EIH50" s="44"/>
      <c r="EII50" s="44"/>
      <c r="EIJ50" s="44"/>
      <c r="EIK50" s="44"/>
      <c r="EIL50" s="44"/>
      <c r="EIM50" s="44"/>
      <c r="EIN50" s="44"/>
      <c r="EIO50" s="44"/>
      <c r="EIP50" s="44"/>
      <c r="EIQ50" s="44"/>
      <c r="EIR50" s="44"/>
      <c r="EIS50" s="44"/>
      <c r="EIT50" s="44"/>
      <c r="EIU50" s="44"/>
      <c r="EIV50" s="44"/>
      <c r="EIW50" s="44"/>
      <c r="EIX50" s="44"/>
      <c r="EIY50" s="44"/>
      <c r="EIZ50" s="44"/>
      <c r="EJA50" s="44"/>
      <c r="EJB50" s="44"/>
      <c r="EJC50" s="44"/>
      <c r="EJD50" s="44"/>
      <c r="EJE50" s="44"/>
      <c r="EJF50" s="44"/>
      <c r="EJG50" s="44"/>
      <c r="EJH50" s="44"/>
      <c r="EJI50" s="44"/>
      <c r="EJJ50" s="44"/>
      <c r="EJK50" s="44"/>
      <c r="EJL50" s="44"/>
      <c r="EJM50" s="44"/>
      <c r="EJN50" s="44"/>
      <c r="EJO50" s="44"/>
      <c r="EJP50" s="44"/>
      <c r="EJQ50" s="44"/>
      <c r="EJR50" s="44"/>
      <c r="EJS50" s="44"/>
      <c r="EJT50" s="44"/>
      <c r="EJU50" s="44"/>
      <c r="EJV50" s="44"/>
      <c r="EJW50" s="44"/>
      <c r="EJX50" s="44"/>
      <c r="EJY50" s="44"/>
      <c r="EJZ50" s="44"/>
      <c r="EKA50" s="44"/>
      <c r="EKB50" s="44"/>
      <c r="EKC50" s="44"/>
      <c r="EKD50" s="44"/>
      <c r="EKE50" s="44"/>
      <c r="EKF50" s="44"/>
      <c r="EKG50" s="44"/>
      <c r="EKH50" s="44"/>
      <c r="EKI50" s="44"/>
      <c r="EKJ50" s="44"/>
      <c r="EKK50" s="44"/>
      <c r="EKL50" s="44"/>
      <c r="EKM50" s="44"/>
      <c r="EKN50" s="44"/>
      <c r="EKO50" s="44"/>
      <c r="EKP50" s="44"/>
      <c r="EKQ50" s="44"/>
      <c r="EKR50" s="44"/>
      <c r="EKS50" s="44"/>
      <c r="EKT50" s="44"/>
      <c r="EKU50" s="44"/>
      <c r="EKV50" s="44"/>
      <c r="EKW50" s="44"/>
      <c r="EKX50" s="44"/>
      <c r="EKY50" s="44"/>
      <c r="EKZ50" s="44"/>
      <c r="ELA50" s="44"/>
      <c r="ELB50" s="44"/>
      <c r="ELC50" s="44"/>
      <c r="ELD50" s="44"/>
      <c r="ELE50" s="44"/>
      <c r="ELF50" s="44"/>
      <c r="ELG50" s="44"/>
      <c r="ELH50" s="44"/>
      <c r="ELI50" s="44"/>
      <c r="ELJ50" s="44"/>
      <c r="ELK50" s="44"/>
      <c r="ELL50" s="44"/>
      <c r="ELM50" s="44"/>
      <c r="ELN50" s="44"/>
      <c r="ELO50" s="44"/>
      <c r="ELP50" s="44"/>
      <c r="ELQ50" s="44"/>
      <c r="ELR50" s="44"/>
      <c r="ELS50" s="44"/>
      <c r="ELT50" s="44"/>
      <c r="ELU50" s="44"/>
      <c r="ELV50" s="44"/>
      <c r="ELW50" s="44"/>
      <c r="ELX50" s="44"/>
      <c r="ELY50" s="44"/>
      <c r="ELZ50" s="44"/>
      <c r="EMA50" s="44"/>
      <c r="EMB50" s="44"/>
      <c r="EMC50" s="44"/>
      <c r="EMD50" s="44"/>
      <c r="EME50" s="44"/>
      <c r="EMF50" s="44"/>
      <c r="EMG50" s="44"/>
      <c r="EMH50" s="44"/>
      <c r="EMI50" s="44"/>
      <c r="EMJ50" s="44"/>
      <c r="EMK50" s="44"/>
      <c r="EML50" s="44"/>
      <c r="EMM50" s="44"/>
      <c r="EMN50" s="44"/>
      <c r="EMO50" s="44"/>
      <c r="EMP50" s="44"/>
      <c r="EMQ50" s="44"/>
      <c r="EMR50" s="44"/>
      <c r="EMS50" s="44"/>
      <c r="EMT50" s="44"/>
      <c r="EMU50" s="44"/>
      <c r="EMV50" s="44"/>
      <c r="EMW50" s="44"/>
      <c r="EMX50" s="44"/>
      <c r="EMY50" s="44"/>
      <c r="EMZ50" s="44"/>
      <c r="ENA50" s="44"/>
      <c r="ENB50" s="44"/>
      <c r="ENC50" s="44"/>
      <c r="END50" s="44"/>
      <c r="ENE50" s="44"/>
      <c r="ENF50" s="44"/>
      <c r="ENG50" s="44"/>
      <c r="ENH50" s="44"/>
      <c r="ENI50" s="44"/>
      <c r="ENJ50" s="44"/>
      <c r="ENK50" s="44"/>
      <c r="ENL50" s="44"/>
      <c r="ENM50" s="44"/>
      <c r="ENN50" s="44"/>
      <c r="ENO50" s="44"/>
      <c r="ENP50" s="44"/>
      <c r="ENQ50" s="44"/>
      <c r="ENR50" s="44"/>
      <c r="ENS50" s="44"/>
      <c r="ENT50" s="44"/>
      <c r="ENU50" s="44"/>
      <c r="ENV50" s="44"/>
      <c r="ENW50" s="44"/>
      <c r="ENX50" s="44"/>
      <c r="ENY50" s="44"/>
      <c r="ENZ50" s="44"/>
      <c r="EOA50" s="44"/>
      <c r="EOB50" s="44"/>
      <c r="EOC50" s="44"/>
      <c r="EOD50" s="44"/>
      <c r="EOE50" s="44"/>
      <c r="EOF50" s="44"/>
      <c r="EOG50" s="44"/>
      <c r="EOH50" s="44"/>
      <c r="EOI50" s="44"/>
      <c r="EOJ50" s="44"/>
      <c r="EOK50" s="44"/>
      <c r="EOL50" s="44"/>
      <c r="EOM50" s="44"/>
      <c r="EON50" s="44"/>
      <c r="EOO50" s="44"/>
      <c r="EOP50" s="44"/>
      <c r="EOQ50" s="44"/>
      <c r="EOR50" s="44"/>
      <c r="EOS50" s="44"/>
      <c r="EOT50" s="44"/>
      <c r="EOU50" s="44"/>
      <c r="EOV50" s="44"/>
      <c r="EOW50" s="44"/>
      <c r="EOX50" s="44"/>
      <c r="EOY50" s="44"/>
      <c r="EOZ50" s="44"/>
      <c r="EPA50" s="44"/>
      <c r="EPB50" s="44"/>
      <c r="EPC50" s="44"/>
      <c r="EPD50" s="44"/>
      <c r="EPE50" s="44"/>
      <c r="EPF50" s="44"/>
      <c r="EPG50" s="44"/>
      <c r="EPH50" s="44"/>
      <c r="EPI50" s="44"/>
      <c r="EPJ50" s="44"/>
      <c r="EPK50" s="44"/>
      <c r="EPL50" s="44"/>
      <c r="EPM50" s="44"/>
      <c r="EPN50" s="44"/>
      <c r="EPO50" s="44"/>
      <c r="EPP50" s="44"/>
      <c r="EPQ50" s="44"/>
      <c r="EPR50" s="44"/>
      <c r="EPS50" s="44"/>
      <c r="EPT50" s="44"/>
      <c r="EPU50" s="44"/>
      <c r="EPV50" s="44"/>
      <c r="EPW50" s="44"/>
      <c r="EPX50" s="44"/>
      <c r="EPY50" s="44"/>
      <c r="EPZ50" s="44"/>
      <c r="EQA50" s="44"/>
      <c r="EQB50" s="44"/>
      <c r="EQC50" s="44"/>
      <c r="EQD50" s="44"/>
      <c r="EQE50" s="44"/>
      <c r="EQF50" s="44"/>
      <c r="EQG50" s="44"/>
      <c r="EQH50" s="44"/>
      <c r="EQI50" s="44"/>
      <c r="EQJ50" s="44"/>
      <c r="EQK50" s="44"/>
      <c r="EQL50" s="44"/>
      <c r="EQM50" s="44"/>
      <c r="EQN50" s="44"/>
      <c r="EQO50" s="44"/>
      <c r="EQP50" s="44"/>
      <c r="EQQ50" s="44"/>
      <c r="EQR50" s="44"/>
      <c r="EQS50" s="44"/>
      <c r="EQT50" s="44"/>
      <c r="EQU50" s="44"/>
      <c r="EQV50" s="44"/>
      <c r="EQW50" s="44"/>
      <c r="EQX50" s="44"/>
      <c r="EQY50" s="44"/>
      <c r="EQZ50" s="44"/>
      <c r="ERA50" s="44"/>
      <c r="ERB50" s="44"/>
      <c r="ERC50" s="44"/>
      <c r="ERD50" s="44"/>
      <c r="ERE50" s="44"/>
      <c r="ERF50" s="44"/>
      <c r="ERG50" s="44"/>
      <c r="ERH50" s="44"/>
      <c r="ERI50" s="44"/>
      <c r="ERJ50" s="44"/>
      <c r="ERK50" s="44"/>
      <c r="ERL50" s="44"/>
      <c r="ERM50" s="44"/>
      <c r="ERN50" s="44"/>
      <c r="ERO50" s="44"/>
      <c r="ERP50" s="44"/>
      <c r="ERQ50" s="44"/>
      <c r="ERR50" s="44"/>
      <c r="ERS50" s="44"/>
      <c r="ERT50" s="44"/>
      <c r="ERU50" s="44"/>
      <c r="ERV50" s="44"/>
      <c r="ERW50" s="44"/>
      <c r="ERX50" s="44"/>
      <c r="ERY50" s="44"/>
      <c r="ERZ50" s="44"/>
      <c r="ESA50" s="44"/>
      <c r="ESB50" s="44"/>
      <c r="ESC50" s="44"/>
      <c r="ESD50" s="44"/>
      <c r="ESE50" s="44"/>
      <c r="ESF50" s="44"/>
      <c r="ESG50" s="44"/>
      <c r="ESH50" s="44"/>
      <c r="ESI50" s="44"/>
      <c r="ESJ50" s="44"/>
      <c r="ESK50" s="44"/>
      <c r="ESL50" s="44"/>
      <c r="ESM50" s="44"/>
      <c r="ESN50" s="44"/>
      <c r="ESO50" s="44"/>
      <c r="ESP50" s="44"/>
      <c r="ESQ50" s="44"/>
      <c r="ESR50" s="44"/>
      <c r="ESS50" s="44"/>
      <c r="EST50" s="44"/>
      <c r="ESU50" s="44"/>
      <c r="ESV50" s="44"/>
      <c r="ESW50" s="44"/>
      <c r="ESX50" s="44"/>
      <c r="ESY50" s="44"/>
      <c r="ESZ50" s="44"/>
      <c r="ETA50" s="44"/>
      <c r="ETB50" s="44"/>
      <c r="ETC50" s="44"/>
      <c r="ETD50" s="44"/>
      <c r="ETE50" s="44"/>
      <c r="ETF50" s="44"/>
      <c r="ETG50" s="44"/>
      <c r="ETH50" s="44"/>
      <c r="ETI50" s="44"/>
      <c r="ETJ50" s="44"/>
      <c r="ETK50" s="44"/>
      <c r="ETL50" s="44"/>
      <c r="ETM50" s="44"/>
      <c r="ETN50" s="44"/>
      <c r="ETO50" s="44"/>
      <c r="ETP50" s="44"/>
      <c r="ETQ50" s="44"/>
      <c r="ETR50" s="44"/>
      <c r="ETS50" s="44"/>
      <c r="ETT50" s="44"/>
      <c r="ETU50" s="44"/>
      <c r="ETV50" s="44"/>
      <c r="ETW50" s="44"/>
      <c r="ETX50" s="44"/>
      <c r="ETY50" s="44"/>
      <c r="ETZ50" s="44"/>
      <c r="EUA50" s="44"/>
      <c r="EUB50" s="44"/>
      <c r="EUC50" s="44"/>
      <c r="EUD50" s="44"/>
      <c r="EUE50" s="44"/>
      <c r="EUF50" s="44"/>
      <c r="EUG50" s="44"/>
      <c r="EUH50" s="44"/>
      <c r="EUI50" s="44"/>
      <c r="EUJ50" s="44"/>
      <c r="EUK50" s="44"/>
      <c r="EUL50" s="44"/>
      <c r="EUM50" s="44"/>
      <c r="EUN50" s="44"/>
      <c r="EUO50" s="44"/>
      <c r="EUP50" s="44"/>
      <c r="EUQ50" s="44"/>
      <c r="EUR50" s="44"/>
      <c r="EUS50" s="44"/>
      <c r="EUT50" s="44"/>
      <c r="EUU50" s="44"/>
      <c r="EUV50" s="44"/>
      <c r="EUW50" s="44"/>
      <c r="EUX50" s="44"/>
      <c r="EUY50" s="44"/>
      <c r="EUZ50" s="44"/>
      <c r="EVA50" s="44"/>
      <c r="EVB50" s="44"/>
      <c r="EVC50" s="44"/>
      <c r="EVD50" s="44"/>
      <c r="EVE50" s="44"/>
      <c r="EVF50" s="44"/>
      <c r="EVG50" s="44"/>
      <c r="EVH50" s="44"/>
      <c r="EVI50" s="44"/>
      <c r="EVJ50" s="44"/>
      <c r="EVK50" s="44"/>
      <c r="EVL50" s="44"/>
      <c r="EVM50" s="44"/>
      <c r="EVN50" s="44"/>
      <c r="EVO50" s="44"/>
      <c r="EVP50" s="44"/>
      <c r="EVQ50" s="44"/>
      <c r="EVR50" s="44"/>
      <c r="EVS50" s="44"/>
      <c r="EVT50" s="44"/>
      <c r="EVU50" s="44"/>
      <c r="EVV50" s="44"/>
      <c r="EVW50" s="44"/>
      <c r="EVX50" s="44"/>
      <c r="EVY50" s="44"/>
      <c r="EVZ50" s="44"/>
      <c r="EWA50" s="44"/>
      <c r="EWB50" s="44"/>
      <c r="EWC50" s="44"/>
      <c r="EWD50" s="44"/>
      <c r="EWE50" s="44"/>
      <c r="EWF50" s="44"/>
      <c r="EWG50" s="44"/>
      <c r="EWH50" s="44"/>
      <c r="EWI50" s="44"/>
      <c r="EWJ50" s="44"/>
      <c r="EWK50" s="44"/>
      <c r="EWL50" s="44"/>
      <c r="EWM50" s="44"/>
      <c r="EWN50" s="44"/>
      <c r="EWO50" s="44"/>
      <c r="EWP50" s="44"/>
      <c r="EWQ50" s="44"/>
      <c r="EWR50" s="44"/>
      <c r="EWS50" s="44"/>
      <c r="EWT50" s="44"/>
      <c r="EWU50" s="44"/>
      <c r="EWV50" s="44"/>
      <c r="EWW50" s="44"/>
      <c r="EWX50" s="44"/>
      <c r="EWY50" s="44"/>
      <c r="EWZ50" s="44"/>
      <c r="EXA50" s="44"/>
      <c r="EXB50" s="44"/>
      <c r="EXC50" s="44"/>
      <c r="EXD50" s="44"/>
      <c r="EXE50" s="44"/>
      <c r="EXF50" s="44"/>
      <c r="EXG50" s="44"/>
      <c r="EXH50" s="44"/>
      <c r="EXI50" s="44"/>
      <c r="EXJ50" s="44"/>
      <c r="EXK50" s="44"/>
      <c r="EXL50" s="44"/>
      <c r="EXM50" s="44"/>
      <c r="EXN50" s="44"/>
      <c r="EXO50" s="44"/>
      <c r="EXP50" s="44"/>
      <c r="EXQ50" s="44"/>
      <c r="EXR50" s="44"/>
      <c r="EXS50" s="44"/>
      <c r="EXT50" s="44"/>
      <c r="EXU50" s="44"/>
      <c r="EXV50" s="44"/>
      <c r="EXW50" s="44"/>
      <c r="EXX50" s="44"/>
      <c r="EXY50" s="44"/>
      <c r="EXZ50" s="44"/>
      <c r="EYA50" s="44"/>
      <c r="EYB50" s="44"/>
      <c r="EYC50" s="44"/>
      <c r="EYD50" s="44"/>
      <c r="EYE50" s="44"/>
      <c r="EYF50" s="44"/>
      <c r="EYG50" s="44"/>
      <c r="EYH50" s="44"/>
      <c r="EYI50" s="44"/>
      <c r="EYJ50" s="44"/>
      <c r="EYK50" s="44"/>
      <c r="EYL50" s="44"/>
      <c r="EYM50" s="44"/>
      <c r="EYN50" s="44"/>
      <c r="EYO50" s="44"/>
      <c r="EYP50" s="44"/>
      <c r="EYQ50" s="44"/>
      <c r="EYR50" s="44"/>
      <c r="EYS50" s="44"/>
      <c r="EYT50" s="44"/>
      <c r="EYU50" s="44"/>
      <c r="EYV50" s="44"/>
      <c r="EYW50" s="44"/>
      <c r="EYX50" s="44"/>
      <c r="EYY50" s="44"/>
      <c r="EYZ50" s="44"/>
      <c r="EZA50" s="44"/>
      <c r="EZB50" s="44"/>
      <c r="EZC50" s="44"/>
      <c r="EZD50" s="44"/>
      <c r="EZE50" s="44"/>
      <c r="EZF50" s="44"/>
      <c r="EZG50" s="44"/>
      <c r="EZH50" s="44"/>
      <c r="EZI50" s="44"/>
      <c r="EZJ50" s="44"/>
      <c r="EZK50" s="44"/>
      <c r="EZL50" s="44"/>
      <c r="EZM50" s="44"/>
      <c r="EZN50" s="44"/>
      <c r="EZO50" s="44"/>
      <c r="EZP50" s="44"/>
      <c r="EZQ50" s="44"/>
      <c r="EZR50" s="44"/>
      <c r="EZS50" s="44"/>
      <c r="EZT50" s="44"/>
      <c r="EZU50" s="44"/>
      <c r="EZV50" s="44"/>
      <c r="EZW50" s="44"/>
      <c r="EZX50" s="44"/>
      <c r="EZY50" s="44"/>
      <c r="EZZ50" s="44"/>
      <c r="FAA50" s="44"/>
      <c r="FAB50" s="44"/>
      <c r="FAC50" s="44"/>
      <c r="FAD50" s="44"/>
      <c r="FAE50" s="44"/>
      <c r="FAF50" s="44"/>
      <c r="FAG50" s="44"/>
      <c r="FAH50" s="44"/>
      <c r="FAI50" s="44"/>
      <c r="FAJ50" s="44"/>
      <c r="FAK50" s="44"/>
      <c r="FAL50" s="44"/>
      <c r="FAM50" s="44"/>
      <c r="FAN50" s="44"/>
      <c r="FAO50" s="44"/>
      <c r="FAP50" s="44"/>
      <c r="FAQ50" s="44"/>
      <c r="FAR50" s="44"/>
      <c r="FAS50" s="44"/>
      <c r="FAT50" s="44"/>
      <c r="FAU50" s="44"/>
      <c r="FAV50" s="44"/>
      <c r="FAW50" s="44"/>
      <c r="FAX50" s="44"/>
      <c r="FAY50" s="44"/>
      <c r="FAZ50" s="44"/>
      <c r="FBA50" s="44"/>
      <c r="FBB50" s="44"/>
      <c r="FBC50" s="44"/>
      <c r="FBD50" s="44"/>
      <c r="FBE50" s="44"/>
      <c r="FBF50" s="44"/>
      <c r="FBG50" s="44"/>
      <c r="FBH50" s="44"/>
      <c r="FBI50" s="44"/>
      <c r="FBJ50" s="44"/>
      <c r="FBK50" s="44"/>
      <c r="FBL50" s="44"/>
      <c r="FBM50" s="44"/>
      <c r="FBN50" s="44"/>
      <c r="FBO50" s="44"/>
      <c r="FBP50" s="44"/>
      <c r="FBQ50" s="44"/>
      <c r="FBR50" s="44"/>
      <c r="FBS50" s="44"/>
      <c r="FBT50" s="44"/>
      <c r="FBU50" s="44"/>
      <c r="FBV50" s="44"/>
      <c r="FBW50" s="44"/>
      <c r="FBX50" s="44"/>
      <c r="FBY50" s="44"/>
      <c r="FBZ50" s="44"/>
      <c r="FCA50" s="44"/>
      <c r="FCB50" s="44"/>
      <c r="FCC50" s="44"/>
      <c r="FCD50" s="44"/>
      <c r="FCE50" s="44"/>
      <c r="FCF50" s="44"/>
      <c r="FCG50" s="44"/>
      <c r="FCH50" s="44"/>
      <c r="FCI50" s="44"/>
      <c r="FCJ50" s="44"/>
      <c r="FCK50" s="44"/>
      <c r="FCL50" s="44"/>
      <c r="FCM50" s="44"/>
      <c r="FCN50" s="44"/>
      <c r="FCO50" s="44"/>
      <c r="FCP50" s="44"/>
      <c r="FCQ50" s="44"/>
      <c r="FCR50" s="44"/>
      <c r="FCS50" s="44"/>
      <c r="FCT50" s="44"/>
      <c r="FCU50" s="44"/>
      <c r="FCV50" s="44"/>
      <c r="FCW50" s="44"/>
      <c r="FCX50" s="44"/>
      <c r="FCY50" s="44"/>
      <c r="FCZ50" s="44"/>
      <c r="FDA50" s="44"/>
      <c r="FDB50" s="44"/>
      <c r="FDC50" s="44"/>
      <c r="FDD50" s="44"/>
      <c r="FDE50" s="44"/>
      <c r="FDF50" s="44"/>
      <c r="FDG50" s="44"/>
      <c r="FDH50" s="44"/>
      <c r="FDI50" s="44"/>
      <c r="FDJ50" s="44"/>
      <c r="FDK50" s="44"/>
      <c r="FDL50" s="44"/>
      <c r="FDM50" s="44"/>
      <c r="FDN50" s="44"/>
      <c r="FDO50" s="44"/>
      <c r="FDP50" s="44"/>
      <c r="FDQ50" s="44"/>
      <c r="FDR50" s="44"/>
      <c r="FDS50" s="44"/>
      <c r="FDT50" s="44"/>
      <c r="FDU50" s="44"/>
      <c r="FDV50" s="44"/>
      <c r="FDW50" s="44"/>
      <c r="FDX50" s="44"/>
      <c r="FDY50" s="44"/>
      <c r="FDZ50" s="44"/>
      <c r="FEA50" s="44"/>
      <c r="FEB50" s="44"/>
      <c r="FEC50" s="44"/>
      <c r="FED50" s="44"/>
      <c r="FEE50" s="44"/>
      <c r="FEF50" s="44"/>
      <c r="FEG50" s="44"/>
      <c r="FEH50" s="44"/>
      <c r="FEI50" s="44"/>
      <c r="FEJ50" s="44"/>
      <c r="FEK50" s="44"/>
      <c r="FEL50" s="44"/>
      <c r="FEM50" s="44"/>
      <c r="FEN50" s="44"/>
      <c r="FEO50" s="44"/>
      <c r="FEP50" s="44"/>
      <c r="FEQ50" s="44"/>
      <c r="FER50" s="44"/>
      <c r="FES50" s="44"/>
      <c r="FET50" s="44"/>
      <c r="FEU50" s="44"/>
      <c r="FEV50" s="44"/>
      <c r="FEW50" s="44"/>
      <c r="FEX50" s="44"/>
      <c r="FEY50" s="44"/>
      <c r="FEZ50" s="44"/>
      <c r="FFA50" s="44"/>
      <c r="FFB50" s="44"/>
      <c r="FFC50" s="44"/>
      <c r="FFD50" s="44"/>
      <c r="FFE50" s="44"/>
      <c r="FFF50" s="44"/>
      <c r="FFG50" s="44"/>
      <c r="FFH50" s="44"/>
      <c r="FFI50" s="44"/>
      <c r="FFJ50" s="44"/>
      <c r="FFK50" s="44"/>
      <c r="FFL50" s="44"/>
      <c r="FFM50" s="44"/>
      <c r="FFN50" s="44"/>
      <c r="FFO50" s="44"/>
      <c r="FFP50" s="44"/>
      <c r="FFQ50" s="44"/>
      <c r="FFR50" s="44"/>
      <c r="FFS50" s="44"/>
      <c r="FFT50" s="44"/>
      <c r="FFU50" s="44"/>
      <c r="FFV50" s="44"/>
      <c r="FFW50" s="44"/>
      <c r="FFX50" s="44"/>
      <c r="FFY50" s="44"/>
      <c r="FFZ50" s="44"/>
      <c r="FGA50" s="44"/>
      <c r="FGB50" s="44"/>
      <c r="FGC50" s="44"/>
      <c r="FGD50" s="44"/>
      <c r="FGE50" s="44"/>
      <c r="FGF50" s="44"/>
      <c r="FGG50" s="44"/>
      <c r="FGH50" s="44"/>
      <c r="FGI50" s="44"/>
      <c r="FGJ50" s="44"/>
      <c r="FGK50" s="44"/>
      <c r="FGL50" s="44"/>
      <c r="FGM50" s="44"/>
      <c r="FGN50" s="44"/>
      <c r="FGO50" s="44"/>
      <c r="FGP50" s="44"/>
      <c r="FGQ50" s="44"/>
      <c r="FGR50" s="44"/>
      <c r="FGS50" s="44"/>
      <c r="FGT50" s="44"/>
      <c r="FGU50" s="44"/>
      <c r="FGV50" s="44"/>
      <c r="FGW50" s="44"/>
      <c r="FGX50" s="44"/>
      <c r="FGY50" s="44"/>
      <c r="FGZ50" s="44"/>
      <c r="FHA50" s="44"/>
      <c r="FHB50" s="44"/>
      <c r="FHC50" s="44"/>
      <c r="FHD50" s="44"/>
      <c r="FHE50" s="44"/>
      <c r="FHF50" s="44"/>
      <c r="FHG50" s="44"/>
      <c r="FHH50" s="44"/>
      <c r="FHI50" s="44"/>
      <c r="FHJ50" s="44"/>
      <c r="FHK50" s="44"/>
      <c r="FHL50" s="44"/>
      <c r="FHM50" s="44"/>
      <c r="FHN50" s="44"/>
      <c r="FHO50" s="44"/>
      <c r="FHP50" s="44"/>
      <c r="FHQ50" s="44"/>
      <c r="FHR50" s="44"/>
      <c r="FHS50" s="44"/>
      <c r="FHT50" s="44"/>
      <c r="FHU50" s="44"/>
      <c r="FHV50" s="44"/>
      <c r="FHW50" s="44"/>
      <c r="FHX50" s="44"/>
      <c r="FHY50" s="44"/>
      <c r="FHZ50" s="44"/>
      <c r="FIA50" s="44"/>
      <c r="FIB50" s="44"/>
      <c r="FIC50" s="44"/>
      <c r="FID50" s="44"/>
      <c r="FIE50" s="44"/>
      <c r="FIF50" s="44"/>
      <c r="FIG50" s="44"/>
      <c r="FIH50" s="44"/>
      <c r="FII50" s="44"/>
      <c r="FIJ50" s="44"/>
      <c r="FIK50" s="44"/>
      <c r="FIL50" s="44"/>
      <c r="FIM50" s="44"/>
      <c r="FIN50" s="44"/>
      <c r="FIO50" s="44"/>
      <c r="FIP50" s="44"/>
      <c r="FIQ50" s="44"/>
      <c r="FIR50" s="44"/>
      <c r="FIS50" s="44"/>
      <c r="FIT50" s="44"/>
      <c r="FIU50" s="44"/>
      <c r="FIV50" s="44"/>
      <c r="FIW50" s="44"/>
      <c r="FIX50" s="44"/>
      <c r="FIY50" s="44"/>
      <c r="FIZ50" s="44"/>
      <c r="FJA50" s="44"/>
      <c r="FJB50" s="44"/>
      <c r="FJC50" s="44"/>
      <c r="FJD50" s="44"/>
      <c r="FJE50" s="44"/>
      <c r="FJF50" s="44"/>
      <c r="FJG50" s="44"/>
      <c r="FJH50" s="44"/>
      <c r="FJI50" s="44"/>
      <c r="FJJ50" s="44"/>
      <c r="FJK50" s="44"/>
      <c r="FJL50" s="44"/>
      <c r="FJM50" s="44"/>
      <c r="FJN50" s="44"/>
      <c r="FJO50" s="44"/>
      <c r="FJP50" s="44"/>
      <c r="FJQ50" s="44"/>
      <c r="FJR50" s="44"/>
      <c r="FJS50" s="44"/>
      <c r="FJT50" s="44"/>
      <c r="FJU50" s="44"/>
      <c r="FJV50" s="44"/>
      <c r="FJW50" s="44"/>
      <c r="FJX50" s="44"/>
      <c r="FJY50" s="44"/>
      <c r="FJZ50" s="44"/>
      <c r="FKA50" s="44"/>
      <c r="FKB50" s="44"/>
      <c r="FKC50" s="44"/>
      <c r="FKD50" s="44"/>
      <c r="FKE50" s="44"/>
      <c r="FKF50" s="44"/>
      <c r="FKG50" s="44"/>
      <c r="FKH50" s="44"/>
      <c r="FKI50" s="44"/>
      <c r="FKJ50" s="44"/>
      <c r="FKK50" s="44"/>
      <c r="FKL50" s="44"/>
      <c r="FKM50" s="44"/>
      <c r="FKN50" s="44"/>
      <c r="FKO50" s="44"/>
      <c r="FKP50" s="44"/>
      <c r="FKQ50" s="44"/>
      <c r="FKR50" s="44"/>
      <c r="FKS50" s="44"/>
      <c r="FKT50" s="44"/>
      <c r="FKU50" s="44"/>
      <c r="FKV50" s="44"/>
      <c r="FKW50" s="44"/>
      <c r="FKX50" s="44"/>
      <c r="FKY50" s="44"/>
      <c r="FKZ50" s="44"/>
      <c r="FLA50" s="44"/>
      <c r="FLB50" s="44"/>
      <c r="FLC50" s="44"/>
      <c r="FLD50" s="44"/>
      <c r="FLE50" s="44"/>
      <c r="FLF50" s="44"/>
      <c r="FLG50" s="44"/>
      <c r="FLH50" s="44"/>
      <c r="FLI50" s="44"/>
      <c r="FLJ50" s="44"/>
      <c r="FLK50" s="44"/>
      <c r="FLL50" s="44"/>
      <c r="FLM50" s="44"/>
      <c r="FLN50" s="44"/>
      <c r="FLO50" s="44"/>
      <c r="FLP50" s="44"/>
      <c r="FLQ50" s="44"/>
      <c r="FLR50" s="44"/>
      <c r="FLS50" s="44"/>
      <c r="FLT50" s="44"/>
      <c r="FLU50" s="44"/>
      <c r="FLV50" s="44"/>
      <c r="FLW50" s="44"/>
      <c r="FLX50" s="44"/>
      <c r="FLY50" s="44"/>
      <c r="FLZ50" s="44"/>
      <c r="FMA50" s="44"/>
      <c r="FMB50" s="44"/>
      <c r="FMC50" s="44"/>
      <c r="FMD50" s="44"/>
      <c r="FME50" s="44"/>
      <c r="FMF50" s="44"/>
      <c r="FMG50" s="44"/>
      <c r="FMH50" s="44"/>
      <c r="FMI50" s="44"/>
      <c r="FMJ50" s="44"/>
      <c r="FMK50" s="44"/>
      <c r="FML50" s="44"/>
      <c r="FMM50" s="44"/>
      <c r="FMN50" s="44"/>
      <c r="FMO50" s="44"/>
      <c r="FMP50" s="44"/>
      <c r="FMQ50" s="44"/>
      <c r="FMR50" s="44"/>
      <c r="FMS50" s="44"/>
      <c r="FMT50" s="44"/>
      <c r="FMU50" s="44"/>
      <c r="FMV50" s="44"/>
      <c r="FMW50" s="44"/>
      <c r="FMX50" s="44"/>
      <c r="FMY50" s="44"/>
      <c r="FMZ50" s="44"/>
      <c r="FNA50" s="44"/>
      <c r="FNB50" s="44"/>
      <c r="FNC50" s="44"/>
      <c r="FND50" s="44"/>
      <c r="FNE50" s="44"/>
      <c r="FNF50" s="44"/>
      <c r="FNG50" s="44"/>
      <c r="FNH50" s="44"/>
      <c r="FNI50" s="44"/>
      <c r="FNJ50" s="44"/>
      <c r="FNK50" s="44"/>
      <c r="FNL50" s="44"/>
      <c r="FNM50" s="44"/>
      <c r="FNN50" s="44"/>
      <c r="FNO50" s="44"/>
      <c r="FNP50" s="44"/>
      <c r="FNQ50" s="44"/>
      <c r="FNR50" s="44"/>
      <c r="FNS50" s="44"/>
      <c r="FNT50" s="44"/>
      <c r="FNU50" s="44"/>
      <c r="FNV50" s="44"/>
      <c r="FNW50" s="44"/>
      <c r="FNX50" s="44"/>
      <c r="FNY50" s="44"/>
      <c r="FNZ50" s="44"/>
      <c r="FOA50" s="44"/>
      <c r="FOB50" s="44"/>
      <c r="FOC50" s="44"/>
      <c r="FOD50" s="44"/>
      <c r="FOE50" s="44"/>
      <c r="FOF50" s="44"/>
      <c r="FOG50" s="44"/>
      <c r="FOH50" s="44"/>
      <c r="FOI50" s="44"/>
      <c r="FOJ50" s="44"/>
      <c r="FOK50" s="44"/>
      <c r="FOL50" s="44"/>
      <c r="FOM50" s="44"/>
      <c r="FON50" s="44"/>
      <c r="FOO50" s="44"/>
      <c r="FOP50" s="44"/>
      <c r="FOQ50" s="44"/>
      <c r="FOR50" s="44"/>
      <c r="FOS50" s="44"/>
      <c r="FOT50" s="44"/>
      <c r="FOU50" s="44"/>
      <c r="FOV50" s="44"/>
      <c r="FOW50" s="44"/>
      <c r="FOX50" s="44"/>
      <c r="FOY50" s="44"/>
      <c r="FOZ50" s="44"/>
      <c r="FPA50" s="44"/>
      <c r="FPB50" s="44"/>
      <c r="FPC50" s="44"/>
      <c r="FPD50" s="44"/>
      <c r="FPE50" s="44"/>
      <c r="FPF50" s="44"/>
      <c r="FPG50" s="44"/>
      <c r="FPH50" s="44"/>
      <c r="FPI50" s="44"/>
      <c r="FPJ50" s="44"/>
      <c r="FPK50" s="44"/>
      <c r="FPL50" s="44"/>
      <c r="FPM50" s="44"/>
      <c r="FPN50" s="44"/>
      <c r="FPO50" s="44"/>
      <c r="FPP50" s="44"/>
      <c r="FPQ50" s="44"/>
      <c r="FPR50" s="44"/>
      <c r="FPS50" s="44"/>
      <c r="FPT50" s="44"/>
      <c r="FPU50" s="44"/>
      <c r="FPV50" s="44"/>
      <c r="FPW50" s="44"/>
      <c r="FPX50" s="44"/>
      <c r="FPY50" s="44"/>
      <c r="FPZ50" s="44"/>
      <c r="FQA50" s="44"/>
      <c r="FQB50" s="44"/>
      <c r="FQC50" s="44"/>
      <c r="FQD50" s="44"/>
      <c r="FQE50" s="44"/>
      <c r="FQF50" s="44"/>
      <c r="FQG50" s="44"/>
      <c r="FQH50" s="44"/>
      <c r="FQI50" s="44"/>
      <c r="FQJ50" s="44"/>
      <c r="FQK50" s="44"/>
      <c r="FQL50" s="44"/>
      <c r="FQM50" s="44"/>
      <c r="FQN50" s="44"/>
      <c r="FQO50" s="44"/>
      <c r="FQP50" s="44"/>
      <c r="FQQ50" s="44"/>
      <c r="FQR50" s="44"/>
      <c r="FQS50" s="44"/>
      <c r="FQT50" s="44"/>
      <c r="FQU50" s="44"/>
      <c r="FQV50" s="44"/>
      <c r="FQW50" s="44"/>
      <c r="FQX50" s="44"/>
      <c r="FQY50" s="44"/>
      <c r="FQZ50" s="44"/>
      <c r="FRA50" s="44"/>
      <c r="FRB50" s="44"/>
      <c r="FRC50" s="44"/>
      <c r="FRD50" s="44"/>
      <c r="FRE50" s="44"/>
      <c r="FRF50" s="44"/>
      <c r="FRG50" s="44"/>
      <c r="FRH50" s="44"/>
      <c r="FRI50" s="44"/>
      <c r="FRJ50" s="44"/>
      <c r="FRK50" s="44"/>
      <c r="FRL50" s="44"/>
      <c r="FRM50" s="44"/>
      <c r="FRN50" s="44"/>
      <c r="FRO50" s="44"/>
      <c r="FRP50" s="44"/>
      <c r="FRQ50" s="44"/>
      <c r="FRR50" s="44"/>
      <c r="FRS50" s="44"/>
      <c r="FRT50" s="44"/>
      <c r="FRU50" s="44"/>
      <c r="FRV50" s="44"/>
      <c r="FRW50" s="44"/>
      <c r="FRX50" s="44"/>
      <c r="FRY50" s="44"/>
      <c r="FRZ50" s="44"/>
      <c r="FSA50" s="44"/>
      <c r="FSB50" s="44"/>
      <c r="FSC50" s="44"/>
      <c r="FSD50" s="44"/>
      <c r="FSE50" s="44"/>
      <c r="FSF50" s="44"/>
      <c r="FSG50" s="44"/>
      <c r="FSH50" s="44"/>
      <c r="FSI50" s="44"/>
      <c r="FSJ50" s="44"/>
      <c r="FSK50" s="44"/>
      <c r="FSL50" s="44"/>
      <c r="FSM50" s="44"/>
      <c r="FSN50" s="44"/>
      <c r="FSO50" s="44"/>
      <c r="FSP50" s="44"/>
      <c r="FSQ50" s="44"/>
      <c r="FSR50" s="44"/>
      <c r="FSS50" s="44"/>
      <c r="FST50" s="44"/>
      <c r="FSU50" s="44"/>
      <c r="FSV50" s="44"/>
      <c r="FSW50" s="44"/>
      <c r="FSX50" s="44"/>
      <c r="FSY50" s="44"/>
      <c r="FSZ50" s="44"/>
      <c r="FTA50" s="44"/>
      <c r="FTB50" s="44"/>
      <c r="FTC50" s="44"/>
      <c r="FTD50" s="44"/>
      <c r="FTE50" s="44"/>
      <c r="FTF50" s="44"/>
      <c r="FTG50" s="44"/>
      <c r="FTH50" s="44"/>
      <c r="FTI50" s="44"/>
      <c r="FTJ50" s="44"/>
      <c r="FTK50" s="44"/>
      <c r="FTL50" s="44"/>
      <c r="FTM50" s="44"/>
      <c r="FTN50" s="44"/>
      <c r="FTO50" s="44"/>
      <c r="FTP50" s="44"/>
      <c r="FTQ50" s="44"/>
      <c r="FTR50" s="44"/>
      <c r="FTS50" s="44"/>
      <c r="FTT50" s="44"/>
      <c r="FTU50" s="44"/>
      <c r="FTV50" s="44"/>
      <c r="FTW50" s="44"/>
      <c r="FTX50" s="44"/>
      <c r="FTY50" s="44"/>
      <c r="FTZ50" s="44"/>
      <c r="FUA50" s="44"/>
      <c r="FUB50" s="44"/>
      <c r="FUC50" s="44"/>
      <c r="FUD50" s="44"/>
      <c r="FUE50" s="44"/>
      <c r="FUF50" s="44"/>
      <c r="FUG50" s="44"/>
      <c r="FUH50" s="44"/>
      <c r="FUI50" s="44"/>
      <c r="FUJ50" s="44"/>
      <c r="FUK50" s="44"/>
      <c r="FUL50" s="44"/>
      <c r="FUM50" s="44"/>
      <c r="FUN50" s="44"/>
      <c r="FUO50" s="44"/>
      <c r="FUP50" s="44"/>
      <c r="FUQ50" s="44"/>
      <c r="FUR50" s="44"/>
      <c r="FUS50" s="44"/>
      <c r="FUT50" s="44"/>
      <c r="FUU50" s="44"/>
      <c r="FUV50" s="44"/>
      <c r="FUW50" s="44"/>
      <c r="FUX50" s="44"/>
      <c r="FUY50" s="44"/>
      <c r="FUZ50" s="44"/>
      <c r="FVA50" s="44"/>
      <c r="FVB50" s="44"/>
      <c r="FVC50" s="44"/>
      <c r="FVD50" s="44"/>
      <c r="FVE50" s="44"/>
      <c r="FVF50" s="44"/>
      <c r="FVG50" s="44"/>
      <c r="FVH50" s="44"/>
      <c r="FVI50" s="44"/>
      <c r="FVJ50" s="44"/>
      <c r="FVK50" s="44"/>
      <c r="FVL50" s="44"/>
      <c r="FVM50" s="44"/>
      <c r="FVN50" s="44"/>
      <c r="FVO50" s="44"/>
      <c r="FVP50" s="44"/>
      <c r="FVQ50" s="44"/>
      <c r="FVR50" s="44"/>
      <c r="FVS50" s="44"/>
      <c r="FVT50" s="44"/>
      <c r="FVU50" s="44"/>
      <c r="FVV50" s="44"/>
      <c r="FVW50" s="44"/>
      <c r="FVX50" s="44"/>
      <c r="FVY50" s="44"/>
      <c r="FVZ50" s="44"/>
      <c r="FWA50" s="44"/>
      <c r="FWB50" s="44"/>
      <c r="FWC50" s="44"/>
      <c r="FWD50" s="44"/>
      <c r="FWE50" s="44"/>
      <c r="FWF50" s="44"/>
      <c r="FWG50" s="44"/>
      <c r="FWH50" s="44"/>
      <c r="FWI50" s="44"/>
      <c r="FWJ50" s="44"/>
      <c r="FWK50" s="44"/>
      <c r="FWL50" s="44"/>
      <c r="FWM50" s="44"/>
      <c r="FWN50" s="44"/>
      <c r="FWO50" s="44"/>
      <c r="FWP50" s="44"/>
      <c r="FWQ50" s="44"/>
      <c r="FWR50" s="44"/>
      <c r="FWS50" s="44"/>
      <c r="FWT50" s="44"/>
      <c r="FWU50" s="44"/>
      <c r="FWV50" s="44"/>
      <c r="FWW50" s="44"/>
      <c r="FWX50" s="44"/>
      <c r="FWY50" s="44"/>
      <c r="FWZ50" s="44"/>
      <c r="FXA50" s="44"/>
      <c r="FXB50" s="44"/>
      <c r="FXC50" s="44"/>
      <c r="FXD50" s="44"/>
      <c r="FXE50" s="44"/>
      <c r="FXF50" s="44"/>
      <c r="FXG50" s="44"/>
      <c r="FXH50" s="44"/>
      <c r="FXI50" s="44"/>
      <c r="FXJ50" s="44"/>
      <c r="FXK50" s="44"/>
      <c r="FXL50" s="44"/>
      <c r="FXM50" s="44"/>
      <c r="FXN50" s="44"/>
      <c r="FXO50" s="44"/>
      <c r="FXP50" s="44"/>
      <c r="FXQ50" s="44"/>
      <c r="FXR50" s="44"/>
      <c r="FXS50" s="44"/>
      <c r="FXT50" s="44"/>
      <c r="FXU50" s="44"/>
      <c r="FXV50" s="44"/>
      <c r="FXW50" s="44"/>
      <c r="FXX50" s="44"/>
      <c r="FXY50" s="44"/>
      <c r="FXZ50" s="44"/>
      <c r="FYA50" s="44"/>
      <c r="FYB50" s="44"/>
      <c r="FYC50" s="44"/>
      <c r="FYD50" s="44"/>
      <c r="FYE50" s="44"/>
      <c r="FYF50" s="44"/>
      <c r="FYG50" s="44"/>
      <c r="FYH50" s="44"/>
      <c r="FYI50" s="44"/>
      <c r="FYJ50" s="44"/>
      <c r="FYK50" s="44"/>
      <c r="FYL50" s="44"/>
      <c r="FYM50" s="44"/>
      <c r="FYN50" s="44"/>
      <c r="FYO50" s="44"/>
      <c r="FYP50" s="44"/>
      <c r="FYQ50" s="44"/>
      <c r="FYR50" s="44"/>
      <c r="FYS50" s="44"/>
      <c r="FYT50" s="44"/>
      <c r="FYU50" s="44"/>
      <c r="FYV50" s="44"/>
      <c r="FYW50" s="44"/>
      <c r="FYX50" s="44"/>
      <c r="FYY50" s="44"/>
      <c r="FYZ50" s="44"/>
      <c r="FZA50" s="44"/>
      <c r="FZB50" s="44"/>
      <c r="FZC50" s="44"/>
      <c r="FZD50" s="44"/>
      <c r="FZE50" s="44"/>
      <c r="FZF50" s="44"/>
      <c r="FZG50" s="44"/>
      <c r="FZH50" s="44"/>
      <c r="FZI50" s="44"/>
      <c r="FZJ50" s="44"/>
      <c r="FZK50" s="44"/>
      <c r="FZL50" s="44"/>
      <c r="FZM50" s="44"/>
      <c r="FZN50" s="44"/>
      <c r="FZO50" s="44"/>
      <c r="FZP50" s="44"/>
      <c r="FZQ50" s="44"/>
      <c r="FZR50" s="44"/>
      <c r="FZS50" s="44"/>
      <c r="FZT50" s="44"/>
      <c r="FZU50" s="44"/>
      <c r="FZV50" s="44"/>
      <c r="FZW50" s="44"/>
      <c r="FZX50" s="44"/>
      <c r="FZY50" s="44"/>
      <c r="FZZ50" s="44"/>
      <c r="GAA50" s="44"/>
      <c r="GAB50" s="44"/>
      <c r="GAC50" s="44"/>
      <c r="GAD50" s="44"/>
      <c r="GAE50" s="44"/>
      <c r="GAF50" s="44"/>
      <c r="GAG50" s="44"/>
      <c r="GAH50" s="44"/>
      <c r="GAI50" s="44"/>
      <c r="GAJ50" s="44"/>
      <c r="GAK50" s="44"/>
      <c r="GAL50" s="44"/>
      <c r="GAM50" s="44"/>
      <c r="GAN50" s="44"/>
      <c r="GAO50" s="44"/>
      <c r="GAP50" s="44"/>
      <c r="GAQ50" s="44"/>
      <c r="GAR50" s="44"/>
      <c r="GAS50" s="44"/>
      <c r="GAT50" s="44"/>
      <c r="GAU50" s="44"/>
      <c r="GAV50" s="44"/>
      <c r="GAW50" s="44"/>
      <c r="GAX50" s="44"/>
      <c r="GAY50" s="44"/>
      <c r="GAZ50" s="44"/>
      <c r="GBA50" s="44"/>
      <c r="GBB50" s="44"/>
      <c r="GBC50" s="44"/>
      <c r="GBD50" s="44"/>
      <c r="GBE50" s="44"/>
      <c r="GBF50" s="44"/>
      <c r="GBG50" s="44"/>
      <c r="GBH50" s="44"/>
      <c r="GBI50" s="44"/>
      <c r="GBJ50" s="44"/>
      <c r="GBK50" s="44"/>
      <c r="GBL50" s="44"/>
      <c r="GBM50" s="44"/>
      <c r="GBN50" s="44"/>
      <c r="GBO50" s="44"/>
      <c r="GBP50" s="44"/>
      <c r="GBQ50" s="44"/>
      <c r="GBR50" s="44"/>
      <c r="GBS50" s="44"/>
      <c r="GBT50" s="44"/>
      <c r="GBU50" s="44"/>
      <c r="GBV50" s="44"/>
      <c r="GBW50" s="44"/>
      <c r="GBX50" s="44"/>
      <c r="GBY50" s="44"/>
      <c r="GBZ50" s="44"/>
      <c r="GCA50" s="44"/>
      <c r="GCB50" s="44"/>
      <c r="GCC50" s="44"/>
      <c r="GCD50" s="44"/>
      <c r="GCE50" s="44"/>
      <c r="GCF50" s="44"/>
      <c r="GCG50" s="44"/>
      <c r="GCH50" s="44"/>
      <c r="GCI50" s="44"/>
      <c r="GCJ50" s="44"/>
      <c r="GCK50" s="44"/>
      <c r="GCL50" s="44"/>
      <c r="GCM50" s="44"/>
      <c r="GCN50" s="44"/>
      <c r="GCO50" s="44"/>
      <c r="GCP50" s="44"/>
      <c r="GCQ50" s="44"/>
      <c r="GCR50" s="44"/>
      <c r="GCS50" s="44"/>
      <c r="GCT50" s="44"/>
      <c r="GCU50" s="44"/>
      <c r="GCV50" s="44"/>
      <c r="GCW50" s="44"/>
      <c r="GCX50" s="44"/>
      <c r="GCY50" s="44"/>
      <c r="GCZ50" s="44"/>
      <c r="GDA50" s="44"/>
      <c r="GDB50" s="44"/>
      <c r="GDC50" s="44"/>
      <c r="GDD50" s="44"/>
      <c r="GDE50" s="44"/>
      <c r="GDF50" s="44"/>
      <c r="GDG50" s="44"/>
      <c r="GDH50" s="44"/>
      <c r="GDI50" s="44"/>
      <c r="GDJ50" s="44"/>
      <c r="GDK50" s="44"/>
      <c r="GDL50" s="44"/>
      <c r="GDM50" s="44"/>
      <c r="GDN50" s="44"/>
      <c r="GDO50" s="44"/>
      <c r="GDP50" s="44"/>
      <c r="GDQ50" s="44"/>
      <c r="GDR50" s="44"/>
      <c r="GDS50" s="44"/>
      <c r="GDT50" s="44"/>
      <c r="GDU50" s="44"/>
      <c r="GDV50" s="44"/>
      <c r="GDW50" s="44"/>
      <c r="GDX50" s="44"/>
      <c r="GDY50" s="44"/>
      <c r="GDZ50" s="44"/>
      <c r="GEA50" s="44"/>
      <c r="GEB50" s="44"/>
      <c r="GEC50" s="44"/>
      <c r="GED50" s="44"/>
      <c r="GEE50" s="44"/>
      <c r="GEF50" s="44"/>
      <c r="GEG50" s="44"/>
      <c r="GEH50" s="44"/>
      <c r="GEI50" s="44"/>
      <c r="GEJ50" s="44"/>
      <c r="GEK50" s="44"/>
      <c r="GEL50" s="44"/>
      <c r="GEM50" s="44"/>
      <c r="GEN50" s="44"/>
      <c r="GEO50" s="44"/>
      <c r="GEP50" s="44"/>
      <c r="GEQ50" s="44"/>
      <c r="GER50" s="44"/>
      <c r="GES50" s="44"/>
      <c r="GET50" s="44"/>
      <c r="GEU50" s="44"/>
      <c r="GEV50" s="44"/>
      <c r="GEW50" s="44"/>
      <c r="GEX50" s="44"/>
      <c r="GEY50" s="44"/>
      <c r="GEZ50" s="44"/>
      <c r="GFA50" s="44"/>
      <c r="GFB50" s="44"/>
      <c r="GFC50" s="44"/>
      <c r="GFD50" s="44"/>
      <c r="GFE50" s="44"/>
      <c r="GFF50" s="44"/>
      <c r="GFG50" s="44"/>
      <c r="GFH50" s="44"/>
      <c r="GFI50" s="44"/>
      <c r="GFJ50" s="44"/>
      <c r="GFK50" s="44"/>
      <c r="GFL50" s="44"/>
      <c r="GFM50" s="44"/>
      <c r="GFN50" s="44"/>
      <c r="GFO50" s="44"/>
      <c r="GFP50" s="44"/>
      <c r="GFQ50" s="44"/>
      <c r="GFR50" s="44"/>
      <c r="GFS50" s="44"/>
      <c r="GFT50" s="44"/>
      <c r="GFU50" s="44"/>
      <c r="GFV50" s="44"/>
      <c r="GFW50" s="44"/>
      <c r="GFX50" s="44"/>
      <c r="GFY50" s="44"/>
      <c r="GFZ50" s="44"/>
      <c r="GGA50" s="44"/>
      <c r="GGB50" s="44"/>
      <c r="GGC50" s="44"/>
      <c r="GGD50" s="44"/>
      <c r="GGE50" s="44"/>
      <c r="GGF50" s="44"/>
      <c r="GGG50" s="44"/>
      <c r="GGH50" s="44"/>
      <c r="GGI50" s="44"/>
      <c r="GGJ50" s="44"/>
      <c r="GGK50" s="44"/>
      <c r="GGL50" s="44"/>
      <c r="GGM50" s="44"/>
      <c r="GGN50" s="44"/>
      <c r="GGO50" s="44"/>
      <c r="GGP50" s="44"/>
      <c r="GGQ50" s="44"/>
      <c r="GGR50" s="44"/>
      <c r="GGS50" s="44"/>
      <c r="GGT50" s="44"/>
      <c r="GGU50" s="44"/>
      <c r="GGV50" s="44"/>
      <c r="GGW50" s="44"/>
      <c r="GGX50" s="44"/>
      <c r="GGY50" s="44"/>
      <c r="GGZ50" s="44"/>
      <c r="GHA50" s="44"/>
      <c r="GHB50" s="44"/>
      <c r="GHC50" s="44"/>
      <c r="GHD50" s="44"/>
      <c r="GHE50" s="44"/>
      <c r="GHF50" s="44"/>
      <c r="GHG50" s="44"/>
      <c r="GHH50" s="44"/>
      <c r="GHI50" s="44"/>
      <c r="GHJ50" s="44"/>
      <c r="GHK50" s="44"/>
      <c r="GHL50" s="44"/>
      <c r="GHM50" s="44"/>
      <c r="GHN50" s="44"/>
      <c r="GHO50" s="44"/>
      <c r="GHP50" s="44"/>
      <c r="GHQ50" s="44"/>
      <c r="GHR50" s="44"/>
      <c r="GHS50" s="44"/>
      <c r="GHT50" s="44"/>
      <c r="GHU50" s="44"/>
      <c r="GHV50" s="44"/>
      <c r="GHW50" s="44"/>
      <c r="GHX50" s="44"/>
      <c r="GHY50" s="44"/>
      <c r="GHZ50" s="44"/>
      <c r="GIA50" s="44"/>
      <c r="GIB50" s="44"/>
      <c r="GIC50" s="44"/>
      <c r="GID50" s="44"/>
      <c r="GIE50" s="44"/>
      <c r="GIF50" s="44"/>
      <c r="GIG50" s="44"/>
      <c r="GIH50" s="44"/>
      <c r="GII50" s="44"/>
      <c r="GIJ50" s="44"/>
      <c r="GIK50" s="44"/>
      <c r="GIL50" s="44"/>
      <c r="GIM50" s="44"/>
      <c r="GIN50" s="44"/>
      <c r="GIO50" s="44"/>
      <c r="GIP50" s="44"/>
      <c r="GIQ50" s="44"/>
      <c r="GIR50" s="44"/>
      <c r="GIS50" s="44"/>
      <c r="GIT50" s="44"/>
      <c r="GIU50" s="44"/>
      <c r="GIV50" s="44"/>
      <c r="GIW50" s="44"/>
      <c r="GIX50" s="44"/>
      <c r="GIY50" s="44"/>
      <c r="GIZ50" s="44"/>
      <c r="GJA50" s="44"/>
      <c r="GJB50" s="44"/>
      <c r="GJC50" s="44"/>
      <c r="GJD50" s="44"/>
      <c r="GJE50" s="44"/>
      <c r="GJF50" s="44"/>
      <c r="GJG50" s="44"/>
      <c r="GJH50" s="44"/>
      <c r="GJI50" s="44"/>
      <c r="GJJ50" s="44"/>
      <c r="GJK50" s="44"/>
      <c r="GJL50" s="44"/>
      <c r="GJM50" s="44"/>
      <c r="GJN50" s="44"/>
      <c r="GJO50" s="44"/>
      <c r="GJP50" s="44"/>
      <c r="GJQ50" s="44"/>
      <c r="GJR50" s="44"/>
      <c r="GJS50" s="44"/>
      <c r="GJT50" s="44"/>
      <c r="GJU50" s="44"/>
      <c r="GJV50" s="44"/>
      <c r="GJW50" s="44"/>
      <c r="GJX50" s="44"/>
      <c r="GJY50" s="44"/>
      <c r="GJZ50" s="44"/>
      <c r="GKA50" s="44"/>
      <c r="GKB50" s="44"/>
      <c r="GKC50" s="44"/>
      <c r="GKD50" s="44"/>
      <c r="GKE50" s="44"/>
      <c r="GKF50" s="44"/>
      <c r="GKG50" s="44"/>
      <c r="GKH50" s="44"/>
      <c r="GKI50" s="44"/>
      <c r="GKJ50" s="44"/>
      <c r="GKK50" s="44"/>
      <c r="GKL50" s="44"/>
      <c r="GKM50" s="44"/>
      <c r="GKN50" s="44"/>
      <c r="GKO50" s="44"/>
      <c r="GKP50" s="44"/>
      <c r="GKQ50" s="44"/>
      <c r="GKR50" s="44"/>
      <c r="GKS50" s="44"/>
      <c r="GKT50" s="44"/>
      <c r="GKU50" s="44"/>
      <c r="GKV50" s="44"/>
      <c r="GKW50" s="44"/>
      <c r="GKX50" s="44"/>
      <c r="GKY50" s="44"/>
      <c r="GKZ50" s="44"/>
      <c r="GLA50" s="44"/>
      <c r="GLB50" s="44"/>
      <c r="GLC50" s="44"/>
      <c r="GLD50" s="44"/>
      <c r="GLE50" s="44"/>
      <c r="GLF50" s="44"/>
      <c r="GLG50" s="44"/>
      <c r="GLH50" s="44"/>
      <c r="GLI50" s="44"/>
      <c r="GLJ50" s="44"/>
      <c r="GLK50" s="44"/>
      <c r="GLL50" s="44"/>
      <c r="GLM50" s="44"/>
      <c r="GLN50" s="44"/>
      <c r="GLO50" s="44"/>
      <c r="GLP50" s="44"/>
      <c r="GLQ50" s="44"/>
      <c r="GLR50" s="44"/>
      <c r="GLS50" s="44"/>
      <c r="GLT50" s="44"/>
      <c r="GLU50" s="44"/>
      <c r="GLV50" s="44"/>
      <c r="GLW50" s="44"/>
      <c r="GLX50" s="44"/>
      <c r="GLY50" s="44"/>
      <c r="GLZ50" s="44"/>
      <c r="GMA50" s="44"/>
      <c r="GMB50" s="44"/>
      <c r="GMC50" s="44"/>
      <c r="GMD50" s="44"/>
      <c r="GME50" s="44"/>
      <c r="GMF50" s="44"/>
      <c r="GMG50" s="44"/>
      <c r="GMH50" s="44"/>
      <c r="GMI50" s="44"/>
      <c r="GMJ50" s="44"/>
      <c r="GMK50" s="44"/>
      <c r="GML50" s="44"/>
      <c r="GMM50" s="44"/>
      <c r="GMN50" s="44"/>
      <c r="GMO50" s="44"/>
      <c r="GMP50" s="44"/>
      <c r="GMQ50" s="44"/>
      <c r="GMR50" s="44"/>
      <c r="GMS50" s="44"/>
      <c r="GMT50" s="44"/>
      <c r="GMU50" s="44"/>
      <c r="GMV50" s="44"/>
      <c r="GMW50" s="44"/>
      <c r="GMX50" s="44"/>
      <c r="GMY50" s="44"/>
      <c r="GMZ50" s="44"/>
      <c r="GNA50" s="44"/>
      <c r="GNB50" s="44"/>
      <c r="GNC50" s="44"/>
      <c r="GND50" s="44"/>
      <c r="GNE50" s="44"/>
      <c r="GNF50" s="44"/>
      <c r="GNG50" s="44"/>
      <c r="GNH50" s="44"/>
      <c r="GNI50" s="44"/>
      <c r="GNJ50" s="44"/>
      <c r="GNK50" s="44"/>
      <c r="GNL50" s="44"/>
      <c r="GNM50" s="44"/>
      <c r="GNN50" s="44"/>
      <c r="GNO50" s="44"/>
      <c r="GNP50" s="44"/>
      <c r="GNQ50" s="44"/>
      <c r="GNR50" s="44"/>
      <c r="GNS50" s="44"/>
      <c r="GNT50" s="44"/>
      <c r="GNU50" s="44"/>
      <c r="GNV50" s="44"/>
      <c r="GNW50" s="44"/>
      <c r="GNX50" s="44"/>
      <c r="GNY50" s="44"/>
      <c r="GNZ50" s="44"/>
      <c r="GOA50" s="44"/>
      <c r="GOB50" s="44"/>
      <c r="GOC50" s="44"/>
      <c r="GOD50" s="44"/>
      <c r="GOE50" s="44"/>
      <c r="GOF50" s="44"/>
      <c r="GOG50" s="44"/>
      <c r="GOH50" s="44"/>
      <c r="GOI50" s="44"/>
      <c r="GOJ50" s="44"/>
      <c r="GOK50" s="44"/>
      <c r="GOL50" s="44"/>
      <c r="GOM50" s="44"/>
      <c r="GON50" s="44"/>
      <c r="GOO50" s="44"/>
      <c r="GOP50" s="44"/>
      <c r="GOQ50" s="44"/>
      <c r="GOR50" s="44"/>
      <c r="GOS50" s="44"/>
      <c r="GOT50" s="44"/>
      <c r="GOU50" s="44"/>
      <c r="GOV50" s="44"/>
      <c r="GOW50" s="44"/>
      <c r="GOX50" s="44"/>
      <c r="GOY50" s="44"/>
      <c r="GOZ50" s="44"/>
      <c r="GPA50" s="44"/>
      <c r="GPB50" s="44"/>
      <c r="GPC50" s="44"/>
      <c r="GPD50" s="44"/>
      <c r="GPE50" s="44"/>
      <c r="GPF50" s="44"/>
      <c r="GPG50" s="44"/>
      <c r="GPH50" s="44"/>
      <c r="GPI50" s="44"/>
      <c r="GPJ50" s="44"/>
      <c r="GPK50" s="44"/>
      <c r="GPL50" s="44"/>
      <c r="GPM50" s="44"/>
      <c r="GPN50" s="44"/>
      <c r="GPO50" s="44"/>
      <c r="GPP50" s="44"/>
      <c r="GPQ50" s="44"/>
      <c r="GPR50" s="44"/>
      <c r="GPS50" s="44"/>
      <c r="GPT50" s="44"/>
      <c r="GPU50" s="44"/>
      <c r="GPV50" s="44"/>
      <c r="GPW50" s="44"/>
      <c r="GPX50" s="44"/>
      <c r="GPY50" s="44"/>
      <c r="GPZ50" s="44"/>
      <c r="GQA50" s="44"/>
      <c r="GQB50" s="44"/>
      <c r="GQC50" s="44"/>
      <c r="GQD50" s="44"/>
      <c r="GQE50" s="44"/>
      <c r="GQF50" s="44"/>
      <c r="GQG50" s="44"/>
      <c r="GQH50" s="44"/>
      <c r="GQI50" s="44"/>
      <c r="GQJ50" s="44"/>
      <c r="GQK50" s="44"/>
      <c r="GQL50" s="44"/>
      <c r="GQM50" s="44"/>
      <c r="GQN50" s="44"/>
      <c r="GQO50" s="44"/>
      <c r="GQP50" s="44"/>
      <c r="GQQ50" s="44"/>
      <c r="GQR50" s="44"/>
      <c r="GQS50" s="44"/>
      <c r="GQT50" s="44"/>
      <c r="GQU50" s="44"/>
      <c r="GQV50" s="44"/>
      <c r="GQW50" s="44"/>
      <c r="GQX50" s="44"/>
      <c r="GQY50" s="44"/>
      <c r="GQZ50" s="44"/>
      <c r="GRA50" s="44"/>
      <c r="GRB50" s="44"/>
      <c r="GRC50" s="44"/>
      <c r="GRD50" s="44"/>
      <c r="GRE50" s="44"/>
      <c r="GRF50" s="44"/>
      <c r="GRG50" s="44"/>
      <c r="GRH50" s="44"/>
      <c r="GRI50" s="44"/>
      <c r="GRJ50" s="44"/>
      <c r="GRK50" s="44"/>
      <c r="GRL50" s="44"/>
      <c r="GRM50" s="44"/>
      <c r="GRN50" s="44"/>
      <c r="GRO50" s="44"/>
      <c r="GRP50" s="44"/>
      <c r="GRQ50" s="44"/>
      <c r="GRR50" s="44"/>
      <c r="GRS50" s="44"/>
      <c r="GRT50" s="44"/>
      <c r="GRU50" s="44"/>
      <c r="GRV50" s="44"/>
      <c r="GRW50" s="44"/>
      <c r="GRX50" s="44"/>
      <c r="GRY50" s="44"/>
      <c r="GRZ50" s="44"/>
      <c r="GSA50" s="44"/>
      <c r="GSB50" s="44"/>
      <c r="GSC50" s="44"/>
      <c r="GSD50" s="44"/>
      <c r="GSE50" s="44"/>
      <c r="GSF50" s="44"/>
      <c r="GSG50" s="44"/>
      <c r="GSH50" s="44"/>
      <c r="GSI50" s="44"/>
      <c r="GSJ50" s="44"/>
      <c r="GSK50" s="44"/>
      <c r="GSL50" s="44"/>
      <c r="GSM50" s="44"/>
      <c r="GSN50" s="44"/>
      <c r="GSO50" s="44"/>
      <c r="GSP50" s="44"/>
      <c r="GSQ50" s="44"/>
      <c r="GSR50" s="44"/>
      <c r="GSS50" s="44"/>
      <c r="GST50" s="44"/>
      <c r="GSU50" s="44"/>
      <c r="GSV50" s="44"/>
      <c r="GSW50" s="44"/>
      <c r="GSX50" s="44"/>
      <c r="GSY50" s="44"/>
      <c r="GSZ50" s="44"/>
      <c r="GTA50" s="44"/>
      <c r="GTB50" s="44"/>
      <c r="GTC50" s="44"/>
      <c r="GTD50" s="44"/>
      <c r="GTE50" s="44"/>
      <c r="GTF50" s="44"/>
      <c r="GTG50" s="44"/>
      <c r="GTH50" s="44"/>
      <c r="GTI50" s="44"/>
      <c r="GTJ50" s="44"/>
      <c r="GTK50" s="44"/>
      <c r="GTL50" s="44"/>
      <c r="GTM50" s="44"/>
      <c r="GTN50" s="44"/>
      <c r="GTO50" s="44"/>
      <c r="GTP50" s="44"/>
      <c r="GTQ50" s="44"/>
      <c r="GTR50" s="44"/>
      <c r="GTS50" s="44"/>
      <c r="GTT50" s="44"/>
      <c r="GTU50" s="44"/>
      <c r="GTV50" s="44"/>
      <c r="GTW50" s="44"/>
      <c r="GTX50" s="44"/>
      <c r="GTY50" s="44"/>
      <c r="GTZ50" s="44"/>
      <c r="GUA50" s="44"/>
      <c r="GUB50" s="44"/>
      <c r="GUC50" s="44"/>
      <c r="GUD50" s="44"/>
      <c r="GUE50" s="44"/>
      <c r="GUF50" s="44"/>
      <c r="GUG50" s="44"/>
      <c r="GUH50" s="44"/>
      <c r="GUI50" s="44"/>
      <c r="GUJ50" s="44"/>
      <c r="GUK50" s="44"/>
      <c r="GUL50" s="44"/>
      <c r="GUM50" s="44"/>
      <c r="GUN50" s="44"/>
      <c r="GUO50" s="44"/>
      <c r="GUP50" s="44"/>
      <c r="GUQ50" s="44"/>
      <c r="GUR50" s="44"/>
      <c r="GUS50" s="44"/>
      <c r="GUT50" s="44"/>
      <c r="GUU50" s="44"/>
      <c r="GUV50" s="44"/>
      <c r="GUW50" s="44"/>
      <c r="GUX50" s="44"/>
      <c r="GUY50" s="44"/>
      <c r="GUZ50" s="44"/>
      <c r="GVA50" s="44"/>
      <c r="GVB50" s="44"/>
      <c r="GVC50" s="44"/>
      <c r="GVD50" s="44"/>
      <c r="GVE50" s="44"/>
      <c r="GVF50" s="44"/>
      <c r="GVG50" s="44"/>
      <c r="GVH50" s="44"/>
      <c r="GVI50" s="44"/>
      <c r="GVJ50" s="44"/>
      <c r="GVK50" s="44"/>
      <c r="GVL50" s="44"/>
      <c r="GVM50" s="44"/>
      <c r="GVN50" s="44"/>
      <c r="GVO50" s="44"/>
      <c r="GVP50" s="44"/>
      <c r="GVQ50" s="44"/>
      <c r="GVR50" s="44"/>
      <c r="GVS50" s="44"/>
      <c r="GVT50" s="44"/>
      <c r="GVU50" s="44"/>
      <c r="GVV50" s="44"/>
      <c r="GVW50" s="44"/>
      <c r="GVX50" s="44"/>
      <c r="GVY50" s="44"/>
      <c r="GVZ50" s="44"/>
      <c r="GWA50" s="44"/>
      <c r="GWB50" s="44"/>
      <c r="GWC50" s="44"/>
      <c r="GWD50" s="44"/>
      <c r="GWE50" s="44"/>
      <c r="GWF50" s="44"/>
      <c r="GWG50" s="44"/>
      <c r="GWH50" s="44"/>
      <c r="GWI50" s="44"/>
      <c r="GWJ50" s="44"/>
      <c r="GWK50" s="44"/>
      <c r="GWL50" s="44"/>
      <c r="GWM50" s="44"/>
      <c r="GWN50" s="44"/>
      <c r="GWO50" s="44"/>
      <c r="GWP50" s="44"/>
      <c r="GWQ50" s="44"/>
      <c r="GWR50" s="44"/>
      <c r="GWS50" s="44"/>
      <c r="GWT50" s="44"/>
      <c r="GWU50" s="44"/>
      <c r="GWV50" s="44"/>
      <c r="GWW50" s="44"/>
      <c r="GWX50" s="44"/>
      <c r="GWY50" s="44"/>
      <c r="GWZ50" s="44"/>
      <c r="GXA50" s="44"/>
      <c r="GXB50" s="44"/>
      <c r="GXC50" s="44"/>
      <c r="GXD50" s="44"/>
      <c r="GXE50" s="44"/>
      <c r="GXF50" s="44"/>
      <c r="GXG50" s="44"/>
      <c r="GXH50" s="44"/>
      <c r="GXI50" s="44"/>
      <c r="GXJ50" s="44"/>
      <c r="GXK50" s="44"/>
      <c r="GXL50" s="44"/>
      <c r="GXM50" s="44"/>
      <c r="GXN50" s="44"/>
      <c r="GXO50" s="44"/>
      <c r="GXP50" s="44"/>
      <c r="GXQ50" s="44"/>
      <c r="GXR50" s="44"/>
      <c r="GXS50" s="44"/>
      <c r="GXT50" s="44"/>
      <c r="GXU50" s="44"/>
      <c r="GXV50" s="44"/>
      <c r="GXW50" s="44"/>
      <c r="GXX50" s="44"/>
      <c r="GXY50" s="44"/>
      <c r="GXZ50" s="44"/>
      <c r="GYA50" s="44"/>
      <c r="GYB50" s="44"/>
      <c r="GYC50" s="44"/>
      <c r="GYD50" s="44"/>
      <c r="GYE50" s="44"/>
      <c r="GYF50" s="44"/>
      <c r="GYG50" s="44"/>
      <c r="GYH50" s="44"/>
      <c r="GYI50" s="44"/>
      <c r="GYJ50" s="44"/>
      <c r="GYK50" s="44"/>
      <c r="GYL50" s="44"/>
      <c r="GYM50" s="44"/>
      <c r="GYN50" s="44"/>
      <c r="GYO50" s="44"/>
      <c r="GYP50" s="44"/>
      <c r="GYQ50" s="44"/>
      <c r="GYR50" s="44"/>
      <c r="GYS50" s="44"/>
      <c r="GYT50" s="44"/>
      <c r="GYU50" s="44"/>
      <c r="GYV50" s="44"/>
      <c r="GYW50" s="44"/>
      <c r="GYX50" s="44"/>
      <c r="GYY50" s="44"/>
      <c r="GYZ50" s="44"/>
      <c r="GZA50" s="44"/>
      <c r="GZB50" s="44"/>
      <c r="GZC50" s="44"/>
      <c r="GZD50" s="44"/>
      <c r="GZE50" s="44"/>
      <c r="GZF50" s="44"/>
      <c r="GZG50" s="44"/>
      <c r="GZH50" s="44"/>
      <c r="GZI50" s="44"/>
      <c r="GZJ50" s="44"/>
      <c r="GZK50" s="44"/>
      <c r="GZL50" s="44"/>
      <c r="GZM50" s="44"/>
      <c r="GZN50" s="44"/>
      <c r="GZO50" s="44"/>
      <c r="GZP50" s="44"/>
      <c r="GZQ50" s="44"/>
      <c r="GZR50" s="44"/>
      <c r="GZS50" s="44"/>
      <c r="GZT50" s="44"/>
      <c r="GZU50" s="44"/>
      <c r="GZV50" s="44"/>
      <c r="GZW50" s="44"/>
      <c r="GZX50" s="44"/>
      <c r="GZY50" s="44"/>
      <c r="GZZ50" s="44"/>
      <c r="HAA50" s="44"/>
      <c r="HAB50" s="44"/>
      <c r="HAC50" s="44"/>
      <c r="HAD50" s="44"/>
      <c r="HAE50" s="44"/>
      <c r="HAF50" s="44"/>
      <c r="HAG50" s="44"/>
      <c r="HAH50" s="44"/>
      <c r="HAI50" s="44"/>
      <c r="HAJ50" s="44"/>
      <c r="HAK50" s="44"/>
      <c r="HAL50" s="44"/>
      <c r="HAM50" s="44"/>
      <c r="HAN50" s="44"/>
      <c r="HAO50" s="44"/>
      <c r="HAP50" s="44"/>
      <c r="HAQ50" s="44"/>
      <c r="HAR50" s="44"/>
      <c r="HAS50" s="44"/>
      <c r="HAT50" s="44"/>
      <c r="HAU50" s="44"/>
      <c r="HAV50" s="44"/>
      <c r="HAW50" s="44"/>
      <c r="HAX50" s="44"/>
      <c r="HAY50" s="44"/>
      <c r="HAZ50" s="44"/>
      <c r="HBA50" s="44"/>
      <c r="HBB50" s="44"/>
      <c r="HBC50" s="44"/>
      <c r="HBD50" s="44"/>
      <c r="HBE50" s="44"/>
      <c r="HBF50" s="44"/>
      <c r="HBG50" s="44"/>
      <c r="HBH50" s="44"/>
      <c r="HBI50" s="44"/>
      <c r="HBJ50" s="44"/>
      <c r="HBK50" s="44"/>
      <c r="HBL50" s="44"/>
      <c r="HBM50" s="44"/>
      <c r="HBN50" s="44"/>
      <c r="HBO50" s="44"/>
      <c r="HBP50" s="44"/>
      <c r="HBQ50" s="44"/>
      <c r="HBR50" s="44"/>
      <c r="HBS50" s="44"/>
      <c r="HBT50" s="44"/>
      <c r="HBU50" s="44"/>
      <c r="HBV50" s="44"/>
      <c r="HBW50" s="44"/>
      <c r="HBX50" s="44"/>
      <c r="HBY50" s="44"/>
      <c r="HBZ50" s="44"/>
      <c r="HCA50" s="44"/>
      <c r="HCB50" s="44"/>
      <c r="HCC50" s="44"/>
      <c r="HCD50" s="44"/>
      <c r="HCE50" s="44"/>
      <c r="HCF50" s="44"/>
      <c r="HCG50" s="44"/>
      <c r="HCH50" s="44"/>
      <c r="HCI50" s="44"/>
      <c r="HCJ50" s="44"/>
      <c r="HCK50" s="44"/>
      <c r="HCL50" s="44"/>
      <c r="HCM50" s="44"/>
      <c r="HCN50" s="44"/>
      <c r="HCO50" s="44"/>
      <c r="HCP50" s="44"/>
      <c r="HCQ50" s="44"/>
      <c r="HCR50" s="44"/>
      <c r="HCS50" s="44"/>
      <c r="HCT50" s="44"/>
      <c r="HCU50" s="44"/>
      <c r="HCV50" s="44"/>
      <c r="HCW50" s="44"/>
      <c r="HCX50" s="44"/>
      <c r="HCY50" s="44"/>
      <c r="HCZ50" s="44"/>
      <c r="HDA50" s="44"/>
      <c r="HDB50" s="44"/>
      <c r="HDC50" s="44"/>
      <c r="HDD50" s="44"/>
      <c r="HDE50" s="44"/>
      <c r="HDF50" s="44"/>
      <c r="HDG50" s="44"/>
      <c r="HDH50" s="44"/>
      <c r="HDI50" s="44"/>
      <c r="HDJ50" s="44"/>
      <c r="HDK50" s="44"/>
      <c r="HDL50" s="44"/>
      <c r="HDM50" s="44"/>
      <c r="HDN50" s="44"/>
      <c r="HDO50" s="44"/>
      <c r="HDP50" s="44"/>
      <c r="HDQ50" s="44"/>
      <c r="HDR50" s="44"/>
      <c r="HDS50" s="44"/>
      <c r="HDT50" s="44"/>
      <c r="HDU50" s="44"/>
      <c r="HDV50" s="44"/>
      <c r="HDW50" s="44"/>
      <c r="HDX50" s="44"/>
      <c r="HDY50" s="44"/>
      <c r="HDZ50" s="44"/>
      <c r="HEA50" s="44"/>
      <c r="HEB50" s="44"/>
      <c r="HEC50" s="44"/>
      <c r="HED50" s="44"/>
      <c r="HEE50" s="44"/>
      <c r="HEF50" s="44"/>
      <c r="HEG50" s="44"/>
      <c r="HEH50" s="44"/>
      <c r="HEI50" s="44"/>
      <c r="HEJ50" s="44"/>
      <c r="HEK50" s="44"/>
      <c r="HEL50" s="44"/>
      <c r="HEM50" s="44"/>
      <c r="HEN50" s="44"/>
      <c r="HEO50" s="44"/>
      <c r="HEP50" s="44"/>
      <c r="HEQ50" s="44"/>
      <c r="HER50" s="44"/>
      <c r="HES50" s="44"/>
      <c r="HET50" s="44"/>
      <c r="HEU50" s="44"/>
      <c r="HEV50" s="44"/>
      <c r="HEW50" s="44"/>
      <c r="HEX50" s="44"/>
      <c r="HEY50" s="44"/>
      <c r="HEZ50" s="44"/>
      <c r="HFA50" s="44"/>
      <c r="HFB50" s="44"/>
      <c r="HFC50" s="44"/>
      <c r="HFD50" s="44"/>
      <c r="HFE50" s="44"/>
      <c r="HFF50" s="44"/>
      <c r="HFG50" s="44"/>
      <c r="HFH50" s="44"/>
      <c r="HFI50" s="44"/>
      <c r="HFJ50" s="44"/>
      <c r="HFK50" s="44"/>
      <c r="HFL50" s="44"/>
      <c r="HFM50" s="44"/>
      <c r="HFN50" s="44"/>
      <c r="HFO50" s="44"/>
      <c r="HFP50" s="44"/>
      <c r="HFQ50" s="44"/>
      <c r="HFR50" s="44"/>
      <c r="HFS50" s="44"/>
      <c r="HFT50" s="44"/>
      <c r="HFU50" s="44"/>
      <c r="HFV50" s="44"/>
      <c r="HFW50" s="44"/>
      <c r="HFX50" s="44"/>
      <c r="HFY50" s="44"/>
      <c r="HFZ50" s="44"/>
      <c r="HGA50" s="44"/>
      <c r="HGB50" s="44"/>
      <c r="HGC50" s="44"/>
      <c r="HGD50" s="44"/>
      <c r="HGE50" s="44"/>
      <c r="HGF50" s="44"/>
      <c r="HGG50" s="44"/>
      <c r="HGH50" s="44"/>
      <c r="HGI50" s="44"/>
      <c r="HGJ50" s="44"/>
      <c r="HGK50" s="44"/>
      <c r="HGL50" s="44"/>
      <c r="HGM50" s="44"/>
      <c r="HGN50" s="44"/>
      <c r="HGO50" s="44"/>
      <c r="HGP50" s="44"/>
      <c r="HGQ50" s="44"/>
      <c r="HGR50" s="44"/>
      <c r="HGS50" s="44"/>
      <c r="HGT50" s="44"/>
      <c r="HGU50" s="44"/>
      <c r="HGV50" s="44"/>
      <c r="HGW50" s="44"/>
      <c r="HGX50" s="44"/>
      <c r="HGY50" s="44"/>
      <c r="HGZ50" s="44"/>
      <c r="HHA50" s="44"/>
      <c r="HHB50" s="44"/>
      <c r="HHC50" s="44"/>
      <c r="HHD50" s="44"/>
      <c r="HHE50" s="44"/>
      <c r="HHF50" s="44"/>
      <c r="HHG50" s="44"/>
      <c r="HHH50" s="44"/>
      <c r="HHI50" s="44"/>
      <c r="HHJ50" s="44"/>
      <c r="HHK50" s="44"/>
      <c r="HHL50" s="44"/>
      <c r="HHM50" s="44"/>
      <c r="HHN50" s="44"/>
      <c r="HHO50" s="44"/>
      <c r="HHP50" s="44"/>
      <c r="HHQ50" s="44"/>
      <c r="HHR50" s="44"/>
      <c r="HHS50" s="44"/>
      <c r="HHT50" s="44"/>
      <c r="HHU50" s="44"/>
      <c r="HHV50" s="44"/>
      <c r="HHW50" s="44"/>
      <c r="HHX50" s="44"/>
      <c r="HHY50" s="44"/>
      <c r="HHZ50" s="44"/>
      <c r="HIA50" s="44"/>
      <c r="HIB50" s="44"/>
      <c r="HIC50" s="44"/>
      <c r="HID50" s="44"/>
      <c r="HIE50" s="44"/>
      <c r="HIF50" s="44"/>
      <c r="HIG50" s="44"/>
      <c r="HIH50" s="44"/>
      <c r="HII50" s="44"/>
      <c r="HIJ50" s="44"/>
      <c r="HIK50" s="44"/>
      <c r="HIL50" s="44"/>
      <c r="HIM50" s="44"/>
      <c r="HIN50" s="44"/>
      <c r="HIO50" s="44"/>
      <c r="HIP50" s="44"/>
      <c r="HIQ50" s="44"/>
      <c r="HIR50" s="44"/>
      <c r="HIS50" s="44"/>
      <c r="HIT50" s="44"/>
      <c r="HIU50" s="44"/>
      <c r="HIV50" s="44"/>
      <c r="HIW50" s="44"/>
      <c r="HIX50" s="44"/>
      <c r="HIY50" s="44"/>
      <c r="HIZ50" s="44"/>
      <c r="HJA50" s="44"/>
      <c r="HJB50" s="44"/>
      <c r="HJC50" s="44"/>
      <c r="HJD50" s="44"/>
      <c r="HJE50" s="44"/>
      <c r="HJF50" s="44"/>
      <c r="HJG50" s="44"/>
      <c r="HJH50" s="44"/>
      <c r="HJI50" s="44"/>
      <c r="HJJ50" s="44"/>
      <c r="HJK50" s="44"/>
      <c r="HJL50" s="44"/>
      <c r="HJM50" s="44"/>
      <c r="HJN50" s="44"/>
      <c r="HJO50" s="44"/>
      <c r="HJP50" s="44"/>
      <c r="HJQ50" s="44"/>
      <c r="HJR50" s="44"/>
      <c r="HJS50" s="44"/>
      <c r="HJT50" s="44"/>
      <c r="HJU50" s="44"/>
      <c r="HJV50" s="44"/>
      <c r="HJW50" s="44"/>
      <c r="HJX50" s="44"/>
      <c r="HJY50" s="44"/>
      <c r="HJZ50" s="44"/>
      <c r="HKA50" s="44"/>
      <c r="HKB50" s="44"/>
      <c r="HKC50" s="44"/>
      <c r="HKD50" s="44"/>
      <c r="HKE50" s="44"/>
      <c r="HKF50" s="44"/>
      <c r="HKG50" s="44"/>
      <c r="HKH50" s="44"/>
      <c r="HKI50" s="44"/>
      <c r="HKJ50" s="44"/>
      <c r="HKK50" s="44"/>
      <c r="HKL50" s="44"/>
      <c r="HKM50" s="44"/>
      <c r="HKN50" s="44"/>
      <c r="HKO50" s="44"/>
      <c r="HKP50" s="44"/>
      <c r="HKQ50" s="44"/>
      <c r="HKR50" s="44"/>
      <c r="HKS50" s="44"/>
      <c r="HKT50" s="44"/>
      <c r="HKU50" s="44"/>
      <c r="HKV50" s="44"/>
      <c r="HKW50" s="44"/>
      <c r="HKX50" s="44"/>
      <c r="HKY50" s="44"/>
      <c r="HKZ50" s="44"/>
      <c r="HLA50" s="44"/>
      <c r="HLB50" s="44"/>
      <c r="HLC50" s="44"/>
      <c r="HLD50" s="44"/>
      <c r="HLE50" s="44"/>
      <c r="HLF50" s="44"/>
      <c r="HLG50" s="44"/>
      <c r="HLH50" s="44"/>
      <c r="HLI50" s="44"/>
      <c r="HLJ50" s="44"/>
      <c r="HLK50" s="44"/>
      <c r="HLL50" s="44"/>
      <c r="HLM50" s="44"/>
      <c r="HLN50" s="44"/>
      <c r="HLO50" s="44"/>
      <c r="HLP50" s="44"/>
      <c r="HLQ50" s="44"/>
      <c r="HLR50" s="44"/>
      <c r="HLS50" s="44"/>
      <c r="HLT50" s="44"/>
      <c r="HLU50" s="44"/>
      <c r="HLV50" s="44"/>
      <c r="HLW50" s="44"/>
      <c r="HLX50" s="44"/>
      <c r="HLY50" s="44"/>
      <c r="HLZ50" s="44"/>
      <c r="HMA50" s="44"/>
      <c r="HMB50" s="44"/>
      <c r="HMC50" s="44"/>
      <c r="HMD50" s="44"/>
      <c r="HME50" s="44"/>
      <c r="HMF50" s="44"/>
      <c r="HMG50" s="44"/>
      <c r="HMH50" s="44"/>
      <c r="HMI50" s="44"/>
      <c r="HMJ50" s="44"/>
      <c r="HMK50" s="44"/>
      <c r="HML50" s="44"/>
      <c r="HMM50" s="44"/>
      <c r="HMN50" s="44"/>
      <c r="HMO50" s="44"/>
      <c r="HMP50" s="44"/>
      <c r="HMQ50" s="44"/>
      <c r="HMR50" s="44"/>
      <c r="HMS50" s="44"/>
      <c r="HMT50" s="44"/>
      <c r="HMU50" s="44"/>
      <c r="HMV50" s="44"/>
      <c r="HMW50" s="44"/>
      <c r="HMX50" s="44"/>
      <c r="HMY50" s="44"/>
      <c r="HMZ50" s="44"/>
      <c r="HNA50" s="44"/>
      <c r="HNB50" s="44"/>
      <c r="HNC50" s="44"/>
      <c r="HND50" s="44"/>
      <c r="HNE50" s="44"/>
      <c r="HNF50" s="44"/>
      <c r="HNG50" s="44"/>
      <c r="HNH50" s="44"/>
      <c r="HNI50" s="44"/>
      <c r="HNJ50" s="44"/>
      <c r="HNK50" s="44"/>
      <c r="HNL50" s="44"/>
      <c r="HNM50" s="44"/>
      <c r="HNN50" s="44"/>
      <c r="HNO50" s="44"/>
      <c r="HNP50" s="44"/>
      <c r="HNQ50" s="44"/>
      <c r="HNR50" s="44"/>
      <c r="HNS50" s="44"/>
      <c r="HNT50" s="44"/>
      <c r="HNU50" s="44"/>
      <c r="HNV50" s="44"/>
      <c r="HNW50" s="44"/>
      <c r="HNX50" s="44"/>
      <c r="HNY50" s="44"/>
      <c r="HNZ50" s="44"/>
      <c r="HOA50" s="44"/>
      <c r="HOB50" s="44"/>
      <c r="HOC50" s="44"/>
      <c r="HOD50" s="44"/>
      <c r="HOE50" s="44"/>
      <c r="HOF50" s="44"/>
      <c r="HOG50" s="44"/>
      <c r="HOH50" s="44"/>
      <c r="HOI50" s="44"/>
      <c r="HOJ50" s="44"/>
      <c r="HOK50" s="44"/>
      <c r="HOL50" s="44"/>
      <c r="HOM50" s="44"/>
      <c r="HON50" s="44"/>
      <c r="HOO50" s="44"/>
      <c r="HOP50" s="44"/>
      <c r="HOQ50" s="44"/>
      <c r="HOR50" s="44"/>
      <c r="HOS50" s="44"/>
      <c r="HOT50" s="44"/>
      <c r="HOU50" s="44"/>
      <c r="HOV50" s="44"/>
      <c r="HOW50" s="44"/>
      <c r="HOX50" s="44"/>
      <c r="HOY50" s="44"/>
      <c r="HOZ50" s="44"/>
      <c r="HPA50" s="44"/>
      <c r="HPB50" s="44"/>
      <c r="HPC50" s="44"/>
      <c r="HPD50" s="44"/>
      <c r="HPE50" s="44"/>
      <c r="HPF50" s="44"/>
      <c r="HPG50" s="44"/>
      <c r="HPH50" s="44"/>
      <c r="HPI50" s="44"/>
      <c r="HPJ50" s="44"/>
      <c r="HPK50" s="44"/>
      <c r="HPL50" s="44"/>
      <c r="HPM50" s="44"/>
      <c r="HPN50" s="44"/>
      <c r="HPO50" s="44"/>
      <c r="HPP50" s="44"/>
      <c r="HPQ50" s="44"/>
      <c r="HPR50" s="44"/>
      <c r="HPS50" s="44"/>
      <c r="HPT50" s="44"/>
      <c r="HPU50" s="44"/>
      <c r="HPV50" s="44"/>
      <c r="HPW50" s="44"/>
      <c r="HPX50" s="44"/>
      <c r="HPY50" s="44"/>
      <c r="HPZ50" s="44"/>
      <c r="HQA50" s="44"/>
      <c r="HQB50" s="44"/>
      <c r="HQC50" s="44"/>
      <c r="HQD50" s="44"/>
      <c r="HQE50" s="44"/>
      <c r="HQF50" s="44"/>
      <c r="HQG50" s="44"/>
      <c r="HQH50" s="44"/>
      <c r="HQI50" s="44"/>
      <c r="HQJ50" s="44"/>
      <c r="HQK50" s="44"/>
      <c r="HQL50" s="44"/>
      <c r="HQM50" s="44"/>
      <c r="HQN50" s="44"/>
      <c r="HQO50" s="44"/>
      <c r="HQP50" s="44"/>
      <c r="HQQ50" s="44"/>
      <c r="HQR50" s="44"/>
      <c r="HQS50" s="44"/>
      <c r="HQT50" s="44"/>
      <c r="HQU50" s="44"/>
      <c r="HQV50" s="44"/>
      <c r="HQW50" s="44"/>
      <c r="HQX50" s="44"/>
      <c r="HQY50" s="44"/>
      <c r="HQZ50" s="44"/>
      <c r="HRA50" s="44"/>
      <c r="HRB50" s="44"/>
      <c r="HRC50" s="44"/>
      <c r="HRD50" s="44"/>
      <c r="HRE50" s="44"/>
      <c r="HRF50" s="44"/>
      <c r="HRG50" s="44"/>
      <c r="HRH50" s="44"/>
      <c r="HRI50" s="44"/>
      <c r="HRJ50" s="44"/>
      <c r="HRK50" s="44"/>
      <c r="HRL50" s="44"/>
      <c r="HRM50" s="44"/>
      <c r="HRN50" s="44"/>
      <c r="HRO50" s="44"/>
      <c r="HRP50" s="44"/>
      <c r="HRQ50" s="44"/>
      <c r="HRR50" s="44"/>
      <c r="HRS50" s="44"/>
      <c r="HRT50" s="44"/>
      <c r="HRU50" s="44"/>
      <c r="HRV50" s="44"/>
      <c r="HRW50" s="44"/>
      <c r="HRX50" s="44"/>
      <c r="HRY50" s="44"/>
      <c r="HRZ50" s="44"/>
      <c r="HSA50" s="44"/>
      <c r="HSB50" s="44"/>
      <c r="HSC50" s="44"/>
      <c r="HSD50" s="44"/>
      <c r="HSE50" s="44"/>
      <c r="HSF50" s="44"/>
      <c r="HSG50" s="44"/>
      <c r="HSH50" s="44"/>
      <c r="HSI50" s="44"/>
      <c r="HSJ50" s="44"/>
      <c r="HSK50" s="44"/>
      <c r="HSL50" s="44"/>
      <c r="HSM50" s="44"/>
      <c r="HSN50" s="44"/>
      <c r="HSO50" s="44"/>
      <c r="HSP50" s="44"/>
      <c r="HSQ50" s="44"/>
      <c r="HSR50" s="44"/>
      <c r="HSS50" s="44"/>
      <c r="HST50" s="44"/>
      <c r="HSU50" s="44"/>
      <c r="HSV50" s="44"/>
      <c r="HSW50" s="44"/>
      <c r="HSX50" s="44"/>
      <c r="HSY50" s="44"/>
      <c r="HSZ50" s="44"/>
      <c r="HTA50" s="44"/>
      <c r="HTB50" s="44"/>
      <c r="HTC50" s="44"/>
      <c r="HTD50" s="44"/>
      <c r="HTE50" s="44"/>
      <c r="HTF50" s="44"/>
      <c r="HTG50" s="44"/>
      <c r="HTH50" s="44"/>
      <c r="HTI50" s="44"/>
      <c r="HTJ50" s="44"/>
      <c r="HTK50" s="44"/>
      <c r="HTL50" s="44"/>
      <c r="HTM50" s="44"/>
      <c r="HTN50" s="44"/>
      <c r="HTO50" s="44"/>
      <c r="HTP50" s="44"/>
      <c r="HTQ50" s="44"/>
      <c r="HTR50" s="44"/>
      <c r="HTS50" s="44"/>
      <c r="HTT50" s="44"/>
      <c r="HTU50" s="44"/>
      <c r="HTV50" s="44"/>
      <c r="HTW50" s="44"/>
      <c r="HTX50" s="44"/>
      <c r="HTY50" s="44"/>
      <c r="HTZ50" s="44"/>
      <c r="HUA50" s="44"/>
      <c r="HUB50" s="44"/>
      <c r="HUC50" s="44"/>
      <c r="HUD50" s="44"/>
      <c r="HUE50" s="44"/>
      <c r="HUF50" s="44"/>
      <c r="HUG50" s="44"/>
      <c r="HUH50" s="44"/>
      <c r="HUI50" s="44"/>
      <c r="HUJ50" s="44"/>
      <c r="HUK50" s="44"/>
      <c r="HUL50" s="44"/>
      <c r="HUM50" s="44"/>
      <c r="HUN50" s="44"/>
      <c r="HUO50" s="44"/>
      <c r="HUP50" s="44"/>
      <c r="HUQ50" s="44"/>
      <c r="HUR50" s="44"/>
      <c r="HUS50" s="44"/>
      <c r="HUT50" s="44"/>
      <c r="HUU50" s="44"/>
      <c r="HUV50" s="44"/>
      <c r="HUW50" s="44"/>
      <c r="HUX50" s="44"/>
      <c r="HUY50" s="44"/>
      <c r="HUZ50" s="44"/>
      <c r="HVA50" s="44"/>
      <c r="HVB50" s="44"/>
      <c r="HVC50" s="44"/>
      <c r="HVD50" s="44"/>
      <c r="HVE50" s="44"/>
      <c r="HVF50" s="44"/>
      <c r="HVG50" s="44"/>
      <c r="HVH50" s="44"/>
      <c r="HVI50" s="44"/>
      <c r="HVJ50" s="44"/>
      <c r="HVK50" s="44"/>
      <c r="HVL50" s="44"/>
      <c r="HVM50" s="44"/>
      <c r="HVN50" s="44"/>
      <c r="HVO50" s="44"/>
      <c r="HVP50" s="44"/>
      <c r="HVQ50" s="44"/>
      <c r="HVR50" s="44"/>
      <c r="HVS50" s="44"/>
      <c r="HVT50" s="44"/>
      <c r="HVU50" s="44"/>
      <c r="HVV50" s="44"/>
      <c r="HVW50" s="44"/>
      <c r="HVX50" s="44"/>
      <c r="HVY50" s="44"/>
      <c r="HVZ50" s="44"/>
      <c r="HWA50" s="44"/>
      <c r="HWB50" s="44"/>
      <c r="HWC50" s="44"/>
      <c r="HWD50" s="44"/>
      <c r="HWE50" s="44"/>
      <c r="HWF50" s="44"/>
      <c r="HWG50" s="44"/>
      <c r="HWH50" s="44"/>
      <c r="HWI50" s="44"/>
      <c r="HWJ50" s="44"/>
      <c r="HWK50" s="44"/>
      <c r="HWL50" s="44"/>
      <c r="HWM50" s="44"/>
      <c r="HWN50" s="44"/>
      <c r="HWO50" s="44"/>
      <c r="HWP50" s="44"/>
      <c r="HWQ50" s="44"/>
      <c r="HWR50" s="44"/>
      <c r="HWS50" s="44"/>
      <c r="HWT50" s="44"/>
      <c r="HWU50" s="44"/>
      <c r="HWV50" s="44"/>
      <c r="HWW50" s="44"/>
      <c r="HWX50" s="44"/>
      <c r="HWY50" s="44"/>
      <c r="HWZ50" s="44"/>
      <c r="HXA50" s="44"/>
      <c r="HXB50" s="44"/>
      <c r="HXC50" s="44"/>
      <c r="HXD50" s="44"/>
      <c r="HXE50" s="44"/>
      <c r="HXF50" s="44"/>
      <c r="HXG50" s="44"/>
      <c r="HXH50" s="44"/>
      <c r="HXI50" s="44"/>
      <c r="HXJ50" s="44"/>
      <c r="HXK50" s="44"/>
      <c r="HXL50" s="44"/>
      <c r="HXM50" s="44"/>
      <c r="HXN50" s="44"/>
      <c r="HXO50" s="44"/>
      <c r="HXP50" s="44"/>
      <c r="HXQ50" s="44"/>
      <c r="HXR50" s="44"/>
      <c r="HXS50" s="44"/>
      <c r="HXT50" s="44"/>
      <c r="HXU50" s="44"/>
      <c r="HXV50" s="44"/>
      <c r="HXW50" s="44"/>
      <c r="HXX50" s="44"/>
      <c r="HXY50" s="44"/>
      <c r="HXZ50" s="44"/>
      <c r="HYA50" s="44"/>
      <c r="HYB50" s="44"/>
      <c r="HYC50" s="44"/>
      <c r="HYD50" s="44"/>
      <c r="HYE50" s="44"/>
      <c r="HYF50" s="44"/>
      <c r="HYG50" s="44"/>
      <c r="HYH50" s="44"/>
      <c r="HYI50" s="44"/>
      <c r="HYJ50" s="44"/>
      <c r="HYK50" s="44"/>
      <c r="HYL50" s="44"/>
      <c r="HYM50" s="44"/>
      <c r="HYN50" s="44"/>
      <c r="HYO50" s="44"/>
      <c r="HYP50" s="44"/>
      <c r="HYQ50" s="44"/>
      <c r="HYR50" s="44"/>
      <c r="HYS50" s="44"/>
      <c r="HYT50" s="44"/>
      <c r="HYU50" s="44"/>
      <c r="HYV50" s="44"/>
      <c r="HYW50" s="44"/>
      <c r="HYX50" s="44"/>
      <c r="HYY50" s="44"/>
      <c r="HYZ50" s="44"/>
      <c r="HZA50" s="44"/>
      <c r="HZB50" s="44"/>
      <c r="HZC50" s="44"/>
      <c r="HZD50" s="44"/>
      <c r="HZE50" s="44"/>
      <c r="HZF50" s="44"/>
      <c r="HZG50" s="44"/>
      <c r="HZH50" s="44"/>
      <c r="HZI50" s="44"/>
      <c r="HZJ50" s="44"/>
      <c r="HZK50" s="44"/>
      <c r="HZL50" s="44"/>
      <c r="HZM50" s="44"/>
      <c r="HZN50" s="44"/>
      <c r="HZO50" s="44"/>
      <c r="HZP50" s="44"/>
      <c r="HZQ50" s="44"/>
      <c r="HZR50" s="44"/>
      <c r="HZS50" s="44"/>
      <c r="HZT50" s="44"/>
      <c r="HZU50" s="44"/>
      <c r="HZV50" s="44"/>
      <c r="HZW50" s="44"/>
      <c r="HZX50" s="44"/>
      <c r="HZY50" s="44"/>
      <c r="HZZ50" s="44"/>
      <c r="IAA50" s="44"/>
      <c r="IAB50" s="44"/>
      <c r="IAC50" s="44"/>
      <c r="IAD50" s="44"/>
      <c r="IAE50" s="44"/>
      <c r="IAF50" s="44"/>
      <c r="IAG50" s="44"/>
      <c r="IAH50" s="44"/>
      <c r="IAI50" s="44"/>
      <c r="IAJ50" s="44"/>
      <c r="IAK50" s="44"/>
      <c r="IAL50" s="44"/>
      <c r="IAM50" s="44"/>
      <c r="IAN50" s="44"/>
      <c r="IAO50" s="44"/>
      <c r="IAP50" s="44"/>
      <c r="IAQ50" s="44"/>
      <c r="IAR50" s="44"/>
      <c r="IAS50" s="44"/>
      <c r="IAT50" s="44"/>
      <c r="IAU50" s="44"/>
      <c r="IAV50" s="44"/>
      <c r="IAW50" s="44"/>
      <c r="IAX50" s="44"/>
      <c r="IAY50" s="44"/>
      <c r="IAZ50" s="44"/>
      <c r="IBA50" s="44"/>
      <c r="IBB50" s="44"/>
      <c r="IBC50" s="44"/>
      <c r="IBD50" s="44"/>
      <c r="IBE50" s="44"/>
      <c r="IBF50" s="44"/>
      <c r="IBG50" s="44"/>
      <c r="IBH50" s="44"/>
      <c r="IBI50" s="44"/>
      <c r="IBJ50" s="44"/>
      <c r="IBK50" s="44"/>
      <c r="IBL50" s="44"/>
      <c r="IBM50" s="44"/>
      <c r="IBN50" s="44"/>
      <c r="IBO50" s="44"/>
      <c r="IBP50" s="44"/>
      <c r="IBQ50" s="44"/>
      <c r="IBR50" s="44"/>
      <c r="IBS50" s="44"/>
      <c r="IBT50" s="44"/>
      <c r="IBU50" s="44"/>
      <c r="IBV50" s="44"/>
      <c r="IBW50" s="44"/>
      <c r="IBX50" s="44"/>
      <c r="IBY50" s="44"/>
      <c r="IBZ50" s="44"/>
      <c r="ICA50" s="44"/>
      <c r="ICB50" s="44"/>
      <c r="ICC50" s="44"/>
      <c r="ICD50" s="44"/>
      <c r="ICE50" s="44"/>
      <c r="ICF50" s="44"/>
      <c r="ICG50" s="44"/>
      <c r="ICH50" s="44"/>
      <c r="ICI50" s="44"/>
      <c r="ICJ50" s="44"/>
      <c r="ICK50" s="44"/>
      <c r="ICL50" s="44"/>
      <c r="ICM50" s="44"/>
      <c r="ICN50" s="44"/>
      <c r="ICO50" s="44"/>
      <c r="ICP50" s="44"/>
      <c r="ICQ50" s="44"/>
      <c r="ICR50" s="44"/>
      <c r="ICS50" s="44"/>
      <c r="ICT50" s="44"/>
      <c r="ICU50" s="44"/>
      <c r="ICV50" s="44"/>
      <c r="ICW50" s="44"/>
      <c r="ICX50" s="44"/>
      <c r="ICY50" s="44"/>
      <c r="ICZ50" s="44"/>
      <c r="IDA50" s="44"/>
      <c r="IDB50" s="44"/>
      <c r="IDC50" s="44"/>
      <c r="IDD50" s="44"/>
      <c r="IDE50" s="44"/>
      <c r="IDF50" s="44"/>
      <c r="IDG50" s="44"/>
      <c r="IDH50" s="44"/>
      <c r="IDI50" s="44"/>
      <c r="IDJ50" s="44"/>
      <c r="IDK50" s="44"/>
      <c r="IDL50" s="44"/>
      <c r="IDM50" s="44"/>
      <c r="IDN50" s="44"/>
      <c r="IDO50" s="44"/>
      <c r="IDP50" s="44"/>
      <c r="IDQ50" s="44"/>
      <c r="IDR50" s="44"/>
      <c r="IDS50" s="44"/>
      <c r="IDT50" s="44"/>
      <c r="IDU50" s="44"/>
      <c r="IDV50" s="44"/>
      <c r="IDW50" s="44"/>
      <c r="IDX50" s="44"/>
      <c r="IDY50" s="44"/>
      <c r="IDZ50" s="44"/>
      <c r="IEA50" s="44"/>
      <c r="IEB50" s="44"/>
      <c r="IEC50" s="44"/>
      <c r="IED50" s="44"/>
      <c r="IEE50" s="44"/>
      <c r="IEF50" s="44"/>
      <c r="IEG50" s="44"/>
      <c r="IEH50" s="44"/>
      <c r="IEI50" s="44"/>
      <c r="IEJ50" s="44"/>
      <c r="IEK50" s="44"/>
      <c r="IEL50" s="44"/>
      <c r="IEM50" s="44"/>
      <c r="IEN50" s="44"/>
      <c r="IEO50" s="44"/>
      <c r="IEP50" s="44"/>
      <c r="IEQ50" s="44"/>
      <c r="IER50" s="44"/>
      <c r="IES50" s="44"/>
      <c r="IET50" s="44"/>
      <c r="IEU50" s="44"/>
      <c r="IEV50" s="44"/>
      <c r="IEW50" s="44"/>
      <c r="IEX50" s="44"/>
      <c r="IEY50" s="44"/>
      <c r="IEZ50" s="44"/>
      <c r="IFA50" s="44"/>
      <c r="IFB50" s="44"/>
      <c r="IFC50" s="44"/>
      <c r="IFD50" s="44"/>
      <c r="IFE50" s="44"/>
      <c r="IFF50" s="44"/>
      <c r="IFG50" s="44"/>
      <c r="IFH50" s="44"/>
      <c r="IFI50" s="44"/>
      <c r="IFJ50" s="44"/>
      <c r="IFK50" s="44"/>
      <c r="IFL50" s="44"/>
      <c r="IFM50" s="44"/>
      <c r="IFN50" s="44"/>
      <c r="IFO50" s="44"/>
      <c r="IFP50" s="44"/>
      <c r="IFQ50" s="44"/>
      <c r="IFR50" s="44"/>
      <c r="IFS50" s="44"/>
      <c r="IFT50" s="44"/>
      <c r="IFU50" s="44"/>
      <c r="IFV50" s="44"/>
      <c r="IFW50" s="44"/>
      <c r="IFX50" s="44"/>
      <c r="IFY50" s="44"/>
      <c r="IFZ50" s="44"/>
      <c r="IGA50" s="44"/>
      <c r="IGB50" s="44"/>
      <c r="IGC50" s="44"/>
      <c r="IGD50" s="44"/>
      <c r="IGE50" s="44"/>
      <c r="IGF50" s="44"/>
      <c r="IGG50" s="44"/>
      <c r="IGH50" s="44"/>
      <c r="IGI50" s="44"/>
      <c r="IGJ50" s="44"/>
      <c r="IGK50" s="44"/>
      <c r="IGL50" s="44"/>
      <c r="IGM50" s="44"/>
      <c r="IGN50" s="44"/>
      <c r="IGO50" s="44"/>
      <c r="IGP50" s="44"/>
      <c r="IGQ50" s="44"/>
      <c r="IGR50" s="44"/>
      <c r="IGS50" s="44"/>
      <c r="IGT50" s="44"/>
      <c r="IGU50" s="44"/>
      <c r="IGV50" s="44"/>
      <c r="IGW50" s="44"/>
      <c r="IGX50" s="44"/>
      <c r="IGY50" s="44"/>
      <c r="IGZ50" s="44"/>
      <c r="IHA50" s="44"/>
      <c r="IHB50" s="44"/>
      <c r="IHC50" s="44"/>
      <c r="IHD50" s="44"/>
      <c r="IHE50" s="44"/>
      <c r="IHF50" s="44"/>
      <c r="IHG50" s="44"/>
      <c r="IHH50" s="44"/>
      <c r="IHI50" s="44"/>
      <c r="IHJ50" s="44"/>
      <c r="IHK50" s="44"/>
      <c r="IHL50" s="44"/>
      <c r="IHM50" s="44"/>
      <c r="IHN50" s="44"/>
      <c r="IHO50" s="44"/>
      <c r="IHP50" s="44"/>
      <c r="IHQ50" s="44"/>
      <c r="IHR50" s="44"/>
      <c r="IHS50" s="44"/>
      <c r="IHT50" s="44"/>
      <c r="IHU50" s="44"/>
      <c r="IHV50" s="44"/>
      <c r="IHW50" s="44"/>
      <c r="IHX50" s="44"/>
      <c r="IHY50" s="44"/>
      <c r="IHZ50" s="44"/>
      <c r="IIA50" s="44"/>
      <c r="IIB50" s="44"/>
      <c r="IIC50" s="44"/>
      <c r="IID50" s="44"/>
      <c r="IIE50" s="44"/>
      <c r="IIF50" s="44"/>
      <c r="IIG50" s="44"/>
      <c r="IIH50" s="44"/>
      <c r="III50" s="44"/>
      <c r="IIJ50" s="44"/>
      <c r="IIK50" s="44"/>
      <c r="IIL50" s="44"/>
      <c r="IIM50" s="44"/>
      <c r="IIN50" s="44"/>
      <c r="IIO50" s="44"/>
      <c r="IIP50" s="44"/>
      <c r="IIQ50" s="44"/>
      <c r="IIR50" s="44"/>
      <c r="IIS50" s="44"/>
      <c r="IIT50" s="44"/>
      <c r="IIU50" s="44"/>
      <c r="IIV50" s="44"/>
      <c r="IIW50" s="44"/>
      <c r="IIX50" s="44"/>
      <c r="IIY50" s="44"/>
      <c r="IIZ50" s="44"/>
      <c r="IJA50" s="44"/>
      <c r="IJB50" s="44"/>
      <c r="IJC50" s="44"/>
      <c r="IJD50" s="44"/>
      <c r="IJE50" s="44"/>
      <c r="IJF50" s="44"/>
      <c r="IJG50" s="44"/>
      <c r="IJH50" s="44"/>
      <c r="IJI50" s="44"/>
      <c r="IJJ50" s="44"/>
      <c r="IJK50" s="44"/>
      <c r="IJL50" s="44"/>
      <c r="IJM50" s="44"/>
      <c r="IJN50" s="44"/>
      <c r="IJO50" s="44"/>
      <c r="IJP50" s="44"/>
      <c r="IJQ50" s="44"/>
      <c r="IJR50" s="44"/>
      <c r="IJS50" s="44"/>
      <c r="IJT50" s="44"/>
      <c r="IJU50" s="44"/>
      <c r="IJV50" s="44"/>
      <c r="IJW50" s="44"/>
      <c r="IJX50" s="44"/>
      <c r="IJY50" s="44"/>
      <c r="IJZ50" s="44"/>
      <c r="IKA50" s="44"/>
      <c r="IKB50" s="44"/>
      <c r="IKC50" s="44"/>
      <c r="IKD50" s="44"/>
      <c r="IKE50" s="44"/>
      <c r="IKF50" s="44"/>
      <c r="IKG50" s="44"/>
      <c r="IKH50" s="44"/>
      <c r="IKI50" s="44"/>
      <c r="IKJ50" s="44"/>
      <c r="IKK50" s="44"/>
      <c r="IKL50" s="44"/>
      <c r="IKM50" s="44"/>
      <c r="IKN50" s="44"/>
      <c r="IKO50" s="44"/>
      <c r="IKP50" s="44"/>
      <c r="IKQ50" s="44"/>
      <c r="IKR50" s="44"/>
      <c r="IKS50" s="44"/>
      <c r="IKT50" s="44"/>
      <c r="IKU50" s="44"/>
      <c r="IKV50" s="44"/>
      <c r="IKW50" s="44"/>
      <c r="IKX50" s="44"/>
      <c r="IKY50" s="44"/>
      <c r="IKZ50" s="44"/>
      <c r="ILA50" s="44"/>
      <c r="ILB50" s="44"/>
      <c r="ILC50" s="44"/>
      <c r="ILD50" s="44"/>
      <c r="ILE50" s="44"/>
      <c r="ILF50" s="44"/>
      <c r="ILG50" s="44"/>
      <c r="ILH50" s="44"/>
      <c r="ILI50" s="44"/>
      <c r="ILJ50" s="44"/>
      <c r="ILK50" s="44"/>
      <c r="ILL50" s="44"/>
      <c r="ILM50" s="44"/>
      <c r="ILN50" s="44"/>
      <c r="ILO50" s="44"/>
      <c r="ILP50" s="44"/>
      <c r="ILQ50" s="44"/>
      <c r="ILR50" s="44"/>
      <c r="ILS50" s="44"/>
      <c r="ILT50" s="44"/>
      <c r="ILU50" s="44"/>
      <c r="ILV50" s="44"/>
      <c r="ILW50" s="44"/>
      <c r="ILX50" s="44"/>
      <c r="ILY50" s="44"/>
      <c r="ILZ50" s="44"/>
      <c r="IMA50" s="44"/>
      <c r="IMB50" s="44"/>
      <c r="IMC50" s="44"/>
      <c r="IMD50" s="44"/>
      <c r="IME50" s="44"/>
      <c r="IMF50" s="44"/>
      <c r="IMG50" s="44"/>
      <c r="IMH50" s="44"/>
      <c r="IMI50" s="44"/>
      <c r="IMJ50" s="44"/>
      <c r="IMK50" s="44"/>
      <c r="IML50" s="44"/>
      <c r="IMM50" s="44"/>
      <c r="IMN50" s="44"/>
      <c r="IMO50" s="44"/>
      <c r="IMP50" s="44"/>
      <c r="IMQ50" s="44"/>
      <c r="IMR50" s="44"/>
      <c r="IMS50" s="44"/>
      <c r="IMT50" s="44"/>
      <c r="IMU50" s="44"/>
      <c r="IMV50" s="44"/>
      <c r="IMW50" s="44"/>
      <c r="IMX50" s="44"/>
      <c r="IMY50" s="44"/>
      <c r="IMZ50" s="44"/>
      <c r="INA50" s="44"/>
      <c r="INB50" s="44"/>
      <c r="INC50" s="44"/>
      <c r="IND50" s="44"/>
      <c r="INE50" s="44"/>
      <c r="INF50" s="44"/>
      <c r="ING50" s="44"/>
      <c r="INH50" s="44"/>
      <c r="INI50" s="44"/>
      <c r="INJ50" s="44"/>
      <c r="INK50" s="44"/>
      <c r="INL50" s="44"/>
      <c r="INM50" s="44"/>
      <c r="INN50" s="44"/>
      <c r="INO50" s="44"/>
      <c r="INP50" s="44"/>
      <c r="INQ50" s="44"/>
      <c r="INR50" s="44"/>
      <c r="INS50" s="44"/>
      <c r="INT50" s="44"/>
      <c r="INU50" s="44"/>
      <c r="INV50" s="44"/>
      <c r="INW50" s="44"/>
      <c r="INX50" s="44"/>
      <c r="INY50" s="44"/>
      <c r="INZ50" s="44"/>
      <c r="IOA50" s="44"/>
      <c r="IOB50" s="44"/>
      <c r="IOC50" s="44"/>
      <c r="IOD50" s="44"/>
      <c r="IOE50" s="44"/>
      <c r="IOF50" s="44"/>
      <c r="IOG50" s="44"/>
      <c r="IOH50" s="44"/>
      <c r="IOI50" s="44"/>
      <c r="IOJ50" s="44"/>
      <c r="IOK50" s="44"/>
      <c r="IOL50" s="44"/>
      <c r="IOM50" s="44"/>
      <c r="ION50" s="44"/>
      <c r="IOO50" s="44"/>
      <c r="IOP50" s="44"/>
      <c r="IOQ50" s="44"/>
      <c r="IOR50" s="44"/>
      <c r="IOS50" s="44"/>
      <c r="IOT50" s="44"/>
      <c r="IOU50" s="44"/>
      <c r="IOV50" s="44"/>
      <c r="IOW50" s="44"/>
      <c r="IOX50" s="44"/>
      <c r="IOY50" s="44"/>
      <c r="IOZ50" s="44"/>
      <c r="IPA50" s="44"/>
      <c r="IPB50" s="44"/>
      <c r="IPC50" s="44"/>
      <c r="IPD50" s="44"/>
      <c r="IPE50" s="44"/>
      <c r="IPF50" s="44"/>
      <c r="IPG50" s="44"/>
      <c r="IPH50" s="44"/>
      <c r="IPI50" s="44"/>
      <c r="IPJ50" s="44"/>
      <c r="IPK50" s="44"/>
      <c r="IPL50" s="44"/>
      <c r="IPM50" s="44"/>
      <c r="IPN50" s="44"/>
      <c r="IPO50" s="44"/>
      <c r="IPP50" s="44"/>
      <c r="IPQ50" s="44"/>
      <c r="IPR50" s="44"/>
      <c r="IPS50" s="44"/>
      <c r="IPT50" s="44"/>
      <c r="IPU50" s="44"/>
      <c r="IPV50" s="44"/>
      <c r="IPW50" s="44"/>
      <c r="IPX50" s="44"/>
      <c r="IPY50" s="44"/>
      <c r="IPZ50" s="44"/>
      <c r="IQA50" s="44"/>
      <c r="IQB50" s="44"/>
      <c r="IQC50" s="44"/>
      <c r="IQD50" s="44"/>
      <c r="IQE50" s="44"/>
      <c r="IQF50" s="44"/>
      <c r="IQG50" s="44"/>
      <c r="IQH50" s="44"/>
      <c r="IQI50" s="44"/>
      <c r="IQJ50" s="44"/>
      <c r="IQK50" s="44"/>
      <c r="IQL50" s="44"/>
      <c r="IQM50" s="44"/>
      <c r="IQN50" s="44"/>
      <c r="IQO50" s="44"/>
      <c r="IQP50" s="44"/>
      <c r="IQQ50" s="44"/>
      <c r="IQR50" s="44"/>
      <c r="IQS50" s="44"/>
      <c r="IQT50" s="44"/>
      <c r="IQU50" s="44"/>
      <c r="IQV50" s="44"/>
      <c r="IQW50" s="44"/>
      <c r="IQX50" s="44"/>
      <c r="IQY50" s="44"/>
      <c r="IQZ50" s="44"/>
      <c r="IRA50" s="44"/>
      <c r="IRB50" s="44"/>
      <c r="IRC50" s="44"/>
      <c r="IRD50" s="44"/>
      <c r="IRE50" s="44"/>
      <c r="IRF50" s="44"/>
      <c r="IRG50" s="44"/>
      <c r="IRH50" s="44"/>
      <c r="IRI50" s="44"/>
      <c r="IRJ50" s="44"/>
      <c r="IRK50" s="44"/>
      <c r="IRL50" s="44"/>
      <c r="IRM50" s="44"/>
      <c r="IRN50" s="44"/>
      <c r="IRO50" s="44"/>
      <c r="IRP50" s="44"/>
      <c r="IRQ50" s="44"/>
      <c r="IRR50" s="44"/>
      <c r="IRS50" s="44"/>
      <c r="IRT50" s="44"/>
      <c r="IRU50" s="44"/>
      <c r="IRV50" s="44"/>
      <c r="IRW50" s="44"/>
      <c r="IRX50" s="44"/>
      <c r="IRY50" s="44"/>
      <c r="IRZ50" s="44"/>
      <c r="ISA50" s="44"/>
      <c r="ISB50" s="44"/>
      <c r="ISC50" s="44"/>
      <c r="ISD50" s="44"/>
      <c r="ISE50" s="44"/>
      <c r="ISF50" s="44"/>
      <c r="ISG50" s="44"/>
      <c r="ISH50" s="44"/>
      <c r="ISI50" s="44"/>
      <c r="ISJ50" s="44"/>
      <c r="ISK50" s="44"/>
      <c r="ISL50" s="44"/>
      <c r="ISM50" s="44"/>
      <c r="ISN50" s="44"/>
      <c r="ISO50" s="44"/>
      <c r="ISP50" s="44"/>
      <c r="ISQ50" s="44"/>
      <c r="ISR50" s="44"/>
      <c r="ISS50" s="44"/>
      <c r="IST50" s="44"/>
      <c r="ISU50" s="44"/>
      <c r="ISV50" s="44"/>
      <c r="ISW50" s="44"/>
      <c r="ISX50" s="44"/>
      <c r="ISY50" s="44"/>
      <c r="ISZ50" s="44"/>
      <c r="ITA50" s="44"/>
      <c r="ITB50" s="44"/>
      <c r="ITC50" s="44"/>
      <c r="ITD50" s="44"/>
      <c r="ITE50" s="44"/>
      <c r="ITF50" s="44"/>
      <c r="ITG50" s="44"/>
      <c r="ITH50" s="44"/>
      <c r="ITI50" s="44"/>
      <c r="ITJ50" s="44"/>
      <c r="ITK50" s="44"/>
      <c r="ITL50" s="44"/>
      <c r="ITM50" s="44"/>
      <c r="ITN50" s="44"/>
      <c r="ITO50" s="44"/>
      <c r="ITP50" s="44"/>
      <c r="ITQ50" s="44"/>
      <c r="ITR50" s="44"/>
      <c r="ITS50" s="44"/>
      <c r="ITT50" s="44"/>
      <c r="ITU50" s="44"/>
      <c r="ITV50" s="44"/>
      <c r="ITW50" s="44"/>
      <c r="ITX50" s="44"/>
      <c r="ITY50" s="44"/>
      <c r="ITZ50" s="44"/>
      <c r="IUA50" s="44"/>
      <c r="IUB50" s="44"/>
      <c r="IUC50" s="44"/>
      <c r="IUD50" s="44"/>
      <c r="IUE50" s="44"/>
      <c r="IUF50" s="44"/>
      <c r="IUG50" s="44"/>
      <c r="IUH50" s="44"/>
      <c r="IUI50" s="44"/>
      <c r="IUJ50" s="44"/>
      <c r="IUK50" s="44"/>
      <c r="IUL50" s="44"/>
      <c r="IUM50" s="44"/>
      <c r="IUN50" s="44"/>
      <c r="IUO50" s="44"/>
      <c r="IUP50" s="44"/>
      <c r="IUQ50" s="44"/>
      <c r="IUR50" s="44"/>
      <c r="IUS50" s="44"/>
      <c r="IUT50" s="44"/>
      <c r="IUU50" s="44"/>
      <c r="IUV50" s="44"/>
      <c r="IUW50" s="44"/>
      <c r="IUX50" s="44"/>
      <c r="IUY50" s="44"/>
      <c r="IUZ50" s="44"/>
      <c r="IVA50" s="44"/>
      <c r="IVB50" s="44"/>
      <c r="IVC50" s="44"/>
      <c r="IVD50" s="44"/>
      <c r="IVE50" s="44"/>
      <c r="IVF50" s="44"/>
      <c r="IVG50" s="44"/>
      <c r="IVH50" s="44"/>
      <c r="IVI50" s="44"/>
      <c r="IVJ50" s="44"/>
      <c r="IVK50" s="44"/>
      <c r="IVL50" s="44"/>
      <c r="IVM50" s="44"/>
      <c r="IVN50" s="44"/>
      <c r="IVO50" s="44"/>
      <c r="IVP50" s="44"/>
      <c r="IVQ50" s="44"/>
      <c r="IVR50" s="44"/>
      <c r="IVS50" s="44"/>
      <c r="IVT50" s="44"/>
      <c r="IVU50" s="44"/>
      <c r="IVV50" s="44"/>
      <c r="IVW50" s="44"/>
      <c r="IVX50" s="44"/>
      <c r="IVY50" s="44"/>
      <c r="IVZ50" s="44"/>
      <c r="IWA50" s="44"/>
      <c r="IWB50" s="44"/>
      <c r="IWC50" s="44"/>
      <c r="IWD50" s="44"/>
      <c r="IWE50" s="44"/>
      <c r="IWF50" s="44"/>
      <c r="IWG50" s="44"/>
      <c r="IWH50" s="44"/>
      <c r="IWI50" s="44"/>
      <c r="IWJ50" s="44"/>
      <c r="IWK50" s="44"/>
      <c r="IWL50" s="44"/>
      <c r="IWM50" s="44"/>
      <c r="IWN50" s="44"/>
      <c r="IWO50" s="44"/>
      <c r="IWP50" s="44"/>
      <c r="IWQ50" s="44"/>
      <c r="IWR50" s="44"/>
      <c r="IWS50" s="44"/>
      <c r="IWT50" s="44"/>
      <c r="IWU50" s="44"/>
      <c r="IWV50" s="44"/>
      <c r="IWW50" s="44"/>
      <c r="IWX50" s="44"/>
      <c r="IWY50" s="44"/>
      <c r="IWZ50" s="44"/>
      <c r="IXA50" s="44"/>
      <c r="IXB50" s="44"/>
      <c r="IXC50" s="44"/>
      <c r="IXD50" s="44"/>
      <c r="IXE50" s="44"/>
      <c r="IXF50" s="44"/>
      <c r="IXG50" s="44"/>
      <c r="IXH50" s="44"/>
      <c r="IXI50" s="44"/>
      <c r="IXJ50" s="44"/>
      <c r="IXK50" s="44"/>
      <c r="IXL50" s="44"/>
      <c r="IXM50" s="44"/>
      <c r="IXN50" s="44"/>
      <c r="IXO50" s="44"/>
      <c r="IXP50" s="44"/>
      <c r="IXQ50" s="44"/>
      <c r="IXR50" s="44"/>
      <c r="IXS50" s="44"/>
      <c r="IXT50" s="44"/>
      <c r="IXU50" s="44"/>
      <c r="IXV50" s="44"/>
      <c r="IXW50" s="44"/>
      <c r="IXX50" s="44"/>
      <c r="IXY50" s="44"/>
      <c r="IXZ50" s="44"/>
      <c r="IYA50" s="44"/>
      <c r="IYB50" s="44"/>
      <c r="IYC50" s="44"/>
      <c r="IYD50" s="44"/>
      <c r="IYE50" s="44"/>
      <c r="IYF50" s="44"/>
      <c r="IYG50" s="44"/>
      <c r="IYH50" s="44"/>
      <c r="IYI50" s="44"/>
      <c r="IYJ50" s="44"/>
      <c r="IYK50" s="44"/>
      <c r="IYL50" s="44"/>
      <c r="IYM50" s="44"/>
      <c r="IYN50" s="44"/>
      <c r="IYO50" s="44"/>
      <c r="IYP50" s="44"/>
      <c r="IYQ50" s="44"/>
      <c r="IYR50" s="44"/>
      <c r="IYS50" s="44"/>
      <c r="IYT50" s="44"/>
      <c r="IYU50" s="44"/>
      <c r="IYV50" s="44"/>
      <c r="IYW50" s="44"/>
      <c r="IYX50" s="44"/>
      <c r="IYY50" s="44"/>
      <c r="IYZ50" s="44"/>
      <c r="IZA50" s="44"/>
      <c r="IZB50" s="44"/>
      <c r="IZC50" s="44"/>
      <c r="IZD50" s="44"/>
      <c r="IZE50" s="44"/>
      <c r="IZF50" s="44"/>
      <c r="IZG50" s="44"/>
      <c r="IZH50" s="44"/>
      <c r="IZI50" s="44"/>
      <c r="IZJ50" s="44"/>
      <c r="IZK50" s="44"/>
      <c r="IZL50" s="44"/>
      <c r="IZM50" s="44"/>
      <c r="IZN50" s="44"/>
      <c r="IZO50" s="44"/>
      <c r="IZP50" s="44"/>
      <c r="IZQ50" s="44"/>
      <c r="IZR50" s="44"/>
      <c r="IZS50" s="44"/>
      <c r="IZT50" s="44"/>
      <c r="IZU50" s="44"/>
      <c r="IZV50" s="44"/>
      <c r="IZW50" s="44"/>
      <c r="IZX50" s="44"/>
      <c r="IZY50" s="44"/>
      <c r="IZZ50" s="44"/>
      <c r="JAA50" s="44"/>
      <c r="JAB50" s="44"/>
      <c r="JAC50" s="44"/>
      <c r="JAD50" s="44"/>
      <c r="JAE50" s="44"/>
      <c r="JAF50" s="44"/>
      <c r="JAG50" s="44"/>
      <c r="JAH50" s="44"/>
      <c r="JAI50" s="44"/>
      <c r="JAJ50" s="44"/>
      <c r="JAK50" s="44"/>
      <c r="JAL50" s="44"/>
      <c r="JAM50" s="44"/>
      <c r="JAN50" s="44"/>
      <c r="JAO50" s="44"/>
      <c r="JAP50" s="44"/>
      <c r="JAQ50" s="44"/>
      <c r="JAR50" s="44"/>
      <c r="JAS50" s="44"/>
      <c r="JAT50" s="44"/>
      <c r="JAU50" s="44"/>
      <c r="JAV50" s="44"/>
      <c r="JAW50" s="44"/>
      <c r="JAX50" s="44"/>
      <c r="JAY50" s="44"/>
      <c r="JAZ50" s="44"/>
      <c r="JBA50" s="44"/>
      <c r="JBB50" s="44"/>
      <c r="JBC50" s="44"/>
      <c r="JBD50" s="44"/>
      <c r="JBE50" s="44"/>
      <c r="JBF50" s="44"/>
      <c r="JBG50" s="44"/>
      <c r="JBH50" s="44"/>
      <c r="JBI50" s="44"/>
      <c r="JBJ50" s="44"/>
      <c r="JBK50" s="44"/>
      <c r="JBL50" s="44"/>
      <c r="JBM50" s="44"/>
      <c r="JBN50" s="44"/>
      <c r="JBO50" s="44"/>
      <c r="JBP50" s="44"/>
      <c r="JBQ50" s="44"/>
      <c r="JBR50" s="44"/>
      <c r="JBS50" s="44"/>
      <c r="JBT50" s="44"/>
      <c r="JBU50" s="44"/>
      <c r="JBV50" s="44"/>
      <c r="JBW50" s="44"/>
      <c r="JBX50" s="44"/>
      <c r="JBY50" s="44"/>
      <c r="JBZ50" s="44"/>
      <c r="JCA50" s="44"/>
      <c r="JCB50" s="44"/>
      <c r="JCC50" s="44"/>
      <c r="JCD50" s="44"/>
      <c r="JCE50" s="44"/>
      <c r="JCF50" s="44"/>
      <c r="JCG50" s="44"/>
      <c r="JCH50" s="44"/>
      <c r="JCI50" s="44"/>
      <c r="JCJ50" s="44"/>
      <c r="JCK50" s="44"/>
      <c r="JCL50" s="44"/>
      <c r="JCM50" s="44"/>
      <c r="JCN50" s="44"/>
      <c r="JCO50" s="44"/>
      <c r="JCP50" s="44"/>
      <c r="JCQ50" s="44"/>
      <c r="JCR50" s="44"/>
      <c r="JCS50" s="44"/>
      <c r="JCT50" s="44"/>
      <c r="JCU50" s="44"/>
      <c r="JCV50" s="44"/>
      <c r="JCW50" s="44"/>
      <c r="JCX50" s="44"/>
      <c r="JCY50" s="44"/>
      <c r="JCZ50" s="44"/>
      <c r="JDA50" s="44"/>
      <c r="JDB50" s="44"/>
      <c r="JDC50" s="44"/>
      <c r="JDD50" s="44"/>
      <c r="JDE50" s="44"/>
      <c r="JDF50" s="44"/>
      <c r="JDG50" s="44"/>
      <c r="JDH50" s="44"/>
      <c r="JDI50" s="44"/>
      <c r="JDJ50" s="44"/>
      <c r="JDK50" s="44"/>
      <c r="JDL50" s="44"/>
      <c r="JDM50" s="44"/>
      <c r="JDN50" s="44"/>
      <c r="JDO50" s="44"/>
      <c r="JDP50" s="44"/>
      <c r="JDQ50" s="44"/>
      <c r="JDR50" s="44"/>
      <c r="JDS50" s="44"/>
      <c r="JDT50" s="44"/>
      <c r="JDU50" s="44"/>
      <c r="JDV50" s="44"/>
      <c r="JDW50" s="44"/>
      <c r="JDX50" s="44"/>
      <c r="JDY50" s="44"/>
      <c r="JDZ50" s="44"/>
      <c r="JEA50" s="44"/>
      <c r="JEB50" s="44"/>
      <c r="JEC50" s="44"/>
      <c r="JED50" s="44"/>
      <c r="JEE50" s="44"/>
      <c r="JEF50" s="44"/>
      <c r="JEG50" s="44"/>
      <c r="JEH50" s="44"/>
      <c r="JEI50" s="44"/>
      <c r="JEJ50" s="44"/>
      <c r="JEK50" s="44"/>
      <c r="JEL50" s="44"/>
      <c r="JEM50" s="44"/>
      <c r="JEN50" s="44"/>
      <c r="JEO50" s="44"/>
      <c r="JEP50" s="44"/>
      <c r="JEQ50" s="44"/>
      <c r="JER50" s="44"/>
      <c r="JES50" s="44"/>
      <c r="JET50" s="44"/>
      <c r="JEU50" s="44"/>
      <c r="JEV50" s="44"/>
      <c r="JEW50" s="44"/>
      <c r="JEX50" s="44"/>
      <c r="JEY50" s="44"/>
      <c r="JEZ50" s="44"/>
      <c r="JFA50" s="44"/>
      <c r="JFB50" s="44"/>
      <c r="JFC50" s="44"/>
      <c r="JFD50" s="44"/>
      <c r="JFE50" s="44"/>
      <c r="JFF50" s="44"/>
      <c r="JFG50" s="44"/>
      <c r="JFH50" s="44"/>
      <c r="JFI50" s="44"/>
      <c r="JFJ50" s="44"/>
      <c r="JFK50" s="44"/>
      <c r="JFL50" s="44"/>
      <c r="JFM50" s="44"/>
      <c r="JFN50" s="44"/>
      <c r="JFO50" s="44"/>
      <c r="JFP50" s="44"/>
      <c r="JFQ50" s="44"/>
      <c r="JFR50" s="44"/>
      <c r="JFS50" s="44"/>
      <c r="JFT50" s="44"/>
      <c r="JFU50" s="44"/>
      <c r="JFV50" s="44"/>
      <c r="JFW50" s="44"/>
      <c r="JFX50" s="44"/>
      <c r="JFY50" s="44"/>
      <c r="JFZ50" s="44"/>
      <c r="JGA50" s="44"/>
      <c r="JGB50" s="44"/>
      <c r="JGC50" s="44"/>
      <c r="JGD50" s="44"/>
      <c r="JGE50" s="44"/>
      <c r="JGF50" s="44"/>
      <c r="JGG50" s="44"/>
      <c r="JGH50" s="44"/>
      <c r="JGI50" s="44"/>
      <c r="JGJ50" s="44"/>
      <c r="JGK50" s="44"/>
      <c r="JGL50" s="44"/>
      <c r="JGM50" s="44"/>
      <c r="JGN50" s="44"/>
      <c r="JGO50" s="44"/>
      <c r="JGP50" s="44"/>
      <c r="JGQ50" s="44"/>
      <c r="JGR50" s="44"/>
      <c r="JGS50" s="44"/>
      <c r="JGT50" s="44"/>
      <c r="JGU50" s="44"/>
      <c r="JGV50" s="44"/>
      <c r="JGW50" s="44"/>
      <c r="JGX50" s="44"/>
      <c r="JGY50" s="44"/>
      <c r="JGZ50" s="44"/>
      <c r="JHA50" s="44"/>
      <c r="JHB50" s="44"/>
      <c r="JHC50" s="44"/>
      <c r="JHD50" s="44"/>
      <c r="JHE50" s="44"/>
      <c r="JHF50" s="44"/>
      <c r="JHG50" s="44"/>
      <c r="JHH50" s="44"/>
      <c r="JHI50" s="44"/>
      <c r="JHJ50" s="44"/>
      <c r="JHK50" s="44"/>
      <c r="JHL50" s="44"/>
      <c r="JHM50" s="44"/>
      <c r="JHN50" s="44"/>
      <c r="JHO50" s="44"/>
      <c r="JHP50" s="44"/>
      <c r="JHQ50" s="44"/>
      <c r="JHR50" s="44"/>
      <c r="JHS50" s="44"/>
      <c r="JHT50" s="44"/>
      <c r="JHU50" s="44"/>
      <c r="JHV50" s="44"/>
      <c r="JHW50" s="44"/>
      <c r="JHX50" s="44"/>
      <c r="JHY50" s="44"/>
      <c r="JHZ50" s="44"/>
      <c r="JIA50" s="44"/>
      <c r="JIB50" s="44"/>
      <c r="JIC50" s="44"/>
      <c r="JID50" s="44"/>
      <c r="JIE50" s="44"/>
      <c r="JIF50" s="44"/>
      <c r="JIG50" s="44"/>
      <c r="JIH50" s="44"/>
      <c r="JII50" s="44"/>
      <c r="JIJ50" s="44"/>
      <c r="JIK50" s="44"/>
      <c r="JIL50" s="44"/>
      <c r="JIM50" s="44"/>
      <c r="JIN50" s="44"/>
      <c r="JIO50" s="44"/>
      <c r="JIP50" s="44"/>
      <c r="JIQ50" s="44"/>
      <c r="JIR50" s="44"/>
      <c r="JIS50" s="44"/>
      <c r="JIT50" s="44"/>
      <c r="JIU50" s="44"/>
      <c r="JIV50" s="44"/>
      <c r="JIW50" s="44"/>
      <c r="JIX50" s="44"/>
      <c r="JIY50" s="44"/>
      <c r="JIZ50" s="44"/>
      <c r="JJA50" s="44"/>
      <c r="JJB50" s="44"/>
      <c r="JJC50" s="44"/>
      <c r="JJD50" s="44"/>
      <c r="JJE50" s="44"/>
      <c r="JJF50" s="44"/>
      <c r="JJG50" s="44"/>
      <c r="JJH50" s="44"/>
      <c r="JJI50" s="44"/>
      <c r="JJJ50" s="44"/>
      <c r="JJK50" s="44"/>
      <c r="JJL50" s="44"/>
      <c r="JJM50" s="44"/>
      <c r="JJN50" s="44"/>
      <c r="JJO50" s="44"/>
      <c r="JJP50" s="44"/>
      <c r="JJQ50" s="44"/>
      <c r="JJR50" s="44"/>
      <c r="JJS50" s="44"/>
      <c r="JJT50" s="44"/>
      <c r="JJU50" s="44"/>
      <c r="JJV50" s="44"/>
      <c r="JJW50" s="44"/>
      <c r="JJX50" s="44"/>
      <c r="JJY50" s="44"/>
      <c r="JJZ50" s="44"/>
      <c r="JKA50" s="44"/>
      <c r="JKB50" s="44"/>
      <c r="JKC50" s="44"/>
      <c r="JKD50" s="44"/>
      <c r="JKE50" s="44"/>
      <c r="JKF50" s="44"/>
      <c r="JKG50" s="44"/>
      <c r="JKH50" s="44"/>
      <c r="JKI50" s="44"/>
      <c r="JKJ50" s="44"/>
      <c r="JKK50" s="44"/>
      <c r="JKL50" s="44"/>
      <c r="JKM50" s="44"/>
      <c r="JKN50" s="44"/>
      <c r="JKO50" s="44"/>
      <c r="JKP50" s="44"/>
      <c r="JKQ50" s="44"/>
      <c r="JKR50" s="44"/>
      <c r="JKS50" s="44"/>
      <c r="JKT50" s="44"/>
      <c r="JKU50" s="44"/>
      <c r="JKV50" s="44"/>
      <c r="JKW50" s="44"/>
      <c r="JKX50" s="44"/>
      <c r="JKY50" s="44"/>
      <c r="JKZ50" s="44"/>
      <c r="JLA50" s="44"/>
      <c r="JLB50" s="44"/>
      <c r="JLC50" s="44"/>
      <c r="JLD50" s="44"/>
      <c r="JLE50" s="44"/>
      <c r="JLF50" s="44"/>
      <c r="JLG50" s="44"/>
      <c r="JLH50" s="44"/>
      <c r="JLI50" s="44"/>
      <c r="JLJ50" s="44"/>
      <c r="JLK50" s="44"/>
      <c r="JLL50" s="44"/>
      <c r="JLM50" s="44"/>
      <c r="JLN50" s="44"/>
      <c r="JLO50" s="44"/>
      <c r="JLP50" s="44"/>
      <c r="JLQ50" s="44"/>
      <c r="JLR50" s="44"/>
      <c r="JLS50" s="44"/>
      <c r="JLT50" s="44"/>
      <c r="JLU50" s="44"/>
      <c r="JLV50" s="44"/>
      <c r="JLW50" s="44"/>
      <c r="JLX50" s="44"/>
      <c r="JLY50" s="44"/>
      <c r="JLZ50" s="44"/>
      <c r="JMA50" s="44"/>
      <c r="JMB50" s="44"/>
      <c r="JMC50" s="44"/>
      <c r="JMD50" s="44"/>
      <c r="JME50" s="44"/>
      <c r="JMF50" s="44"/>
      <c r="JMG50" s="44"/>
      <c r="JMH50" s="44"/>
      <c r="JMI50" s="44"/>
      <c r="JMJ50" s="44"/>
      <c r="JMK50" s="44"/>
      <c r="JML50" s="44"/>
      <c r="JMM50" s="44"/>
      <c r="JMN50" s="44"/>
      <c r="JMO50" s="44"/>
      <c r="JMP50" s="44"/>
      <c r="JMQ50" s="44"/>
      <c r="JMR50" s="44"/>
      <c r="JMS50" s="44"/>
      <c r="JMT50" s="44"/>
      <c r="JMU50" s="44"/>
      <c r="JMV50" s="44"/>
      <c r="JMW50" s="44"/>
      <c r="JMX50" s="44"/>
      <c r="JMY50" s="44"/>
      <c r="JMZ50" s="44"/>
      <c r="JNA50" s="44"/>
      <c r="JNB50" s="44"/>
      <c r="JNC50" s="44"/>
      <c r="JND50" s="44"/>
      <c r="JNE50" s="44"/>
      <c r="JNF50" s="44"/>
      <c r="JNG50" s="44"/>
      <c r="JNH50" s="44"/>
      <c r="JNI50" s="44"/>
      <c r="JNJ50" s="44"/>
      <c r="JNK50" s="44"/>
      <c r="JNL50" s="44"/>
      <c r="JNM50" s="44"/>
      <c r="JNN50" s="44"/>
      <c r="JNO50" s="44"/>
      <c r="JNP50" s="44"/>
      <c r="JNQ50" s="44"/>
      <c r="JNR50" s="44"/>
      <c r="JNS50" s="44"/>
      <c r="JNT50" s="44"/>
      <c r="JNU50" s="44"/>
      <c r="JNV50" s="44"/>
      <c r="JNW50" s="44"/>
      <c r="JNX50" s="44"/>
      <c r="JNY50" s="44"/>
      <c r="JNZ50" s="44"/>
      <c r="JOA50" s="44"/>
      <c r="JOB50" s="44"/>
      <c r="JOC50" s="44"/>
      <c r="JOD50" s="44"/>
      <c r="JOE50" s="44"/>
      <c r="JOF50" s="44"/>
      <c r="JOG50" s="44"/>
      <c r="JOH50" s="44"/>
      <c r="JOI50" s="44"/>
      <c r="JOJ50" s="44"/>
      <c r="JOK50" s="44"/>
      <c r="JOL50" s="44"/>
      <c r="JOM50" s="44"/>
      <c r="JON50" s="44"/>
      <c r="JOO50" s="44"/>
      <c r="JOP50" s="44"/>
      <c r="JOQ50" s="44"/>
      <c r="JOR50" s="44"/>
      <c r="JOS50" s="44"/>
      <c r="JOT50" s="44"/>
      <c r="JOU50" s="44"/>
      <c r="JOV50" s="44"/>
      <c r="JOW50" s="44"/>
      <c r="JOX50" s="44"/>
      <c r="JOY50" s="44"/>
      <c r="JOZ50" s="44"/>
      <c r="JPA50" s="44"/>
      <c r="JPB50" s="44"/>
      <c r="JPC50" s="44"/>
      <c r="JPD50" s="44"/>
      <c r="JPE50" s="44"/>
      <c r="JPF50" s="44"/>
      <c r="JPG50" s="44"/>
      <c r="JPH50" s="44"/>
      <c r="JPI50" s="44"/>
      <c r="JPJ50" s="44"/>
      <c r="JPK50" s="44"/>
      <c r="JPL50" s="44"/>
      <c r="JPM50" s="44"/>
      <c r="JPN50" s="44"/>
      <c r="JPO50" s="44"/>
      <c r="JPP50" s="44"/>
      <c r="JPQ50" s="44"/>
      <c r="JPR50" s="44"/>
      <c r="JPS50" s="44"/>
      <c r="JPT50" s="44"/>
      <c r="JPU50" s="44"/>
      <c r="JPV50" s="44"/>
      <c r="JPW50" s="44"/>
      <c r="JPX50" s="44"/>
      <c r="JPY50" s="44"/>
      <c r="JPZ50" s="44"/>
      <c r="JQA50" s="44"/>
      <c r="JQB50" s="44"/>
      <c r="JQC50" s="44"/>
      <c r="JQD50" s="44"/>
      <c r="JQE50" s="44"/>
      <c r="JQF50" s="44"/>
      <c r="JQG50" s="44"/>
      <c r="JQH50" s="44"/>
      <c r="JQI50" s="44"/>
      <c r="JQJ50" s="44"/>
      <c r="JQK50" s="44"/>
      <c r="JQL50" s="44"/>
      <c r="JQM50" s="44"/>
      <c r="JQN50" s="44"/>
      <c r="JQO50" s="44"/>
      <c r="JQP50" s="44"/>
      <c r="JQQ50" s="44"/>
      <c r="JQR50" s="44"/>
      <c r="JQS50" s="44"/>
      <c r="JQT50" s="44"/>
      <c r="JQU50" s="44"/>
      <c r="JQV50" s="44"/>
      <c r="JQW50" s="44"/>
      <c r="JQX50" s="44"/>
      <c r="JQY50" s="44"/>
      <c r="JQZ50" s="44"/>
      <c r="JRA50" s="44"/>
      <c r="JRB50" s="44"/>
      <c r="JRC50" s="44"/>
      <c r="JRD50" s="44"/>
      <c r="JRE50" s="44"/>
      <c r="JRF50" s="44"/>
      <c r="JRG50" s="44"/>
      <c r="JRH50" s="44"/>
      <c r="JRI50" s="44"/>
      <c r="JRJ50" s="44"/>
      <c r="JRK50" s="44"/>
      <c r="JRL50" s="44"/>
      <c r="JRM50" s="44"/>
      <c r="JRN50" s="44"/>
      <c r="JRO50" s="44"/>
      <c r="JRP50" s="44"/>
      <c r="JRQ50" s="44"/>
      <c r="JRR50" s="44"/>
      <c r="JRS50" s="44"/>
      <c r="JRT50" s="44"/>
      <c r="JRU50" s="44"/>
      <c r="JRV50" s="44"/>
      <c r="JRW50" s="44"/>
      <c r="JRX50" s="44"/>
      <c r="JRY50" s="44"/>
      <c r="JRZ50" s="44"/>
      <c r="JSA50" s="44"/>
      <c r="JSB50" s="44"/>
      <c r="JSC50" s="44"/>
      <c r="JSD50" s="44"/>
      <c r="JSE50" s="44"/>
      <c r="JSF50" s="44"/>
      <c r="JSG50" s="44"/>
      <c r="JSH50" s="44"/>
      <c r="JSI50" s="44"/>
      <c r="JSJ50" s="44"/>
      <c r="JSK50" s="44"/>
      <c r="JSL50" s="44"/>
      <c r="JSM50" s="44"/>
      <c r="JSN50" s="44"/>
      <c r="JSO50" s="44"/>
      <c r="JSP50" s="44"/>
      <c r="JSQ50" s="44"/>
      <c r="JSR50" s="44"/>
      <c r="JSS50" s="44"/>
      <c r="JST50" s="44"/>
      <c r="JSU50" s="44"/>
      <c r="JSV50" s="44"/>
      <c r="JSW50" s="44"/>
      <c r="JSX50" s="44"/>
      <c r="JSY50" s="44"/>
      <c r="JSZ50" s="44"/>
      <c r="JTA50" s="44"/>
      <c r="JTB50" s="44"/>
      <c r="JTC50" s="44"/>
      <c r="JTD50" s="44"/>
      <c r="JTE50" s="44"/>
      <c r="JTF50" s="44"/>
      <c r="JTG50" s="44"/>
      <c r="JTH50" s="44"/>
      <c r="JTI50" s="44"/>
      <c r="JTJ50" s="44"/>
      <c r="JTK50" s="44"/>
      <c r="JTL50" s="44"/>
      <c r="JTM50" s="44"/>
      <c r="JTN50" s="44"/>
      <c r="JTO50" s="44"/>
      <c r="JTP50" s="44"/>
      <c r="JTQ50" s="44"/>
      <c r="JTR50" s="44"/>
      <c r="JTS50" s="44"/>
      <c r="JTT50" s="44"/>
      <c r="JTU50" s="44"/>
      <c r="JTV50" s="44"/>
      <c r="JTW50" s="44"/>
      <c r="JTX50" s="44"/>
      <c r="JTY50" s="44"/>
      <c r="JTZ50" s="44"/>
      <c r="JUA50" s="44"/>
      <c r="JUB50" s="44"/>
      <c r="JUC50" s="44"/>
      <c r="JUD50" s="44"/>
      <c r="JUE50" s="44"/>
      <c r="JUF50" s="44"/>
      <c r="JUG50" s="44"/>
      <c r="JUH50" s="44"/>
      <c r="JUI50" s="44"/>
      <c r="JUJ50" s="44"/>
      <c r="JUK50" s="44"/>
      <c r="JUL50" s="44"/>
      <c r="JUM50" s="44"/>
      <c r="JUN50" s="44"/>
      <c r="JUO50" s="44"/>
      <c r="JUP50" s="44"/>
      <c r="JUQ50" s="44"/>
      <c r="JUR50" s="44"/>
      <c r="JUS50" s="44"/>
      <c r="JUT50" s="44"/>
      <c r="JUU50" s="44"/>
      <c r="JUV50" s="44"/>
      <c r="JUW50" s="44"/>
      <c r="JUX50" s="44"/>
      <c r="JUY50" s="44"/>
      <c r="JUZ50" s="44"/>
      <c r="JVA50" s="44"/>
      <c r="JVB50" s="44"/>
      <c r="JVC50" s="44"/>
      <c r="JVD50" s="44"/>
      <c r="JVE50" s="44"/>
      <c r="JVF50" s="44"/>
      <c r="JVG50" s="44"/>
      <c r="JVH50" s="44"/>
      <c r="JVI50" s="44"/>
      <c r="JVJ50" s="44"/>
      <c r="JVK50" s="44"/>
      <c r="JVL50" s="44"/>
      <c r="JVM50" s="44"/>
      <c r="JVN50" s="44"/>
      <c r="JVO50" s="44"/>
      <c r="JVP50" s="44"/>
      <c r="JVQ50" s="44"/>
      <c r="JVR50" s="44"/>
      <c r="JVS50" s="44"/>
      <c r="JVT50" s="44"/>
      <c r="JVU50" s="44"/>
      <c r="JVV50" s="44"/>
      <c r="JVW50" s="44"/>
      <c r="JVX50" s="44"/>
      <c r="JVY50" s="44"/>
      <c r="JVZ50" s="44"/>
      <c r="JWA50" s="44"/>
      <c r="JWB50" s="44"/>
      <c r="JWC50" s="44"/>
      <c r="JWD50" s="44"/>
      <c r="JWE50" s="44"/>
      <c r="JWF50" s="44"/>
      <c r="JWG50" s="44"/>
      <c r="JWH50" s="44"/>
      <c r="JWI50" s="44"/>
      <c r="JWJ50" s="44"/>
      <c r="JWK50" s="44"/>
      <c r="JWL50" s="44"/>
      <c r="JWM50" s="44"/>
      <c r="JWN50" s="44"/>
      <c r="JWO50" s="44"/>
      <c r="JWP50" s="44"/>
      <c r="JWQ50" s="44"/>
      <c r="JWR50" s="44"/>
      <c r="JWS50" s="44"/>
      <c r="JWT50" s="44"/>
      <c r="JWU50" s="44"/>
      <c r="JWV50" s="44"/>
      <c r="JWW50" s="44"/>
      <c r="JWX50" s="44"/>
      <c r="JWY50" s="44"/>
      <c r="JWZ50" s="44"/>
      <c r="JXA50" s="44"/>
      <c r="JXB50" s="44"/>
      <c r="JXC50" s="44"/>
      <c r="JXD50" s="44"/>
      <c r="JXE50" s="44"/>
      <c r="JXF50" s="44"/>
      <c r="JXG50" s="44"/>
      <c r="JXH50" s="44"/>
      <c r="JXI50" s="44"/>
      <c r="JXJ50" s="44"/>
      <c r="JXK50" s="44"/>
      <c r="JXL50" s="44"/>
      <c r="JXM50" s="44"/>
      <c r="JXN50" s="44"/>
      <c r="JXO50" s="44"/>
      <c r="JXP50" s="44"/>
      <c r="JXQ50" s="44"/>
      <c r="JXR50" s="44"/>
      <c r="JXS50" s="44"/>
      <c r="JXT50" s="44"/>
      <c r="JXU50" s="44"/>
      <c r="JXV50" s="44"/>
      <c r="JXW50" s="44"/>
      <c r="JXX50" s="44"/>
      <c r="JXY50" s="44"/>
      <c r="JXZ50" s="44"/>
      <c r="JYA50" s="44"/>
      <c r="JYB50" s="44"/>
      <c r="JYC50" s="44"/>
      <c r="JYD50" s="44"/>
      <c r="JYE50" s="44"/>
      <c r="JYF50" s="44"/>
      <c r="JYG50" s="44"/>
      <c r="JYH50" s="44"/>
      <c r="JYI50" s="44"/>
      <c r="JYJ50" s="44"/>
      <c r="JYK50" s="44"/>
      <c r="JYL50" s="44"/>
      <c r="JYM50" s="44"/>
      <c r="JYN50" s="44"/>
      <c r="JYO50" s="44"/>
      <c r="JYP50" s="44"/>
      <c r="JYQ50" s="44"/>
      <c r="JYR50" s="44"/>
      <c r="JYS50" s="44"/>
      <c r="JYT50" s="44"/>
      <c r="JYU50" s="44"/>
      <c r="JYV50" s="44"/>
      <c r="JYW50" s="44"/>
      <c r="JYX50" s="44"/>
      <c r="JYY50" s="44"/>
      <c r="JYZ50" s="44"/>
      <c r="JZA50" s="44"/>
      <c r="JZB50" s="44"/>
      <c r="JZC50" s="44"/>
      <c r="JZD50" s="44"/>
      <c r="JZE50" s="44"/>
      <c r="JZF50" s="44"/>
      <c r="JZG50" s="44"/>
      <c r="JZH50" s="44"/>
      <c r="JZI50" s="44"/>
      <c r="JZJ50" s="44"/>
      <c r="JZK50" s="44"/>
      <c r="JZL50" s="44"/>
      <c r="JZM50" s="44"/>
      <c r="JZN50" s="44"/>
      <c r="JZO50" s="44"/>
      <c r="JZP50" s="44"/>
      <c r="JZQ50" s="44"/>
      <c r="JZR50" s="44"/>
      <c r="JZS50" s="44"/>
      <c r="JZT50" s="44"/>
      <c r="JZU50" s="44"/>
      <c r="JZV50" s="44"/>
      <c r="JZW50" s="44"/>
      <c r="JZX50" s="44"/>
      <c r="JZY50" s="44"/>
      <c r="JZZ50" s="44"/>
      <c r="KAA50" s="44"/>
      <c r="KAB50" s="44"/>
      <c r="KAC50" s="44"/>
      <c r="KAD50" s="44"/>
      <c r="KAE50" s="44"/>
      <c r="KAF50" s="44"/>
      <c r="KAG50" s="44"/>
      <c r="KAH50" s="44"/>
      <c r="KAI50" s="44"/>
      <c r="KAJ50" s="44"/>
      <c r="KAK50" s="44"/>
      <c r="KAL50" s="44"/>
      <c r="KAM50" s="44"/>
      <c r="KAN50" s="44"/>
      <c r="KAO50" s="44"/>
      <c r="KAP50" s="44"/>
      <c r="KAQ50" s="44"/>
      <c r="KAR50" s="44"/>
      <c r="KAS50" s="44"/>
      <c r="KAT50" s="44"/>
      <c r="KAU50" s="44"/>
      <c r="KAV50" s="44"/>
      <c r="KAW50" s="44"/>
      <c r="KAX50" s="44"/>
      <c r="KAY50" s="44"/>
      <c r="KAZ50" s="44"/>
      <c r="KBA50" s="44"/>
      <c r="KBB50" s="44"/>
      <c r="KBC50" s="44"/>
      <c r="KBD50" s="44"/>
      <c r="KBE50" s="44"/>
      <c r="KBF50" s="44"/>
      <c r="KBG50" s="44"/>
      <c r="KBH50" s="44"/>
      <c r="KBI50" s="44"/>
      <c r="KBJ50" s="44"/>
      <c r="KBK50" s="44"/>
      <c r="KBL50" s="44"/>
      <c r="KBM50" s="44"/>
      <c r="KBN50" s="44"/>
      <c r="KBO50" s="44"/>
      <c r="KBP50" s="44"/>
      <c r="KBQ50" s="44"/>
      <c r="KBR50" s="44"/>
      <c r="KBS50" s="44"/>
      <c r="KBT50" s="44"/>
      <c r="KBU50" s="44"/>
      <c r="KBV50" s="44"/>
      <c r="KBW50" s="44"/>
      <c r="KBX50" s="44"/>
      <c r="KBY50" s="44"/>
      <c r="KBZ50" s="44"/>
      <c r="KCA50" s="44"/>
      <c r="KCB50" s="44"/>
      <c r="KCC50" s="44"/>
      <c r="KCD50" s="44"/>
      <c r="KCE50" s="44"/>
      <c r="KCF50" s="44"/>
      <c r="KCG50" s="44"/>
      <c r="KCH50" s="44"/>
      <c r="KCI50" s="44"/>
      <c r="KCJ50" s="44"/>
      <c r="KCK50" s="44"/>
      <c r="KCL50" s="44"/>
      <c r="KCM50" s="44"/>
      <c r="KCN50" s="44"/>
      <c r="KCO50" s="44"/>
      <c r="KCP50" s="44"/>
      <c r="KCQ50" s="44"/>
      <c r="KCR50" s="44"/>
      <c r="KCS50" s="44"/>
      <c r="KCT50" s="44"/>
      <c r="KCU50" s="44"/>
      <c r="KCV50" s="44"/>
      <c r="KCW50" s="44"/>
      <c r="KCX50" s="44"/>
      <c r="KCY50" s="44"/>
      <c r="KCZ50" s="44"/>
      <c r="KDA50" s="44"/>
      <c r="KDB50" s="44"/>
      <c r="KDC50" s="44"/>
      <c r="KDD50" s="44"/>
      <c r="KDE50" s="44"/>
      <c r="KDF50" s="44"/>
      <c r="KDG50" s="44"/>
      <c r="KDH50" s="44"/>
      <c r="KDI50" s="44"/>
      <c r="KDJ50" s="44"/>
      <c r="KDK50" s="44"/>
      <c r="KDL50" s="44"/>
      <c r="KDM50" s="44"/>
      <c r="KDN50" s="44"/>
      <c r="KDO50" s="44"/>
      <c r="KDP50" s="44"/>
      <c r="KDQ50" s="44"/>
      <c r="KDR50" s="44"/>
      <c r="KDS50" s="44"/>
      <c r="KDT50" s="44"/>
      <c r="KDU50" s="44"/>
      <c r="KDV50" s="44"/>
      <c r="KDW50" s="44"/>
      <c r="KDX50" s="44"/>
      <c r="KDY50" s="44"/>
      <c r="KDZ50" s="44"/>
      <c r="KEA50" s="44"/>
      <c r="KEB50" s="44"/>
      <c r="KEC50" s="44"/>
      <c r="KED50" s="44"/>
      <c r="KEE50" s="44"/>
      <c r="KEF50" s="44"/>
      <c r="KEG50" s="44"/>
      <c r="KEH50" s="44"/>
      <c r="KEI50" s="44"/>
      <c r="KEJ50" s="44"/>
      <c r="KEK50" s="44"/>
      <c r="KEL50" s="44"/>
      <c r="KEM50" s="44"/>
      <c r="KEN50" s="44"/>
      <c r="KEO50" s="44"/>
      <c r="KEP50" s="44"/>
      <c r="KEQ50" s="44"/>
      <c r="KER50" s="44"/>
      <c r="KES50" s="44"/>
      <c r="KET50" s="44"/>
      <c r="KEU50" s="44"/>
      <c r="KEV50" s="44"/>
      <c r="KEW50" s="44"/>
      <c r="KEX50" s="44"/>
      <c r="KEY50" s="44"/>
      <c r="KEZ50" s="44"/>
      <c r="KFA50" s="44"/>
      <c r="KFB50" s="44"/>
      <c r="KFC50" s="44"/>
      <c r="KFD50" s="44"/>
      <c r="KFE50" s="44"/>
      <c r="KFF50" s="44"/>
      <c r="KFG50" s="44"/>
      <c r="KFH50" s="44"/>
      <c r="KFI50" s="44"/>
      <c r="KFJ50" s="44"/>
      <c r="KFK50" s="44"/>
      <c r="KFL50" s="44"/>
      <c r="KFM50" s="44"/>
      <c r="KFN50" s="44"/>
      <c r="KFO50" s="44"/>
      <c r="KFP50" s="44"/>
      <c r="KFQ50" s="44"/>
      <c r="KFR50" s="44"/>
      <c r="KFS50" s="44"/>
      <c r="KFT50" s="44"/>
      <c r="KFU50" s="44"/>
      <c r="KFV50" s="44"/>
      <c r="KFW50" s="44"/>
      <c r="KFX50" s="44"/>
      <c r="KFY50" s="44"/>
      <c r="KFZ50" s="44"/>
      <c r="KGA50" s="44"/>
      <c r="KGB50" s="44"/>
      <c r="KGC50" s="44"/>
      <c r="KGD50" s="44"/>
      <c r="KGE50" s="44"/>
      <c r="KGF50" s="44"/>
      <c r="KGG50" s="44"/>
      <c r="KGH50" s="44"/>
      <c r="KGI50" s="44"/>
      <c r="KGJ50" s="44"/>
      <c r="KGK50" s="44"/>
      <c r="KGL50" s="44"/>
      <c r="KGM50" s="44"/>
      <c r="KGN50" s="44"/>
      <c r="KGO50" s="44"/>
      <c r="KGP50" s="44"/>
      <c r="KGQ50" s="44"/>
      <c r="KGR50" s="44"/>
      <c r="KGS50" s="44"/>
      <c r="KGT50" s="44"/>
      <c r="KGU50" s="44"/>
      <c r="KGV50" s="44"/>
      <c r="KGW50" s="44"/>
      <c r="KGX50" s="44"/>
      <c r="KGY50" s="44"/>
      <c r="KGZ50" s="44"/>
      <c r="KHA50" s="44"/>
      <c r="KHB50" s="44"/>
      <c r="KHC50" s="44"/>
      <c r="KHD50" s="44"/>
      <c r="KHE50" s="44"/>
      <c r="KHF50" s="44"/>
      <c r="KHG50" s="44"/>
      <c r="KHH50" s="44"/>
      <c r="KHI50" s="44"/>
      <c r="KHJ50" s="44"/>
      <c r="KHK50" s="44"/>
      <c r="KHL50" s="44"/>
      <c r="KHM50" s="44"/>
      <c r="KHN50" s="44"/>
      <c r="KHO50" s="44"/>
      <c r="KHP50" s="44"/>
      <c r="KHQ50" s="44"/>
      <c r="KHR50" s="44"/>
      <c r="KHS50" s="44"/>
      <c r="KHT50" s="44"/>
      <c r="KHU50" s="44"/>
      <c r="KHV50" s="44"/>
      <c r="KHW50" s="44"/>
      <c r="KHX50" s="44"/>
      <c r="KHY50" s="44"/>
      <c r="KHZ50" s="44"/>
      <c r="KIA50" s="44"/>
      <c r="KIB50" s="44"/>
      <c r="KIC50" s="44"/>
      <c r="KID50" s="44"/>
      <c r="KIE50" s="44"/>
      <c r="KIF50" s="44"/>
      <c r="KIG50" s="44"/>
      <c r="KIH50" s="44"/>
      <c r="KII50" s="44"/>
      <c r="KIJ50" s="44"/>
      <c r="KIK50" s="44"/>
      <c r="KIL50" s="44"/>
      <c r="KIM50" s="44"/>
      <c r="KIN50" s="44"/>
      <c r="KIO50" s="44"/>
      <c r="KIP50" s="44"/>
      <c r="KIQ50" s="44"/>
      <c r="KIR50" s="44"/>
      <c r="KIS50" s="44"/>
      <c r="KIT50" s="44"/>
      <c r="KIU50" s="44"/>
      <c r="KIV50" s="44"/>
      <c r="KIW50" s="44"/>
      <c r="KIX50" s="44"/>
      <c r="KIY50" s="44"/>
      <c r="KIZ50" s="44"/>
      <c r="KJA50" s="44"/>
      <c r="KJB50" s="44"/>
      <c r="KJC50" s="44"/>
      <c r="KJD50" s="44"/>
      <c r="KJE50" s="44"/>
      <c r="KJF50" s="44"/>
      <c r="KJG50" s="44"/>
      <c r="KJH50" s="44"/>
      <c r="KJI50" s="44"/>
      <c r="KJJ50" s="44"/>
      <c r="KJK50" s="44"/>
      <c r="KJL50" s="44"/>
      <c r="KJM50" s="44"/>
      <c r="KJN50" s="44"/>
      <c r="KJO50" s="44"/>
      <c r="KJP50" s="44"/>
      <c r="KJQ50" s="44"/>
      <c r="KJR50" s="44"/>
      <c r="KJS50" s="44"/>
      <c r="KJT50" s="44"/>
      <c r="KJU50" s="44"/>
      <c r="KJV50" s="44"/>
      <c r="KJW50" s="44"/>
      <c r="KJX50" s="44"/>
      <c r="KJY50" s="44"/>
      <c r="KJZ50" s="44"/>
      <c r="KKA50" s="44"/>
      <c r="KKB50" s="44"/>
      <c r="KKC50" s="44"/>
      <c r="KKD50" s="44"/>
      <c r="KKE50" s="44"/>
      <c r="KKF50" s="44"/>
      <c r="KKG50" s="44"/>
      <c r="KKH50" s="44"/>
      <c r="KKI50" s="44"/>
      <c r="KKJ50" s="44"/>
      <c r="KKK50" s="44"/>
      <c r="KKL50" s="44"/>
      <c r="KKM50" s="44"/>
      <c r="KKN50" s="44"/>
      <c r="KKO50" s="44"/>
      <c r="KKP50" s="44"/>
      <c r="KKQ50" s="44"/>
      <c r="KKR50" s="44"/>
      <c r="KKS50" s="44"/>
      <c r="KKT50" s="44"/>
      <c r="KKU50" s="44"/>
      <c r="KKV50" s="44"/>
      <c r="KKW50" s="44"/>
      <c r="KKX50" s="44"/>
      <c r="KKY50" s="44"/>
      <c r="KKZ50" s="44"/>
      <c r="KLA50" s="44"/>
      <c r="KLB50" s="44"/>
      <c r="KLC50" s="44"/>
      <c r="KLD50" s="44"/>
      <c r="KLE50" s="44"/>
      <c r="KLF50" s="44"/>
      <c r="KLG50" s="44"/>
      <c r="KLH50" s="44"/>
      <c r="KLI50" s="44"/>
      <c r="KLJ50" s="44"/>
      <c r="KLK50" s="44"/>
      <c r="KLL50" s="44"/>
      <c r="KLM50" s="44"/>
      <c r="KLN50" s="44"/>
      <c r="KLO50" s="44"/>
      <c r="KLP50" s="44"/>
      <c r="KLQ50" s="44"/>
      <c r="KLR50" s="44"/>
      <c r="KLS50" s="44"/>
      <c r="KLT50" s="44"/>
      <c r="KLU50" s="44"/>
      <c r="KLV50" s="44"/>
      <c r="KLW50" s="44"/>
      <c r="KLX50" s="44"/>
      <c r="KLY50" s="44"/>
      <c r="KLZ50" s="44"/>
      <c r="KMA50" s="44"/>
      <c r="KMB50" s="44"/>
      <c r="KMC50" s="44"/>
      <c r="KMD50" s="44"/>
      <c r="KME50" s="44"/>
      <c r="KMF50" s="44"/>
      <c r="KMG50" s="44"/>
      <c r="KMH50" s="44"/>
      <c r="KMI50" s="44"/>
      <c r="KMJ50" s="44"/>
      <c r="KMK50" s="44"/>
      <c r="KML50" s="44"/>
      <c r="KMM50" s="44"/>
      <c r="KMN50" s="44"/>
      <c r="KMO50" s="44"/>
      <c r="KMP50" s="44"/>
      <c r="KMQ50" s="44"/>
      <c r="KMR50" s="44"/>
      <c r="KMS50" s="44"/>
      <c r="KMT50" s="44"/>
      <c r="KMU50" s="44"/>
      <c r="KMV50" s="44"/>
      <c r="KMW50" s="44"/>
      <c r="KMX50" s="44"/>
      <c r="KMY50" s="44"/>
      <c r="KMZ50" s="44"/>
      <c r="KNA50" s="44"/>
      <c r="KNB50" s="44"/>
      <c r="KNC50" s="44"/>
      <c r="KND50" s="44"/>
      <c r="KNE50" s="44"/>
      <c r="KNF50" s="44"/>
      <c r="KNG50" s="44"/>
      <c r="KNH50" s="44"/>
      <c r="KNI50" s="44"/>
      <c r="KNJ50" s="44"/>
      <c r="KNK50" s="44"/>
      <c r="KNL50" s="44"/>
      <c r="KNM50" s="44"/>
      <c r="KNN50" s="44"/>
      <c r="KNO50" s="44"/>
      <c r="KNP50" s="44"/>
      <c r="KNQ50" s="44"/>
      <c r="KNR50" s="44"/>
      <c r="KNS50" s="44"/>
      <c r="KNT50" s="44"/>
      <c r="KNU50" s="44"/>
      <c r="KNV50" s="44"/>
      <c r="KNW50" s="44"/>
      <c r="KNX50" s="44"/>
      <c r="KNY50" s="44"/>
      <c r="KNZ50" s="44"/>
      <c r="KOA50" s="44"/>
      <c r="KOB50" s="44"/>
      <c r="KOC50" s="44"/>
      <c r="KOD50" s="44"/>
      <c r="KOE50" s="44"/>
      <c r="KOF50" s="44"/>
      <c r="KOG50" s="44"/>
      <c r="KOH50" s="44"/>
      <c r="KOI50" s="44"/>
      <c r="KOJ50" s="44"/>
      <c r="KOK50" s="44"/>
      <c r="KOL50" s="44"/>
      <c r="KOM50" s="44"/>
      <c r="KON50" s="44"/>
      <c r="KOO50" s="44"/>
      <c r="KOP50" s="44"/>
      <c r="KOQ50" s="44"/>
      <c r="KOR50" s="44"/>
      <c r="KOS50" s="44"/>
      <c r="KOT50" s="44"/>
      <c r="KOU50" s="44"/>
      <c r="KOV50" s="44"/>
      <c r="KOW50" s="44"/>
      <c r="KOX50" s="44"/>
      <c r="KOY50" s="44"/>
      <c r="KOZ50" s="44"/>
      <c r="KPA50" s="44"/>
      <c r="KPB50" s="44"/>
      <c r="KPC50" s="44"/>
      <c r="KPD50" s="44"/>
      <c r="KPE50" s="44"/>
      <c r="KPF50" s="44"/>
      <c r="KPG50" s="44"/>
      <c r="KPH50" s="44"/>
      <c r="KPI50" s="44"/>
      <c r="KPJ50" s="44"/>
      <c r="KPK50" s="44"/>
      <c r="KPL50" s="44"/>
      <c r="KPM50" s="44"/>
      <c r="KPN50" s="44"/>
      <c r="KPO50" s="44"/>
      <c r="KPP50" s="44"/>
      <c r="KPQ50" s="44"/>
      <c r="KPR50" s="44"/>
      <c r="KPS50" s="44"/>
      <c r="KPT50" s="44"/>
      <c r="KPU50" s="44"/>
      <c r="KPV50" s="44"/>
      <c r="KPW50" s="44"/>
      <c r="KPX50" s="44"/>
      <c r="KPY50" s="44"/>
      <c r="KPZ50" s="44"/>
      <c r="KQA50" s="44"/>
      <c r="KQB50" s="44"/>
      <c r="KQC50" s="44"/>
      <c r="KQD50" s="44"/>
      <c r="KQE50" s="44"/>
      <c r="KQF50" s="44"/>
      <c r="KQG50" s="44"/>
      <c r="KQH50" s="44"/>
      <c r="KQI50" s="44"/>
      <c r="KQJ50" s="44"/>
      <c r="KQK50" s="44"/>
      <c r="KQL50" s="44"/>
      <c r="KQM50" s="44"/>
      <c r="KQN50" s="44"/>
      <c r="KQO50" s="44"/>
      <c r="KQP50" s="44"/>
      <c r="KQQ50" s="44"/>
      <c r="KQR50" s="44"/>
      <c r="KQS50" s="44"/>
      <c r="KQT50" s="44"/>
      <c r="KQU50" s="44"/>
      <c r="KQV50" s="44"/>
      <c r="KQW50" s="44"/>
      <c r="KQX50" s="44"/>
      <c r="KQY50" s="44"/>
      <c r="KQZ50" s="44"/>
      <c r="KRA50" s="44"/>
      <c r="KRB50" s="44"/>
      <c r="KRC50" s="44"/>
      <c r="KRD50" s="44"/>
      <c r="KRE50" s="44"/>
      <c r="KRF50" s="44"/>
      <c r="KRG50" s="44"/>
      <c r="KRH50" s="44"/>
      <c r="KRI50" s="44"/>
      <c r="KRJ50" s="44"/>
      <c r="KRK50" s="44"/>
      <c r="KRL50" s="44"/>
      <c r="KRM50" s="44"/>
      <c r="KRN50" s="44"/>
      <c r="KRO50" s="44"/>
      <c r="KRP50" s="44"/>
      <c r="KRQ50" s="44"/>
      <c r="KRR50" s="44"/>
      <c r="KRS50" s="44"/>
      <c r="KRT50" s="44"/>
      <c r="KRU50" s="44"/>
      <c r="KRV50" s="44"/>
      <c r="KRW50" s="44"/>
      <c r="KRX50" s="44"/>
      <c r="KRY50" s="44"/>
      <c r="KRZ50" s="44"/>
      <c r="KSA50" s="44"/>
      <c r="KSB50" s="44"/>
      <c r="KSC50" s="44"/>
      <c r="KSD50" s="44"/>
      <c r="KSE50" s="44"/>
      <c r="KSF50" s="44"/>
      <c r="KSG50" s="44"/>
      <c r="KSH50" s="44"/>
      <c r="KSI50" s="44"/>
      <c r="KSJ50" s="44"/>
      <c r="KSK50" s="44"/>
      <c r="KSL50" s="44"/>
      <c r="KSM50" s="44"/>
      <c r="KSN50" s="44"/>
      <c r="KSO50" s="44"/>
      <c r="KSP50" s="44"/>
      <c r="KSQ50" s="44"/>
      <c r="KSR50" s="44"/>
      <c r="KSS50" s="44"/>
      <c r="KST50" s="44"/>
      <c r="KSU50" s="44"/>
      <c r="KSV50" s="44"/>
      <c r="KSW50" s="44"/>
      <c r="KSX50" s="44"/>
      <c r="KSY50" s="44"/>
      <c r="KSZ50" s="44"/>
      <c r="KTA50" s="44"/>
      <c r="KTB50" s="44"/>
      <c r="KTC50" s="44"/>
      <c r="KTD50" s="44"/>
      <c r="KTE50" s="44"/>
      <c r="KTF50" s="44"/>
      <c r="KTG50" s="44"/>
      <c r="KTH50" s="44"/>
      <c r="KTI50" s="44"/>
      <c r="KTJ50" s="44"/>
      <c r="KTK50" s="44"/>
      <c r="KTL50" s="44"/>
      <c r="KTM50" s="44"/>
      <c r="KTN50" s="44"/>
      <c r="KTO50" s="44"/>
      <c r="KTP50" s="44"/>
      <c r="KTQ50" s="44"/>
      <c r="KTR50" s="44"/>
      <c r="KTS50" s="44"/>
      <c r="KTT50" s="44"/>
      <c r="KTU50" s="44"/>
      <c r="KTV50" s="44"/>
      <c r="KTW50" s="44"/>
      <c r="KTX50" s="44"/>
      <c r="KTY50" s="44"/>
      <c r="KTZ50" s="44"/>
      <c r="KUA50" s="44"/>
      <c r="KUB50" s="44"/>
      <c r="KUC50" s="44"/>
      <c r="KUD50" s="44"/>
      <c r="KUE50" s="44"/>
      <c r="KUF50" s="44"/>
      <c r="KUG50" s="44"/>
      <c r="KUH50" s="44"/>
      <c r="KUI50" s="44"/>
      <c r="KUJ50" s="44"/>
      <c r="KUK50" s="44"/>
      <c r="KUL50" s="44"/>
      <c r="KUM50" s="44"/>
      <c r="KUN50" s="44"/>
      <c r="KUO50" s="44"/>
      <c r="KUP50" s="44"/>
      <c r="KUQ50" s="44"/>
      <c r="KUR50" s="44"/>
      <c r="KUS50" s="44"/>
      <c r="KUT50" s="44"/>
      <c r="KUU50" s="44"/>
      <c r="KUV50" s="44"/>
      <c r="KUW50" s="44"/>
      <c r="KUX50" s="44"/>
      <c r="KUY50" s="44"/>
      <c r="KUZ50" s="44"/>
      <c r="KVA50" s="44"/>
      <c r="KVB50" s="44"/>
      <c r="KVC50" s="44"/>
      <c r="KVD50" s="44"/>
      <c r="KVE50" s="44"/>
      <c r="KVF50" s="44"/>
      <c r="KVG50" s="44"/>
      <c r="KVH50" s="44"/>
      <c r="KVI50" s="44"/>
      <c r="KVJ50" s="44"/>
      <c r="KVK50" s="44"/>
      <c r="KVL50" s="44"/>
      <c r="KVM50" s="44"/>
      <c r="KVN50" s="44"/>
      <c r="KVO50" s="44"/>
      <c r="KVP50" s="44"/>
      <c r="KVQ50" s="44"/>
      <c r="KVR50" s="44"/>
      <c r="KVS50" s="44"/>
      <c r="KVT50" s="44"/>
      <c r="KVU50" s="44"/>
      <c r="KVV50" s="44"/>
      <c r="KVW50" s="44"/>
      <c r="KVX50" s="44"/>
      <c r="KVY50" s="44"/>
      <c r="KVZ50" s="44"/>
      <c r="KWA50" s="44"/>
      <c r="KWB50" s="44"/>
      <c r="KWC50" s="44"/>
      <c r="KWD50" s="44"/>
      <c r="KWE50" s="44"/>
      <c r="KWF50" s="44"/>
      <c r="KWG50" s="44"/>
      <c r="KWH50" s="44"/>
      <c r="KWI50" s="44"/>
      <c r="KWJ50" s="44"/>
      <c r="KWK50" s="44"/>
      <c r="KWL50" s="44"/>
      <c r="KWM50" s="44"/>
      <c r="KWN50" s="44"/>
      <c r="KWO50" s="44"/>
      <c r="KWP50" s="44"/>
      <c r="KWQ50" s="44"/>
      <c r="KWR50" s="44"/>
      <c r="KWS50" s="44"/>
      <c r="KWT50" s="44"/>
      <c r="KWU50" s="44"/>
      <c r="KWV50" s="44"/>
      <c r="KWW50" s="44"/>
      <c r="KWX50" s="44"/>
      <c r="KWY50" s="44"/>
      <c r="KWZ50" s="44"/>
      <c r="KXA50" s="44"/>
      <c r="KXB50" s="44"/>
      <c r="KXC50" s="44"/>
      <c r="KXD50" s="44"/>
      <c r="KXE50" s="44"/>
      <c r="KXF50" s="44"/>
      <c r="KXG50" s="44"/>
      <c r="KXH50" s="44"/>
      <c r="KXI50" s="44"/>
      <c r="KXJ50" s="44"/>
      <c r="KXK50" s="44"/>
      <c r="KXL50" s="44"/>
      <c r="KXM50" s="44"/>
      <c r="KXN50" s="44"/>
      <c r="KXO50" s="44"/>
      <c r="KXP50" s="44"/>
      <c r="KXQ50" s="44"/>
      <c r="KXR50" s="44"/>
      <c r="KXS50" s="44"/>
      <c r="KXT50" s="44"/>
      <c r="KXU50" s="44"/>
      <c r="KXV50" s="44"/>
      <c r="KXW50" s="44"/>
      <c r="KXX50" s="44"/>
      <c r="KXY50" s="44"/>
      <c r="KXZ50" s="44"/>
      <c r="KYA50" s="44"/>
      <c r="KYB50" s="44"/>
      <c r="KYC50" s="44"/>
      <c r="KYD50" s="44"/>
      <c r="KYE50" s="44"/>
      <c r="KYF50" s="44"/>
      <c r="KYG50" s="44"/>
      <c r="KYH50" s="44"/>
      <c r="KYI50" s="44"/>
      <c r="KYJ50" s="44"/>
      <c r="KYK50" s="44"/>
      <c r="KYL50" s="44"/>
      <c r="KYM50" s="44"/>
      <c r="KYN50" s="44"/>
      <c r="KYO50" s="44"/>
      <c r="KYP50" s="44"/>
      <c r="KYQ50" s="44"/>
      <c r="KYR50" s="44"/>
      <c r="KYS50" s="44"/>
      <c r="KYT50" s="44"/>
      <c r="KYU50" s="44"/>
      <c r="KYV50" s="44"/>
      <c r="KYW50" s="44"/>
      <c r="KYX50" s="44"/>
      <c r="KYY50" s="44"/>
      <c r="KYZ50" s="44"/>
      <c r="KZA50" s="44"/>
      <c r="KZB50" s="44"/>
      <c r="KZC50" s="44"/>
      <c r="KZD50" s="44"/>
      <c r="KZE50" s="44"/>
      <c r="KZF50" s="44"/>
      <c r="KZG50" s="44"/>
      <c r="KZH50" s="44"/>
      <c r="KZI50" s="44"/>
      <c r="KZJ50" s="44"/>
      <c r="KZK50" s="44"/>
      <c r="KZL50" s="44"/>
      <c r="KZM50" s="44"/>
      <c r="KZN50" s="44"/>
      <c r="KZO50" s="44"/>
      <c r="KZP50" s="44"/>
      <c r="KZQ50" s="44"/>
      <c r="KZR50" s="44"/>
      <c r="KZS50" s="44"/>
      <c r="KZT50" s="44"/>
      <c r="KZU50" s="44"/>
      <c r="KZV50" s="44"/>
      <c r="KZW50" s="44"/>
      <c r="KZX50" s="44"/>
      <c r="KZY50" s="44"/>
      <c r="KZZ50" s="44"/>
      <c r="LAA50" s="44"/>
      <c r="LAB50" s="44"/>
      <c r="LAC50" s="44"/>
      <c r="LAD50" s="44"/>
      <c r="LAE50" s="44"/>
      <c r="LAF50" s="44"/>
      <c r="LAG50" s="44"/>
      <c r="LAH50" s="44"/>
      <c r="LAI50" s="44"/>
      <c r="LAJ50" s="44"/>
      <c r="LAK50" s="44"/>
      <c r="LAL50" s="44"/>
      <c r="LAM50" s="44"/>
      <c r="LAN50" s="44"/>
      <c r="LAO50" s="44"/>
      <c r="LAP50" s="44"/>
      <c r="LAQ50" s="44"/>
      <c r="LAR50" s="44"/>
      <c r="LAS50" s="44"/>
      <c r="LAT50" s="44"/>
      <c r="LAU50" s="44"/>
      <c r="LAV50" s="44"/>
      <c r="LAW50" s="44"/>
      <c r="LAX50" s="44"/>
      <c r="LAY50" s="44"/>
      <c r="LAZ50" s="44"/>
      <c r="LBA50" s="44"/>
      <c r="LBB50" s="44"/>
      <c r="LBC50" s="44"/>
      <c r="LBD50" s="44"/>
      <c r="LBE50" s="44"/>
      <c r="LBF50" s="44"/>
      <c r="LBG50" s="44"/>
      <c r="LBH50" s="44"/>
      <c r="LBI50" s="44"/>
      <c r="LBJ50" s="44"/>
      <c r="LBK50" s="44"/>
      <c r="LBL50" s="44"/>
      <c r="LBM50" s="44"/>
      <c r="LBN50" s="44"/>
      <c r="LBO50" s="44"/>
      <c r="LBP50" s="44"/>
      <c r="LBQ50" s="44"/>
      <c r="LBR50" s="44"/>
      <c r="LBS50" s="44"/>
      <c r="LBT50" s="44"/>
      <c r="LBU50" s="44"/>
      <c r="LBV50" s="44"/>
      <c r="LBW50" s="44"/>
      <c r="LBX50" s="44"/>
      <c r="LBY50" s="44"/>
      <c r="LBZ50" s="44"/>
      <c r="LCA50" s="44"/>
      <c r="LCB50" s="44"/>
      <c r="LCC50" s="44"/>
      <c r="LCD50" s="44"/>
      <c r="LCE50" s="44"/>
      <c r="LCF50" s="44"/>
      <c r="LCG50" s="44"/>
      <c r="LCH50" s="44"/>
      <c r="LCI50" s="44"/>
      <c r="LCJ50" s="44"/>
      <c r="LCK50" s="44"/>
      <c r="LCL50" s="44"/>
      <c r="LCM50" s="44"/>
      <c r="LCN50" s="44"/>
      <c r="LCO50" s="44"/>
      <c r="LCP50" s="44"/>
      <c r="LCQ50" s="44"/>
      <c r="LCR50" s="44"/>
      <c r="LCS50" s="44"/>
      <c r="LCT50" s="44"/>
      <c r="LCU50" s="44"/>
      <c r="LCV50" s="44"/>
      <c r="LCW50" s="44"/>
      <c r="LCX50" s="44"/>
      <c r="LCY50" s="44"/>
      <c r="LCZ50" s="44"/>
      <c r="LDA50" s="44"/>
      <c r="LDB50" s="44"/>
      <c r="LDC50" s="44"/>
      <c r="LDD50" s="44"/>
      <c r="LDE50" s="44"/>
      <c r="LDF50" s="44"/>
      <c r="LDG50" s="44"/>
      <c r="LDH50" s="44"/>
      <c r="LDI50" s="44"/>
      <c r="LDJ50" s="44"/>
      <c r="LDK50" s="44"/>
      <c r="LDL50" s="44"/>
      <c r="LDM50" s="44"/>
      <c r="LDN50" s="44"/>
      <c r="LDO50" s="44"/>
      <c r="LDP50" s="44"/>
      <c r="LDQ50" s="44"/>
      <c r="LDR50" s="44"/>
      <c r="LDS50" s="44"/>
      <c r="LDT50" s="44"/>
      <c r="LDU50" s="44"/>
      <c r="LDV50" s="44"/>
      <c r="LDW50" s="44"/>
      <c r="LDX50" s="44"/>
      <c r="LDY50" s="44"/>
      <c r="LDZ50" s="44"/>
      <c r="LEA50" s="44"/>
      <c r="LEB50" s="44"/>
      <c r="LEC50" s="44"/>
      <c r="LED50" s="44"/>
      <c r="LEE50" s="44"/>
      <c r="LEF50" s="44"/>
      <c r="LEG50" s="44"/>
      <c r="LEH50" s="44"/>
      <c r="LEI50" s="44"/>
      <c r="LEJ50" s="44"/>
      <c r="LEK50" s="44"/>
      <c r="LEL50" s="44"/>
      <c r="LEM50" s="44"/>
      <c r="LEN50" s="44"/>
      <c r="LEO50" s="44"/>
      <c r="LEP50" s="44"/>
      <c r="LEQ50" s="44"/>
      <c r="LER50" s="44"/>
      <c r="LES50" s="44"/>
      <c r="LET50" s="44"/>
      <c r="LEU50" s="44"/>
      <c r="LEV50" s="44"/>
      <c r="LEW50" s="44"/>
      <c r="LEX50" s="44"/>
      <c r="LEY50" s="44"/>
      <c r="LEZ50" s="44"/>
      <c r="LFA50" s="44"/>
      <c r="LFB50" s="44"/>
      <c r="LFC50" s="44"/>
      <c r="LFD50" s="44"/>
      <c r="LFE50" s="44"/>
      <c r="LFF50" s="44"/>
      <c r="LFG50" s="44"/>
      <c r="LFH50" s="44"/>
      <c r="LFI50" s="44"/>
      <c r="LFJ50" s="44"/>
      <c r="LFK50" s="44"/>
      <c r="LFL50" s="44"/>
      <c r="LFM50" s="44"/>
      <c r="LFN50" s="44"/>
      <c r="LFO50" s="44"/>
      <c r="LFP50" s="44"/>
      <c r="LFQ50" s="44"/>
      <c r="LFR50" s="44"/>
      <c r="LFS50" s="44"/>
      <c r="LFT50" s="44"/>
      <c r="LFU50" s="44"/>
      <c r="LFV50" s="44"/>
      <c r="LFW50" s="44"/>
      <c r="LFX50" s="44"/>
      <c r="LFY50" s="44"/>
      <c r="LFZ50" s="44"/>
      <c r="LGA50" s="44"/>
      <c r="LGB50" s="44"/>
      <c r="LGC50" s="44"/>
      <c r="LGD50" s="44"/>
      <c r="LGE50" s="44"/>
      <c r="LGF50" s="44"/>
      <c r="LGG50" s="44"/>
      <c r="LGH50" s="44"/>
      <c r="LGI50" s="44"/>
      <c r="LGJ50" s="44"/>
      <c r="LGK50" s="44"/>
      <c r="LGL50" s="44"/>
      <c r="LGM50" s="44"/>
      <c r="LGN50" s="44"/>
      <c r="LGO50" s="44"/>
      <c r="LGP50" s="44"/>
      <c r="LGQ50" s="44"/>
      <c r="LGR50" s="44"/>
      <c r="LGS50" s="44"/>
      <c r="LGT50" s="44"/>
      <c r="LGU50" s="44"/>
      <c r="LGV50" s="44"/>
      <c r="LGW50" s="44"/>
      <c r="LGX50" s="44"/>
      <c r="LGY50" s="44"/>
      <c r="LGZ50" s="44"/>
      <c r="LHA50" s="44"/>
      <c r="LHB50" s="44"/>
      <c r="LHC50" s="44"/>
      <c r="LHD50" s="44"/>
      <c r="LHE50" s="44"/>
      <c r="LHF50" s="44"/>
      <c r="LHG50" s="44"/>
      <c r="LHH50" s="44"/>
      <c r="LHI50" s="44"/>
      <c r="LHJ50" s="44"/>
      <c r="LHK50" s="44"/>
      <c r="LHL50" s="44"/>
      <c r="LHM50" s="44"/>
      <c r="LHN50" s="44"/>
      <c r="LHO50" s="44"/>
      <c r="LHP50" s="44"/>
      <c r="LHQ50" s="44"/>
      <c r="LHR50" s="44"/>
      <c r="LHS50" s="44"/>
      <c r="LHT50" s="44"/>
      <c r="LHU50" s="44"/>
      <c r="LHV50" s="44"/>
      <c r="LHW50" s="44"/>
      <c r="LHX50" s="44"/>
      <c r="LHY50" s="44"/>
      <c r="LHZ50" s="44"/>
      <c r="LIA50" s="44"/>
      <c r="LIB50" s="44"/>
      <c r="LIC50" s="44"/>
      <c r="LID50" s="44"/>
      <c r="LIE50" s="44"/>
      <c r="LIF50" s="44"/>
      <c r="LIG50" s="44"/>
      <c r="LIH50" s="44"/>
      <c r="LII50" s="44"/>
      <c r="LIJ50" s="44"/>
      <c r="LIK50" s="44"/>
      <c r="LIL50" s="44"/>
      <c r="LIM50" s="44"/>
      <c r="LIN50" s="44"/>
      <c r="LIO50" s="44"/>
      <c r="LIP50" s="44"/>
      <c r="LIQ50" s="44"/>
      <c r="LIR50" s="44"/>
      <c r="LIS50" s="44"/>
      <c r="LIT50" s="44"/>
      <c r="LIU50" s="44"/>
      <c r="LIV50" s="44"/>
      <c r="LIW50" s="44"/>
      <c r="LIX50" s="44"/>
      <c r="LIY50" s="44"/>
      <c r="LIZ50" s="44"/>
      <c r="LJA50" s="44"/>
      <c r="LJB50" s="44"/>
      <c r="LJC50" s="44"/>
      <c r="LJD50" s="44"/>
      <c r="LJE50" s="44"/>
      <c r="LJF50" s="44"/>
      <c r="LJG50" s="44"/>
      <c r="LJH50" s="44"/>
      <c r="LJI50" s="44"/>
      <c r="LJJ50" s="44"/>
      <c r="LJK50" s="44"/>
      <c r="LJL50" s="44"/>
      <c r="LJM50" s="44"/>
      <c r="LJN50" s="44"/>
      <c r="LJO50" s="44"/>
      <c r="LJP50" s="44"/>
      <c r="LJQ50" s="44"/>
      <c r="LJR50" s="44"/>
      <c r="LJS50" s="44"/>
      <c r="LJT50" s="44"/>
      <c r="LJU50" s="44"/>
      <c r="LJV50" s="44"/>
      <c r="LJW50" s="44"/>
      <c r="LJX50" s="44"/>
      <c r="LJY50" s="44"/>
      <c r="LJZ50" s="44"/>
      <c r="LKA50" s="44"/>
      <c r="LKB50" s="44"/>
      <c r="LKC50" s="44"/>
      <c r="LKD50" s="44"/>
      <c r="LKE50" s="44"/>
      <c r="LKF50" s="44"/>
      <c r="LKG50" s="44"/>
      <c r="LKH50" s="44"/>
      <c r="LKI50" s="44"/>
      <c r="LKJ50" s="44"/>
      <c r="LKK50" s="44"/>
      <c r="LKL50" s="44"/>
      <c r="LKM50" s="44"/>
      <c r="LKN50" s="44"/>
      <c r="LKO50" s="44"/>
      <c r="LKP50" s="44"/>
      <c r="LKQ50" s="44"/>
      <c r="LKR50" s="44"/>
      <c r="LKS50" s="44"/>
      <c r="LKT50" s="44"/>
      <c r="LKU50" s="44"/>
      <c r="LKV50" s="44"/>
      <c r="LKW50" s="44"/>
      <c r="LKX50" s="44"/>
      <c r="LKY50" s="44"/>
      <c r="LKZ50" s="44"/>
      <c r="LLA50" s="44"/>
      <c r="LLB50" s="44"/>
      <c r="LLC50" s="44"/>
      <c r="LLD50" s="44"/>
      <c r="LLE50" s="44"/>
      <c r="LLF50" s="44"/>
      <c r="LLG50" s="44"/>
      <c r="LLH50" s="44"/>
      <c r="LLI50" s="44"/>
      <c r="LLJ50" s="44"/>
      <c r="LLK50" s="44"/>
      <c r="LLL50" s="44"/>
      <c r="LLM50" s="44"/>
      <c r="LLN50" s="44"/>
      <c r="LLO50" s="44"/>
      <c r="LLP50" s="44"/>
      <c r="LLQ50" s="44"/>
      <c r="LLR50" s="44"/>
      <c r="LLS50" s="44"/>
      <c r="LLT50" s="44"/>
      <c r="LLU50" s="44"/>
      <c r="LLV50" s="44"/>
      <c r="LLW50" s="44"/>
      <c r="LLX50" s="44"/>
      <c r="LLY50" s="44"/>
      <c r="LLZ50" s="44"/>
      <c r="LMA50" s="44"/>
      <c r="LMB50" s="44"/>
      <c r="LMC50" s="44"/>
      <c r="LMD50" s="44"/>
      <c r="LME50" s="44"/>
      <c r="LMF50" s="44"/>
      <c r="LMG50" s="44"/>
      <c r="LMH50" s="44"/>
      <c r="LMI50" s="44"/>
      <c r="LMJ50" s="44"/>
      <c r="LMK50" s="44"/>
      <c r="LML50" s="44"/>
      <c r="LMM50" s="44"/>
      <c r="LMN50" s="44"/>
      <c r="LMO50" s="44"/>
      <c r="LMP50" s="44"/>
      <c r="LMQ50" s="44"/>
      <c r="LMR50" s="44"/>
      <c r="LMS50" s="44"/>
      <c r="LMT50" s="44"/>
      <c r="LMU50" s="44"/>
      <c r="LMV50" s="44"/>
      <c r="LMW50" s="44"/>
      <c r="LMX50" s="44"/>
      <c r="LMY50" s="44"/>
      <c r="LMZ50" s="44"/>
      <c r="LNA50" s="44"/>
      <c r="LNB50" s="44"/>
      <c r="LNC50" s="44"/>
      <c r="LND50" s="44"/>
      <c r="LNE50" s="44"/>
      <c r="LNF50" s="44"/>
      <c r="LNG50" s="44"/>
      <c r="LNH50" s="44"/>
      <c r="LNI50" s="44"/>
      <c r="LNJ50" s="44"/>
      <c r="LNK50" s="44"/>
      <c r="LNL50" s="44"/>
      <c r="LNM50" s="44"/>
      <c r="LNN50" s="44"/>
      <c r="LNO50" s="44"/>
      <c r="LNP50" s="44"/>
      <c r="LNQ50" s="44"/>
      <c r="LNR50" s="44"/>
      <c r="LNS50" s="44"/>
      <c r="LNT50" s="44"/>
      <c r="LNU50" s="44"/>
      <c r="LNV50" s="44"/>
      <c r="LNW50" s="44"/>
      <c r="LNX50" s="44"/>
      <c r="LNY50" s="44"/>
      <c r="LNZ50" s="44"/>
      <c r="LOA50" s="44"/>
      <c r="LOB50" s="44"/>
      <c r="LOC50" s="44"/>
      <c r="LOD50" s="44"/>
      <c r="LOE50" s="44"/>
      <c r="LOF50" s="44"/>
      <c r="LOG50" s="44"/>
      <c r="LOH50" s="44"/>
      <c r="LOI50" s="44"/>
      <c r="LOJ50" s="44"/>
      <c r="LOK50" s="44"/>
      <c r="LOL50" s="44"/>
      <c r="LOM50" s="44"/>
      <c r="LON50" s="44"/>
      <c r="LOO50" s="44"/>
      <c r="LOP50" s="44"/>
      <c r="LOQ50" s="44"/>
      <c r="LOR50" s="44"/>
      <c r="LOS50" s="44"/>
      <c r="LOT50" s="44"/>
      <c r="LOU50" s="44"/>
      <c r="LOV50" s="44"/>
      <c r="LOW50" s="44"/>
      <c r="LOX50" s="44"/>
      <c r="LOY50" s="44"/>
      <c r="LOZ50" s="44"/>
      <c r="LPA50" s="44"/>
      <c r="LPB50" s="44"/>
      <c r="LPC50" s="44"/>
      <c r="LPD50" s="44"/>
      <c r="LPE50" s="44"/>
      <c r="LPF50" s="44"/>
      <c r="LPG50" s="44"/>
      <c r="LPH50" s="44"/>
      <c r="LPI50" s="44"/>
      <c r="LPJ50" s="44"/>
      <c r="LPK50" s="44"/>
      <c r="LPL50" s="44"/>
      <c r="LPM50" s="44"/>
      <c r="LPN50" s="44"/>
      <c r="LPO50" s="44"/>
      <c r="LPP50" s="44"/>
      <c r="LPQ50" s="44"/>
      <c r="LPR50" s="44"/>
      <c r="LPS50" s="44"/>
      <c r="LPT50" s="44"/>
      <c r="LPU50" s="44"/>
      <c r="LPV50" s="44"/>
      <c r="LPW50" s="44"/>
      <c r="LPX50" s="44"/>
      <c r="LPY50" s="44"/>
      <c r="LPZ50" s="44"/>
      <c r="LQA50" s="44"/>
      <c r="LQB50" s="44"/>
      <c r="LQC50" s="44"/>
      <c r="LQD50" s="44"/>
      <c r="LQE50" s="44"/>
      <c r="LQF50" s="44"/>
      <c r="LQG50" s="44"/>
      <c r="LQH50" s="44"/>
      <c r="LQI50" s="44"/>
      <c r="LQJ50" s="44"/>
      <c r="LQK50" s="44"/>
      <c r="LQL50" s="44"/>
      <c r="LQM50" s="44"/>
      <c r="LQN50" s="44"/>
      <c r="LQO50" s="44"/>
      <c r="LQP50" s="44"/>
      <c r="LQQ50" s="44"/>
      <c r="LQR50" s="44"/>
      <c r="LQS50" s="44"/>
      <c r="LQT50" s="44"/>
      <c r="LQU50" s="44"/>
      <c r="LQV50" s="44"/>
      <c r="LQW50" s="44"/>
      <c r="LQX50" s="44"/>
      <c r="LQY50" s="44"/>
      <c r="LQZ50" s="44"/>
      <c r="LRA50" s="44"/>
      <c r="LRB50" s="44"/>
      <c r="LRC50" s="44"/>
      <c r="LRD50" s="44"/>
      <c r="LRE50" s="44"/>
      <c r="LRF50" s="44"/>
      <c r="LRG50" s="44"/>
      <c r="LRH50" s="44"/>
      <c r="LRI50" s="44"/>
      <c r="LRJ50" s="44"/>
      <c r="LRK50" s="44"/>
      <c r="LRL50" s="44"/>
      <c r="LRM50" s="44"/>
      <c r="LRN50" s="44"/>
      <c r="LRO50" s="44"/>
      <c r="LRP50" s="44"/>
      <c r="LRQ50" s="44"/>
      <c r="LRR50" s="44"/>
      <c r="LRS50" s="44"/>
      <c r="LRT50" s="44"/>
      <c r="LRU50" s="44"/>
      <c r="LRV50" s="44"/>
      <c r="LRW50" s="44"/>
      <c r="LRX50" s="44"/>
      <c r="LRY50" s="44"/>
      <c r="LRZ50" s="44"/>
      <c r="LSA50" s="44"/>
      <c r="LSB50" s="44"/>
      <c r="LSC50" s="44"/>
      <c r="LSD50" s="44"/>
      <c r="LSE50" s="44"/>
      <c r="LSF50" s="44"/>
      <c r="LSG50" s="44"/>
      <c r="LSH50" s="44"/>
      <c r="LSI50" s="44"/>
      <c r="LSJ50" s="44"/>
      <c r="LSK50" s="44"/>
      <c r="LSL50" s="44"/>
      <c r="LSM50" s="44"/>
      <c r="LSN50" s="44"/>
      <c r="LSO50" s="44"/>
      <c r="LSP50" s="44"/>
      <c r="LSQ50" s="44"/>
      <c r="LSR50" s="44"/>
      <c r="LSS50" s="44"/>
      <c r="LST50" s="44"/>
      <c r="LSU50" s="44"/>
      <c r="LSV50" s="44"/>
      <c r="LSW50" s="44"/>
      <c r="LSX50" s="44"/>
      <c r="LSY50" s="44"/>
      <c r="LSZ50" s="44"/>
      <c r="LTA50" s="44"/>
      <c r="LTB50" s="44"/>
      <c r="LTC50" s="44"/>
      <c r="LTD50" s="44"/>
      <c r="LTE50" s="44"/>
      <c r="LTF50" s="44"/>
      <c r="LTG50" s="44"/>
      <c r="LTH50" s="44"/>
      <c r="LTI50" s="44"/>
      <c r="LTJ50" s="44"/>
      <c r="LTK50" s="44"/>
      <c r="LTL50" s="44"/>
      <c r="LTM50" s="44"/>
      <c r="LTN50" s="44"/>
      <c r="LTO50" s="44"/>
      <c r="LTP50" s="44"/>
      <c r="LTQ50" s="44"/>
      <c r="LTR50" s="44"/>
      <c r="LTS50" s="44"/>
      <c r="LTT50" s="44"/>
      <c r="LTU50" s="44"/>
      <c r="LTV50" s="44"/>
      <c r="LTW50" s="44"/>
      <c r="LTX50" s="44"/>
      <c r="LTY50" s="44"/>
      <c r="LTZ50" s="44"/>
      <c r="LUA50" s="44"/>
      <c r="LUB50" s="44"/>
      <c r="LUC50" s="44"/>
      <c r="LUD50" s="44"/>
      <c r="LUE50" s="44"/>
      <c r="LUF50" s="44"/>
      <c r="LUG50" s="44"/>
      <c r="LUH50" s="44"/>
      <c r="LUI50" s="44"/>
      <c r="LUJ50" s="44"/>
      <c r="LUK50" s="44"/>
      <c r="LUL50" s="44"/>
      <c r="LUM50" s="44"/>
      <c r="LUN50" s="44"/>
      <c r="LUO50" s="44"/>
      <c r="LUP50" s="44"/>
      <c r="LUQ50" s="44"/>
      <c r="LUR50" s="44"/>
      <c r="LUS50" s="44"/>
      <c r="LUT50" s="44"/>
      <c r="LUU50" s="44"/>
      <c r="LUV50" s="44"/>
      <c r="LUW50" s="44"/>
      <c r="LUX50" s="44"/>
      <c r="LUY50" s="44"/>
      <c r="LUZ50" s="44"/>
      <c r="LVA50" s="44"/>
      <c r="LVB50" s="44"/>
      <c r="LVC50" s="44"/>
      <c r="LVD50" s="44"/>
      <c r="LVE50" s="44"/>
      <c r="LVF50" s="44"/>
      <c r="LVG50" s="44"/>
      <c r="LVH50" s="44"/>
      <c r="LVI50" s="44"/>
      <c r="LVJ50" s="44"/>
      <c r="LVK50" s="44"/>
      <c r="LVL50" s="44"/>
      <c r="LVM50" s="44"/>
      <c r="LVN50" s="44"/>
      <c r="LVO50" s="44"/>
      <c r="LVP50" s="44"/>
      <c r="LVQ50" s="44"/>
      <c r="LVR50" s="44"/>
      <c r="LVS50" s="44"/>
      <c r="LVT50" s="44"/>
      <c r="LVU50" s="44"/>
      <c r="LVV50" s="44"/>
      <c r="LVW50" s="44"/>
      <c r="LVX50" s="44"/>
      <c r="LVY50" s="44"/>
      <c r="LVZ50" s="44"/>
      <c r="LWA50" s="44"/>
      <c r="LWB50" s="44"/>
      <c r="LWC50" s="44"/>
      <c r="LWD50" s="44"/>
      <c r="LWE50" s="44"/>
      <c r="LWF50" s="44"/>
      <c r="LWG50" s="44"/>
      <c r="LWH50" s="44"/>
      <c r="LWI50" s="44"/>
      <c r="LWJ50" s="44"/>
      <c r="LWK50" s="44"/>
      <c r="LWL50" s="44"/>
      <c r="LWM50" s="44"/>
      <c r="LWN50" s="44"/>
      <c r="LWO50" s="44"/>
      <c r="LWP50" s="44"/>
      <c r="LWQ50" s="44"/>
      <c r="LWR50" s="44"/>
      <c r="LWS50" s="44"/>
      <c r="LWT50" s="44"/>
      <c r="LWU50" s="44"/>
      <c r="LWV50" s="44"/>
      <c r="LWW50" s="44"/>
      <c r="LWX50" s="44"/>
      <c r="LWY50" s="44"/>
      <c r="LWZ50" s="44"/>
      <c r="LXA50" s="44"/>
      <c r="LXB50" s="44"/>
      <c r="LXC50" s="44"/>
      <c r="LXD50" s="44"/>
      <c r="LXE50" s="44"/>
      <c r="LXF50" s="44"/>
      <c r="LXG50" s="44"/>
      <c r="LXH50" s="44"/>
      <c r="LXI50" s="44"/>
      <c r="LXJ50" s="44"/>
      <c r="LXK50" s="44"/>
      <c r="LXL50" s="44"/>
      <c r="LXM50" s="44"/>
      <c r="LXN50" s="44"/>
      <c r="LXO50" s="44"/>
      <c r="LXP50" s="44"/>
      <c r="LXQ50" s="44"/>
      <c r="LXR50" s="44"/>
      <c r="LXS50" s="44"/>
      <c r="LXT50" s="44"/>
      <c r="LXU50" s="44"/>
      <c r="LXV50" s="44"/>
      <c r="LXW50" s="44"/>
      <c r="LXX50" s="44"/>
      <c r="LXY50" s="44"/>
      <c r="LXZ50" s="44"/>
      <c r="LYA50" s="44"/>
      <c r="LYB50" s="44"/>
      <c r="LYC50" s="44"/>
      <c r="LYD50" s="44"/>
      <c r="LYE50" s="44"/>
      <c r="LYF50" s="44"/>
      <c r="LYG50" s="44"/>
      <c r="LYH50" s="44"/>
      <c r="LYI50" s="44"/>
      <c r="LYJ50" s="44"/>
      <c r="LYK50" s="44"/>
      <c r="LYL50" s="44"/>
      <c r="LYM50" s="44"/>
      <c r="LYN50" s="44"/>
      <c r="LYO50" s="44"/>
      <c r="LYP50" s="44"/>
      <c r="LYQ50" s="44"/>
      <c r="LYR50" s="44"/>
      <c r="LYS50" s="44"/>
      <c r="LYT50" s="44"/>
      <c r="LYU50" s="44"/>
      <c r="LYV50" s="44"/>
      <c r="LYW50" s="44"/>
      <c r="LYX50" s="44"/>
      <c r="LYY50" s="44"/>
      <c r="LYZ50" s="44"/>
      <c r="LZA50" s="44"/>
      <c r="LZB50" s="44"/>
      <c r="LZC50" s="44"/>
      <c r="LZD50" s="44"/>
      <c r="LZE50" s="44"/>
      <c r="LZF50" s="44"/>
      <c r="LZG50" s="44"/>
      <c r="LZH50" s="44"/>
      <c r="LZI50" s="44"/>
      <c r="LZJ50" s="44"/>
      <c r="LZK50" s="44"/>
      <c r="LZL50" s="44"/>
      <c r="LZM50" s="44"/>
      <c r="LZN50" s="44"/>
      <c r="LZO50" s="44"/>
      <c r="LZP50" s="44"/>
      <c r="LZQ50" s="44"/>
      <c r="LZR50" s="44"/>
      <c r="LZS50" s="44"/>
      <c r="LZT50" s="44"/>
      <c r="LZU50" s="44"/>
      <c r="LZV50" s="44"/>
      <c r="LZW50" s="44"/>
      <c r="LZX50" s="44"/>
      <c r="LZY50" s="44"/>
      <c r="LZZ50" s="44"/>
      <c r="MAA50" s="44"/>
      <c r="MAB50" s="44"/>
      <c r="MAC50" s="44"/>
      <c r="MAD50" s="44"/>
      <c r="MAE50" s="44"/>
      <c r="MAF50" s="44"/>
      <c r="MAG50" s="44"/>
      <c r="MAH50" s="44"/>
      <c r="MAI50" s="44"/>
      <c r="MAJ50" s="44"/>
      <c r="MAK50" s="44"/>
      <c r="MAL50" s="44"/>
      <c r="MAM50" s="44"/>
      <c r="MAN50" s="44"/>
      <c r="MAO50" s="44"/>
      <c r="MAP50" s="44"/>
      <c r="MAQ50" s="44"/>
      <c r="MAR50" s="44"/>
      <c r="MAS50" s="44"/>
      <c r="MAT50" s="44"/>
      <c r="MAU50" s="44"/>
      <c r="MAV50" s="44"/>
      <c r="MAW50" s="44"/>
      <c r="MAX50" s="44"/>
      <c r="MAY50" s="44"/>
      <c r="MAZ50" s="44"/>
      <c r="MBA50" s="44"/>
      <c r="MBB50" s="44"/>
      <c r="MBC50" s="44"/>
      <c r="MBD50" s="44"/>
      <c r="MBE50" s="44"/>
      <c r="MBF50" s="44"/>
      <c r="MBG50" s="44"/>
      <c r="MBH50" s="44"/>
      <c r="MBI50" s="44"/>
      <c r="MBJ50" s="44"/>
      <c r="MBK50" s="44"/>
      <c r="MBL50" s="44"/>
      <c r="MBM50" s="44"/>
      <c r="MBN50" s="44"/>
      <c r="MBO50" s="44"/>
      <c r="MBP50" s="44"/>
      <c r="MBQ50" s="44"/>
      <c r="MBR50" s="44"/>
      <c r="MBS50" s="44"/>
      <c r="MBT50" s="44"/>
      <c r="MBU50" s="44"/>
      <c r="MBV50" s="44"/>
      <c r="MBW50" s="44"/>
      <c r="MBX50" s="44"/>
      <c r="MBY50" s="44"/>
      <c r="MBZ50" s="44"/>
      <c r="MCA50" s="44"/>
      <c r="MCB50" s="44"/>
      <c r="MCC50" s="44"/>
      <c r="MCD50" s="44"/>
      <c r="MCE50" s="44"/>
      <c r="MCF50" s="44"/>
      <c r="MCG50" s="44"/>
      <c r="MCH50" s="44"/>
      <c r="MCI50" s="44"/>
      <c r="MCJ50" s="44"/>
      <c r="MCK50" s="44"/>
      <c r="MCL50" s="44"/>
      <c r="MCM50" s="44"/>
      <c r="MCN50" s="44"/>
      <c r="MCO50" s="44"/>
      <c r="MCP50" s="44"/>
      <c r="MCQ50" s="44"/>
      <c r="MCR50" s="44"/>
      <c r="MCS50" s="44"/>
      <c r="MCT50" s="44"/>
      <c r="MCU50" s="44"/>
      <c r="MCV50" s="44"/>
      <c r="MCW50" s="44"/>
      <c r="MCX50" s="44"/>
      <c r="MCY50" s="44"/>
      <c r="MCZ50" s="44"/>
      <c r="MDA50" s="44"/>
      <c r="MDB50" s="44"/>
      <c r="MDC50" s="44"/>
      <c r="MDD50" s="44"/>
      <c r="MDE50" s="44"/>
      <c r="MDF50" s="44"/>
      <c r="MDG50" s="44"/>
      <c r="MDH50" s="44"/>
      <c r="MDI50" s="44"/>
      <c r="MDJ50" s="44"/>
      <c r="MDK50" s="44"/>
      <c r="MDL50" s="44"/>
      <c r="MDM50" s="44"/>
      <c r="MDN50" s="44"/>
      <c r="MDO50" s="44"/>
      <c r="MDP50" s="44"/>
      <c r="MDQ50" s="44"/>
      <c r="MDR50" s="44"/>
      <c r="MDS50" s="44"/>
      <c r="MDT50" s="44"/>
      <c r="MDU50" s="44"/>
      <c r="MDV50" s="44"/>
      <c r="MDW50" s="44"/>
      <c r="MDX50" s="44"/>
      <c r="MDY50" s="44"/>
      <c r="MDZ50" s="44"/>
      <c r="MEA50" s="44"/>
      <c r="MEB50" s="44"/>
      <c r="MEC50" s="44"/>
      <c r="MED50" s="44"/>
      <c r="MEE50" s="44"/>
      <c r="MEF50" s="44"/>
      <c r="MEG50" s="44"/>
      <c r="MEH50" s="44"/>
      <c r="MEI50" s="44"/>
      <c r="MEJ50" s="44"/>
      <c r="MEK50" s="44"/>
      <c r="MEL50" s="44"/>
      <c r="MEM50" s="44"/>
      <c r="MEN50" s="44"/>
      <c r="MEO50" s="44"/>
      <c r="MEP50" s="44"/>
      <c r="MEQ50" s="44"/>
      <c r="MER50" s="44"/>
      <c r="MES50" s="44"/>
      <c r="MET50" s="44"/>
      <c r="MEU50" s="44"/>
      <c r="MEV50" s="44"/>
      <c r="MEW50" s="44"/>
      <c r="MEX50" s="44"/>
      <c r="MEY50" s="44"/>
      <c r="MEZ50" s="44"/>
      <c r="MFA50" s="44"/>
      <c r="MFB50" s="44"/>
      <c r="MFC50" s="44"/>
      <c r="MFD50" s="44"/>
      <c r="MFE50" s="44"/>
      <c r="MFF50" s="44"/>
      <c r="MFG50" s="44"/>
      <c r="MFH50" s="44"/>
      <c r="MFI50" s="44"/>
      <c r="MFJ50" s="44"/>
      <c r="MFK50" s="44"/>
      <c r="MFL50" s="44"/>
      <c r="MFM50" s="44"/>
      <c r="MFN50" s="44"/>
      <c r="MFO50" s="44"/>
      <c r="MFP50" s="44"/>
      <c r="MFQ50" s="44"/>
      <c r="MFR50" s="44"/>
      <c r="MFS50" s="44"/>
      <c r="MFT50" s="44"/>
      <c r="MFU50" s="44"/>
      <c r="MFV50" s="44"/>
      <c r="MFW50" s="44"/>
      <c r="MFX50" s="44"/>
      <c r="MFY50" s="44"/>
      <c r="MFZ50" s="44"/>
      <c r="MGA50" s="44"/>
      <c r="MGB50" s="44"/>
      <c r="MGC50" s="44"/>
      <c r="MGD50" s="44"/>
      <c r="MGE50" s="44"/>
      <c r="MGF50" s="44"/>
      <c r="MGG50" s="44"/>
      <c r="MGH50" s="44"/>
      <c r="MGI50" s="44"/>
      <c r="MGJ50" s="44"/>
      <c r="MGK50" s="44"/>
      <c r="MGL50" s="44"/>
      <c r="MGM50" s="44"/>
      <c r="MGN50" s="44"/>
      <c r="MGO50" s="44"/>
      <c r="MGP50" s="44"/>
      <c r="MGQ50" s="44"/>
      <c r="MGR50" s="44"/>
      <c r="MGS50" s="44"/>
      <c r="MGT50" s="44"/>
      <c r="MGU50" s="44"/>
      <c r="MGV50" s="44"/>
      <c r="MGW50" s="44"/>
      <c r="MGX50" s="44"/>
      <c r="MGY50" s="44"/>
      <c r="MGZ50" s="44"/>
      <c r="MHA50" s="44"/>
      <c r="MHB50" s="44"/>
      <c r="MHC50" s="44"/>
      <c r="MHD50" s="44"/>
      <c r="MHE50" s="44"/>
      <c r="MHF50" s="44"/>
      <c r="MHG50" s="44"/>
      <c r="MHH50" s="44"/>
      <c r="MHI50" s="44"/>
      <c r="MHJ50" s="44"/>
      <c r="MHK50" s="44"/>
      <c r="MHL50" s="44"/>
      <c r="MHM50" s="44"/>
      <c r="MHN50" s="44"/>
      <c r="MHO50" s="44"/>
      <c r="MHP50" s="44"/>
      <c r="MHQ50" s="44"/>
      <c r="MHR50" s="44"/>
      <c r="MHS50" s="44"/>
      <c r="MHT50" s="44"/>
      <c r="MHU50" s="44"/>
      <c r="MHV50" s="44"/>
      <c r="MHW50" s="44"/>
      <c r="MHX50" s="44"/>
      <c r="MHY50" s="44"/>
      <c r="MHZ50" s="44"/>
      <c r="MIA50" s="44"/>
      <c r="MIB50" s="44"/>
      <c r="MIC50" s="44"/>
      <c r="MID50" s="44"/>
      <c r="MIE50" s="44"/>
      <c r="MIF50" s="44"/>
      <c r="MIG50" s="44"/>
      <c r="MIH50" s="44"/>
      <c r="MII50" s="44"/>
      <c r="MIJ50" s="44"/>
      <c r="MIK50" s="44"/>
      <c r="MIL50" s="44"/>
      <c r="MIM50" s="44"/>
      <c r="MIN50" s="44"/>
      <c r="MIO50" s="44"/>
      <c r="MIP50" s="44"/>
      <c r="MIQ50" s="44"/>
      <c r="MIR50" s="44"/>
      <c r="MIS50" s="44"/>
      <c r="MIT50" s="44"/>
      <c r="MIU50" s="44"/>
      <c r="MIV50" s="44"/>
      <c r="MIW50" s="44"/>
      <c r="MIX50" s="44"/>
      <c r="MIY50" s="44"/>
      <c r="MIZ50" s="44"/>
      <c r="MJA50" s="44"/>
      <c r="MJB50" s="44"/>
      <c r="MJC50" s="44"/>
      <c r="MJD50" s="44"/>
      <c r="MJE50" s="44"/>
      <c r="MJF50" s="44"/>
      <c r="MJG50" s="44"/>
      <c r="MJH50" s="44"/>
      <c r="MJI50" s="44"/>
      <c r="MJJ50" s="44"/>
      <c r="MJK50" s="44"/>
      <c r="MJL50" s="44"/>
      <c r="MJM50" s="44"/>
      <c r="MJN50" s="44"/>
      <c r="MJO50" s="44"/>
      <c r="MJP50" s="44"/>
      <c r="MJQ50" s="44"/>
      <c r="MJR50" s="44"/>
      <c r="MJS50" s="44"/>
      <c r="MJT50" s="44"/>
      <c r="MJU50" s="44"/>
      <c r="MJV50" s="44"/>
      <c r="MJW50" s="44"/>
      <c r="MJX50" s="44"/>
      <c r="MJY50" s="44"/>
      <c r="MJZ50" s="44"/>
      <c r="MKA50" s="44"/>
      <c r="MKB50" s="44"/>
      <c r="MKC50" s="44"/>
      <c r="MKD50" s="44"/>
      <c r="MKE50" s="44"/>
      <c r="MKF50" s="44"/>
      <c r="MKG50" s="44"/>
      <c r="MKH50" s="44"/>
      <c r="MKI50" s="44"/>
      <c r="MKJ50" s="44"/>
      <c r="MKK50" s="44"/>
      <c r="MKL50" s="44"/>
      <c r="MKM50" s="44"/>
      <c r="MKN50" s="44"/>
      <c r="MKO50" s="44"/>
      <c r="MKP50" s="44"/>
      <c r="MKQ50" s="44"/>
      <c r="MKR50" s="44"/>
      <c r="MKS50" s="44"/>
      <c r="MKT50" s="44"/>
      <c r="MKU50" s="44"/>
      <c r="MKV50" s="44"/>
      <c r="MKW50" s="44"/>
      <c r="MKX50" s="44"/>
      <c r="MKY50" s="44"/>
      <c r="MKZ50" s="44"/>
      <c r="MLA50" s="44"/>
      <c r="MLB50" s="44"/>
      <c r="MLC50" s="44"/>
      <c r="MLD50" s="44"/>
      <c r="MLE50" s="44"/>
      <c r="MLF50" s="44"/>
      <c r="MLG50" s="44"/>
      <c r="MLH50" s="44"/>
      <c r="MLI50" s="44"/>
      <c r="MLJ50" s="44"/>
      <c r="MLK50" s="44"/>
      <c r="MLL50" s="44"/>
      <c r="MLM50" s="44"/>
      <c r="MLN50" s="44"/>
      <c r="MLO50" s="44"/>
      <c r="MLP50" s="44"/>
      <c r="MLQ50" s="44"/>
      <c r="MLR50" s="44"/>
      <c r="MLS50" s="44"/>
      <c r="MLT50" s="44"/>
      <c r="MLU50" s="44"/>
      <c r="MLV50" s="44"/>
      <c r="MLW50" s="44"/>
      <c r="MLX50" s="44"/>
      <c r="MLY50" s="44"/>
      <c r="MLZ50" s="44"/>
      <c r="MMA50" s="44"/>
      <c r="MMB50" s="44"/>
      <c r="MMC50" s="44"/>
      <c r="MMD50" s="44"/>
      <c r="MME50" s="44"/>
      <c r="MMF50" s="44"/>
      <c r="MMG50" s="44"/>
      <c r="MMH50" s="44"/>
      <c r="MMI50" s="44"/>
      <c r="MMJ50" s="44"/>
      <c r="MMK50" s="44"/>
      <c r="MML50" s="44"/>
      <c r="MMM50" s="44"/>
      <c r="MMN50" s="44"/>
      <c r="MMO50" s="44"/>
      <c r="MMP50" s="44"/>
      <c r="MMQ50" s="44"/>
      <c r="MMR50" s="44"/>
      <c r="MMS50" s="44"/>
      <c r="MMT50" s="44"/>
      <c r="MMU50" s="44"/>
      <c r="MMV50" s="44"/>
      <c r="MMW50" s="44"/>
      <c r="MMX50" s="44"/>
      <c r="MMY50" s="44"/>
      <c r="MMZ50" s="44"/>
      <c r="MNA50" s="44"/>
      <c r="MNB50" s="44"/>
      <c r="MNC50" s="44"/>
      <c r="MND50" s="44"/>
      <c r="MNE50" s="44"/>
      <c r="MNF50" s="44"/>
      <c r="MNG50" s="44"/>
      <c r="MNH50" s="44"/>
      <c r="MNI50" s="44"/>
      <c r="MNJ50" s="44"/>
      <c r="MNK50" s="44"/>
      <c r="MNL50" s="44"/>
      <c r="MNM50" s="44"/>
      <c r="MNN50" s="44"/>
      <c r="MNO50" s="44"/>
      <c r="MNP50" s="44"/>
      <c r="MNQ50" s="44"/>
      <c r="MNR50" s="44"/>
      <c r="MNS50" s="44"/>
      <c r="MNT50" s="44"/>
      <c r="MNU50" s="44"/>
      <c r="MNV50" s="44"/>
      <c r="MNW50" s="44"/>
      <c r="MNX50" s="44"/>
      <c r="MNY50" s="44"/>
      <c r="MNZ50" s="44"/>
      <c r="MOA50" s="44"/>
      <c r="MOB50" s="44"/>
      <c r="MOC50" s="44"/>
      <c r="MOD50" s="44"/>
      <c r="MOE50" s="44"/>
      <c r="MOF50" s="44"/>
      <c r="MOG50" s="44"/>
      <c r="MOH50" s="44"/>
      <c r="MOI50" s="44"/>
      <c r="MOJ50" s="44"/>
      <c r="MOK50" s="44"/>
      <c r="MOL50" s="44"/>
      <c r="MOM50" s="44"/>
      <c r="MON50" s="44"/>
      <c r="MOO50" s="44"/>
      <c r="MOP50" s="44"/>
      <c r="MOQ50" s="44"/>
      <c r="MOR50" s="44"/>
      <c r="MOS50" s="44"/>
      <c r="MOT50" s="44"/>
      <c r="MOU50" s="44"/>
      <c r="MOV50" s="44"/>
      <c r="MOW50" s="44"/>
      <c r="MOX50" s="44"/>
      <c r="MOY50" s="44"/>
      <c r="MOZ50" s="44"/>
      <c r="MPA50" s="44"/>
      <c r="MPB50" s="44"/>
      <c r="MPC50" s="44"/>
      <c r="MPD50" s="44"/>
      <c r="MPE50" s="44"/>
      <c r="MPF50" s="44"/>
      <c r="MPG50" s="44"/>
      <c r="MPH50" s="44"/>
      <c r="MPI50" s="44"/>
      <c r="MPJ50" s="44"/>
      <c r="MPK50" s="44"/>
      <c r="MPL50" s="44"/>
      <c r="MPM50" s="44"/>
      <c r="MPN50" s="44"/>
      <c r="MPO50" s="44"/>
      <c r="MPP50" s="44"/>
      <c r="MPQ50" s="44"/>
      <c r="MPR50" s="44"/>
      <c r="MPS50" s="44"/>
      <c r="MPT50" s="44"/>
      <c r="MPU50" s="44"/>
      <c r="MPV50" s="44"/>
      <c r="MPW50" s="44"/>
      <c r="MPX50" s="44"/>
      <c r="MPY50" s="44"/>
      <c r="MPZ50" s="44"/>
      <c r="MQA50" s="44"/>
      <c r="MQB50" s="44"/>
      <c r="MQC50" s="44"/>
      <c r="MQD50" s="44"/>
      <c r="MQE50" s="44"/>
      <c r="MQF50" s="44"/>
      <c r="MQG50" s="44"/>
      <c r="MQH50" s="44"/>
      <c r="MQI50" s="44"/>
      <c r="MQJ50" s="44"/>
      <c r="MQK50" s="44"/>
      <c r="MQL50" s="44"/>
      <c r="MQM50" s="44"/>
      <c r="MQN50" s="44"/>
      <c r="MQO50" s="44"/>
      <c r="MQP50" s="44"/>
      <c r="MQQ50" s="44"/>
      <c r="MQR50" s="44"/>
      <c r="MQS50" s="44"/>
      <c r="MQT50" s="44"/>
      <c r="MQU50" s="44"/>
      <c r="MQV50" s="44"/>
      <c r="MQW50" s="44"/>
      <c r="MQX50" s="44"/>
      <c r="MQY50" s="44"/>
      <c r="MQZ50" s="44"/>
      <c r="MRA50" s="44"/>
      <c r="MRB50" s="44"/>
      <c r="MRC50" s="44"/>
      <c r="MRD50" s="44"/>
      <c r="MRE50" s="44"/>
      <c r="MRF50" s="44"/>
      <c r="MRG50" s="44"/>
      <c r="MRH50" s="44"/>
      <c r="MRI50" s="44"/>
      <c r="MRJ50" s="44"/>
      <c r="MRK50" s="44"/>
      <c r="MRL50" s="44"/>
      <c r="MRM50" s="44"/>
      <c r="MRN50" s="44"/>
      <c r="MRO50" s="44"/>
      <c r="MRP50" s="44"/>
      <c r="MRQ50" s="44"/>
      <c r="MRR50" s="44"/>
      <c r="MRS50" s="44"/>
      <c r="MRT50" s="44"/>
      <c r="MRU50" s="44"/>
      <c r="MRV50" s="44"/>
      <c r="MRW50" s="44"/>
      <c r="MRX50" s="44"/>
      <c r="MRY50" s="44"/>
      <c r="MRZ50" s="44"/>
      <c r="MSA50" s="44"/>
      <c r="MSB50" s="44"/>
      <c r="MSC50" s="44"/>
      <c r="MSD50" s="44"/>
      <c r="MSE50" s="44"/>
      <c r="MSF50" s="44"/>
      <c r="MSG50" s="44"/>
      <c r="MSH50" s="44"/>
      <c r="MSI50" s="44"/>
      <c r="MSJ50" s="44"/>
      <c r="MSK50" s="44"/>
      <c r="MSL50" s="44"/>
      <c r="MSM50" s="44"/>
      <c r="MSN50" s="44"/>
      <c r="MSO50" s="44"/>
      <c r="MSP50" s="44"/>
      <c r="MSQ50" s="44"/>
      <c r="MSR50" s="44"/>
      <c r="MSS50" s="44"/>
      <c r="MST50" s="44"/>
      <c r="MSU50" s="44"/>
      <c r="MSV50" s="44"/>
      <c r="MSW50" s="44"/>
      <c r="MSX50" s="44"/>
      <c r="MSY50" s="44"/>
      <c r="MSZ50" s="44"/>
      <c r="MTA50" s="44"/>
      <c r="MTB50" s="44"/>
      <c r="MTC50" s="44"/>
      <c r="MTD50" s="44"/>
      <c r="MTE50" s="44"/>
      <c r="MTF50" s="44"/>
      <c r="MTG50" s="44"/>
      <c r="MTH50" s="44"/>
      <c r="MTI50" s="44"/>
      <c r="MTJ50" s="44"/>
      <c r="MTK50" s="44"/>
      <c r="MTL50" s="44"/>
      <c r="MTM50" s="44"/>
      <c r="MTN50" s="44"/>
      <c r="MTO50" s="44"/>
      <c r="MTP50" s="44"/>
      <c r="MTQ50" s="44"/>
      <c r="MTR50" s="44"/>
      <c r="MTS50" s="44"/>
      <c r="MTT50" s="44"/>
      <c r="MTU50" s="44"/>
      <c r="MTV50" s="44"/>
      <c r="MTW50" s="44"/>
      <c r="MTX50" s="44"/>
      <c r="MTY50" s="44"/>
      <c r="MTZ50" s="44"/>
      <c r="MUA50" s="44"/>
      <c r="MUB50" s="44"/>
      <c r="MUC50" s="44"/>
      <c r="MUD50" s="44"/>
      <c r="MUE50" s="44"/>
      <c r="MUF50" s="44"/>
      <c r="MUG50" s="44"/>
      <c r="MUH50" s="44"/>
      <c r="MUI50" s="44"/>
      <c r="MUJ50" s="44"/>
      <c r="MUK50" s="44"/>
      <c r="MUL50" s="44"/>
      <c r="MUM50" s="44"/>
      <c r="MUN50" s="44"/>
      <c r="MUO50" s="44"/>
      <c r="MUP50" s="44"/>
      <c r="MUQ50" s="44"/>
      <c r="MUR50" s="44"/>
      <c r="MUS50" s="44"/>
      <c r="MUT50" s="44"/>
      <c r="MUU50" s="44"/>
      <c r="MUV50" s="44"/>
      <c r="MUW50" s="44"/>
      <c r="MUX50" s="44"/>
      <c r="MUY50" s="44"/>
      <c r="MUZ50" s="44"/>
      <c r="MVA50" s="44"/>
      <c r="MVB50" s="44"/>
      <c r="MVC50" s="44"/>
      <c r="MVD50" s="44"/>
      <c r="MVE50" s="44"/>
      <c r="MVF50" s="44"/>
      <c r="MVG50" s="44"/>
      <c r="MVH50" s="44"/>
      <c r="MVI50" s="44"/>
      <c r="MVJ50" s="44"/>
      <c r="MVK50" s="44"/>
      <c r="MVL50" s="44"/>
      <c r="MVM50" s="44"/>
      <c r="MVN50" s="44"/>
      <c r="MVO50" s="44"/>
      <c r="MVP50" s="44"/>
      <c r="MVQ50" s="44"/>
      <c r="MVR50" s="44"/>
      <c r="MVS50" s="44"/>
      <c r="MVT50" s="44"/>
      <c r="MVU50" s="44"/>
      <c r="MVV50" s="44"/>
      <c r="MVW50" s="44"/>
      <c r="MVX50" s="44"/>
      <c r="MVY50" s="44"/>
      <c r="MVZ50" s="44"/>
      <c r="MWA50" s="44"/>
      <c r="MWB50" s="44"/>
      <c r="MWC50" s="44"/>
      <c r="MWD50" s="44"/>
      <c r="MWE50" s="44"/>
      <c r="MWF50" s="44"/>
      <c r="MWG50" s="44"/>
      <c r="MWH50" s="44"/>
      <c r="MWI50" s="44"/>
      <c r="MWJ50" s="44"/>
      <c r="MWK50" s="44"/>
      <c r="MWL50" s="44"/>
      <c r="MWM50" s="44"/>
      <c r="MWN50" s="44"/>
      <c r="MWO50" s="44"/>
      <c r="MWP50" s="44"/>
      <c r="MWQ50" s="44"/>
      <c r="MWR50" s="44"/>
      <c r="MWS50" s="44"/>
      <c r="MWT50" s="44"/>
      <c r="MWU50" s="44"/>
      <c r="MWV50" s="44"/>
      <c r="MWW50" s="44"/>
      <c r="MWX50" s="44"/>
      <c r="MWY50" s="44"/>
      <c r="MWZ50" s="44"/>
      <c r="MXA50" s="44"/>
      <c r="MXB50" s="44"/>
      <c r="MXC50" s="44"/>
      <c r="MXD50" s="44"/>
      <c r="MXE50" s="44"/>
      <c r="MXF50" s="44"/>
      <c r="MXG50" s="44"/>
      <c r="MXH50" s="44"/>
      <c r="MXI50" s="44"/>
      <c r="MXJ50" s="44"/>
      <c r="MXK50" s="44"/>
      <c r="MXL50" s="44"/>
      <c r="MXM50" s="44"/>
      <c r="MXN50" s="44"/>
      <c r="MXO50" s="44"/>
      <c r="MXP50" s="44"/>
      <c r="MXQ50" s="44"/>
      <c r="MXR50" s="44"/>
      <c r="MXS50" s="44"/>
      <c r="MXT50" s="44"/>
      <c r="MXU50" s="44"/>
      <c r="MXV50" s="44"/>
      <c r="MXW50" s="44"/>
      <c r="MXX50" s="44"/>
      <c r="MXY50" s="44"/>
      <c r="MXZ50" s="44"/>
      <c r="MYA50" s="44"/>
      <c r="MYB50" s="44"/>
      <c r="MYC50" s="44"/>
      <c r="MYD50" s="44"/>
      <c r="MYE50" s="44"/>
      <c r="MYF50" s="44"/>
      <c r="MYG50" s="44"/>
      <c r="MYH50" s="44"/>
      <c r="MYI50" s="44"/>
      <c r="MYJ50" s="44"/>
      <c r="MYK50" s="44"/>
      <c r="MYL50" s="44"/>
      <c r="MYM50" s="44"/>
      <c r="MYN50" s="44"/>
      <c r="MYO50" s="44"/>
      <c r="MYP50" s="44"/>
      <c r="MYQ50" s="44"/>
      <c r="MYR50" s="44"/>
      <c r="MYS50" s="44"/>
      <c r="MYT50" s="44"/>
      <c r="MYU50" s="44"/>
      <c r="MYV50" s="44"/>
      <c r="MYW50" s="44"/>
      <c r="MYX50" s="44"/>
      <c r="MYY50" s="44"/>
      <c r="MYZ50" s="44"/>
      <c r="MZA50" s="44"/>
      <c r="MZB50" s="44"/>
      <c r="MZC50" s="44"/>
      <c r="MZD50" s="44"/>
      <c r="MZE50" s="44"/>
      <c r="MZF50" s="44"/>
      <c r="MZG50" s="44"/>
      <c r="MZH50" s="44"/>
      <c r="MZI50" s="44"/>
      <c r="MZJ50" s="44"/>
      <c r="MZK50" s="44"/>
      <c r="MZL50" s="44"/>
      <c r="MZM50" s="44"/>
      <c r="MZN50" s="44"/>
      <c r="MZO50" s="44"/>
      <c r="MZP50" s="44"/>
      <c r="MZQ50" s="44"/>
      <c r="MZR50" s="44"/>
      <c r="MZS50" s="44"/>
      <c r="MZT50" s="44"/>
      <c r="MZU50" s="44"/>
      <c r="MZV50" s="44"/>
      <c r="MZW50" s="44"/>
      <c r="MZX50" s="44"/>
      <c r="MZY50" s="44"/>
      <c r="MZZ50" s="44"/>
      <c r="NAA50" s="44"/>
      <c r="NAB50" s="44"/>
      <c r="NAC50" s="44"/>
      <c r="NAD50" s="44"/>
      <c r="NAE50" s="44"/>
      <c r="NAF50" s="44"/>
      <c r="NAG50" s="44"/>
      <c r="NAH50" s="44"/>
      <c r="NAI50" s="44"/>
      <c r="NAJ50" s="44"/>
      <c r="NAK50" s="44"/>
      <c r="NAL50" s="44"/>
      <c r="NAM50" s="44"/>
      <c r="NAN50" s="44"/>
      <c r="NAO50" s="44"/>
      <c r="NAP50" s="44"/>
      <c r="NAQ50" s="44"/>
      <c r="NAR50" s="44"/>
      <c r="NAS50" s="44"/>
      <c r="NAT50" s="44"/>
      <c r="NAU50" s="44"/>
      <c r="NAV50" s="44"/>
      <c r="NAW50" s="44"/>
      <c r="NAX50" s="44"/>
      <c r="NAY50" s="44"/>
      <c r="NAZ50" s="44"/>
      <c r="NBA50" s="44"/>
      <c r="NBB50" s="44"/>
      <c r="NBC50" s="44"/>
      <c r="NBD50" s="44"/>
      <c r="NBE50" s="44"/>
      <c r="NBF50" s="44"/>
      <c r="NBG50" s="44"/>
      <c r="NBH50" s="44"/>
      <c r="NBI50" s="44"/>
      <c r="NBJ50" s="44"/>
      <c r="NBK50" s="44"/>
      <c r="NBL50" s="44"/>
      <c r="NBM50" s="44"/>
      <c r="NBN50" s="44"/>
      <c r="NBO50" s="44"/>
      <c r="NBP50" s="44"/>
      <c r="NBQ50" s="44"/>
      <c r="NBR50" s="44"/>
      <c r="NBS50" s="44"/>
      <c r="NBT50" s="44"/>
      <c r="NBU50" s="44"/>
      <c r="NBV50" s="44"/>
      <c r="NBW50" s="44"/>
      <c r="NBX50" s="44"/>
      <c r="NBY50" s="44"/>
      <c r="NBZ50" s="44"/>
      <c r="NCA50" s="44"/>
      <c r="NCB50" s="44"/>
      <c r="NCC50" s="44"/>
      <c r="NCD50" s="44"/>
      <c r="NCE50" s="44"/>
      <c r="NCF50" s="44"/>
      <c r="NCG50" s="44"/>
      <c r="NCH50" s="44"/>
      <c r="NCI50" s="44"/>
      <c r="NCJ50" s="44"/>
      <c r="NCK50" s="44"/>
      <c r="NCL50" s="44"/>
      <c r="NCM50" s="44"/>
      <c r="NCN50" s="44"/>
      <c r="NCO50" s="44"/>
      <c r="NCP50" s="44"/>
      <c r="NCQ50" s="44"/>
      <c r="NCR50" s="44"/>
      <c r="NCS50" s="44"/>
      <c r="NCT50" s="44"/>
      <c r="NCU50" s="44"/>
      <c r="NCV50" s="44"/>
      <c r="NCW50" s="44"/>
      <c r="NCX50" s="44"/>
      <c r="NCY50" s="44"/>
      <c r="NCZ50" s="44"/>
      <c r="NDA50" s="44"/>
      <c r="NDB50" s="44"/>
      <c r="NDC50" s="44"/>
      <c r="NDD50" s="44"/>
      <c r="NDE50" s="44"/>
      <c r="NDF50" s="44"/>
      <c r="NDG50" s="44"/>
      <c r="NDH50" s="44"/>
      <c r="NDI50" s="44"/>
      <c r="NDJ50" s="44"/>
      <c r="NDK50" s="44"/>
      <c r="NDL50" s="44"/>
      <c r="NDM50" s="44"/>
      <c r="NDN50" s="44"/>
      <c r="NDO50" s="44"/>
      <c r="NDP50" s="44"/>
      <c r="NDQ50" s="44"/>
      <c r="NDR50" s="44"/>
      <c r="NDS50" s="44"/>
      <c r="NDT50" s="44"/>
      <c r="NDU50" s="44"/>
      <c r="NDV50" s="44"/>
      <c r="NDW50" s="44"/>
      <c r="NDX50" s="44"/>
      <c r="NDY50" s="44"/>
      <c r="NDZ50" s="44"/>
      <c r="NEA50" s="44"/>
      <c r="NEB50" s="44"/>
      <c r="NEC50" s="44"/>
      <c r="NED50" s="44"/>
      <c r="NEE50" s="44"/>
      <c r="NEF50" s="44"/>
      <c r="NEG50" s="44"/>
      <c r="NEH50" s="44"/>
      <c r="NEI50" s="44"/>
      <c r="NEJ50" s="44"/>
      <c r="NEK50" s="44"/>
      <c r="NEL50" s="44"/>
      <c r="NEM50" s="44"/>
      <c r="NEN50" s="44"/>
      <c r="NEO50" s="44"/>
      <c r="NEP50" s="44"/>
      <c r="NEQ50" s="44"/>
      <c r="NER50" s="44"/>
      <c r="NES50" s="44"/>
      <c r="NET50" s="44"/>
      <c r="NEU50" s="44"/>
      <c r="NEV50" s="44"/>
      <c r="NEW50" s="44"/>
      <c r="NEX50" s="44"/>
      <c r="NEY50" s="44"/>
      <c r="NEZ50" s="44"/>
      <c r="NFA50" s="44"/>
      <c r="NFB50" s="44"/>
      <c r="NFC50" s="44"/>
      <c r="NFD50" s="44"/>
      <c r="NFE50" s="44"/>
      <c r="NFF50" s="44"/>
      <c r="NFG50" s="44"/>
      <c r="NFH50" s="44"/>
      <c r="NFI50" s="44"/>
      <c r="NFJ50" s="44"/>
      <c r="NFK50" s="44"/>
      <c r="NFL50" s="44"/>
      <c r="NFM50" s="44"/>
      <c r="NFN50" s="44"/>
      <c r="NFO50" s="44"/>
      <c r="NFP50" s="44"/>
      <c r="NFQ50" s="44"/>
      <c r="NFR50" s="44"/>
      <c r="NFS50" s="44"/>
      <c r="NFT50" s="44"/>
      <c r="NFU50" s="44"/>
      <c r="NFV50" s="44"/>
      <c r="NFW50" s="44"/>
      <c r="NFX50" s="44"/>
      <c r="NFY50" s="44"/>
      <c r="NFZ50" s="44"/>
      <c r="NGA50" s="44"/>
      <c r="NGB50" s="44"/>
      <c r="NGC50" s="44"/>
      <c r="NGD50" s="44"/>
      <c r="NGE50" s="44"/>
      <c r="NGF50" s="44"/>
      <c r="NGG50" s="44"/>
      <c r="NGH50" s="44"/>
      <c r="NGI50" s="44"/>
      <c r="NGJ50" s="44"/>
      <c r="NGK50" s="44"/>
      <c r="NGL50" s="44"/>
      <c r="NGM50" s="44"/>
      <c r="NGN50" s="44"/>
      <c r="NGO50" s="44"/>
      <c r="NGP50" s="44"/>
      <c r="NGQ50" s="44"/>
      <c r="NGR50" s="44"/>
      <c r="NGS50" s="44"/>
      <c r="NGT50" s="44"/>
      <c r="NGU50" s="44"/>
      <c r="NGV50" s="44"/>
      <c r="NGW50" s="44"/>
      <c r="NGX50" s="44"/>
      <c r="NGY50" s="44"/>
      <c r="NGZ50" s="44"/>
      <c r="NHA50" s="44"/>
      <c r="NHB50" s="44"/>
      <c r="NHC50" s="44"/>
      <c r="NHD50" s="44"/>
      <c r="NHE50" s="44"/>
      <c r="NHF50" s="44"/>
      <c r="NHG50" s="44"/>
      <c r="NHH50" s="44"/>
      <c r="NHI50" s="44"/>
      <c r="NHJ50" s="44"/>
      <c r="NHK50" s="44"/>
      <c r="NHL50" s="44"/>
      <c r="NHM50" s="44"/>
      <c r="NHN50" s="44"/>
      <c r="NHO50" s="44"/>
      <c r="NHP50" s="44"/>
      <c r="NHQ50" s="44"/>
      <c r="NHR50" s="44"/>
      <c r="NHS50" s="44"/>
      <c r="NHT50" s="44"/>
      <c r="NHU50" s="44"/>
      <c r="NHV50" s="44"/>
      <c r="NHW50" s="44"/>
      <c r="NHX50" s="44"/>
      <c r="NHY50" s="44"/>
      <c r="NHZ50" s="44"/>
      <c r="NIA50" s="44"/>
      <c r="NIB50" s="44"/>
      <c r="NIC50" s="44"/>
      <c r="NID50" s="44"/>
      <c r="NIE50" s="44"/>
      <c r="NIF50" s="44"/>
      <c r="NIG50" s="44"/>
      <c r="NIH50" s="44"/>
      <c r="NII50" s="44"/>
      <c r="NIJ50" s="44"/>
      <c r="NIK50" s="44"/>
      <c r="NIL50" s="44"/>
      <c r="NIM50" s="44"/>
      <c r="NIN50" s="44"/>
      <c r="NIO50" s="44"/>
      <c r="NIP50" s="44"/>
      <c r="NIQ50" s="44"/>
      <c r="NIR50" s="44"/>
      <c r="NIS50" s="44"/>
      <c r="NIT50" s="44"/>
      <c r="NIU50" s="44"/>
      <c r="NIV50" s="44"/>
      <c r="NIW50" s="44"/>
      <c r="NIX50" s="44"/>
      <c r="NIY50" s="44"/>
      <c r="NIZ50" s="44"/>
      <c r="NJA50" s="44"/>
      <c r="NJB50" s="44"/>
      <c r="NJC50" s="44"/>
      <c r="NJD50" s="44"/>
      <c r="NJE50" s="44"/>
      <c r="NJF50" s="44"/>
      <c r="NJG50" s="44"/>
      <c r="NJH50" s="44"/>
      <c r="NJI50" s="44"/>
      <c r="NJJ50" s="44"/>
      <c r="NJK50" s="44"/>
      <c r="NJL50" s="44"/>
      <c r="NJM50" s="44"/>
      <c r="NJN50" s="44"/>
      <c r="NJO50" s="44"/>
      <c r="NJP50" s="44"/>
      <c r="NJQ50" s="44"/>
      <c r="NJR50" s="44"/>
      <c r="NJS50" s="44"/>
      <c r="NJT50" s="44"/>
      <c r="NJU50" s="44"/>
      <c r="NJV50" s="44"/>
      <c r="NJW50" s="44"/>
      <c r="NJX50" s="44"/>
      <c r="NJY50" s="44"/>
      <c r="NJZ50" s="44"/>
      <c r="NKA50" s="44"/>
      <c r="NKB50" s="44"/>
      <c r="NKC50" s="44"/>
      <c r="NKD50" s="44"/>
      <c r="NKE50" s="44"/>
      <c r="NKF50" s="44"/>
      <c r="NKG50" s="44"/>
      <c r="NKH50" s="44"/>
      <c r="NKI50" s="44"/>
      <c r="NKJ50" s="44"/>
      <c r="NKK50" s="44"/>
      <c r="NKL50" s="44"/>
      <c r="NKM50" s="44"/>
      <c r="NKN50" s="44"/>
      <c r="NKO50" s="44"/>
      <c r="NKP50" s="44"/>
      <c r="NKQ50" s="44"/>
      <c r="NKR50" s="44"/>
      <c r="NKS50" s="44"/>
      <c r="NKT50" s="44"/>
      <c r="NKU50" s="44"/>
      <c r="NKV50" s="44"/>
      <c r="NKW50" s="44"/>
      <c r="NKX50" s="44"/>
      <c r="NKY50" s="44"/>
      <c r="NKZ50" s="44"/>
      <c r="NLA50" s="44"/>
      <c r="NLB50" s="44"/>
      <c r="NLC50" s="44"/>
      <c r="NLD50" s="44"/>
      <c r="NLE50" s="44"/>
      <c r="NLF50" s="44"/>
      <c r="NLG50" s="44"/>
      <c r="NLH50" s="44"/>
      <c r="NLI50" s="44"/>
      <c r="NLJ50" s="44"/>
      <c r="NLK50" s="44"/>
      <c r="NLL50" s="44"/>
      <c r="NLM50" s="44"/>
      <c r="NLN50" s="44"/>
      <c r="NLO50" s="44"/>
      <c r="NLP50" s="44"/>
      <c r="NLQ50" s="44"/>
      <c r="NLR50" s="44"/>
      <c r="NLS50" s="44"/>
      <c r="NLT50" s="44"/>
      <c r="NLU50" s="44"/>
      <c r="NLV50" s="44"/>
      <c r="NLW50" s="44"/>
      <c r="NLX50" s="44"/>
      <c r="NLY50" s="44"/>
      <c r="NLZ50" s="44"/>
      <c r="NMA50" s="44"/>
      <c r="NMB50" s="44"/>
      <c r="NMC50" s="44"/>
      <c r="NMD50" s="44"/>
      <c r="NME50" s="44"/>
      <c r="NMF50" s="44"/>
      <c r="NMG50" s="44"/>
      <c r="NMH50" s="44"/>
      <c r="NMI50" s="44"/>
      <c r="NMJ50" s="44"/>
      <c r="NMK50" s="44"/>
      <c r="NML50" s="44"/>
      <c r="NMM50" s="44"/>
      <c r="NMN50" s="44"/>
      <c r="NMO50" s="44"/>
      <c r="NMP50" s="44"/>
      <c r="NMQ50" s="44"/>
      <c r="NMR50" s="44"/>
      <c r="NMS50" s="44"/>
      <c r="NMT50" s="44"/>
      <c r="NMU50" s="44"/>
      <c r="NMV50" s="44"/>
      <c r="NMW50" s="44"/>
      <c r="NMX50" s="44"/>
      <c r="NMY50" s="44"/>
      <c r="NMZ50" s="44"/>
      <c r="NNA50" s="44"/>
      <c r="NNB50" s="44"/>
      <c r="NNC50" s="44"/>
      <c r="NND50" s="44"/>
      <c r="NNE50" s="44"/>
      <c r="NNF50" s="44"/>
      <c r="NNG50" s="44"/>
      <c r="NNH50" s="44"/>
      <c r="NNI50" s="44"/>
      <c r="NNJ50" s="44"/>
      <c r="NNK50" s="44"/>
      <c r="NNL50" s="44"/>
      <c r="NNM50" s="44"/>
      <c r="NNN50" s="44"/>
      <c r="NNO50" s="44"/>
      <c r="NNP50" s="44"/>
      <c r="NNQ50" s="44"/>
      <c r="NNR50" s="44"/>
      <c r="NNS50" s="44"/>
      <c r="NNT50" s="44"/>
      <c r="NNU50" s="44"/>
      <c r="NNV50" s="44"/>
      <c r="NNW50" s="44"/>
      <c r="NNX50" s="44"/>
      <c r="NNY50" s="44"/>
      <c r="NNZ50" s="44"/>
      <c r="NOA50" s="44"/>
      <c r="NOB50" s="44"/>
      <c r="NOC50" s="44"/>
      <c r="NOD50" s="44"/>
      <c r="NOE50" s="44"/>
      <c r="NOF50" s="44"/>
      <c r="NOG50" s="44"/>
      <c r="NOH50" s="44"/>
      <c r="NOI50" s="44"/>
      <c r="NOJ50" s="44"/>
      <c r="NOK50" s="44"/>
      <c r="NOL50" s="44"/>
      <c r="NOM50" s="44"/>
      <c r="NON50" s="44"/>
      <c r="NOO50" s="44"/>
      <c r="NOP50" s="44"/>
      <c r="NOQ50" s="44"/>
      <c r="NOR50" s="44"/>
      <c r="NOS50" s="44"/>
      <c r="NOT50" s="44"/>
      <c r="NOU50" s="44"/>
      <c r="NOV50" s="44"/>
      <c r="NOW50" s="44"/>
      <c r="NOX50" s="44"/>
      <c r="NOY50" s="44"/>
      <c r="NOZ50" s="44"/>
      <c r="NPA50" s="44"/>
      <c r="NPB50" s="44"/>
      <c r="NPC50" s="44"/>
      <c r="NPD50" s="44"/>
      <c r="NPE50" s="44"/>
      <c r="NPF50" s="44"/>
      <c r="NPG50" s="44"/>
      <c r="NPH50" s="44"/>
      <c r="NPI50" s="44"/>
      <c r="NPJ50" s="44"/>
      <c r="NPK50" s="44"/>
      <c r="NPL50" s="44"/>
      <c r="NPM50" s="44"/>
      <c r="NPN50" s="44"/>
      <c r="NPO50" s="44"/>
      <c r="NPP50" s="44"/>
      <c r="NPQ50" s="44"/>
      <c r="NPR50" s="44"/>
      <c r="NPS50" s="44"/>
      <c r="NPT50" s="44"/>
      <c r="NPU50" s="44"/>
      <c r="NPV50" s="44"/>
      <c r="NPW50" s="44"/>
      <c r="NPX50" s="44"/>
      <c r="NPY50" s="44"/>
      <c r="NPZ50" s="44"/>
      <c r="NQA50" s="44"/>
      <c r="NQB50" s="44"/>
      <c r="NQC50" s="44"/>
      <c r="NQD50" s="44"/>
      <c r="NQE50" s="44"/>
      <c r="NQF50" s="44"/>
      <c r="NQG50" s="44"/>
      <c r="NQH50" s="44"/>
      <c r="NQI50" s="44"/>
      <c r="NQJ50" s="44"/>
      <c r="NQK50" s="44"/>
      <c r="NQL50" s="44"/>
      <c r="NQM50" s="44"/>
      <c r="NQN50" s="44"/>
      <c r="NQO50" s="44"/>
      <c r="NQP50" s="44"/>
      <c r="NQQ50" s="44"/>
      <c r="NQR50" s="44"/>
      <c r="NQS50" s="44"/>
      <c r="NQT50" s="44"/>
      <c r="NQU50" s="44"/>
      <c r="NQV50" s="44"/>
      <c r="NQW50" s="44"/>
      <c r="NQX50" s="44"/>
      <c r="NQY50" s="44"/>
      <c r="NQZ50" s="44"/>
      <c r="NRA50" s="44"/>
      <c r="NRB50" s="44"/>
      <c r="NRC50" s="44"/>
      <c r="NRD50" s="44"/>
      <c r="NRE50" s="44"/>
      <c r="NRF50" s="44"/>
      <c r="NRG50" s="44"/>
      <c r="NRH50" s="44"/>
      <c r="NRI50" s="44"/>
      <c r="NRJ50" s="44"/>
      <c r="NRK50" s="44"/>
      <c r="NRL50" s="44"/>
      <c r="NRM50" s="44"/>
      <c r="NRN50" s="44"/>
      <c r="NRO50" s="44"/>
      <c r="NRP50" s="44"/>
      <c r="NRQ50" s="44"/>
      <c r="NRR50" s="44"/>
      <c r="NRS50" s="44"/>
      <c r="NRT50" s="44"/>
      <c r="NRU50" s="44"/>
      <c r="NRV50" s="44"/>
      <c r="NRW50" s="44"/>
      <c r="NRX50" s="44"/>
      <c r="NRY50" s="44"/>
      <c r="NRZ50" s="44"/>
      <c r="NSA50" s="44"/>
      <c r="NSB50" s="44"/>
      <c r="NSC50" s="44"/>
      <c r="NSD50" s="44"/>
      <c r="NSE50" s="44"/>
      <c r="NSF50" s="44"/>
      <c r="NSG50" s="44"/>
      <c r="NSH50" s="44"/>
      <c r="NSI50" s="44"/>
      <c r="NSJ50" s="44"/>
      <c r="NSK50" s="44"/>
      <c r="NSL50" s="44"/>
      <c r="NSM50" s="44"/>
      <c r="NSN50" s="44"/>
      <c r="NSO50" s="44"/>
      <c r="NSP50" s="44"/>
      <c r="NSQ50" s="44"/>
      <c r="NSR50" s="44"/>
      <c r="NSS50" s="44"/>
      <c r="NST50" s="44"/>
      <c r="NSU50" s="44"/>
      <c r="NSV50" s="44"/>
      <c r="NSW50" s="44"/>
      <c r="NSX50" s="44"/>
      <c r="NSY50" s="44"/>
      <c r="NSZ50" s="44"/>
      <c r="NTA50" s="44"/>
      <c r="NTB50" s="44"/>
      <c r="NTC50" s="44"/>
      <c r="NTD50" s="44"/>
      <c r="NTE50" s="44"/>
      <c r="NTF50" s="44"/>
      <c r="NTG50" s="44"/>
      <c r="NTH50" s="44"/>
      <c r="NTI50" s="44"/>
      <c r="NTJ50" s="44"/>
      <c r="NTK50" s="44"/>
      <c r="NTL50" s="44"/>
      <c r="NTM50" s="44"/>
      <c r="NTN50" s="44"/>
      <c r="NTO50" s="44"/>
      <c r="NTP50" s="44"/>
      <c r="NTQ50" s="44"/>
      <c r="NTR50" s="44"/>
      <c r="NTS50" s="44"/>
      <c r="NTT50" s="44"/>
      <c r="NTU50" s="44"/>
      <c r="NTV50" s="44"/>
      <c r="NTW50" s="44"/>
      <c r="NTX50" s="44"/>
      <c r="NTY50" s="44"/>
      <c r="NTZ50" s="44"/>
      <c r="NUA50" s="44"/>
      <c r="NUB50" s="44"/>
      <c r="NUC50" s="44"/>
      <c r="NUD50" s="44"/>
      <c r="NUE50" s="44"/>
      <c r="NUF50" s="44"/>
      <c r="NUG50" s="44"/>
      <c r="NUH50" s="44"/>
      <c r="NUI50" s="44"/>
      <c r="NUJ50" s="44"/>
      <c r="NUK50" s="44"/>
      <c r="NUL50" s="44"/>
      <c r="NUM50" s="44"/>
      <c r="NUN50" s="44"/>
      <c r="NUO50" s="44"/>
      <c r="NUP50" s="44"/>
      <c r="NUQ50" s="44"/>
      <c r="NUR50" s="44"/>
      <c r="NUS50" s="44"/>
      <c r="NUT50" s="44"/>
      <c r="NUU50" s="44"/>
      <c r="NUV50" s="44"/>
      <c r="NUW50" s="44"/>
      <c r="NUX50" s="44"/>
      <c r="NUY50" s="44"/>
      <c r="NUZ50" s="44"/>
      <c r="NVA50" s="44"/>
      <c r="NVB50" s="44"/>
      <c r="NVC50" s="44"/>
      <c r="NVD50" s="44"/>
      <c r="NVE50" s="44"/>
      <c r="NVF50" s="44"/>
      <c r="NVG50" s="44"/>
      <c r="NVH50" s="44"/>
      <c r="NVI50" s="44"/>
      <c r="NVJ50" s="44"/>
      <c r="NVK50" s="44"/>
      <c r="NVL50" s="44"/>
      <c r="NVM50" s="44"/>
      <c r="NVN50" s="44"/>
      <c r="NVO50" s="44"/>
      <c r="NVP50" s="44"/>
      <c r="NVQ50" s="44"/>
      <c r="NVR50" s="44"/>
      <c r="NVS50" s="44"/>
      <c r="NVT50" s="44"/>
      <c r="NVU50" s="44"/>
      <c r="NVV50" s="44"/>
      <c r="NVW50" s="44"/>
      <c r="NVX50" s="44"/>
      <c r="NVY50" s="44"/>
      <c r="NVZ50" s="44"/>
      <c r="NWA50" s="44"/>
      <c r="NWB50" s="44"/>
      <c r="NWC50" s="44"/>
      <c r="NWD50" s="44"/>
      <c r="NWE50" s="44"/>
      <c r="NWF50" s="44"/>
      <c r="NWG50" s="44"/>
      <c r="NWH50" s="44"/>
      <c r="NWI50" s="44"/>
      <c r="NWJ50" s="44"/>
      <c r="NWK50" s="44"/>
      <c r="NWL50" s="44"/>
      <c r="NWM50" s="44"/>
      <c r="NWN50" s="44"/>
      <c r="NWO50" s="44"/>
      <c r="NWP50" s="44"/>
      <c r="NWQ50" s="44"/>
      <c r="NWR50" s="44"/>
      <c r="NWS50" s="44"/>
      <c r="NWT50" s="44"/>
      <c r="NWU50" s="44"/>
      <c r="NWV50" s="44"/>
      <c r="NWW50" s="44"/>
      <c r="NWX50" s="44"/>
      <c r="NWY50" s="44"/>
      <c r="NWZ50" s="44"/>
      <c r="NXA50" s="44"/>
      <c r="NXB50" s="44"/>
      <c r="NXC50" s="44"/>
      <c r="NXD50" s="44"/>
      <c r="NXE50" s="44"/>
      <c r="NXF50" s="44"/>
      <c r="NXG50" s="44"/>
      <c r="NXH50" s="44"/>
      <c r="NXI50" s="44"/>
      <c r="NXJ50" s="44"/>
      <c r="NXK50" s="44"/>
      <c r="NXL50" s="44"/>
      <c r="NXM50" s="44"/>
      <c r="NXN50" s="44"/>
      <c r="NXO50" s="44"/>
      <c r="NXP50" s="44"/>
      <c r="NXQ50" s="44"/>
      <c r="NXR50" s="44"/>
      <c r="NXS50" s="44"/>
      <c r="NXT50" s="44"/>
      <c r="NXU50" s="44"/>
      <c r="NXV50" s="44"/>
      <c r="NXW50" s="44"/>
      <c r="NXX50" s="44"/>
      <c r="NXY50" s="44"/>
      <c r="NXZ50" s="44"/>
      <c r="NYA50" s="44"/>
      <c r="NYB50" s="44"/>
      <c r="NYC50" s="44"/>
      <c r="NYD50" s="44"/>
      <c r="NYE50" s="44"/>
      <c r="NYF50" s="44"/>
      <c r="NYG50" s="44"/>
      <c r="NYH50" s="44"/>
      <c r="NYI50" s="44"/>
      <c r="NYJ50" s="44"/>
      <c r="NYK50" s="44"/>
      <c r="NYL50" s="44"/>
      <c r="NYM50" s="44"/>
      <c r="NYN50" s="44"/>
      <c r="NYO50" s="44"/>
      <c r="NYP50" s="44"/>
      <c r="NYQ50" s="44"/>
      <c r="NYR50" s="44"/>
      <c r="NYS50" s="44"/>
      <c r="NYT50" s="44"/>
      <c r="NYU50" s="44"/>
      <c r="NYV50" s="44"/>
      <c r="NYW50" s="44"/>
      <c r="NYX50" s="44"/>
      <c r="NYY50" s="44"/>
      <c r="NYZ50" s="44"/>
      <c r="NZA50" s="44"/>
      <c r="NZB50" s="44"/>
      <c r="NZC50" s="44"/>
      <c r="NZD50" s="44"/>
      <c r="NZE50" s="44"/>
      <c r="NZF50" s="44"/>
      <c r="NZG50" s="44"/>
      <c r="NZH50" s="44"/>
      <c r="NZI50" s="44"/>
      <c r="NZJ50" s="44"/>
      <c r="NZK50" s="44"/>
      <c r="NZL50" s="44"/>
      <c r="NZM50" s="44"/>
      <c r="NZN50" s="44"/>
      <c r="NZO50" s="44"/>
      <c r="NZP50" s="44"/>
      <c r="NZQ50" s="44"/>
      <c r="NZR50" s="44"/>
      <c r="NZS50" s="44"/>
      <c r="NZT50" s="44"/>
      <c r="NZU50" s="44"/>
      <c r="NZV50" s="44"/>
      <c r="NZW50" s="44"/>
      <c r="NZX50" s="44"/>
      <c r="NZY50" s="44"/>
      <c r="NZZ50" s="44"/>
      <c r="OAA50" s="44"/>
      <c r="OAB50" s="44"/>
      <c r="OAC50" s="44"/>
      <c r="OAD50" s="44"/>
      <c r="OAE50" s="44"/>
      <c r="OAF50" s="44"/>
      <c r="OAG50" s="44"/>
      <c r="OAH50" s="44"/>
      <c r="OAI50" s="44"/>
      <c r="OAJ50" s="44"/>
      <c r="OAK50" s="44"/>
      <c r="OAL50" s="44"/>
      <c r="OAM50" s="44"/>
      <c r="OAN50" s="44"/>
      <c r="OAO50" s="44"/>
      <c r="OAP50" s="44"/>
      <c r="OAQ50" s="44"/>
      <c r="OAR50" s="44"/>
      <c r="OAS50" s="44"/>
      <c r="OAT50" s="44"/>
      <c r="OAU50" s="44"/>
      <c r="OAV50" s="44"/>
      <c r="OAW50" s="44"/>
      <c r="OAX50" s="44"/>
      <c r="OAY50" s="44"/>
      <c r="OAZ50" s="44"/>
      <c r="OBA50" s="44"/>
      <c r="OBB50" s="44"/>
      <c r="OBC50" s="44"/>
      <c r="OBD50" s="44"/>
      <c r="OBE50" s="44"/>
      <c r="OBF50" s="44"/>
      <c r="OBG50" s="44"/>
      <c r="OBH50" s="44"/>
      <c r="OBI50" s="44"/>
      <c r="OBJ50" s="44"/>
      <c r="OBK50" s="44"/>
      <c r="OBL50" s="44"/>
      <c r="OBM50" s="44"/>
      <c r="OBN50" s="44"/>
      <c r="OBO50" s="44"/>
      <c r="OBP50" s="44"/>
      <c r="OBQ50" s="44"/>
      <c r="OBR50" s="44"/>
      <c r="OBS50" s="44"/>
      <c r="OBT50" s="44"/>
      <c r="OBU50" s="44"/>
      <c r="OBV50" s="44"/>
      <c r="OBW50" s="44"/>
      <c r="OBX50" s="44"/>
      <c r="OBY50" s="44"/>
      <c r="OBZ50" s="44"/>
      <c r="OCA50" s="44"/>
      <c r="OCB50" s="44"/>
      <c r="OCC50" s="44"/>
      <c r="OCD50" s="44"/>
      <c r="OCE50" s="44"/>
      <c r="OCF50" s="44"/>
      <c r="OCG50" s="44"/>
      <c r="OCH50" s="44"/>
      <c r="OCI50" s="44"/>
      <c r="OCJ50" s="44"/>
      <c r="OCK50" s="44"/>
      <c r="OCL50" s="44"/>
      <c r="OCM50" s="44"/>
      <c r="OCN50" s="44"/>
      <c r="OCO50" s="44"/>
      <c r="OCP50" s="44"/>
      <c r="OCQ50" s="44"/>
      <c r="OCR50" s="44"/>
      <c r="OCS50" s="44"/>
      <c r="OCT50" s="44"/>
      <c r="OCU50" s="44"/>
      <c r="OCV50" s="44"/>
      <c r="OCW50" s="44"/>
      <c r="OCX50" s="44"/>
      <c r="OCY50" s="44"/>
      <c r="OCZ50" s="44"/>
      <c r="ODA50" s="44"/>
      <c r="ODB50" s="44"/>
      <c r="ODC50" s="44"/>
      <c r="ODD50" s="44"/>
      <c r="ODE50" s="44"/>
      <c r="ODF50" s="44"/>
      <c r="ODG50" s="44"/>
      <c r="ODH50" s="44"/>
      <c r="ODI50" s="44"/>
      <c r="ODJ50" s="44"/>
      <c r="ODK50" s="44"/>
      <c r="ODL50" s="44"/>
      <c r="ODM50" s="44"/>
      <c r="ODN50" s="44"/>
      <c r="ODO50" s="44"/>
      <c r="ODP50" s="44"/>
      <c r="ODQ50" s="44"/>
      <c r="ODR50" s="44"/>
      <c r="ODS50" s="44"/>
      <c r="ODT50" s="44"/>
      <c r="ODU50" s="44"/>
      <c r="ODV50" s="44"/>
      <c r="ODW50" s="44"/>
      <c r="ODX50" s="44"/>
      <c r="ODY50" s="44"/>
      <c r="ODZ50" s="44"/>
      <c r="OEA50" s="44"/>
      <c r="OEB50" s="44"/>
      <c r="OEC50" s="44"/>
      <c r="OED50" s="44"/>
      <c r="OEE50" s="44"/>
      <c r="OEF50" s="44"/>
      <c r="OEG50" s="44"/>
      <c r="OEH50" s="44"/>
      <c r="OEI50" s="44"/>
      <c r="OEJ50" s="44"/>
      <c r="OEK50" s="44"/>
      <c r="OEL50" s="44"/>
      <c r="OEM50" s="44"/>
      <c r="OEN50" s="44"/>
      <c r="OEO50" s="44"/>
      <c r="OEP50" s="44"/>
      <c r="OEQ50" s="44"/>
      <c r="OER50" s="44"/>
      <c r="OES50" s="44"/>
      <c r="OET50" s="44"/>
      <c r="OEU50" s="44"/>
      <c r="OEV50" s="44"/>
      <c r="OEW50" s="44"/>
      <c r="OEX50" s="44"/>
      <c r="OEY50" s="44"/>
      <c r="OEZ50" s="44"/>
      <c r="OFA50" s="44"/>
      <c r="OFB50" s="44"/>
      <c r="OFC50" s="44"/>
      <c r="OFD50" s="44"/>
      <c r="OFE50" s="44"/>
      <c r="OFF50" s="44"/>
      <c r="OFG50" s="44"/>
      <c r="OFH50" s="44"/>
      <c r="OFI50" s="44"/>
      <c r="OFJ50" s="44"/>
      <c r="OFK50" s="44"/>
      <c r="OFL50" s="44"/>
      <c r="OFM50" s="44"/>
      <c r="OFN50" s="44"/>
      <c r="OFO50" s="44"/>
      <c r="OFP50" s="44"/>
      <c r="OFQ50" s="44"/>
      <c r="OFR50" s="44"/>
      <c r="OFS50" s="44"/>
      <c r="OFT50" s="44"/>
      <c r="OFU50" s="44"/>
      <c r="OFV50" s="44"/>
      <c r="OFW50" s="44"/>
      <c r="OFX50" s="44"/>
      <c r="OFY50" s="44"/>
      <c r="OFZ50" s="44"/>
      <c r="OGA50" s="44"/>
      <c r="OGB50" s="44"/>
      <c r="OGC50" s="44"/>
      <c r="OGD50" s="44"/>
      <c r="OGE50" s="44"/>
      <c r="OGF50" s="44"/>
      <c r="OGG50" s="44"/>
      <c r="OGH50" s="44"/>
      <c r="OGI50" s="44"/>
      <c r="OGJ50" s="44"/>
      <c r="OGK50" s="44"/>
      <c r="OGL50" s="44"/>
      <c r="OGM50" s="44"/>
      <c r="OGN50" s="44"/>
      <c r="OGO50" s="44"/>
      <c r="OGP50" s="44"/>
      <c r="OGQ50" s="44"/>
      <c r="OGR50" s="44"/>
      <c r="OGS50" s="44"/>
      <c r="OGT50" s="44"/>
      <c r="OGU50" s="44"/>
      <c r="OGV50" s="44"/>
      <c r="OGW50" s="44"/>
      <c r="OGX50" s="44"/>
      <c r="OGY50" s="44"/>
      <c r="OGZ50" s="44"/>
      <c r="OHA50" s="44"/>
      <c r="OHB50" s="44"/>
      <c r="OHC50" s="44"/>
      <c r="OHD50" s="44"/>
      <c r="OHE50" s="44"/>
      <c r="OHF50" s="44"/>
      <c r="OHG50" s="44"/>
      <c r="OHH50" s="44"/>
      <c r="OHI50" s="44"/>
      <c r="OHJ50" s="44"/>
      <c r="OHK50" s="44"/>
      <c r="OHL50" s="44"/>
      <c r="OHM50" s="44"/>
      <c r="OHN50" s="44"/>
      <c r="OHO50" s="44"/>
      <c r="OHP50" s="44"/>
      <c r="OHQ50" s="44"/>
      <c r="OHR50" s="44"/>
      <c r="OHS50" s="44"/>
      <c r="OHT50" s="44"/>
      <c r="OHU50" s="44"/>
      <c r="OHV50" s="44"/>
      <c r="OHW50" s="44"/>
      <c r="OHX50" s="44"/>
      <c r="OHY50" s="44"/>
      <c r="OHZ50" s="44"/>
      <c r="OIA50" s="44"/>
      <c r="OIB50" s="44"/>
      <c r="OIC50" s="44"/>
      <c r="OID50" s="44"/>
      <c r="OIE50" s="44"/>
      <c r="OIF50" s="44"/>
      <c r="OIG50" s="44"/>
      <c r="OIH50" s="44"/>
      <c r="OII50" s="44"/>
      <c r="OIJ50" s="44"/>
      <c r="OIK50" s="44"/>
      <c r="OIL50" s="44"/>
      <c r="OIM50" s="44"/>
      <c r="OIN50" s="44"/>
      <c r="OIO50" s="44"/>
      <c r="OIP50" s="44"/>
      <c r="OIQ50" s="44"/>
      <c r="OIR50" s="44"/>
      <c r="OIS50" s="44"/>
      <c r="OIT50" s="44"/>
      <c r="OIU50" s="44"/>
      <c r="OIV50" s="44"/>
      <c r="OIW50" s="44"/>
      <c r="OIX50" s="44"/>
      <c r="OIY50" s="44"/>
      <c r="OIZ50" s="44"/>
      <c r="OJA50" s="44"/>
      <c r="OJB50" s="44"/>
      <c r="OJC50" s="44"/>
      <c r="OJD50" s="44"/>
      <c r="OJE50" s="44"/>
      <c r="OJF50" s="44"/>
      <c r="OJG50" s="44"/>
      <c r="OJH50" s="44"/>
      <c r="OJI50" s="44"/>
      <c r="OJJ50" s="44"/>
      <c r="OJK50" s="44"/>
      <c r="OJL50" s="44"/>
      <c r="OJM50" s="44"/>
      <c r="OJN50" s="44"/>
      <c r="OJO50" s="44"/>
      <c r="OJP50" s="44"/>
      <c r="OJQ50" s="44"/>
      <c r="OJR50" s="44"/>
      <c r="OJS50" s="44"/>
      <c r="OJT50" s="44"/>
      <c r="OJU50" s="44"/>
      <c r="OJV50" s="44"/>
      <c r="OJW50" s="44"/>
      <c r="OJX50" s="44"/>
      <c r="OJY50" s="44"/>
      <c r="OJZ50" s="44"/>
      <c r="OKA50" s="44"/>
      <c r="OKB50" s="44"/>
      <c r="OKC50" s="44"/>
      <c r="OKD50" s="44"/>
      <c r="OKE50" s="44"/>
      <c r="OKF50" s="44"/>
      <c r="OKG50" s="44"/>
      <c r="OKH50" s="44"/>
      <c r="OKI50" s="44"/>
      <c r="OKJ50" s="44"/>
      <c r="OKK50" s="44"/>
      <c r="OKL50" s="44"/>
      <c r="OKM50" s="44"/>
      <c r="OKN50" s="44"/>
      <c r="OKO50" s="44"/>
      <c r="OKP50" s="44"/>
      <c r="OKQ50" s="44"/>
      <c r="OKR50" s="44"/>
      <c r="OKS50" s="44"/>
      <c r="OKT50" s="44"/>
      <c r="OKU50" s="44"/>
      <c r="OKV50" s="44"/>
      <c r="OKW50" s="44"/>
      <c r="OKX50" s="44"/>
      <c r="OKY50" s="44"/>
      <c r="OKZ50" s="44"/>
      <c r="OLA50" s="44"/>
      <c r="OLB50" s="44"/>
      <c r="OLC50" s="44"/>
      <c r="OLD50" s="44"/>
      <c r="OLE50" s="44"/>
      <c r="OLF50" s="44"/>
      <c r="OLG50" s="44"/>
      <c r="OLH50" s="44"/>
      <c r="OLI50" s="44"/>
      <c r="OLJ50" s="44"/>
      <c r="OLK50" s="44"/>
      <c r="OLL50" s="44"/>
      <c r="OLM50" s="44"/>
      <c r="OLN50" s="44"/>
      <c r="OLO50" s="44"/>
      <c r="OLP50" s="44"/>
      <c r="OLQ50" s="44"/>
      <c r="OLR50" s="44"/>
      <c r="OLS50" s="44"/>
      <c r="OLT50" s="44"/>
      <c r="OLU50" s="44"/>
      <c r="OLV50" s="44"/>
      <c r="OLW50" s="44"/>
      <c r="OLX50" s="44"/>
      <c r="OLY50" s="44"/>
      <c r="OLZ50" s="44"/>
      <c r="OMA50" s="44"/>
      <c r="OMB50" s="44"/>
      <c r="OMC50" s="44"/>
      <c r="OMD50" s="44"/>
      <c r="OME50" s="44"/>
      <c r="OMF50" s="44"/>
      <c r="OMG50" s="44"/>
      <c r="OMH50" s="44"/>
      <c r="OMI50" s="44"/>
      <c r="OMJ50" s="44"/>
      <c r="OMK50" s="44"/>
      <c r="OML50" s="44"/>
      <c r="OMM50" s="44"/>
      <c r="OMN50" s="44"/>
      <c r="OMO50" s="44"/>
      <c r="OMP50" s="44"/>
      <c r="OMQ50" s="44"/>
      <c r="OMR50" s="44"/>
      <c r="OMS50" s="44"/>
      <c r="OMT50" s="44"/>
      <c r="OMU50" s="44"/>
      <c r="OMV50" s="44"/>
      <c r="OMW50" s="44"/>
      <c r="OMX50" s="44"/>
      <c r="OMY50" s="44"/>
      <c r="OMZ50" s="44"/>
      <c r="ONA50" s="44"/>
      <c r="ONB50" s="44"/>
      <c r="ONC50" s="44"/>
      <c r="OND50" s="44"/>
      <c r="ONE50" s="44"/>
      <c r="ONF50" s="44"/>
      <c r="ONG50" s="44"/>
      <c r="ONH50" s="44"/>
      <c r="ONI50" s="44"/>
      <c r="ONJ50" s="44"/>
      <c r="ONK50" s="44"/>
      <c r="ONL50" s="44"/>
      <c r="ONM50" s="44"/>
      <c r="ONN50" s="44"/>
      <c r="ONO50" s="44"/>
      <c r="ONP50" s="44"/>
      <c r="ONQ50" s="44"/>
      <c r="ONR50" s="44"/>
      <c r="ONS50" s="44"/>
      <c r="ONT50" s="44"/>
      <c r="ONU50" s="44"/>
      <c r="ONV50" s="44"/>
      <c r="ONW50" s="44"/>
      <c r="ONX50" s="44"/>
      <c r="ONY50" s="44"/>
      <c r="ONZ50" s="44"/>
      <c r="OOA50" s="44"/>
      <c r="OOB50" s="44"/>
      <c r="OOC50" s="44"/>
      <c r="OOD50" s="44"/>
      <c r="OOE50" s="44"/>
      <c r="OOF50" s="44"/>
      <c r="OOG50" s="44"/>
      <c r="OOH50" s="44"/>
      <c r="OOI50" s="44"/>
      <c r="OOJ50" s="44"/>
      <c r="OOK50" s="44"/>
      <c r="OOL50" s="44"/>
      <c r="OOM50" s="44"/>
      <c r="OON50" s="44"/>
      <c r="OOO50" s="44"/>
      <c r="OOP50" s="44"/>
      <c r="OOQ50" s="44"/>
      <c r="OOR50" s="44"/>
      <c r="OOS50" s="44"/>
      <c r="OOT50" s="44"/>
      <c r="OOU50" s="44"/>
      <c r="OOV50" s="44"/>
      <c r="OOW50" s="44"/>
      <c r="OOX50" s="44"/>
      <c r="OOY50" s="44"/>
      <c r="OOZ50" s="44"/>
      <c r="OPA50" s="44"/>
      <c r="OPB50" s="44"/>
      <c r="OPC50" s="44"/>
      <c r="OPD50" s="44"/>
      <c r="OPE50" s="44"/>
      <c r="OPF50" s="44"/>
      <c r="OPG50" s="44"/>
      <c r="OPH50" s="44"/>
      <c r="OPI50" s="44"/>
      <c r="OPJ50" s="44"/>
      <c r="OPK50" s="44"/>
      <c r="OPL50" s="44"/>
      <c r="OPM50" s="44"/>
      <c r="OPN50" s="44"/>
      <c r="OPO50" s="44"/>
      <c r="OPP50" s="44"/>
      <c r="OPQ50" s="44"/>
      <c r="OPR50" s="44"/>
      <c r="OPS50" s="44"/>
      <c r="OPT50" s="44"/>
      <c r="OPU50" s="44"/>
      <c r="OPV50" s="44"/>
      <c r="OPW50" s="44"/>
      <c r="OPX50" s="44"/>
      <c r="OPY50" s="44"/>
      <c r="OPZ50" s="44"/>
      <c r="OQA50" s="44"/>
      <c r="OQB50" s="44"/>
      <c r="OQC50" s="44"/>
      <c r="OQD50" s="44"/>
      <c r="OQE50" s="44"/>
      <c r="OQF50" s="44"/>
      <c r="OQG50" s="44"/>
      <c r="OQH50" s="44"/>
      <c r="OQI50" s="44"/>
      <c r="OQJ50" s="44"/>
      <c r="OQK50" s="44"/>
      <c r="OQL50" s="44"/>
      <c r="OQM50" s="44"/>
      <c r="OQN50" s="44"/>
      <c r="OQO50" s="44"/>
      <c r="OQP50" s="44"/>
      <c r="OQQ50" s="44"/>
      <c r="OQR50" s="44"/>
      <c r="OQS50" s="44"/>
      <c r="OQT50" s="44"/>
      <c r="OQU50" s="44"/>
      <c r="OQV50" s="44"/>
      <c r="OQW50" s="44"/>
      <c r="OQX50" s="44"/>
      <c r="OQY50" s="44"/>
      <c r="OQZ50" s="44"/>
      <c r="ORA50" s="44"/>
      <c r="ORB50" s="44"/>
      <c r="ORC50" s="44"/>
      <c r="ORD50" s="44"/>
      <c r="ORE50" s="44"/>
      <c r="ORF50" s="44"/>
      <c r="ORG50" s="44"/>
      <c r="ORH50" s="44"/>
      <c r="ORI50" s="44"/>
      <c r="ORJ50" s="44"/>
      <c r="ORK50" s="44"/>
      <c r="ORL50" s="44"/>
      <c r="ORM50" s="44"/>
      <c r="ORN50" s="44"/>
      <c r="ORO50" s="44"/>
      <c r="ORP50" s="44"/>
      <c r="ORQ50" s="44"/>
      <c r="ORR50" s="44"/>
      <c r="ORS50" s="44"/>
      <c r="ORT50" s="44"/>
      <c r="ORU50" s="44"/>
      <c r="ORV50" s="44"/>
      <c r="ORW50" s="44"/>
      <c r="ORX50" s="44"/>
      <c r="ORY50" s="44"/>
      <c r="ORZ50" s="44"/>
      <c r="OSA50" s="44"/>
      <c r="OSB50" s="44"/>
      <c r="OSC50" s="44"/>
      <c r="OSD50" s="44"/>
      <c r="OSE50" s="44"/>
      <c r="OSF50" s="44"/>
      <c r="OSG50" s="44"/>
      <c r="OSH50" s="44"/>
      <c r="OSI50" s="44"/>
      <c r="OSJ50" s="44"/>
      <c r="OSK50" s="44"/>
      <c r="OSL50" s="44"/>
      <c r="OSM50" s="44"/>
      <c r="OSN50" s="44"/>
      <c r="OSO50" s="44"/>
      <c r="OSP50" s="44"/>
      <c r="OSQ50" s="44"/>
      <c r="OSR50" s="44"/>
      <c r="OSS50" s="44"/>
      <c r="OST50" s="44"/>
      <c r="OSU50" s="44"/>
      <c r="OSV50" s="44"/>
      <c r="OSW50" s="44"/>
      <c r="OSX50" s="44"/>
      <c r="OSY50" s="44"/>
      <c r="OSZ50" s="44"/>
      <c r="OTA50" s="44"/>
      <c r="OTB50" s="44"/>
      <c r="OTC50" s="44"/>
      <c r="OTD50" s="44"/>
      <c r="OTE50" s="44"/>
      <c r="OTF50" s="44"/>
      <c r="OTG50" s="44"/>
      <c r="OTH50" s="44"/>
      <c r="OTI50" s="44"/>
      <c r="OTJ50" s="44"/>
      <c r="OTK50" s="44"/>
      <c r="OTL50" s="44"/>
      <c r="OTM50" s="44"/>
      <c r="OTN50" s="44"/>
      <c r="OTO50" s="44"/>
      <c r="OTP50" s="44"/>
      <c r="OTQ50" s="44"/>
      <c r="OTR50" s="44"/>
      <c r="OTS50" s="44"/>
      <c r="OTT50" s="44"/>
      <c r="OTU50" s="44"/>
      <c r="OTV50" s="44"/>
      <c r="OTW50" s="44"/>
      <c r="OTX50" s="44"/>
      <c r="OTY50" s="44"/>
      <c r="OTZ50" s="44"/>
      <c r="OUA50" s="44"/>
      <c r="OUB50" s="44"/>
      <c r="OUC50" s="44"/>
      <c r="OUD50" s="44"/>
      <c r="OUE50" s="44"/>
      <c r="OUF50" s="44"/>
      <c r="OUG50" s="44"/>
      <c r="OUH50" s="44"/>
      <c r="OUI50" s="44"/>
      <c r="OUJ50" s="44"/>
      <c r="OUK50" s="44"/>
      <c r="OUL50" s="44"/>
      <c r="OUM50" s="44"/>
      <c r="OUN50" s="44"/>
      <c r="OUO50" s="44"/>
      <c r="OUP50" s="44"/>
      <c r="OUQ50" s="44"/>
      <c r="OUR50" s="44"/>
      <c r="OUS50" s="44"/>
      <c r="OUT50" s="44"/>
      <c r="OUU50" s="44"/>
      <c r="OUV50" s="44"/>
      <c r="OUW50" s="44"/>
      <c r="OUX50" s="44"/>
      <c r="OUY50" s="44"/>
      <c r="OUZ50" s="44"/>
      <c r="OVA50" s="44"/>
      <c r="OVB50" s="44"/>
      <c r="OVC50" s="44"/>
      <c r="OVD50" s="44"/>
      <c r="OVE50" s="44"/>
      <c r="OVF50" s="44"/>
      <c r="OVG50" s="44"/>
      <c r="OVH50" s="44"/>
      <c r="OVI50" s="44"/>
      <c r="OVJ50" s="44"/>
      <c r="OVK50" s="44"/>
      <c r="OVL50" s="44"/>
      <c r="OVM50" s="44"/>
      <c r="OVN50" s="44"/>
      <c r="OVO50" s="44"/>
      <c r="OVP50" s="44"/>
      <c r="OVQ50" s="44"/>
      <c r="OVR50" s="44"/>
      <c r="OVS50" s="44"/>
      <c r="OVT50" s="44"/>
      <c r="OVU50" s="44"/>
      <c r="OVV50" s="44"/>
      <c r="OVW50" s="44"/>
      <c r="OVX50" s="44"/>
      <c r="OVY50" s="44"/>
      <c r="OVZ50" s="44"/>
      <c r="OWA50" s="44"/>
      <c r="OWB50" s="44"/>
      <c r="OWC50" s="44"/>
      <c r="OWD50" s="44"/>
      <c r="OWE50" s="44"/>
      <c r="OWF50" s="44"/>
      <c r="OWG50" s="44"/>
      <c r="OWH50" s="44"/>
      <c r="OWI50" s="44"/>
      <c r="OWJ50" s="44"/>
      <c r="OWK50" s="44"/>
      <c r="OWL50" s="44"/>
      <c r="OWM50" s="44"/>
      <c r="OWN50" s="44"/>
      <c r="OWO50" s="44"/>
      <c r="OWP50" s="44"/>
      <c r="OWQ50" s="44"/>
      <c r="OWR50" s="44"/>
      <c r="OWS50" s="44"/>
      <c r="OWT50" s="44"/>
      <c r="OWU50" s="44"/>
      <c r="OWV50" s="44"/>
      <c r="OWW50" s="44"/>
      <c r="OWX50" s="44"/>
      <c r="OWY50" s="44"/>
      <c r="OWZ50" s="44"/>
      <c r="OXA50" s="44"/>
      <c r="OXB50" s="44"/>
      <c r="OXC50" s="44"/>
      <c r="OXD50" s="44"/>
      <c r="OXE50" s="44"/>
      <c r="OXF50" s="44"/>
      <c r="OXG50" s="44"/>
      <c r="OXH50" s="44"/>
      <c r="OXI50" s="44"/>
      <c r="OXJ50" s="44"/>
      <c r="OXK50" s="44"/>
      <c r="OXL50" s="44"/>
      <c r="OXM50" s="44"/>
      <c r="OXN50" s="44"/>
      <c r="OXO50" s="44"/>
      <c r="OXP50" s="44"/>
      <c r="OXQ50" s="44"/>
      <c r="OXR50" s="44"/>
      <c r="OXS50" s="44"/>
      <c r="OXT50" s="44"/>
      <c r="OXU50" s="44"/>
      <c r="OXV50" s="44"/>
      <c r="OXW50" s="44"/>
      <c r="OXX50" s="44"/>
      <c r="OXY50" s="44"/>
      <c r="OXZ50" s="44"/>
      <c r="OYA50" s="44"/>
      <c r="OYB50" s="44"/>
      <c r="OYC50" s="44"/>
      <c r="OYD50" s="44"/>
      <c r="OYE50" s="44"/>
      <c r="OYF50" s="44"/>
      <c r="OYG50" s="44"/>
      <c r="OYH50" s="44"/>
      <c r="OYI50" s="44"/>
      <c r="OYJ50" s="44"/>
      <c r="OYK50" s="44"/>
      <c r="OYL50" s="44"/>
      <c r="OYM50" s="44"/>
      <c r="OYN50" s="44"/>
      <c r="OYO50" s="44"/>
      <c r="OYP50" s="44"/>
      <c r="OYQ50" s="44"/>
      <c r="OYR50" s="44"/>
      <c r="OYS50" s="44"/>
      <c r="OYT50" s="44"/>
      <c r="OYU50" s="44"/>
      <c r="OYV50" s="44"/>
      <c r="OYW50" s="44"/>
      <c r="OYX50" s="44"/>
      <c r="OYY50" s="44"/>
      <c r="OYZ50" s="44"/>
      <c r="OZA50" s="44"/>
      <c r="OZB50" s="44"/>
      <c r="OZC50" s="44"/>
      <c r="OZD50" s="44"/>
      <c r="OZE50" s="44"/>
      <c r="OZF50" s="44"/>
      <c r="OZG50" s="44"/>
      <c r="OZH50" s="44"/>
      <c r="OZI50" s="44"/>
      <c r="OZJ50" s="44"/>
      <c r="OZK50" s="44"/>
      <c r="OZL50" s="44"/>
      <c r="OZM50" s="44"/>
      <c r="OZN50" s="44"/>
      <c r="OZO50" s="44"/>
      <c r="OZP50" s="44"/>
      <c r="OZQ50" s="44"/>
      <c r="OZR50" s="44"/>
      <c r="OZS50" s="44"/>
      <c r="OZT50" s="44"/>
      <c r="OZU50" s="44"/>
      <c r="OZV50" s="44"/>
      <c r="OZW50" s="44"/>
      <c r="OZX50" s="44"/>
      <c r="OZY50" s="44"/>
      <c r="OZZ50" s="44"/>
      <c r="PAA50" s="44"/>
      <c r="PAB50" s="44"/>
      <c r="PAC50" s="44"/>
      <c r="PAD50" s="44"/>
      <c r="PAE50" s="44"/>
      <c r="PAF50" s="44"/>
      <c r="PAG50" s="44"/>
      <c r="PAH50" s="44"/>
      <c r="PAI50" s="44"/>
      <c r="PAJ50" s="44"/>
      <c r="PAK50" s="44"/>
      <c r="PAL50" s="44"/>
      <c r="PAM50" s="44"/>
      <c r="PAN50" s="44"/>
      <c r="PAO50" s="44"/>
      <c r="PAP50" s="44"/>
      <c r="PAQ50" s="44"/>
      <c r="PAR50" s="44"/>
      <c r="PAS50" s="44"/>
      <c r="PAT50" s="44"/>
      <c r="PAU50" s="44"/>
      <c r="PAV50" s="44"/>
      <c r="PAW50" s="44"/>
      <c r="PAX50" s="44"/>
      <c r="PAY50" s="44"/>
      <c r="PAZ50" s="44"/>
      <c r="PBA50" s="44"/>
      <c r="PBB50" s="44"/>
      <c r="PBC50" s="44"/>
      <c r="PBD50" s="44"/>
      <c r="PBE50" s="44"/>
      <c r="PBF50" s="44"/>
      <c r="PBG50" s="44"/>
      <c r="PBH50" s="44"/>
      <c r="PBI50" s="44"/>
      <c r="PBJ50" s="44"/>
      <c r="PBK50" s="44"/>
      <c r="PBL50" s="44"/>
      <c r="PBM50" s="44"/>
      <c r="PBN50" s="44"/>
      <c r="PBO50" s="44"/>
      <c r="PBP50" s="44"/>
      <c r="PBQ50" s="44"/>
      <c r="PBR50" s="44"/>
      <c r="PBS50" s="44"/>
      <c r="PBT50" s="44"/>
      <c r="PBU50" s="44"/>
      <c r="PBV50" s="44"/>
      <c r="PBW50" s="44"/>
      <c r="PBX50" s="44"/>
      <c r="PBY50" s="44"/>
      <c r="PBZ50" s="44"/>
      <c r="PCA50" s="44"/>
      <c r="PCB50" s="44"/>
      <c r="PCC50" s="44"/>
      <c r="PCD50" s="44"/>
      <c r="PCE50" s="44"/>
      <c r="PCF50" s="44"/>
      <c r="PCG50" s="44"/>
      <c r="PCH50" s="44"/>
      <c r="PCI50" s="44"/>
      <c r="PCJ50" s="44"/>
      <c r="PCK50" s="44"/>
      <c r="PCL50" s="44"/>
      <c r="PCM50" s="44"/>
      <c r="PCN50" s="44"/>
      <c r="PCO50" s="44"/>
      <c r="PCP50" s="44"/>
      <c r="PCQ50" s="44"/>
      <c r="PCR50" s="44"/>
      <c r="PCS50" s="44"/>
      <c r="PCT50" s="44"/>
      <c r="PCU50" s="44"/>
      <c r="PCV50" s="44"/>
      <c r="PCW50" s="44"/>
      <c r="PCX50" s="44"/>
      <c r="PCY50" s="44"/>
      <c r="PCZ50" s="44"/>
      <c r="PDA50" s="44"/>
      <c r="PDB50" s="44"/>
      <c r="PDC50" s="44"/>
      <c r="PDD50" s="44"/>
      <c r="PDE50" s="44"/>
      <c r="PDF50" s="44"/>
      <c r="PDG50" s="44"/>
      <c r="PDH50" s="44"/>
      <c r="PDI50" s="44"/>
      <c r="PDJ50" s="44"/>
      <c r="PDK50" s="44"/>
      <c r="PDL50" s="44"/>
      <c r="PDM50" s="44"/>
      <c r="PDN50" s="44"/>
      <c r="PDO50" s="44"/>
      <c r="PDP50" s="44"/>
      <c r="PDQ50" s="44"/>
      <c r="PDR50" s="44"/>
      <c r="PDS50" s="44"/>
      <c r="PDT50" s="44"/>
      <c r="PDU50" s="44"/>
      <c r="PDV50" s="44"/>
      <c r="PDW50" s="44"/>
      <c r="PDX50" s="44"/>
      <c r="PDY50" s="44"/>
      <c r="PDZ50" s="44"/>
      <c r="PEA50" s="44"/>
      <c r="PEB50" s="44"/>
      <c r="PEC50" s="44"/>
      <c r="PED50" s="44"/>
      <c r="PEE50" s="44"/>
      <c r="PEF50" s="44"/>
      <c r="PEG50" s="44"/>
      <c r="PEH50" s="44"/>
      <c r="PEI50" s="44"/>
      <c r="PEJ50" s="44"/>
      <c r="PEK50" s="44"/>
      <c r="PEL50" s="44"/>
      <c r="PEM50" s="44"/>
      <c r="PEN50" s="44"/>
      <c r="PEO50" s="44"/>
      <c r="PEP50" s="44"/>
      <c r="PEQ50" s="44"/>
      <c r="PER50" s="44"/>
      <c r="PES50" s="44"/>
      <c r="PET50" s="44"/>
      <c r="PEU50" s="44"/>
      <c r="PEV50" s="44"/>
      <c r="PEW50" s="44"/>
      <c r="PEX50" s="44"/>
      <c r="PEY50" s="44"/>
      <c r="PEZ50" s="44"/>
      <c r="PFA50" s="44"/>
      <c r="PFB50" s="44"/>
      <c r="PFC50" s="44"/>
      <c r="PFD50" s="44"/>
      <c r="PFE50" s="44"/>
      <c r="PFF50" s="44"/>
      <c r="PFG50" s="44"/>
      <c r="PFH50" s="44"/>
      <c r="PFI50" s="44"/>
      <c r="PFJ50" s="44"/>
      <c r="PFK50" s="44"/>
      <c r="PFL50" s="44"/>
      <c r="PFM50" s="44"/>
      <c r="PFN50" s="44"/>
      <c r="PFO50" s="44"/>
      <c r="PFP50" s="44"/>
      <c r="PFQ50" s="44"/>
      <c r="PFR50" s="44"/>
      <c r="PFS50" s="44"/>
      <c r="PFT50" s="44"/>
      <c r="PFU50" s="44"/>
      <c r="PFV50" s="44"/>
      <c r="PFW50" s="44"/>
      <c r="PFX50" s="44"/>
      <c r="PFY50" s="44"/>
      <c r="PFZ50" s="44"/>
      <c r="PGA50" s="44"/>
      <c r="PGB50" s="44"/>
      <c r="PGC50" s="44"/>
      <c r="PGD50" s="44"/>
      <c r="PGE50" s="44"/>
      <c r="PGF50" s="44"/>
      <c r="PGG50" s="44"/>
      <c r="PGH50" s="44"/>
      <c r="PGI50" s="44"/>
      <c r="PGJ50" s="44"/>
      <c r="PGK50" s="44"/>
      <c r="PGL50" s="44"/>
      <c r="PGM50" s="44"/>
      <c r="PGN50" s="44"/>
      <c r="PGO50" s="44"/>
      <c r="PGP50" s="44"/>
      <c r="PGQ50" s="44"/>
      <c r="PGR50" s="44"/>
      <c r="PGS50" s="44"/>
      <c r="PGT50" s="44"/>
      <c r="PGU50" s="44"/>
      <c r="PGV50" s="44"/>
      <c r="PGW50" s="44"/>
      <c r="PGX50" s="44"/>
      <c r="PGY50" s="44"/>
      <c r="PGZ50" s="44"/>
      <c r="PHA50" s="44"/>
      <c r="PHB50" s="44"/>
      <c r="PHC50" s="44"/>
      <c r="PHD50" s="44"/>
      <c r="PHE50" s="44"/>
      <c r="PHF50" s="44"/>
      <c r="PHG50" s="44"/>
      <c r="PHH50" s="44"/>
      <c r="PHI50" s="44"/>
      <c r="PHJ50" s="44"/>
      <c r="PHK50" s="44"/>
      <c r="PHL50" s="44"/>
      <c r="PHM50" s="44"/>
      <c r="PHN50" s="44"/>
      <c r="PHO50" s="44"/>
      <c r="PHP50" s="44"/>
      <c r="PHQ50" s="44"/>
      <c r="PHR50" s="44"/>
      <c r="PHS50" s="44"/>
      <c r="PHT50" s="44"/>
      <c r="PHU50" s="44"/>
      <c r="PHV50" s="44"/>
      <c r="PHW50" s="44"/>
      <c r="PHX50" s="44"/>
      <c r="PHY50" s="44"/>
      <c r="PHZ50" s="44"/>
      <c r="PIA50" s="44"/>
      <c r="PIB50" s="44"/>
      <c r="PIC50" s="44"/>
      <c r="PID50" s="44"/>
      <c r="PIE50" s="44"/>
      <c r="PIF50" s="44"/>
      <c r="PIG50" s="44"/>
      <c r="PIH50" s="44"/>
      <c r="PII50" s="44"/>
      <c r="PIJ50" s="44"/>
      <c r="PIK50" s="44"/>
      <c r="PIL50" s="44"/>
      <c r="PIM50" s="44"/>
      <c r="PIN50" s="44"/>
      <c r="PIO50" s="44"/>
      <c r="PIP50" s="44"/>
      <c r="PIQ50" s="44"/>
      <c r="PIR50" s="44"/>
      <c r="PIS50" s="44"/>
      <c r="PIT50" s="44"/>
      <c r="PIU50" s="44"/>
      <c r="PIV50" s="44"/>
      <c r="PIW50" s="44"/>
      <c r="PIX50" s="44"/>
      <c r="PIY50" s="44"/>
      <c r="PIZ50" s="44"/>
      <c r="PJA50" s="44"/>
      <c r="PJB50" s="44"/>
      <c r="PJC50" s="44"/>
      <c r="PJD50" s="44"/>
      <c r="PJE50" s="44"/>
      <c r="PJF50" s="44"/>
      <c r="PJG50" s="44"/>
      <c r="PJH50" s="44"/>
      <c r="PJI50" s="44"/>
      <c r="PJJ50" s="44"/>
      <c r="PJK50" s="44"/>
      <c r="PJL50" s="44"/>
      <c r="PJM50" s="44"/>
      <c r="PJN50" s="44"/>
      <c r="PJO50" s="44"/>
      <c r="PJP50" s="44"/>
      <c r="PJQ50" s="44"/>
      <c r="PJR50" s="44"/>
      <c r="PJS50" s="44"/>
      <c r="PJT50" s="44"/>
      <c r="PJU50" s="44"/>
      <c r="PJV50" s="44"/>
      <c r="PJW50" s="44"/>
      <c r="PJX50" s="44"/>
      <c r="PJY50" s="44"/>
      <c r="PJZ50" s="44"/>
      <c r="PKA50" s="44"/>
      <c r="PKB50" s="44"/>
      <c r="PKC50" s="44"/>
      <c r="PKD50" s="44"/>
      <c r="PKE50" s="44"/>
      <c r="PKF50" s="44"/>
      <c r="PKG50" s="44"/>
      <c r="PKH50" s="44"/>
      <c r="PKI50" s="44"/>
      <c r="PKJ50" s="44"/>
      <c r="PKK50" s="44"/>
      <c r="PKL50" s="44"/>
      <c r="PKM50" s="44"/>
      <c r="PKN50" s="44"/>
      <c r="PKO50" s="44"/>
      <c r="PKP50" s="44"/>
      <c r="PKQ50" s="44"/>
      <c r="PKR50" s="44"/>
      <c r="PKS50" s="44"/>
      <c r="PKT50" s="44"/>
      <c r="PKU50" s="44"/>
      <c r="PKV50" s="44"/>
      <c r="PKW50" s="44"/>
      <c r="PKX50" s="44"/>
      <c r="PKY50" s="44"/>
      <c r="PKZ50" s="44"/>
      <c r="PLA50" s="44"/>
      <c r="PLB50" s="44"/>
      <c r="PLC50" s="44"/>
      <c r="PLD50" s="44"/>
      <c r="PLE50" s="44"/>
      <c r="PLF50" s="44"/>
      <c r="PLG50" s="44"/>
      <c r="PLH50" s="44"/>
      <c r="PLI50" s="44"/>
      <c r="PLJ50" s="44"/>
      <c r="PLK50" s="44"/>
      <c r="PLL50" s="44"/>
      <c r="PLM50" s="44"/>
      <c r="PLN50" s="44"/>
      <c r="PLO50" s="44"/>
      <c r="PLP50" s="44"/>
      <c r="PLQ50" s="44"/>
      <c r="PLR50" s="44"/>
      <c r="PLS50" s="44"/>
      <c r="PLT50" s="44"/>
      <c r="PLU50" s="44"/>
      <c r="PLV50" s="44"/>
      <c r="PLW50" s="44"/>
      <c r="PLX50" s="44"/>
      <c r="PLY50" s="44"/>
      <c r="PLZ50" s="44"/>
      <c r="PMA50" s="44"/>
      <c r="PMB50" s="44"/>
      <c r="PMC50" s="44"/>
      <c r="PMD50" s="44"/>
      <c r="PME50" s="44"/>
      <c r="PMF50" s="44"/>
      <c r="PMG50" s="44"/>
      <c r="PMH50" s="44"/>
      <c r="PMI50" s="44"/>
      <c r="PMJ50" s="44"/>
      <c r="PMK50" s="44"/>
      <c r="PML50" s="44"/>
      <c r="PMM50" s="44"/>
      <c r="PMN50" s="44"/>
      <c r="PMO50" s="44"/>
      <c r="PMP50" s="44"/>
      <c r="PMQ50" s="44"/>
      <c r="PMR50" s="44"/>
      <c r="PMS50" s="44"/>
      <c r="PMT50" s="44"/>
      <c r="PMU50" s="44"/>
      <c r="PMV50" s="44"/>
      <c r="PMW50" s="44"/>
      <c r="PMX50" s="44"/>
      <c r="PMY50" s="44"/>
      <c r="PMZ50" s="44"/>
      <c r="PNA50" s="44"/>
      <c r="PNB50" s="44"/>
      <c r="PNC50" s="44"/>
      <c r="PND50" s="44"/>
      <c r="PNE50" s="44"/>
      <c r="PNF50" s="44"/>
      <c r="PNG50" s="44"/>
      <c r="PNH50" s="44"/>
      <c r="PNI50" s="44"/>
      <c r="PNJ50" s="44"/>
      <c r="PNK50" s="44"/>
      <c r="PNL50" s="44"/>
      <c r="PNM50" s="44"/>
      <c r="PNN50" s="44"/>
      <c r="PNO50" s="44"/>
      <c r="PNP50" s="44"/>
      <c r="PNQ50" s="44"/>
      <c r="PNR50" s="44"/>
      <c r="PNS50" s="44"/>
      <c r="PNT50" s="44"/>
      <c r="PNU50" s="44"/>
      <c r="PNV50" s="44"/>
      <c r="PNW50" s="44"/>
      <c r="PNX50" s="44"/>
      <c r="PNY50" s="44"/>
      <c r="PNZ50" s="44"/>
      <c r="POA50" s="44"/>
      <c r="POB50" s="44"/>
      <c r="POC50" s="44"/>
      <c r="POD50" s="44"/>
      <c r="POE50" s="44"/>
      <c r="POF50" s="44"/>
      <c r="POG50" s="44"/>
      <c r="POH50" s="44"/>
      <c r="POI50" s="44"/>
      <c r="POJ50" s="44"/>
      <c r="POK50" s="44"/>
      <c r="POL50" s="44"/>
      <c r="POM50" s="44"/>
      <c r="PON50" s="44"/>
      <c r="POO50" s="44"/>
      <c r="POP50" s="44"/>
      <c r="POQ50" s="44"/>
      <c r="POR50" s="44"/>
      <c r="POS50" s="44"/>
      <c r="POT50" s="44"/>
      <c r="POU50" s="44"/>
      <c r="POV50" s="44"/>
      <c r="POW50" s="44"/>
      <c r="POX50" s="44"/>
      <c r="POY50" s="44"/>
      <c r="POZ50" s="44"/>
      <c r="PPA50" s="44"/>
      <c r="PPB50" s="44"/>
      <c r="PPC50" s="44"/>
      <c r="PPD50" s="44"/>
      <c r="PPE50" s="44"/>
      <c r="PPF50" s="44"/>
      <c r="PPG50" s="44"/>
      <c r="PPH50" s="44"/>
      <c r="PPI50" s="44"/>
      <c r="PPJ50" s="44"/>
      <c r="PPK50" s="44"/>
      <c r="PPL50" s="44"/>
      <c r="PPM50" s="44"/>
      <c r="PPN50" s="44"/>
      <c r="PPO50" s="44"/>
      <c r="PPP50" s="44"/>
      <c r="PPQ50" s="44"/>
      <c r="PPR50" s="44"/>
      <c r="PPS50" s="44"/>
      <c r="PPT50" s="44"/>
      <c r="PPU50" s="44"/>
      <c r="PPV50" s="44"/>
      <c r="PPW50" s="44"/>
      <c r="PPX50" s="44"/>
      <c r="PPY50" s="44"/>
      <c r="PPZ50" s="44"/>
      <c r="PQA50" s="44"/>
      <c r="PQB50" s="44"/>
      <c r="PQC50" s="44"/>
      <c r="PQD50" s="44"/>
      <c r="PQE50" s="44"/>
      <c r="PQF50" s="44"/>
      <c r="PQG50" s="44"/>
      <c r="PQH50" s="44"/>
      <c r="PQI50" s="44"/>
      <c r="PQJ50" s="44"/>
      <c r="PQK50" s="44"/>
      <c r="PQL50" s="44"/>
      <c r="PQM50" s="44"/>
      <c r="PQN50" s="44"/>
      <c r="PQO50" s="44"/>
      <c r="PQP50" s="44"/>
      <c r="PQQ50" s="44"/>
      <c r="PQR50" s="44"/>
      <c r="PQS50" s="44"/>
      <c r="PQT50" s="44"/>
      <c r="PQU50" s="44"/>
      <c r="PQV50" s="44"/>
      <c r="PQW50" s="44"/>
      <c r="PQX50" s="44"/>
      <c r="PQY50" s="44"/>
      <c r="PQZ50" s="44"/>
      <c r="PRA50" s="44"/>
      <c r="PRB50" s="44"/>
      <c r="PRC50" s="44"/>
      <c r="PRD50" s="44"/>
      <c r="PRE50" s="44"/>
      <c r="PRF50" s="44"/>
      <c r="PRG50" s="44"/>
      <c r="PRH50" s="44"/>
      <c r="PRI50" s="44"/>
      <c r="PRJ50" s="44"/>
      <c r="PRK50" s="44"/>
      <c r="PRL50" s="44"/>
      <c r="PRM50" s="44"/>
      <c r="PRN50" s="44"/>
      <c r="PRO50" s="44"/>
      <c r="PRP50" s="44"/>
      <c r="PRQ50" s="44"/>
      <c r="PRR50" s="44"/>
      <c r="PRS50" s="44"/>
      <c r="PRT50" s="44"/>
      <c r="PRU50" s="44"/>
      <c r="PRV50" s="44"/>
      <c r="PRW50" s="44"/>
      <c r="PRX50" s="44"/>
      <c r="PRY50" s="44"/>
      <c r="PRZ50" s="44"/>
      <c r="PSA50" s="44"/>
      <c r="PSB50" s="44"/>
      <c r="PSC50" s="44"/>
      <c r="PSD50" s="44"/>
      <c r="PSE50" s="44"/>
      <c r="PSF50" s="44"/>
      <c r="PSG50" s="44"/>
      <c r="PSH50" s="44"/>
      <c r="PSI50" s="44"/>
      <c r="PSJ50" s="44"/>
      <c r="PSK50" s="44"/>
      <c r="PSL50" s="44"/>
      <c r="PSM50" s="44"/>
      <c r="PSN50" s="44"/>
      <c r="PSO50" s="44"/>
      <c r="PSP50" s="44"/>
      <c r="PSQ50" s="44"/>
      <c r="PSR50" s="44"/>
      <c r="PSS50" s="44"/>
      <c r="PST50" s="44"/>
      <c r="PSU50" s="44"/>
      <c r="PSV50" s="44"/>
      <c r="PSW50" s="44"/>
      <c r="PSX50" s="44"/>
      <c r="PSY50" s="44"/>
      <c r="PSZ50" s="44"/>
      <c r="PTA50" s="44"/>
      <c r="PTB50" s="44"/>
      <c r="PTC50" s="44"/>
      <c r="PTD50" s="44"/>
      <c r="PTE50" s="44"/>
      <c r="PTF50" s="44"/>
      <c r="PTG50" s="44"/>
      <c r="PTH50" s="44"/>
      <c r="PTI50" s="44"/>
      <c r="PTJ50" s="44"/>
      <c r="PTK50" s="44"/>
      <c r="PTL50" s="44"/>
      <c r="PTM50" s="44"/>
      <c r="PTN50" s="44"/>
      <c r="PTO50" s="44"/>
      <c r="PTP50" s="44"/>
      <c r="PTQ50" s="44"/>
      <c r="PTR50" s="44"/>
      <c r="PTS50" s="44"/>
      <c r="PTT50" s="44"/>
      <c r="PTU50" s="44"/>
      <c r="PTV50" s="44"/>
      <c r="PTW50" s="44"/>
      <c r="PTX50" s="44"/>
      <c r="PTY50" s="44"/>
      <c r="PTZ50" s="44"/>
      <c r="PUA50" s="44"/>
      <c r="PUB50" s="44"/>
      <c r="PUC50" s="44"/>
      <c r="PUD50" s="44"/>
      <c r="PUE50" s="44"/>
      <c r="PUF50" s="44"/>
      <c r="PUG50" s="44"/>
      <c r="PUH50" s="44"/>
      <c r="PUI50" s="44"/>
      <c r="PUJ50" s="44"/>
      <c r="PUK50" s="44"/>
      <c r="PUL50" s="44"/>
      <c r="PUM50" s="44"/>
      <c r="PUN50" s="44"/>
      <c r="PUO50" s="44"/>
      <c r="PUP50" s="44"/>
      <c r="PUQ50" s="44"/>
      <c r="PUR50" s="44"/>
      <c r="PUS50" s="44"/>
      <c r="PUT50" s="44"/>
      <c r="PUU50" s="44"/>
      <c r="PUV50" s="44"/>
      <c r="PUW50" s="44"/>
      <c r="PUX50" s="44"/>
      <c r="PUY50" s="44"/>
      <c r="PUZ50" s="44"/>
      <c r="PVA50" s="44"/>
      <c r="PVB50" s="44"/>
      <c r="PVC50" s="44"/>
      <c r="PVD50" s="44"/>
      <c r="PVE50" s="44"/>
      <c r="PVF50" s="44"/>
      <c r="PVG50" s="44"/>
      <c r="PVH50" s="44"/>
      <c r="PVI50" s="44"/>
      <c r="PVJ50" s="44"/>
      <c r="PVK50" s="44"/>
      <c r="PVL50" s="44"/>
      <c r="PVM50" s="44"/>
      <c r="PVN50" s="44"/>
      <c r="PVO50" s="44"/>
      <c r="PVP50" s="44"/>
      <c r="PVQ50" s="44"/>
      <c r="PVR50" s="44"/>
      <c r="PVS50" s="44"/>
      <c r="PVT50" s="44"/>
      <c r="PVU50" s="44"/>
      <c r="PVV50" s="44"/>
      <c r="PVW50" s="44"/>
      <c r="PVX50" s="44"/>
      <c r="PVY50" s="44"/>
      <c r="PVZ50" s="44"/>
      <c r="PWA50" s="44"/>
      <c r="PWB50" s="44"/>
      <c r="PWC50" s="44"/>
      <c r="PWD50" s="44"/>
      <c r="PWE50" s="44"/>
      <c r="PWF50" s="44"/>
      <c r="PWG50" s="44"/>
      <c r="PWH50" s="44"/>
      <c r="PWI50" s="44"/>
      <c r="PWJ50" s="44"/>
      <c r="PWK50" s="44"/>
      <c r="PWL50" s="44"/>
      <c r="PWM50" s="44"/>
      <c r="PWN50" s="44"/>
      <c r="PWO50" s="44"/>
      <c r="PWP50" s="44"/>
      <c r="PWQ50" s="44"/>
      <c r="PWR50" s="44"/>
      <c r="PWS50" s="44"/>
      <c r="PWT50" s="44"/>
      <c r="PWU50" s="44"/>
      <c r="PWV50" s="44"/>
      <c r="PWW50" s="44"/>
      <c r="PWX50" s="44"/>
      <c r="PWY50" s="44"/>
      <c r="PWZ50" s="44"/>
      <c r="PXA50" s="44"/>
      <c r="PXB50" s="44"/>
      <c r="PXC50" s="44"/>
      <c r="PXD50" s="44"/>
      <c r="PXE50" s="44"/>
      <c r="PXF50" s="44"/>
      <c r="PXG50" s="44"/>
      <c r="PXH50" s="44"/>
      <c r="PXI50" s="44"/>
      <c r="PXJ50" s="44"/>
      <c r="PXK50" s="44"/>
      <c r="PXL50" s="44"/>
      <c r="PXM50" s="44"/>
      <c r="PXN50" s="44"/>
      <c r="PXO50" s="44"/>
      <c r="PXP50" s="44"/>
      <c r="PXQ50" s="44"/>
      <c r="PXR50" s="44"/>
      <c r="PXS50" s="44"/>
      <c r="PXT50" s="44"/>
      <c r="PXU50" s="44"/>
      <c r="PXV50" s="44"/>
      <c r="PXW50" s="44"/>
      <c r="PXX50" s="44"/>
      <c r="PXY50" s="44"/>
      <c r="PXZ50" s="44"/>
      <c r="PYA50" s="44"/>
      <c r="PYB50" s="44"/>
      <c r="PYC50" s="44"/>
      <c r="PYD50" s="44"/>
      <c r="PYE50" s="44"/>
      <c r="PYF50" s="44"/>
      <c r="PYG50" s="44"/>
      <c r="PYH50" s="44"/>
      <c r="PYI50" s="44"/>
      <c r="PYJ50" s="44"/>
      <c r="PYK50" s="44"/>
      <c r="PYL50" s="44"/>
      <c r="PYM50" s="44"/>
      <c r="PYN50" s="44"/>
      <c r="PYO50" s="44"/>
      <c r="PYP50" s="44"/>
      <c r="PYQ50" s="44"/>
      <c r="PYR50" s="44"/>
      <c r="PYS50" s="44"/>
      <c r="PYT50" s="44"/>
      <c r="PYU50" s="44"/>
      <c r="PYV50" s="44"/>
      <c r="PYW50" s="44"/>
      <c r="PYX50" s="44"/>
      <c r="PYY50" s="44"/>
      <c r="PYZ50" s="44"/>
      <c r="PZA50" s="44"/>
      <c r="PZB50" s="44"/>
      <c r="PZC50" s="44"/>
      <c r="PZD50" s="44"/>
      <c r="PZE50" s="44"/>
      <c r="PZF50" s="44"/>
      <c r="PZG50" s="44"/>
      <c r="PZH50" s="44"/>
      <c r="PZI50" s="44"/>
      <c r="PZJ50" s="44"/>
      <c r="PZK50" s="44"/>
      <c r="PZL50" s="44"/>
      <c r="PZM50" s="44"/>
      <c r="PZN50" s="44"/>
      <c r="PZO50" s="44"/>
      <c r="PZP50" s="44"/>
      <c r="PZQ50" s="44"/>
      <c r="PZR50" s="44"/>
      <c r="PZS50" s="44"/>
      <c r="PZT50" s="44"/>
      <c r="PZU50" s="44"/>
      <c r="PZV50" s="44"/>
      <c r="PZW50" s="44"/>
      <c r="PZX50" s="44"/>
      <c r="PZY50" s="44"/>
      <c r="PZZ50" s="44"/>
      <c r="QAA50" s="44"/>
      <c r="QAB50" s="44"/>
      <c r="QAC50" s="44"/>
      <c r="QAD50" s="44"/>
      <c r="QAE50" s="44"/>
      <c r="QAF50" s="44"/>
      <c r="QAG50" s="44"/>
      <c r="QAH50" s="44"/>
      <c r="QAI50" s="44"/>
      <c r="QAJ50" s="44"/>
      <c r="QAK50" s="44"/>
      <c r="QAL50" s="44"/>
      <c r="QAM50" s="44"/>
      <c r="QAN50" s="44"/>
      <c r="QAO50" s="44"/>
      <c r="QAP50" s="44"/>
      <c r="QAQ50" s="44"/>
      <c r="QAR50" s="44"/>
      <c r="QAS50" s="44"/>
      <c r="QAT50" s="44"/>
      <c r="QAU50" s="44"/>
      <c r="QAV50" s="44"/>
      <c r="QAW50" s="44"/>
      <c r="QAX50" s="44"/>
      <c r="QAY50" s="44"/>
      <c r="QAZ50" s="44"/>
      <c r="QBA50" s="44"/>
      <c r="QBB50" s="44"/>
      <c r="QBC50" s="44"/>
      <c r="QBD50" s="44"/>
      <c r="QBE50" s="44"/>
      <c r="QBF50" s="44"/>
      <c r="QBG50" s="44"/>
      <c r="QBH50" s="44"/>
      <c r="QBI50" s="44"/>
      <c r="QBJ50" s="44"/>
      <c r="QBK50" s="44"/>
      <c r="QBL50" s="44"/>
      <c r="QBM50" s="44"/>
      <c r="QBN50" s="44"/>
      <c r="QBO50" s="44"/>
      <c r="QBP50" s="44"/>
      <c r="QBQ50" s="44"/>
      <c r="QBR50" s="44"/>
      <c r="QBS50" s="44"/>
      <c r="QBT50" s="44"/>
      <c r="QBU50" s="44"/>
      <c r="QBV50" s="44"/>
      <c r="QBW50" s="44"/>
      <c r="QBX50" s="44"/>
      <c r="QBY50" s="44"/>
      <c r="QBZ50" s="44"/>
      <c r="QCA50" s="44"/>
      <c r="QCB50" s="44"/>
      <c r="QCC50" s="44"/>
      <c r="QCD50" s="44"/>
      <c r="QCE50" s="44"/>
      <c r="QCF50" s="44"/>
      <c r="QCG50" s="44"/>
      <c r="QCH50" s="44"/>
      <c r="QCI50" s="44"/>
      <c r="QCJ50" s="44"/>
      <c r="QCK50" s="44"/>
      <c r="QCL50" s="44"/>
      <c r="QCM50" s="44"/>
      <c r="QCN50" s="44"/>
      <c r="QCO50" s="44"/>
      <c r="QCP50" s="44"/>
      <c r="QCQ50" s="44"/>
      <c r="QCR50" s="44"/>
      <c r="QCS50" s="44"/>
      <c r="QCT50" s="44"/>
      <c r="QCU50" s="44"/>
      <c r="QCV50" s="44"/>
      <c r="QCW50" s="44"/>
      <c r="QCX50" s="44"/>
      <c r="QCY50" s="44"/>
      <c r="QCZ50" s="44"/>
      <c r="QDA50" s="44"/>
      <c r="QDB50" s="44"/>
      <c r="QDC50" s="44"/>
      <c r="QDD50" s="44"/>
      <c r="QDE50" s="44"/>
      <c r="QDF50" s="44"/>
      <c r="QDG50" s="44"/>
      <c r="QDH50" s="44"/>
      <c r="QDI50" s="44"/>
      <c r="QDJ50" s="44"/>
      <c r="QDK50" s="44"/>
      <c r="QDL50" s="44"/>
      <c r="QDM50" s="44"/>
      <c r="QDN50" s="44"/>
      <c r="QDO50" s="44"/>
      <c r="QDP50" s="44"/>
      <c r="QDQ50" s="44"/>
      <c r="QDR50" s="44"/>
      <c r="QDS50" s="44"/>
      <c r="QDT50" s="44"/>
      <c r="QDU50" s="44"/>
      <c r="QDV50" s="44"/>
      <c r="QDW50" s="44"/>
      <c r="QDX50" s="44"/>
      <c r="QDY50" s="44"/>
      <c r="QDZ50" s="44"/>
      <c r="QEA50" s="44"/>
      <c r="QEB50" s="44"/>
      <c r="QEC50" s="44"/>
      <c r="QED50" s="44"/>
      <c r="QEE50" s="44"/>
      <c r="QEF50" s="44"/>
      <c r="QEG50" s="44"/>
      <c r="QEH50" s="44"/>
      <c r="QEI50" s="44"/>
      <c r="QEJ50" s="44"/>
      <c r="QEK50" s="44"/>
      <c r="QEL50" s="44"/>
      <c r="QEM50" s="44"/>
      <c r="QEN50" s="44"/>
      <c r="QEO50" s="44"/>
      <c r="QEP50" s="44"/>
      <c r="QEQ50" s="44"/>
      <c r="QER50" s="44"/>
      <c r="QES50" s="44"/>
      <c r="QET50" s="44"/>
      <c r="QEU50" s="44"/>
      <c r="QEV50" s="44"/>
      <c r="QEW50" s="44"/>
      <c r="QEX50" s="44"/>
      <c r="QEY50" s="44"/>
      <c r="QEZ50" s="44"/>
      <c r="QFA50" s="44"/>
      <c r="QFB50" s="44"/>
      <c r="QFC50" s="44"/>
      <c r="QFD50" s="44"/>
      <c r="QFE50" s="44"/>
      <c r="QFF50" s="44"/>
      <c r="QFG50" s="44"/>
      <c r="QFH50" s="44"/>
      <c r="QFI50" s="44"/>
      <c r="QFJ50" s="44"/>
      <c r="QFK50" s="44"/>
      <c r="QFL50" s="44"/>
      <c r="QFM50" s="44"/>
      <c r="QFN50" s="44"/>
      <c r="QFO50" s="44"/>
      <c r="QFP50" s="44"/>
      <c r="QFQ50" s="44"/>
      <c r="QFR50" s="44"/>
      <c r="QFS50" s="44"/>
      <c r="QFT50" s="44"/>
      <c r="QFU50" s="44"/>
      <c r="QFV50" s="44"/>
      <c r="QFW50" s="44"/>
      <c r="QFX50" s="44"/>
      <c r="QFY50" s="44"/>
      <c r="QFZ50" s="44"/>
      <c r="QGA50" s="44"/>
      <c r="QGB50" s="44"/>
      <c r="QGC50" s="44"/>
      <c r="QGD50" s="44"/>
      <c r="QGE50" s="44"/>
      <c r="QGF50" s="44"/>
      <c r="QGG50" s="44"/>
      <c r="QGH50" s="44"/>
      <c r="QGI50" s="44"/>
      <c r="QGJ50" s="44"/>
      <c r="QGK50" s="44"/>
      <c r="QGL50" s="44"/>
      <c r="QGM50" s="44"/>
      <c r="QGN50" s="44"/>
      <c r="QGO50" s="44"/>
      <c r="QGP50" s="44"/>
      <c r="QGQ50" s="44"/>
      <c r="QGR50" s="44"/>
      <c r="QGS50" s="44"/>
      <c r="QGT50" s="44"/>
      <c r="QGU50" s="44"/>
      <c r="QGV50" s="44"/>
      <c r="QGW50" s="44"/>
      <c r="QGX50" s="44"/>
      <c r="QGY50" s="44"/>
      <c r="QGZ50" s="44"/>
      <c r="QHA50" s="44"/>
      <c r="QHB50" s="44"/>
      <c r="QHC50" s="44"/>
      <c r="QHD50" s="44"/>
      <c r="QHE50" s="44"/>
      <c r="QHF50" s="44"/>
      <c r="QHG50" s="44"/>
      <c r="QHH50" s="44"/>
      <c r="QHI50" s="44"/>
      <c r="QHJ50" s="44"/>
      <c r="QHK50" s="44"/>
      <c r="QHL50" s="44"/>
      <c r="QHM50" s="44"/>
      <c r="QHN50" s="44"/>
      <c r="QHO50" s="44"/>
      <c r="QHP50" s="44"/>
      <c r="QHQ50" s="44"/>
      <c r="QHR50" s="44"/>
      <c r="QHS50" s="44"/>
      <c r="QHT50" s="44"/>
      <c r="QHU50" s="44"/>
      <c r="QHV50" s="44"/>
      <c r="QHW50" s="44"/>
      <c r="QHX50" s="44"/>
      <c r="QHY50" s="44"/>
      <c r="QHZ50" s="44"/>
      <c r="QIA50" s="44"/>
      <c r="QIB50" s="44"/>
      <c r="QIC50" s="44"/>
      <c r="QID50" s="44"/>
      <c r="QIE50" s="44"/>
      <c r="QIF50" s="44"/>
      <c r="QIG50" s="44"/>
      <c r="QIH50" s="44"/>
      <c r="QII50" s="44"/>
      <c r="QIJ50" s="44"/>
      <c r="QIK50" s="44"/>
      <c r="QIL50" s="44"/>
      <c r="QIM50" s="44"/>
      <c r="QIN50" s="44"/>
      <c r="QIO50" s="44"/>
      <c r="QIP50" s="44"/>
      <c r="QIQ50" s="44"/>
      <c r="QIR50" s="44"/>
      <c r="QIS50" s="44"/>
      <c r="QIT50" s="44"/>
      <c r="QIU50" s="44"/>
      <c r="QIV50" s="44"/>
      <c r="QIW50" s="44"/>
      <c r="QIX50" s="44"/>
      <c r="QIY50" s="44"/>
      <c r="QIZ50" s="44"/>
      <c r="QJA50" s="44"/>
      <c r="QJB50" s="44"/>
      <c r="QJC50" s="44"/>
      <c r="QJD50" s="44"/>
      <c r="QJE50" s="44"/>
      <c r="QJF50" s="44"/>
      <c r="QJG50" s="44"/>
      <c r="QJH50" s="44"/>
      <c r="QJI50" s="44"/>
      <c r="QJJ50" s="44"/>
      <c r="QJK50" s="44"/>
      <c r="QJL50" s="44"/>
      <c r="QJM50" s="44"/>
      <c r="QJN50" s="44"/>
      <c r="QJO50" s="44"/>
      <c r="QJP50" s="44"/>
      <c r="QJQ50" s="44"/>
      <c r="QJR50" s="44"/>
      <c r="QJS50" s="44"/>
      <c r="QJT50" s="44"/>
      <c r="QJU50" s="44"/>
      <c r="QJV50" s="44"/>
      <c r="QJW50" s="44"/>
      <c r="QJX50" s="44"/>
      <c r="QJY50" s="44"/>
      <c r="QJZ50" s="44"/>
      <c r="QKA50" s="44"/>
      <c r="QKB50" s="44"/>
      <c r="QKC50" s="44"/>
      <c r="QKD50" s="44"/>
      <c r="QKE50" s="44"/>
      <c r="QKF50" s="44"/>
      <c r="QKG50" s="44"/>
      <c r="QKH50" s="44"/>
      <c r="QKI50" s="44"/>
      <c r="QKJ50" s="44"/>
      <c r="QKK50" s="44"/>
      <c r="QKL50" s="44"/>
      <c r="QKM50" s="44"/>
      <c r="QKN50" s="44"/>
      <c r="QKO50" s="44"/>
      <c r="QKP50" s="44"/>
      <c r="QKQ50" s="44"/>
      <c r="QKR50" s="44"/>
      <c r="QKS50" s="44"/>
      <c r="QKT50" s="44"/>
      <c r="QKU50" s="44"/>
      <c r="QKV50" s="44"/>
      <c r="QKW50" s="44"/>
      <c r="QKX50" s="44"/>
      <c r="QKY50" s="44"/>
      <c r="QKZ50" s="44"/>
      <c r="QLA50" s="44"/>
      <c r="QLB50" s="44"/>
      <c r="QLC50" s="44"/>
      <c r="QLD50" s="44"/>
      <c r="QLE50" s="44"/>
      <c r="QLF50" s="44"/>
      <c r="QLG50" s="44"/>
      <c r="QLH50" s="44"/>
      <c r="QLI50" s="44"/>
      <c r="QLJ50" s="44"/>
      <c r="QLK50" s="44"/>
      <c r="QLL50" s="44"/>
      <c r="QLM50" s="44"/>
      <c r="QLN50" s="44"/>
      <c r="QLO50" s="44"/>
      <c r="QLP50" s="44"/>
      <c r="QLQ50" s="44"/>
      <c r="QLR50" s="44"/>
      <c r="QLS50" s="44"/>
      <c r="QLT50" s="44"/>
      <c r="QLU50" s="44"/>
      <c r="QLV50" s="44"/>
      <c r="QLW50" s="44"/>
      <c r="QLX50" s="44"/>
      <c r="QLY50" s="44"/>
      <c r="QLZ50" s="44"/>
      <c r="QMA50" s="44"/>
      <c r="QMB50" s="44"/>
      <c r="QMC50" s="44"/>
      <c r="QMD50" s="44"/>
      <c r="QME50" s="44"/>
      <c r="QMF50" s="44"/>
      <c r="QMG50" s="44"/>
      <c r="QMH50" s="44"/>
      <c r="QMI50" s="44"/>
      <c r="QMJ50" s="44"/>
      <c r="QMK50" s="44"/>
      <c r="QML50" s="44"/>
      <c r="QMM50" s="44"/>
      <c r="QMN50" s="44"/>
      <c r="QMO50" s="44"/>
      <c r="QMP50" s="44"/>
      <c r="QMQ50" s="44"/>
      <c r="QMR50" s="44"/>
      <c r="QMS50" s="44"/>
      <c r="QMT50" s="44"/>
      <c r="QMU50" s="44"/>
      <c r="QMV50" s="44"/>
      <c r="QMW50" s="44"/>
      <c r="QMX50" s="44"/>
      <c r="QMY50" s="44"/>
      <c r="QMZ50" s="44"/>
      <c r="QNA50" s="44"/>
      <c r="QNB50" s="44"/>
      <c r="QNC50" s="44"/>
      <c r="QND50" s="44"/>
      <c r="QNE50" s="44"/>
      <c r="QNF50" s="44"/>
      <c r="QNG50" s="44"/>
      <c r="QNH50" s="44"/>
      <c r="QNI50" s="44"/>
      <c r="QNJ50" s="44"/>
      <c r="QNK50" s="44"/>
      <c r="QNL50" s="44"/>
      <c r="QNM50" s="44"/>
      <c r="QNN50" s="44"/>
      <c r="QNO50" s="44"/>
      <c r="QNP50" s="44"/>
      <c r="QNQ50" s="44"/>
      <c r="QNR50" s="44"/>
      <c r="QNS50" s="44"/>
      <c r="QNT50" s="44"/>
      <c r="QNU50" s="44"/>
      <c r="QNV50" s="44"/>
      <c r="QNW50" s="44"/>
      <c r="QNX50" s="44"/>
      <c r="QNY50" s="44"/>
      <c r="QNZ50" s="44"/>
      <c r="QOA50" s="44"/>
      <c r="QOB50" s="44"/>
      <c r="QOC50" s="44"/>
      <c r="QOD50" s="44"/>
      <c r="QOE50" s="44"/>
      <c r="QOF50" s="44"/>
      <c r="QOG50" s="44"/>
      <c r="QOH50" s="44"/>
      <c r="QOI50" s="44"/>
      <c r="QOJ50" s="44"/>
      <c r="QOK50" s="44"/>
      <c r="QOL50" s="44"/>
      <c r="QOM50" s="44"/>
      <c r="QON50" s="44"/>
      <c r="QOO50" s="44"/>
      <c r="QOP50" s="44"/>
      <c r="QOQ50" s="44"/>
      <c r="QOR50" s="44"/>
      <c r="QOS50" s="44"/>
      <c r="QOT50" s="44"/>
      <c r="QOU50" s="44"/>
      <c r="QOV50" s="44"/>
      <c r="QOW50" s="44"/>
      <c r="QOX50" s="44"/>
      <c r="QOY50" s="44"/>
      <c r="QOZ50" s="44"/>
      <c r="QPA50" s="44"/>
      <c r="QPB50" s="44"/>
      <c r="QPC50" s="44"/>
      <c r="QPD50" s="44"/>
      <c r="QPE50" s="44"/>
      <c r="QPF50" s="44"/>
      <c r="QPG50" s="44"/>
      <c r="QPH50" s="44"/>
      <c r="QPI50" s="44"/>
      <c r="QPJ50" s="44"/>
      <c r="QPK50" s="44"/>
      <c r="QPL50" s="44"/>
      <c r="QPM50" s="44"/>
      <c r="QPN50" s="44"/>
      <c r="QPO50" s="44"/>
      <c r="QPP50" s="44"/>
      <c r="QPQ50" s="44"/>
      <c r="QPR50" s="44"/>
      <c r="QPS50" s="44"/>
      <c r="QPT50" s="44"/>
      <c r="QPU50" s="44"/>
      <c r="QPV50" s="44"/>
      <c r="QPW50" s="44"/>
      <c r="QPX50" s="44"/>
      <c r="QPY50" s="44"/>
      <c r="QPZ50" s="44"/>
      <c r="QQA50" s="44"/>
      <c r="QQB50" s="44"/>
      <c r="QQC50" s="44"/>
      <c r="QQD50" s="44"/>
      <c r="QQE50" s="44"/>
      <c r="QQF50" s="44"/>
      <c r="QQG50" s="44"/>
      <c r="QQH50" s="44"/>
      <c r="QQI50" s="44"/>
      <c r="QQJ50" s="44"/>
      <c r="QQK50" s="44"/>
      <c r="QQL50" s="44"/>
      <c r="QQM50" s="44"/>
      <c r="QQN50" s="44"/>
      <c r="QQO50" s="44"/>
      <c r="QQP50" s="44"/>
      <c r="QQQ50" s="44"/>
      <c r="QQR50" s="44"/>
      <c r="QQS50" s="44"/>
      <c r="QQT50" s="44"/>
      <c r="QQU50" s="44"/>
      <c r="QQV50" s="44"/>
      <c r="QQW50" s="44"/>
      <c r="QQX50" s="44"/>
      <c r="QQY50" s="44"/>
      <c r="QQZ50" s="44"/>
      <c r="QRA50" s="44"/>
      <c r="QRB50" s="44"/>
      <c r="QRC50" s="44"/>
      <c r="QRD50" s="44"/>
      <c r="QRE50" s="44"/>
      <c r="QRF50" s="44"/>
      <c r="QRG50" s="44"/>
      <c r="QRH50" s="44"/>
      <c r="QRI50" s="44"/>
      <c r="QRJ50" s="44"/>
      <c r="QRK50" s="44"/>
      <c r="QRL50" s="44"/>
      <c r="QRM50" s="44"/>
      <c r="QRN50" s="44"/>
      <c r="QRO50" s="44"/>
      <c r="QRP50" s="44"/>
      <c r="QRQ50" s="44"/>
      <c r="QRR50" s="44"/>
      <c r="QRS50" s="44"/>
      <c r="QRT50" s="44"/>
      <c r="QRU50" s="44"/>
      <c r="QRV50" s="44"/>
      <c r="QRW50" s="44"/>
      <c r="QRX50" s="44"/>
      <c r="QRY50" s="44"/>
      <c r="QRZ50" s="44"/>
      <c r="QSA50" s="44"/>
      <c r="QSB50" s="44"/>
      <c r="QSC50" s="44"/>
      <c r="QSD50" s="44"/>
      <c r="QSE50" s="44"/>
      <c r="QSF50" s="44"/>
      <c r="QSG50" s="44"/>
      <c r="QSH50" s="44"/>
      <c r="QSI50" s="44"/>
      <c r="QSJ50" s="44"/>
      <c r="QSK50" s="44"/>
      <c r="QSL50" s="44"/>
      <c r="QSM50" s="44"/>
      <c r="QSN50" s="44"/>
      <c r="QSO50" s="44"/>
      <c r="QSP50" s="44"/>
      <c r="QSQ50" s="44"/>
      <c r="QSR50" s="44"/>
      <c r="QSS50" s="44"/>
      <c r="QST50" s="44"/>
      <c r="QSU50" s="44"/>
      <c r="QSV50" s="44"/>
      <c r="QSW50" s="44"/>
      <c r="QSX50" s="44"/>
      <c r="QSY50" s="44"/>
      <c r="QSZ50" s="44"/>
      <c r="QTA50" s="44"/>
      <c r="QTB50" s="44"/>
      <c r="QTC50" s="44"/>
      <c r="QTD50" s="44"/>
      <c r="QTE50" s="44"/>
      <c r="QTF50" s="44"/>
      <c r="QTG50" s="44"/>
      <c r="QTH50" s="44"/>
      <c r="QTI50" s="44"/>
      <c r="QTJ50" s="44"/>
      <c r="QTK50" s="44"/>
      <c r="QTL50" s="44"/>
      <c r="QTM50" s="44"/>
      <c r="QTN50" s="44"/>
      <c r="QTO50" s="44"/>
      <c r="QTP50" s="44"/>
      <c r="QTQ50" s="44"/>
      <c r="QTR50" s="44"/>
      <c r="QTS50" s="44"/>
      <c r="QTT50" s="44"/>
      <c r="QTU50" s="44"/>
      <c r="QTV50" s="44"/>
      <c r="QTW50" s="44"/>
      <c r="QTX50" s="44"/>
      <c r="QTY50" s="44"/>
      <c r="QTZ50" s="44"/>
      <c r="QUA50" s="44"/>
      <c r="QUB50" s="44"/>
      <c r="QUC50" s="44"/>
      <c r="QUD50" s="44"/>
      <c r="QUE50" s="44"/>
      <c r="QUF50" s="44"/>
      <c r="QUG50" s="44"/>
      <c r="QUH50" s="44"/>
      <c r="QUI50" s="44"/>
      <c r="QUJ50" s="44"/>
      <c r="QUK50" s="44"/>
      <c r="QUL50" s="44"/>
      <c r="QUM50" s="44"/>
      <c r="QUN50" s="44"/>
      <c r="QUO50" s="44"/>
      <c r="QUP50" s="44"/>
      <c r="QUQ50" s="44"/>
      <c r="QUR50" s="44"/>
      <c r="QUS50" s="44"/>
      <c r="QUT50" s="44"/>
      <c r="QUU50" s="44"/>
      <c r="QUV50" s="44"/>
      <c r="QUW50" s="44"/>
      <c r="QUX50" s="44"/>
      <c r="QUY50" s="44"/>
      <c r="QUZ50" s="44"/>
      <c r="QVA50" s="44"/>
      <c r="QVB50" s="44"/>
      <c r="QVC50" s="44"/>
      <c r="QVD50" s="44"/>
      <c r="QVE50" s="44"/>
      <c r="QVF50" s="44"/>
      <c r="QVG50" s="44"/>
      <c r="QVH50" s="44"/>
      <c r="QVI50" s="44"/>
      <c r="QVJ50" s="44"/>
      <c r="QVK50" s="44"/>
      <c r="QVL50" s="44"/>
      <c r="QVM50" s="44"/>
      <c r="QVN50" s="44"/>
      <c r="QVO50" s="44"/>
      <c r="QVP50" s="44"/>
      <c r="QVQ50" s="44"/>
      <c r="QVR50" s="44"/>
      <c r="QVS50" s="44"/>
      <c r="QVT50" s="44"/>
      <c r="QVU50" s="44"/>
      <c r="QVV50" s="44"/>
      <c r="QVW50" s="44"/>
      <c r="QVX50" s="44"/>
      <c r="QVY50" s="44"/>
      <c r="QVZ50" s="44"/>
      <c r="QWA50" s="44"/>
      <c r="QWB50" s="44"/>
      <c r="QWC50" s="44"/>
      <c r="QWD50" s="44"/>
      <c r="QWE50" s="44"/>
      <c r="QWF50" s="44"/>
      <c r="QWG50" s="44"/>
      <c r="QWH50" s="44"/>
      <c r="QWI50" s="44"/>
      <c r="QWJ50" s="44"/>
      <c r="QWK50" s="44"/>
      <c r="QWL50" s="44"/>
      <c r="QWM50" s="44"/>
      <c r="QWN50" s="44"/>
      <c r="QWO50" s="44"/>
      <c r="QWP50" s="44"/>
      <c r="QWQ50" s="44"/>
      <c r="QWR50" s="44"/>
      <c r="QWS50" s="44"/>
      <c r="QWT50" s="44"/>
      <c r="QWU50" s="44"/>
      <c r="QWV50" s="44"/>
      <c r="QWW50" s="44"/>
      <c r="QWX50" s="44"/>
      <c r="QWY50" s="44"/>
      <c r="QWZ50" s="44"/>
      <c r="QXA50" s="44"/>
      <c r="QXB50" s="44"/>
      <c r="QXC50" s="44"/>
      <c r="QXD50" s="44"/>
      <c r="QXE50" s="44"/>
      <c r="QXF50" s="44"/>
      <c r="QXG50" s="44"/>
      <c r="QXH50" s="44"/>
      <c r="QXI50" s="44"/>
      <c r="QXJ50" s="44"/>
      <c r="QXK50" s="44"/>
      <c r="QXL50" s="44"/>
      <c r="QXM50" s="44"/>
      <c r="QXN50" s="44"/>
      <c r="QXO50" s="44"/>
      <c r="QXP50" s="44"/>
      <c r="QXQ50" s="44"/>
      <c r="QXR50" s="44"/>
      <c r="QXS50" s="44"/>
      <c r="QXT50" s="44"/>
      <c r="QXU50" s="44"/>
      <c r="QXV50" s="44"/>
      <c r="QXW50" s="44"/>
      <c r="QXX50" s="44"/>
      <c r="QXY50" s="44"/>
      <c r="QXZ50" s="44"/>
      <c r="QYA50" s="44"/>
      <c r="QYB50" s="44"/>
      <c r="QYC50" s="44"/>
      <c r="QYD50" s="44"/>
      <c r="QYE50" s="44"/>
      <c r="QYF50" s="44"/>
      <c r="QYG50" s="44"/>
      <c r="QYH50" s="44"/>
      <c r="QYI50" s="44"/>
      <c r="QYJ50" s="44"/>
      <c r="QYK50" s="44"/>
      <c r="QYL50" s="44"/>
      <c r="QYM50" s="44"/>
      <c r="QYN50" s="44"/>
      <c r="QYO50" s="44"/>
      <c r="QYP50" s="44"/>
      <c r="QYQ50" s="44"/>
      <c r="QYR50" s="44"/>
      <c r="QYS50" s="44"/>
      <c r="QYT50" s="44"/>
      <c r="QYU50" s="44"/>
      <c r="QYV50" s="44"/>
      <c r="QYW50" s="44"/>
      <c r="QYX50" s="44"/>
      <c r="QYY50" s="44"/>
      <c r="QYZ50" s="44"/>
      <c r="QZA50" s="44"/>
      <c r="QZB50" s="44"/>
      <c r="QZC50" s="44"/>
      <c r="QZD50" s="44"/>
      <c r="QZE50" s="44"/>
      <c r="QZF50" s="44"/>
      <c r="QZG50" s="44"/>
      <c r="QZH50" s="44"/>
      <c r="QZI50" s="44"/>
      <c r="QZJ50" s="44"/>
      <c r="QZK50" s="44"/>
      <c r="QZL50" s="44"/>
      <c r="QZM50" s="44"/>
      <c r="QZN50" s="44"/>
      <c r="QZO50" s="44"/>
      <c r="QZP50" s="44"/>
      <c r="QZQ50" s="44"/>
      <c r="QZR50" s="44"/>
      <c r="QZS50" s="44"/>
      <c r="QZT50" s="44"/>
      <c r="QZU50" s="44"/>
      <c r="QZV50" s="44"/>
      <c r="QZW50" s="44"/>
      <c r="QZX50" s="44"/>
      <c r="QZY50" s="44"/>
      <c r="QZZ50" s="44"/>
      <c r="RAA50" s="44"/>
      <c r="RAB50" s="44"/>
      <c r="RAC50" s="44"/>
      <c r="RAD50" s="44"/>
      <c r="RAE50" s="44"/>
      <c r="RAF50" s="44"/>
      <c r="RAG50" s="44"/>
      <c r="RAH50" s="44"/>
      <c r="RAI50" s="44"/>
      <c r="RAJ50" s="44"/>
      <c r="RAK50" s="44"/>
      <c r="RAL50" s="44"/>
      <c r="RAM50" s="44"/>
      <c r="RAN50" s="44"/>
      <c r="RAO50" s="44"/>
      <c r="RAP50" s="44"/>
      <c r="RAQ50" s="44"/>
      <c r="RAR50" s="44"/>
      <c r="RAS50" s="44"/>
      <c r="RAT50" s="44"/>
      <c r="RAU50" s="44"/>
      <c r="RAV50" s="44"/>
      <c r="RAW50" s="44"/>
      <c r="RAX50" s="44"/>
      <c r="RAY50" s="44"/>
      <c r="RAZ50" s="44"/>
      <c r="RBA50" s="44"/>
      <c r="RBB50" s="44"/>
      <c r="RBC50" s="44"/>
      <c r="RBD50" s="44"/>
      <c r="RBE50" s="44"/>
      <c r="RBF50" s="44"/>
      <c r="RBG50" s="44"/>
      <c r="RBH50" s="44"/>
      <c r="RBI50" s="44"/>
      <c r="RBJ50" s="44"/>
      <c r="RBK50" s="44"/>
      <c r="RBL50" s="44"/>
      <c r="RBM50" s="44"/>
      <c r="RBN50" s="44"/>
      <c r="RBO50" s="44"/>
      <c r="RBP50" s="44"/>
      <c r="RBQ50" s="44"/>
      <c r="RBR50" s="44"/>
      <c r="RBS50" s="44"/>
      <c r="RBT50" s="44"/>
      <c r="RBU50" s="44"/>
      <c r="RBV50" s="44"/>
      <c r="RBW50" s="44"/>
      <c r="RBX50" s="44"/>
      <c r="RBY50" s="44"/>
      <c r="RBZ50" s="44"/>
      <c r="RCA50" s="44"/>
      <c r="RCB50" s="44"/>
      <c r="RCC50" s="44"/>
      <c r="RCD50" s="44"/>
      <c r="RCE50" s="44"/>
      <c r="RCF50" s="44"/>
      <c r="RCG50" s="44"/>
      <c r="RCH50" s="44"/>
      <c r="RCI50" s="44"/>
      <c r="RCJ50" s="44"/>
      <c r="RCK50" s="44"/>
      <c r="RCL50" s="44"/>
      <c r="RCM50" s="44"/>
      <c r="RCN50" s="44"/>
      <c r="RCO50" s="44"/>
      <c r="RCP50" s="44"/>
      <c r="RCQ50" s="44"/>
      <c r="RCR50" s="44"/>
      <c r="RCS50" s="44"/>
      <c r="RCT50" s="44"/>
      <c r="RCU50" s="44"/>
      <c r="RCV50" s="44"/>
      <c r="RCW50" s="44"/>
      <c r="RCX50" s="44"/>
      <c r="RCY50" s="44"/>
      <c r="RCZ50" s="44"/>
      <c r="RDA50" s="44"/>
      <c r="RDB50" s="44"/>
      <c r="RDC50" s="44"/>
      <c r="RDD50" s="44"/>
      <c r="RDE50" s="44"/>
      <c r="RDF50" s="44"/>
      <c r="RDG50" s="44"/>
      <c r="RDH50" s="44"/>
      <c r="RDI50" s="44"/>
      <c r="RDJ50" s="44"/>
      <c r="RDK50" s="44"/>
      <c r="RDL50" s="44"/>
      <c r="RDM50" s="44"/>
      <c r="RDN50" s="44"/>
      <c r="RDO50" s="44"/>
      <c r="RDP50" s="44"/>
      <c r="RDQ50" s="44"/>
      <c r="RDR50" s="44"/>
      <c r="RDS50" s="44"/>
      <c r="RDT50" s="44"/>
      <c r="RDU50" s="44"/>
      <c r="RDV50" s="44"/>
      <c r="RDW50" s="44"/>
      <c r="RDX50" s="44"/>
      <c r="RDY50" s="44"/>
      <c r="RDZ50" s="44"/>
      <c r="REA50" s="44"/>
      <c r="REB50" s="44"/>
      <c r="REC50" s="44"/>
      <c r="RED50" s="44"/>
      <c r="REE50" s="44"/>
      <c r="REF50" s="44"/>
      <c r="REG50" s="44"/>
      <c r="REH50" s="44"/>
      <c r="REI50" s="44"/>
      <c r="REJ50" s="44"/>
      <c r="REK50" s="44"/>
      <c r="REL50" s="44"/>
      <c r="REM50" s="44"/>
      <c r="REN50" s="44"/>
      <c r="REO50" s="44"/>
      <c r="REP50" s="44"/>
      <c r="REQ50" s="44"/>
      <c r="RER50" s="44"/>
      <c r="RES50" s="44"/>
      <c r="RET50" s="44"/>
      <c r="REU50" s="44"/>
      <c r="REV50" s="44"/>
      <c r="REW50" s="44"/>
      <c r="REX50" s="44"/>
      <c r="REY50" s="44"/>
      <c r="REZ50" s="44"/>
      <c r="RFA50" s="44"/>
      <c r="RFB50" s="44"/>
      <c r="RFC50" s="44"/>
      <c r="RFD50" s="44"/>
      <c r="RFE50" s="44"/>
      <c r="RFF50" s="44"/>
      <c r="RFG50" s="44"/>
      <c r="RFH50" s="44"/>
      <c r="RFI50" s="44"/>
      <c r="RFJ50" s="44"/>
      <c r="RFK50" s="44"/>
      <c r="RFL50" s="44"/>
      <c r="RFM50" s="44"/>
      <c r="RFN50" s="44"/>
      <c r="RFO50" s="44"/>
      <c r="RFP50" s="44"/>
      <c r="RFQ50" s="44"/>
      <c r="RFR50" s="44"/>
      <c r="RFS50" s="44"/>
      <c r="RFT50" s="44"/>
      <c r="RFU50" s="44"/>
      <c r="RFV50" s="44"/>
      <c r="RFW50" s="44"/>
      <c r="RFX50" s="44"/>
      <c r="RFY50" s="44"/>
      <c r="RFZ50" s="44"/>
      <c r="RGA50" s="44"/>
      <c r="RGB50" s="44"/>
      <c r="RGC50" s="44"/>
      <c r="RGD50" s="44"/>
      <c r="RGE50" s="44"/>
      <c r="RGF50" s="44"/>
      <c r="RGG50" s="44"/>
      <c r="RGH50" s="44"/>
      <c r="RGI50" s="44"/>
      <c r="RGJ50" s="44"/>
      <c r="RGK50" s="44"/>
      <c r="RGL50" s="44"/>
      <c r="RGM50" s="44"/>
      <c r="RGN50" s="44"/>
      <c r="RGO50" s="44"/>
      <c r="RGP50" s="44"/>
      <c r="RGQ50" s="44"/>
      <c r="RGR50" s="44"/>
      <c r="RGS50" s="44"/>
      <c r="RGT50" s="44"/>
      <c r="RGU50" s="44"/>
      <c r="RGV50" s="44"/>
      <c r="RGW50" s="44"/>
      <c r="RGX50" s="44"/>
      <c r="RGY50" s="44"/>
      <c r="RGZ50" s="44"/>
      <c r="RHA50" s="44"/>
      <c r="RHB50" s="44"/>
      <c r="RHC50" s="44"/>
      <c r="RHD50" s="44"/>
      <c r="RHE50" s="44"/>
      <c r="RHF50" s="44"/>
      <c r="RHG50" s="44"/>
      <c r="RHH50" s="44"/>
      <c r="RHI50" s="44"/>
      <c r="RHJ50" s="44"/>
      <c r="RHK50" s="44"/>
      <c r="RHL50" s="44"/>
      <c r="RHM50" s="44"/>
      <c r="RHN50" s="44"/>
      <c r="RHO50" s="44"/>
      <c r="RHP50" s="44"/>
      <c r="RHQ50" s="44"/>
      <c r="RHR50" s="44"/>
      <c r="RHS50" s="44"/>
      <c r="RHT50" s="44"/>
      <c r="RHU50" s="44"/>
      <c r="RHV50" s="44"/>
      <c r="RHW50" s="44"/>
      <c r="RHX50" s="44"/>
      <c r="RHY50" s="44"/>
      <c r="RHZ50" s="44"/>
      <c r="RIA50" s="44"/>
      <c r="RIB50" s="44"/>
      <c r="RIC50" s="44"/>
      <c r="RID50" s="44"/>
      <c r="RIE50" s="44"/>
      <c r="RIF50" s="44"/>
      <c r="RIG50" s="44"/>
      <c r="RIH50" s="44"/>
      <c r="RII50" s="44"/>
      <c r="RIJ50" s="44"/>
      <c r="RIK50" s="44"/>
      <c r="RIL50" s="44"/>
      <c r="RIM50" s="44"/>
      <c r="RIN50" s="44"/>
      <c r="RIO50" s="44"/>
      <c r="RIP50" s="44"/>
      <c r="RIQ50" s="44"/>
      <c r="RIR50" s="44"/>
      <c r="RIS50" s="44"/>
      <c r="RIT50" s="44"/>
      <c r="RIU50" s="44"/>
      <c r="RIV50" s="44"/>
      <c r="RIW50" s="44"/>
      <c r="RIX50" s="44"/>
      <c r="RIY50" s="44"/>
      <c r="RIZ50" s="44"/>
      <c r="RJA50" s="44"/>
      <c r="RJB50" s="44"/>
      <c r="RJC50" s="44"/>
      <c r="RJD50" s="44"/>
      <c r="RJE50" s="44"/>
      <c r="RJF50" s="44"/>
      <c r="RJG50" s="44"/>
      <c r="RJH50" s="44"/>
      <c r="RJI50" s="44"/>
      <c r="RJJ50" s="44"/>
      <c r="RJK50" s="44"/>
      <c r="RJL50" s="44"/>
      <c r="RJM50" s="44"/>
      <c r="RJN50" s="44"/>
      <c r="RJO50" s="44"/>
      <c r="RJP50" s="44"/>
      <c r="RJQ50" s="44"/>
      <c r="RJR50" s="44"/>
      <c r="RJS50" s="44"/>
      <c r="RJT50" s="44"/>
      <c r="RJU50" s="44"/>
      <c r="RJV50" s="44"/>
      <c r="RJW50" s="44"/>
      <c r="RJX50" s="44"/>
      <c r="RJY50" s="44"/>
      <c r="RJZ50" s="44"/>
      <c r="RKA50" s="44"/>
      <c r="RKB50" s="44"/>
      <c r="RKC50" s="44"/>
      <c r="RKD50" s="44"/>
      <c r="RKE50" s="44"/>
      <c r="RKF50" s="44"/>
      <c r="RKG50" s="44"/>
      <c r="RKH50" s="44"/>
      <c r="RKI50" s="44"/>
      <c r="RKJ50" s="44"/>
      <c r="RKK50" s="44"/>
      <c r="RKL50" s="44"/>
      <c r="RKM50" s="44"/>
      <c r="RKN50" s="44"/>
      <c r="RKO50" s="44"/>
      <c r="RKP50" s="44"/>
      <c r="RKQ50" s="44"/>
      <c r="RKR50" s="44"/>
      <c r="RKS50" s="44"/>
      <c r="RKT50" s="44"/>
      <c r="RKU50" s="44"/>
      <c r="RKV50" s="44"/>
      <c r="RKW50" s="44"/>
      <c r="RKX50" s="44"/>
      <c r="RKY50" s="44"/>
      <c r="RKZ50" s="44"/>
      <c r="RLA50" s="44"/>
      <c r="RLB50" s="44"/>
      <c r="RLC50" s="44"/>
      <c r="RLD50" s="44"/>
      <c r="RLE50" s="44"/>
      <c r="RLF50" s="44"/>
      <c r="RLG50" s="44"/>
      <c r="RLH50" s="44"/>
      <c r="RLI50" s="44"/>
      <c r="RLJ50" s="44"/>
      <c r="RLK50" s="44"/>
      <c r="RLL50" s="44"/>
      <c r="RLM50" s="44"/>
      <c r="RLN50" s="44"/>
      <c r="RLO50" s="44"/>
      <c r="RLP50" s="44"/>
      <c r="RLQ50" s="44"/>
      <c r="RLR50" s="44"/>
      <c r="RLS50" s="44"/>
      <c r="RLT50" s="44"/>
      <c r="RLU50" s="44"/>
      <c r="RLV50" s="44"/>
      <c r="RLW50" s="44"/>
      <c r="RLX50" s="44"/>
      <c r="RLY50" s="44"/>
      <c r="RLZ50" s="44"/>
      <c r="RMA50" s="44"/>
      <c r="RMB50" s="44"/>
      <c r="RMC50" s="44"/>
      <c r="RMD50" s="44"/>
      <c r="RME50" s="44"/>
      <c r="RMF50" s="44"/>
      <c r="RMG50" s="44"/>
      <c r="RMH50" s="44"/>
      <c r="RMI50" s="44"/>
      <c r="RMJ50" s="44"/>
      <c r="RMK50" s="44"/>
      <c r="RML50" s="44"/>
      <c r="RMM50" s="44"/>
      <c r="RMN50" s="44"/>
      <c r="RMO50" s="44"/>
      <c r="RMP50" s="44"/>
      <c r="RMQ50" s="44"/>
      <c r="RMR50" s="44"/>
      <c r="RMS50" s="44"/>
      <c r="RMT50" s="44"/>
      <c r="RMU50" s="44"/>
      <c r="RMV50" s="44"/>
      <c r="RMW50" s="44"/>
      <c r="RMX50" s="44"/>
      <c r="RMY50" s="44"/>
      <c r="RMZ50" s="44"/>
      <c r="RNA50" s="44"/>
      <c r="RNB50" s="44"/>
      <c r="RNC50" s="44"/>
      <c r="RND50" s="44"/>
      <c r="RNE50" s="44"/>
      <c r="RNF50" s="44"/>
      <c r="RNG50" s="44"/>
      <c r="RNH50" s="44"/>
      <c r="RNI50" s="44"/>
      <c r="RNJ50" s="44"/>
      <c r="RNK50" s="44"/>
      <c r="RNL50" s="44"/>
      <c r="RNM50" s="44"/>
      <c r="RNN50" s="44"/>
      <c r="RNO50" s="44"/>
      <c r="RNP50" s="44"/>
      <c r="RNQ50" s="44"/>
      <c r="RNR50" s="44"/>
      <c r="RNS50" s="44"/>
      <c r="RNT50" s="44"/>
      <c r="RNU50" s="44"/>
      <c r="RNV50" s="44"/>
      <c r="RNW50" s="44"/>
      <c r="RNX50" s="44"/>
      <c r="RNY50" s="44"/>
      <c r="RNZ50" s="44"/>
      <c r="ROA50" s="44"/>
      <c r="ROB50" s="44"/>
      <c r="ROC50" s="44"/>
      <c r="ROD50" s="44"/>
      <c r="ROE50" s="44"/>
      <c r="ROF50" s="44"/>
      <c r="ROG50" s="44"/>
      <c r="ROH50" s="44"/>
      <c r="ROI50" s="44"/>
      <c r="ROJ50" s="44"/>
      <c r="ROK50" s="44"/>
      <c r="ROL50" s="44"/>
      <c r="ROM50" s="44"/>
      <c r="RON50" s="44"/>
      <c r="ROO50" s="44"/>
      <c r="ROP50" s="44"/>
      <c r="ROQ50" s="44"/>
      <c r="ROR50" s="44"/>
      <c r="ROS50" s="44"/>
      <c r="ROT50" s="44"/>
      <c r="ROU50" s="44"/>
      <c r="ROV50" s="44"/>
      <c r="ROW50" s="44"/>
      <c r="ROX50" s="44"/>
      <c r="ROY50" s="44"/>
      <c r="ROZ50" s="44"/>
      <c r="RPA50" s="44"/>
      <c r="RPB50" s="44"/>
      <c r="RPC50" s="44"/>
      <c r="RPD50" s="44"/>
      <c r="RPE50" s="44"/>
      <c r="RPF50" s="44"/>
      <c r="RPG50" s="44"/>
      <c r="RPH50" s="44"/>
      <c r="RPI50" s="44"/>
      <c r="RPJ50" s="44"/>
      <c r="RPK50" s="44"/>
      <c r="RPL50" s="44"/>
      <c r="RPM50" s="44"/>
      <c r="RPN50" s="44"/>
      <c r="RPO50" s="44"/>
      <c r="RPP50" s="44"/>
      <c r="RPQ50" s="44"/>
      <c r="RPR50" s="44"/>
      <c r="RPS50" s="44"/>
      <c r="RPT50" s="44"/>
      <c r="RPU50" s="44"/>
      <c r="RPV50" s="44"/>
      <c r="RPW50" s="44"/>
      <c r="RPX50" s="44"/>
      <c r="RPY50" s="44"/>
      <c r="RPZ50" s="44"/>
      <c r="RQA50" s="44"/>
      <c r="RQB50" s="44"/>
      <c r="RQC50" s="44"/>
      <c r="RQD50" s="44"/>
      <c r="RQE50" s="44"/>
      <c r="RQF50" s="44"/>
      <c r="RQG50" s="44"/>
      <c r="RQH50" s="44"/>
      <c r="RQI50" s="44"/>
      <c r="RQJ50" s="44"/>
      <c r="RQK50" s="44"/>
      <c r="RQL50" s="44"/>
      <c r="RQM50" s="44"/>
      <c r="RQN50" s="44"/>
      <c r="RQO50" s="44"/>
      <c r="RQP50" s="44"/>
      <c r="RQQ50" s="44"/>
      <c r="RQR50" s="44"/>
      <c r="RQS50" s="44"/>
      <c r="RQT50" s="44"/>
      <c r="RQU50" s="44"/>
      <c r="RQV50" s="44"/>
      <c r="RQW50" s="44"/>
      <c r="RQX50" s="44"/>
      <c r="RQY50" s="44"/>
      <c r="RQZ50" s="44"/>
      <c r="RRA50" s="44"/>
      <c r="RRB50" s="44"/>
      <c r="RRC50" s="44"/>
      <c r="RRD50" s="44"/>
      <c r="RRE50" s="44"/>
      <c r="RRF50" s="44"/>
      <c r="RRG50" s="44"/>
      <c r="RRH50" s="44"/>
      <c r="RRI50" s="44"/>
      <c r="RRJ50" s="44"/>
      <c r="RRK50" s="44"/>
      <c r="RRL50" s="44"/>
      <c r="RRM50" s="44"/>
      <c r="RRN50" s="44"/>
      <c r="RRO50" s="44"/>
      <c r="RRP50" s="44"/>
      <c r="RRQ50" s="44"/>
      <c r="RRR50" s="44"/>
      <c r="RRS50" s="44"/>
      <c r="RRT50" s="44"/>
      <c r="RRU50" s="44"/>
      <c r="RRV50" s="44"/>
      <c r="RRW50" s="44"/>
      <c r="RRX50" s="44"/>
      <c r="RRY50" s="44"/>
      <c r="RRZ50" s="44"/>
      <c r="RSA50" s="44"/>
      <c r="RSB50" s="44"/>
      <c r="RSC50" s="44"/>
      <c r="RSD50" s="44"/>
      <c r="RSE50" s="44"/>
      <c r="RSF50" s="44"/>
      <c r="RSG50" s="44"/>
      <c r="RSH50" s="44"/>
      <c r="RSI50" s="44"/>
      <c r="RSJ50" s="44"/>
      <c r="RSK50" s="44"/>
      <c r="RSL50" s="44"/>
      <c r="RSM50" s="44"/>
      <c r="RSN50" s="44"/>
      <c r="RSO50" s="44"/>
      <c r="RSP50" s="44"/>
      <c r="RSQ50" s="44"/>
      <c r="RSR50" s="44"/>
      <c r="RSS50" s="44"/>
      <c r="RST50" s="44"/>
      <c r="RSU50" s="44"/>
      <c r="RSV50" s="44"/>
      <c r="RSW50" s="44"/>
      <c r="RSX50" s="44"/>
      <c r="RSY50" s="44"/>
      <c r="RSZ50" s="44"/>
      <c r="RTA50" s="44"/>
      <c r="RTB50" s="44"/>
      <c r="RTC50" s="44"/>
      <c r="RTD50" s="44"/>
      <c r="RTE50" s="44"/>
      <c r="RTF50" s="44"/>
      <c r="RTG50" s="44"/>
      <c r="RTH50" s="44"/>
      <c r="RTI50" s="44"/>
      <c r="RTJ50" s="44"/>
      <c r="RTK50" s="44"/>
      <c r="RTL50" s="44"/>
      <c r="RTM50" s="44"/>
      <c r="RTN50" s="44"/>
      <c r="RTO50" s="44"/>
      <c r="RTP50" s="44"/>
      <c r="RTQ50" s="44"/>
      <c r="RTR50" s="44"/>
      <c r="RTS50" s="44"/>
      <c r="RTT50" s="44"/>
      <c r="RTU50" s="44"/>
      <c r="RTV50" s="44"/>
      <c r="RTW50" s="44"/>
      <c r="RTX50" s="44"/>
      <c r="RTY50" s="44"/>
      <c r="RTZ50" s="44"/>
      <c r="RUA50" s="44"/>
      <c r="RUB50" s="44"/>
      <c r="RUC50" s="44"/>
      <c r="RUD50" s="44"/>
      <c r="RUE50" s="44"/>
      <c r="RUF50" s="44"/>
      <c r="RUG50" s="44"/>
      <c r="RUH50" s="44"/>
      <c r="RUI50" s="44"/>
      <c r="RUJ50" s="44"/>
      <c r="RUK50" s="44"/>
      <c r="RUL50" s="44"/>
      <c r="RUM50" s="44"/>
      <c r="RUN50" s="44"/>
      <c r="RUO50" s="44"/>
      <c r="RUP50" s="44"/>
      <c r="RUQ50" s="44"/>
      <c r="RUR50" s="44"/>
      <c r="RUS50" s="44"/>
      <c r="RUT50" s="44"/>
      <c r="RUU50" s="44"/>
      <c r="RUV50" s="44"/>
      <c r="RUW50" s="44"/>
      <c r="RUX50" s="44"/>
      <c r="RUY50" s="44"/>
      <c r="RUZ50" s="44"/>
      <c r="RVA50" s="44"/>
      <c r="RVB50" s="44"/>
      <c r="RVC50" s="44"/>
      <c r="RVD50" s="44"/>
      <c r="RVE50" s="44"/>
      <c r="RVF50" s="44"/>
      <c r="RVG50" s="44"/>
      <c r="RVH50" s="44"/>
      <c r="RVI50" s="44"/>
      <c r="RVJ50" s="44"/>
      <c r="RVK50" s="44"/>
      <c r="RVL50" s="44"/>
      <c r="RVM50" s="44"/>
      <c r="RVN50" s="44"/>
      <c r="RVO50" s="44"/>
      <c r="RVP50" s="44"/>
      <c r="RVQ50" s="44"/>
      <c r="RVR50" s="44"/>
      <c r="RVS50" s="44"/>
      <c r="RVT50" s="44"/>
      <c r="RVU50" s="44"/>
      <c r="RVV50" s="44"/>
      <c r="RVW50" s="44"/>
      <c r="RVX50" s="44"/>
      <c r="RVY50" s="44"/>
      <c r="RVZ50" s="44"/>
      <c r="RWA50" s="44"/>
      <c r="RWB50" s="44"/>
      <c r="RWC50" s="44"/>
      <c r="RWD50" s="44"/>
      <c r="RWE50" s="44"/>
      <c r="RWF50" s="44"/>
      <c r="RWG50" s="44"/>
      <c r="RWH50" s="44"/>
      <c r="RWI50" s="44"/>
      <c r="RWJ50" s="44"/>
      <c r="RWK50" s="44"/>
      <c r="RWL50" s="44"/>
      <c r="RWM50" s="44"/>
      <c r="RWN50" s="44"/>
      <c r="RWO50" s="44"/>
      <c r="RWP50" s="44"/>
      <c r="RWQ50" s="44"/>
      <c r="RWR50" s="44"/>
      <c r="RWS50" s="44"/>
      <c r="RWT50" s="44"/>
      <c r="RWU50" s="44"/>
      <c r="RWV50" s="44"/>
      <c r="RWW50" s="44"/>
      <c r="RWX50" s="44"/>
      <c r="RWY50" s="44"/>
      <c r="RWZ50" s="44"/>
      <c r="RXA50" s="44"/>
      <c r="RXB50" s="44"/>
      <c r="RXC50" s="44"/>
      <c r="RXD50" s="44"/>
      <c r="RXE50" s="44"/>
      <c r="RXF50" s="44"/>
      <c r="RXG50" s="44"/>
      <c r="RXH50" s="44"/>
      <c r="RXI50" s="44"/>
      <c r="RXJ50" s="44"/>
      <c r="RXK50" s="44"/>
      <c r="RXL50" s="44"/>
      <c r="RXM50" s="44"/>
      <c r="RXN50" s="44"/>
      <c r="RXO50" s="44"/>
      <c r="RXP50" s="44"/>
      <c r="RXQ50" s="44"/>
      <c r="RXR50" s="44"/>
      <c r="RXS50" s="44"/>
      <c r="RXT50" s="44"/>
      <c r="RXU50" s="44"/>
      <c r="RXV50" s="44"/>
      <c r="RXW50" s="44"/>
      <c r="RXX50" s="44"/>
      <c r="RXY50" s="44"/>
      <c r="RXZ50" s="44"/>
      <c r="RYA50" s="44"/>
      <c r="RYB50" s="44"/>
      <c r="RYC50" s="44"/>
      <c r="RYD50" s="44"/>
      <c r="RYE50" s="44"/>
      <c r="RYF50" s="44"/>
      <c r="RYG50" s="44"/>
      <c r="RYH50" s="44"/>
      <c r="RYI50" s="44"/>
      <c r="RYJ50" s="44"/>
      <c r="RYK50" s="44"/>
      <c r="RYL50" s="44"/>
      <c r="RYM50" s="44"/>
      <c r="RYN50" s="44"/>
      <c r="RYO50" s="44"/>
      <c r="RYP50" s="44"/>
      <c r="RYQ50" s="44"/>
      <c r="RYR50" s="44"/>
      <c r="RYS50" s="44"/>
      <c r="RYT50" s="44"/>
      <c r="RYU50" s="44"/>
      <c r="RYV50" s="44"/>
      <c r="RYW50" s="44"/>
      <c r="RYX50" s="44"/>
      <c r="RYY50" s="44"/>
      <c r="RYZ50" s="44"/>
      <c r="RZA50" s="44"/>
      <c r="RZB50" s="44"/>
      <c r="RZC50" s="44"/>
      <c r="RZD50" s="44"/>
      <c r="RZE50" s="44"/>
      <c r="RZF50" s="44"/>
      <c r="RZG50" s="44"/>
      <c r="RZH50" s="44"/>
      <c r="RZI50" s="44"/>
      <c r="RZJ50" s="44"/>
      <c r="RZK50" s="44"/>
      <c r="RZL50" s="44"/>
      <c r="RZM50" s="44"/>
      <c r="RZN50" s="44"/>
      <c r="RZO50" s="44"/>
      <c r="RZP50" s="44"/>
      <c r="RZQ50" s="44"/>
      <c r="RZR50" s="44"/>
      <c r="RZS50" s="44"/>
      <c r="RZT50" s="44"/>
      <c r="RZU50" s="44"/>
      <c r="RZV50" s="44"/>
      <c r="RZW50" s="44"/>
      <c r="RZX50" s="44"/>
      <c r="RZY50" s="44"/>
      <c r="RZZ50" s="44"/>
      <c r="SAA50" s="44"/>
      <c r="SAB50" s="44"/>
      <c r="SAC50" s="44"/>
      <c r="SAD50" s="44"/>
      <c r="SAE50" s="44"/>
      <c r="SAF50" s="44"/>
      <c r="SAG50" s="44"/>
      <c r="SAH50" s="44"/>
      <c r="SAI50" s="44"/>
      <c r="SAJ50" s="44"/>
      <c r="SAK50" s="44"/>
      <c r="SAL50" s="44"/>
      <c r="SAM50" s="44"/>
      <c r="SAN50" s="44"/>
      <c r="SAO50" s="44"/>
      <c r="SAP50" s="44"/>
      <c r="SAQ50" s="44"/>
      <c r="SAR50" s="44"/>
      <c r="SAS50" s="44"/>
      <c r="SAT50" s="44"/>
      <c r="SAU50" s="44"/>
      <c r="SAV50" s="44"/>
      <c r="SAW50" s="44"/>
      <c r="SAX50" s="44"/>
      <c r="SAY50" s="44"/>
      <c r="SAZ50" s="44"/>
      <c r="SBA50" s="44"/>
      <c r="SBB50" s="44"/>
      <c r="SBC50" s="44"/>
      <c r="SBD50" s="44"/>
      <c r="SBE50" s="44"/>
      <c r="SBF50" s="44"/>
      <c r="SBG50" s="44"/>
      <c r="SBH50" s="44"/>
      <c r="SBI50" s="44"/>
      <c r="SBJ50" s="44"/>
      <c r="SBK50" s="44"/>
      <c r="SBL50" s="44"/>
      <c r="SBM50" s="44"/>
      <c r="SBN50" s="44"/>
      <c r="SBO50" s="44"/>
      <c r="SBP50" s="44"/>
      <c r="SBQ50" s="44"/>
      <c r="SBR50" s="44"/>
      <c r="SBS50" s="44"/>
      <c r="SBT50" s="44"/>
      <c r="SBU50" s="44"/>
      <c r="SBV50" s="44"/>
      <c r="SBW50" s="44"/>
      <c r="SBX50" s="44"/>
      <c r="SBY50" s="44"/>
      <c r="SBZ50" s="44"/>
      <c r="SCA50" s="44"/>
      <c r="SCB50" s="44"/>
      <c r="SCC50" s="44"/>
      <c r="SCD50" s="44"/>
      <c r="SCE50" s="44"/>
      <c r="SCF50" s="44"/>
      <c r="SCG50" s="44"/>
      <c r="SCH50" s="44"/>
      <c r="SCI50" s="44"/>
      <c r="SCJ50" s="44"/>
      <c r="SCK50" s="44"/>
      <c r="SCL50" s="44"/>
      <c r="SCM50" s="44"/>
      <c r="SCN50" s="44"/>
      <c r="SCO50" s="44"/>
      <c r="SCP50" s="44"/>
      <c r="SCQ50" s="44"/>
      <c r="SCR50" s="44"/>
      <c r="SCS50" s="44"/>
      <c r="SCT50" s="44"/>
      <c r="SCU50" s="44"/>
      <c r="SCV50" s="44"/>
      <c r="SCW50" s="44"/>
      <c r="SCX50" s="44"/>
      <c r="SCY50" s="44"/>
      <c r="SCZ50" s="44"/>
      <c r="SDA50" s="44"/>
      <c r="SDB50" s="44"/>
      <c r="SDC50" s="44"/>
      <c r="SDD50" s="44"/>
      <c r="SDE50" s="44"/>
      <c r="SDF50" s="44"/>
      <c r="SDG50" s="44"/>
      <c r="SDH50" s="44"/>
      <c r="SDI50" s="44"/>
      <c r="SDJ50" s="44"/>
      <c r="SDK50" s="44"/>
      <c r="SDL50" s="44"/>
      <c r="SDM50" s="44"/>
      <c r="SDN50" s="44"/>
      <c r="SDO50" s="44"/>
      <c r="SDP50" s="44"/>
      <c r="SDQ50" s="44"/>
      <c r="SDR50" s="44"/>
      <c r="SDS50" s="44"/>
      <c r="SDT50" s="44"/>
      <c r="SDU50" s="44"/>
      <c r="SDV50" s="44"/>
      <c r="SDW50" s="44"/>
      <c r="SDX50" s="44"/>
      <c r="SDY50" s="44"/>
      <c r="SDZ50" s="44"/>
      <c r="SEA50" s="44"/>
      <c r="SEB50" s="44"/>
      <c r="SEC50" s="44"/>
      <c r="SED50" s="44"/>
      <c r="SEE50" s="44"/>
      <c r="SEF50" s="44"/>
      <c r="SEG50" s="44"/>
      <c r="SEH50" s="44"/>
      <c r="SEI50" s="44"/>
      <c r="SEJ50" s="44"/>
      <c r="SEK50" s="44"/>
      <c r="SEL50" s="44"/>
      <c r="SEM50" s="44"/>
      <c r="SEN50" s="44"/>
      <c r="SEO50" s="44"/>
      <c r="SEP50" s="44"/>
      <c r="SEQ50" s="44"/>
      <c r="SER50" s="44"/>
      <c r="SES50" s="44"/>
      <c r="SET50" s="44"/>
      <c r="SEU50" s="44"/>
      <c r="SEV50" s="44"/>
      <c r="SEW50" s="44"/>
      <c r="SEX50" s="44"/>
      <c r="SEY50" s="44"/>
      <c r="SEZ50" s="44"/>
      <c r="SFA50" s="44"/>
      <c r="SFB50" s="44"/>
      <c r="SFC50" s="44"/>
      <c r="SFD50" s="44"/>
      <c r="SFE50" s="44"/>
      <c r="SFF50" s="44"/>
      <c r="SFG50" s="44"/>
      <c r="SFH50" s="44"/>
      <c r="SFI50" s="44"/>
      <c r="SFJ50" s="44"/>
      <c r="SFK50" s="44"/>
      <c r="SFL50" s="44"/>
      <c r="SFM50" s="44"/>
      <c r="SFN50" s="44"/>
      <c r="SFO50" s="44"/>
      <c r="SFP50" s="44"/>
      <c r="SFQ50" s="44"/>
      <c r="SFR50" s="44"/>
      <c r="SFS50" s="44"/>
      <c r="SFT50" s="44"/>
      <c r="SFU50" s="44"/>
      <c r="SFV50" s="44"/>
      <c r="SFW50" s="44"/>
      <c r="SFX50" s="44"/>
      <c r="SFY50" s="44"/>
      <c r="SFZ50" s="44"/>
      <c r="SGA50" s="44"/>
      <c r="SGB50" s="44"/>
      <c r="SGC50" s="44"/>
      <c r="SGD50" s="44"/>
      <c r="SGE50" s="44"/>
      <c r="SGF50" s="44"/>
      <c r="SGG50" s="44"/>
      <c r="SGH50" s="44"/>
      <c r="SGI50" s="44"/>
      <c r="SGJ50" s="44"/>
      <c r="SGK50" s="44"/>
      <c r="SGL50" s="44"/>
      <c r="SGM50" s="44"/>
      <c r="SGN50" s="44"/>
      <c r="SGO50" s="44"/>
      <c r="SGP50" s="44"/>
      <c r="SGQ50" s="44"/>
      <c r="SGR50" s="44"/>
      <c r="SGS50" s="44"/>
      <c r="SGT50" s="44"/>
      <c r="SGU50" s="44"/>
      <c r="SGV50" s="44"/>
      <c r="SGW50" s="44"/>
      <c r="SGX50" s="44"/>
      <c r="SGY50" s="44"/>
      <c r="SGZ50" s="44"/>
      <c r="SHA50" s="44"/>
      <c r="SHB50" s="44"/>
      <c r="SHC50" s="44"/>
      <c r="SHD50" s="44"/>
      <c r="SHE50" s="44"/>
      <c r="SHF50" s="44"/>
      <c r="SHG50" s="44"/>
      <c r="SHH50" s="44"/>
      <c r="SHI50" s="44"/>
      <c r="SHJ50" s="44"/>
      <c r="SHK50" s="44"/>
      <c r="SHL50" s="44"/>
      <c r="SHM50" s="44"/>
      <c r="SHN50" s="44"/>
      <c r="SHO50" s="44"/>
      <c r="SHP50" s="44"/>
      <c r="SHQ50" s="44"/>
      <c r="SHR50" s="44"/>
      <c r="SHS50" s="44"/>
      <c r="SHT50" s="44"/>
      <c r="SHU50" s="44"/>
      <c r="SHV50" s="44"/>
      <c r="SHW50" s="44"/>
      <c r="SHX50" s="44"/>
      <c r="SHY50" s="44"/>
      <c r="SHZ50" s="44"/>
      <c r="SIA50" s="44"/>
      <c r="SIB50" s="44"/>
      <c r="SIC50" s="44"/>
      <c r="SID50" s="44"/>
      <c r="SIE50" s="44"/>
      <c r="SIF50" s="44"/>
      <c r="SIG50" s="44"/>
      <c r="SIH50" s="44"/>
      <c r="SII50" s="44"/>
      <c r="SIJ50" s="44"/>
      <c r="SIK50" s="44"/>
      <c r="SIL50" s="44"/>
      <c r="SIM50" s="44"/>
      <c r="SIN50" s="44"/>
      <c r="SIO50" s="44"/>
      <c r="SIP50" s="44"/>
      <c r="SIQ50" s="44"/>
      <c r="SIR50" s="44"/>
      <c r="SIS50" s="44"/>
      <c r="SIT50" s="44"/>
      <c r="SIU50" s="44"/>
      <c r="SIV50" s="44"/>
      <c r="SIW50" s="44"/>
      <c r="SIX50" s="44"/>
      <c r="SIY50" s="44"/>
      <c r="SIZ50" s="44"/>
      <c r="SJA50" s="44"/>
      <c r="SJB50" s="44"/>
      <c r="SJC50" s="44"/>
      <c r="SJD50" s="44"/>
      <c r="SJE50" s="44"/>
      <c r="SJF50" s="44"/>
      <c r="SJG50" s="44"/>
      <c r="SJH50" s="44"/>
      <c r="SJI50" s="44"/>
      <c r="SJJ50" s="44"/>
      <c r="SJK50" s="44"/>
      <c r="SJL50" s="44"/>
      <c r="SJM50" s="44"/>
      <c r="SJN50" s="44"/>
      <c r="SJO50" s="44"/>
      <c r="SJP50" s="44"/>
      <c r="SJQ50" s="44"/>
      <c r="SJR50" s="44"/>
      <c r="SJS50" s="44"/>
      <c r="SJT50" s="44"/>
      <c r="SJU50" s="44"/>
      <c r="SJV50" s="44"/>
      <c r="SJW50" s="44"/>
      <c r="SJX50" s="44"/>
      <c r="SJY50" s="44"/>
      <c r="SJZ50" s="44"/>
      <c r="SKA50" s="44"/>
      <c r="SKB50" s="44"/>
      <c r="SKC50" s="44"/>
      <c r="SKD50" s="44"/>
      <c r="SKE50" s="44"/>
      <c r="SKF50" s="44"/>
      <c r="SKG50" s="44"/>
      <c r="SKH50" s="44"/>
      <c r="SKI50" s="44"/>
      <c r="SKJ50" s="44"/>
      <c r="SKK50" s="44"/>
      <c r="SKL50" s="44"/>
      <c r="SKM50" s="44"/>
      <c r="SKN50" s="44"/>
      <c r="SKO50" s="44"/>
      <c r="SKP50" s="44"/>
      <c r="SKQ50" s="44"/>
      <c r="SKR50" s="44"/>
      <c r="SKS50" s="44"/>
      <c r="SKT50" s="44"/>
      <c r="SKU50" s="44"/>
      <c r="SKV50" s="44"/>
      <c r="SKW50" s="44"/>
      <c r="SKX50" s="44"/>
      <c r="SKY50" s="44"/>
      <c r="SKZ50" s="44"/>
      <c r="SLA50" s="44"/>
      <c r="SLB50" s="44"/>
      <c r="SLC50" s="44"/>
      <c r="SLD50" s="44"/>
      <c r="SLE50" s="44"/>
      <c r="SLF50" s="44"/>
      <c r="SLG50" s="44"/>
      <c r="SLH50" s="44"/>
      <c r="SLI50" s="44"/>
      <c r="SLJ50" s="44"/>
      <c r="SLK50" s="44"/>
      <c r="SLL50" s="44"/>
      <c r="SLM50" s="44"/>
      <c r="SLN50" s="44"/>
      <c r="SLO50" s="44"/>
      <c r="SLP50" s="44"/>
      <c r="SLQ50" s="44"/>
      <c r="SLR50" s="44"/>
      <c r="SLS50" s="44"/>
      <c r="SLT50" s="44"/>
      <c r="SLU50" s="44"/>
      <c r="SLV50" s="44"/>
      <c r="SLW50" s="44"/>
      <c r="SLX50" s="44"/>
      <c r="SLY50" s="44"/>
      <c r="SLZ50" s="44"/>
      <c r="SMA50" s="44"/>
      <c r="SMB50" s="44"/>
      <c r="SMC50" s="44"/>
      <c r="SMD50" s="44"/>
      <c r="SME50" s="44"/>
      <c r="SMF50" s="44"/>
      <c r="SMG50" s="44"/>
      <c r="SMH50" s="44"/>
      <c r="SMI50" s="44"/>
      <c r="SMJ50" s="44"/>
      <c r="SMK50" s="44"/>
      <c r="SML50" s="44"/>
      <c r="SMM50" s="44"/>
      <c r="SMN50" s="44"/>
      <c r="SMO50" s="44"/>
      <c r="SMP50" s="44"/>
      <c r="SMQ50" s="44"/>
      <c r="SMR50" s="44"/>
      <c r="SMS50" s="44"/>
      <c r="SMT50" s="44"/>
      <c r="SMU50" s="44"/>
      <c r="SMV50" s="44"/>
      <c r="SMW50" s="44"/>
      <c r="SMX50" s="44"/>
      <c r="SMY50" s="44"/>
      <c r="SMZ50" s="44"/>
      <c r="SNA50" s="44"/>
      <c r="SNB50" s="44"/>
      <c r="SNC50" s="44"/>
      <c r="SND50" s="44"/>
      <c r="SNE50" s="44"/>
      <c r="SNF50" s="44"/>
      <c r="SNG50" s="44"/>
      <c r="SNH50" s="44"/>
      <c r="SNI50" s="44"/>
      <c r="SNJ50" s="44"/>
      <c r="SNK50" s="44"/>
      <c r="SNL50" s="44"/>
      <c r="SNM50" s="44"/>
      <c r="SNN50" s="44"/>
      <c r="SNO50" s="44"/>
      <c r="SNP50" s="44"/>
      <c r="SNQ50" s="44"/>
      <c r="SNR50" s="44"/>
      <c r="SNS50" s="44"/>
      <c r="SNT50" s="44"/>
      <c r="SNU50" s="44"/>
      <c r="SNV50" s="44"/>
      <c r="SNW50" s="44"/>
      <c r="SNX50" s="44"/>
      <c r="SNY50" s="44"/>
      <c r="SNZ50" s="44"/>
      <c r="SOA50" s="44"/>
      <c r="SOB50" s="44"/>
      <c r="SOC50" s="44"/>
      <c r="SOD50" s="44"/>
      <c r="SOE50" s="44"/>
      <c r="SOF50" s="44"/>
      <c r="SOG50" s="44"/>
      <c r="SOH50" s="44"/>
      <c r="SOI50" s="44"/>
      <c r="SOJ50" s="44"/>
      <c r="SOK50" s="44"/>
      <c r="SOL50" s="44"/>
      <c r="SOM50" s="44"/>
      <c r="SON50" s="44"/>
      <c r="SOO50" s="44"/>
      <c r="SOP50" s="44"/>
      <c r="SOQ50" s="44"/>
      <c r="SOR50" s="44"/>
      <c r="SOS50" s="44"/>
      <c r="SOT50" s="44"/>
      <c r="SOU50" s="44"/>
      <c r="SOV50" s="44"/>
      <c r="SOW50" s="44"/>
      <c r="SOX50" s="44"/>
      <c r="SOY50" s="44"/>
      <c r="SOZ50" s="44"/>
      <c r="SPA50" s="44"/>
      <c r="SPB50" s="44"/>
      <c r="SPC50" s="44"/>
      <c r="SPD50" s="44"/>
      <c r="SPE50" s="44"/>
      <c r="SPF50" s="44"/>
      <c r="SPG50" s="44"/>
      <c r="SPH50" s="44"/>
      <c r="SPI50" s="44"/>
      <c r="SPJ50" s="44"/>
      <c r="SPK50" s="44"/>
      <c r="SPL50" s="44"/>
      <c r="SPM50" s="44"/>
      <c r="SPN50" s="44"/>
      <c r="SPO50" s="44"/>
      <c r="SPP50" s="44"/>
      <c r="SPQ50" s="44"/>
      <c r="SPR50" s="44"/>
      <c r="SPS50" s="44"/>
      <c r="SPT50" s="44"/>
      <c r="SPU50" s="44"/>
      <c r="SPV50" s="44"/>
      <c r="SPW50" s="44"/>
      <c r="SPX50" s="44"/>
      <c r="SPY50" s="44"/>
      <c r="SPZ50" s="44"/>
      <c r="SQA50" s="44"/>
      <c r="SQB50" s="44"/>
      <c r="SQC50" s="44"/>
      <c r="SQD50" s="44"/>
      <c r="SQE50" s="44"/>
      <c r="SQF50" s="44"/>
      <c r="SQG50" s="44"/>
      <c r="SQH50" s="44"/>
      <c r="SQI50" s="44"/>
      <c r="SQJ50" s="44"/>
      <c r="SQK50" s="44"/>
      <c r="SQL50" s="44"/>
      <c r="SQM50" s="44"/>
      <c r="SQN50" s="44"/>
      <c r="SQO50" s="44"/>
      <c r="SQP50" s="44"/>
      <c r="SQQ50" s="44"/>
      <c r="SQR50" s="44"/>
      <c r="SQS50" s="44"/>
      <c r="SQT50" s="44"/>
      <c r="SQU50" s="44"/>
      <c r="SQV50" s="44"/>
      <c r="SQW50" s="44"/>
      <c r="SQX50" s="44"/>
      <c r="SQY50" s="44"/>
      <c r="SQZ50" s="44"/>
      <c r="SRA50" s="44"/>
      <c r="SRB50" s="44"/>
      <c r="SRC50" s="44"/>
      <c r="SRD50" s="44"/>
      <c r="SRE50" s="44"/>
      <c r="SRF50" s="44"/>
      <c r="SRG50" s="44"/>
      <c r="SRH50" s="44"/>
      <c r="SRI50" s="44"/>
      <c r="SRJ50" s="44"/>
      <c r="SRK50" s="44"/>
      <c r="SRL50" s="44"/>
      <c r="SRM50" s="44"/>
      <c r="SRN50" s="44"/>
      <c r="SRO50" s="44"/>
      <c r="SRP50" s="44"/>
      <c r="SRQ50" s="44"/>
      <c r="SRR50" s="44"/>
      <c r="SRS50" s="44"/>
      <c r="SRT50" s="44"/>
      <c r="SRU50" s="44"/>
      <c r="SRV50" s="44"/>
      <c r="SRW50" s="44"/>
      <c r="SRX50" s="44"/>
      <c r="SRY50" s="44"/>
      <c r="SRZ50" s="44"/>
      <c r="SSA50" s="44"/>
      <c r="SSB50" s="44"/>
      <c r="SSC50" s="44"/>
      <c r="SSD50" s="44"/>
      <c r="SSE50" s="44"/>
      <c r="SSF50" s="44"/>
      <c r="SSG50" s="44"/>
      <c r="SSH50" s="44"/>
      <c r="SSI50" s="44"/>
      <c r="SSJ50" s="44"/>
      <c r="SSK50" s="44"/>
      <c r="SSL50" s="44"/>
      <c r="SSM50" s="44"/>
      <c r="SSN50" s="44"/>
      <c r="SSO50" s="44"/>
      <c r="SSP50" s="44"/>
      <c r="SSQ50" s="44"/>
      <c r="SSR50" s="44"/>
      <c r="SSS50" s="44"/>
      <c r="SST50" s="44"/>
      <c r="SSU50" s="44"/>
      <c r="SSV50" s="44"/>
      <c r="SSW50" s="44"/>
      <c r="SSX50" s="44"/>
      <c r="SSY50" s="44"/>
      <c r="SSZ50" s="44"/>
      <c r="STA50" s="44"/>
      <c r="STB50" s="44"/>
      <c r="STC50" s="44"/>
      <c r="STD50" s="44"/>
      <c r="STE50" s="44"/>
      <c r="STF50" s="44"/>
      <c r="STG50" s="44"/>
      <c r="STH50" s="44"/>
      <c r="STI50" s="44"/>
      <c r="STJ50" s="44"/>
      <c r="STK50" s="44"/>
      <c r="STL50" s="44"/>
      <c r="STM50" s="44"/>
      <c r="STN50" s="44"/>
      <c r="STO50" s="44"/>
      <c r="STP50" s="44"/>
      <c r="STQ50" s="44"/>
      <c r="STR50" s="44"/>
      <c r="STS50" s="44"/>
      <c r="STT50" s="44"/>
      <c r="STU50" s="44"/>
      <c r="STV50" s="44"/>
      <c r="STW50" s="44"/>
      <c r="STX50" s="44"/>
      <c r="STY50" s="44"/>
      <c r="STZ50" s="44"/>
      <c r="SUA50" s="44"/>
      <c r="SUB50" s="44"/>
      <c r="SUC50" s="44"/>
      <c r="SUD50" s="44"/>
      <c r="SUE50" s="44"/>
      <c r="SUF50" s="44"/>
      <c r="SUG50" s="44"/>
      <c r="SUH50" s="44"/>
      <c r="SUI50" s="44"/>
      <c r="SUJ50" s="44"/>
      <c r="SUK50" s="44"/>
      <c r="SUL50" s="44"/>
      <c r="SUM50" s="44"/>
      <c r="SUN50" s="44"/>
      <c r="SUO50" s="44"/>
      <c r="SUP50" s="44"/>
      <c r="SUQ50" s="44"/>
      <c r="SUR50" s="44"/>
      <c r="SUS50" s="44"/>
      <c r="SUT50" s="44"/>
      <c r="SUU50" s="44"/>
      <c r="SUV50" s="44"/>
      <c r="SUW50" s="44"/>
      <c r="SUX50" s="44"/>
      <c r="SUY50" s="44"/>
      <c r="SUZ50" s="44"/>
      <c r="SVA50" s="44"/>
      <c r="SVB50" s="44"/>
      <c r="SVC50" s="44"/>
      <c r="SVD50" s="44"/>
      <c r="SVE50" s="44"/>
      <c r="SVF50" s="44"/>
      <c r="SVG50" s="44"/>
      <c r="SVH50" s="44"/>
      <c r="SVI50" s="44"/>
      <c r="SVJ50" s="44"/>
      <c r="SVK50" s="44"/>
      <c r="SVL50" s="44"/>
      <c r="SVM50" s="44"/>
      <c r="SVN50" s="44"/>
      <c r="SVO50" s="44"/>
      <c r="SVP50" s="44"/>
      <c r="SVQ50" s="44"/>
      <c r="SVR50" s="44"/>
      <c r="SVS50" s="44"/>
      <c r="SVT50" s="44"/>
      <c r="SVU50" s="44"/>
      <c r="SVV50" s="44"/>
      <c r="SVW50" s="44"/>
      <c r="SVX50" s="44"/>
      <c r="SVY50" s="44"/>
      <c r="SVZ50" s="44"/>
      <c r="SWA50" s="44"/>
      <c r="SWB50" s="44"/>
      <c r="SWC50" s="44"/>
      <c r="SWD50" s="44"/>
      <c r="SWE50" s="44"/>
      <c r="SWF50" s="44"/>
      <c r="SWG50" s="44"/>
      <c r="SWH50" s="44"/>
      <c r="SWI50" s="44"/>
      <c r="SWJ50" s="44"/>
      <c r="SWK50" s="44"/>
      <c r="SWL50" s="44"/>
      <c r="SWM50" s="44"/>
      <c r="SWN50" s="44"/>
      <c r="SWO50" s="44"/>
      <c r="SWP50" s="44"/>
      <c r="SWQ50" s="44"/>
      <c r="SWR50" s="44"/>
      <c r="SWS50" s="44"/>
      <c r="SWT50" s="44"/>
      <c r="SWU50" s="44"/>
      <c r="SWV50" s="44"/>
      <c r="SWW50" s="44"/>
      <c r="SWX50" s="44"/>
      <c r="SWY50" s="44"/>
      <c r="SWZ50" s="44"/>
      <c r="SXA50" s="44"/>
      <c r="SXB50" s="44"/>
      <c r="SXC50" s="44"/>
      <c r="SXD50" s="44"/>
      <c r="SXE50" s="44"/>
      <c r="SXF50" s="44"/>
      <c r="SXG50" s="44"/>
      <c r="SXH50" s="44"/>
      <c r="SXI50" s="44"/>
      <c r="SXJ50" s="44"/>
      <c r="SXK50" s="44"/>
      <c r="SXL50" s="44"/>
      <c r="SXM50" s="44"/>
      <c r="SXN50" s="44"/>
      <c r="SXO50" s="44"/>
      <c r="SXP50" s="44"/>
      <c r="SXQ50" s="44"/>
      <c r="SXR50" s="44"/>
      <c r="SXS50" s="44"/>
      <c r="SXT50" s="44"/>
      <c r="SXU50" s="44"/>
      <c r="SXV50" s="44"/>
      <c r="SXW50" s="44"/>
      <c r="SXX50" s="44"/>
      <c r="SXY50" s="44"/>
      <c r="SXZ50" s="44"/>
      <c r="SYA50" s="44"/>
      <c r="SYB50" s="44"/>
      <c r="SYC50" s="44"/>
      <c r="SYD50" s="44"/>
      <c r="SYE50" s="44"/>
      <c r="SYF50" s="44"/>
      <c r="SYG50" s="44"/>
      <c r="SYH50" s="44"/>
      <c r="SYI50" s="44"/>
      <c r="SYJ50" s="44"/>
      <c r="SYK50" s="44"/>
      <c r="SYL50" s="44"/>
      <c r="SYM50" s="44"/>
      <c r="SYN50" s="44"/>
      <c r="SYO50" s="44"/>
      <c r="SYP50" s="44"/>
      <c r="SYQ50" s="44"/>
      <c r="SYR50" s="44"/>
      <c r="SYS50" s="44"/>
      <c r="SYT50" s="44"/>
      <c r="SYU50" s="44"/>
      <c r="SYV50" s="44"/>
      <c r="SYW50" s="44"/>
      <c r="SYX50" s="44"/>
      <c r="SYY50" s="44"/>
      <c r="SYZ50" s="44"/>
      <c r="SZA50" s="44"/>
      <c r="SZB50" s="44"/>
      <c r="SZC50" s="44"/>
      <c r="SZD50" s="44"/>
      <c r="SZE50" s="44"/>
      <c r="SZF50" s="44"/>
      <c r="SZG50" s="44"/>
      <c r="SZH50" s="44"/>
      <c r="SZI50" s="44"/>
      <c r="SZJ50" s="44"/>
      <c r="SZK50" s="44"/>
      <c r="SZL50" s="44"/>
      <c r="SZM50" s="44"/>
      <c r="SZN50" s="44"/>
      <c r="SZO50" s="44"/>
      <c r="SZP50" s="44"/>
      <c r="SZQ50" s="44"/>
      <c r="SZR50" s="44"/>
      <c r="SZS50" s="44"/>
      <c r="SZT50" s="44"/>
      <c r="SZU50" s="44"/>
      <c r="SZV50" s="44"/>
      <c r="SZW50" s="44"/>
      <c r="SZX50" s="44"/>
      <c r="SZY50" s="44"/>
      <c r="SZZ50" s="44"/>
      <c r="TAA50" s="44"/>
      <c r="TAB50" s="44"/>
      <c r="TAC50" s="44"/>
      <c r="TAD50" s="44"/>
      <c r="TAE50" s="44"/>
      <c r="TAF50" s="44"/>
      <c r="TAG50" s="44"/>
      <c r="TAH50" s="44"/>
      <c r="TAI50" s="44"/>
      <c r="TAJ50" s="44"/>
      <c r="TAK50" s="44"/>
      <c r="TAL50" s="44"/>
      <c r="TAM50" s="44"/>
      <c r="TAN50" s="44"/>
      <c r="TAO50" s="44"/>
      <c r="TAP50" s="44"/>
      <c r="TAQ50" s="44"/>
      <c r="TAR50" s="44"/>
      <c r="TAS50" s="44"/>
      <c r="TAT50" s="44"/>
      <c r="TAU50" s="44"/>
      <c r="TAV50" s="44"/>
      <c r="TAW50" s="44"/>
      <c r="TAX50" s="44"/>
      <c r="TAY50" s="44"/>
      <c r="TAZ50" s="44"/>
      <c r="TBA50" s="44"/>
      <c r="TBB50" s="44"/>
      <c r="TBC50" s="44"/>
      <c r="TBD50" s="44"/>
      <c r="TBE50" s="44"/>
      <c r="TBF50" s="44"/>
      <c r="TBG50" s="44"/>
      <c r="TBH50" s="44"/>
      <c r="TBI50" s="44"/>
      <c r="TBJ50" s="44"/>
      <c r="TBK50" s="44"/>
      <c r="TBL50" s="44"/>
      <c r="TBM50" s="44"/>
      <c r="TBN50" s="44"/>
      <c r="TBO50" s="44"/>
      <c r="TBP50" s="44"/>
      <c r="TBQ50" s="44"/>
      <c r="TBR50" s="44"/>
      <c r="TBS50" s="44"/>
      <c r="TBT50" s="44"/>
      <c r="TBU50" s="44"/>
      <c r="TBV50" s="44"/>
      <c r="TBW50" s="44"/>
      <c r="TBX50" s="44"/>
      <c r="TBY50" s="44"/>
      <c r="TBZ50" s="44"/>
      <c r="TCA50" s="44"/>
      <c r="TCB50" s="44"/>
      <c r="TCC50" s="44"/>
      <c r="TCD50" s="44"/>
      <c r="TCE50" s="44"/>
      <c r="TCF50" s="44"/>
      <c r="TCG50" s="44"/>
      <c r="TCH50" s="44"/>
      <c r="TCI50" s="44"/>
      <c r="TCJ50" s="44"/>
      <c r="TCK50" s="44"/>
      <c r="TCL50" s="44"/>
      <c r="TCM50" s="44"/>
      <c r="TCN50" s="44"/>
      <c r="TCO50" s="44"/>
      <c r="TCP50" s="44"/>
      <c r="TCQ50" s="44"/>
      <c r="TCR50" s="44"/>
      <c r="TCS50" s="44"/>
      <c r="TCT50" s="44"/>
      <c r="TCU50" s="44"/>
      <c r="TCV50" s="44"/>
      <c r="TCW50" s="44"/>
      <c r="TCX50" s="44"/>
      <c r="TCY50" s="44"/>
      <c r="TCZ50" s="44"/>
      <c r="TDA50" s="44"/>
      <c r="TDB50" s="44"/>
      <c r="TDC50" s="44"/>
      <c r="TDD50" s="44"/>
      <c r="TDE50" s="44"/>
      <c r="TDF50" s="44"/>
      <c r="TDG50" s="44"/>
      <c r="TDH50" s="44"/>
      <c r="TDI50" s="44"/>
      <c r="TDJ50" s="44"/>
      <c r="TDK50" s="44"/>
      <c r="TDL50" s="44"/>
      <c r="TDM50" s="44"/>
      <c r="TDN50" s="44"/>
      <c r="TDO50" s="44"/>
      <c r="TDP50" s="44"/>
      <c r="TDQ50" s="44"/>
      <c r="TDR50" s="44"/>
      <c r="TDS50" s="44"/>
      <c r="TDT50" s="44"/>
      <c r="TDU50" s="44"/>
      <c r="TDV50" s="44"/>
      <c r="TDW50" s="44"/>
      <c r="TDX50" s="44"/>
      <c r="TDY50" s="44"/>
      <c r="TDZ50" s="44"/>
      <c r="TEA50" s="44"/>
      <c r="TEB50" s="44"/>
      <c r="TEC50" s="44"/>
      <c r="TED50" s="44"/>
      <c r="TEE50" s="44"/>
      <c r="TEF50" s="44"/>
      <c r="TEG50" s="44"/>
      <c r="TEH50" s="44"/>
      <c r="TEI50" s="44"/>
      <c r="TEJ50" s="44"/>
      <c r="TEK50" s="44"/>
      <c r="TEL50" s="44"/>
      <c r="TEM50" s="44"/>
      <c r="TEN50" s="44"/>
      <c r="TEO50" s="44"/>
      <c r="TEP50" s="44"/>
      <c r="TEQ50" s="44"/>
      <c r="TER50" s="44"/>
      <c r="TES50" s="44"/>
      <c r="TET50" s="44"/>
      <c r="TEU50" s="44"/>
      <c r="TEV50" s="44"/>
      <c r="TEW50" s="44"/>
      <c r="TEX50" s="44"/>
      <c r="TEY50" s="44"/>
      <c r="TEZ50" s="44"/>
      <c r="TFA50" s="44"/>
      <c r="TFB50" s="44"/>
      <c r="TFC50" s="44"/>
      <c r="TFD50" s="44"/>
      <c r="TFE50" s="44"/>
      <c r="TFF50" s="44"/>
      <c r="TFG50" s="44"/>
      <c r="TFH50" s="44"/>
      <c r="TFI50" s="44"/>
      <c r="TFJ50" s="44"/>
      <c r="TFK50" s="44"/>
      <c r="TFL50" s="44"/>
      <c r="TFM50" s="44"/>
      <c r="TFN50" s="44"/>
      <c r="TFO50" s="44"/>
      <c r="TFP50" s="44"/>
      <c r="TFQ50" s="44"/>
      <c r="TFR50" s="44"/>
      <c r="TFS50" s="44"/>
      <c r="TFT50" s="44"/>
      <c r="TFU50" s="44"/>
      <c r="TFV50" s="44"/>
      <c r="TFW50" s="44"/>
      <c r="TFX50" s="44"/>
      <c r="TFY50" s="44"/>
      <c r="TFZ50" s="44"/>
      <c r="TGA50" s="44"/>
      <c r="TGB50" s="44"/>
      <c r="TGC50" s="44"/>
      <c r="TGD50" s="44"/>
      <c r="TGE50" s="44"/>
      <c r="TGF50" s="44"/>
      <c r="TGG50" s="44"/>
      <c r="TGH50" s="44"/>
      <c r="TGI50" s="44"/>
      <c r="TGJ50" s="44"/>
      <c r="TGK50" s="44"/>
      <c r="TGL50" s="44"/>
      <c r="TGM50" s="44"/>
      <c r="TGN50" s="44"/>
      <c r="TGO50" s="44"/>
      <c r="TGP50" s="44"/>
      <c r="TGQ50" s="44"/>
      <c r="TGR50" s="44"/>
      <c r="TGS50" s="44"/>
      <c r="TGT50" s="44"/>
      <c r="TGU50" s="44"/>
      <c r="TGV50" s="44"/>
      <c r="TGW50" s="44"/>
      <c r="TGX50" s="44"/>
      <c r="TGY50" s="44"/>
      <c r="TGZ50" s="44"/>
      <c r="THA50" s="44"/>
      <c r="THB50" s="44"/>
      <c r="THC50" s="44"/>
      <c r="THD50" s="44"/>
      <c r="THE50" s="44"/>
      <c r="THF50" s="44"/>
      <c r="THG50" s="44"/>
      <c r="THH50" s="44"/>
      <c r="THI50" s="44"/>
      <c r="THJ50" s="44"/>
      <c r="THK50" s="44"/>
      <c r="THL50" s="44"/>
      <c r="THM50" s="44"/>
      <c r="THN50" s="44"/>
      <c r="THO50" s="44"/>
      <c r="THP50" s="44"/>
      <c r="THQ50" s="44"/>
      <c r="THR50" s="44"/>
      <c r="THS50" s="44"/>
      <c r="THT50" s="44"/>
      <c r="THU50" s="44"/>
      <c r="THV50" s="44"/>
      <c r="THW50" s="44"/>
      <c r="THX50" s="44"/>
      <c r="THY50" s="44"/>
      <c r="THZ50" s="44"/>
      <c r="TIA50" s="44"/>
      <c r="TIB50" s="44"/>
      <c r="TIC50" s="44"/>
      <c r="TID50" s="44"/>
      <c r="TIE50" s="44"/>
      <c r="TIF50" s="44"/>
      <c r="TIG50" s="44"/>
      <c r="TIH50" s="44"/>
      <c r="TII50" s="44"/>
      <c r="TIJ50" s="44"/>
      <c r="TIK50" s="44"/>
      <c r="TIL50" s="44"/>
      <c r="TIM50" s="44"/>
      <c r="TIN50" s="44"/>
      <c r="TIO50" s="44"/>
      <c r="TIP50" s="44"/>
      <c r="TIQ50" s="44"/>
      <c r="TIR50" s="44"/>
      <c r="TIS50" s="44"/>
      <c r="TIT50" s="44"/>
      <c r="TIU50" s="44"/>
      <c r="TIV50" s="44"/>
      <c r="TIW50" s="44"/>
      <c r="TIX50" s="44"/>
      <c r="TIY50" s="44"/>
      <c r="TIZ50" s="44"/>
      <c r="TJA50" s="44"/>
      <c r="TJB50" s="44"/>
      <c r="TJC50" s="44"/>
      <c r="TJD50" s="44"/>
      <c r="TJE50" s="44"/>
      <c r="TJF50" s="44"/>
      <c r="TJG50" s="44"/>
      <c r="TJH50" s="44"/>
      <c r="TJI50" s="44"/>
      <c r="TJJ50" s="44"/>
      <c r="TJK50" s="44"/>
      <c r="TJL50" s="44"/>
      <c r="TJM50" s="44"/>
      <c r="TJN50" s="44"/>
      <c r="TJO50" s="44"/>
      <c r="TJP50" s="44"/>
      <c r="TJQ50" s="44"/>
      <c r="TJR50" s="44"/>
      <c r="TJS50" s="44"/>
      <c r="TJT50" s="44"/>
      <c r="TJU50" s="44"/>
      <c r="TJV50" s="44"/>
      <c r="TJW50" s="44"/>
      <c r="TJX50" s="44"/>
      <c r="TJY50" s="44"/>
      <c r="TJZ50" s="44"/>
      <c r="TKA50" s="44"/>
      <c r="TKB50" s="44"/>
      <c r="TKC50" s="44"/>
      <c r="TKD50" s="44"/>
      <c r="TKE50" s="44"/>
      <c r="TKF50" s="44"/>
      <c r="TKG50" s="44"/>
      <c r="TKH50" s="44"/>
      <c r="TKI50" s="44"/>
      <c r="TKJ50" s="44"/>
      <c r="TKK50" s="44"/>
      <c r="TKL50" s="44"/>
      <c r="TKM50" s="44"/>
      <c r="TKN50" s="44"/>
      <c r="TKO50" s="44"/>
      <c r="TKP50" s="44"/>
      <c r="TKQ50" s="44"/>
      <c r="TKR50" s="44"/>
      <c r="TKS50" s="44"/>
      <c r="TKT50" s="44"/>
      <c r="TKU50" s="44"/>
      <c r="TKV50" s="44"/>
      <c r="TKW50" s="44"/>
      <c r="TKX50" s="44"/>
      <c r="TKY50" s="44"/>
      <c r="TKZ50" s="44"/>
      <c r="TLA50" s="44"/>
      <c r="TLB50" s="44"/>
      <c r="TLC50" s="44"/>
      <c r="TLD50" s="44"/>
      <c r="TLE50" s="44"/>
      <c r="TLF50" s="44"/>
      <c r="TLG50" s="44"/>
      <c r="TLH50" s="44"/>
      <c r="TLI50" s="44"/>
      <c r="TLJ50" s="44"/>
      <c r="TLK50" s="44"/>
      <c r="TLL50" s="44"/>
      <c r="TLM50" s="44"/>
      <c r="TLN50" s="44"/>
      <c r="TLO50" s="44"/>
      <c r="TLP50" s="44"/>
      <c r="TLQ50" s="44"/>
      <c r="TLR50" s="44"/>
      <c r="TLS50" s="44"/>
      <c r="TLT50" s="44"/>
      <c r="TLU50" s="44"/>
      <c r="TLV50" s="44"/>
      <c r="TLW50" s="44"/>
      <c r="TLX50" s="44"/>
      <c r="TLY50" s="44"/>
      <c r="TLZ50" s="44"/>
      <c r="TMA50" s="44"/>
      <c r="TMB50" s="44"/>
      <c r="TMC50" s="44"/>
      <c r="TMD50" s="44"/>
      <c r="TME50" s="44"/>
      <c r="TMF50" s="44"/>
      <c r="TMG50" s="44"/>
      <c r="TMH50" s="44"/>
      <c r="TMI50" s="44"/>
      <c r="TMJ50" s="44"/>
      <c r="TMK50" s="44"/>
      <c r="TML50" s="44"/>
      <c r="TMM50" s="44"/>
      <c r="TMN50" s="44"/>
      <c r="TMO50" s="44"/>
      <c r="TMP50" s="44"/>
      <c r="TMQ50" s="44"/>
      <c r="TMR50" s="44"/>
      <c r="TMS50" s="44"/>
      <c r="TMT50" s="44"/>
      <c r="TMU50" s="44"/>
      <c r="TMV50" s="44"/>
      <c r="TMW50" s="44"/>
      <c r="TMX50" s="44"/>
      <c r="TMY50" s="44"/>
      <c r="TMZ50" s="44"/>
      <c r="TNA50" s="44"/>
      <c r="TNB50" s="44"/>
      <c r="TNC50" s="44"/>
      <c r="TND50" s="44"/>
      <c r="TNE50" s="44"/>
      <c r="TNF50" s="44"/>
      <c r="TNG50" s="44"/>
      <c r="TNH50" s="44"/>
      <c r="TNI50" s="44"/>
      <c r="TNJ50" s="44"/>
      <c r="TNK50" s="44"/>
      <c r="TNL50" s="44"/>
      <c r="TNM50" s="44"/>
      <c r="TNN50" s="44"/>
      <c r="TNO50" s="44"/>
      <c r="TNP50" s="44"/>
      <c r="TNQ50" s="44"/>
      <c r="TNR50" s="44"/>
      <c r="TNS50" s="44"/>
      <c r="TNT50" s="44"/>
      <c r="TNU50" s="44"/>
      <c r="TNV50" s="44"/>
      <c r="TNW50" s="44"/>
      <c r="TNX50" s="44"/>
      <c r="TNY50" s="44"/>
      <c r="TNZ50" s="44"/>
      <c r="TOA50" s="44"/>
      <c r="TOB50" s="44"/>
      <c r="TOC50" s="44"/>
      <c r="TOD50" s="44"/>
      <c r="TOE50" s="44"/>
      <c r="TOF50" s="44"/>
      <c r="TOG50" s="44"/>
      <c r="TOH50" s="44"/>
      <c r="TOI50" s="44"/>
      <c r="TOJ50" s="44"/>
      <c r="TOK50" s="44"/>
      <c r="TOL50" s="44"/>
      <c r="TOM50" s="44"/>
      <c r="TON50" s="44"/>
      <c r="TOO50" s="44"/>
      <c r="TOP50" s="44"/>
      <c r="TOQ50" s="44"/>
      <c r="TOR50" s="44"/>
      <c r="TOS50" s="44"/>
      <c r="TOT50" s="44"/>
      <c r="TOU50" s="44"/>
      <c r="TOV50" s="44"/>
      <c r="TOW50" s="44"/>
      <c r="TOX50" s="44"/>
      <c r="TOY50" s="44"/>
      <c r="TOZ50" s="44"/>
      <c r="TPA50" s="44"/>
      <c r="TPB50" s="44"/>
      <c r="TPC50" s="44"/>
      <c r="TPD50" s="44"/>
      <c r="TPE50" s="44"/>
      <c r="TPF50" s="44"/>
      <c r="TPG50" s="44"/>
      <c r="TPH50" s="44"/>
      <c r="TPI50" s="44"/>
      <c r="TPJ50" s="44"/>
      <c r="TPK50" s="44"/>
      <c r="TPL50" s="44"/>
      <c r="TPM50" s="44"/>
      <c r="TPN50" s="44"/>
      <c r="TPO50" s="44"/>
      <c r="TPP50" s="44"/>
      <c r="TPQ50" s="44"/>
      <c r="TPR50" s="44"/>
      <c r="TPS50" s="44"/>
      <c r="TPT50" s="44"/>
      <c r="TPU50" s="44"/>
      <c r="TPV50" s="44"/>
      <c r="TPW50" s="44"/>
      <c r="TPX50" s="44"/>
      <c r="TPY50" s="44"/>
      <c r="TPZ50" s="44"/>
      <c r="TQA50" s="44"/>
      <c r="TQB50" s="44"/>
      <c r="TQC50" s="44"/>
      <c r="TQD50" s="44"/>
      <c r="TQE50" s="44"/>
      <c r="TQF50" s="44"/>
      <c r="TQG50" s="44"/>
      <c r="TQH50" s="44"/>
      <c r="TQI50" s="44"/>
      <c r="TQJ50" s="44"/>
      <c r="TQK50" s="44"/>
      <c r="TQL50" s="44"/>
      <c r="TQM50" s="44"/>
      <c r="TQN50" s="44"/>
      <c r="TQO50" s="44"/>
      <c r="TQP50" s="44"/>
      <c r="TQQ50" s="44"/>
      <c r="TQR50" s="44"/>
      <c r="TQS50" s="44"/>
      <c r="TQT50" s="44"/>
      <c r="TQU50" s="44"/>
      <c r="TQV50" s="44"/>
      <c r="TQW50" s="44"/>
      <c r="TQX50" s="44"/>
      <c r="TQY50" s="44"/>
      <c r="TQZ50" s="44"/>
      <c r="TRA50" s="44"/>
      <c r="TRB50" s="44"/>
      <c r="TRC50" s="44"/>
      <c r="TRD50" s="44"/>
      <c r="TRE50" s="44"/>
      <c r="TRF50" s="44"/>
      <c r="TRG50" s="44"/>
      <c r="TRH50" s="44"/>
      <c r="TRI50" s="44"/>
      <c r="TRJ50" s="44"/>
      <c r="TRK50" s="44"/>
      <c r="TRL50" s="44"/>
      <c r="TRM50" s="44"/>
      <c r="TRN50" s="44"/>
      <c r="TRO50" s="44"/>
      <c r="TRP50" s="44"/>
      <c r="TRQ50" s="44"/>
      <c r="TRR50" s="44"/>
      <c r="TRS50" s="44"/>
      <c r="TRT50" s="44"/>
      <c r="TRU50" s="44"/>
      <c r="TRV50" s="44"/>
      <c r="TRW50" s="44"/>
      <c r="TRX50" s="44"/>
      <c r="TRY50" s="44"/>
      <c r="TRZ50" s="44"/>
      <c r="TSA50" s="44"/>
      <c r="TSB50" s="44"/>
      <c r="TSC50" s="44"/>
      <c r="TSD50" s="44"/>
      <c r="TSE50" s="44"/>
      <c r="TSF50" s="44"/>
      <c r="TSG50" s="44"/>
      <c r="TSH50" s="44"/>
      <c r="TSI50" s="44"/>
      <c r="TSJ50" s="44"/>
      <c r="TSK50" s="44"/>
      <c r="TSL50" s="44"/>
      <c r="TSM50" s="44"/>
      <c r="TSN50" s="44"/>
      <c r="TSO50" s="44"/>
      <c r="TSP50" s="44"/>
      <c r="TSQ50" s="44"/>
      <c r="TSR50" s="44"/>
      <c r="TSS50" s="44"/>
      <c r="TST50" s="44"/>
      <c r="TSU50" s="44"/>
      <c r="TSV50" s="44"/>
      <c r="TSW50" s="44"/>
      <c r="TSX50" s="44"/>
      <c r="TSY50" s="44"/>
      <c r="TSZ50" s="44"/>
      <c r="TTA50" s="44"/>
      <c r="TTB50" s="44"/>
      <c r="TTC50" s="44"/>
      <c r="TTD50" s="44"/>
      <c r="TTE50" s="44"/>
      <c r="TTF50" s="44"/>
      <c r="TTG50" s="44"/>
      <c r="TTH50" s="44"/>
      <c r="TTI50" s="44"/>
      <c r="TTJ50" s="44"/>
      <c r="TTK50" s="44"/>
      <c r="TTL50" s="44"/>
      <c r="TTM50" s="44"/>
      <c r="TTN50" s="44"/>
      <c r="TTO50" s="44"/>
      <c r="TTP50" s="44"/>
      <c r="TTQ50" s="44"/>
      <c r="TTR50" s="44"/>
      <c r="TTS50" s="44"/>
      <c r="TTT50" s="44"/>
      <c r="TTU50" s="44"/>
      <c r="TTV50" s="44"/>
      <c r="TTW50" s="44"/>
      <c r="TTX50" s="44"/>
      <c r="TTY50" s="44"/>
      <c r="TTZ50" s="44"/>
      <c r="TUA50" s="44"/>
      <c r="TUB50" s="44"/>
      <c r="TUC50" s="44"/>
      <c r="TUD50" s="44"/>
      <c r="TUE50" s="44"/>
      <c r="TUF50" s="44"/>
      <c r="TUG50" s="44"/>
      <c r="TUH50" s="44"/>
      <c r="TUI50" s="44"/>
      <c r="TUJ50" s="44"/>
      <c r="TUK50" s="44"/>
      <c r="TUL50" s="44"/>
      <c r="TUM50" s="44"/>
      <c r="TUN50" s="44"/>
      <c r="TUO50" s="44"/>
      <c r="TUP50" s="44"/>
      <c r="TUQ50" s="44"/>
      <c r="TUR50" s="44"/>
      <c r="TUS50" s="44"/>
      <c r="TUT50" s="44"/>
      <c r="TUU50" s="44"/>
      <c r="TUV50" s="44"/>
      <c r="TUW50" s="44"/>
      <c r="TUX50" s="44"/>
      <c r="TUY50" s="44"/>
      <c r="TUZ50" s="44"/>
      <c r="TVA50" s="44"/>
      <c r="TVB50" s="44"/>
      <c r="TVC50" s="44"/>
      <c r="TVD50" s="44"/>
      <c r="TVE50" s="44"/>
      <c r="TVF50" s="44"/>
      <c r="TVG50" s="44"/>
      <c r="TVH50" s="44"/>
      <c r="TVI50" s="44"/>
      <c r="TVJ50" s="44"/>
      <c r="TVK50" s="44"/>
      <c r="TVL50" s="44"/>
      <c r="TVM50" s="44"/>
      <c r="TVN50" s="44"/>
      <c r="TVO50" s="44"/>
      <c r="TVP50" s="44"/>
      <c r="TVQ50" s="44"/>
      <c r="TVR50" s="44"/>
      <c r="TVS50" s="44"/>
      <c r="TVT50" s="44"/>
      <c r="TVU50" s="44"/>
      <c r="TVV50" s="44"/>
      <c r="TVW50" s="44"/>
      <c r="TVX50" s="44"/>
      <c r="TVY50" s="44"/>
      <c r="TVZ50" s="44"/>
      <c r="TWA50" s="44"/>
      <c r="TWB50" s="44"/>
      <c r="TWC50" s="44"/>
      <c r="TWD50" s="44"/>
      <c r="TWE50" s="44"/>
      <c r="TWF50" s="44"/>
      <c r="TWG50" s="44"/>
      <c r="TWH50" s="44"/>
      <c r="TWI50" s="44"/>
      <c r="TWJ50" s="44"/>
      <c r="TWK50" s="44"/>
      <c r="TWL50" s="44"/>
      <c r="TWM50" s="44"/>
      <c r="TWN50" s="44"/>
      <c r="TWO50" s="44"/>
      <c r="TWP50" s="44"/>
      <c r="TWQ50" s="44"/>
      <c r="TWR50" s="44"/>
      <c r="TWS50" s="44"/>
      <c r="TWT50" s="44"/>
      <c r="TWU50" s="44"/>
      <c r="TWV50" s="44"/>
      <c r="TWW50" s="44"/>
      <c r="TWX50" s="44"/>
      <c r="TWY50" s="44"/>
      <c r="TWZ50" s="44"/>
      <c r="TXA50" s="44"/>
      <c r="TXB50" s="44"/>
      <c r="TXC50" s="44"/>
      <c r="TXD50" s="44"/>
      <c r="TXE50" s="44"/>
      <c r="TXF50" s="44"/>
      <c r="TXG50" s="44"/>
      <c r="TXH50" s="44"/>
      <c r="TXI50" s="44"/>
      <c r="TXJ50" s="44"/>
      <c r="TXK50" s="44"/>
      <c r="TXL50" s="44"/>
      <c r="TXM50" s="44"/>
      <c r="TXN50" s="44"/>
      <c r="TXO50" s="44"/>
      <c r="TXP50" s="44"/>
      <c r="TXQ50" s="44"/>
      <c r="TXR50" s="44"/>
      <c r="TXS50" s="44"/>
      <c r="TXT50" s="44"/>
      <c r="TXU50" s="44"/>
      <c r="TXV50" s="44"/>
      <c r="TXW50" s="44"/>
      <c r="TXX50" s="44"/>
      <c r="TXY50" s="44"/>
      <c r="TXZ50" s="44"/>
      <c r="TYA50" s="44"/>
      <c r="TYB50" s="44"/>
      <c r="TYC50" s="44"/>
      <c r="TYD50" s="44"/>
      <c r="TYE50" s="44"/>
      <c r="TYF50" s="44"/>
      <c r="TYG50" s="44"/>
      <c r="TYH50" s="44"/>
      <c r="TYI50" s="44"/>
      <c r="TYJ50" s="44"/>
      <c r="TYK50" s="44"/>
      <c r="TYL50" s="44"/>
      <c r="TYM50" s="44"/>
      <c r="TYN50" s="44"/>
      <c r="TYO50" s="44"/>
      <c r="TYP50" s="44"/>
      <c r="TYQ50" s="44"/>
      <c r="TYR50" s="44"/>
      <c r="TYS50" s="44"/>
      <c r="TYT50" s="44"/>
      <c r="TYU50" s="44"/>
      <c r="TYV50" s="44"/>
      <c r="TYW50" s="44"/>
      <c r="TYX50" s="44"/>
      <c r="TYY50" s="44"/>
      <c r="TYZ50" s="44"/>
      <c r="TZA50" s="44"/>
      <c r="TZB50" s="44"/>
      <c r="TZC50" s="44"/>
      <c r="TZD50" s="44"/>
      <c r="TZE50" s="44"/>
      <c r="TZF50" s="44"/>
      <c r="TZG50" s="44"/>
      <c r="TZH50" s="44"/>
      <c r="TZI50" s="44"/>
      <c r="TZJ50" s="44"/>
      <c r="TZK50" s="44"/>
      <c r="TZL50" s="44"/>
      <c r="TZM50" s="44"/>
      <c r="TZN50" s="44"/>
      <c r="TZO50" s="44"/>
      <c r="TZP50" s="44"/>
      <c r="TZQ50" s="44"/>
      <c r="TZR50" s="44"/>
      <c r="TZS50" s="44"/>
      <c r="TZT50" s="44"/>
      <c r="TZU50" s="44"/>
      <c r="TZV50" s="44"/>
      <c r="TZW50" s="44"/>
      <c r="TZX50" s="44"/>
      <c r="TZY50" s="44"/>
      <c r="TZZ50" s="44"/>
      <c r="UAA50" s="44"/>
      <c r="UAB50" s="44"/>
      <c r="UAC50" s="44"/>
      <c r="UAD50" s="44"/>
      <c r="UAE50" s="44"/>
      <c r="UAF50" s="44"/>
      <c r="UAG50" s="44"/>
      <c r="UAH50" s="44"/>
      <c r="UAI50" s="44"/>
      <c r="UAJ50" s="44"/>
      <c r="UAK50" s="44"/>
      <c r="UAL50" s="44"/>
      <c r="UAM50" s="44"/>
      <c r="UAN50" s="44"/>
      <c r="UAO50" s="44"/>
      <c r="UAP50" s="44"/>
      <c r="UAQ50" s="44"/>
      <c r="UAR50" s="44"/>
      <c r="UAS50" s="44"/>
      <c r="UAT50" s="44"/>
      <c r="UAU50" s="44"/>
      <c r="UAV50" s="44"/>
      <c r="UAW50" s="44"/>
      <c r="UAX50" s="44"/>
      <c r="UAY50" s="44"/>
      <c r="UAZ50" s="44"/>
      <c r="UBA50" s="44"/>
      <c r="UBB50" s="44"/>
      <c r="UBC50" s="44"/>
      <c r="UBD50" s="44"/>
      <c r="UBE50" s="44"/>
      <c r="UBF50" s="44"/>
      <c r="UBG50" s="44"/>
      <c r="UBH50" s="44"/>
      <c r="UBI50" s="44"/>
      <c r="UBJ50" s="44"/>
      <c r="UBK50" s="44"/>
      <c r="UBL50" s="44"/>
      <c r="UBM50" s="44"/>
      <c r="UBN50" s="44"/>
      <c r="UBO50" s="44"/>
      <c r="UBP50" s="44"/>
      <c r="UBQ50" s="44"/>
      <c r="UBR50" s="44"/>
      <c r="UBS50" s="44"/>
      <c r="UBT50" s="44"/>
      <c r="UBU50" s="44"/>
      <c r="UBV50" s="44"/>
      <c r="UBW50" s="44"/>
      <c r="UBX50" s="44"/>
      <c r="UBY50" s="44"/>
      <c r="UBZ50" s="44"/>
      <c r="UCA50" s="44"/>
      <c r="UCB50" s="44"/>
      <c r="UCC50" s="44"/>
      <c r="UCD50" s="44"/>
      <c r="UCE50" s="44"/>
      <c r="UCF50" s="44"/>
      <c r="UCG50" s="44"/>
      <c r="UCH50" s="44"/>
      <c r="UCI50" s="44"/>
      <c r="UCJ50" s="44"/>
      <c r="UCK50" s="44"/>
      <c r="UCL50" s="44"/>
      <c r="UCM50" s="44"/>
      <c r="UCN50" s="44"/>
      <c r="UCO50" s="44"/>
      <c r="UCP50" s="44"/>
      <c r="UCQ50" s="44"/>
      <c r="UCR50" s="44"/>
      <c r="UCS50" s="44"/>
      <c r="UCT50" s="44"/>
      <c r="UCU50" s="44"/>
      <c r="UCV50" s="44"/>
      <c r="UCW50" s="44"/>
      <c r="UCX50" s="44"/>
      <c r="UCY50" s="44"/>
      <c r="UCZ50" s="44"/>
      <c r="UDA50" s="44"/>
      <c r="UDB50" s="44"/>
      <c r="UDC50" s="44"/>
      <c r="UDD50" s="44"/>
      <c r="UDE50" s="44"/>
      <c r="UDF50" s="44"/>
      <c r="UDG50" s="44"/>
      <c r="UDH50" s="44"/>
      <c r="UDI50" s="44"/>
      <c r="UDJ50" s="44"/>
      <c r="UDK50" s="44"/>
      <c r="UDL50" s="44"/>
      <c r="UDM50" s="44"/>
      <c r="UDN50" s="44"/>
      <c r="UDO50" s="44"/>
      <c r="UDP50" s="44"/>
      <c r="UDQ50" s="44"/>
      <c r="UDR50" s="44"/>
      <c r="UDS50" s="44"/>
      <c r="UDT50" s="44"/>
      <c r="UDU50" s="44"/>
      <c r="UDV50" s="44"/>
      <c r="UDW50" s="44"/>
      <c r="UDX50" s="44"/>
      <c r="UDY50" s="44"/>
      <c r="UDZ50" s="44"/>
      <c r="UEA50" s="44"/>
      <c r="UEB50" s="44"/>
      <c r="UEC50" s="44"/>
      <c r="UED50" s="44"/>
      <c r="UEE50" s="44"/>
      <c r="UEF50" s="44"/>
      <c r="UEG50" s="44"/>
      <c r="UEH50" s="44"/>
      <c r="UEI50" s="44"/>
      <c r="UEJ50" s="44"/>
      <c r="UEK50" s="44"/>
      <c r="UEL50" s="44"/>
      <c r="UEM50" s="44"/>
      <c r="UEN50" s="44"/>
      <c r="UEO50" s="44"/>
      <c r="UEP50" s="44"/>
      <c r="UEQ50" s="44"/>
      <c r="UER50" s="44"/>
      <c r="UES50" s="44"/>
      <c r="UET50" s="44"/>
      <c r="UEU50" s="44"/>
      <c r="UEV50" s="44"/>
      <c r="UEW50" s="44"/>
      <c r="UEX50" s="44"/>
      <c r="UEY50" s="44"/>
      <c r="UEZ50" s="44"/>
      <c r="UFA50" s="44"/>
      <c r="UFB50" s="44"/>
      <c r="UFC50" s="44"/>
      <c r="UFD50" s="44"/>
      <c r="UFE50" s="44"/>
      <c r="UFF50" s="44"/>
      <c r="UFG50" s="44"/>
      <c r="UFH50" s="44"/>
      <c r="UFI50" s="44"/>
      <c r="UFJ50" s="44"/>
      <c r="UFK50" s="44"/>
      <c r="UFL50" s="44"/>
      <c r="UFM50" s="44"/>
      <c r="UFN50" s="44"/>
      <c r="UFO50" s="44"/>
      <c r="UFP50" s="44"/>
      <c r="UFQ50" s="44"/>
      <c r="UFR50" s="44"/>
      <c r="UFS50" s="44"/>
      <c r="UFT50" s="44"/>
      <c r="UFU50" s="44"/>
      <c r="UFV50" s="44"/>
      <c r="UFW50" s="44"/>
      <c r="UFX50" s="44"/>
      <c r="UFY50" s="44"/>
      <c r="UFZ50" s="44"/>
      <c r="UGA50" s="44"/>
      <c r="UGB50" s="44"/>
      <c r="UGC50" s="44"/>
      <c r="UGD50" s="44"/>
      <c r="UGE50" s="44"/>
      <c r="UGF50" s="44"/>
      <c r="UGG50" s="44"/>
      <c r="UGH50" s="44"/>
      <c r="UGI50" s="44"/>
      <c r="UGJ50" s="44"/>
      <c r="UGK50" s="44"/>
      <c r="UGL50" s="44"/>
      <c r="UGM50" s="44"/>
      <c r="UGN50" s="44"/>
      <c r="UGO50" s="44"/>
      <c r="UGP50" s="44"/>
      <c r="UGQ50" s="44"/>
      <c r="UGR50" s="44"/>
      <c r="UGS50" s="44"/>
      <c r="UGT50" s="44"/>
      <c r="UGU50" s="44"/>
      <c r="UGV50" s="44"/>
      <c r="UGW50" s="44"/>
      <c r="UGX50" s="44"/>
      <c r="UGY50" s="44"/>
      <c r="UGZ50" s="44"/>
      <c r="UHA50" s="44"/>
      <c r="UHB50" s="44"/>
      <c r="UHC50" s="44"/>
      <c r="UHD50" s="44"/>
      <c r="UHE50" s="44"/>
      <c r="UHF50" s="44"/>
      <c r="UHG50" s="44"/>
      <c r="UHH50" s="44"/>
      <c r="UHI50" s="44"/>
      <c r="UHJ50" s="44"/>
      <c r="UHK50" s="44"/>
      <c r="UHL50" s="44"/>
      <c r="UHM50" s="44"/>
      <c r="UHN50" s="44"/>
      <c r="UHO50" s="44"/>
      <c r="UHP50" s="44"/>
      <c r="UHQ50" s="44"/>
      <c r="UHR50" s="44"/>
      <c r="UHS50" s="44"/>
      <c r="UHT50" s="44"/>
      <c r="UHU50" s="44"/>
      <c r="UHV50" s="44"/>
      <c r="UHW50" s="44"/>
      <c r="UHX50" s="44"/>
      <c r="UHY50" s="44"/>
      <c r="UHZ50" s="44"/>
      <c r="UIA50" s="44"/>
      <c r="UIB50" s="44"/>
      <c r="UIC50" s="44"/>
      <c r="UID50" s="44"/>
      <c r="UIE50" s="44"/>
      <c r="UIF50" s="44"/>
      <c r="UIG50" s="44"/>
      <c r="UIH50" s="44"/>
      <c r="UII50" s="44"/>
      <c r="UIJ50" s="44"/>
      <c r="UIK50" s="44"/>
      <c r="UIL50" s="44"/>
      <c r="UIM50" s="44"/>
      <c r="UIN50" s="44"/>
      <c r="UIO50" s="44"/>
      <c r="UIP50" s="44"/>
      <c r="UIQ50" s="44"/>
      <c r="UIR50" s="44"/>
      <c r="UIS50" s="44"/>
      <c r="UIT50" s="44"/>
      <c r="UIU50" s="44"/>
      <c r="UIV50" s="44"/>
      <c r="UIW50" s="44"/>
      <c r="UIX50" s="44"/>
      <c r="UIY50" s="44"/>
      <c r="UIZ50" s="44"/>
      <c r="UJA50" s="44"/>
      <c r="UJB50" s="44"/>
      <c r="UJC50" s="44"/>
      <c r="UJD50" s="44"/>
      <c r="UJE50" s="44"/>
      <c r="UJF50" s="44"/>
      <c r="UJG50" s="44"/>
      <c r="UJH50" s="44"/>
      <c r="UJI50" s="44"/>
      <c r="UJJ50" s="44"/>
      <c r="UJK50" s="44"/>
      <c r="UJL50" s="44"/>
      <c r="UJM50" s="44"/>
      <c r="UJN50" s="44"/>
      <c r="UJO50" s="44"/>
      <c r="UJP50" s="44"/>
      <c r="UJQ50" s="44"/>
      <c r="UJR50" s="44"/>
      <c r="UJS50" s="44"/>
      <c r="UJT50" s="44"/>
      <c r="UJU50" s="44"/>
      <c r="UJV50" s="44"/>
      <c r="UJW50" s="44"/>
      <c r="UJX50" s="44"/>
      <c r="UJY50" s="44"/>
      <c r="UJZ50" s="44"/>
      <c r="UKA50" s="44"/>
      <c r="UKB50" s="44"/>
      <c r="UKC50" s="44"/>
      <c r="UKD50" s="44"/>
      <c r="UKE50" s="44"/>
      <c r="UKF50" s="44"/>
      <c r="UKG50" s="44"/>
      <c r="UKH50" s="44"/>
      <c r="UKI50" s="44"/>
      <c r="UKJ50" s="44"/>
      <c r="UKK50" s="44"/>
      <c r="UKL50" s="44"/>
      <c r="UKM50" s="44"/>
      <c r="UKN50" s="44"/>
      <c r="UKO50" s="44"/>
      <c r="UKP50" s="44"/>
      <c r="UKQ50" s="44"/>
      <c r="UKR50" s="44"/>
      <c r="UKS50" s="44"/>
      <c r="UKT50" s="44"/>
      <c r="UKU50" s="44"/>
      <c r="UKV50" s="44"/>
      <c r="UKW50" s="44"/>
      <c r="UKX50" s="44"/>
      <c r="UKY50" s="44"/>
      <c r="UKZ50" s="44"/>
      <c r="ULA50" s="44"/>
      <c r="ULB50" s="44"/>
      <c r="ULC50" s="44"/>
      <c r="ULD50" s="44"/>
      <c r="ULE50" s="44"/>
      <c r="ULF50" s="44"/>
      <c r="ULG50" s="44"/>
      <c r="ULH50" s="44"/>
      <c r="ULI50" s="44"/>
      <c r="ULJ50" s="44"/>
      <c r="ULK50" s="44"/>
      <c r="ULL50" s="44"/>
      <c r="ULM50" s="44"/>
      <c r="ULN50" s="44"/>
      <c r="ULO50" s="44"/>
      <c r="ULP50" s="44"/>
      <c r="ULQ50" s="44"/>
      <c r="ULR50" s="44"/>
      <c r="ULS50" s="44"/>
      <c r="ULT50" s="44"/>
      <c r="ULU50" s="44"/>
      <c r="ULV50" s="44"/>
      <c r="ULW50" s="44"/>
      <c r="ULX50" s="44"/>
      <c r="ULY50" s="44"/>
      <c r="ULZ50" s="44"/>
      <c r="UMA50" s="44"/>
      <c r="UMB50" s="44"/>
      <c r="UMC50" s="44"/>
      <c r="UMD50" s="44"/>
      <c r="UME50" s="44"/>
      <c r="UMF50" s="44"/>
      <c r="UMG50" s="44"/>
      <c r="UMH50" s="44"/>
      <c r="UMI50" s="44"/>
      <c r="UMJ50" s="44"/>
      <c r="UMK50" s="44"/>
      <c r="UML50" s="44"/>
      <c r="UMM50" s="44"/>
      <c r="UMN50" s="44"/>
      <c r="UMO50" s="44"/>
      <c r="UMP50" s="44"/>
      <c r="UMQ50" s="44"/>
      <c r="UMR50" s="44"/>
      <c r="UMS50" s="44"/>
      <c r="UMT50" s="44"/>
      <c r="UMU50" s="44"/>
      <c r="UMV50" s="44"/>
      <c r="UMW50" s="44"/>
      <c r="UMX50" s="44"/>
      <c r="UMY50" s="44"/>
      <c r="UMZ50" s="44"/>
      <c r="UNA50" s="44"/>
      <c r="UNB50" s="44"/>
      <c r="UNC50" s="44"/>
      <c r="UND50" s="44"/>
      <c r="UNE50" s="44"/>
      <c r="UNF50" s="44"/>
      <c r="UNG50" s="44"/>
      <c r="UNH50" s="44"/>
      <c r="UNI50" s="44"/>
      <c r="UNJ50" s="44"/>
      <c r="UNK50" s="44"/>
      <c r="UNL50" s="44"/>
      <c r="UNM50" s="44"/>
      <c r="UNN50" s="44"/>
      <c r="UNO50" s="44"/>
      <c r="UNP50" s="44"/>
      <c r="UNQ50" s="44"/>
      <c r="UNR50" s="44"/>
      <c r="UNS50" s="44"/>
      <c r="UNT50" s="44"/>
      <c r="UNU50" s="44"/>
      <c r="UNV50" s="44"/>
      <c r="UNW50" s="44"/>
      <c r="UNX50" s="44"/>
      <c r="UNY50" s="44"/>
      <c r="UNZ50" s="44"/>
      <c r="UOA50" s="44"/>
      <c r="UOB50" s="44"/>
      <c r="UOC50" s="44"/>
      <c r="UOD50" s="44"/>
      <c r="UOE50" s="44"/>
      <c r="UOF50" s="44"/>
      <c r="UOG50" s="44"/>
      <c r="UOH50" s="44"/>
      <c r="UOI50" s="44"/>
      <c r="UOJ50" s="44"/>
      <c r="UOK50" s="44"/>
      <c r="UOL50" s="44"/>
      <c r="UOM50" s="44"/>
      <c r="UON50" s="44"/>
      <c r="UOO50" s="44"/>
      <c r="UOP50" s="44"/>
      <c r="UOQ50" s="44"/>
      <c r="UOR50" s="44"/>
      <c r="UOS50" s="44"/>
      <c r="UOT50" s="44"/>
      <c r="UOU50" s="44"/>
      <c r="UOV50" s="44"/>
      <c r="UOW50" s="44"/>
      <c r="UOX50" s="44"/>
      <c r="UOY50" s="44"/>
      <c r="UOZ50" s="44"/>
      <c r="UPA50" s="44"/>
      <c r="UPB50" s="44"/>
      <c r="UPC50" s="44"/>
      <c r="UPD50" s="44"/>
      <c r="UPE50" s="44"/>
      <c r="UPF50" s="44"/>
      <c r="UPG50" s="44"/>
      <c r="UPH50" s="44"/>
      <c r="UPI50" s="44"/>
      <c r="UPJ50" s="44"/>
      <c r="UPK50" s="44"/>
      <c r="UPL50" s="44"/>
      <c r="UPM50" s="44"/>
      <c r="UPN50" s="44"/>
      <c r="UPO50" s="44"/>
      <c r="UPP50" s="44"/>
      <c r="UPQ50" s="44"/>
      <c r="UPR50" s="44"/>
      <c r="UPS50" s="44"/>
      <c r="UPT50" s="44"/>
      <c r="UPU50" s="44"/>
      <c r="UPV50" s="44"/>
      <c r="UPW50" s="44"/>
      <c r="UPX50" s="44"/>
      <c r="UPY50" s="44"/>
      <c r="UPZ50" s="44"/>
      <c r="UQA50" s="44"/>
      <c r="UQB50" s="44"/>
      <c r="UQC50" s="44"/>
      <c r="UQD50" s="44"/>
      <c r="UQE50" s="44"/>
      <c r="UQF50" s="44"/>
      <c r="UQG50" s="44"/>
      <c r="UQH50" s="44"/>
      <c r="UQI50" s="44"/>
      <c r="UQJ50" s="44"/>
      <c r="UQK50" s="44"/>
      <c r="UQL50" s="44"/>
      <c r="UQM50" s="44"/>
      <c r="UQN50" s="44"/>
      <c r="UQO50" s="44"/>
      <c r="UQP50" s="44"/>
      <c r="UQQ50" s="44"/>
      <c r="UQR50" s="44"/>
      <c r="UQS50" s="44"/>
      <c r="UQT50" s="44"/>
      <c r="UQU50" s="44"/>
      <c r="UQV50" s="44"/>
      <c r="UQW50" s="44"/>
      <c r="UQX50" s="44"/>
      <c r="UQY50" s="44"/>
      <c r="UQZ50" s="44"/>
      <c r="URA50" s="44"/>
      <c r="URB50" s="44"/>
      <c r="URC50" s="44"/>
      <c r="URD50" s="44"/>
      <c r="URE50" s="44"/>
      <c r="URF50" s="44"/>
      <c r="URG50" s="44"/>
      <c r="URH50" s="44"/>
      <c r="URI50" s="44"/>
      <c r="URJ50" s="44"/>
      <c r="URK50" s="44"/>
      <c r="URL50" s="44"/>
      <c r="URM50" s="44"/>
      <c r="URN50" s="44"/>
      <c r="URO50" s="44"/>
      <c r="URP50" s="44"/>
      <c r="URQ50" s="44"/>
      <c r="URR50" s="44"/>
      <c r="URS50" s="44"/>
      <c r="URT50" s="44"/>
      <c r="URU50" s="44"/>
      <c r="URV50" s="44"/>
      <c r="URW50" s="44"/>
      <c r="URX50" s="44"/>
      <c r="URY50" s="44"/>
      <c r="URZ50" s="44"/>
      <c r="USA50" s="44"/>
      <c r="USB50" s="44"/>
      <c r="USC50" s="44"/>
      <c r="USD50" s="44"/>
      <c r="USE50" s="44"/>
      <c r="USF50" s="44"/>
      <c r="USG50" s="44"/>
      <c r="USH50" s="44"/>
      <c r="USI50" s="44"/>
      <c r="USJ50" s="44"/>
      <c r="USK50" s="44"/>
      <c r="USL50" s="44"/>
      <c r="USM50" s="44"/>
      <c r="USN50" s="44"/>
      <c r="USO50" s="44"/>
      <c r="USP50" s="44"/>
      <c r="USQ50" s="44"/>
      <c r="USR50" s="44"/>
      <c r="USS50" s="44"/>
      <c r="UST50" s="44"/>
      <c r="USU50" s="44"/>
      <c r="USV50" s="44"/>
      <c r="USW50" s="44"/>
      <c r="USX50" s="44"/>
      <c r="USY50" s="44"/>
      <c r="USZ50" s="44"/>
      <c r="UTA50" s="44"/>
      <c r="UTB50" s="44"/>
      <c r="UTC50" s="44"/>
      <c r="UTD50" s="44"/>
      <c r="UTE50" s="44"/>
      <c r="UTF50" s="44"/>
      <c r="UTG50" s="44"/>
      <c r="UTH50" s="44"/>
      <c r="UTI50" s="44"/>
      <c r="UTJ50" s="44"/>
      <c r="UTK50" s="44"/>
      <c r="UTL50" s="44"/>
      <c r="UTM50" s="44"/>
      <c r="UTN50" s="44"/>
      <c r="UTO50" s="44"/>
      <c r="UTP50" s="44"/>
      <c r="UTQ50" s="44"/>
      <c r="UTR50" s="44"/>
      <c r="UTS50" s="44"/>
      <c r="UTT50" s="44"/>
      <c r="UTU50" s="44"/>
      <c r="UTV50" s="44"/>
      <c r="UTW50" s="44"/>
      <c r="UTX50" s="44"/>
      <c r="UTY50" s="44"/>
      <c r="UTZ50" s="44"/>
      <c r="UUA50" s="44"/>
      <c r="UUB50" s="44"/>
      <c r="UUC50" s="44"/>
      <c r="UUD50" s="44"/>
      <c r="UUE50" s="44"/>
      <c r="UUF50" s="44"/>
      <c r="UUG50" s="44"/>
      <c r="UUH50" s="44"/>
      <c r="UUI50" s="44"/>
      <c r="UUJ50" s="44"/>
      <c r="UUK50" s="44"/>
      <c r="UUL50" s="44"/>
      <c r="UUM50" s="44"/>
      <c r="UUN50" s="44"/>
      <c r="UUO50" s="44"/>
      <c r="UUP50" s="44"/>
      <c r="UUQ50" s="44"/>
      <c r="UUR50" s="44"/>
      <c r="UUS50" s="44"/>
      <c r="UUT50" s="44"/>
      <c r="UUU50" s="44"/>
      <c r="UUV50" s="44"/>
      <c r="UUW50" s="44"/>
      <c r="UUX50" s="44"/>
      <c r="UUY50" s="44"/>
      <c r="UUZ50" s="44"/>
      <c r="UVA50" s="44"/>
      <c r="UVB50" s="44"/>
      <c r="UVC50" s="44"/>
      <c r="UVD50" s="44"/>
      <c r="UVE50" s="44"/>
      <c r="UVF50" s="44"/>
      <c r="UVG50" s="44"/>
      <c r="UVH50" s="44"/>
      <c r="UVI50" s="44"/>
      <c r="UVJ50" s="44"/>
      <c r="UVK50" s="44"/>
      <c r="UVL50" s="44"/>
      <c r="UVM50" s="44"/>
      <c r="UVN50" s="44"/>
      <c r="UVO50" s="44"/>
      <c r="UVP50" s="44"/>
      <c r="UVQ50" s="44"/>
      <c r="UVR50" s="44"/>
      <c r="UVS50" s="44"/>
      <c r="UVT50" s="44"/>
      <c r="UVU50" s="44"/>
      <c r="UVV50" s="44"/>
      <c r="UVW50" s="44"/>
      <c r="UVX50" s="44"/>
      <c r="UVY50" s="44"/>
      <c r="UVZ50" s="44"/>
      <c r="UWA50" s="44"/>
      <c r="UWB50" s="44"/>
      <c r="UWC50" s="44"/>
      <c r="UWD50" s="44"/>
      <c r="UWE50" s="44"/>
      <c r="UWF50" s="44"/>
      <c r="UWG50" s="44"/>
      <c r="UWH50" s="44"/>
      <c r="UWI50" s="44"/>
      <c r="UWJ50" s="44"/>
      <c r="UWK50" s="44"/>
      <c r="UWL50" s="44"/>
      <c r="UWM50" s="44"/>
      <c r="UWN50" s="44"/>
      <c r="UWO50" s="44"/>
      <c r="UWP50" s="44"/>
      <c r="UWQ50" s="44"/>
      <c r="UWR50" s="44"/>
      <c r="UWS50" s="44"/>
      <c r="UWT50" s="44"/>
      <c r="UWU50" s="44"/>
      <c r="UWV50" s="44"/>
      <c r="UWW50" s="44"/>
      <c r="UWX50" s="44"/>
      <c r="UWY50" s="44"/>
      <c r="UWZ50" s="44"/>
      <c r="UXA50" s="44"/>
      <c r="UXB50" s="44"/>
      <c r="UXC50" s="44"/>
      <c r="UXD50" s="44"/>
      <c r="UXE50" s="44"/>
      <c r="UXF50" s="44"/>
      <c r="UXG50" s="44"/>
      <c r="UXH50" s="44"/>
      <c r="UXI50" s="44"/>
      <c r="UXJ50" s="44"/>
      <c r="UXK50" s="44"/>
      <c r="UXL50" s="44"/>
      <c r="UXM50" s="44"/>
      <c r="UXN50" s="44"/>
      <c r="UXO50" s="44"/>
      <c r="UXP50" s="44"/>
      <c r="UXQ50" s="44"/>
      <c r="UXR50" s="44"/>
      <c r="UXS50" s="44"/>
      <c r="UXT50" s="44"/>
      <c r="UXU50" s="44"/>
      <c r="UXV50" s="44"/>
      <c r="UXW50" s="44"/>
      <c r="UXX50" s="44"/>
      <c r="UXY50" s="44"/>
      <c r="UXZ50" s="44"/>
      <c r="UYA50" s="44"/>
      <c r="UYB50" s="44"/>
      <c r="UYC50" s="44"/>
      <c r="UYD50" s="44"/>
      <c r="UYE50" s="44"/>
      <c r="UYF50" s="44"/>
      <c r="UYG50" s="44"/>
      <c r="UYH50" s="44"/>
      <c r="UYI50" s="44"/>
      <c r="UYJ50" s="44"/>
      <c r="UYK50" s="44"/>
      <c r="UYL50" s="44"/>
      <c r="UYM50" s="44"/>
      <c r="UYN50" s="44"/>
      <c r="UYO50" s="44"/>
      <c r="UYP50" s="44"/>
      <c r="UYQ50" s="44"/>
      <c r="UYR50" s="44"/>
      <c r="UYS50" s="44"/>
      <c r="UYT50" s="44"/>
      <c r="UYU50" s="44"/>
      <c r="UYV50" s="44"/>
      <c r="UYW50" s="44"/>
      <c r="UYX50" s="44"/>
      <c r="UYY50" s="44"/>
      <c r="UYZ50" s="44"/>
      <c r="UZA50" s="44"/>
      <c r="UZB50" s="44"/>
      <c r="UZC50" s="44"/>
      <c r="UZD50" s="44"/>
      <c r="UZE50" s="44"/>
      <c r="UZF50" s="44"/>
      <c r="UZG50" s="44"/>
      <c r="UZH50" s="44"/>
      <c r="UZI50" s="44"/>
      <c r="UZJ50" s="44"/>
      <c r="UZK50" s="44"/>
      <c r="UZL50" s="44"/>
      <c r="UZM50" s="44"/>
      <c r="UZN50" s="44"/>
      <c r="UZO50" s="44"/>
      <c r="UZP50" s="44"/>
      <c r="UZQ50" s="44"/>
      <c r="UZR50" s="44"/>
      <c r="UZS50" s="44"/>
      <c r="UZT50" s="44"/>
      <c r="UZU50" s="44"/>
      <c r="UZV50" s="44"/>
      <c r="UZW50" s="44"/>
      <c r="UZX50" s="44"/>
      <c r="UZY50" s="44"/>
      <c r="UZZ50" s="44"/>
      <c r="VAA50" s="44"/>
      <c r="VAB50" s="44"/>
      <c r="VAC50" s="44"/>
      <c r="VAD50" s="44"/>
      <c r="VAE50" s="44"/>
      <c r="VAF50" s="44"/>
      <c r="VAG50" s="44"/>
      <c r="VAH50" s="44"/>
      <c r="VAI50" s="44"/>
      <c r="VAJ50" s="44"/>
      <c r="VAK50" s="44"/>
      <c r="VAL50" s="44"/>
      <c r="VAM50" s="44"/>
      <c r="VAN50" s="44"/>
      <c r="VAO50" s="44"/>
      <c r="VAP50" s="44"/>
      <c r="VAQ50" s="44"/>
      <c r="VAR50" s="44"/>
      <c r="VAS50" s="44"/>
      <c r="VAT50" s="44"/>
      <c r="VAU50" s="44"/>
      <c r="VAV50" s="44"/>
      <c r="VAW50" s="44"/>
      <c r="VAX50" s="44"/>
      <c r="VAY50" s="44"/>
      <c r="VAZ50" s="44"/>
      <c r="VBA50" s="44"/>
      <c r="VBB50" s="44"/>
      <c r="VBC50" s="44"/>
      <c r="VBD50" s="44"/>
      <c r="VBE50" s="44"/>
      <c r="VBF50" s="44"/>
      <c r="VBG50" s="44"/>
      <c r="VBH50" s="44"/>
      <c r="VBI50" s="44"/>
      <c r="VBJ50" s="44"/>
      <c r="VBK50" s="44"/>
      <c r="VBL50" s="44"/>
      <c r="VBM50" s="44"/>
      <c r="VBN50" s="44"/>
      <c r="VBO50" s="44"/>
      <c r="VBP50" s="44"/>
      <c r="VBQ50" s="44"/>
      <c r="VBR50" s="44"/>
      <c r="VBS50" s="44"/>
      <c r="VBT50" s="44"/>
      <c r="VBU50" s="44"/>
      <c r="VBV50" s="44"/>
      <c r="VBW50" s="44"/>
      <c r="VBX50" s="44"/>
      <c r="VBY50" s="44"/>
      <c r="VBZ50" s="44"/>
      <c r="VCA50" s="44"/>
      <c r="VCB50" s="44"/>
      <c r="VCC50" s="44"/>
      <c r="VCD50" s="44"/>
      <c r="VCE50" s="44"/>
      <c r="VCF50" s="44"/>
      <c r="VCG50" s="44"/>
      <c r="VCH50" s="44"/>
      <c r="VCI50" s="44"/>
      <c r="VCJ50" s="44"/>
      <c r="VCK50" s="44"/>
      <c r="VCL50" s="44"/>
      <c r="VCM50" s="44"/>
      <c r="VCN50" s="44"/>
      <c r="VCO50" s="44"/>
      <c r="VCP50" s="44"/>
      <c r="VCQ50" s="44"/>
      <c r="VCR50" s="44"/>
      <c r="VCS50" s="44"/>
      <c r="VCT50" s="44"/>
      <c r="VCU50" s="44"/>
      <c r="VCV50" s="44"/>
      <c r="VCW50" s="44"/>
      <c r="VCX50" s="44"/>
      <c r="VCY50" s="44"/>
      <c r="VCZ50" s="44"/>
      <c r="VDA50" s="44"/>
      <c r="VDB50" s="44"/>
      <c r="VDC50" s="44"/>
      <c r="VDD50" s="44"/>
      <c r="VDE50" s="44"/>
      <c r="VDF50" s="44"/>
      <c r="VDG50" s="44"/>
      <c r="VDH50" s="44"/>
      <c r="VDI50" s="44"/>
      <c r="VDJ50" s="44"/>
      <c r="VDK50" s="44"/>
      <c r="VDL50" s="44"/>
      <c r="VDM50" s="44"/>
      <c r="VDN50" s="44"/>
      <c r="VDO50" s="44"/>
      <c r="VDP50" s="44"/>
      <c r="VDQ50" s="44"/>
      <c r="VDR50" s="44"/>
      <c r="VDS50" s="44"/>
      <c r="VDT50" s="44"/>
      <c r="VDU50" s="44"/>
      <c r="VDV50" s="44"/>
      <c r="VDW50" s="44"/>
      <c r="VDX50" s="44"/>
      <c r="VDY50" s="44"/>
      <c r="VDZ50" s="44"/>
      <c r="VEA50" s="44"/>
      <c r="VEB50" s="44"/>
      <c r="VEC50" s="44"/>
      <c r="VED50" s="44"/>
      <c r="VEE50" s="44"/>
      <c r="VEF50" s="44"/>
      <c r="VEG50" s="44"/>
      <c r="VEH50" s="44"/>
      <c r="VEI50" s="44"/>
      <c r="VEJ50" s="44"/>
      <c r="VEK50" s="44"/>
      <c r="VEL50" s="44"/>
      <c r="VEM50" s="44"/>
      <c r="VEN50" s="44"/>
      <c r="VEO50" s="44"/>
      <c r="VEP50" s="44"/>
      <c r="VEQ50" s="44"/>
      <c r="VER50" s="44"/>
      <c r="VES50" s="44"/>
      <c r="VET50" s="44"/>
      <c r="VEU50" s="44"/>
      <c r="VEV50" s="44"/>
      <c r="VEW50" s="44"/>
      <c r="VEX50" s="44"/>
      <c r="VEY50" s="44"/>
      <c r="VEZ50" s="44"/>
      <c r="VFA50" s="44"/>
      <c r="VFB50" s="44"/>
      <c r="VFC50" s="44"/>
      <c r="VFD50" s="44"/>
      <c r="VFE50" s="44"/>
      <c r="VFF50" s="44"/>
      <c r="VFG50" s="44"/>
      <c r="VFH50" s="44"/>
      <c r="VFI50" s="44"/>
      <c r="VFJ50" s="44"/>
      <c r="VFK50" s="44"/>
      <c r="VFL50" s="44"/>
      <c r="VFM50" s="44"/>
      <c r="VFN50" s="44"/>
      <c r="VFO50" s="44"/>
      <c r="VFP50" s="44"/>
      <c r="VFQ50" s="44"/>
      <c r="VFR50" s="44"/>
      <c r="VFS50" s="44"/>
      <c r="VFT50" s="44"/>
      <c r="VFU50" s="44"/>
      <c r="VFV50" s="44"/>
      <c r="VFW50" s="44"/>
      <c r="VFX50" s="44"/>
      <c r="VFY50" s="44"/>
      <c r="VFZ50" s="44"/>
      <c r="VGA50" s="44"/>
      <c r="VGB50" s="44"/>
      <c r="VGC50" s="44"/>
      <c r="VGD50" s="44"/>
      <c r="VGE50" s="44"/>
      <c r="VGF50" s="44"/>
      <c r="VGG50" s="44"/>
      <c r="VGH50" s="44"/>
      <c r="VGI50" s="44"/>
      <c r="VGJ50" s="44"/>
      <c r="VGK50" s="44"/>
      <c r="VGL50" s="44"/>
      <c r="VGM50" s="44"/>
      <c r="VGN50" s="44"/>
      <c r="VGO50" s="44"/>
      <c r="VGP50" s="44"/>
      <c r="VGQ50" s="44"/>
      <c r="VGR50" s="44"/>
      <c r="VGS50" s="44"/>
      <c r="VGT50" s="44"/>
      <c r="VGU50" s="44"/>
      <c r="VGV50" s="44"/>
      <c r="VGW50" s="44"/>
      <c r="VGX50" s="44"/>
    </row>
    <row r="51" spans="1:15078" s="1" customFormat="1" x14ac:dyDescent="0.25">
      <c r="B51" s="223"/>
      <c r="C51" s="119" t="s">
        <v>80</v>
      </c>
      <c r="D51" s="123">
        <f>SUM(D52:D53)</f>
        <v>1001606.94</v>
      </c>
      <c r="E51" s="224" t="s">
        <v>16</v>
      </c>
      <c r="F51" s="110">
        <f>F52+F53</f>
        <v>0</v>
      </c>
      <c r="G51" s="110">
        <f t="shared" ref="G51:O51" si="11">G52+G53</f>
        <v>0</v>
      </c>
      <c r="H51" s="110">
        <f t="shared" si="11"/>
        <v>0</v>
      </c>
      <c r="I51" s="110">
        <f t="shared" si="11"/>
        <v>0</v>
      </c>
      <c r="J51" s="110">
        <f t="shared" si="11"/>
        <v>0</v>
      </c>
      <c r="K51" s="110">
        <f t="shared" si="11"/>
        <v>0</v>
      </c>
      <c r="L51" s="110">
        <f t="shared" si="11"/>
        <v>0</v>
      </c>
      <c r="M51" s="110">
        <f t="shared" si="11"/>
        <v>0</v>
      </c>
      <c r="N51" s="110">
        <f t="shared" si="11"/>
        <v>0</v>
      </c>
      <c r="O51" s="110">
        <f t="shared" si="11"/>
        <v>0</v>
      </c>
      <c r="P51" s="110"/>
      <c r="Q51" s="110"/>
      <c r="R51" s="110">
        <f>R52+R53</f>
        <v>0</v>
      </c>
      <c r="S51" s="110">
        <f>S52+S53</f>
        <v>0</v>
      </c>
      <c r="T51" s="110">
        <f>T52+T53</f>
        <v>473528</v>
      </c>
      <c r="U51" s="110"/>
      <c r="V51" s="110"/>
      <c r="W51" s="110"/>
      <c r="X51" s="110"/>
      <c r="Y51" s="110">
        <f t="shared" ref="Y51:AI51" si="12">SUM(Y52:Y53)</f>
        <v>0</v>
      </c>
      <c r="Z51" s="110">
        <f t="shared" si="12"/>
        <v>0</v>
      </c>
      <c r="AA51" s="110">
        <f t="shared" si="12"/>
        <v>0</v>
      </c>
      <c r="AB51" s="110">
        <f t="shared" si="12"/>
        <v>0</v>
      </c>
      <c r="AC51" s="110">
        <f t="shared" si="12"/>
        <v>246114</v>
      </c>
      <c r="AD51" s="110">
        <f t="shared" si="12"/>
        <v>0</v>
      </c>
      <c r="AE51" s="110">
        <f t="shared" si="12"/>
        <v>0</v>
      </c>
      <c r="AF51" s="110">
        <f t="shared" si="12"/>
        <v>0</v>
      </c>
      <c r="AG51" s="110">
        <f t="shared" si="12"/>
        <v>192995</v>
      </c>
      <c r="AH51" s="110">
        <f t="shared" si="12"/>
        <v>498000</v>
      </c>
      <c r="AI51" s="219">
        <f t="shared" si="12"/>
        <v>81606</v>
      </c>
      <c r="AJ51" s="9"/>
      <c r="AK51" s="310">
        <f>SUM(F51:AI51)</f>
        <v>1492243</v>
      </c>
      <c r="AL51" s="29"/>
      <c r="DI51" s="29"/>
    </row>
    <row r="52" spans="1:15078" s="1" customFormat="1" x14ac:dyDescent="0.25">
      <c r="B52" s="223"/>
      <c r="C52" s="119" t="s">
        <v>140</v>
      </c>
      <c r="D52" s="123">
        <v>701124.85800000001</v>
      </c>
      <c r="E52" s="224" t="s">
        <v>16</v>
      </c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>
        <v>356328</v>
      </c>
      <c r="U52" s="110"/>
      <c r="V52" s="110"/>
      <c r="W52" s="110"/>
      <c r="X52" s="110"/>
      <c r="Y52" s="110"/>
      <c r="Z52" s="110"/>
      <c r="AA52" s="110"/>
      <c r="AB52" s="110"/>
      <c r="AC52" s="110">
        <v>185555</v>
      </c>
      <c r="AD52" s="110"/>
      <c r="AE52" s="110"/>
      <c r="AF52" s="110"/>
      <c r="AG52" s="352">
        <v>145695</v>
      </c>
      <c r="AH52" s="352">
        <v>378163</v>
      </c>
      <c r="AI52" s="219">
        <v>61406</v>
      </c>
      <c r="AJ52" s="9"/>
      <c r="AK52" s="311">
        <f>SUM(F52:AI52)</f>
        <v>1127147</v>
      </c>
      <c r="AL52" s="29"/>
      <c r="DI52" s="29"/>
    </row>
    <row r="53" spans="1:15078" s="1" customFormat="1" x14ac:dyDescent="0.25">
      <c r="B53" s="223"/>
      <c r="C53" s="108" t="s">
        <v>83</v>
      </c>
      <c r="D53" s="123">
        <v>300482.08199999999</v>
      </c>
      <c r="E53" s="224" t="s">
        <v>16</v>
      </c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>
        <v>117200</v>
      </c>
      <c r="U53" s="110"/>
      <c r="V53" s="110"/>
      <c r="W53" s="110"/>
      <c r="X53" s="110"/>
      <c r="Y53" s="110"/>
      <c r="Z53" s="110"/>
      <c r="AA53" s="110"/>
      <c r="AB53" s="110"/>
      <c r="AC53" s="110">
        <v>60559</v>
      </c>
      <c r="AD53" s="110"/>
      <c r="AE53" s="110"/>
      <c r="AF53" s="110"/>
      <c r="AG53" s="352">
        <v>47300</v>
      </c>
      <c r="AH53" s="352">
        <f>202837-83000</f>
        <v>119837</v>
      </c>
      <c r="AI53" s="219">
        <v>20200</v>
      </c>
      <c r="AJ53" s="9"/>
      <c r="AK53" s="310">
        <f>SUM(F53:AI53)</f>
        <v>365096</v>
      </c>
      <c r="AL53" s="28"/>
      <c r="DI53" s="29"/>
    </row>
    <row r="54" spans="1:15078" x14ac:dyDescent="0.25">
      <c r="B54" s="223"/>
      <c r="C54" s="120" t="s">
        <v>82</v>
      </c>
      <c r="D54" s="124"/>
      <c r="E54" s="225"/>
      <c r="F54" s="103"/>
      <c r="G54" s="103"/>
      <c r="H54" s="103"/>
      <c r="I54" s="125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26"/>
      <c r="AE54" s="126"/>
      <c r="AF54" s="126"/>
      <c r="AG54" s="356"/>
      <c r="AH54" s="356"/>
      <c r="AI54" s="227"/>
      <c r="AJ54" s="9"/>
      <c r="AK54" s="122" t="s">
        <v>69</v>
      </c>
    </row>
    <row r="55" spans="1:15078" s="132" customFormat="1" x14ac:dyDescent="0.2">
      <c r="A55" s="44"/>
      <c r="B55" s="228"/>
      <c r="C55" s="129" t="s">
        <v>81</v>
      </c>
      <c r="D55" s="130"/>
      <c r="E55" s="229" t="s">
        <v>16</v>
      </c>
      <c r="F55" s="110"/>
      <c r="G55" s="110"/>
      <c r="H55" s="110"/>
      <c r="I55" s="110">
        <v>164617</v>
      </c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>
        <v>159086</v>
      </c>
      <c r="U55" s="110"/>
      <c r="V55" s="110"/>
      <c r="W55" s="110"/>
      <c r="X55" s="110"/>
      <c r="Y55" s="110"/>
      <c r="Z55" s="110"/>
      <c r="AA55" s="110"/>
      <c r="AB55" s="110"/>
      <c r="AC55" s="110">
        <v>340552</v>
      </c>
      <c r="AD55" s="131"/>
      <c r="AE55" s="131"/>
      <c r="AF55" s="131"/>
      <c r="AG55" s="357"/>
      <c r="AH55" s="357">
        <v>223814</v>
      </c>
      <c r="AI55" s="230"/>
      <c r="AJ55" s="36"/>
      <c r="AK55" s="310">
        <f>SUM(F55:AI55)</f>
        <v>888069</v>
      </c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13"/>
      <c r="AX55" s="13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133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13"/>
      <c r="DJ55" s="44"/>
      <c r="DK55" s="44"/>
      <c r="DL55" s="44"/>
      <c r="DM55" s="44"/>
      <c r="DN55" s="44"/>
      <c r="DO55" s="44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44"/>
      <c r="EL55" s="44"/>
      <c r="EM55" s="44"/>
      <c r="EN55" s="44"/>
      <c r="EO55" s="44"/>
      <c r="EP55" s="44"/>
      <c r="EQ55" s="44"/>
      <c r="ER55" s="44"/>
      <c r="ES55" s="44"/>
      <c r="ET55" s="44"/>
      <c r="EU55" s="44"/>
      <c r="EV55" s="44"/>
      <c r="EW55" s="44"/>
      <c r="EX55" s="44"/>
      <c r="EY55" s="44"/>
      <c r="EZ55" s="44"/>
      <c r="FA55" s="44"/>
      <c r="FB55" s="44"/>
      <c r="FC55" s="44"/>
      <c r="FD55" s="44"/>
      <c r="FE55" s="44"/>
      <c r="FF55" s="44"/>
      <c r="FG55" s="44"/>
      <c r="FH55" s="44"/>
      <c r="FI55" s="44"/>
      <c r="FJ55" s="44"/>
      <c r="FK55" s="44"/>
      <c r="FL55" s="44"/>
      <c r="FM55" s="44"/>
      <c r="FN55" s="44"/>
      <c r="FO55" s="44"/>
      <c r="FP55" s="44"/>
      <c r="FQ55" s="44"/>
      <c r="FR55" s="44"/>
      <c r="FS55" s="44"/>
      <c r="FT55" s="44"/>
      <c r="FU55" s="44"/>
      <c r="FV55" s="44"/>
      <c r="FW55" s="44"/>
      <c r="FX55" s="44"/>
      <c r="FY55" s="44"/>
      <c r="FZ55" s="44"/>
      <c r="GA55" s="44"/>
      <c r="GB55" s="44"/>
      <c r="GC55" s="44"/>
      <c r="GD55" s="44"/>
      <c r="GE55" s="44"/>
      <c r="GF55" s="44"/>
      <c r="GG55" s="44"/>
      <c r="GH55" s="44"/>
      <c r="GI55" s="44"/>
      <c r="GJ55" s="44"/>
      <c r="GK55" s="44"/>
      <c r="GL55" s="44"/>
      <c r="GM55" s="44"/>
      <c r="GN55" s="44"/>
      <c r="GO55" s="44"/>
      <c r="GP55" s="44"/>
      <c r="GQ55" s="44"/>
      <c r="GR55" s="44"/>
      <c r="GS55" s="44"/>
      <c r="GT55" s="44"/>
      <c r="GU55" s="44"/>
      <c r="GV55" s="44"/>
      <c r="GW55" s="44"/>
      <c r="GX55" s="44"/>
      <c r="GY55" s="44"/>
      <c r="GZ55" s="44"/>
      <c r="HA55" s="44"/>
      <c r="HB55" s="44"/>
      <c r="HC55" s="44"/>
      <c r="HD55" s="44"/>
      <c r="HE55" s="44"/>
      <c r="HF55" s="44"/>
      <c r="HG55" s="44"/>
      <c r="HH55" s="44"/>
      <c r="HI55" s="44"/>
      <c r="HJ55" s="44"/>
      <c r="HK55" s="44"/>
      <c r="HL55" s="44"/>
      <c r="HM55" s="44"/>
      <c r="HN55" s="44"/>
      <c r="HO55" s="44"/>
      <c r="HP55" s="44"/>
      <c r="HQ55" s="44"/>
      <c r="HR55" s="44"/>
      <c r="HS55" s="44"/>
      <c r="HT55" s="44"/>
      <c r="HU55" s="44"/>
      <c r="HV55" s="44"/>
      <c r="HW55" s="44"/>
      <c r="HX55" s="44"/>
      <c r="HY55" s="44"/>
      <c r="HZ55" s="44"/>
      <c r="IA55" s="44"/>
      <c r="IB55" s="44"/>
      <c r="IC55" s="44"/>
      <c r="ID55" s="44"/>
      <c r="IE55" s="44"/>
      <c r="IF55" s="44"/>
      <c r="IG55" s="44"/>
      <c r="IH55" s="44"/>
      <c r="II55" s="44"/>
      <c r="IJ55" s="44"/>
      <c r="IK55" s="44"/>
      <c r="IL55" s="44"/>
      <c r="IM55" s="44"/>
      <c r="IN55" s="44"/>
      <c r="IO55" s="44"/>
      <c r="IP55" s="44"/>
      <c r="IQ55" s="44"/>
      <c r="IR55" s="44"/>
      <c r="IS55" s="44"/>
      <c r="IT55" s="44"/>
      <c r="IU55" s="44"/>
      <c r="IV55" s="44"/>
      <c r="IW55" s="44"/>
      <c r="IX55" s="44"/>
      <c r="IY55" s="44"/>
      <c r="IZ55" s="44"/>
      <c r="JA55" s="44"/>
      <c r="JB55" s="44"/>
      <c r="JC55" s="44"/>
      <c r="JD55" s="44"/>
      <c r="JE55" s="44"/>
      <c r="JF55" s="44"/>
      <c r="JG55" s="44"/>
      <c r="JH55" s="44"/>
      <c r="JI55" s="44"/>
      <c r="JJ55" s="44"/>
      <c r="JK55" s="44"/>
      <c r="JL55" s="44"/>
      <c r="JM55" s="44"/>
      <c r="JN55" s="44"/>
      <c r="JO55" s="44"/>
      <c r="JP55" s="44"/>
      <c r="JQ55" s="44"/>
      <c r="JR55" s="44"/>
      <c r="JS55" s="44"/>
      <c r="JT55" s="44"/>
      <c r="JU55" s="44"/>
      <c r="JV55" s="44"/>
      <c r="JW55" s="44"/>
      <c r="JX55" s="44"/>
      <c r="JY55" s="44"/>
      <c r="JZ55" s="44"/>
      <c r="KA55" s="44"/>
      <c r="KB55" s="44"/>
      <c r="KC55" s="44"/>
      <c r="KD55" s="44"/>
      <c r="KE55" s="44"/>
      <c r="KF55" s="44"/>
      <c r="KG55" s="44"/>
      <c r="KH55" s="44"/>
      <c r="KI55" s="44"/>
      <c r="KJ55" s="44"/>
      <c r="KK55" s="44"/>
      <c r="KL55" s="44"/>
      <c r="KM55" s="44"/>
      <c r="KN55" s="44"/>
      <c r="KO55" s="44"/>
      <c r="KP55" s="44"/>
      <c r="KQ55" s="44"/>
      <c r="KR55" s="44"/>
      <c r="KS55" s="44"/>
      <c r="KT55" s="44"/>
      <c r="KU55" s="44"/>
      <c r="KV55" s="44"/>
      <c r="KW55" s="44"/>
      <c r="KX55" s="44"/>
      <c r="KY55" s="44"/>
      <c r="KZ55" s="44"/>
      <c r="LA55" s="44"/>
      <c r="LB55" s="44"/>
      <c r="LC55" s="44"/>
      <c r="LD55" s="44"/>
      <c r="LE55" s="44"/>
      <c r="LF55" s="44"/>
      <c r="LG55" s="44"/>
      <c r="LH55" s="44"/>
      <c r="LI55" s="44"/>
      <c r="LJ55" s="44"/>
      <c r="LK55" s="44"/>
      <c r="LL55" s="44"/>
      <c r="LM55" s="44"/>
      <c r="LN55" s="44"/>
      <c r="LO55" s="44"/>
      <c r="LP55" s="44"/>
      <c r="LQ55" s="44"/>
      <c r="LR55" s="44"/>
      <c r="LS55" s="44"/>
      <c r="LT55" s="44"/>
      <c r="LU55" s="44"/>
      <c r="LV55" s="44"/>
      <c r="LW55" s="44"/>
      <c r="LX55" s="44"/>
      <c r="LY55" s="44"/>
      <c r="LZ55" s="44"/>
      <c r="MA55" s="44"/>
      <c r="MB55" s="44"/>
      <c r="MC55" s="44"/>
      <c r="MD55" s="44"/>
      <c r="ME55" s="44"/>
      <c r="MF55" s="44"/>
      <c r="MG55" s="44"/>
      <c r="MH55" s="44"/>
      <c r="MI55" s="44"/>
      <c r="MJ55" s="44"/>
      <c r="MK55" s="44"/>
      <c r="ML55" s="44"/>
      <c r="MM55" s="44"/>
      <c r="MN55" s="44"/>
      <c r="MO55" s="44"/>
      <c r="MP55" s="44"/>
      <c r="MQ55" s="44"/>
      <c r="MR55" s="44"/>
      <c r="MS55" s="44"/>
      <c r="MT55" s="44"/>
      <c r="MU55" s="44"/>
      <c r="MV55" s="44"/>
      <c r="MW55" s="44"/>
      <c r="MX55" s="44"/>
      <c r="MY55" s="44"/>
      <c r="MZ55" s="44"/>
      <c r="NA55" s="44"/>
      <c r="NB55" s="44"/>
      <c r="NC55" s="44"/>
      <c r="ND55" s="44"/>
      <c r="NE55" s="44"/>
      <c r="NF55" s="44"/>
      <c r="NG55" s="44"/>
      <c r="NH55" s="44"/>
      <c r="NI55" s="44"/>
      <c r="NJ55" s="44"/>
      <c r="NK55" s="44"/>
      <c r="NL55" s="44"/>
      <c r="NM55" s="44"/>
      <c r="NN55" s="44"/>
      <c r="NO55" s="44"/>
      <c r="NP55" s="44"/>
      <c r="NQ55" s="44"/>
      <c r="NR55" s="44"/>
      <c r="NS55" s="44"/>
      <c r="NT55" s="44"/>
      <c r="NU55" s="44"/>
      <c r="NV55" s="44"/>
      <c r="NW55" s="44"/>
      <c r="NX55" s="44"/>
      <c r="NY55" s="44"/>
      <c r="NZ55" s="44"/>
      <c r="OA55" s="44"/>
      <c r="OB55" s="44"/>
      <c r="OC55" s="44"/>
      <c r="OD55" s="44"/>
      <c r="OE55" s="44"/>
      <c r="OF55" s="44"/>
      <c r="OG55" s="44"/>
      <c r="OH55" s="44"/>
      <c r="OI55" s="44"/>
      <c r="OJ55" s="44"/>
      <c r="OK55" s="44"/>
      <c r="OL55" s="44"/>
      <c r="OM55" s="44"/>
      <c r="ON55" s="44"/>
      <c r="OO55" s="44"/>
      <c r="OP55" s="44"/>
      <c r="OQ55" s="44"/>
      <c r="OR55" s="44"/>
      <c r="OS55" s="44"/>
      <c r="OT55" s="44"/>
      <c r="OU55" s="44"/>
      <c r="OV55" s="44"/>
      <c r="OW55" s="44"/>
      <c r="OX55" s="44"/>
      <c r="OY55" s="44"/>
      <c r="OZ55" s="44"/>
      <c r="PA55" s="44"/>
      <c r="PB55" s="44"/>
      <c r="PC55" s="44"/>
      <c r="PD55" s="44"/>
      <c r="PE55" s="44"/>
      <c r="PF55" s="44"/>
      <c r="PG55" s="44"/>
      <c r="PH55" s="44"/>
      <c r="PI55" s="44"/>
      <c r="PJ55" s="44"/>
      <c r="PK55" s="44"/>
      <c r="PL55" s="44"/>
      <c r="PM55" s="44"/>
      <c r="PN55" s="44"/>
      <c r="PO55" s="44"/>
      <c r="PP55" s="44"/>
      <c r="PQ55" s="44"/>
      <c r="PR55" s="44"/>
      <c r="PS55" s="44"/>
      <c r="PT55" s="44"/>
      <c r="PU55" s="44"/>
      <c r="PV55" s="44"/>
      <c r="PW55" s="44"/>
      <c r="PX55" s="44"/>
      <c r="PY55" s="44"/>
      <c r="PZ55" s="44"/>
      <c r="QA55" s="44"/>
      <c r="QB55" s="44"/>
      <c r="QC55" s="44"/>
      <c r="QD55" s="44"/>
      <c r="QE55" s="44"/>
      <c r="QF55" s="44"/>
      <c r="QG55" s="44"/>
      <c r="QH55" s="44"/>
      <c r="QI55" s="44"/>
      <c r="QJ55" s="44"/>
      <c r="QK55" s="44"/>
      <c r="QL55" s="44"/>
      <c r="QM55" s="44"/>
      <c r="QN55" s="44"/>
      <c r="QO55" s="44"/>
      <c r="QP55" s="44"/>
      <c r="QQ55" s="44"/>
      <c r="QR55" s="44"/>
      <c r="QS55" s="44"/>
      <c r="QT55" s="44"/>
      <c r="QU55" s="44"/>
      <c r="QV55" s="44"/>
      <c r="QW55" s="44"/>
      <c r="QX55" s="44"/>
      <c r="QY55" s="44"/>
      <c r="QZ55" s="44"/>
      <c r="RA55" s="44"/>
      <c r="RB55" s="44"/>
      <c r="RC55" s="44"/>
      <c r="RD55" s="44"/>
      <c r="RE55" s="44"/>
      <c r="RF55" s="44"/>
      <c r="RG55" s="44"/>
      <c r="RH55" s="44"/>
      <c r="RI55" s="44"/>
      <c r="RJ55" s="44"/>
      <c r="RK55" s="44"/>
      <c r="RL55" s="44"/>
      <c r="RM55" s="44"/>
      <c r="RN55" s="44"/>
      <c r="RO55" s="44"/>
      <c r="RP55" s="44"/>
      <c r="RQ55" s="44"/>
      <c r="RR55" s="44"/>
      <c r="RS55" s="44"/>
      <c r="RT55" s="44"/>
      <c r="RU55" s="44"/>
      <c r="RV55" s="44"/>
      <c r="RW55" s="44"/>
      <c r="RX55" s="44"/>
      <c r="RY55" s="44"/>
      <c r="RZ55" s="44"/>
      <c r="SA55" s="44"/>
      <c r="SB55" s="44"/>
      <c r="SC55" s="44"/>
      <c r="SD55" s="44"/>
      <c r="SE55" s="44"/>
      <c r="SF55" s="44"/>
      <c r="SG55" s="44"/>
      <c r="SH55" s="44"/>
      <c r="SI55" s="44"/>
      <c r="SJ55" s="44"/>
      <c r="SK55" s="44"/>
      <c r="SL55" s="44"/>
      <c r="SM55" s="44"/>
      <c r="SN55" s="44"/>
      <c r="SO55" s="44"/>
      <c r="SP55" s="44"/>
      <c r="SQ55" s="44"/>
      <c r="SR55" s="44"/>
      <c r="SS55" s="44"/>
      <c r="ST55" s="44"/>
      <c r="SU55" s="44"/>
      <c r="SV55" s="44"/>
      <c r="SW55" s="44"/>
      <c r="SX55" s="44"/>
      <c r="SY55" s="44"/>
      <c r="SZ55" s="44"/>
      <c r="TA55" s="44"/>
      <c r="TB55" s="44"/>
      <c r="TC55" s="44"/>
      <c r="TD55" s="44"/>
      <c r="TE55" s="44"/>
      <c r="TF55" s="44"/>
      <c r="TG55" s="44"/>
      <c r="TH55" s="44"/>
      <c r="TI55" s="44"/>
      <c r="TJ55" s="44"/>
      <c r="TK55" s="44"/>
      <c r="TL55" s="44"/>
      <c r="TM55" s="44"/>
      <c r="TN55" s="44"/>
      <c r="TO55" s="44"/>
      <c r="TP55" s="44"/>
      <c r="TQ55" s="44"/>
      <c r="TR55" s="44"/>
      <c r="TS55" s="44"/>
      <c r="TT55" s="44"/>
      <c r="TU55" s="44"/>
      <c r="TV55" s="44"/>
      <c r="TW55" s="44"/>
      <c r="TX55" s="44"/>
      <c r="TY55" s="44"/>
      <c r="TZ55" s="44"/>
      <c r="UA55" s="44"/>
      <c r="UB55" s="44"/>
      <c r="UC55" s="44"/>
      <c r="UD55" s="44"/>
      <c r="UE55" s="44"/>
      <c r="UF55" s="44"/>
      <c r="UG55" s="44"/>
      <c r="UH55" s="44"/>
      <c r="UI55" s="44"/>
      <c r="UJ55" s="44"/>
      <c r="UK55" s="44"/>
      <c r="UL55" s="44"/>
      <c r="UM55" s="44"/>
      <c r="UN55" s="44"/>
      <c r="UO55" s="44"/>
      <c r="UP55" s="44"/>
      <c r="UQ55" s="44"/>
      <c r="UR55" s="44"/>
      <c r="US55" s="44"/>
      <c r="UT55" s="44"/>
      <c r="UU55" s="44"/>
      <c r="UV55" s="44"/>
      <c r="UW55" s="44"/>
      <c r="UX55" s="44"/>
      <c r="UY55" s="44"/>
      <c r="UZ55" s="44"/>
      <c r="VA55" s="44"/>
      <c r="VB55" s="44"/>
      <c r="VC55" s="44"/>
      <c r="VD55" s="44"/>
      <c r="VE55" s="44"/>
      <c r="VF55" s="44"/>
      <c r="VG55" s="44"/>
      <c r="VH55" s="44"/>
      <c r="VI55" s="44"/>
      <c r="VJ55" s="44"/>
      <c r="VK55" s="44"/>
      <c r="VL55" s="44"/>
      <c r="VM55" s="44"/>
      <c r="VN55" s="44"/>
      <c r="VO55" s="44"/>
      <c r="VP55" s="44"/>
      <c r="VQ55" s="44"/>
      <c r="VR55" s="44"/>
      <c r="VS55" s="44"/>
      <c r="VT55" s="44"/>
      <c r="VU55" s="44"/>
      <c r="VV55" s="44"/>
      <c r="VW55" s="44"/>
      <c r="VX55" s="44"/>
      <c r="VY55" s="44"/>
      <c r="VZ55" s="44"/>
      <c r="WA55" s="44"/>
      <c r="WB55" s="44"/>
      <c r="WC55" s="44"/>
      <c r="WD55" s="44"/>
      <c r="WE55" s="44"/>
      <c r="WF55" s="44"/>
      <c r="WG55" s="44"/>
      <c r="WH55" s="44"/>
      <c r="WI55" s="44"/>
      <c r="WJ55" s="44"/>
      <c r="WK55" s="44"/>
      <c r="WL55" s="44"/>
      <c r="WM55" s="44"/>
      <c r="WN55" s="44"/>
      <c r="WO55" s="44"/>
      <c r="WP55" s="44"/>
      <c r="WQ55" s="44"/>
      <c r="WR55" s="44"/>
      <c r="WS55" s="44"/>
      <c r="WT55" s="44"/>
      <c r="WU55" s="44"/>
      <c r="WV55" s="44"/>
      <c r="WW55" s="44"/>
      <c r="WX55" s="44"/>
      <c r="WY55" s="44"/>
      <c r="WZ55" s="44"/>
      <c r="XA55" s="44"/>
      <c r="XB55" s="44"/>
      <c r="XC55" s="44"/>
      <c r="XD55" s="44"/>
      <c r="XE55" s="44"/>
      <c r="XF55" s="44"/>
      <c r="XG55" s="44"/>
      <c r="XH55" s="44"/>
      <c r="XI55" s="44"/>
      <c r="XJ55" s="44"/>
      <c r="XK55" s="44"/>
      <c r="XL55" s="44"/>
      <c r="XM55" s="44"/>
      <c r="XN55" s="44"/>
      <c r="XO55" s="44"/>
      <c r="XP55" s="44"/>
      <c r="XQ55" s="44"/>
      <c r="XR55" s="44"/>
      <c r="XS55" s="44"/>
      <c r="XT55" s="44"/>
      <c r="XU55" s="44"/>
      <c r="XV55" s="44"/>
      <c r="XW55" s="44"/>
      <c r="XX55" s="44"/>
      <c r="XY55" s="44"/>
      <c r="XZ55" s="44"/>
      <c r="YA55" s="44"/>
      <c r="YB55" s="44"/>
      <c r="YC55" s="44"/>
      <c r="YD55" s="44"/>
      <c r="YE55" s="44"/>
      <c r="YF55" s="44"/>
      <c r="YG55" s="44"/>
      <c r="YH55" s="44"/>
      <c r="YI55" s="44"/>
      <c r="YJ55" s="44"/>
      <c r="YK55" s="44"/>
      <c r="YL55" s="44"/>
      <c r="YM55" s="44"/>
      <c r="YN55" s="44"/>
      <c r="YO55" s="44"/>
      <c r="YP55" s="44"/>
      <c r="YQ55" s="44"/>
      <c r="YR55" s="44"/>
      <c r="YS55" s="44"/>
      <c r="YT55" s="44"/>
      <c r="YU55" s="44"/>
      <c r="YV55" s="44"/>
      <c r="YW55" s="44"/>
      <c r="YX55" s="44"/>
      <c r="YY55" s="44"/>
      <c r="YZ55" s="44"/>
      <c r="ZA55" s="44"/>
      <c r="ZB55" s="44"/>
      <c r="ZC55" s="44"/>
      <c r="ZD55" s="44"/>
      <c r="ZE55" s="44"/>
      <c r="ZF55" s="44"/>
      <c r="ZG55" s="44"/>
      <c r="ZH55" s="44"/>
      <c r="ZI55" s="44"/>
      <c r="ZJ55" s="44"/>
      <c r="ZK55" s="44"/>
      <c r="ZL55" s="44"/>
      <c r="ZM55" s="44"/>
      <c r="ZN55" s="44"/>
      <c r="ZO55" s="44"/>
      <c r="ZP55" s="44"/>
      <c r="ZQ55" s="44"/>
      <c r="ZR55" s="44"/>
      <c r="ZS55" s="44"/>
      <c r="ZT55" s="44"/>
      <c r="ZU55" s="44"/>
      <c r="ZV55" s="44"/>
      <c r="ZW55" s="44"/>
      <c r="ZX55" s="44"/>
      <c r="ZY55" s="44"/>
      <c r="ZZ55" s="44"/>
      <c r="AAA55" s="44"/>
      <c r="AAB55" s="44"/>
      <c r="AAC55" s="44"/>
      <c r="AAD55" s="44"/>
      <c r="AAE55" s="44"/>
      <c r="AAF55" s="44"/>
      <c r="AAG55" s="44"/>
      <c r="AAH55" s="44"/>
      <c r="AAI55" s="44"/>
      <c r="AAJ55" s="44"/>
      <c r="AAK55" s="44"/>
      <c r="AAL55" s="44"/>
      <c r="AAM55" s="44"/>
      <c r="AAN55" s="44"/>
      <c r="AAO55" s="44"/>
      <c r="AAP55" s="44"/>
      <c r="AAQ55" s="44"/>
      <c r="AAR55" s="44"/>
      <c r="AAS55" s="44"/>
      <c r="AAT55" s="44"/>
      <c r="AAU55" s="44"/>
      <c r="AAV55" s="44"/>
      <c r="AAW55" s="44"/>
      <c r="AAX55" s="44"/>
      <c r="AAY55" s="44"/>
      <c r="AAZ55" s="44"/>
      <c r="ABA55" s="44"/>
      <c r="ABB55" s="44"/>
      <c r="ABC55" s="44"/>
      <c r="ABD55" s="44"/>
      <c r="ABE55" s="44"/>
      <c r="ABF55" s="44"/>
      <c r="ABG55" s="44"/>
      <c r="ABH55" s="44"/>
      <c r="ABI55" s="44"/>
      <c r="ABJ55" s="44"/>
      <c r="ABK55" s="44"/>
      <c r="ABL55" s="44"/>
      <c r="ABM55" s="44"/>
      <c r="ABN55" s="44"/>
      <c r="ABO55" s="44"/>
      <c r="ABP55" s="44"/>
      <c r="ABQ55" s="44"/>
      <c r="ABR55" s="44"/>
      <c r="ABS55" s="44"/>
      <c r="ABT55" s="44"/>
      <c r="ABU55" s="44"/>
      <c r="ABV55" s="44"/>
      <c r="ABW55" s="44"/>
      <c r="ABX55" s="44"/>
      <c r="ABY55" s="44"/>
      <c r="ABZ55" s="44"/>
      <c r="ACA55" s="44"/>
      <c r="ACB55" s="44"/>
      <c r="ACC55" s="44"/>
      <c r="ACD55" s="44"/>
      <c r="ACE55" s="44"/>
      <c r="ACF55" s="44"/>
      <c r="ACG55" s="44"/>
      <c r="ACH55" s="44"/>
      <c r="ACI55" s="44"/>
      <c r="ACJ55" s="44"/>
      <c r="ACK55" s="44"/>
      <c r="ACL55" s="44"/>
      <c r="ACM55" s="44"/>
      <c r="ACN55" s="44"/>
      <c r="ACO55" s="44"/>
      <c r="ACP55" s="44"/>
      <c r="ACQ55" s="44"/>
      <c r="ACR55" s="44"/>
      <c r="ACS55" s="44"/>
      <c r="ACT55" s="44"/>
      <c r="ACU55" s="44"/>
      <c r="ACV55" s="44"/>
      <c r="ACW55" s="44"/>
      <c r="ACX55" s="44"/>
      <c r="ACY55" s="44"/>
      <c r="ACZ55" s="44"/>
      <c r="ADA55" s="44"/>
      <c r="ADB55" s="44"/>
      <c r="ADC55" s="44"/>
      <c r="ADD55" s="44"/>
      <c r="ADE55" s="44"/>
      <c r="ADF55" s="44"/>
      <c r="ADG55" s="44"/>
      <c r="ADH55" s="44"/>
      <c r="ADI55" s="44"/>
      <c r="ADJ55" s="44"/>
      <c r="ADK55" s="44"/>
      <c r="ADL55" s="44"/>
      <c r="ADM55" s="44"/>
      <c r="ADN55" s="44"/>
      <c r="ADO55" s="44"/>
      <c r="ADP55" s="44"/>
      <c r="ADQ55" s="44"/>
      <c r="ADR55" s="44"/>
      <c r="ADS55" s="44"/>
      <c r="ADT55" s="44"/>
      <c r="ADU55" s="44"/>
      <c r="ADV55" s="44"/>
      <c r="ADW55" s="44"/>
      <c r="ADX55" s="44"/>
      <c r="ADY55" s="44"/>
      <c r="ADZ55" s="44"/>
      <c r="AEA55" s="44"/>
      <c r="AEB55" s="44"/>
      <c r="AEC55" s="44"/>
      <c r="AED55" s="44"/>
      <c r="AEE55" s="44"/>
      <c r="AEF55" s="44"/>
      <c r="AEG55" s="44"/>
      <c r="AEH55" s="44"/>
      <c r="AEI55" s="44"/>
      <c r="AEJ55" s="44"/>
      <c r="AEK55" s="44"/>
      <c r="AEL55" s="44"/>
      <c r="AEM55" s="44"/>
      <c r="AEN55" s="44"/>
      <c r="AEO55" s="44"/>
      <c r="AEP55" s="44"/>
      <c r="AEQ55" s="44"/>
      <c r="AER55" s="44"/>
      <c r="AES55" s="44"/>
      <c r="AET55" s="44"/>
      <c r="AEU55" s="44"/>
      <c r="AEV55" s="44"/>
      <c r="AEW55" s="44"/>
      <c r="AEX55" s="44"/>
      <c r="AEY55" s="44"/>
      <c r="AEZ55" s="44"/>
      <c r="AFA55" s="44"/>
      <c r="AFB55" s="44"/>
      <c r="AFC55" s="44"/>
      <c r="AFD55" s="44"/>
      <c r="AFE55" s="44"/>
      <c r="AFF55" s="44"/>
      <c r="AFG55" s="44"/>
      <c r="AFH55" s="44"/>
      <c r="AFI55" s="44"/>
      <c r="AFJ55" s="44"/>
      <c r="AFK55" s="44"/>
      <c r="AFL55" s="44"/>
      <c r="AFM55" s="44"/>
      <c r="AFN55" s="44"/>
      <c r="AFO55" s="44"/>
      <c r="AFP55" s="44"/>
      <c r="AFQ55" s="44"/>
      <c r="AFR55" s="44"/>
      <c r="AFS55" s="44"/>
      <c r="AFT55" s="44"/>
      <c r="AFU55" s="44"/>
      <c r="AFV55" s="44"/>
      <c r="AFW55" s="44"/>
      <c r="AFX55" s="44"/>
      <c r="AFY55" s="44"/>
      <c r="AFZ55" s="44"/>
      <c r="AGA55" s="44"/>
      <c r="AGB55" s="44"/>
      <c r="AGC55" s="44"/>
      <c r="AGD55" s="44"/>
      <c r="AGE55" s="44"/>
      <c r="AGF55" s="44"/>
      <c r="AGG55" s="44"/>
      <c r="AGH55" s="44"/>
      <c r="AGI55" s="44"/>
      <c r="AGJ55" s="44"/>
      <c r="AGK55" s="44"/>
      <c r="AGL55" s="44"/>
      <c r="AGM55" s="44"/>
      <c r="AGN55" s="44"/>
      <c r="AGO55" s="44"/>
      <c r="AGP55" s="44"/>
      <c r="AGQ55" s="44"/>
      <c r="AGR55" s="44"/>
      <c r="AGS55" s="44"/>
      <c r="AGT55" s="44"/>
      <c r="AGU55" s="44"/>
      <c r="AGV55" s="44"/>
      <c r="AGW55" s="44"/>
      <c r="AGX55" s="44"/>
      <c r="AGY55" s="44"/>
      <c r="AGZ55" s="44"/>
      <c r="AHA55" s="44"/>
      <c r="AHB55" s="44"/>
      <c r="AHC55" s="44"/>
      <c r="AHD55" s="44"/>
      <c r="AHE55" s="44"/>
      <c r="AHF55" s="44"/>
      <c r="AHG55" s="44"/>
      <c r="AHH55" s="44"/>
      <c r="AHI55" s="44"/>
      <c r="AHJ55" s="44"/>
      <c r="AHK55" s="44"/>
      <c r="AHL55" s="44"/>
      <c r="AHM55" s="44"/>
      <c r="AHN55" s="44"/>
      <c r="AHO55" s="44"/>
      <c r="AHP55" s="44"/>
      <c r="AHQ55" s="44"/>
      <c r="AHR55" s="44"/>
      <c r="AHS55" s="44"/>
      <c r="AHT55" s="44"/>
      <c r="AHU55" s="44"/>
      <c r="AHV55" s="44"/>
      <c r="AHW55" s="44"/>
      <c r="AHX55" s="44"/>
      <c r="AHY55" s="44"/>
      <c r="AHZ55" s="44"/>
      <c r="AIA55" s="44"/>
      <c r="AIB55" s="44"/>
      <c r="AIC55" s="44"/>
      <c r="AID55" s="44"/>
      <c r="AIE55" s="44"/>
      <c r="AIF55" s="44"/>
      <c r="AIG55" s="44"/>
      <c r="AIH55" s="44"/>
      <c r="AII55" s="44"/>
      <c r="AIJ55" s="44"/>
      <c r="AIK55" s="44"/>
      <c r="AIL55" s="44"/>
      <c r="AIM55" s="44"/>
      <c r="AIN55" s="44"/>
      <c r="AIO55" s="44"/>
      <c r="AIP55" s="44"/>
      <c r="AIQ55" s="44"/>
      <c r="AIR55" s="44"/>
      <c r="AIS55" s="44"/>
      <c r="AIT55" s="44"/>
      <c r="AIU55" s="44"/>
      <c r="AIV55" s="44"/>
      <c r="AIW55" s="44"/>
      <c r="AIX55" s="44"/>
      <c r="AIY55" s="44"/>
      <c r="AIZ55" s="44"/>
      <c r="AJA55" s="44"/>
      <c r="AJB55" s="44"/>
      <c r="AJC55" s="44"/>
      <c r="AJD55" s="44"/>
      <c r="AJE55" s="44"/>
      <c r="AJF55" s="44"/>
      <c r="AJG55" s="44"/>
      <c r="AJH55" s="44"/>
      <c r="AJI55" s="44"/>
      <c r="AJJ55" s="44"/>
      <c r="AJK55" s="44"/>
      <c r="AJL55" s="44"/>
      <c r="AJM55" s="44"/>
      <c r="AJN55" s="44"/>
      <c r="AJO55" s="44"/>
      <c r="AJP55" s="44"/>
      <c r="AJQ55" s="44"/>
      <c r="AJR55" s="44"/>
      <c r="AJS55" s="44"/>
      <c r="AJT55" s="44"/>
      <c r="AJU55" s="44"/>
      <c r="AJV55" s="44"/>
      <c r="AJW55" s="44"/>
      <c r="AJX55" s="44"/>
      <c r="AJY55" s="44"/>
      <c r="AJZ55" s="44"/>
      <c r="AKA55" s="44"/>
      <c r="AKB55" s="44"/>
      <c r="AKC55" s="44"/>
      <c r="AKD55" s="44"/>
      <c r="AKE55" s="44"/>
      <c r="AKF55" s="44"/>
      <c r="AKG55" s="44"/>
      <c r="AKH55" s="44"/>
      <c r="AKI55" s="44"/>
      <c r="AKJ55" s="44"/>
      <c r="AKK55" s="44"/>
      <c r="AKL55" s="44"/>
      <c r="AKM55" s="44"/>
      <c r="AKN55" s="44"/>
      <c r="AKO55" s="44"/>
      <c r="AKP55" s="44"/>
      <c r="AKQ55" s="44"/>
      <c r="AKR55" s="44"/>
      <c r="AKS55" s="44"/>
      <c r="AKT55" s="44"/>
      <c r="AKU55" s="44"/>
      <c r="AKV55" s="44"/>
      <c r="AKW55" s="44"/>
      <c r="AKX55" s="44"/>
      <c r="AKY55" s="44"/>
      <c r="AKZ55" s="44"/>
      <c r="ALA55" s="44"/>
      <c r="ALB55" s="44"/>
      <c r="ALC55" s="44"/>
      <c r="ALD55" s="44"/>
      <c r="ALE55" s="44"/>
      <c r="ALF55" s="44"/>
      <c r="ALG55" s="44"/>
      <c r="ALH55" s="44"/>
      <c r="ALI55" s="44"/>
      <c r="ALJ55" s="44"/>
      <c r="ALK55" s="44"/>
      <c r="ALL55" s="44"/>
      <c r="ALM55" s="44"/>
      <c r="ALN55" s="44"/>
      <c r="ALO55" s="44"/>
      <c r="ALP55" s="44"/>
      <c r="ALQ55" s="44"/>
      <c r="ALR55" s="44"/>
      <c r="ALS55" s="44"/>
      <c r="ALT55" s="44"/>
      <c r="ALU55" s="44"/>
      <c r="ALV55" s="44"/>
      <c r="ALW55" s="44"/>
      <c r="ALX55" s="44"/>
      <c r="ALY55" s="44"/>
      <c r="ALZ55" s="44"/>
      <c r="AMA55" s="44"/>
      <c r="AMB55" s="44"/>
      <c r="AMC55" s="44"/>
      <c r="AMD55" s="44"/>
      <c r="AME55" s="44"/>
      <c r="AMF55" s="44"/>
      <c r="AMG55" s="44"/>
      <c r="AMH55" s="44"/>
      <c r="AMI55" s="44"/>
      <c r="AMJ55" s="44"/>
      <c r="AMK55" s="44"/>
      <c r="AML55" s="44"/>
      <c r="AMM55" s="44"/>
      <c r="AMN55" s="44"/>
      <c r="AMO55" s="44"/>
      <c r="AMP55" s="44"/>
      <c r="AMQ55" s="44"/>
      <c r="AMR55" s="44"/>
      <c r="AMS55" s="44"/>
      <c r="AMT55" s="44"/>
      <c r="AMU55" s="44"/>
      <c r="AMV55" s="44"/>
      <c r="AMW55" s="44"/>
      <c r="AMX55" s="44"/>
      <c r="AMY55" s="44"/>
      <c r="AMZ55" s="44"/>
      <c r="ANA55" s="44"/>
      <c r="ANB55" s="44"/>
      <c r="ANC55" s="44"/>
      <c r="AND55" s="44"/>
      <c r="ANE55" s="44"/>
      <c r="ANF55" s="44"/>
      <c r="ANG55" s="44"/>
      <c r="ANH55" s="44"/>
      <c r="ANI55" s="44"/>
      <c r="ANJ55" s="44"/>
      <c r="ANK55" s="44"/>
      <c r="ANL55" s="44"/>
      <c r="ANM55" s="44"/>
      <c r="ANN55" s="44"/>
      <c r="ANO55" s="44"/>
      <c r="ANP55" s="44"/>
      <c r="ANQ55" s="44"/>
      <c r="ANR55" s="44"/>
      <c r="ANS55" s="44"/>
      <c r="ANT55" s="44"/>
      <c r="ANU55" s="44"/>
      <c r="ANV55" s="44"/>
      <c r="ANW55" s="44"/>
      <c r="ANX55" s="44"/>
      <c r="ANY55" s="44"/>
      <c r="ANZ55" s="44"/>
      <c r="AOA55" s="44"/>
      <c r="AOB55" s="44"/>
      <c r="AOC55" s="44"/>
      <c r="AOD55" s="44"/>
      <c r="AOE55" s="44"/>
      <c r="AOF55" s="44"/>
      <c r="AOG55" s="44"/>
      <c r="AOH55" s="44"/>
      <c r="AOI55" s="44"/>
      <c r="AOJ55" s="44"/>
      <c r="AOK55" s="44"/>
      <c r="AOL55" s="44"/>
      <c r="AOM55" s="44"/>
      <c r="AON55" s="44"/>
      <c r="AOO55" s="44"/>
      <c r="AOP55" s="44"/>
      <c r="AOQ55" s="44"/>
      <c r="AOR55" s="44"/>
      <c r="AOS55" s="44"/>
      <c r="AOT55" s="44"/>
      <c r="AOU55" s="44"/>
      <c r="AOV55" s="44"/>
      <c r="AOW55" s="44"/>
      <c r="AOX55" s="44"/>
      <c r="AOY55" s="44"/>
      <c r="AOZ55" s="44"/>
      <c r="APA55" s="44"/>
      <c r="APB55" s="44"/>
      <c r="APC55" s="44"/>
      <c r="APD55" s="44"/>
      <c r="APE55" s="44"/>
      <c r="APF55" s="44"/>
      <c r="APG55" s="44"/>
      <c r="APH55" s="44"/>
      <c r="API55" s="44"/>
      <c r="APJ55" s="44"/>
      <c r="APK55" s="44"/>
      <c r="APL55" s="44"/>
      <c r="APM55" s="44"/>
      <c r="APN55" s="44"/>
      <c r="APO55" s="44"/>
      <c r="APP55" s="44"/>
      <c r="APQ55" s="44"/>
      <c r="APR55" s="44"/>
      <c r="APS55" s="44"/>
      <c r="APT55" s="44"/>
      <c r="APU55" s="44"/>
      <c r="APV55" s="44"/>
      <c r="APW55" s="44"/>
      <c r="APX55" s="44"/>
      <c r="APY55" s="44"/>
      <c r="APZ55" s="44"/>
      <c r="AQA55" s="44"/>
      <c r="AQB55" s="44"/>
      <c r="AQC55" s="44"/>
      <c r="AQD55" s="44"/>
      <c r="AQE55" s="44"/>
      <c r="AQF55" s="44"/>
      <c r="AQG55" s="44"/>
      <c r="AQH55" s="44"/>
      <c r="AQI55" s="44"/>
      <c r="AQJ55" s="44"/>
      <c r="AQK55" s="44"/>
      <c r="AQL55" s="44"/>
      <c r="AQM55" s="44"/>
      <c r="AQN55" s="44"/>
      <c r="AQO55" s="44"/>
      <c r="AQP55" s="44"/>
      <c r="AQQ55" s="44"/>
      <c r="AQR55" s="44"/>
      <c r="AQS55" s="44"/>
      <c r="AQT55" s="44"/>
      <c r="AQU55" s="44"/>
      <c r="AQV55" s="44"/>
      <c r="AQW55" s="44"/>
      <c r="AQX55" s="44"/>
      <c r="AQY55" s="44"/>
      <c r="AQZ55" s="44"/>
      <c r="ARA55" s="44"/>
      <c r="ARB55" s="44"/>
      <c r="ARC55" s="44"/>
      <c r="ARD55" s="44"/>
      <c r="ARE55" s="44"/>
      <c r="ARF55" s="44"/>
      <c r="ARG55" s="44"/>
      <c r="ARH55" s="44"/>
      <c r="ARI55" s="44"/>
      <c r="ARJ55" s="44"/>
      <c r="ARK55" s="44"/>
      <c r="ARL55" s="44"/>
      <c r="ARM55" s="44"/>
      <c r="ARN55" s="44"/>
      <c r="ARO55" s="44"/>
      <c r="ARP55" s="44"/>
      <c r="ARQ55" s="44"/>
      <c r="ARR55" s="44"/>
      <c r="ARS55" s="44"/>
      <c r="ART55" s="44"/>
      <c r="ARU55" s="44"/>
      <c r="ARV55" s="44"/>
      <c r="ARW55" s="44"/>
      <c r="ARX55" s="44"/>
      <c r="ARY55" s="44"/>
      <c r="ARZ55" s="44"/>
      <c r="ASA55" s="44"/>
      <c r="ASB55" s="44"/>
      <c r="ASC55" s="44"/>
      <c r="ASD55" s="44"/>
      <c r="ASE55" s="44"/>
      <c r="ASF55" s="44"/>
      <c r="ASG55" s="44"/>
      <c r="ASH55" s="44"/>
      <c r="ASI55" s="44"/>
      <c r="ASJ55" s="44"/>
      <c r="ASK55" s="44"/>
      <c r="ASL55" s="44"/>
      <c r="ASM55" s="44"/>
      <c r="ASN55" s="44"/>
      <c r="ASO55" s="44"/>
      <c r="ASP55" s="44"/>
      <c r="ASQ55" s="44"/>
      <c r="ASR55" s="44"/>
      <c r="ASS55" s="44"/>
      <c r="AST55" s="44"/>
      <c r="ASU55" s="44"/>
      <c r="ASV55" s="44"/>
      <c r="ASW55" s="44"/>
      <c r="ASX55" s="44"/>
      <c r="ASY55" s="44"/>
      <c r="ASZ55" s="44"/>
      <c r="ATA55" s="44"/>
      <c r="ATB55" s="44"/>
      <c r="ATC55" s="44"/>
      <c r="ATD55" s="44"/>
      <c r="ATE55" s="44"/>
      <c r="ATF55" s="44"/>
      <c r="ATG55" s="44"/>
      <c r="ATH55" s="44"/>
      <c r="ATI55" s="44"/>
      <c r="ATJ55" s="44"/>
      <c r="ATK55" s="44"/>
      <c r="ATL55" s="44"/>
      <c r="ATM55" s="44"/>
      <c r="ATN55" s="44"/>
      <c r="ATO55" s="44"/>
      <c r="ATP55" s="44"/>
      <c r="ATQ55" s="44"/>
      <c r="ATR55" s="44"/>
      <c r="ATS55" s="44"/>
      <c r="ATT55" s="44"/>
      <c r="ATU55" s="44"/>
      <c r="ATV55" s="44"/>
      <c r="ATW55" s="44"/>
      <c r="ATX55" s="44"/>
      <c r="ATY55" s="44"/>
      <c r="ATZ55" s="44"/>
      <c r="AUA55" s="44"/>
      <c r="AUB55" s="44"/>
      <c r="AUC55" s="44"/>
      <c r="AUD55" s="44"/>
      <c r="AUE55" s="44"/>
      <c r="AUF55" s="44"/>
      <c r="AUG55" s="44"/>
      <c r="AUH55" s="44"/>
      <c r="AUI55" s="44"/>
      <c r="AUJ55" s="44"/>
      <c r="AUK55" s="44"/>
      <c r="AUL55" s="44"/>
      <c r="AUM55" s="44"/>
      <c r="AUN55" s="44"/>
      <c r="AUO55" s="44"/>
      <c r="AUP55" s="44"/>
      <c r="AUQ55" s="44"/>
      <c r="AUR55" s="44"/>
      <c r="AUS55" s="44"/>
      <c r="AUT55" s="44"/>
      <c r="AUU55" s="44"/>
      <c r="AUV55" s="44"/>
      <c r="AUW55" s="44"/>
      <c r="AUX55" s="44"/>
      <c r="AUY55" s="44"/>
      <c r="AUZ55" s="44"/>
      <c r="AVA55" s="44"/>
      <c r="AVB55" s="44"/>
      <c r="AVC55" s="44"/>
      <c r="AVD55" s="44"/>
      <c r="AVE55" s="44"/>
      <c r="AVF55" s="44"/>
      <c r="AVG55" s="44"/>
      <c r="AVH55" s="44"/>
      <c r="AVI55" s="44"/>
      <c r="AVJ55" s="44"/>
      <c r="AVK55" s="44"/>
      <c r="AVL55" s="44"/>
      <c r="AVM55" s="44"/>
      <c r="AVN55" s="44"/>
      <c r="AVO55" s="44"/>
      <c r="AVP55" s="44"/>
      <c r="AVQ55" s="44"/>
      <c r="AVR55" s="44"/>
      <c r="AVS55" s="44"/>
      <c r="AVT55" s="44"/>
      <c r="AVU55" s="44"/>
      <c r="AVV55" s="44"/>
      <c r="AVW55" s="44"/>
      <c r="AVX55" s="44"/>
      <c r="AVY55" s="44"/>
      <c r="AVZ55" s="44"/>
      <c r="AWA55" s="44"/>
      <c r="AWB55" s="44"/>
      <c r="AWC55" s="44"/>
      <c r="AWD55" s="44"/>
      <c r="AWE55" s="44"/>
      <c r="AWF55" s="44"/>
      <c r="AWG55" s="44"/>
      <c r="AWH55" s="44"/>
      <c r="AWI55" s="44"/>
      <c r="AWJ55" s="44"/>
      <c r="AWK55" s="44"/>
      <c r="AWL55" s="44"/>
      <c r="AWM55" s="44"/>
      <c r="AWN55" s="44"/>
      <c r="AWO55" s="44"/>
      <c r="AWP55" s="44"/>
      <c r="AWQ55" s="44"/>
      <c r="AWR55" s="44"/>
      <c r="AWS55" s="44"/>
      <c r="AWT55" s="44"/>
      <c r="AWU55" s="44"/>
      <c r="AWV55" s="44"/>
      <c r="AWW55" s="44"/>
      <c r="AWX55" s="44"/>
      <c r="AWY55" s="44"/>
      <c r="AWZ55" s="44"/>
      <c r="AXA55" s="44"/>
      <c r="AXB55" s="44"/>
      <c r="AXC55" s="44"/>
      <c r="AXD55" s="44"/>
      <c r="AXE55" s="44"/>
      <c r="AXF55" s="44"/>
      <c r="AXG55" s="44"/>
      <c r="AXH55" s="44"/>
      <c r="AXI55" s="44"/>
      <c r="AXJ55" s="44"/>
      <c r="AXK55" s="44"/>
      <c r="AXL55" s="44"/>
      <c r="AXM55" s="44"/>
      <c r="AXN55" s="44"/>
      <c r="AXO55" s="44"/>
      <c r="AXP55" s="44"/>
      <c r="AXQ55" s="44"/>
      <c r="AXR55" s="44"/>
      <c r="AXS55" s="44"/>
      <c r="AXT55" s="44"/>
      <c r="AXU55" s="44"/>
      <c r="AXV55" s="44"/>
      <c r="AXW55" s="44"/>
      <c r="AXX55" s="44"/>
      <c r="AXY55" s="44"/>
      <c r="AXZ55" s="44"/>
      <c r="AYA55" s="44"/>
      <c r="AYB55" s="44"/>
      <c r="AYC55" s="44"/>
      <c r="AYD55" s="44"/>
      <c r="AYE55" s="44"/>
      <c r="AYF55" s="44"/>
      <c r="AYG55" s="44"/>
      <c r="AYH55" s="44"/>
      <c r="AYI55" s="44"/>
      <c r="AYJ55" s="44"/>
      <c r="AYK55" s="44"/>
      <c r="AYL55" s="44"/>
      <c r="AYM55" s="44"/>
      <c r="AYN55" s="44"/>
      <c r="AYO55" s="44"/>
      <c r="AYP55" s="44"/>
      <c r="AYQ55" s="44"/>
      <c r="AYR55" s="44"/>
      <c r="AYS55" s="44"/>
      <c r="AYT55" s="44"/>
      <c r="AYU55" s="44"/>
      <c r="AYV55" s="44"/>
      <c r="AYW55" s="44"/>
      <c r="AYX55" s="44"/>
      <c r="AYY55" s="44"/>
      <c r="AYZ55" s="44"/>
      <c r="AZA55" s="44"/>
      <c r="AZB55" s="44"/>
      <c r="AZC55" s="44"/>
      <c r="AZD55" s="44"/>
      <c r="AZE55" s="44"/>
      <c r="AZF55" s="44"/>
      <c r="AZG55" s="44"/>
      <c r="AZH55" s="44"/>
      <c r="AZI55" s="44"/>
      <c r="AZJ55" s="44"/>
      <c r="AZK55" s="44"/>
      <c r="AZL55" s="44"/>
      <c r="AZM55" s="44"/>
      <c r="AZN55" s="44"/>
      <c r="AZO55" s="44"/>
      <c r="AZP55" s="44"/>
      <c r="AZQ55" s="44"/>
      <c r="AZR55" s="44"/>
      <c r="AZS55" s="44"/>
      <c r="AZT55" s="44"/>
      <c r="AZU55" s="44"/>
      <c r="AZV55" s="44"/>
      <c r="AZW55" s="44"/>
      <c r="AZX55" s="44"/>
      <c r="AZY55" s="44"/>
      <c r="AZZ55" s="44"/>
      <c r="BAA55" s="44"/>
      <c r="BAB55" s="44"/>
      <c r="BAC55" s="44"/>
      <c r="BAD55" s="44"/>
      <c r="BAE55" s="44"/>
      <c r="BAF55" s="44"/>
      <c r="BAG55" s="44"/>
      <c r="BAH55" s="44"/>
      <c r="BAI55" s="44"/>
      <c r="BAJ55" s="44"/>
      <c r="BAK55" s="44"/>
      <c r="BAL55" s="44"/>
      <c r="BAM55" s="44"/>
      <c r="BAN55" s="44"/>
      <c r="BAO55" s="44"/>
      <c r="BAP55" s="44"/>
      <c r="BAQ55" s="44"/>
      <c r="BAR55" s="44"/>
      <c r="BAS55" s="44"/>
      <c r="BAT55" s="44"/>
      <c r="BAU55" s="44"/>
      <c r="BAV55" s="44"/>
      <c r="BAW55" s="44"/>
      <c r="BAX55" s="44"/>
      <c r="BAY55" s="44"/>
      <c r="BAZ55" s="44"/>
      <c r="BBA55" s="44"/>
      <c r="BBB55" s="44"/>
      <c r="BBC55" s="44"/>
      <c r="BBD55" s="44"/>
      <c r="BBE55" s="44"/>
      <c r="BBF55" s="44"/>
      <c r="BBG55" s="44"/>
      <c r="BBH55" s="44"/>
      <c r="BBI55" s="44"/>
      <c r="BBJ55" s="44"/>
      <c r="BBK55" s="44"/>
      <c r="BBL55" s="44"/>
      <c r="BBM55" s="44"/>
      <c r="BBN55" s="44"/>
      <c r="BBO55" s="44"/>
      <c r="BBP55" s="44"/>
      <c r="BBQ55" s="44"/>
      <c r="BBR55" s="44"/>
      <c r="BBS55" s="44"/>
      <c r="BBT55" s="44"/>
      <c r="BBU55" s="44"/>
      <c r="BBV55" s="44"/>
      <c r="BBW55" s="44"/>
      <c r="BBX55" s="44"/>
      <c r="BBY55" s="44"/>
      <c r="BBZ55" s="44"/>
      <c r="BCA55" s="44"/>
      <c r="BCB55" s="44"/>
      <c r="BCC55" s="44"/>
      <c r="BCD55" s="44"/>
      <c r="BCE55" s="44"/>
      <c r="BCF55" s="44"/>
      <c r="BCG55" s="44"/>
      <c r="BCH55" s="44"/>
      <c r="BCI55" s="44"/>
      <c r="BCJ55" s="44"/>
      <c r="BCK55" s="44"/>
      <c r="BCL55" s="44"/>
      <c r="BCM55" s="44"/>
      <c r="BCN55" s="44"/>
      <c r="BCO55" s="44"/>
      <c r="BCP55" s="44"/>
      <c r="BCQ55" s="44"/>
      <c r="BCR55" s="44"/>
      <c r="BCS55" s="44"/>
      <c r="BCT55" s="44"/>
      <c r="BCU55" s="44"/>
      <c r="BCV55" s="44"/>
      <c r="BCW55" s="44"/>
      <c r="BCX55" s="44"/>
      <c r="BCY55" s="44"/>
      <c r="BCZ55" s="44"/>
      <c r="BDA55" s="44"/>
      <c r="BDB55" s="44"/>
      <c r="BDC55" s="44"/>
      <c r="BDD55" s="44"/>
      <c r="BDE55" s="44"/>
      <c r="BDF55" s="44"/>
      <c r="BDG55" s="44"/>
      <c r="BDH55" s="44"/>
      <c r="BDI55" s="44"/>
      <c r="BDJ55" s="44"/>
      <c r="BDK55" s="44"/>
      <c r="BDL55" s="44"/>
      <c r="BDM55" s="44"/>
      <c r="BDN55" s="44"/>
      <c r="BDO55" s="44"/>
      <c r="BDP55" s="44"/>
      <c r="BDQ55" s="44"/>
      <c r="BDR55" s="44"/>
      <c r="BDS55" s="44"/>
      <c r="BDT55" s="44"/>
      <c r="BDU55" s="44"/>
      <c r="BDV55" s="44"/>
      <c r="BDW55" s="44"/>
      <c r="BDX55" s="44"/>
      <c r="BDY55" s="44"/>
      <c r="BDZ55" s="44"/>
      <c r="BEA55" s="44"/>
      <c r="BEB55" s="44"/>
      <c r="BEC55" s="44"/>
      <c r="BED55" s="44"/>
      <c r="BEE55" s="44"/>
      <c r="BEF55" s="44"/>
      <c r="BEG55" s="44"/>
      <c r="BEH55" s="44"/>
      <c r="BEI55" s="44"/>
      <c r="BEJ55" s="44"/>
      <c r="BEK55" s="44"/>
      <c r="BEL55" s="44"/>
      <c r="BEM55" s="44"/>
      <c r="BEN55" s="44"/>
      <c r="BEO55" s="44"/>
      <c r="BEP55" s="44"/>
      <c r="BEQ55" s="44"/>
      <c r="BER55" s="44"/>
      <c r="BES55" s="44"/>
      <c r="BET55" s="44"/>
      <c r="BEU55" s="44"/>
      <c r="BEV55" s="44"/>
      <c r="BEW55" s="44"/>
      <c r="BEX55" s="44"/>
      <c r="BEY55" s="44"/>
      <c r="BEZ55" s="44"/>
      <c r="BFA55" s="44"/>
      <c r="BFB55" s="44"/>
      <c r="BFC55" s="44"/>
      <c r="BFD55" s="44"/>
      <c r="BFE55" s="44"/>
      <c r="BFF55" s="44"/>
      <c r="BFG55" s="44"/>
      <c r="BFH55" s="44"/>
      <c r="BFI55" s="44"/>
      <c r="BFJ55" s="44"/>
      <c r="BFK55" s="44"/>
      <c r="BFL55" s="44"/>
      <c r="BFM55" s="44"/>
      <c r="BFN55" s="44"/>
      <c r="BFO55" s="44"/>
      <c r="BFP55" s="44"/>
      <c r="BFQ55" s="44"/>
      <c r="BFR55" s="44"/>
      <c r="BFS55" s="44"/>
      <c r="BFT55" s="44"/>
      <c r="BFU55" s="44"/>
      <c r="BFV55" s="44"/>
      <c r="BFW55" s="44"/>
      <c r="BFX55" s="44"/>
      <c r="BFY55" s="44"/>
      <c r="BFZ55" s="44"/>
      <c r="BGA55" s="44"/>
      <c r="BGB55" s="44"/>
      <c r="BGC55" s="44"/>
      <c r="BGD55" s="44"/>
      <c r="BGE55" s="44"/>
      <c r="BGF55" s="44"/>
      <c r="BGG55" s="44"/>
      <c r="BGH55" s="44"/>
      <c r="BGI55" s="44"/>
      <c r="BGJ55" s="44"/>
      <c r="BGK55" s="44"/>
      <c r="BGL55" s="44"/>
      <c r="BGM55" s="44"/>
      <c r="BGN55" s="44"/>
      <c r="BGO55" s="44"/>
      <c r="BGP55" s="44"/>
      <c r="BGQ55" s="44"/>
      <c r="BGR55" s="44"/>
      <c r="BGS55" s="44"/>
      <c r="BGT55" s="44"/>
      <c r="BGU55" s="44"/>
      <c r="BGV55" s="44"/>
      <c r="BGW55" s="44"/>
      <c r="BGX55" s="44"/>
      <c r="BGY55" s="44"/>
      <c r="BGZ55" s="44"/>
      <c r="BHA55" s="44"/>
      <c r="BHB55" s="44"/>
      <c r="BHC55" s="44"/>
      <c r="BHD55" s="44"/>
      <c r="BHE55" s="44"/>
      <c r="BHF55" s="44"/>
      <c r="BHG55" s="44"/>
      <c r="BHH55" s="44"/>
      <c r="BHI55" s="44"/>
      <c r="BHJ55" s="44"/>
      <c r="BHK55" s="44"/>
      <c r="BHL55" s="44"/>
      <c r="BHM55" s="44"/>
      <c r="BHN55" s="44"/>
      <c r="BHO55" s="44"/>
      <c r="BHP55" s="44"/>
      <c r="BHQ55" s="44"/>
      <c r="BHR55" s="44"/>
      <c r="BHS55" s="44"/>
      <c r="BHT55" s="44"/>
      <c r="BHU55" s="44"/>
      <c r="BHV55" s="44"/>
      <c r="BHW55" s="44"/>
      <c r="BHX55" s="44"/>
      <c r="BHY55" s="44"/>
      <c r="BHZ55" s="44"/>
      <c r="BIA55" s="44"/>
      <c r="BIB55" s="44"/>
      <c r="BIC55" s="44"/>
      <c r="BID55" s="44"/>
      <c r="BIE55" s="44"/>
      <c r="BIF55" s="44"/>
      <c r="BIG55" s="44"/>
      <c r="BIH55" s="44"/>
      <c r="BII55" s="44"/>
      <c r="BIJ55" s="44"/>
      <c r="BIK55" s="44"/>
      <c r="BIL55" s="44"/>
      <c r="BIM55" s="44"/>
      <c r="BIN55" s="44"/>
      <c r="BIO55" s="44"/>
      <c r="BIP55" s="44"/>
      <c r="BIQ55" s="44"/>
      <c r="BIR55" s="44"/>
      <c r="BIS55" s="44"/>
      <c r="BIT55" s="44"/>
      <c r="BIU55" s="44"/>
      <c r="BIV55" s="44"/>
      <c r="BIW55" s="44"/>
      <c r="BIX55" s="44"/>
      <c r="BIY55" s="44"/>
      <c r="BIZ55" s="44"/>
      <c r="BJA55" s="44"/>
      <c r="BJB55" s="44"/>
      <c r="BJC55" s="44"/>
      <c r="BJD55" s="44"/>
      <c r="BJE55" s="44"/>
      <c r="BJF55" s="44"/>
      <c r="BJG55" s="44"/>
      <c r="BJH55" s="44"/>
      <c r="BJI55" s="44"/>
      <c r="BJJ55" s="44"/>
      <c r="BJK55" s="44"/>
      <c r="BJL55" s="44"/>
      <c r="BJM55" s="44"/>
      <c r="BJN55" s="44"/>
      <c r="BJO55" s="44"/>
      <c r="BJP55" s="44"/>
      <c r="BJQ55" s="44"/>
      <c r="BJR55" s="44"/>
      <c r="BJS55" s="44"/>
      <c r="BJT55" s="44"/>
      <c r="BJU55" s="44"/>
      <c r="BJV55" s="44"/>
      <c r="BJW55" s="44"/>
      <c r="BJX55" s="44"/>
      <c r="BJY55" s="44"/>
      <c r="BJZ55" s="44"/>
      <c r="BKA55" s="44"/>
      <c r="BKB55" s="44"/>
      <c r="BKC55" s="44"/>
      <c r="BKD55" s="44"/>
      <c r="BKE55" s="44"/>
      <c r="BKF55" s="44"/>
      <c r="BKG55" s="44"/>
      <c r="BKH55" s="44"/>
      <c r="BKI55" s="44"/>
      <c r="BKJ55" s="44"/>
      <c r="BKK55" s="44"/>
      <c r="BKL55" s="44"/>
      <c r="BKM55" s="44"/>
      <c r="BKN55" s="44"/>
      <c r="BKO55" s="44"/>
      <c r="BKP55" s="44"/>
      <c r="BKQ55" s="44"/>
      <c r="BKR55" s="44"/>
      <c r="BKS55" s="44"/>
      <c r="BKT55" s="44"/>
      <c r="BKU55" s="44"/>
      <c r="BKV55" s="44"/>
      <c r="BKW55" s="44"/>
      <c r="BKX55" s="44"/>
      <c r="BKY55" s="44"/>
      <c r="BKZ55" s="44"/>
      <c r="BLA55" s="44"/>
      <c r="BLB55" s="44"/>
      <c r="BLC55" s="44"/>
      <c r="BLD55" s="44"/>
      <c r="BLE55" s="44"/>
      <c r="BLF55" s="44"/>
      <c r="BLG55" s="44"/>
      <c r="BLH55" s="44"/>
      <c r="BLI55" s="44"/>
      <c r="BLJ55" s="44"/>
      <c r="BLK55" s="44"/>
      <c r="BLL55" s="44"/>
      <c r="BLM55" s="44"/>
      <c r="BLN55" s="44"/>
      <c r="BLO55" s="44"/>
      <c r="BLP55" s="44"/>
      <c r="BLQ55" s="44"/>
      <c r="BLR55" s="44"/>
      <c r="BLS55" s="44"/>
      <c r="BLT55" s="44"/>
      <c r="BLU55" s="44"/>
      <c r="BLV55" s="44"/>
      <c r="BLW55" s="44"/>
      <c r="BLX55" s="44"/>
      <c r="BLY55" s="44"/>
      <c r="BLZ55" s="44"/>
      <c r="BMA55" s="44"/>
      <c r="BMB55" s="44"/>
      <c r="BMC55" s="44"/>
      <c r="BMD55" s="44"/>
      <c r="BME55" s="44"/>
      <c r="BMF55" s="44"/>
      <c r="BMG55" s="44"/>
      <c r="BMH55" s="44"/>
      <c r="BMI55" s="44"/>
      <c r="BMJ55" s="44"/>
      <c r="BMK55" s="44"/>
      <c r="BML55" s="44"/>
      <c r="BMM55" s="44"/>
      <c r="BMN55" s="44"/>
      <c r="BMO55" s="44"/>
      <c r="BMP55" s="44"/>
      <c r="BMQ55" s="44"/>
      <c r="BMR55" s="44"/>
      <c r="BMS55" s="44"/>
      <c r="BMT55" s="44"/>
      <c r="BMU55" s="44"/>
      <c r="BMV55" s="44"/>
      <c r="BMW55" s="44"/>
      <c r="BMX55" s="44"/>
      <c r="BMY55" s="44"/>
      <c r="BMZ55" s="44"/>
      <c r="BNA55" s="44"/>
      <c r="BNB55" s="44"/>
      <c r="BNC55" s="44"/>
      <c r="BND55" s="44"/>
      <c r="BNE55" s="44"/>
      <c r="BNF55" s="44"/>
      <c r="BNG55" s="44"/>
      <c r="BNH55" s="44"/>
      <c r="BNI55" s="44"/>
      <c r="BNJ55" s="44"/>
      <c r="BNK55" s="44"/>
      <c r="BNL55" s="44"/>
      <c r="BNM55" s="44"/>
      <c r="BNN55" s="44"/>
      <c r="BNO55" s="44"/>
      <c r="BNP55" s="44"/>
      <c r="BNQ55" s="44"/>
      <c r="BNR55" s="44"/>
      <c r="BNS55" s="44"/>
      <c r="BNT55" s="44"/>
      <c r="BNU55" s="44"/>
      <c r="BNV55" s="44"/>
      <c r="BNW55" s="44"/>
      <c r="BNX55" s="44"/>
      <c r="BNY55" s="44"/>
      <c r="BNZ55" s="44"/>
      <c r="BOA55" s="44"/>
      <c r="BOB55" s="44"/>
      <c r="BOC55" s="44"/>
      <c r="BOD55" s="44"/>
      <c r="BOE55" s="44"/>
      <c r="BOF55" s="44"/>
      <c r="BOG55" s="44"/>
      <c r="BOH55" s="44"/>
      <c r="BOI55" s="44"/>
      <c r="BOJ55" s="44"/>
      <c r="BOK55" s="44"/>
      <c r="BOL55" s="44"/>
      <c r="BOM55" s="44"/>
      <c r="BON55" s="44"/>
      <c r="BOO55" s="44"/>
      <c r="BOP55" s="44"/>
      <c r="BOQ55" s="44"/>
      <c r="BOR55" s="44"/>
      <c r="BOS55" s="44"/>
      <c r="BOT55" s="44"/>
      <c r="BOU55" s="44"/>
      <c r="BOV55" s="44"/>
      <c r="BOW55" s="44"/>
      <c r="BOX55" s="44"/>
      <c r="BOY55" s="44"/>
      <c r="BOZ55" s="44"/>
      <c r="BPA55" s="44"/>
      <c r="BPB55" s="44"/>
      <c r="BPC55" s="44"/>
      <c r="BPD55" s="44"/>
      <c r="BPE55" s="44"/>
      <c r="BPF55" s="44"/>
      <c r="BPG55" s="44"/>
      <c r="BPH55" s="44"/>
      <c r="BPI55" s="44"/>
      <c r="BPJ55" s="44"/>
      <c r="BPK55" s="44"/>
      <c r="BPL55" s="44"/>
      <c r="BPM55" s="44"/>
      <c r="BPN55" s="44"/>
      <c r="BPO55" s="44"/>
      <c r="BPP55" s="44"/>
      <c r="BPQ55" s="44"/>
      <c r="BPR55" s="44"/>
      <c r="BPS55" s="44"/>
      <c r="BPT55" s="44"/>
      <c r="BPU55" s="44"/>
      <c r="BPV55" s="44"/>
      <c r="BPW55" s="44"/>
      <c r="BPX55" s="44"/>
      <c r="BPY55" s="44"/>
      <c r="BPZ55" s="44"/>
      <c r="BQA55" s="44"/>
      <c r="BQB55" s="44"/>
      <c r="BQC55" s="44"/>
      <c r="BQD55" s="44"/>
      <c r="BQE55" s="44"/>
      <c r="BQF55" s="44"/>
      <c r="BQG55" s="44"/>
      <c r="BQH55" s="44"/>
      <c r="BQI55" s="44"/>
      <c r="BQJ55" s="44"/>
      <c r="BQK55" s="44"/>
      <c r="BQL55" s="44"/>
      <c r="BQM55" s="44"/>
      <c r="BQN55" s="44"/>
      <c r="BQO55" s="44"/>
      <c r="BQP55" s="44"/>
      <c r="BQQ55" s="44"/>
      <c r="BQR55" s="44"/>
      <c r="BQS55" s="44"/>
      <c r="BQT55" s="44"/>
      <c r="BQU55" s="44"/>
      <c r="BQV55" s="44"/>
      <c r="BQW55" s="44"/>
      <c r="BQX55" s="44"/>
      <c r="BQY55" s="44"/>
      <c r="BQZ55" s="44"/>
      <c r="BRA55" s="44"/>
      <c r="BRB55" s="44"/>
      <c r="BRC55" s="44"/>
      <c r="BRD55" s="44"/>
      <c r="BRE55" s="44"/>
      <c r="BRF55" s="44"/>
      <c r="BRG55" s="44"/>
      <c r="BRH55" s="44"/>
      <c r="BRI55" s="44"/>
      <c r="BRJ55" s="44"/>
      <c r="BRK55" s="44"/>
      <c r="BRL55" s="44"/>
      <c r="BRM55" s="44"/>
      <c r="BRN55" s="44"/>
      <c r="BRO55" s="44"/>
      <c r="BRP55" s="44"/>
      <c r="BRQ55" s="44"/>
      <c r="BRR55" s="44"/>
      <c r="BRS55" s="44"/>
      <c r="BRT55" s="44"/>
      <c r="BRU55" s="44"/>
      <c r="BRV55" s="44"/>
      <c r="BRW55" s="44"/>
      <c r="BRX55" s="44"/>
      <c r="BRY55" s="44"/>
      <c r="BRZ55" s="44"/>
      <c r="BSA55" s="44"/>
      <c r="BSB55" s="44"/>
      <c r="BSC55" s="44"/>
      <c r="BSD55" s="44"/>
      <c r="BSE55" s="44"/>
      <c r="BSF55" s="44"/>
      <c r="BSG55" s="44"/>
      <c r="BSH55" s="44"/>
      <c r="BSI55" s="44"/>
      <c r="BSJ55" s="44"/>
      <c r="BSK55" s="44"/>
      <c r="BSL55" s="44"/>
      <c r="BSM55" s="44"/>
      <c r="BSN55" s="44"/>
      <c r="BSO55" s="44"/>
      <c r="BSP55" s="44"/>
      <c r="BSQ55" s="44"/>
      <c r="BSR55" s="44"/>
      <c r="BSS55" s="44"/>
      <c r="BST55" s="44"/>
      <c r="BSU55" s="44"/>
      <c r="BSV55" s="44"/>
      <c r="BSW55" s="44"/>
      <c r="BSX55" s="44"/>
      <c r="BSY55" s="44"/>
      <c r="BSZ55" s="44"/>
      <c r="BTA55" s="44"/>
      <c r="BTB55" s="44"/>
      <c r="BTC55" s="44"/>
      <c r="BTD55" s="44"/>
      <c r="BTE55" s="44"/>
      <c r="BTF55" s="44"/>
      <c r="BTG55" s="44"/>
      <c r="BTH55" s="44"/>
      <c r="BTI55" s="44"/>
      <c r="BTJ55" s="44"/>
      <c r="BTK55" s="44"/>
      <c r="BTL55" s="44"/>
      <c r="BTM55" s="44"/>
      <c r="BTN55" s="44"/>
      <c r="BTO55" s="44"/>
      <c r="BTP55" s="44"/>
      <c r="BTQ55" s="44"/>
      <c r="BTR55" s="44"/>
      <c r="BTS55" s="44"/>
      <c r="BTT55" s="44"/>
      <c r="BTU55" s="44"/>
      <c r="BTV55" s="44"/>
      <c r="BTW55" s="44"/>
      <c r="BTX55" s="44"/>
      <c r="BTY55" s="44"/>
      <c r="BTZ55" s="44"/>
      <c r="BUA55" s="44"/>
      <c r="BUB55" s="44"/>
      <c r="BUC55" s="44"/>
      <c r="BUD55" s="44"/>
      <c r="BUE55" s="44"/>
      <c r="BUF55" s="44"/>
      <c r="BUG55" s="44"/>
      <c r="BUH55" s="44"/>
      <c r="BUI55" s="44"/>
      <c r="BUJ55" s="44"/>
      <c r="BUK55" s="44"/>
      <c r="BUL55" s="44"/>
      <c r="BUM55" s="44"/>
      <c r="BUN55" s="44"/>
      <c r="BUO55" s="44"/>
      <c r="BUP55" s="44"/>
      <c r="BUQ55" s="44"/>
      <c r="BUR55" s="44"/>
      <c r="BUS55" s="44"/>
      <c r="BUT55" s="44"/>
      <c r="BUU55" s="44"/>
      <c r="BUV55" s="44"/>
      <c r="BUW55" s="44"/>
      <c r="BUX55" s="44"/>
      <c r="BUY55" s="44"/>
      <c r="BUZ55" s="44"/>
      <c r="BVA55" s="44"/>
      <c r="BVB55" s="44"/>
      <c r="BVC55" s="44"/>
      <c r="BVD55" s="44"/>
      <c r="BVE55" s="44"/>
      <c r="BVF55" s="44"/>
      <c r="BVG55" s="44"/>
      <c r="BVH55" s="44"/>
      <c r="BVI55" s="44"/>
      <c r="BVJ55" s="44"/>
      <c r="BVK55" s="44"/>
      <c r="BVL55" s="44"/>
      <c r="BVM55" s="44"/>
      <c r="BVN55" s="44"/>
      <c r="BVO55" s="44"/>
      <c r="BVP55" s="44"/>
      <c r="BVQ55" s="44"/>
      <c r="BVR55" s="44"/>
      <c r="BVS55" s="44"/>
      <c r="BVT55" s="44"/>
      <c r="BVU55" s="44"/>
      <c r="BVV55" s="44"/>
      <c r="BVW55" s="44"/>
      <c r="BVX55" s="44"/>
      <c r="BVY55" s="44"/>
      <c r="BVZ55" s="44"/>
      <c r="BWA55" s="44"/>
      <c r="BWB55" s="44"/>
      <c r="BWC55" s="44"/>
      <c r="BWD55" s="44"/>
      <c r="BWE55" s="44"/>
      <c r="BWF55" s="44"/>
      <c r="BWG55" s="44"/>
      <c r="BWH55" s="44"/>
      <c r="BWI55" s="44"/>
      <c r="BWJ55" s="44"/>
      <c r="BWK55" s="44"/>
      <c r="BWL55" s="44"/>
      <c r="BWM55" s="44"/>
      <c r="BWN55" s="44"/>
      <c r="BWO55" s="44"/>
      <c r="BWP55" s="44"/>
      <c r="BWQ55" s="44"/>
      <c r="BWR55" s="44"/>
      <c r="BWS55" s="44"/>
      <c r="BWT55" s="44"/>
      <c r="BWU55" s="44"/>
      <c r="BWV55" s="44"/>
      <c r="BWW55" s="44"/>
      <c r="BWX55" s="44"/>
      <c r="BWY55" s="44"/>
      <c r="BWZ55" s="44"/>
      <c r="BXA55" s="44"/>
      <c r="BXB55" s="44"/>
      <c r="BXC55" s="44"/>
      <c r="BXD55" s="44"/>
      <c r="BXE55" s="44"/>
      <c r="BXF55" s="44"/>
      <c r="BXG55" s="44"/>
      <c r="BXH55" s="44"/>
      <c r="BXI55" s="44"/>
      <c r="BXJ55" s="44"/>
      <c r="BXK55" s="44"/>
      <c r="BXL55" s="44"/>
      <c r="BXM55" s="44"/>
      <c r="BXN55" s="44"/>
      <c r="BXO55" s="44"/>
      <c r="BXP55" s="44"/>
      <c r="BXQ55" s="44"/>
      <c r="BXR55" s="44"/>
      <c r="BXS55" s="44"/>
      <c r="BXT55" s="44"/>
      <c r="BXU55" s="44"/>
      <c r="BXV55" s="44"/>
      <c r="BXW55" s="44"/>
      <c r="BXX55" s="44"/>
      <c r="BXY55" s="44"/>
      <c r="BXZ55" s="44"/>
      <c r="BYA55" s="44"/>
      <c r="BYB55" s="44"/>
      <c r="BYC55" s="44"/>
      <c r="BYD55" s="44"/>
      <c r="BYE55" s="44"/>
      <c r="BYF55" s="44"/>
      <c r="BYG55" s="44"/>
      <c r="BYH55" s="44"/>
      <c r="BYI55" s="44"/>
      <c r="BYJ55" s="44"/>
      <c r="BYK55" s="44"/>
      <c r="BYL55" s="44"/>
      <c r="BYM55" s="44"/>
      <c r="BYN55" s="44"/>
      <c r="BYO55" s="44"/>
      <c r="BYP55" s="44"/>
      <c r="BYQ55" s="44"/>
      <c r="BYR55" s="44"/>
      <c r="BYS55" s="44"/>
      <c r="BYT55" s="44"/>
      <c r="BYU55" s="44"/>
      <c r="BYV55" s="44"/>
      <c r="BYW55" s="44"/>
      <c r="BYX55" s="44"/>
      <c r="BYY55" s="44"/>
      <c r="BYZ55" s="44"/>
      <c r="BZA55" s="44"/>
      <c r="BZB55" s="44"/>
      <c r="BZC55" s="44"/>
      <c r="BZD55" s="44"/>
      <c r="BZE55" s="44"/>
      <c r="BZF55" s="44"/>
      <c r="BZG55" s="44"/>
      <c r="BZH55" s="44"/>
      <c r="BZI55" s="44"/>
      <c r="BZJ55" s="44"/>
      <c r="BZK55" s="44"/>
      <c r="BZL55" s="44"/>
      <c r="BZM55" s="44"/>
      <c r="BZN55" s="44"/>
      <c r="BZO55" s="44"/>
      <c r="BZP55" s="44"/>
      <c r="BZQ55" s="44"/>
      <c r="BZR55" s="44"/>
      <c r="BZS55" s="44"/>
      <c r="BZT55" s="44"/>
      <c r="BZU55" s="44"/>
      <c r="BZV55" s="44"/>
      <c r="BZW55" s="44"/>
      <c r="BZX55" s="44"/>
      <c r="BZY55" s="44"/>
      <c r="BZZ55" s="44"/>
      <c r="CAA55" s="44"/>
      <c r="CAB55" s="44"/>
      <c r="CAC55" s="44"/>
      <c r="CAD55" s="44"/>
      <c r="CAE55" s="44"/>
      <c r="CAF55" s="44"/>
      <c r="CAG55" s="44"/>
      <c r="CAH55" s="44"/>
      <c r="CAI55" s="44"/>
      <c r="CAJ55" s="44"/>
      <c r="CAK55" s="44"/>
      <c r="CAL55" s="44"/>
      <c r="CAM55" s="44"/>
      <c r="CAN55" s="44"/>
      <c r="CAO55" s="44"/>
      <c r="CAP55" s="44"/>
      <c r="CAQ55" s="44"/>
      <c r="CAR55" s="44"/>
      <c r="CAS55" s="44"/>
      <c r="CAT55" s="44"/>
      <c r="CAU55" s="44"/>
      <c r="CAV55" s="44"/>
      <c r="CAW55" s="44"/>
      <c r="CAX55" s="44"/>
      <c r="CAY55" s="44"/>
      <c r="CAZ55" s="44"/>
      <c r="CBA55" s="44"/>
      <c r="CBB55" s="44"/>
      <c r="CBC55" s="44"/>
      <c r="CBD55" s="44"/>
      <c r="CBE55" s="44"/>
      <c r="CBF55" s="44"/>
      <c r="CBG55" s="44"/>
      <c r="CBH55" s="44"/>
      <c r="CBI55" s="44"/>
      <c r="CBJ55" s="44"/>
      <c r="CBK55" s="44"/>
      <c r="CBL55" s="44"/>
      <c r="CBM55" s="44"/>
      <c r="CBN55" s="44"/>
      <c r="CBO55" s="44"/>
      <c r="CBP55" s="44"/>
      <c r="CBQ55" s="44"/>
      <c r="CBR55" s="44"/>
      <c r="CBS55" s="44"/>
      <c r="CBT55" s="44"/>
      <c r="CBU55" s="44"/>
      <c r="CBV55" s="44"/>
      <c r="CBW55" s="44"/>
      <c r="CBX55" s="44"/>
      <c r="CBY55" s="44"/>
      <c r="CBZ55" s="44"/>
      <c r="CCA55" s="44"/>
      <c r="CCB55" s="44"/>
      <c r="CCC55" s="44"/>
      <c r="CCD55" s="44"/>
      <c r="CCE55" s="44"/>
      <c r="CCF55" s="44"/>
      <c r="CCG55" s="44"/>
      <c r="CCH55" s="44"/>
      <c r="CCI55" s="44"/>
      <c r="CCJ55" s="44"/>
      <c r="CCK55" s="44"/>
      <c r="CCL55" s="44"/>
      <c r="CCM55" s="44"/>
      <c r="CCN55" s="44"/>
      <c r="CCO55" s="44"/>
      <c r="CCP55" s="44"/>
      <c r="CCQ55" s="44"/>
      <c r="CCR55" s="44"/>
      <c r="CCS55" s="44"/>
      <c r="CCT55" s="44"/>
      <c r="CCU55" s="44"/>
      <c r="CCV55" s="44"/>
      <c r="CCW55" s="44"/>
      <c r="CCX55" s="44"/>
      <c r="CCY55" s="44"/>
      <c r="CCZ55" s="44"/>
      <c r="CDA55" s="44"/>
      <c r="CDB55" s="44"/>
      <c r="CDC55" s="44"/>
      <c r="CDD55" s="44"/>
      <c r="CDE55" s="44"/>
      <c r="CDF55" s="44"/>
      <c r="CDG55" s="44"/>
      <c r="CDH55" s="44"/>
      <c r="CDI55" s="44"/>
      <c r="CDJ55" s="44"/>
      <c r="CDK55" s="44"/>
      <c r="CDL55" s="44"/>
      <c r="CDM55" s="44"/>
      <c r="CDN55" s="44"/>
      <c r="CDO55" s="44"/>
      <c r="CDP55" s="44"/>
      <c r="CDQ55" s="44"/>
      <c r="CDR55" s="44"/>
      <c r="CDS55" s="44"/>
      <c r="CDT55" s="44"/>
      <c r="CDU55" s="44"/>
      <c r="CDV55" s="44"/>
      <c r="CDW55" s="44"/>
      <c r="CDX55" s="44"/>
      <c r="CDY55" s="44"/>
      <c r="CDZ55" s="44"/>
      <c r="CEA55" s="44"/>
      <c r="CEB55" s="44"/>
      <c r="CEC55" s="44"/>
      <c r="CED55" s="44"/>
      <c r="CEE55" s="44"/>
      <c r="CEF55" s="44"/>
      <c r="CEG55" s="44"/>
      <c r="CEH55" s="44"/>
      <c r="CEI55" s="44"/>
      <c r="CEJ55" s="44"/>
      <c r="CEK55" s="44"/>
      <c r="CEL55" s="44"/>
      <c r="CEM55" s="44"/>
      <c r="CEN55" s="44"/>
      <c r="CEO55" s="44"/>
      <c r="CEP55" s="44"/>
      <c r="CEQ55" s="44"/>
      <c r="CER55" s="44"/>
      <c r="CES55" s="44"/>
      <c r="CET55" s="44"/>
      <c r="CEU55" s="44"/>
      <c r="CEV55" s="44"/>
      <c r="CEW55" s="44"/>
      <c r="CEX55" s="44"/>
      <c r="CEY55" s="44"/>
      <c r="CEZ55" s="44"/>
      <c r="CFA55" s="44"/>
      <c r="CFB55" s="44"/>
      <c r="CFC55" s="44"/>
      <c r="CFD55" s="44"/>
      <c r="CFE55" s="44"/>
      <c r="CFF55" s="44"/>
      <c r="CFG55" s="44"/>
      <c r="CFH55" s="44"/>
      <c r="CFI55" s="44"/>
      <c r="CFJ55" s="44"/>
      <c r="CFK55" s="44"/>
      <c r="CFL55" s="44"/>
      <c r="CFM55" s="44"/>
      <c r="CFN55" s="44"/>
      <c r="CFO55" s="44"/>
      <c r="CFP55" s="44"/>
      <c r="CFQ55" s="44"/>
      <c r="CFR55" s="44"/>
      <c r="CFS55" s="44"/>
      <c r="CFT55" s="44"/>
      <c r="CFU55" s="44"/>
      <c r="CFV55" s="44"/>
      <c r="CFW55" s="44"/>
      <c r="CFX55" s="44"/>
      <c r="CFY55" s="44"/>
      <c r="CFZ55" s="44"/>
      <c r="CGA55" s="44"/>
      <c r="CGB55" s="44"/>
      <c r="CGC55" s="44"/>
      <c r="CGD55" s="44"/>
      <c r="CGE55" s="44"/>
      <c r="CGF55" s="44"/>
      <c r="CGG55" s="44"/>
      <c r="CGH55" s="44"/>
      <c r="CGI55" s="44"/>
      <c r="CGJ55" s="44"/>
      <c r="CGK55" s="44"/>
      <c r="CGL55" s="44"/>
      <c r="CGM55" s="44"/>
      <c r="CGN55" s="44"/>
      <c r="CGO55" s="44"/>
      <c r="CGP55" s="44"/>
      <c r="CGQ55" s="44"/>
      <c r="CGR55" s="44"/>
      <c r="CGS55" s="44"/>
      <c r="CGT55" s="44"/>
      <c r="CGU55" s="44"/>
      <c r="CGV55" s="44"/>
      <c r="CGW55" s="44"/>
      <c r="CGX55" s="44"/>
      <c r="CGY55" s="44"/>
      <c r="CGZ55" s="44"/>
      <c r="CHA55" s="44"/>
      <c r="CHB55" s="44"/>
      <c r="CHC55" s="44"/>
      <c r="CHD55" s="44"/>
      <c r="CHE55" s="44"/>
      <c r="CHF55" s="44"/>
      <c r="CHG55" s="44"/>
      <c r="CHH55" s="44"/>
      <c r="CHI55" s="44"/>
      <c r="CHJ55" s="44"/>
      <c r="CHK55" s="44"/>
      <c r="CHL55" s="44"/>
      <c r="CHM55" s="44"/>
      <c r="CHN55" s="44"/>
      <c r="CHO55" s="44"/>
      <c r="CHP55" s="44"/>
      <c r="CHQ55" s="44"/>
      <c r="CHR55" s="44"/>
      <c r="CHS55" s="44"/>
      <c r="CHT55" s="44"/>
      <c r="CHU55" s="44"/>
      <c r="CHV55" s="44"/>
      <c r="CHW55" s="44"/>
      <c r="CHX55" s="44"/>
      <c r="CHY55" s="44"/>
      <c r="CHZ55" s="44"/>
      <c r="CIA55" s="44"/>
      <c r="CIB55" s="44"/>
      <c r="CIC55" s="44"/>
      <c r="CID55" s="44"/>
      <c r="CIE55" s="44"/>
      <c r="CIF55" s="44"/>
      <c r="CIG55" s="44"/>
      <c r="CIH55" s="44"/>
      <c r="CII55" s="44"/>
      <c r="CIJ55" s="44"/>
      <c r="CIK55" s="44"/>
      <c r="CIL55" s="44"/>
      <c r="CIM55" s="44"/>
      <c r="CIN55" s="44"/>
      <c r="CIO55" s="44"/>
      <c r="CIP55" s="44"/>
      <c r="CIQ55" s="44"/>
      <c r="CIR55" s="44"/>
      <c r="CIS55" s="44"/>
      <c r="CIT55" s="44"/>
      <c r="CIU55" s="44"/>
      <c r="CIV55" s="44"/>
      <c r="CIW55" s="44"/>
      <c r="CIX55" s="44"/>
      <c r="CIY55" s="44"/>
      <c r="CIZ55" s="44"/>
      <c r="CJA55" s="44"/>
      <c r="CJB55" s="44"/>
      <c r="CJC55" s="44"/>
      <c r="CJD55" s="44"/>
      <c r="CJE55" s="44"/>
      <c r="CJF55" s="44"/>
      <c r="CJG55" s="44"/>
      <c r="CJH55" s="44"/>
      <c r="CJI55" s="44"/>
      <c r="CJJ55" s="44"/>
      <c r="CJK55" s="44"/>
      <c r="CJL55" s="44"/>
      <c r="CJM55" s="44"/>
      <c r="CJN55" s="44"/>
      <c r="CJO55" s="44"/>
      <c r="CJP55" s="44"/>
      <c r="CJQ55" s="44"/>
      <c r="CJR55" s="44"/>
      <c r="CJS55" s="44"/>
      <c r="CJT55" s="44"/>
      <c r="CJU55" s="44"/>
      <c r="CJV55" s="44"/>
      <c r="CJW55" s="44"/>
      <c r="CJX55" s="44"/>
      <c r="CJY55" s="44"/>
      <c r="CJZ55" s="44"/>
      <c r="CKA55" s="44"/>
      <c r="CKB55" s="44"/>
      <c r="CKC55" s="44"/>
      <c r="CKD55" s="44"/>
      <c r="CKE55" s="44"/>
      <c r="CKF55" s="44"/>
      <c r="CKG55" s="44"/>
      <c r="CKH55" s="44"/>
      <c r="CKI55" s="44"/>
      <c r="CKJ55" s="44"/>
      <c r="CKK55" s="44"/>
      <c r="CKL55" s="44"/>
      <c r="CKM55" s="44"/>
      <c r="CKN55" s="44"/>
      <c r="CKO55" s="44"/>
      <c r="CKP55" s="44"/>
      <c r="CKQ55" s="44"/>
      <c r="CKR55" s="44"/>
      <c r="CKS55" s="44"/>
      <c r="CKT55" s="44"/>
      <c r="CKU55" s="44"/>
      <c r="CKV55" s="44"/>
      <c r="CKW55" s="44"/>
      <c r="CKX55" s="44"/>
      <c r="CKY55" s="44"/>
      <c r="CKZ55" s="44"/>
      <c r="CLA55" s="44"/>
      <c r="CLB55" s="44"/>
      <c r="CLC55" s="44"/>
      <c r="CLD55" s="44"/>
      <c r="CLE55" s="44"/>
      <c r="CLF55" s="44"/>
      <c r="CLG55" s="44"/>
      <c r="CLH55" s="44"/>
      <c r="CLI55" s="44"/>
      <c r="CLJ55" s="44"/>
      <c r="CLK55" s="44"/>
      <c r="CLL55" s="44"/>
      <c r="CLM55" s="44"/>
      <c r="CLN55" s="44"/>
      <c r="CLO55" s="44"/>
      <c r="CLP55" s="44"/>
      <c r="CLQ55" s="44"/>
      <c r="CLR55" s="44"/>
      <c r="CLS55" s="44"/>
      <c r="CLT55" s="44"/>
      <c r="CLU55" s="44"/>
      <c r="CLV55" s="44"/>
      <c r="CLW55" s="44"/>
      <c r="CLX55" s="44"/>
      <c r="CLY55" s="44"/>
      <c r="CLZ55" s="44"/>
      <c r="CMA55" s="44"/>
      <c r="CMB55" s="44"/>
      <c r="CMC55" s="44"/>
      <c r="CMD55" s="44"/>
      <c r="CME55" s="44"/>
      <c r="CMF55" s="44"/>
      <c r="CMG55" s="44"/>
      <c r="CMH55" s="44"/>
      <c r="CMI55" s="44"/>
      <c r="CMJ55" s="44"/>
      <c r="CMK55" s="44"/>
      <c r="CML55" s="44"/>
      <c r="CMM55" s="44"/>
      <c r="CMN55" s="44"/>
      <c r="CMO55" s="44"/>
      <c r="CMP55" s="44"/>
      <c r="CMQ55" s="44"/>
      <c r="CMR55" s="44"/>
      <c r="CMS55" s="44"/>
      <c r="CMT55" s="44"/>
      <c r="CMU55" s="44"/>
      <c r="CMV55" s="44"/>
      <c r="CMW55" s="44"/>
      <c r="CMX55" s="44"/>
      <c r="CMY55" s="44"/>
      <c r="CMZ55" s="44"/>
      <c r="CNA55" s="44"/>
      <c r="CNB55" s="44"/>
      <c r="CNC55" s="44"/>
      <c r="CND55" s="44"/>
      <c r="CNE55" s="44"/>
      <c r="CNF55" s="44"/>
      <c r="CNG55" s="44"/>
      <c r="CNH55" s="44"/>
      <c r="CNI55" s="44"/>
      <c r="CNJ55" s="44"/>
      <c r="CNK55" s="44"/>
      <c r="CNL55" s="44"/>
      <c r="CNM55" s="44"/>
      <c r="CNN55" s="44"/>
      <c r="CNO55" s="44"/>
      <c r="CNP55" s="44"/>
      <c r="CNQ55" s="44"/>
      <c r="CNR55" s="44"/>
      <c r="CNS55" s="44"/>
      <c r="CNT55" s="44"/>
      <c r="CNU55" s="44"/>
      <c r="CNV55" s="44"/>
      <c r="CNW55" s="44"/>
      <c r="CNX55" s="44"/>
      <c r="CNY55" s="44"/>
      <c r="CNZ55" s="44"/>
      <c r="COA55" s="44"/>
      <c r="COB55" s="44"/>
      <c r="COC55" s="44"/>
      <c r="COD55" s="44"/>
      <c r="COE55" s="44"/>
      <c r="COF55" s="44"/>
      <c r="COG55" s="44"/>
      <c r="COH55" s="44"/>
      <c r="COI55" s="44"/>
      <c r="COJ55" s="44"/>
      <c r="COK55" s="44"/>
      <c r="COL55" s="44"/>
      <c r="COM55" s="44"/>
      <c r="CON55" s="44"/>
      <c r="COO55" s="44"/>
      <c r="COP55" s="44"/>
      <c r="COQ55" s="44"/>
      <c r="COR55" s="44"/>
      <c r="COS55" s="44"/>
      <c r="COT55" s="44"/>
      <c r="COU55" s="44"/>
      <c r="COV55" s="44"/>
      <c r="COW55" s="44"/>
      <c r="COX55" s="44"/>
      <c r="COY55" s="44"/>
      <c r="COZ55" s="44"/>
      <c r="CPA55" s="44"/>
      <c r="CPB55" s="44"/>
      <c r="CPC55" s="44"/>
      <c r="CPD55" s="44"/>
      <c r="CPE55" s="44"/>
      <c r="CPF55" s="44"/>
      <c r="CPG55" s="44"/>
      <c r="CPH55" s="44"/>
      <c r="CPI55" s="44"/>
      <c r="CPJ55" s="44"/>
      <c r="CPK55" s="44"/>
      <c r="CPL55" s="44"/>
      <c r="CPM55" s="44"/>
      <c r="CPN55" s="44"/>
      <c r="CPO55" s="44"/>
      <c r="CPP55" s="44"/>
      <c r="CPQ55" s="44"/>
      <c r="CPR55" s="44"/>
      <c r="CPS55" s="44"/>
      <c r="CPT55" s="44"/>
      <c r="CPU55" s="44"/>
      <c r="CPV55" s="44"/>
      <c r="CPW55" s="44"/>
      <c r="CPX55" s="44"/>
      <c r="CPY55" s="44"/>
      <c r="CPZ55" s="44"/>
      <c r="CQA55" s="44"/>
      <c r="CQB55" s="44"/>
      <c r="CQC55" s="44"/>
      <c r="CQD55" s="44"/>
      <c r="CQE55" s="44"/>
      <c r="CQF55" s="44"/>
      <c r="CQG55" s="44"/>
      <c r="CQH55" s="44"/>
      <c r="CQI55" s="44"/>
      <c r="CQJ55" s="44"/>
      <c r="CQK55" s="44"/>
      <c r="CQL55" s="44"/>
      <c r="CQM55" s="44"/>
      <c r="CQN55" s="44"/>
      <c r="CQO55" s="44"/>
      <c r="CQP55" s="44"/>
      <c r="CQQ55" s="44"/>
      <c r="CQR55" s="44"/>
      <c r="CQS55" s="44"/>
      <c r="CQT55" s="44"/>
      <c r="CQU55" s="44"/>
      <c r="CQV55" s="44"/>
      <c r="CQW55" s="44"/>
      <c r="CQX55" s="44"/>
      <c r="CQY55" s="44"/>
      <c r="CQZ55" s="44"/>
      <c r="CRA55" s="44"/>
      <c r="CRB55" s="44"/>
      <c r="CRC55" s="44"/>
      <c r="CRD55" s="44"/>
      <c r="CRE55" s="44"/>
      <c r="CRF55" s="44"/>
      <c r="CRG55" s="44"/>
      <c r="CRH55" s="44"/>
      <c r="CRI55" s="44"/>
      <c r="CRJ55" s="44"/>
      <c r="CRK55" s="44"/>
      <c r="CRL55" s="44"/>
      <c r="CRM55" s="44"/>
      <c r="CRN55" s="44"/>
      <c r="CRO55" s="44"/>
      <c r="CRP55" s="44"/>
      <c r="CRQ55" s="44"/>
      <c r="CRR55" s="44"/>
      <c r="CRS55" s="44"/>
      <c r="CRT55" s="44"/>
      <c r="CRU55" s="44"/>
      <c r="CRV55" s="44"/>
      <c r="CRW55" s="44"/>
      <c r="CRX55" s="44"/>
      <c r="CRY55" s="44"/>
      <c r="CRZ55" s="44"/>
      <c r="CSA55" s="44"/>
      <c r="CSB55" s="44"/>
      <c r="CSC55" s="44"/>
      <c r="CSD55" s="44"/>
      <c r="CSE55" s="44"/>
      <c r="CSF55" s="44"/>
      <c r="CSG55" s="44"/>
      <c r="CSH55" s="44"/>
      <c r="CSI55" s="44"/>
      <c r="CSJ55" s="44"/>
      <c r="CSK55" s="44"/>
      <c r="CSL55" s="44"/>
      <c r="CSM55" s="44"/>
      <c r="CSN55" s="44"/>
      <c r="CSO55" s="44"/>
      <c r="CSP55" s="44"/>
      <c r="CSQ55" s="44"/>
      <c r="CSR55" s="44"/>
      <c r="CSS55" s="44"/>
      <c r="CST55" s="44"/>
      <c r="CSU55" s="44"/>
      <c r="CSV55" s="44"/>
      <c r="CSW55" s="44"/>
      <c r="CSX55" s="44"/>
      <c r="CSY55" s="44"/>
      <c r="CSZ55" s="44"/>
      <c r="CTA55" s="44"/>
      <c r="CTB55" s="44"/>
      <c r="CTC55" s="44"/>
      <c r="CTD55" s="44"/>
      <c r="CTE55" s="44"/>
      <c r="CTF55" s="44"/>
      <c r="CTG55" s="44"/>
      <c r="CTH55" s="44"/>
      <c r="CTI55" s="44"/>
      <c r="CTJ55" s="44"/>
      <c r="CTK55" s="44"/>
      <c r="CTL55" s="44"/>
      <c r="CTM55" s="44"/>
      <c r="CTN55" s="44"/>
      <c r="CTO55" s="44"/>
      <c r="CTP55" s="44"/>
      <c r="CTQ55" s="44"/>
      <c r="CTR55" s="44"/>
      <c r="CTS55" s="44"/>
      <c r="CTT55" s="44"/>
      <c r="CTU55" s="44"/>
      <c r="CTV55" s="44"/>
      <c r="CTW55" s="44"/>
      <c r="CTX55" s="44"/>
      <c r="CTY55" s="44"/>
      <c r="CTZ55" s="44"/>
      <c r="CUA55" s="44"/>
      <c r="CUB55" s="44"/>
      <c r="CUC55" s="44"/>
      <c r="CUD55" s="44"/>
      <c r="CUE55" s="44"/>
      <c r="CUF55" s="44"/>
      <c r="CUG55" s="44"/>
      <c r="CUH55" s="44"/>
      <c r="CUI55" s="44"/>
      <c r="CUJ55" s="44"/>
      <c r="CUK55" s="44"/>
      <c r="CUL55" s="44"/>
      <c r="CUM55" s="44"/>
      <c r="CUN55" s="44"/>
      <c r="CUO55" s="44"/>
      <c r="CUP55" s="44"/>
      <c r="CUQ55" s="44"/>
      <c r="CUR55" s="44"/>
      <c r="CUS55" s="44"/>
      <c r="CUT55" s="44"/>
      <c r="CUU55" s="44"/>
      <c r="CUV55" s="44"/>
      <c r="CUW55" s="44"/>
      <c r="CUX55" s="44"/>
      <c r="CUY55" s="44"/>
      <c r="CUZ55" s="44"/>
      <c r="CVA55" s="44"/>
      <c r="CVB55" s="44"/>
      <c r="CVC55" s="44"/>
      <c r="CVD55" s="44"/>
      <c r="CVE55" s="44"/>
      <c r="CVF55" s="44"/>
      <c r="CVG55" s="44"/>
      <c r="CVH55" s="44"/>
      <c r="CVI55" s="44"/>
      <c r="CVJ55" s="44"/>
      <c r="CVK55" s="44"/>
      <c r="CVL55" s="44"/>
      <c r="CVM55" s="44"/>
      <c r="CVN55" s="44"/>
      <c r="CVO55" s="44"/>
      <c r="CVP55" s="44"/>
      <c r="CVQ55" s="44"/>
      <c r="CVR55" s="44"/>
      <c r="CVS55" s="44"/>
      <c r="CVT55" s="44"/>
      <c r="CVU55" s="44"/>
      <c r="CVV55" s="44"/>
      <c r="CVW55" s="44"/>
      <c r="CVX55" s="44"/>
      <c r="CVY55" s="44"/>
      <c r="CVZ55" s="44"/>
      <c r="CWA55" s="44"/>
      <c r="CWB55" s="44"/>
      <c r="CWC55" s="44"/>
      <c r="CWD55" s="44"/>
      <c r="CWE55" s="44"/>
      <c r="CWF55" s="44"/>
      <c r="CWG55" s="44"/>
      <c r="CWH55" s="44"/>
      <c r="CWI55" s="44"/>
      <c r="CWJ55" s="44"/>
      <c r="CWK55" s="44"/>
      <c r="CWL55" s="44"/>
      <c r="CWM55" s="44"/>
      <c r="CWN55" s="44"/>
      <c r="CWO55" s="44"/>
      <c r="CWP55" s="44"/>
      <c r="CWQ55" s="44"/>
      <c r="CWR55" s="44"/>
      <c r="CWS55" s="44"/>
      <c r="CWT55" s="44"/>
      <c r="CWU55" s="44"/>
      <c r="CWV55" s="44"/>
      <c r="CWW55" s="44"/>
      <c r="CWX55" s="44"/>
      <c r="CWY55" s="44"/>
      <c r="CWZ55" s="44"/>
      <c r="CXA55" s="44"/>
      <c r="CXB55" s="44"/>
      <c r="CXC55" s="44"/>
      <c r="CXD55" s="44"/>
      <c r="CXE55" s="44"/>
      <c r="CXF55" s="44"/>
      <c r="CXG55" s="44"/>
      <c r="CXH55" s="44"/>
      <c r="CXI55" s="44"/>
      <c r="CXJ55" s="44"/>
      <c r="CXK55" s="44"/>
      <c r="CXL55" s="44"/>
      <c r="CXM55" s="44"/>
      <c r="CXN55" s="44"/>
      <c r="CXO55" s="44"/>
      <c r="CXP55" s="44"/>
      <c r="CXQ55" s="44"/>
      <c r="CXR55" s="44"/>
      <c r="CXS55" s="44"/>
      <c r="CXT55" s="44"/>
      <c r="CXU55" s="44"/>
      <c r="CXV55" s="44"/>
      <c r="CXW55" s="44"/>
      <c r="CXX55" s="44"/>
      <c r="CXY55" s="44"/>
      <c r="CXZ55" s="44"/>
      <c r="CYA55" s="44"/>
      <c r="CYB55" s="44"/>
      <c r="CYC55" s="44"/>
      <c r="CYD55" s="44"/>
      <c r="CYE55" s="44"/>
      <c r="CYF55" s="44"/>
      <c r="CYG55" s="44"/>
      <c r="CYH55" s="44"/>
      <c r="CYI55" s="44"/>
      <c r="CYJ55" s="44"/>
      <c r="CYK55" s="44"/>
      <c r="CYL55" s="44"/>
      <c r="CYM55" s="44"/>
      <c r="CYN55" s="44"/>
      <c r="CYO55" s="44"/>
      <c r="CYP55" s="44"/>
      <c r="CYQ55" s="44"/>
      <c r="CYR55" s="44"/>
      <c r="CYS55" s="44"/>
      <c r="CYT55" s="44"/>
      <c r="CYU55" s="44"/>
      <c r="CYV55" s="44"/>
      <c r="CYW55" s="44"/>
      <c r="CYX55" s="44"/>
      <c r="CYY55" s="44"/>
      <c r="CYZ55" s="44"/>
      <c r="CZA55" s="44"/>
      <c r="CZB55" s="44"/>
      <c r="CZC55" s="44"/>
      <c r="CZD55" s="44"/>
      <c r="CZE55" s="44"/>
      <c r="CZF55" s="44"/>
      <c r="CZG55" s="44"/>
      <c r="CZH55" s="44"/>
      <c r="CZI55" s="44"/>
      <c r="CZJ55" s="44"/>
      <c r="CZK55" s="44"/>
      <c r="CZL55" s="44"/>
      <c r="CZM55" s="44"/>
      <c r="CZN55" s="44"/>
      <c r="CZO55" s="44"/>
      <c r="CZP55" s="44"/>
      <c r="CZQ55" s="44"/>
      <c r="CZR55" s="44"/>
      <c r="CZS55" s="44"/>
      <c r="CZT55" s="44"/>
      <c r="CZU55" s="44"/>
      <c r="CZV55" s="44"/>
      <c r="CZW55" s="44"/>
      <c r="CZX55" s="44"/>
      <c r="CZY55" s="44"/>
      <c r="CZZ55" s="44"/>
      <c r="DAA55" s="44"/>
      <c r="DAB55" s="44"/>
      <c r="DAC55" s="44"/>
      <c r="DAD55" s="44"/>
      <c r="DAE55" s="44"/>
      <c r="DAF55" s="44"/>
      <c r="DAG55" s="44"/>
      <c r="DAH55" s="44"/>
      <c r="DAI55" s="44"/>
      <c r="DAJ55" s="44"/>
      <c r="DAK55" s="44"/>
      <c r="DAL55" s="44"/>
      <c r="DAM55" s="44"/>
      <c r="DAN55" s="44"/>
      <c r="DAO55" s="44"/>
      <c r="DAP55" s="44"/>
      <c r="DAQ55" s="44"/>
      <c r="DAR55" s="44"/>
      <c r="DAS55" s="44"/>
      <c r="DAT55" s="44"/>
      <c r="DAU55" s="44"/>
      <c r="DAV55" s="44"/>
      <c r="DAW55" s="44"/>
      <c r="DAX55" s="44"/>
      <c r="DAY55" s="44"/>
      <c r="DAZ55" s="44"/>
      <c r="DBA55" s="44"/>
      <c r="DBB55" s="44"/>
      <c r="DBC55" s="44"/>
      <c r="DBD55" s="44"/>
      <c r="DBE55" s="44"/>
      <c r="DBF55" s="44"/>
      <c r="DBG55" s="44"/>
      <c r="DBH55" s="44"/>
      <c r="DBI55" s="44"/>
      <c r="DBJ55" s="44"/>
      <c r="DBK55" s="44"/>
      <c r="DBL55" s="44"/>
      <c r="DBM55" s="44"/>
      <c r="DBN55" s="44"/>
      <c r="DBO55" s="44"/>
      <c r="DBP55" s="44"/>
      <c r="DBQ55" s="44"/>
      <c r="DBR55" s="44"/>
      <c r="DBS55" s="44"/>
      <c r="DBT55" s="44"/>
      <c r="DBU55" s="44"/>
      <c r="DBV55" s="44"/>
      <c r="DBW55" s="44"/>
      <c r="DBX55" s="44"/>
      <c r="DBY55" s="44"/>
      <c r="DBZ55" s="44"/>
      <c r="DCA55" s="44"/>
      <c r="DCB55" s="44"/>
      <c r="DCC55" s="44"/>
      <c r="DCD55" s="44"/>
      <c r="DCE55" s="44"/>
      <c r="DCF55" s="44"/>
      <c r="DCG55" s="44"/>
      <c r="DCH55" s="44"/>
      <c r="DCI55" s="44"/>
      <c r="DCJ55" s="44"/>
      <c r="DCK55" s="44"/>
      <c r="DCL55" s="44"/>
      <c r="DCM55" s="44"/>
      <c r="DCN55" s="44"/>
      <c r="DCO55" s="44"/>
      <c r="DCP55" s="44"/>
      <c r="DCQ55" s="44"/>
      <c r="DCR55" s="44"/>
      <c r="DCS55" s="44"/>
      <c r="DCT55" s="44"/>
      <c r="DCU55" s="44"/>
      <c r="DCV55" s="44"/>
      <c r="DCW55" s="44"/>
      <c r="DCX55" s="44"/>
      <c r="DCY55" s="44"/>
      <c r="DCZ55" s="44"/>
      <c r="DDA55" s="44"/>
      <c r="DDB55" s="44"/>
      <c r="DDC55" s="44"/>
      <c r="DDD55" s="44"/>
      <c r="DDE55" s="44"/>
      <c r="DDF55" s="44"/>
      <c r="DDG55" s="44"/>
      <c r="DDH55" s="44"/>
      <c r="DDI55" s="44"/>
      <c r="DDJ55" s="44"/>
      <c r="DDK55" s="44"/>
      <c r="DDL55" s="44"/>
      <c r="DDM55" s="44"/>
      <c r="DDN55" s="44"/>
      <c r="DDO55" s="44"/>
      <c r="DDP55" s="44"/>
      <c r="DDQ55" s="44"/>
      <c r="DDR55" s="44"/>
      <c r="DDS55" s="44"/>
      <c r="DDT55" s="44"/>
      <c r="DDU55" s="44"/>
      <c r="DDV55" s="44"/>
      <c r="DDW55" s="44"/>
      <c r="DDX55" s="44"/>
      <c r="DDY55" s="44"/>
      <c r="DDZ55" s="44"/>
      <c r="DEA55" s="44"/>
      <c r="DEB55" s="44"/>
      <c r="DEC55" s="44"/>
      <c r="DED55" s="44"/>
      <c r="DEE55" s="44"/>
      <c r="DEF55" s="44"/>
      <c r="DEG55" s="44"/>
      <c r="DEH55" s="44"/>
      <c r="DEI55" s="44"/>
      <c r="DEJ55" s="44"/>
      <c r="DEK55" s="44"/>
      <c r="DEL55" s="44"/>
      <c r="DEM55" s="44"/>
      <c r="DEN55" s="44"/>
      <c r="DEO55" s="44"/>
      <c r="DEP55" s="44"/>
      <c r="DEQ55" s="44"/>
      <c r="DER55" s="44"/>
      <c r="DES55" s="44"/>
      <c r="DET55" s="44"/>
      <c r="DEU55" s="44"/>
      <c r="DEV55" s="44"/>
      <c r="DEW55" s="44"/>
      <c r="DEX55" s="44"/>
      <c r="DEY55" s="44"/>
      <c r="DEZ55" s="44"/>
      <c r="DFA55" s="44"/>
      <c r="DFB55" s="44"/>
      <c r="DFC55" s="44"/>
      <c r="DFD55" s="44"/>
      <c r="DFE55" s="44"/>
      <c r="DFF55" s="44"/>
      <c r="DFG55" s="44"/>
      <c r="DFH55" s="44"/>
      <c r="DFI55" s="44"/>
      <c r="DFJ55" s="44"/>
      <c r="DFK55" s="44"/>
      <c r="DFL55" s="44"/>
      <c r="DFM55" s="44"/>
      <c r="DFN55" s="44"/>
      <c r="DFO55" s="44"/>
      <c r="DFP55" s="44"/>
      <c r="DFQ55" s="44"/>
      <c r="DFR55" s="44"/>
      <c r="DFS55" s="44"/>
      <c r="DFT55" s="44"/>
      <c r="DFU55" s="44"/>
      <c r="DFV55" s="44"/>
      <c r="DFW55" s="44"/>
      <c r="DFX55" s="44"/>
      <c r="DFY55" s="44"/>
      <c r="DFZ55" s="44"/>
      <c r="DGA55" s="44"/>
      <c r="DGB55" s="44"/>
      <c r="DGC55" s="44"/>
      <c r="DGD55" s="44"/>
      <c r="DGE55" s="44"/>
      <c r="DGF55" s="44"/>
      <c r="DGG55" s="44"/>
      <c r="DGH55" s="44"/>
      <c r="DGI55" s="44"/>
      <c r="DGJ55" s="44"/>
      <c r="DGK55" s="44"/>
      <c r="DGL55" s="44"/>
      <c r="DGM55" s="44"/>
      <c r="DGN55" s="44"/>
      <c r="DGO55" s="44"/>
      <c r="DGP55" s="44"/>
      <c r="DGQ55" s="44"/>
      <c r="DGR55" s="44"/>
      <c r="DGS55" s="44"/>
      <c r="DGT55" s="44"/>
      <c r="DGU55" s="44"/>
      <c r="DGV55" s="44"/>
      <c r="DGW55" s="44"/>
      <c r="DGX55" s="44"/>
      <c r="DGY55" s="44"/>
      <c r="DGZ55" s="44"/>
      <c r="DHA55" s="44"/>
      <c r="DHB55" s="44"/>
      <c r="DHC55" s="44"/>
      <c r="DHD55" s="44"/>
      <c r="DHE55" s="44"/>
      <c r="DHF55" s="44"/>
      <c r="DHG55" s="44"/>
      <c r="DHH55" s="44"/>
      <c r="DHI55" s="44"/>
      <c r="DHJ55" s="44"/>
      <c r="DHK55" s="44"/>
      <c r="DHL55" s="44"/>
      <c r="DHM55" s="44"/>
      <c r="DHN55" s="44"/>
      <c r="DHO55" s="44"/>
      <c r="DHP55" s="44"/>
      <c r="DHQ55" s="44"/>
      <c r="DHR55" s="44"/>
      <c r="DHS55" s="44"/>
      <c r="DHT55" s="44"/>
      <c r="DHU55" s="44"/>
      <c r="DHV55" s="44"/>
      <c r="DHW55" s="44"/>
      <c r="DHX55" s="44"/>
      <c r="DHY55" s="44"/>
      <c r="DHZ55" s="44"/>
      <c r="DIA55" s="44"/>
      <c r="DIB55" s="44"/>
      <c r="DIC55" s="44"/>
      <c r="DID55" s="44"/>
      <c r="DIE55" s="44"/>
      <c r="DIF55" s="44"/>
      <c r="DIG55" s="44"/>
      <c r="DIH55" s="44"/>
      <c r="DII55" s="44"/>
      <c r="DIJ55" s="44"/>
      <c r="DIK55" s="44"/>
      <c r="DIL55" s="44"/>
      <c r="DIM55" s="44"/>
      <c r="DIN55" s="44"/>
      <c r="DIO55" s="44"/>
      <c r="DIP55" s="44"/>
      <c r="DIQ55" s="44"/>
      <c r="DIR55" s="44"/>
      <c r="DIS55" s="44"/>
      <c r="DIT55" s="44"/>
      <c r="DIU55" s="44"/>
      <c r="DIV55" s="44"/>
      <c r="DIW55" s="44"/>
      <c r="DIX55" s="44"/>
      <c r="DIY55" s="44"/>
      <c r="DIZ55" s="44"/>
      <c r="DJA55" s="44"/>
      <c r="DJB55" s="44"/>
      <c r="DJC55" s="44"/>
      <c r="DJD55" s="44"/>
      <c r="DJE55" s="44"/>
      <c r="DJF55" s="44"/>
      <c r="DJG55" s="44"/>
      <c r="DJH55" s="44"/>
      <c r="DJI55" s="44"/>
      <c r="DJJ55" s="44"/>
      <c r="DJK55" s="44"/>
      <c r="DJL55" s="44"/>
      <c r="DJM55" s="44"/>
      <c r="DJN55" s="44"/>
      <c r="DJO55" s="44"/>
      <c r="DJP55" s="44"/>
      <c r="DJQ55" s="44"/>
      <c r="DJR55" s="44"/>
      <c r="DJS55" s="44"/>
      <c r="DJT55" s="44"/>
      <c r="DJU55" s="44"/>
      <c r="DJV55" s="44"/>
      <c r="DJW55" s="44"/>
      <c r="DJX55" s="44"/>
      <c r="DJY55" s="44"/>
      <c r="DJZ55" s="44"/>
      <c r="DKA55" s="44"/>
      <c r="DKB55" s="44"/>
      <c r="DKC55" s="44"/>
      <c r="DKD55" s="44"/>
      <c r="DKE55" s="44"/>
      <c r="DKF55" s="44"/>
      <c r="DKG55" s="44"/>
      <c r="DKH55" s="44"/>
      <c r="DKI55" s="44"/>
      <c r="DKJ55" s="44"/>
      <c r="DKK55" s="44"/>
      <c r="DKL55" s="44"/>
      <c r="DKM55" s="44"/>
      <c r="DKN55" s="44"/>
      <c r="DKO55" s="44"/>
      <c r="DKP55" s="44"/>
      <c r="DKQ55" s="44"/>
      <c r="DKR55" s="44"/>
      <c r="DKS55" s="44"/>
      <c r="DKT55" s="44"/>
      <c r="DKU55" s="44"/>
      <c r="DKV55" s="44"/>
      <c r="DKW55" s="44"/>
      <c r="DKX55" s="44"/>
      <c r="DKY55" s="44"/>
      <c r="DKZ55" s="44"/>
      <c r="DLA55" s="44"/>
      <c r="DLB55" s="44"/>
      <c r="DLC55" s="44"/>
      <c r="DLD55" s="44"/>
      <c r="DLE55" s="44"/>
      <c r="DLF55" s="44"/>
      <c r="DLG55" s="44"/>
      <c r="DLH55" s="44"/>
      <c r="DLI55" s="44"/>
      <c r="DLJ55" s="44"/>
      <c r="DLK55" s="44"/>
      <c r="DLL55" s="44"/>
      <c r="DLM55" s="44"/>
      <c r="DLN55" s="44"/>
      <c r="DLO55" s="44"/>
      <c r="DLP55" s="44"/>
      <c r="DLQ55" s="44"/>
      <c r="DLR55" s="44"/>
      <c r="DLS55" s="44"/>
      <c r="DLT55" s="44"/>
      <c r="DLU55" s="44"/>
      <c r="DLV55" s="44"/>
      <c r="DLW55" s="44"/>
      <c r="DLX55" s="44"/>
      <c r="DLY55" s="44"/>
      <c r="DLZ55" s="44"/>
      <c r="DMA55" s="44"/>
      <c r="DMB55" s="44"/>
      <c r="DMC55" s="44"/>
      <c r="DMD55" s="44"/>
      <c r="DME55" s="44"/>
      <c r="DMF55" s="44"/>
      <c r="DMG55" s="44"/>
      <c r="DMH55" s="44"/>
      <c r="DMI55" s="44"/>
      <c r="DMJ55" s="44"/>
      <c r="DMK55" s="44"/>
      <c r="DML55" s="44"/>
      <c r="DMM55" s="44"/>
      <c r="DMN55" s="44"/>
      <c r="DMO55" s="44"/>
      <c r="DMP55" s="44"/>
      <c r="DMQ55" s="44"/>
      <c r="DMR55" s="44"/>
      <c r="DMS55" s="44"/>
      <c r="DMT55" s="44"/>
      <c r="DMU55" s="44"/>
      <c r="DMV55" s="44"/>
      <c r="DMW55" s="44"/>
      <c r="DMX55" s="44"/>
      <c r="DMY55" s="44"/>
      <c r="DMZ55" s="44"/>
      <c r="DNA55" s="44"/>
      <c r="DNB55" s="44"/>
      <c r="DNC55" s="44"/>
      <c r="DND55" s="44"/>
      <c r="DNE55" s="44"/>
      <c r="DNF55" s="44"/>
      <c r="DNG55" s="44"/>
      <c r="DNH55" s="44"/>
      <c r="DNI55" s="44"/>
      <c r="DNJ55" s="44"/>
      <c r="DNK55" s="44"/>
      <c r="DNL55" s="44"/>
      <c r="DNM55" s="44"/>
      <c r="DNN55" s="44"/>
      <c r="DNO55" s="44"/>
      <c r="DNP55" s="44"/>
      <c r="DNQ55" s="44"/>
      <c r="DNR55" s="44"/>
      <c r="DNS55" s="44"/>
      <c r="DNT55" s="44"/>
      <c r="DNU55" s="44"/>
      <c r="DNV55" s="44"/>
      <c r="DNW55" s="44"/>
      <c r="DNX55" s="44"/>
      <c r="DNY55" s="44"/>
      <c r="DNZ55" s="44"/>
      <c r="DOA55" s="44"/>
      <c r="DOB55" s="44"/>
      <c r="DOC55" s="44"/>
      <c r="DOD55" s="44"/>
      <c r="DOE55" s="44"/>
      <c r="DOF55" s="44"/>
      <c r="DOG55" s="44"/>
      <c r="DOH55" s="44"/>
      <c r="DOI55" s="44"/>
      <c r="DOJ55" s="44"/>
      <c r="DOK55" s="44"/>
      <c r="DOL55" s="44"/>
      <c r="DOM55" s="44"/>
      <c r="DON55" s="44"/>
      <c r="DOO55" s="44"/>
      <c r="DOP55" s="44"/>
      <c r="DOQ55" s="44"/>
      <c r="DOR55" s="44"/>
      <c r="DOS55" s="44"/>
      <c r="DOT55" s="44"/>
      <c r="DOU55" s="44"/>
      <c r="DOV55" s="44"/>
      <c r="DOW55" s="44"/>
      <c r="DOX55" s="44"/>
      <c r="DOY55" s="44"/>
      <c r="DOZ55" s="44"/>
      <c r="DPA55" s="44"/>
      <c r="DPB55" s="44"/>
      <c r="DPC55" s="44"/>
      <c r="DPD55" s="44"/>
      <c r="DPE55" s="44"/>
      <c r="DPF55" s="44"/>
      <c r="DPG55" s="44"/>
      <c r="DPH55" s="44"/>
      <c r="DPI55" s="44"/>
      <c r="DPJ55" s="44"/>
      <c r="DPK55" s="44"/>
      <c r="DPL55" s="44"/>
      <c r="DPM55" s="44"/>
      <c r="DPN55" s="44"/>
      <c r="DPO55" s="44"/>
      <c r="DPP55" s="44"/>
      <c r="DPQ55" s="44"/>
      <c r="DPR55" s="44"/>
      <c r="DPS55" s="44"/>
      <c r="DPT55" s="44"/>
      <c r="DPU55" s="44"/>
      <c r="DPV55" s="44"/>
      <c r="DPW55" s="44"/>
      <c r="DPX55" s="44"/>
      <c r="DPY55" s="44"/>
      <c r="DPZ55" s="44"/>
      <c r="DQA55" s="44"/>
      <c r="DQB55" s="44"/>
      <c r="DQC55" s="44"/>
      <c r="DQD55" s="44"/>
      <c r="DQE55" s="44"/>
      <c r="DQF55" s="44"/>
      <c r="DQG55" s="44"/>
      <c r="DQH55" s="44"/>
      <c r="DQI55" s="44"/>
      <c r="DQJ55" s="44"/>
      <c r="DQK55" s="44"/>
      <c r="DQL55" s="44"/>
      <c r="DQM55" s="44"/>
      <c r="DQN55" s="44"/>
      <c r="DQO55" s="44"/>
      <c r="DQP55" s="44"/>
      <c r="DQQ55" s="44"/>
      <c r="DQR55" s="44"/>
      <c r="DQS55" s="44"/>
      <c r="DQT55" s="44"/>
      <c r="DQU55" s="44"/>
      <c r="DQV55" s="44"/>
      <c r="DQW55" s="44"/>
      <c r="DQX55" s="44"/>
      <c r="DQY55" s="44"/>
      <c r="DQZ55" s="44"/>
      <c r="DRA55" s="44"/>
      <c r="DRB55" s="44"/>
      <c r="DRC55" s="44"/>
      <c r="DRD55" s="44"/>
      <c r="DRE55" s="44"/>
      <c r="DRF55" s="44"/>
      <c r="DRG55" s="44"/>
      <c r="DRH55" s="44"/>
      <c r="DRI55" s="44"/>
      <c r="DRJ55" s="44"/>
      <c r="DRK55" s="44"/>
      <c r="DRL55" s="44"/>
      <c r="DRM55" s="44"/>
      <c r="DRN55" s="44"/>
      <c r="DRO55" s="44"/>
      <c r="DRP55" s="44"/>
      <c r="DRQ55" s="44"/>
      <c r="DRR55" s="44"/>
      <c r="DRS55" s="44"/>
      <c r="DRT55" s="44"/>
      <c r="DRU55" s="44"/>
      <c r="DRV55" s="44"/>
      <c r="DRW55" s="44"/>
      <c r="DRX55" s="44"/>
      <c r="DRY55" s="44"/>
      <c r="DRZ55" s="44"/>
      <c r="DSA55" s="44"/>
      <c r="DSB55" s="44"/>
      <c r="DSC55" s="44"/>
      <c r="DSD55" s="44"/>
      <c r="DSE55" s="44"/>
      <c r="DSF55" s="44"/>
      <c r="DSG55" s="44"/>
      <c r="DSH55" s="44"/>
      <c r="DSI55" s="44"/>
      <c r="DSJ55" s="44"/>
      <c r="DSK55" s="44"/>
      <c r="DSL55" s="44"/>
      <c r="DSM55" s="44"/>
      <c r="DSN55" s="44"/>
      <c r="DSO55" s="44"/>
      <c r="DSP55" s="44"/>
      <c r="DSQ55" s="44"/>
      <c r="DSR55" s="44"/>
      <c r="DSS55" s="44"/>
      <c r="DST55" s="44"/>
      <c r="DSU55" s="44"/>
      <c r="DSV55" s="44"/>
      <c r="DSW55" s="44"/>
      <c r="DSX55" s="44"/>
      <c r="DSY55" s="44"/>
      <c r="DSZ55" s="44"/>
      <c r="DTA55" s="44"/>
      <c r="DTB55" s="44"/>
      <c r="DTC55" s="44"/>
      <c r="DTD55" s="44"/>
      <c r="DTE55" s="44"/>
      <c r="DTF55" s="44"/>
      <c r="DTG55" s="44"/>
      <c r="DTH55" s="44"/>
      <c r="DTI55" s="44"/>
      <c r="DTJ55" s="44"/>
      <c r="DTK55" s="44"/>
      <c r="DTL55" s="44"/>
      <c r="DTM55" s="44"/>
      <c r="DTN55" s="44"/>
      <c r="DTO55" s="44"/>
      <c r="DTP55" s="44"/>
      <c r="DTQ55" s="44"/>
      <c r="DTR55" s="44"/>
      <c r="DTS55" s="44"/>
      <c r="DTT55" s="44"/>
      <c r="DTU55" s="44"/>
      <c r="DTV55" s="44"/>
      <c r="DTW55" s="44"/>
      <c r="DTX55" s="44"/>
      <c r="DTY55" s="44"/>
      <c r="DTZ55" s="44"/>
      <c r="DUA55" s="44"/>
      <c r="DUB55" s="44"/>
      <c r="DUC55" s="44"/>
      <c r="DUD55" s="44"/>
      <c r="DUE55" s="44"/>
      <c r="DUF55" s="44"/>
      <c r="DUG55" s="44"/>
      <c r="DUH55" s="44"/>
      <c r="DUI55" s="44"/>
      <c r="DUJ55" s="44"/>
      <c r="DUK55" s="44"/>
      <c r="DUL55" s="44"/>
      <c r="DUM55" s="44"/>
      <c r="DUN55" s="44"/>
      <c r="DUO55" s="44"/>
      <c r="DUP55" s="44"/>
      <c r="DUQ55" s="44"/>
      <c r="DUR55" s="44"/>
      <c r="DUS55" s="44"/>
      <c r="DUT55" s="44"/>
      <c r="DUU55" s="44"/>
      <c r="DUV55" s="44"/>
      <c r="DUW55" s="44"/>
      <c r="DUX55" s="44"/>
      <c r="DUY55" s="44"/>
      <c r="DUZ55" s="44"/>
      <c r="DVA55" s="44"/>
      <c r="DVB55" s="44"/>
      <c r="DVC55" s="44"/>
      <c r="DVD55" s="44"/>
      <c r="DVE55" s="44"/>
      <c r="DVF55" s="44"/>
      <c r="DVG55" s="44"/>
      <c r="DVH55" s="44"/>
      <c r="DVI55" s="44"/>
      <c r="DVJ55" s="44"/>
      <c r="DVK55" s="44"/>
      <c r="DVL55" s="44"/>
      <c r="DVM55" s="44"/>
      <c r="DVN55" s="44"/>
      <c r="DVO55" s="44"/>
      <c r="DVP55" s="44"/>
      <c r="DVQ55" s="44"/>
      <c r="DVR55" s="44"/>
      <c r="DVS55" s="44"/>
      <c r="DVT55" s="44"/>
      <c r="DVU55" s="44"/>
      <c r="DVV55" s="44"/>
      <c r="DVW55" s="44"/>
      <c r="DVX55" s="44"/>
      <c r="DVY55" s="44"/>
      <c r="DVZ55" s="44"/>
      <c r="DWA55" s="44"/>
      <c r="DWB55" s="44"/>
      <c r="DWC55" s="44"/>
      <c r="DWD55" s="44"/>
      <c r="DWE55" s="44"/>
      <c r="DWF55" s="44"/>
      <c r="DWG55" s="44"/>
      <c r="DWH55" s="44"/>
      <c r="DWI55" s="44"/>
      <c r="DWJ55" s="44"/>
      <c r="DWK55" s="44"/>
      <c r="DWL55" s="44"/>
      <c r="DWM55" s="44"/>
      <c r="DWN55" s="44"/>
      <c r="DWO55" s="44"/>
      <c r="DWP55" s="44"/>
      <c r="DWQ55" s="44"/>
      <c r="DWR55" s="44"/>
      <c r="DWS55" s="44"/>
      <c r="DWT55" s="44"/>
      <c r="DWU55" s="44"/>
      <c r="DWV55" s="44"/>
      <c r="DWW55" s="44"/>
      <c r="DWX55" s="44"/>
      <c r="DWY55" s="44"/>
      <c r="DWZ55" s="44"/>
      <c r="DXA55" s="44"/>
      <c r="DXB55" s="44"/>
      <c r="DXC55" s="44"/>
      <c r="DXD55" s="44"/>
      <c r="DXE55" s="44"/>
      <c r="DXF55" s="44"/>
      <c r="DXG55" s="44"/>
      <c r="DXH55" s="44"/>
      <c r="DXI55" s="44"/>
      <c r="DXJ55" s="44"/>
      <c r="DXK55" s="44"/>
      <c r="DXL55" s="44"/>
      <c r="DXM55" s="44"/>
      <c r="DXN55" s="44"/>
      <c r="DXO55" s="44"/>
      <c r="DXP55" s="44"/>
      <c r="DXQ55" s="44"/>
      <c r="DXR55" s="44"/>
      <c r="DXS55" s="44"/>
      <c r="DXT55" s="44"/>
      <c r="DXU55" s="44"/>
      <c r="DXV55" s="44"/>
      <c r="DXW55" s="44"/>
      <c r="DXX55" s="44"/>
      <c r="DXY55" s="44"/>
      <c r="DXZ55" s="44"/>
      <c r="DYA55" s="44"/>
      <c r="DYB55" s="44"/>
      <c r="DYC55" s="44"/>
      <c r="DYD55" s="44"/>
      <c r="DYE55" s="44"/>
      <c r="DYF55" s="44"/>
      <c r="DYG55" s="44"/>
      <c r="DYH55" s="44"/>
      <c r="DYI55" s="44"/>
      <c r="DYJ55" s="44"/>
      <c r="DYK55" s="44"/>
      <c r="DYL55" s="44"/>
      <c r="DYM55" s="44"/>
      <c r="DYN55" s="44"/>
      <c r="DYO55" s="44"/>
      <c r="DYP55" s="44"/>
      <c r="DYQ55" s="44"/>
      <c r="DYR55" s="44"/>
      <c r="DYS55" s="44"/>
      <c r="DYT55" s="44"/>
      <c r="DYU55" s="44"/>
      <c r="DYV55" s="44"/>
      <c r="DYW55" s="44"/>
      <c r="DYX55" s="44"/>
      <c r="DYY55" s="44"/>
      <c r="DYZ55" s="44"/>
      <c r="DZA55" s="44"/>
      <c r="DZB55" s="44"/>
      <c r="DZC55" s="44"/>
      <c r="DZD55" s="44"/>
      <c r="DZE55" s="44"/>
      <c r="DZF55" s="44"/>
      <c r="DZG55" s="44"/>
      <c r="DZH55" s="44"/>
      <c r="DZI55" s="44"/>
      <c r="DZJ55" s="44"/>
      <c r="DZK55" s="44"/>
      <c r="DZL55" s="44"/>
      <c r="DZM55" s="44"/>
      <c r="DZN55" s="44"/>
      <c r="DZO55" s="44"/>
      <c r="DZP55" s="44"/>
      <c r="DZQ55" s="44"/>
      <c r="DZR55" s="44"/>
      <c r="DZS55" s="44"/>
      <c r="DZT55" s="44"/>
      <c r="DZU55" s="44"/>
      <c r="DZV55" s="44"/>
      <c r="DZW55" s="44"/>
      <c r="DZX55" s="44"/>
      <c r="DZY55" s="44"/>
      <c r="DZZ55" s="44"/>
      <c r="EAA55" s="44"/>
      <c r="EAB55" s="44"/>
      <c r="EAC55" s="44"/>
      <c r="EAD55" s="44"/>
      <c r="EAE55" s="44"/>
      <c r="EAF55" s="44"/>
      <c r="EAG55" s="44"/>
      <c r="EAH55" s="44"/>
      <c r="EAI55" s="44"/>
      <c r="EAJ55" s="44"/>
      <c r="EAK55" s="44"/>
      <c r="EAL55" s="44"/>
      <c r="EAM55" s="44"/>
      <c r="EAN55" s="44"/>
      <c r="EAO55" s="44"/>
      <c r="EAP55" s="44"/>
      <c r="EAQ55" s="44"/>
      <c r="EAR55" s="44"/>
      <c r="EAS55" s="44"/>
      <c r="EAT55" s="44"/>
      <c r="EAU55" s="44"/>
      <c r="EAV55" s="44"/>
      <c r="EAW55" s="44"/>
      <c r="EAX55" s="44"/>
      <c r="EAY55" s="44"/>
      <c r="EAZ55" s="44"/>
      <c r="EBA55" s="44"/>
      <c r="EBB55" s="44"/>
      <c r="EBC55" s="44"/>
      <c r="EBD55" s="44"/>
      <c r="EBE55" s="44"/>
      <c r="EBF55" s="44"/>
      <c r="EBG55" s="44"/>
      <c r="EBH55" s="44"/>
      <c r="EBI55" s="44"/>
      <c r="EBJ55" s="44"/>
      <c r="EBK55" s="44"/>
      <c r="EBL55" s="44"/>
      <c r="EBM55" s="44"/>
      <c r="EBN55" s="44"/>
      <c r="EBO55" s="44"/>
      <c r="EBP55" s="44"/>
      <c r="EBQ55" s="44"/>
      <c r="EBR55" s="44"/>
      <c r="EBS55" s="44"/>
      <c r="EBT55" s="44"/>
      <c r="EBU55" s="44"/>
      <c r="EBV55" s="44"/>
      <c r="EBW55" s="44"/>
      <c r="EBX55" s="44"/>
      <c r="EBY55" s="44"/>
      <c r="EBZ55" s="44"/>
      <c r="ECA55" s="44"/>
      <c r="ECB55" s="44"/>
      <c r="ECC55" s="44"/>
      <c r="ECD55" s="44"/>
      <c r="ECE55" s="44"/>
      <c r="ECF55" s="44"/>
      <c r="ECG55" s="44"/>
      <c r="ECH55" s="44"/>
      <c r="ECI55" s="44"/>
      <c r="ECJ55" s="44"/>
      <c r="ECK55" s="44"/>
      <c r="ECL55" s="44"/>
      <c r="ECM55" s="44"/>
      <c r="ECN55" s="44"/>
      <c r="ECO55" s="44"/>
      <c r="ECP55" s="44"/>
      <c r="ECQ55" s="44"/>
      <c r="ECR55" s="44"/>
      <c r="ECS55" s="44"/>
      <c r="ECT55" s="44"/>
      <c r="ECU55" s="44"/>
      <c r="ECV55" s="44"/>
      <c r="ECW55" s="44"/>
      <c r="ECX55" s="44"/>
      <c r="ECY55" s="44"/>
      <c r="ECZ55" s="44"/>
      <c r="EDA55" s="44"/>
      <c r="EDB55" s="44"/>
      <c r="EDC55" s="44"/>
      <c r="EDD55" s="44"/>
      <c r="EDE55" s="44"/>
      <c r="EDF55" s="44"/>
      <c r="EDG55" s="44"/>
      <c r="EDH55" s="44"/>
      <c r="EDI55" s="44"/>
      <c r="EDJ55" s="44"/>
      <c r="EDK55" s="44"/>
      <c r="EDL55" s="44"/>
      <c r="EDM55" s="44"/>
      <c r="EDN55" s="44"/>
      <c r="EDO55" s="44"/>
      <c r="EDP55" s="44"/>
      <c r="EDQ55" s="44"/>
      <c r="EDR55" s="44"/>
      <c r="EDS55" s="44"/>
      <c r="EDT55" s="44"/>
      <c r="EDU55" s="44"/>
      <c r="EDV55" s="44"/>
      <c r="EDW55" s="44"/>
      <c r="EDX55" s="44"/>
      <c r="EDY55" s="44"/>
      <c r="EDZ55" s="44"/>
      <c r="EEA55" s="44"/>
      <c r="EEB55" s="44"/>
      <c r="EEC55" s="44"/>
      <c r="EED55" s="44"/>
      <c r="EEE55" s="44"/>
      <c r="EEF55" s="44"/>
      <c r="EEG55" s="44"/>
      <c r="EEH55" s="44"/>
      <c r="EEI55" s="44"/>
      <c r="EEJ55" s="44"/>
      <c r="EEK55" s="44"/>
      <c r="EEL55" s="44"/>
      <c r="EEM55" s="44"/>
      <c r="EEN55" s="44"/>
      <c r="EEO55" s="44"/>
      <c r="EEP55" s="44"/>
      <c r="EEQ55" s="44"/>
      <c r="EER55" s="44"/>
      <c r="EES55" s="44"/>
      <c r="EET55" s="44"/>
      <c r="EEU55" s="44"/>
      <c r="EEV55" s="44"/>
      <c r="EEW55" s="44"/>
      <c r="EEX55" s="44"/>
      <c r="EEY55" s="44"/>
      <c r="EEZ55" s="44"/>
      <c r="EFA55" s="44"/>
      <c r="EFB55" s="44"/>
      <c r="EFC55" s="44"/>
      <c r="EFD55" s="44"/>
      <c r="EFE55" s="44"/>
      <c r="EFF55" s="44"/>
      <c r="EFG55" s="44"/>
      <c r="EFH55" s="44"/>
      <c r="EFI55" s="44"/>
      <c r="EFJ55" s="44"/>
      <c r="EFK55" s="44"/>
      <c r="EFL55" s="44"/>
      <c r="EFM55" s="44"/>
      <c r="EFN55" s="44"/>
      <c r="EFO55" s="44"/>
      <c r="EFP55" s="44"/>
      <c r="EFQ55" s="44"/>
      <c r="EFR55" s="44"/>
      <c r="EFS55" s="44"/>
      <c r="EFT55" s="44"/>
      <c r="EFU55" s="44"/>
      <c r="EFV55" s="44"/>
      <c r="EFW55" s="44"/>
      <c r="EFX55" s="44"/>
      <c r="EFY55" s="44"/>
      <c r="EFZ55" s="44"/>
      <c r="EGA55" s="44"/>
      <c r="EGB55" s="44"/>
      <c r="EGC55" s="44"/>
      <c r="EGD55" s="44"/>
      <c r="EGE55" s="44"/>
      <c r="EGF55" s="44"/>
      <c r="EGG55" s="44"/>
      <c r="EGH55" s="44"/>
      <c r="EGI55" s="44"/>
      <c r="EGJ55" s="44"/>
      <c r="EGK55" s="44"/>
      <c r="EGL55" s="44"/>
      <c r="EGM55" s="44"/>
      <c r="EGN55" s="44"/>
      <c r="EGO55" s="44"/>
      <c r="EGP55" s="44"/>
      <c r="EGQ55" s="44"/>
      <c r="EGR55" s="44"/>
      <c r="EGS55" s="44"/>
      <c r="EGT55" s="44"/>
      <c r="EGU55" s="44"/>
      <c r="EGV55" s="44"/>
      <c r="EGW55" s="44"/>
      <c r="EGX55" s="44"/>
      <c r="EGY55" s="44"/>
      <c r="EGZ55" s="44"/>
      <c r="EHA55" s="44"/>
      <c r="EHB55" s="44"/>
      <c r="EHC55" s="44"/>
      <c r="EHD55" s="44"/>
      <c r="EHE55" s="44"/>
      <c r="EHF55" s="44"/>
      <c r="EHG55" s="44"/>
      <c r="EHH55" s="44"/>
      <c r="EHI55" s="44"/>
      <c r="EHJ55" s="44"/>
      <c r="EHK55" s="44"/>
      <c r="EHL55" s="44"/>
      <c r="EHM55" s="44"/>
      <c r="EHN55" s="44"/>
      <c r="EHO55" s="44"/>
      <c r="EHP55" s="44"/>
      <c r="EHQ55" s="44"/>
      <c r="EHR55" s="44"/>
      <c r="EHS55" s="44"/>
      <c r="EHT55" s="44"/>
      <c r="EHU55" s="44"/>
      <c r="EHV55" s="44"/>
      <c r="EHW55" s="44"/>
      <c r="EHX55" s="44"/>
      <c r="EHY55" s="44"/>
      <c r="EHZ55" s="44"/>
      <c r="EIA55" s="44"/>
      <c r="EIB55" s="44"/>
      <c r="EIC55" s="44"/>
      <c r="EID55" s="44"/>
      <c r="EIE55" s="44"/>
      <c r="EIF55" s="44"/>
      <c r="EIG55" s="44"/>
      <c r="EIH55" s="44"/>
      <c r="EII55" s="44"/>
      <c r="EIJ55" s="44"/>
      <c r="EIK55" s="44"/>
      <c r="EIL55" s="44"/>
      <c r="EIM55" s="44"/>
      <c r="EIN55" s="44"/>
      <c r="EIO55" s="44"/>
      <c r="EIP55" s="44"/>
      <c r="EIQ55" s="44"/>
      <c r="EIR55" s="44"/>
      <c r="EIS55" s="44"/>
      <c r="EIT55" s="44"/>
      <c r="EIU55" s="44"/>
      <c r="EIV55" s="44"/>
      <c r="EIW55" s="44"/>
      <c r="EIX55" s="44"/>
      <c r="EIY55" s="44"/>
      <c r="EIZ55" s="44"/>
      <c r="EJA55" s="44"/>
      <c r="EJB55" s="44"/>
      <c r="EJC55" s="44"/>
      <c r="EJD55" s="44"/>
      <c r="EJE55" s="44"/>
      <c r="EJF55" s="44"/>
      <c r="EJG55" s="44"/>
      <c r="EJH55" s="44"/>
      <c r="EJI55" s="44"/>
      <c r="EJJ55" s="44"/>
      <c r="EJK55" s="44"/>
      <c r="EJL55" s="44"/>
      <c r="EJM55" s="44"/>
      <c r="EJN55" s="44"/>
      <c r="EJO55" s="44"/>
      <c r="EJP55" s="44"/>
      <c r="EJQ55" s="44"/>
      <c r="EJR55" s="44"/>
      <c r="EJS55" s="44"/>
      <c r="EJT55" s="44"/>
      <c r="EJU55" s="44"/>
      <c r="EJV55" s="44"/>
      <c r="EJW55" s="44"/>
      <c r="EJX55" s="44"/>
      <c r="EJY55" s="44"/>
      <c r="EJZ55" s="44"/>
      <c r="EKA55" s="44"/>
      <c r="EKB55" s="44"/>
      <c r="EKC55" s="44"/>
      <c r="EKD55" s="44"/>
      <c r="EKE55" s="44"/>
      <c r="EKF55" s="44"/>
      <c r="EKG55" s="44"/>
      <c r="EKH55" s="44"/>
      <c r="EKI55" s="44"/>
      <c r="EKJ55" s="44"/>
      <c r="EKK55" s="44"/>
      <c r="EKL55" s="44"/>
      <c r="EKM55" s="44"/>
      <c r="EKN55" s="44"/>
      <c r="EKO55" s="44"/>
      <c r="EKP55" s="44"/>
      <c r="EKQ55" s="44"/>
      <c r="EKR55" s="44"/>
      <c r="EKS55" s="44"/>
      <c r="EKT55" s="44"/>
      <c r="EKU55" s="44"/>
      <c r="EKV55" s="44"/>
      <c r="EKW55" s="44"/>
      <c r="EKX55" s="44"/>
      <c r="EKY55" s="44"/>
      <c r="EKZ55" s="44"/>
      <c r="ELA55" s="44"/>
      <c r="ELB55" s="44"/>
      <c r="ELC55" s="44"/>
      <c r="ELD55" s="44"/>
      <c r="ELE55" s="44"/>
      <c r="ELF55" s="44"/>
      <c r="ELG55" s="44"/>
      <c r="ELH55" s="44"/>
      <c r="ELI55" s="44"/>
      <c r="ELJ55" s="44"/>
      <c r="ELK55" s="44"/>
      <c r="ELL55" s="44"/>
      <c r="ELM55" s="44"/>
      <c r="ELN55" s="44"/>
      <c r="ELO55" s="44"/>
      <c r="ELP55" s="44"/>
      <c r="ELQ55" s="44"/>
      <c r="ELR55" s="44"/>
      <c r="ELS55" s="44"/>
      <c r="ELT55" s="44"/>
      <c r="ELU55" s="44"/>
      <c r="ELV55" s="44"/>
      <c r="ELW55" s="44"/>
      <c r="ELX55" s="44"/>
      <c r="ELY55" s="44"/>
      <c r="ELZ55" s="44"/>
      <c r="EMA55" s="44"/>
      <c r="EMB55" s="44"/>
      <c r="EMC55" s="44"/>
      <c r="EMD55" s="44"/>
      <c r="EME55" s="44"/>
      <c r="EMF55" s="44"/>
      <c r="EMG55" s="44"/>
      <c r="EMH55" s="44"/>
      <c r="EMI55" s="44"/>
      <c r="EMJ55" s="44"/>
      <c r="EMK55" s="44"/>
      <c r="EML55" s="44"/>
      <c r="EMM55" s="44"/>
      <c r="EMN55" s="44"/>
      <c r="EMO55" s="44"/>
      <c r="EMP55" s="44"/>
      <c r="EMQ55" s="44"/>
      <c r="EMR55" s="44"/>
      <c r="EMS55" s="44"/>
      <c r="EMT55" s="44"/>
      <c r="EMU55" s="44"/>
      <c r="EMV55" s="44"/>
      <c r="EMW55" s="44"/>
      <c r="EMX55" s="44"/>
      <c r="EMY55" s="44"/>
      <c r="EMZ55" s="44"/>
      <c r="ENA55" s="44"/>
      <c r="ENB55" s="44"/>
      <c r="ENC55" s="44"/>
      <c r="END55" s="44"/>
      <c r="ENE55" s="44"/>
      <c r="ENF55" s="44"/>
      <c r="ENG55" s="44"/>
      <c r="ENH55" s="44"/>
      <c r="ENI55" s="44"/>
      <c r="ENJ55" s="44"/>
      <c r="ENK55" s="44"/>
      <c r="ENL55" s="44"/>
      <c r="ENM55" s="44"/>
      <c r="ENN55" s="44"/>
      <c r="ENO55" s="44"/>
      <c r="ENP55" s="44"/>
      <c r="ENQ55" s="44"/>
      <c r="ENR55" s="44"/>
      <c r="ENS55" s="44"/>
      <c r="ENT55" s="44"/>
      <c r="ENU55" s="44"/>
      <c r="ENV55" s="44"/>
      <c r="ENW55" s="44"/>
      <c r="ENX55" s="44"/>
      <c r="ENY55" s="44"/>
      <c r="ENZ55" s="44"/>
      <c r="EOA55" s="44"/>
      <c r="EOB55" s="44"/>
      <c r="EOC55" s="44"/>
      <c r="EOD55" s="44"/>
      <c r="EOE55" s="44"/>
      <c r="EOF55" s="44"/>
      <c r="EOG55" s="44"/>
      <c r="EOH55" s="44"/>
      <c r="EOI55" s="44"/>
      <c r="EOJ55" s="44"/>
      <c r="EOK55" s="44"/>
      <c r="EOL55" s="44"/>
      <c r="EOM55" s="44"/>
      <c r="EON55" s="44"/>
      <c r="EOO55" s="44"/>
      <c r="EOP55" s="44"/>
      <c r="EOQ55" s="44"/>
      <c r="EOR55" s="44"/>
      <c r="EOS55" s="44"/>
      <c r="EOT55" s="44"/>
      <c r="EOU55" s="44"/>
      <c r="EOV55" s="44"/>
      <c r="EOW55" s="44"/>
      <c r="EOX55" s="44"/>
      <c r="EOY55" s="44"/>
      <c r="EOZ55" s="44"/>
      <c r="EPA55" s="44"/>
      <c r="EPB55" s="44"/>
      <c r="EPC55" s="44"/>
      <c r="EPD55" s="44"/>
      <c r="EPE55" s="44"/>
      <c r="EPF55" s="44"/>
      <c r="EPG55" s="44"/>
      <c r="EPH55" s="44"/>
      <c r="EPI55" s="44"/>
      <c r="EPJ55" s="44"/>
      <c r="EPK55" s="44"/>
      <c r="EPL55" s="44"/>
      <c r="EPM55" s="44"/>
      <c r="EPN55" s="44"/>
      <c r="EPO55" s="44"/>
      <c r="EPP55" s="44"/>
      <c r="EPQ55" s="44"/>
      <c r="EPR55" s="44"/>
      <c r="EPS55" s="44"/>
      <c r="EPT55" s="44"/>
      <c r="EPU55" s="44"/>
      <c r="EPV55" s="44"/>
      <c r="EPW55" s="44"/>
      <c r="EPX55" s="44"/>
      <c r="EPY55" s="44"/>
      <c r="EPZ55" s="44"/>
      <c r="EQA55" s="44"/>
      <c r="EQB55" s="44"/>
      <c r="EQC55" s="44"/>
      <c r="EQD55" s="44"/>
      <c r="EQE55" s="44"/>
      <c r="EQF55" s="44"/>
      <c r="EQG55" s="44"/>
      <c r="EQH55" s="44"/>
      <c r="EQI55" s="44"/>
      <c r="EQJ55" s="44"/>
      <c r="EQK55" s="44"/>
      <c r="EQL55" s="44"/>
      <c r="EQM55" s="44"/>
      <c r="EQN55" s="44"/>
      <c r="EQO55" s="44"/>
      <c r="EQP55" s="44"/>
      <c r="EQQ55" s="44"/>
      <c r="EQR55" s="44"/>
      <c r="EQS55" s="44"/>
      <c r="EQT55" s="44"/>
      <c r="EQU55" s="44"/>
      <c r="EQV55" s="44"/>
      <c r="EQW55" s="44"/>
      <c r="EQX55" s="44"/>
      <c r="EQY55" s="44"/>
      <c r="EQZ55" s="44"/>
      <c r="ERA55" s="44"/>
      <c r="ERB55" s="44"/>
      <c r="ERC55" s="44"/>
      <c r="ERD55" s="44"/>
      <c r="ERE55" s="44"/>
      <c r="ERF55" s="44"/>
      <c r="ERG55" s="44"/>
      <c r="ERH55" s="44"/>
      <c r="ERI55" s="44"/>
      <c r="ERJ55" s="44"/>
      <c r="ERK55" s="44"/>
      <c r="ERL55" s="44"/>
      <c r="ERM55" s="44"/>
      <c r="ERN55" s="44"/>
      <c r="ERO55" s="44"/>
      <c r="ERP55" s="44"/>
      <c r="ERQ55" s="44"/>
      <c r="ERR55" s="44"/>
      <c r="ERS55" s="44"/>
      <c r="ERT55" s="44"/>
      <c r="ERU55" s="44"/>
      <c r="ERV55" s="44"/>
      <c r="ERW55" s="44"/>
      <c r="ERX55" s="44"/>
      <c r="ERY55" s="44"/>
      <c r="ERZ55" s="44"/>
      <c r="ESA55" s="44"/>
      <c r="ESB55" s="44"/>
      <c r="ESC55" s="44"/>
      <c r="ESD55" s="44"/>
      <c r="ESE55" s="44"/>
      <c r="ESF55" s="44"/>
      <c r="ESG55" s="44"/>
      <c r="ESH55" s="44"/>
      <c r="ESI55" s="44"/>
      <c r="ESJ55" s="44"/>
      <c r="ESK55" s="44"/>
      <c r="ESL55" s="44"/>
      <c r="ESM55" s="44"/>
      <c r="ESN55" s="44"/>
      <c r="ESO55" s="44"/>
      <c r="ESP55" s="44"/>
      <c r="ESQ55" s="44"/>
      <c r="ESR55" s="44"/>
      <c r="ESS55" s="44"/>
      <c r="EST55" s="44"/>
      <c r="ESU55" s="44"/>
      <c r="ESV55" s="44"/>
      <c r="ESW55" s="44"/>
      <c r="ESX55" s="44"/>
      <c r="ESY55" s="44"/>
      <c r="ESZ55" s="44"/>
      <c r="ETA55" s="44"/>
      <c r="ETB55" s="44"/>
      <c r="ETC55" s="44"/>
      <c r="ETD55" s="44"/>
      <c r="ETE55" s="44"/>
      <c r="ETF55" s="44"/>
      <c r="ETG55" s="44"/>
      <c r="ETH55" s="44"/>
      <c r="ETI55" s="44"/>
      <c r="ETJ55" s="44"/>
      <c r="ETK55" s="44"/>
      <c r="ETL55" s="44"/>
      <c r="ETM55" s="44"/>
      <c r="ETN55" s="44"/>
      <c r="ETO55" s="44"/>
      <c r="ETP55" s="44"/>
      <c r="ETQ55" s="44"/>
      <c r="ETR55" s="44"/>
      <c r="ETS55" s="44"/>
      <c r="ETT55" s="44"/>
      <c r="ETU55" s="44"/>
      <c r="ETV55" s="44"/>
      <c r="ETW55" s="44"/>
      <c r="ETX55" s="44"/>
      <c r="ETY55" s="44"/>
      <c r="ETZ55" s="44"/>
      <c r="EUA55" s="44"/>
      <c r="EUB55" s="44"/>
      <c r="EUC55" s="44"/>
      <c r="EUD55" s="44"/>
      <c r="EUE55" s="44"/>
      <c r="EUF55" s="44"/>
      <c r="EUG55" s="44"/>
      <c r="EUH55" s="44"/>
      <c r="EUI55" s="44"/>
      <c r="EUJ55" s="44"/>
      <c r="EUK55" s="44"/>
      <c r="EUL55" s="44"/>
      <c r="EUM55" s="44"/>
      <c r="EUN55" s="44"/>
      <c r="EUO55" s="44"/>
      <c r="EUP55" s="44"/>
      <c r="EUQ55" s="44"/>
      <c r="EUR55" s="44"/>
      <c r="EUS55" s="44"/>
      <c r="EUT55" s="44"/>
      <c r="EUU55" s="44"/>
      <c r="EUV55" s="44"/>
      <c r="EUW55" s="44"/>
      <c r="EUX55" s="44"/>
      <c r="EUY55" s="44"/>
      <c r="EUZ55" s="44"/>
      <c r="EVA55" s="44"/>
      <c r="EVB55" s="44"/>
      <c r="EVC55" s="44"/>
      <c r="EVD55" s="44"/>
      <c r="EVE55" s="44"/>
      <c r="EVF55" s="44"/>
      <c r="EVG55" s="44"/>
      <c r="EVH55" s="44"/>
      <c r="EVI55" s="44"/>
      <c r="EVJ55" s="44"/>
      <c r="EVK55" s="44"/>
      <c r="EVL55" s="44"/>
      <c r="EVM55" s="44"/>
      <c r="EVN55" s="44"/>
      <c r="EVO55" s="44"/>
      <c r="EVP55" s="44"/>
      <c r="EVQ55" s="44"/>
      <c r="EVR55" s="44"/>
      <c r="EVS55" s="44"/>
      <c r="EVT55" s="44"/>
      <c r="EVU55" s="44"/>
      <c r="EVV55" s="44"/>
      <c r="EVW55" s="44"/>
      <c r="EVX55" s="44"/>
      <c r="EVY55" s="44"/>
      <c r="EVZ55" s="44"/>
      <c r="EWA55" s="44"/>
      <c r="EWB55" s="44"/>
      <c r="EWC55" s="44"/>
      <c r="EWD55" s="44"/>
      <c r="EWE55" s="44"/>
      <c r="EWF55" s="44"/>
      <c r="EWG55" s="44"/>
      <c r="EWH55" s="44"/>
      <c r="EWI55" s="44"/>
      <c r="EWJ55" s="44"/>
      <c r="EWK55" s="44"/>
      <c r="EWL55" s="44"/>
      <c r="EWM55" s="44"/>
      <c r="EWN55" s="44"/>
      <c r="EWO55" s="44"/>
      <c r="EWP55" s="44"/>
      <c r="EWQ55" s="44"/>
      <c r="EWR55" s="44"/>
      <c r="EWS55" s="44"/>
      <c r="EWT55" s="44"/>
      <c r="EWU55" s="44"/>
      <c r="EWV55" s="44"/>
      <c r="EWW55" s="44"/>
      <c r="EWX55" s="44"/>
      <c r="EWY55" s="44"/>
      <c r="EWZ55" s="44"/>
      <c r="EXA55" s="44"/>
      <c r="EXB55" s="44"/>
      <c r="EXC55" s="44"/>
      <c r="EXD55" s="44"/>
      <c r="EXE55" s="44"/>
      <c r="EXF55" s="44"/>
      <c r="EXG55" s="44"/>
      <c r="EXH55" s="44"/>
      <c r="EXI55" s="44"/>
      <c r="EXJ55" s="44"/>
      <c r="EXK55" s="44"/>
      <c r="EXL55" s="44"/>
      <c r="EXM55" s="44"/>
      <c r="EXN55" s="44"/>
      <c r="EXO55" s="44"/>
      <c r="EXP55" s="44"/>
      <c r="EXQ55" s="44"/>
      <c r="EXR55" s="44"/>
      <c r="EXS55" s="44"/>
      <c r="EXT55" s="44"/>
      <c r="EXU55" s="44"/>
      <c r="EXV55" s="44"/>
      <c r="EXW55" s="44"/>
      <c r="EXX55" s="44"/>
      <c r="EXY55" s="44"/>
      <c r="EXZ55" s="44"/>
      <c r="EYA55" s="44"/>
      <c r="EYB55" s="44"/>
      <c r="EYC55" s="44"/>
      <c r="EYD55" s="44"/>
      <c r="EYE55" s="44"/>
      <c r="EYF55" s="44"/>
      <c r="EYG55" s="44"/>
      <c r="EYH55" s="44"/>
      <c r="EYI55" s="44"/>
      <c r="EYJ55" s="44"/>
      <c r="EYK55" s="44"/>
      <c r="EYL55" s="44"/>
      <c r="EYM55" s="44"/>
      <c r="EYN55" s="44"/>
      <c r="EYO55" s="44"/>
      <c r="EYP55" s="44"/>
      <c r="EYQ55" s="44"/>
      <c r="EYR55" s="44"/>
      <c r="EYS55" s="44"/>
      <c r="EYT55" s="44"/>
      <c r="EYU55" s="44"/>
      <c r="EYV55" s="44"/>
      <c r="EYW55" s="44"/>
      <c r="EYX55" s="44"/>
      <c r="EYY55" s="44"/>
      <c r="EYZ55" s="44"/>
      <c r="EZA55" s="44"/>
      <c r="EZB55" s="44"/>
      <c r="EZC55" s="44"/>
      <c r="EZD55" s="44"/>
      <c r="EZE55" s="44"/>
      <c r="EZF55" s="44"/>
      <c r="EZG55" s="44"/>
      <c r="EZH55" s="44"/>
      <c r="EZI55" s="44"/>
      <c r="EZJ55" s="44"/>
      <c r="EZK55" s="44"/>
      <c r="EZL55" s="44"/>
      <c r="EZM55" s="44"/>
      <c r="EZN55" s="44"/>
      <c r="EZO55" s="44"/>
      <c r="EZP55" s="44"/>
      <c r="EZQ55" s="44"/>
      <c r="EZR55" s="44"/>
      <c r="EZS55" s="44"/>
      <c r="EZT55" s="44"/>
      <c r="EZU55" s="44"/>
      <c r="EZV55" s="44"/>
      <c r="EZW55" s="44"/>
      <c r="EZX55" s="44"/>
      <c r="EZY55" s="44"/>
      <c r="EZZ55" s="44"/>
      <c r="FAA55" s="44"/>
      <c r="FAB55" s="44"/>
      <c r="FAC55" s="44"/>
      <c r="FAD55" s="44"/>
      <c r="FAE55" s="44"/>
      <c r="FAF55" s="44"/>
      <c r="FAG55" s="44"/>
      <c r="FAH55" s="44"/>
      <c r="FAI55" s="44"/>
      <c r="FAJ55" s="44"/>
      <c r="FAK55" s="44"/>
      <c r="FAL55" s="44"/>
      <c r="FAM55" s="44"/>
      <c r="FAN55" s="44"/>
      <c r="FAO55" s="44"/>
      <c r="FAP55" s="44"/>
      <c r="FAQ55" s="44"/>
      <c r="FAR55" s="44"/>
      <c r="FAS55" s="44"/>
      <c r="FAT55" s="44"/>
      <c r="FAU55" s="44"/>
      <c r="FAV55" s="44"/>
      <c r="FAW55" s="44"/>
      <c r="FAX55" s="44"/>
      <c r="FAY55" s="44"/>
      <c r="FAZ55" s="44"/>
      <c r="FBA55" s="44"/>
      <c r="FBB55" s="44"/>
      <c r="FBC55" s="44"/>
      <c r="FBD55" s="44"/>
      <c r="FBE55" s="44"/>
      <c r="FBF55" s="44"/>
      <c r="FBG55" s="44"/>
      <c r="FBH55" s="44"/>
      <c r="FBI55" s="44"/>
      <c r="FBJ55" s="44"/>
      <c r="FBK55" s="44"/>
      <c r="FBL55" s="44"/>
      <c r="FBM55" s="44"/>
      <c r="FBN55" s="44"/>
      <c r="FBO55" s="44"/>
      <c r="FBP55" s="44"/>
      <c r="FBQ55" s="44"/>
      <c r="FBR55" s="44"/>
      <c r="FBS55" s="44"/>
      <c r="FBT55" s="44"/>
      <c r="FBU55" s="44"/>
      <c r="FBV55" s="44"/>
      <c r="FBW55" s="44"/>
      <c r="FBX55" s="44"/>
      <c r="FBY55" s="44"/>
      <c r="FBZ55" s="44"/>
      <c r="FCA55" s="44"/>
      <c r="FCB55" s="44"/>
      <c r="FCC55" s="44"/>
      <c r="FCD55" s="44"/>
      <c r="FCE55" s="44"/>
      <c r="FCF55" s="44"/>
      <c r="FCG55" s="44"/>
      <c r="FCH55" s="44"/>
      <c r="FCI55" s="44"/>
      <c r="FCJ55" s="44"/>
      <c r="FCK55" s="44"/>
      <c r="FCL55" s="44"/>
      <c r="FCM55" s="44"/>
      <c r="FCN55" s="44"/>
      <c r="FCO55" s="44"/>
      <c r="FCP55" s="44"/>
      <c r="FCQ55" s="44"/>
      <c r="FCR55" s="44"/>
      <c r="FCS55" s="44"/>
      <c r="FCT55" s="44"/>
      <c r="FCU55" s="44"/>
      <c r="FCV55" s="44"/>
      <c r="FCW55" s="44"/>
      <c r="FCX55" s="44"/>
      <c r="FCY55" s="44"/>
      <c r="FCZ55" s="44"/>
      <c r="FDA55" s="44"/>
      <c r="FDB55" s="44"/>
      <c r="FDC55" s="44"/>
      <c r="FDD55" s="44"/>
      <c r="FDE55" s="44"/>
      <c r="FDF55" s="44"/>
      <c r="FDG55" s="44"/>
      <c r="FDH55" s="44"/>
      <c r="FDI55" s="44"/>
      <c r="FDJ55" s="44"/>
      <c r="FDK55" s="44"/>
      <c r="FDL55" s="44"/>
      <c r="FDM55" s="44"/>
      <c r="FDN55" s="44"/>
      <c r="FDO55" s="44"/>
      <c r="FDP55" s="44"/>
      <c r="FDQ55" s="44"/>
      <c r="FDR55" s="44"/>
      <c r="FDS55" s="44"/>
      <c r="FDT55" s="44"/>
      <c r="FDU55" s="44"/>
      <c r="FDV55" s="44"/>
      <c r="FDW55" s="44"/>
      <c r="FDX55" s="44"/>
      <c r="FDY55" s="44"/>
      <c r="FDZ55" s="44"/>
      <c r="FEA55" s="44"/>
      <c r="FEB55" s="44"/>
      <c r="FEC55" s="44"/>
      <c r="FED55" s="44"/>
      <c r="FEE55" s="44"/>
      <c r="FEF55" s="44"/>
      <c r="FEG55" s="44"/>
      <c r="FEH55" s="44"/>
      <c r="FEI55" s="44"/>
      <c r="FEJ55" s="44"/>
      <c r="FEK55" s="44"/>
      <c r="FEL55" s="44"/>
      <c r="FEM55" s="44"/>
      <c r="FEN55" s="44"/>
      <c r="FEO55" s="44"/>
      <c r="FEP55" s="44"/>
      <c r="FEQ55" s="44"/>
      <c r="FER55" s="44"/>
      <c r="FES55" s="44"/>
      <c r="FET55" s="44"/>
      <c r="FEU55" s="44"/>
      <c r="FEV55" s="44"/>
      <c r="FEW55" s="44"/>
      <c r="FEX55" s="44"/>
      <c r="FEY55" s="44"/>
      <c r="FEZ55" s="44"/>
      <c r="FFA55" s="44"/>
      <c r="FFB55" s="44"/>
      <c r="FFC55" s="44"/>
      <c r="FFD55" s="44"/>
      <c r="FFE55" s="44"/>
      <c r="FFF55" s="44"/>
      <c r="FFG55" s="44"/>
      <c r="FFH55" s="44"/>
      <c r="FFI55" s="44"/>
      <c r="FFJ55" s="44"/>
      <c r="FFK55" s="44"/>
      <c r="FFL55" s="44"/>
      <c r="FFM55" s="44"/>
      <c r="FFN55" s="44"/>
      <c r="FFO55" s="44"/>
      <c r="FFP55" s="44"/>
      <c r="FFQ55" s="44"/>
      <c r="FFR55" s="44"/>
      <c r="FFS55" s="44"/>
      <c r="FFT55" s="44"/>
      <c r="FFU55" s="44"/>
      <c r="FFV55" s="44"/>
      <c r="FFW55" s="44"/>
      <c r="FFX55" s="44"/>
      <c r="FFY55" s="44"/>
      <c r="FFZ55" s="44"/>
      <c r="FGA55" s="44"/>
      <c r="FGB55" s="44"/>
      <c r="FGC55" s="44"/>
      <c r="FGD55" s="44"/>
      <c r="FGE55" s="44"/>
      <c r="FGF55" s="44"/>
      <c r="FGG55" s="44"/>
      <c r="FGH55" s="44"/>
      <c r="FGI55" s="44"/>
      <c r="FGJ55" s="44"/>
      <c r="FGK55" s="44"/>
      <c r="FGL55" s="44"/>
      <c r="FGM55" s="44"/>
      <c r="FGN55" s="44"/>
      <c r="FGO55" s="44"/>
      <c r="FGP55" s="44"/>
      <c r="FGQ55" s="44"/>
      <c r="FGR55" s="44"/>
      <c r="FGS55" s="44"/>
      <c r="FGT55" s="44"/>
      <c r="FGU55" s="44"/>
      <c r="FGV55" s="44"/>
      <c r="FGW55" s="44"/>
      <c r="FGX55" s="44"/>
      <c r="FGY55" s="44"/>
      <c r="FGZ55" s="44"/>
      <c r="FHA55" s="44"/>
      <c r="FHB55" s="44"/>
      <c r="FHC55" s="44"/>
      <c r="FHD55" s="44"/>
      <c r="FHE55" s="44"/>
      <c r="FHF55" s="44"/>
      <c r="FHG55" s="44"/>
      <c r="FHH55" s="44"/>
      <c r="FHI55" s="44"/>
      <c r="FHJ55" s="44"/>
      <c r="FHK55" s="44"/>
      <c r="FHL55" s="44"/>
      <c r="FHM55" s="44"/>
      <c r="FHN55" s="44"/>
      <c r="FHO55" s="44"/>
      <c r="FHP55" s="44"/>
      <c r="FHQ55" s="44"/>
      <c r="FHR55" s="44"/>
      <c r="FHS55" s="44"/>
      <c r="FHT55" s="44"/>
      <c r="FHU55" s="44"/>
      <c r="FHV55" s="44"/>
      <c r="FHW55" s="44"/>
      <c r="FHX55" s="44"/>
      <c r="FHY55" s="44"/>
      <c r="FHZ55" s="44"/>
      <c r="FIA55" s="44"/>
      <c r="FIB55" s="44"/>
      <c r="FIC55" s="44"/>
      <c r="FID55" s="44"/>
      <c r="FIE55" s="44"/>
      <c r="FIF55" s="44"/>
      <c r="FIG55" s="44"/>
      <c r="FIH55" s="44"/>
      <c r="FII55" s="44"/>
      <c r="FIJ55" s="44"/>
      <c r="FIK55" s="44"/>
      <c r="FIL55" s="44"/>
      <c r="FIM55" s="44"/>
      <c r="FIN55" s="44"/>
      <c r="FIO55" s="44"/>
      <c r="FIP55" s="44"/>
      <c r="FIQ55" s="44"/>
      <c r="FIR55" s="44"/>
      <c r="FIS55" s="44"/>
      <c r="FIT55" s="44"/>
      <c r="FIU55" s="44"/>
      <c r="FIV55" s="44"/>
      <c r="FIW55" s="44"/>
      <c r="FIX55" s="44"/>
      <c r="FIY55" s="44"/>
      <c r="FIZ55" s="44"/>
      <c r="FJA55" s="44"/>
      <c r="FJB55" s="44"/>
      <c r="FJC55" s="44"/>
      <c r="FJD55" s="44"/>
      <c r="FJE55" s="44"/>
      <c r="FJF55" s="44"/>
      <c r="FJG55" s="44"/>
      <c r="FJH55" s="44"/>
      <c r="FJI55" s="44"/>
      <c r="FJJ55" s="44"/>
      <c r="FJK55" s="44"/>
      <c r="FJL55" s="44"/>
      <c r="FJM55" s="44"/>
      <c r="FJN55" s="44"/>
      <c r="FJO55" s="44"/>
      <c r="FJP55" s="44"/>
      <c r="FJQ55" s="44"/>
      <c r="FJR55" s="44"/>
      <c r="FJS55" s="44"/>
      <c r="FJT55" s="44"/>
      <c r="FJU55" s="44"/>
      <c r="FJV55" s="44"/>
      <c r="FJW55" s="44"/>
      <c r="FJX55" s="44"/>
      <c r="FJY55" s="44"/>
      <c r="FJZ55" s="44"/>
      <c r="FKA55" s="44"/>
      <c r="FKB55" s="44"/>
      <c r="FKC55" s="44"/>
      <c r="FKD55" s="44"/>
      <c r="FKE55" s="44"/>
      <c r="FKF55" s="44"/>
      <c r="FKG55" s="44"/>
      <c r="FKH55" s="44"/>
      <c r="FKI55" s="44"/>
      <c r="FKJ55" s="44"/>
      <c r="FKK55" s="44"/>
      <c r="FKL55" s="44"/>
      <c r="FKM55" s="44"/>
      <c r="FKN55" s="44"/>
      <c r="FKO55" s="44"/>
      <c r="FKP55" s="44"/>
      <c r="FKQ55" s="44"/>
      <c r="FKR55" s="44"/>
      <c r="FKS55" s="44"/>
      <c r="FKT55" s="44"/>
      <c r="FKU55" s="44"/>
      <c r="FKV55" s="44"/>
      <c r="FKW55" s="44"/>
      <c r="FKX55" s="44"/>
      <c r="FKY55" s="44"/>
      <c r="FKZ55" s="44"/>
      <c r="FLA55" s="44"/>
      <c r="FLB55" s="44"/>
      <c r="FLC55" s="44"/>
      <c r="FLD55" s="44"/>
      <c r="FLE55" s="44"/>
      <c r="FLF55" s="44"/>
      <c r="FLG55" s="44"/>
      <c r="FLH55" s="44"/>
      <c r="FLI55" s="44"/>
      <c r="FLJ55" s="44"/>
      <c r="FLK55" s="44"/>
      <c r="FLL55" s="44"/>
      <c r="FLM55" s="44"/>
      <c r="FLN55" s="44"/>
      <c r="FLO55" s="44"/>
      <c r="FLP55" s="44"/>
      <c r="FLQ55" s="44"/>
      <c r="FLR55" s="44"/>
      <c r="FLS55" s="44"/>
      <c r="FLT55" s="44"/>
      <c r="FLU55" s="44"/>
      <c r="FLV55" s="44"/>
      <c r="FLW55" s="44"/>
      <c r="FLX55" s="44"/>
      <c r="FLY55" s="44"/>
      <c r="FLZ55" s="44"/>
      <c r="FMA55" s="44"/>
      <c r="FMB55" s="44"/>
      <c r="FMC55" s="44"/>
      <c r="FMD55" s="44"/>
      <c r="FME55" s="44"/>
      <c r="FMF55" s="44"/>
      <c r="FMG55" s="44"/>
      <c r="FMH55" s="44"/>
      <c r="FMI55" s="44"/>
      <c r="FMJ55" s="44"/>
      <c r="FMK55" s="44"/>
      <c r="FML55" s="44"/>
      <c r="FMM55" s="44"/>
      <c r="FMN55" s="44"/>
      <c r="FMO55" s="44"/>
      <c r="FMP55" s="44"/>
      <c r="FMQ55" s="44"/>
      <c r="FMR55" s="44"/>
      <c r="FMS55" s="44"/>
      <c r="FMT55" s="44"/>
      <c r="FMU55" s="44"/>
      <c r="FMV55" s="44"/>
      <c r="FMW55" s="44"/>
      <c r="FMX55" s="44"/>
      <c r="FMY55" s="44"/>
      <c r="FMZ55" s="44"/>
      <c r="FNA55" s="44"/>
      <c r="FNB55" s="44"/>
      <c r="FNC55" s="44"/>
      <c r="FND55" s="44"/>
      <c r="FNE55" s="44"/>
      <c r="FNF55" s="44"/>
      <c r="FNG55" s="44"/>
      <c r="FNH55" s="44"/>
      <c r="FNI55" s="44"/>
      <c r="FNJ55" s="44"/>
      <c r="FNK55" s="44"/>
      <c r="FNL55" s="44"/>
      <c r="FNM55" s="44"/>
      <c r="FNN55" s="44"/>
      <c r="FNO55" s="44"/>
      <c r="FNP55" s="44"/>
      <c r="FNQ55" s="44"/>
      <c r="FNR55" s="44"/>
      <c r="FNS55" s="44"/>
      <c r="FNT55" s="44"/>
      <c r="FNU55" s="44"/>
      <c r="FNV55" s="44"/>
      <c r="FNW55" s="44"/>
      <c r="FNX55" s="44"/>
      <c r="FNY55" s="44"/>
      <c r="FNZ55" s="44"/>
      <c r="FOA55" s="44"/>
      <c r="FOB55" s="44"/>
      <c r="FOC55" s="44"/>
      <c r="FOD55" s="44"/>
      <c r="FOE55" s="44"/>
      <c r="FOF55" s="44"/>
      <c r="FOG55" s="44"/>
      <c r="FOH55" s="44"/>
      <c r="FOI55" s="44"/>
      <c r="FOJ55" s="44"/>
      <c r="FOK55" s="44"/>
      <c r="FOL55" s="44"/>
      <c r="FOM55" s="44"/>
      <c r="FON55" s="44"/>
      <c r="FOO55" s="44"/>
      <c r="FOP55" s="44"/>
      <c r="FOQ55" s="44"/>
      <c r="FOR55" s="44"/>
      <c r="FOS55" s="44"/>
      <c r="FOT55" s="44"/>
      <c r="FOU55" s="44"/>
      <c r="FOV55" s="44"/>
      <c r="FOW55" s="44"/>
      <c r="FOX55" s="44"/>
      <c r="FOY55" s="44"/>
      <c r="FOZ55" s="44"/>
      <c r="FPA55" s="44"/>
      <c r="FPB55" s="44"/>
      <c r="FPC55" s="44"/>
      <c r="FPD55" s="44"/>
      <c r="FPE55" s="44"/>
      <c r="FPF55" s="44"/>
      <c r="FPG55" s="44"/>
      <c r="FPH55" s="44"/>
      <c r="FPI55" s="44"/>
      <c r="FPJ55" s="44"/>
      <c r="FPK55" s="44"/>
      <c r="FPL55" s="44"/>
      <c r="FPM55" s="44"/>
      <c r="FPN55" s="44"/>
      <c r="FPO55" s="44"/>
      <c r="FPP55" s="44"/>
      <c r="FPQ55" s="44"/>
      <c r="FPR55" s="44"/>
      <c r="FPS55" s="44"/>
      <c r="FPT55" s="44"/>
      <c r="FPU55" s="44"/>
      <c r="FPV55" s="44"/>
      <c r="FPW55" s="44"/>
      <c r="FPX55" s="44"/>
      <c r="FPY55" s="44"/>
      <c r="FPZ55" s="44"/>
      <c r="FQA55" s="44"/>
      <c r="FQB55" s="44"/>
      <c r="FQC55" s="44"/>
      <c r="FQD55" s="44"/>
      <c r="FQE55" s="44"/>
      <c r="FQF55" s="44"/>
      <c r="FQG55" s="44"/>
      <c r="FQH55" s="44"/>
      <c r="FQI55" s="44"/>
      <c r="FQJ55" s="44"/>
      <c r="FQK55" s="44"/>
      <c r="FQL55" s="44"/>
      <c r="FQM55" s="44"/>
      <c r="FQN55" s="44"/>
      <c r="FQO55" s="44"/>
      <c r="FQP55" s="44"/>
      <c r="FQQ55" s="44"/>
      <c r="FQR55" s="44"/>
      <c r="FQS55" s="44"/>
      <c r="FQT55" s="44"/>
      <c r="FQU55" s="44"/>
      <c r="FQV55" s="44"/>
      <c r="FQW55" s="44"/>
      <c r="FQX55" s="44"/>
      <c r="FQY55" s="44"/>
      <c r="FQZ55" s="44"/>
      <c r="FRA55" s="44"/>
      <c r="FRB55" s="44"/>
      <c r="FRC55" s="44"/>
      <c r="FRD55" s="44"/>
      <c r="FRE55" s="44"/>
      <c r="FRF55" s="44"/>
      <c r="FRG55" s="44"/>
      <c r="FRH55" s="44"/>
      <c r="FRI55" s="44"/>
      <c r="FRJ55" s="44"/>
      <c r="FRK55" s="44"/>
      <c r="FRL55" s="44"/>
      <c r="FRM55" s="44"/>
      <c r="FRN55" s="44"/>
      <c r="FRO55" s="44"/>
      <c r="FRP55" s="44"/>
      <c r="FRQ55" s="44"/>
      <c r="FRR55" s="44"/>
      <c r="FRS55" s="44"/>
      <c r="FRT55" s="44"/>
      <c r="FRU55" s="44"/>
      <c r="FRV55" s="44"/>
      <c r="FRW55" s="44"/>
      <c r="FRX55" s="44"/>
      <c r="FRY55" s="44"/>
      <c r="FRZ55" s="44"/>
      <c r="FSA55" s="44"/>
      <c r="FSB55" s="44"/>
      <c r="FSC55" s="44"/>
      <c r="FSD55" s="44"/>
      <c r="FSE55" s="44"/>
      <c r="FSF55" s="44"/>
      <c r="FSG55" s="44"/>
      <c r="FSH55" s="44"/>
      <c r="FSI55" s="44"/>
      <c r="FSJ55" s="44"/>
      <c r="FSK55" s="44"/>
      <c r="FSL55" s="44"/>
      <c r="FSM55" s="44"/>
      <c r="FSN55" s="44"/>
      <c r="FSO55" s="44"/>
      <c r="FSP55" s="44"/>
      <c r="FSQ55" s="44"/>
      <c r="FSR55" s="44"/>
      <c r="FSS55" s="44"/>
      <c r="FST55" s="44"/>
      <c r="FSU55" s="44"/>
      <c r="FSV55" s="44"/>
      <c r="FSW55" s="44"/>
      <c r="FSX55" s="44"/>
      <c r="FSY55" s="44"/>
      <c r="FSZ55" s="44"/>
      <c r="FTA55" s="44"/>
      <c r="FTB55" s="44"/>
      <c r="FTC55" s="44"/>
      <c r="FTD55" s="44"/>
      <c r="FTE55" s="44"/>
      <c r="FTF55" s="44"/>
      <c r="FTG55" s="44"/>
      <c r="FTH55" s="44"/>
      <c r="FTI55" s="44"/>
      <c r="FTJ55" s="44"/>
      <c r="FTK55" s="44"/>
      <c r="FTL55" s="44"/>
      <c r="FTM55" s="44"/>
      <c r="FTN55" s="44"/>
      <c r="FTO55" s="44"/>
      <c r="FTP55" s="44"/>
      <c r="FTQ55" s="44"/>
      <c r="FTR55" s="44"/>
      <c r="FTS55" s="44"/>
      <c r="FTT55" s="44"/>
      <c r="FTU55" s="44"/>
      <c r="FTV55" s="44"/>
      <c r="FTW55" s="44"/>
      <c r="FTX55" s="44"/>
      <c r="FTY55" s="44"/>
      <c r="FTZ55" s="44"/>
      <c r="FUA55" s="44"/>
      <c r="FUB55" s="44"/>
      <c r="FUC55" s="44"/>
      <c r="FUD55" s="44"/>
      <c r="FUE55" s="44"/>
      <c r="FUF55" s="44"/>
      <c r="FUG55" s="44"/>
      <c r="FUH55" s="44"/>
      <c r="FUI55" s="44"/>
      <c r="FUJ55" s="44"/>
      <c r="FUK55" s="44"/>
      <c r="FUL55" s="44"/>
      <c r="FUM55" s="44"/>
      <c r="FUN55" s="44"/>
      <c r="FUO55" s="44"/>
      <c r="FUP55" s="44"/>
      <c r="FUQ55" s="44"/>
      <c r="FUR55" s="44"/>
      <c r="FUS55" s="44"/>
      <c r="FUT55" s="44"/>
      <c r="FUU55" s="44"/>
      <c r="FUV55" s="44"/>
      <c r="FUW55" s="44"/>
      <c r="FUX55" s="44"/>
      <c r="FUY55" s="44"/>
      <c r="FUZ55" s="44"/>
      <c r="FVA55" s="44"/>
      <c r="FVB55" s="44"/>
      <c r="FVC55" s="44"/>
      <c r="FVD55" s="44"/>
      <c r="FVE55" s="44"/>
      <c r="FVF55" s="44"/>
      <c r="FVG55" s="44"/>
      <c r="FVH55" s="44"/>
      <c r="FVI55" s="44"/>
      <c r="FVJ55" s="44"/>
      <c r="FVK55" s="44"/>
      <c r="FVL55" s="44"/>
      <c r="FVM55" s="44"/>
      <c r="FVN55" s="44"/>
      <c r="FVO55" s="44"/>
      <c r="FVP55" s="44"/>
      <c r="FVQ55" s="44"/>
      <c r="FVR55" s="44"/>
      <c r="FVS55" s="44"/>
      <c r="FVT55" s="44"/>
      <c r="FVU55" s="44"/>
      <c r="FVV55" s="44"/>
      <c r="FVW55" s="44"/>
      <c r="FVX55" s="44"/>
      <c r="FVY55" s="44"/>
      <c r="FVZ55" s="44"/>
      <c r="FWA55" s="44"/>
      <c r="FWB55" s="44"/>
      <c r="FWC55" s="44"/>
      <c r="FWD55" s="44"/>
      <c r="FWE55" s="44"/>
      <c r="FWF55" s="44"/>
      <c r="FWG55" s="44"/>
      <c r="FWH55" s="44"/>
      <c r="FWI55" s="44"/>
      <c r="FWJ55" s="44"/>
      <c r="FWK55" s="44"/>
      <c r="FWL55" s="44"/>
      <c r="FWM55" s="44"/>
      <c r="FWN55" s="44"/>
      <c r="FWO55" s="44"/>
      <c r="FWP55" s="44"/>
      <c r="FWQ55" s="44"/>
      <c r="FWR55" s="44"/>
      <c r="FWS55" s="44"/>
      <c r="FWT55" s="44"/>
      <c r="FWU55" s="44"/>
      <c r="FWV55" s="44"/>
      <c r="FWW55" s="44"/>
      <c r="FWX55" s="44"/>
      <c r="FWY55" s="44"/>
      <c r="FWZ55" s="44"/>
      <c r="FXA55" s="44"/>
      <c r="FXB55" s="44"/>
      <c r="FXC55" s="44"/>
      <c r="FXD55" s="44"/>
      <c r="FXE55" s="44"/>
      <c r="FXF55" s="44"/>
      <c r="FXG55" s="44"/>
      <c r="FXH55" s="44"/>
      <c r="FXI55" s="44"/>
      <c r="FXJ55" s="44"/>
      <c r="FXK55" s="44"/>
      <c r="FXL55" s="44"/>
      <c r="FXM55" s="44"/>
      <c r="FXN55" s="44"/>
      <c r="FXO55" s="44"/>
      <c r="FXP55" s="44"/>
      <c r="FXQ55" s="44"/>
      <c r="FXR55" s="44"/>
      <c r="FXS55" s="44"/>
      <c r="FXT55" s="44"/>
      <c r="FXU55" s="44"/>
      <c r="FXV55" s="44"/>
      <c r="FXW55" s="44"/>
      <c r="FXX55" s="44"/>
      <c r="FXY55" s="44"/>
      <c r="FXZ55" s="44"/>
      <c r="FYA55" s="44"/>
      <c r="FYB55" s="44"/>
      <c r="FYC55" s="44"/>
      <c r="FYD55" s="44"/>
      <c r="FYE55" s="44"/>
      <c r="FYF55" s="44"/>
      <c r="FYG55" s="44"/>
      <c r="FYH55" s="44"/>
      <c r="FYI55" s="44"/>
      <c r="FYJ55" s="44"/>
      <c r="FYK55" s="44"/>
      <c r="FYL55" s="44"/>
      <c r="FYM55" s="44"/>
      <c r="FYN55" s="44"/>
      <c r="FYO55" s="44"/>
      <c r="FYP55" s="44"/>
      <c r="FYQ55" s="44"/>
      <c r="FYR55" s="44"/>
      <c r="FYS55" s="44"/>
      <c r="FYT55" s="44"/>
      <c r="FYU55" s="44"/>
      <c r="FYV55" s="44"/>
      <c r="FYW55" s="44"/>
      <c r="FYX55" s="44"/>
      <c r="FYY55" s="44"/>
      <c r="FYZ55" s="44"/>
      <c r="FZA55" s="44"/>
      <c r="FZB55" s="44"/>
      <c r="FZC55" s="44"/>
      <c r="FZD55" s="44"/>
      <c r="FZE55" s="44"/>
      <c r="FZF55" s="44"/>
      <c r="FZG55" s="44"/>
      <c r="FZH55" s="44"/>
      <c r="FZI55" s="44"/>
      <c r="FZJ55" s="44"/>
      <c r="FZK55" s="44"/>
      <c r="FZL55" s="44"/>
      <c r="FZM55" s="44"/>
      <c r="FZN55" s="44"/>
      <c r="FZO55" s="44"/>
      <c r="FZP55" s="44"/>
      <c r="FZQ55" s="44"/>
      <c r="FZR55" s="44"/>
      <c r="FZS55" s="44"/>
      <c r="FZT55" s="44"/>
      <c r="FZU55" s="44"/>
      <c r="FZV55" s="44"/>
      <c r="FZW55" s="44"/>
      <c r="FZX55" s="44"/>
      <c r="FZY55" s="44"/>
      <c r="FZZ55" s="44"/>
      <c r="GAA55" s="44"/>
      <c r="GAB55" s="44"/>
      <c r="GAC55" s="44"/>
      <c r="GAD55" s="44"/>
      <c r="GAE55" s="44"/>
      <c r="GAF55" s="44"/>
      <c r="GAG55" s="44"/>
      <c r="GAH55" s="44"/>
      <c r="GAI55" s="44"/>
      <c r="GAJ55" s="44"/>
      <c r="GAK55" s="44"/>
      <c r="GAL55" s="44"/>
      <c r="GAM55" s="44"/>
      <c r="GAN55" s="44"/>
      <c r="GAO55" s="44"/>
      <c r="GAP55" s="44"/>
      <c r="GAQ55" s="44"/>
      <c r="GAR55" s="44"/>
      <c r="GAS55" s="44"/>
      <c r="GAT55" s="44"/>
      <c r="GAU55" s="44"/>
      <c r="GAV55" s="44"/>
      <c r="GAW55" s="44"/>
      <c r="GAX55" s="44"/>
      <c r="GAY55" s="44"/>
      <c r="GAZ55" s="44"/>
      <c r="GBA55" s="44"/>
      <c r="GBB55" s="44"/>
      <c r="GBC55" s="44"/>
      <c r="GBD55" s="44"/>
      <c r="GBE55" s="44"/>
      <c r="GBF55" s="44"/>
      <c r="GBG55" s="44"/>
      <c r="GBH55" s="44"/>
      <c r="GBI55" s="44"/>
      <c r="GBJ55" s="44"/>
      <c r="GBK55" s="44"/>
      <c r="GBL55" s="44"/>
      <c r="GBM55" s="44"/>
      <c r="GBN55" s="44"/>
      <c r="GBO55" s="44"/>
      <c r="GBP55" s="44"/>
      <c r="GBQ55" s="44"/>
      <c r="GBR55" s="44"/>
      <c r="GBS55" s="44"/>
      <c r="GBT55" s="44"/>
      <c r="GBU55" s="44"/>
      <c r="GBV55" s="44"/>
      <c r="GBW55" s="44"/>
      <c r="GBX55" s="44"/>
      <c r="GBY55" s="44"/>
      <c r="GBZ55" s="44"/>
      <c r="GCA55" s="44"/>
      <c r="GCB55" s="44"/>
      <c r="GCC55" s="44"/>
      <c r="GCD55" s="44"/>
      <c r="GCE55" s="44"/>
      <c r="GCF55" s="44"/>
      <c r="GCG55" s="44"/>
      <c r="GCH55" s="44"/>
      <c r="GCI55" s="44"/>
      <c r="GCJ55" s="44"/>
      <c r="GCK55" s="44"/>
      <c r="GCL55" s="44"/>
      <c r="GCM55" s="44"/>
      <c r="GCN55" s="44"/>
      <c r="GCO55" s="44"/>
      <c r="GCP55" s="44"/>
      <c r="GCQ55" s="44"/>
      <c r="GCR55" s="44"/>
      <c r="GCS55" s="44"/>
      <c r="GCT55" s="44"/>
      <c r="GCU55" s="44"/>
      <c r="GCV55" s="44"/>
      <c r="GCW55" s="44"/>
      <c r="GCX55" s="44"/>
      <c r="GCY55" s="44"/>
      <c r="GCZ55" s="44"/>
      <c r="GDA55" s="44"/>
      <c r="GDB55" s="44"/>
      <c r="GDC55" s="44"/>
      <c r="GDD55" s="44"/>
      <c r="GDE55" s="44"/>
      <c r="GDF55" s="44"/>
      <c r="GDG55" s="44"/>
      <c r="GDH55" s="44"/>
      <c r="GDI55" s="44"/>
      <c r="GDJ55" s="44"/>
      <c r="GDK55" s="44"/>
      <c r="GDL55" s="44"/>
      <c r="GDM55" s="44"/>
      <c r="GDN55" s="44"/>
      <c r="GDO55" s="44"/>
      <c r="GDP55" s="44"/>
      <c r="GDQ55" s="44"/>
      <c r="GDR55" s="44"/>
      <c r="GDS55" s="44"/>
      <c r="GDT55" s="44"/>
      <c r="GDU55" s="44"/>
      <c r="GDV55" s="44"/>
      <c r="GDW55" s="44"/>
      <c r="GDX55" s="44"/>
      <c r="GDY55" s="44"/>
      <c r="GDZ55" s="44"/>
      <c r="GEA55" s="44"/>
      <c r="GEB55" s="44"/>
      <c r="GEC55" s="44"/>
      <c r="GED55" s="44"/>
      <c r="GEE55" s="44"/>
      <c r="GEF55" s="44"/>
      <c r="GEG55" s="44"/>
      <c r="GEH55" s="44"/>
      <c r="GEI55" s="44"/>
      <c r="GEJ55" s="44"/>
      <c r="GEK55" s="44"/>
      <c r="GEL55" s="44"/>
      <c r="GEM55" s="44"/>
      <c r="GEN55" s="44"/>
      <c r="GEO55" s="44"/>
      <c r="GEP55" s="44"/>
      <c r="GEQ55" s="44"/>
      <c r="GER55" s="44"/>
      <c r="GES55" s="44"/>
      <c r="GET55" s="44"/>
      <c r="GEU55" s="44"/>
      <c r="GEV55" s="44"/>
      <c r="GEW55" s="44"/>
      <c r="GEX55" s="44"/>
      <c r="GEY55" s="44"/>
      <c r="GEZ55" s="44"/>
      <c r="GFA55" s="44"/>
      <c r="GFB55" s="44"/>
      <c r="GFC55" s="44"/>
      <c r="GFD55" s="44"/>
      <c r="GFE55" s="44"/>
      <c r="GFF55" s="44"/>
      <c r="GFG55" s="44"/>
      <c r="GFH55" s="44"/>
      <c r="GFI55" s="44"/>
      <c r="GFJ55" s="44"/>
      <c r="GFK55" s="44"/>
      <c r="GFL55" s="44"/>
      <c r="GFM55" s="44"/>
      <c r="GFN55" s="44"/>
      <c r="GFO55" s="44"/>
      <c r="GFP55" s="44"/>
      <c r="GFQ55" s="44"/>
      <c r="GFR55" s="44"/>
      <c r="GFS55" s="44"/>
      <c r="GFT55" s="44"/>
      <c r="GFU55" s="44"/>
      <c r="GFV55" s="44"/>
      <c r="GFW55" s="44"/>
      <c r="GFX55" s="44"/>
      <c r="GFY55" s="44"/>
      <c r="GFZ55" s="44"/>
      <c r="GGA55" s="44"/>
      <c r="GGB55" s="44"/>
      <c r="GGC55" s="44"/>
      <c r="GGD55" s="44"/>
      <c r="GGE55" s="44"/>
      <c r="GGF55" s="44"/>
      <c r="GGG55" s="44"/>
      <c r="GGH55" s="44"/>
      <c r="GGI55" s="44"/>
      <c r="GGJ55" s="44"/>
      <c r="GGK55" s="44"/>
      <c r="GGL55" s="44"/>
      <c r="GGM55" s="44"/>
      <c r="GGN55" s="44"/>
      <c r="GGO55" s="44"/>
      <c r="GGP55" s="44"/>
      <c r="GGQ55" s="44"/>
      <c r="GGR55" s="44"/>
      <c r="GGS55" s="44"/>
      <c r="GGT55" s="44"/>
      <c r="GGU55" s="44"/>
      <c r="GGV55" s="44"/>
      <c r="GGW55" s="44"/>
      <c r="GGX55" s="44"/>
      <c r="GGY55" s="44"/>
      <c r="GGZ55" s="44"/>
      <c r="GHA55" s="44"/>
      <c r="GHB55" s="44"/>
      <c r="GHC55" s="44"/>
      <c r="GHD55" s="44"/>
      <c r="GHE55" s="44"/>
      <c r="GHF55" s="44"/>
      <c r="GHG55" s="44"/>
      <c r="GHH55" s="44"/>
      <c r="GHI55" s="44"/>
      <c r="GHJ55" s="44"/>
      <c r="GHK55" s="44"/>
      <c r="GHL55" s="44"/>
      <c r="GHM55" s="44"/>
      <c r="GHN55" s="44"/>
      <c r="GHO55" s="44"/>
      <c r="GHP55" s="44"/>
      <c r="GHQ55" s="44"/>
      <c r="GHR55" s="44"/>
      <c r="GHS55" s="44"/>
      <c r="GHT55" s="44"/>
      <c r="GHU55" s="44"/>
      <c r="GHV55" s="44"/>
      <c r="GHW55" s="44"/>
      <c r="GHX55" s="44"/>
      <c r="GHY55" s="44"/>
      <c r="GHZ55" s="44"/>
      <c r="GIA55" s="44"/>
      <c r="GIB55" s="44"/>
      <c r="GIC55" s="44"/>
      <c r="GID55" s="44"/>
      <c r="GIE55" s="44"/>
      <c r="GIF55" s="44"/>
      <c r="GIG55" s="44"/>
      <c r="GIH55" s="44"/>
      <c r="GII55" s="44"/>
      <c r="GIJ55" s="44"/>
      <c r="GIK55" s="44"/>
      <c r="GIL55" s="44"/>
      <c r="GIM55" s="44"/>
      <c r="GIN55" s="44"/>
      <c r="GIO55" s="44"/>
      <c r="GIP55" s="44"/>
      <c r="GIQ55" s="44"/>
      <c r="GIR55" s="44"/>
      <c r="GIS55" s="44"/>
      <c r="GIT55" s="44"/>
      <c r="GIU55" s="44"/>
      <c r="GIV55" s="44"/>
      <c r="GIW55" s="44"/>
      <c r="GIX55" s="44"/>
      <c r="GIY55" s="44"/>
      <c r="GIZ55" s="44"/>
      <c r="GJA55" s="44"/>
      <c r="GJB55" s="44"/>
      <c r="GJC55" s="44"/>
      <c r="GJD55" s="44"/>
      <c r="GJE55" s="44"/>
      <c r="GJF55" s="44"/>
      <c r="GJG55" s="44"/>
      <c r="GJH55" s="44"/>
      <c r="GJI55" s="44"/>
      <c r="GJJ55" s="44"/>
      <c r="GJK55" s="44"/>
      <c r="GJL55" s="44"/>
      <c r="GJM55" s="44"/>
      <c r="GJN55" s="44"/>
      <c r="GJO55" s="44"/>
      <c r="GJP55" s="44"/>
      <c r="GJQ55" s="44"/>
      <c r="GJR55" s="44"/>
      <c r="GJS55" s="44"/>
      <c r="GJT55" s="44"/>
      <c r="GJU55" s="44"/>
      <c r="GJV55" s="44"/>
      <c r="GJW55" s="44"/>
      <c r="GJX55" s="44"/>
      <c r="GJY55" s="44"/>
      <c r="GJZ55" s="44"/>
      <c r="GKA55" s="44"/>
      <c r="GKB55" s="44"/>
      <c r="GKC55" s="44"/>
      <c r="GKD55" s="44"/>
      <c r="GKE55" s="44"/>
      <c r="GKF55" s="44"/>
      <c r="GKG55" s="44"/>
      <c r="GKH55" s="44"/>
      <c r="GKI55" s="44"/>
      <c r="GKJ55" s="44"/>
      <c r="GKK55" s="44"/>
      <c r="GKL55" s="44"/>
      <c r="GKM55" s="44"/>
      <c r="GKN55" s="44"/>
      <c r="GKO55" s="44"/>
      <c r="GKP55" s="44"/>
      <c r="GKQ55" s="44"/>
      <c r="GKR55" s="44"/>
      <c r="GKS55" s="44"/>
      <c r="GKT55" s="44"/>
      <c r="GKU55" s="44"/>
      <c r="GKV55" s="44"/>
      <c r="GKW55" s="44"/>
      <c r="GKX55" s="44"/>
      <c r="GKY55" s="44"/>
      <c r="GKZ55" s="44"/>
      <c r="GLA55" s="44"/>
      <c r="GLB55" s="44"/>
      <c r="GLC55" s="44"/>
      <c r="GLD55" s="44"/>
      <c r="GLE55" s="44"/>
      <c r="GLF55" s="44"/>
      <c r="GLG55" s="44"/>
      <c r="GLH55" s="44"/>
      <c r="GLI55" s="44"/>
      <c r="GLJ55" s="44"/>
      <c r="GLK55" s="44"/>
      <c r="GLL55" s="44"/>
      <c r="GLM55" s="44"/>
      <c r="GLN55" s="44"/>
      <c r="GLO55" s="44"/>
      <c r="GLP55" s="44"/>
      <c r="GLQ55" s="44"/>
      <c r="GLR55" s="44"/>
      <c r="GLS55" s="44"/>
      <c r="GLT55" s="44"/>
      <c r="GLU55" s="44"/>
      <c r="GLV55" s="44"/>
      <c r="GLW55" s="44"/>
      <c r="GLX55" s="44"/>
      <c r="GLY55" s="44"/>
      <c r="GLZ55" s="44"/>
      <c r="GMA55" s="44"/>
      <c r="GMB55" s="44"/>
      <c r="GMC55" s="44"/>
      <c r="GMD55" s="44"/>
      <c r="GME55" s="44"/>
      <c r="GMF55" s="44"/>
      <c r="GMG55" s="44"/>
      <c r="GMH55" s="44"/>
      <c r="GMI55" s="44"/>
      <c r="GMJ55" s="44"/>
      <c r="GMK55" s="44"/>
      <c r="GML55" s="44"/>
      <c r="GMM55" s="44"/>
      <c r="GMN55" s="44"/>
      <c r="GMO55" s="44"/>
      <c r="GMP55" s="44"/>
      <c r="GMQ55" s="44"/>
      <c r="GMR55" s="44"/>
      <c r="GMS55" s="44"/>
      <c r="GMT55" s="44"/>
      <c r="GMU55" s="44"/>
      <c r="GMV55" s="44"/>
      <c r="GMW55" s="44"/>
      <c r="GMX55" s="44"/>
      <c r="GMY55" s="44"/>
      <c r="GMZ55" s="44"/>
      <c r="GNA55" s="44"/>
      <c r="GNB55" s="44"/>
      <c r="GNC55" s="44"/>
      <c r="GND55" s="44"/>
      <c r="GNE55" s="44"/>
      <c r="GNF55" s="44"/>
      <c r="GNG55" s="44"/>
      <c r="GNH55" s="44"/>
      <c r="GNI55" s="44"/>
      <c r="GNJ55" s="44"/>
      <c r="GNK55" s="44"/>
      <c r="GNL55" s="44"/>
      <c r="GNM55" s="44"/>
      <c r="GNN55" s="44"/>
      <c r="GNO55" s="44"/>
      <c r="GNP55" s="44"/>
      <c r="GNQ55" s="44"/>
      <c r="GNR55" s="44"/>
      <c r="GNS55" s="44"/>
      <c r="GNT55" s="44"/>
      <c r="GNU55" s="44"/>
      <c r="GNV55" s="44"/>
      <c r="GNW55" s="44"/>
      <c r="GNX55" s="44"/>
      <c r="GNY55" s="44"/>
      <c r="GNZ55" s="44"/>
      <c r="GOA55" s="44"/>
      <c r="GOB55" s="44"/>
      <c r="GOC55" s="44"/>
      <c r="GOD55" s="44"/>
      <c r="GOE55" s="44"/>
      <c r="GOF55" s="44"/>
      <c r="GOG55" s="44"/>
      <c r="GOH55" s="44"/>
      <c r="GOI55" s="44"/>
      <c r="GOJ55" s="44"/>
      <c r="GOK55" s="44"/>
      <c r="GOL55" s="44"/>
      <c r="GOM55" s="44"/>
      <c r="GON55" s="44"/>
      <c r="GOO55" s="44"/>
      <c r="GOP55" s="44"/>
      <c r="GOQ55" s="44"/>
      <c r="GOR55" s="44"/>
      <c r="GOS55" s="44"/>
      <c r="GOT55" s="44"/>
      <c r="GOU55" s="44"/>
      <c r="GOV55" s="44"/>
      <c r="GOW55" s="44"/>
      <c r="GOX55" s="44"/>
      <c r="GOY55" s="44"/>
      <c r="GOZ55" s="44"/>
      <c r="GPA55" s="44"/>
      <c r="GPB55" s="44"/>
      <c r="GPC55" s="44"/>
      <c r="GPD55" s="44"/>
      <c r="GPE55" s="44"/>
      <c r="GPF55" s="44"/>
      <c r="GPG55" s="44"/>
      <c r="GPH55" s="44"/>
      <c r="GPI55" s="44"/>
      <c r="GPJ55" s="44"/>
      <c r="GPK55" s="44"/>
      <c r="GPL55" s="44"/>
      <c r="GPM55" s="44"/>
      <c r="GPN55" s="44"/>
      <c r="GPO55" s="44"/>
      <c r="GPP55" s="44"/>
      <c r="GPQ55" s="44"/>
      <c r="GPR55" s="44"/>
      <c r="GPS55" s="44"/>
      <c r="GPT55" s="44"/>
      <c r="GPU55" s="44"/>
      <c r="GPV55" s="44"/>
      <c r="GPW55" s="44"/>
      <c r="GPX55" s="44"/>
      <c r="GPY55" s="44"/>
      <c r="GPZ55" s="44"/>
      <c r="GQA55" s="44"/>
      <c r="GQB55" s="44"/>
      <c r="GQC55" s="44"/>
      <c r="GQD55" s="44"/>
      <c r="GQE55" s="44"/>
      <c r="GQF55" s="44"/>
      <c r="GQG55" s="44"/>
      <c r="GQH55" s="44"/>
      <c r="GQI55" s="44"/>
      <c r="GQJ55" s="44"/>
      <c r="GQK55" s="44"/>
      <c r="GQL55" s="44"/>
      <c r="GQM55" s="44"/>
      <c r="GQN55" s="44"/>
      <c r="GQO55" s="44"/>
      <c r="GQP55" s="44"/>
      <c r="GQQ55" s="44"/>
      <c r="GQR55" s="44"/>
      <c r="GQS55" s="44"/>
      <c r="GQT55" s="44"/>
      <c r="GQU55" s="44"/>
      <c r="GQV55" s="44"/>
      <c r="GQW55" s="44"/>
      <c r="GQX55" s="44"/>
      <c r="GQY55" s="44"/>
      <c r="GQZ55" s="44"/>
      <c r="GRA55" s="44"/>
      <c r="GRB55" s="44"/>
      <c r="GRC55" s="44"/>
      <c r="GRD55" s="44"/>
      <c r="GRE55" s="44"/>
      <c r="GRF55" s="44"/>
      <c r="GRG55" s="44"/>
      <c r="GRH55" s="44"/>
      <c r="GRI55" s="44"/>
      <c r="GRJ55" s="44"/>
      <c r="GRK55" s="44"/>
      <c r="GRL55" s="44"/>
      <c r="GRM55" s="44"/>
      <c r="GRN55" s="44"/>
      <c r="GRO55" s="44"/>
      <c r="GRP55" s="44"/>
      <c r="GRQ55" s="44"/>
      <c r="GRR55" s="44"/>
      <c r="GRS55" s="44"/>
      <c r="GRT55" s="44"/>
      <c r="GRU55" s="44"/>
      <c r="GRV55" s="44"/>
      <c r="GRW55" s="44"/>
      <c r="GRX55" s="44"/>
      <c r="GRY55" s="44"/>
      <c r="GRZ55" s="44"/>
      <c r="GSA55" s="44"/>
      <c r="GSB55" s="44"/>
      <c r="GSC55" s="44"/>
      <c r="GSD55" s="44"/>
      <c r="GSE55" s="44"/>
      <c r="GSF55" s="44"/>
      <c r="GSG55" s="44"/>
      <c r="GSH55" s="44"/>
      <c r="GSI55" s="44"/>
      <c r="GSJ55" s="44"/>
      <c r="GSK55" s="44"/>
      <c r="GSL55" s="44"/>
      <c r="GSM55" s="44"/>
      <c r="GSN55" s="44"/>
      <c r="GSO55" s="44"/>
      <c r="GSP55" s="44"/>
      <c r="GSQ55" s="44"/>
      <c r="GSR55" s="44"/>
      <c r="GSS55" s="44"/>
      <c r="GST55" s="44"/>
      <c r="GSU55" s="44"/>
      <c r="GSV55" s="44"/>
      <c r="GSW55" s="44"/>
      <c r="GSX55" s="44"/>
      <c r="GSY55" s="44"/>
      <c r="GSZ55" s="44"/>
      <c r="GTA55" s="44"/>
      <c r="GTB55" s="44"/>
      <c r="GTC55" s="44"/>
      <c r="GTD55" s="44"/>
      <c r="GTE55" s="44"/>
      <c r="GTF55" s="44"/>
      <c r="GTG55" s="44"/>
      <c r="GTH55" s="44"/>
      <c r="GTI55" s="44"/>
      <c r="GTJ55" s="44"/>
      <c r="GTK55" s="44"/>
      <c r="GTL55" s="44"/>
      <c r="GTM55" s="44"/>
      <c r="GTN55" s="44"/>
      <c r="GTO55" s="44"/>
      <c r="GTP55" s="44"/>
      <c r="GTQ55" s="44"/>
      <c r="GTR55" s="44"/>
      <c r="GTS55" s="44"/>
      <c r="GTT55" s="44"/>
      <c r="GTU55" s="44"/>
      <c r="GTV55" s="44"/>
      <c r="GTW55" s="44"/>
      <c r="GTX55" s="44"/>
      <c r="GTY55" s="44"/>
      <c r="GTZ55" s="44"/>
      <c r="GUA55" s="44"/>
      <c r="GUB55" s="44"/>
      <c r="GUC55" s="44"/>
      <c r="GUD55" s="44"/>
      <c r="GUE55" s="44"/>
      <c r="GUF55" s="44"/>
      <c r="GUG55" s="44"/>
      <c r="GUH55" s="44"/>
      <c r="GUI55" s="44"/>
      <c r="GUJ55" s="44"/>
      <c r="GUK55" s="44"/>
      <c r="GUL55" s="44"/>
      <c r="GUM55" s="44"/>
      <c r="GUN55" s="44"/>
      <c r="GUO55" s="44"/>
      <c r="GUP55" s="44"/>
      <c r="GUQ55" s="44"/>
      <c r="GUR55" s="44"/>
      <c r="GUS55" s="44"/>
      <c r="GUT55" s="44"/>
      <c r="GUU55" s="44"/>
      <c r="GUV55" s="44"/>
      <c r="GUW55" s="44"/>
      <c r="GUX55" s="44"/>
      <c r="GUY55" s="44"/>
      <c r="GUZ55" s="44"/>
      <c r="GVA55" s="44"/>
      <c r="GVB55" s="44"/>
      <c r="GVC55" s="44"/>
      <c r="GVD55" s="44"/>
      <c r="GVE55" s="44"/>
      <c r="GVF55" s="44"/>
      <c r="GVG55" s="44"/>
      <c r="GVH55" s="44"/>
      <c r="GVI55" s="44"/>
      <c r="GVJ55" s="44"/>
      <c r="GVK55" s="44"/>
      <c r="GVL55" s="44"/>
      <c r="GVM55" s="44"/>
      <c r="GVN55" s="44"/>
      <c r="GVO55" s="44"/>
      <c r="GVP55" s="44"/>
      <c r="GVQ55" s="44"/>
      <c r="GVR55" s="44"/>
      <c r="GVS55" s="44"/>
      <c r="GVT55" s="44"/>
      <c r="GVU55" s="44"/>
      <c r="GVV55" s="44"/>
      <c r="GVW55" s="44"/>
      <c r="GVX55" s="44"/>
      <c r="GVY55" s="44"/>
      <c r="GVZ55" s="44"/>
      <c r="GWA55" s="44"/>
      <c r="GWB55" s="44"/>
      <c r="GWC55" s="44"/>
      <c r="GWD55" s="44"/>
      <c r="GWE55" s="44"/>
      <c r="GWF55" s="44"/>
      <c r="GWG55" s="44"/>
      <c r="GWH55" s="44"/>
      <c r="GWI55" s="44"/>
      <c r="GWJ55" s="44"/>
      <c r="GWK55" s="44"/>
      <c r="GWL55" s="44"/>
      <c r="GWM55" s="44"/>
      <c r="GWN55" s="44"/>
      <c r="GWO55" s="44"/>
      <c r="GWP55" s="44"/>
      <c r="GWQ55" s="44"/>
      <c r="GWR55" s="44"/>
      <c r="GWS55" s="44"/>
      <c r="GWT55" s="44"/>
      <c r="GWU55" s="44"/>
      <c r="GWV55" s="44"/>
      <c r="GWW55" s="44"/>
      <c r="GWX55" s="44"/>
      <c r="GWY55" s="44"/>
      <c r="GWZ55" s="44"/>
      <c r="GXA55" s="44"/>
      <c r="GXB55" s="44"/>
      <c r="GXC55" s="44"/>
      <c r="GXD55" s="44"/>
      <c r="GXE55" s="44"/>
      <c r="GXF55" s="44"/>
      <c r="GXG55" s="44"/>
      <c r="GXH55" s="44"/>
      <c r="GXI55" s="44"/>
      <c r="GXJ55" s="44"/>
      <c r="GXK55" s="44"/>
      <c r="GXL55" s="44"/>
      <c r="GXM55" s="44"/>
      <c r="GXN55" s="44"/>
      <c r="GXO55" s="44"/>
      <c r="GXP55" s="44"/>
      <c r="GXQ55" s="44"/>
      <c r="GXR55" s="44"/>
      <c r="GXS55" s="44"/>
      <c r="GXT55" s="44"/>
      <c r="GXU55" s="44"/>
      <c r="GXV55" s="44"/>
      <c r="GXW55" s="44"/>
      <c r="GXX55" s="44"/>
      <c r="GXY55" s="44"/>
      <c r="GXZ55" s="44"/>
      <c r="GYA55" s="44"/>
      <c r="GYB55" s="44"/>
      <c r="GYC55" s="44"/>
      <c r="GYD55" s="44"/>
      <c r="GYE55" s="44"/>
      <c r="GYF55" s="44"/>
      <c r="GYG55" s="44"/>
      <c r="GYH55" s="44"/>
      <c r="GYI55" s="44"/>
      <c r="GYJ55" s="44"/>
      <c r="GYK55" s="44"/>
      <c r="GYL55" s="44"/>
      <c r="GYM55" s="44"/>
      <c r="GYN55" s="44"/>
      <c r="GYO55" s="44"/>
      <c r="GYP55" s="44"/>
      <c r="GYQ55" s="44"/>
      <c r="GYR55" s="44"/>
      <c r="GYS55" s="44"/>
      <c r="GYT55" s="44"/>
      <c r="GYU55" s="44"/>
      <c r="GYV55" s="44"/>
      <c r="GYW55" s="44"/>
      <c r="GYX55" s="44"/>
      <c r="GYY55" s="44"/>
      <c r="GYZ55" s="44"/>
      <c r="GZA55" s="44"/>
      <c r="GZB55" s="44"/>
      <c r="GZC55" s="44"/>
      <c r="GZD55" s="44"/>
      <c r="GZE55" s="44"/>
      <c r="GZF55" s="44"/>
      <c r="GZG55" s="44"/>
      <c r="GZH55" s="44"/>
      <c r="GZI55" s="44"/>
      <c r="GZJ55" s="44"/>
      <c r="GZK55" s="44"/>
      <c r="GZL55" s="44"/>
      <c r="GZM55" s="44"/>
      <c r="GZN55" s="44"/>
      <c r="GZO55" s="44"/>
      <c r="GZP55" s="44"/>
      <c r="GZQ55" s="44"/>
      <c r="GZR55" s="44"/>
      <c r="GZS55" s="44"/>
      <c r="GZT55" s="44"/>
      <c r="GZU55" s="44"/>
      <c r="GZV55" s="44"/>
      <c r="GZW55" s="44"/>
      <c r="GZX55" s="44"/>
      <c r="GZY55" s="44"/>
      <c r="GZZ55" s="44"/>
      <c r="HAA55" s="44"/>
      <c r="HAB55" s="44"/>
      <c r="HAC55" s="44"/>
      <c r="HAD55" s="44"/>
      <c r="HAE55" s="44"/>
      <c r="HAF55" s="44"/>
      <c r="HAG55" s="44"/>
      <c r="HAH55" s="44"/>
      <c r="HAI55" s="44"/>
      <c r="HAJ55" s="44"/>
      <c r="HAK55" s="44"/>
      <c r="HAL55" s="44"/>
      <c r="HAM55" s="44"/>
      <c r="HAN55" s="44"/>
      <c r="HAO55" s="44"/>
      <c r="HAP55" s="44"/>
      <c r="HAQ55" s="44"/>
      <c r="HAR55" s="44"/>
      <c r="HAS55" s="44"/>
      <c r="HAT55" s="44"/>
      <c r="HAU55" s="44"/>
      <c r="HAV55" s="44"/>
      <c r="HAW55" s="44"/>
      <c r="HAX55" s="44"/>
      <c r="HAY55" s="44"/>
      <c r="HAZ55" s="44"/>
      <c r="HBA55" s="44"/>
      <c r="HBB55" s="44"/>
      <c r="HBC55" s="44"/>
      <c r="HBD55" s="44"/>
      <c r="HBE55" s="44"/>
      <c r="HBF55" s="44"/>
      <c r="HBG55" s="44"/>
      <c r="HBH55" s="44"/>
      <c r="HBI55" s="44"/>
      <c r="HBJ55" s="44"/>
      <c r="HBK55" s="44"/>
      <c r="HBL55" s="44"/>
      <c r="HBM55" s="44"/>
      <c r="HBN55" s="44"/>
      <c r="HBO55" s="44"/>
      <c r="HBP55" s="44"/>
      <c r="HBQ55" s="44"/>
      <c r="HBR55" s="44"/>
      <c r="HBS55" s="44"/>
      <c r="HBT55" s="44"/>
      <c r="HBU55" s="44"/>
      <c r="HBV55" s="44"/>
      <c r="HBW55" s="44"/>
      <c r="HBX55" s="44"/>
      <c r="HBY55" s="44"/>
      <c r="HBZ55" s="44"/>
      <c r="HCA55" s="44"/>
      <c r="HCB55" s="44"/>
      <c r="HCC55" s="44"/>
      <c r="HCD55" s="44"/>
      <c r="HCE55" s="44"/>
      <c r="HCF55" s="44"/>
      <c r="HCG55" s="44"/>
      <c r="HCH55" s="44"/>
      <c r="HCI55" s="44"/>
      <c r="HCJ55" s="44"/>
      <c r="HCK55" s="44"/>
      <c r="HCL55" s="44"/>
      <c r="HCM55" s="44"/>
      <c r="HCN55" s="44"/>
      <c r="HCO55" s="44"/>
      <c r="HCP55" s="44"/>
      <c r="HCQ55" s="44"/>
      <c r="HCR55" s="44"/>
      <c r="HCS55" s="44"/>
      <c r="HCT55" s="44"/>
      <c r="HCU55" s="44"/>
      <c r="HCV55" s="44"/>
      <c r="HCW55" s="44"/>
      <c r="HCX55" s="44"/>
      <c r="HCY55" s="44"/>
      <c r="HCZ55" s="44"/>
      <c r="HDA55" s="44"/>
      <c r="HDB55" s="44"/>
      <c r="HDC55" s="44"/>
      <c r="HDD55" s="44"/>
      <c r="HDE55" s="44"/>
      <c r="HDF55" s="44"/>
      <c r="HDG55" s="44"/>
      <c r="HDH55" s="44"/>
      <c r="HDI55" s="44"/>
      <c r="HDJ55" s="44"/>
      <c r="HDK55" s="44"/>
      <c r="HDL55" s="44"/>
      <c r="HDM55" s="44"/>
      <c r="HDN55" s="44"/>
      <c r="HDO55" s="44"/>
      <c r="HDP55" s="44"/>
      <c r="HDQ55" s="44"/>
      <c r="HDR55" s="44"/>
      <c r="HDS55" s="44"/>
      <c r="HDT55" s="44"/>
      <c r="HDU55" s="44"/>
      <c r="HDV55" s="44"/>
      <c r="HDW55" s="44"/>
      <c r="HDX55" s="44"/>
      <c r="HDY55" s="44"/>
      <c r="HDZ55" s="44"/>
      <c r="HEA55" s="44"/>
      <c r="HEB55" s="44"/>
      <c r="HEC55" s="44"/>
      <c r="HED55" s="44"/>
      <c r="HEE55" s="44"/>
      <c r="HEF55" s="44"/>
      <c r="HEG55" s="44"/>
      <c r="HEH55" s="44"/>
      <c r="HEI55" s="44"/>
      <c r="HEJ55" s="44"/>
      <c r="HEK55" s="44"/>
      <c r="HEL55" s="44"/>
      <c r="HEM55" s="44"/>
      <c r="HEN55" s="44"/>
      <c r="HEO55" s="44"/>
      <c r="HEP55" s="44"/>
      <c r="HEQ55" s="44"/>
      <c r="HER55" s="44"/>
      <c r="HES55" s="44"/>
      <c r="HET55" s="44"/>
      <c r="HEU55" s="44"/>
      <c r="HEV55" s="44"/>
      <c r="HEW55" s="44"/>
      <c r="HEX55" s="44"/>
      <c r="HEY55" s="44"/>
      <c r="HEZ55" s="44"/>
      <c r="HFA55" s="44"/>
      <c r="HFB55" s="44"/>
      <c r="HFC55" s="44"/>
      <c r="HFD55" s="44"/>
      <c r="HFE55" s="44"/>
      <c r="HFF55" s="44"/>
      <c r="HFG55" s="44"/>
      <c r="HFH55" s="44"/>
      <c r="HFI55" s="44"/>
      <c r="HFJ55" s="44"/>
      <c r="HFK55" s="44"/>
      <c r="HFL55" s="44"/>
      <c r="HFM55" s="44"/>
      <c r="HFN55" s="44"/>
      <c r="HFO55" s="44"/>
      <c r="HFP55" s="44"/>
      <c r="HFQ55" s="44"/>
      <c r="HFR55" s="44"/>
      <c r="HFS55" s="44"/>
      <c r="HFT55" s="44"/>
      <c r="HFU55" s="44"/>
      <c r="HFV55" s="44"/>
      <c r="HFW55" s="44"/>
      <c r="HFX55" s="44"/>
      <c r="HFY55" s="44"/>
      <c r="HFZ55" s="44"/>
      <c r="HGA55" s="44"/>
      <c r="HGB55" s="44"/>
      <c r="HGC55" s="44"/>
      <c r="HGD55" s="44"/>
      <c r="HGE55" s="44"/>
      <c r="HGF55" s="44"/>
      <c r="HGG55" s="44"/>
      <c r="HGH55" s="44"/>
      <c r="HGI55" s="44"/>
      <c r="HGJ55" s="44"/>
      <c r="HGK55" s="44"/>
      <c r="HGL55" s="44"/>
      <c r="HGM55" s="44"/>
      <c r="HGN55" s="44"/>
      <c r="HGO55" s="44"/>
      <c r="HGP55" s="44"/>
      <c r="HGQ55" s="44"/>
      <c r="HGR55" s="44"/>
      <c r="HGS55" s="44"/>
      <c r="HGT55" s="44"/>
      <c r="HGU55" s="44"/>
      <c r="HGV55" s="44"/>
      <c r="HGW55" s="44"/>
      <c r="HGX55" s="44"/>
      <c r="HGY55" s="44"/>
      <c r="HGZ55" s="44"/>
      <c r="HHA55" s="44"/>
      <c r="HHB55" s="44"/>
      <c r="HHC55" s="44"/>
      <c r="HHD55" s="44"/>
      <c r="HHE55" s="44"/>
      <c r="HHF55" s="44"/>
      <c r="HHG55" s="44"/>
      <c r="HHH55" s="44"/>
      <c r="HHI55" s="44"/>
      <c r="HHJ55" s="44"/>
      <c r="HHK55" s="44"/>
      <c r="HHL55" s="44"/>
      <c r="HHM55" s="44"/>
      <c r="HHN55" s="44"/>
      <c r="HHO55" s="44"/>
      <c r="HHP55" s="44"/>
      <c r="HHQ55" s="44"/>
      <c r="HHR55" s="44"/>
      <c r="HHS55" s="44"/>
      <c r="HHT55" s="44"/>
      <c r="HHU55" s="44"/>
      <c r="HHV55" s="44"/>
      <c r="HHW55" s="44"/>
      <c r="HHX55" s="44"/>
      <c r="HHY55" s="44"/>
      <c r="HHZ55" s="44"/>
      <c r="HIA55" s="44"/>
      <c r="HIB55" s="44"/>
      <c r="HIC55" s="44"/>
      <c r="HID55" s="44"/>
      <c r="HIE55" s="44"/>
      <c r="HIF55" s="44"/>
      <c r="HIG55" s="44"/>
      <c r="HIH55" s="44"/>
      <c r="HII55" s="44"/>
      <c r="HIJ55" s="44"/>
      <c r="HIK55" s="44"/>
      <c r="HIL55" s="44"/>
      <c r="HIM55" s="44"/>
      <c r="HIN55" s="44"/>
      <c r="HIO55" s="44"/>
      <c r="HIP55" s="44"/>
      <c r="HIQ55" s="44"/>
      <c r="HIR55" s="44"/>
      <c r="HIS55" s="44"/>
      <c r="HIT55" s="44"/>
      <c r="HIU55" s="44"/>
      <c r="HIV55" s="44"/>
      <c r="HIW55" s="44"/>
      <c r="HIX55" s="44"/>
      <c r="HIY55" s="44"/>
      <c r="HIZ55" s="44"/>
      <c r="HJA55" s="44"/>
      <c r="HJB55" s="44"/>
      <c r="HJC55" s="44"/>
      <c r="HJD55" s="44"/>
      <c r="HJE55" s="44"/>
      <c r="HJF55" s="44"/>
      <c r="HJG55" s="44"/>
      <c r="HJH55" s="44"/>
      <c r="HJI55" s="44"/>
      <c r="HJJ55" s="44"/>
      <c r="HJK55" s="44"/>
      <c r="HJL55" s="44"/>
      <c r="HJM55" s="44"/>
      <c r="HJN55" s="44"/>
      <c r="HJO55" s="44"/>
      <c r="HJP55" s="44"/>
      <c r="HJQ55" s="44"/>
      <c r="HJR55" s="44"/>
      <c r="HJS55" s="44"/>
      <c r="HJT55" s="44"/>
      <c r="HJU55" s="44"/>
      <c r="HJV55" s="44"/>
      <c r="HJW55" s="44"/>
      <c r="HJX55" s="44"/>
      <c r="HJY55" s="44"/>
      <c r="HJZ55" s="44"/>
      <c r="HKA55" s="44"/>
      <c r="HKB55" s="44"/>
      <c r="HKC55" s="44"/>
      <c r="HKD55" s="44"/>
      <c r="HKE55" s="44"/>
      <c r="HKF55" s="44"/>
      <c r="HKG55" s="44"/>
      <c r="HKH55" s="44"/>
      <c r="HKI55" s="44"/>
      <c r="HKJ55" s="44"/>
      <c r="HKK55" s="44"/>
      <c r="HKL55" s="44"/>
      <c r="HKM55" s="44"/>
      <c r="HKN55" s="44"/>
      <c r="HKO55" s="44"/>
      <c r="HKP55" s="44"/>
      <c r="HKQ55" s="44"/>
      <c r="HKR55" s="44"/>
      <c r="HKS55" s="44"/>
      <c r="HKT55" s="44"/>
      <c r="HKU55" s="44"/>
      <c r="HKV55" s="44"/>
      <c r="HKW55" s="44"/>
      <c r="HKX55" s="44"/>
      <c r="HKY55" s="44"/>
      <c r="HKZ55" s="44"/>
      <c r="HLA55" s="44"/>
      <c r="HLB55" s="44"/>
      <c r="HLC55" s="44"/>
      <c r="HLD55" s="44"/>
      <c r="HLE55" s="44"/>
      <c r="HLF55" s="44"/>
      <c r="HLG55" s="44"/>
      <c r="HLH55" s="44"/>
      <c r="HLI55" s="44"/>
      <c r="HLJ55" s="44"/>
      <c r="HLK55" s="44"/>
      <c r="HLL55" s="44"/>
      <c r="HLM55" s="44"/>
      <c r="HLN55" s="44"/>
      <c r="HLO55" s="44"/>
      <c r="HLP55" s="44"/>
      <c r="HLQ55" s="44"/>
      <c r="HLR55" s="44"/>
      <c r="HLS55" s="44"/>
      <c r="HLT55" s="44"/>
      <c r="HLU55" s="44"/>
      <c r="HLV55" s="44"/>
      <c r="HLW55" s="44"/>
      <c r="HLX55" s="44"/>
      <c r="HLY55" s="44"/>
      <c r="HLZ55" s="44"/>
      <c r="HMA55" s="44"/>
      <c r="HMB55" s="44"/>
      <c r="HMC55" s="44"/>
      <c r="HMD55" s="44"/>
      <c r="HME55" s="44"/>
      <c r="HMF55" s="44"/>
      <c r="HMG55" s="44"/>
      <c r="HMH55" s="44"/>
      <c r="HMI55" s="44"/>
      <c r="HMJ55" s="44"/>
      <c r="HMK55" s="44"/>
      <c r="HML55" s="44"/>
      <c r="HMM55" s="44"/>
      <c r="HMN55" s="44"/>
      <c r="HMO55" s="44"/>
      <c r="HMP55" s="44"/>
      <c r="HMQ55" s="44"/>
      <c r="HMR55" s="44"/>
      <c r="HMS55" s="44"/>
      <c r="HMT55" s="44"/>
      <c r="HMU55" s="44"/>
      <c r="HMV55" s="44"/>
      <c r="HMW55" s="44"/>
      <c r="HMX55" s="44"/>
      <c r="HMY55" s="44"/>
      <c r="HMZ55" s="44"/>
      <c r="HNA55" s="44"/>
      <c r="HNB55" s="44"/>
      <c r="HNC55" s="44"/>
      <c r="HND55" s="44"/>
      <c r="HNE55" s="44"/>
      <c r="HNF55" s="44"/>
      <c r="HNG55" s="44"/>
      <c r="HNH55" s="44"/>
      <c r="HNI55" s="44"/>
      <c r="HNJ55" s="44"/>
      <c r="HNK55" s="44"/>
      <c r="HNL55" s="44"/>
      <c r="HNM55" s="44"/>
      <c r="HNN55" s="44"/>
      <c r="HNO55" s="44"/>
      <c r="HNP55" s="44"/>
      <c r="HNQ55" s="44"/>
      <c r="HNR55" s="44"/>
      <c r="HNS55" s="44"/>
      <c r="HNT55" s="44"/>
      <c r="HNU55" s="44"/>
      <c r="HNV55" s="44"/>
      <c r="HNW55" s="44"/>
      <c r="HNX55" s="44"/>
      <c r="HNY55" s="44"/>
      <c r="HNZ55" s="44"/>
      <c r="HOA55" s="44"/>
      <c r="HOB55" s="44"/>
      <c r="HOC55" s="44"/>
      <c r="HOD55" s="44"/>
      <c r="HOE55" s="44"/>
      <c r="HOF55" s="44"/>
      <c r="HOG55" s="44"/>
      <c r="HOH55" s="44"/>
      <c r="HOI55" s="44"/>
      <c r="HOJ55" s="44"/>
      <c r="HOK55" s="44"/>
      <c r="HOL55" s="44"/>
      <c r="HOM55" s="44"/>
      <c r="HON55" s="44"/>
      <c r="HOO55" s="44"/>
      <c r="HOP55" s="44"/>
      <c r="HOQ55" s="44"/>
      <c r="HOR55" s="44"/>
      <c r="HOS55" s="44"/>
      <c r="HOT55" s="44"/>
      <c r="HOU55" s="44"/>
      <c r="HOV55" s="44"/>
      <c r="HOW55" s="44"/>
      <c r="HOX55" s="44"/>
      <c r="HOY55" s="44"/>
      <c r="HOZ55" s="44"/>
      <c r="HPA55" s="44"/>
      <c r="HPB55" s="44"/>
      <c r="HPC55" s="44"/>
      <c r="HPD55" s="44"/>
      <c r="HPE55" s="44"/>
      <c r="HPF55" s="44"/>
      <c r="HPG55" s="44"/>
      <c r="HPH55" s="44"/>
      <c r="HPI55" s="44"/>
      <c r="HPJ55" s="44"/>
      <c r="HPK55" s="44"/>
      <c r="HPL55" s="44"/>
      <c r="HPM55" s="44"/>
      <c r="HPN55" s="44"/>
      <c r="HPO55" s="44"/>
      <c r="HPP55" s="44"/>
      <c r="HPQ55" s="44"/>
      <c r="HPR55" s="44"/>
      <c r="HPS55" s="44"/>
      <c r="HPT55" s="44"/>
      <c r="HPU55" s="44"/>
      <c r="HPV55" s="44"/>
      <c r="HPW55" s="44"/>
      <c r="HPX55" s="44"/>
      <c r="HPY55" s="44"/>
      <c r="HPZ55" s="44"/>
      <c r="HQA55" s="44"/>
      <c r="HQB55" s="44"/>
      <c r="HQC55" s="44"/>
      <c r="HQD55" s="44"/>
      <c r="HQE55" s="44"/>
      <c r="HQF55" s="44"/>
      <c r="HQG55" s="44"/>
      <c r="HQH55" s="44"/>
      <c r="HQI55" s="44"/>
      <c r="HQJ55" s="44"/>
      <c r="HQK55" s="44"/>
      <c r="HQL55" s="44"/>
      <c r="HQM55" s="44"/>
      <c r="HQN55" s="44"/>
      <c r="HQO55" s="44"/>
      <c r="HQP55" s="44"/>
      <c r="HQQ55" s="44"/>
      <c r="HQR55" s="44"/>
      <c r="HQS55" s="44"/>
      <c r="HQT55" s="44"/>
      <c r="HQU55" s="44"/>
      <c r="HQV55" s="44"/>
      <c r="HQW55" s="44"/>
      <c r="HQX55" s="44"/>
      <c r="HQY55" s="44"/>
      <c r="HQZ55" s="44"/>
      <c r="HRA55" s="44"/>
      <c r="HRB55" s="44"/>
      <c r="HRC55" s="44"/>
      <c r="HRD55" s="44"/>
      <c r="HRE55" s="44"/>
      <c r="HRF55" s="44"/>
      <c r="HRG55" s="44"/>
      <c r="HRH55" s="44"/>
      <c r="HRI55" s="44"/>
      <c r="HRJ55" s="44"/>
      <c r="HRK55" s="44"/>
      <c r="HRL55" s="44"/>
      <c r="HRM55" s="44"/>
      <c r="HRN55" s="44"/>
      <c r="HRO55" s="44"/>
      <c r="HRP55" s="44"/>
      <c r="HRQ55" s="44"/>
      <c r="HRR55" s="44"/>
      <c r="HRS55" s="44"/>
      <c r="HRT55" s="44"/>
      <c r="HRU55" s="44"/>
      <c r="HRV55" s="44"/>
      <c r="HRW55" s="44"/>
      <c r="HRX55" s="44"/>
      <c r="HRY55" s="44"/>
      <c r="HRZ55" s="44"/>
      <c r="HSA55" s="44"/>
      <c r="HSB55" s="44"/>
      <c r="HSC55" s="44"/>
      <c r="HSD55" s="44"/>
      <c r="HSE55" s="44"/>
      <c r="HSF55" s="44"/>
      <c r="HSG55" s="44"/>
      <c r="HSH55" s="44"/>
      <c r="HSI55" s="44"/>
      <c r="HSJ55" s="44"/>
      <c r="HSK55" s="44"/>
      <c r="HSL55" s="44"/>
      <c r="HSM55" s="44"/>
      <c r="HSN55" s="44"/>
      <c r="HSO55" s="44"/>
      <c r="HSP55" s="44"/>
      <c r="HSQ55" s="44"/>
      <c r="HSR55" s="44"/>
      <c r="HSS55" s="44"/>
      <c r="HST55" s="44"/>
      <c r="HSU55" s="44"/>
      <c r="HSV55" s="44"/>
      <c r="HSW55" s="44"/>
      <c r="HSX55" s="44"/>
      <c r="HSY55" s="44"/>
      <c r="HSZ55" s="44"/>
      <c r="HTA55" s="44"/>
      <c r="HTB55" s="44"/>
      <c r="HTC55" s="44"/>
      <c r="HTD55" s="44"/>
      <c r="HTE55" s="44"/>
      <c r="HTF55" s="44"/>
      <c r="HTG55" s="44"/>
      <c r="HTH55" s="44"/>
      <c r="HTI55" s="44"/>
      <c r="HTJ55" s="44"/>
      <c r="HTK55" s="44"/>
      <c r="HTL55" s="44"/>
      <c r="HTM55" s="44"/>
      <c r="HTN55" s="44"/>
      <c r="HTO55" s="44"/>
      <c r="HTP55" s="44"/>
      <c r="HTQ55" s="44"/>
      <c r="HTR55" s="44"/>
      <c r="HTS55" s="44"/>
      <c r="HTT55" s="44"/>
      <c r="HTU55" s="44"/>
      <c r="HTV55" s="44"/>
      <c r="HTW55" s="44"/>
      <c r="HTX55" s="44"/>
      <c r="HTY55" s="44"/>
      <c r="HTZ55" s="44"/>
      <c r="HUA55" s="44"/>
      <c r="HUB55" s="44"/>
      <c r="HUC55" s="44"/>
      <c r="HUD55" s="44"/>
      <c r="HUE55" s="44"/>
      <c r="HUF55" s="44"/>
      <c r="HUG55" s="44"/>
      <c r="HUH55" s="44"/>
      <c r="HUI55" s="44"/>
      <c r="HUJ55" s="44"/>
      <c r="HUK55" s="44"/>
      <c r="HUL55" s="44"/>
      <c r="HUM55" s="44"/>
      <c r="HUN55" s="44"/>
      <c r="HUO55" s="44"/>
      <c r="HUP55" s="44"/>
      <c r="HUQ55" s="44"/>
      <c r="HUR55" s="44"/>
      <c r="HUS55" s="44"/>
      <c r="HUT55" s="44"/>
      <c r="HUU55" s="44"/>
      <c r="HUV55" s="44"/>
      <c r="HUW55" s="44"/>
      <c r="HUX55" s="44"/>
      <c r="HUY55" s="44"/>
      <c r="HUZ55" s="44"/>
      <c r="HVA55" s="44"/>
      <c r="HVB55" s="44"/>
      <c r="HVC55" s="44"/>
      <c r="HVD55" s="44"/>
      <c r="HVE55" s="44"/>
      <c r="HVF55" s="44"/>
      <c r="HVG55" s="44"/>
      <c r="HVH55" s="44"/>
      <c r="HVI55" s="44"/>
      <c r="HVJ55" s="44"/>
      <c r="HVK55" s="44"/>
      <c r="HVL55" s="44"/>
      <c r="HVM55" s="44"/>
      <c r="HVN55" s="44"/>
      <c r="HVO55" s="44"/>
      <c r="HVP55" s="44"/>
      <c r="HVQ55" s="44"/>
      <c r="HVR55" s="44"/>
      <c r="HVS55" s="44"/>
      <c r="HVT55" s="44"/>
      <c r="HVU55" s="44"/>
      <c r="HVV55" s="44"/>
      <c r="HVW55" s="44"/>
      <c r="HVX55" s="44"/>
      <c r="HVY55" s="44"/>
      <c r="HVZ55" s="44"/>
      <c r="HWA55" s="44"/>
      <c r="HWB55" s="44"/>
      <c r="HWC55" s="44"/>
      <c r="HWD55" s="44"/>
      <c r="HWE55" s="44"/>
      <c r="HWF55" s="44"/>
      <c r="HWG55" s="44"/>
      <c r="HWH55" s="44"/>
      <c r="HWI55" s="44"/>
      <c r="HWJ55" s="44"/>
      <c r="HWK55" s="44"/>
      <c r="HWL55" s="44"/>
      <c r="HWM55" s="44"/>
      <c r="HWN55" s="44"/>
      <c r="HWO55" s="44"/>
      <c r="HWP55" s="44"/>
      <c r="HWQ55" s="44"/>
      <c r="HWR55" s="44"/>
      <c r="HWS55" s="44"/>
      <c r="HWT55" s="44"/>
      <c r="HWU55" s="44"/>
      <c r="HWV55" s="44"/>
      <c r="HWW55" s="44"/>
      <c r="HWX55" s="44"/>
      <c r="HWY55" s="44"/>
      <c r="HWZ55" s="44"/>
      <c r="HXA55" s="44"/>
      <c r="HXB55" s="44"/>
      <c r="HXC55" s="44"/>
      <c r="HXD55" s="44"/>
      <c r="HXE55" s="44"/>
      <c r="HXF55" s="44"/>
      <c r="HXG55" s="44"/>
      <c r="HXH55" s="44"/>
      <c r="HXI55" s="44"/>
      <c r="HXJ55" s="44"/>
      <c r="HXK55" s="44"/>
      <c r="HXL55" s="44"/>
      <c r="HXM55" s="44"/>
      <c r="HXN55" s="44"/>
      <c r="HXO55" s="44"/>
      <c r="HXP55" s="44"/>
      <c r="HXQ55" s="44"/>
      <c r="HXR55" s="44"/>
      <c r="HXS55" s="44"/>
      <c r="HXT55" s="44"/>
      <c r="HXU55" s="44"/>
      <c r="HXV55" s="44"/>
      <c r="HXW55" s="44"/>
      <c r="HXX55" s="44"/>
      <c r="HXY55" s="44"/>
      <c r="HXZ55" s="44"/>
      <c r="HYA55" s="44"/>
      <c r="HYB55" s="44"/>
      <c r="HYC55" s="44"/>
      <c r="HYD55" s="44"/>
      <c r="HYE55" s="44"/>
      <c r="HYF55" s="44"/>
      <c r="HYG55" s="44"/>
      <c r="HYH55" s="44"/>
      <c r="HYI55" s="44"/>
      <c r="HYJ55" s="44"/>
      <c r="HYK55" s="44"/>
      <c r="HYL55" s="44"/>
      <c r="HYM55" s="44"/>
      <c r="HYN55" s="44"/>
      <c r="HYO55" s="44"/>
      <c r="HYP55" s="44"/>
      <c r="HYQ55" s="44"/>
      <c r="HYR55" s="44"/>
      <c r="HYS55" s="44"/>
      <c r="HYT55" s="44"/>
      <c r="HYU55" s="44"/>
      <c r="HYV55" s="44"/>
      <c r="HYW55" s="44"/>
      <c r="HYX55" s="44"/>
      <c r="HYY55" s="44"/>
      <c r="HYZ55" s="44"/>
      <c r="HZA55" s="44"/>
      <c r="HZB55" s="44"/>
      <c r="HZC55" s="44"/>
      <c r="HZD55" s="44"/>
      <c r="HZE55" s="44"/>
      <c r="HZF55" s="44"/>
      <c r="HZG55" s="44"/>
      <c r="HZH55" s="44"/>
      <c r="HZI55" s="44"/>
      <c r="HZJ55" s="44"/>
      <c r="HZK55" s="44"/>
      <c r="HZL55" s="44"/>
      <c r="HZM55" s="44"/>
      <c r="HZN55" s="44"/>
      <c r="HZO55" s="44"/>
      <c r="HZP55" s="44"/>
      <c r="HZQ55" s="44"/>
      <c r="HZR55" s="44"/>
      <c r="HZS55" s="44"/>
      <c r="HZT55" s="44"/>
      <c r="HZU55" s="44"/>
      <c r="HZV55" s="44"/>
      <c r="HZW55" s="44"/>
      <c r="HZX55" s="44"/>
      <c r="HZY55" s="44"/>
      <c r="HZZ55" s="44"/>
      <c r="IAA55" s="44"/>
      <c r="IAB55" s="44"/>
      <c r="IAC55" s="44"/>
      <c r="IAD55" s="44"/>
      <c r="IAE55" s="44"/>
      <c r="IAF55" s="44"/>
      <c r="IAG55" s="44"/>
      <c r="IAH55" s="44"/>
      <c r="IAI55" s="44"/>
      <c r="IAJ55" s="44"/>
      <c r="IAK55" s="44"/>
      <c r="IAL55" s="44"/>
      <c r="IAM55" s="44"/>
      <c r="IAN55" s="44"/>
      <c r="IAO55" s="44"/>
      <c r="IAP55" s="44"/>
      <c r="IAQ55" s="44"/>
      <c r="IAR55" s="44"/>
      <c r="IAS55" s="44"/>
      <c r="IAT55" s="44"/>
      <c r="IAU55" s="44"/>
      <c r="IAV55" s="44"/>
      <c r="IAW55" s="44"/>
      <c r="IAX55" s="44"/>
      <c r="IAY55" s="44"/>
      <c r="IAZ55" s="44"/>
      <c r="IBA55" s="44"/>
      <c r="IBB55" s="44"/>
      <c r="IBC55" s="44"/>
      <c r="IBD55" s="44"/>
      <c r="IBE55" s="44"/>
      <c r="IBF55" s="44"/>
      <c r="IBG55" s="44"/>
      <c r="IBH55" s="44"/>
      <c r="IBI55" s="44"/>
      <c r="IBJ55" s="44"/>
      <c r="IBK55" s="44"/>
      <c r="IBL55" s="44"/>
      <c r="IBM55" s="44"/>
      <c r="IBN55" s="44"/>
      <c r="IBO55" s="44"/>
      <c r="IBP55" s="44"/>
      <c r="IBQ55" s="44"/>
      <c r="IBR55" s="44"/>
      <c r="IBS55" s="44"/>
      <c r="IBT55" s="44"/>
      <c r="IBU55" s="44"/>
      <c r="IBV55" s="44"/>
      <c r="IBW55" s="44"/>
      <c r="IBX55" s="44"/>
      <c r="IBY55" s="44"/>
      <c r="IBZ55" s="44"/>
      <c r="ICA55" s="44"/>
      <c r="ICB55" s="44"/>
      <c r="ICC55" s="44"/>
      <c r="ICD55" s="44"/>
      <c r="ICE55" s="44"/>
      <c r="ICF55" s="44"/>
      <c r="ICG55" s="44"/>
      <c r="ICH55" s="44"/>
      <c r="ICI55" s="44"/>
      <c r="ICJ55" s="44"/>
      <c r="ICK55" s="44"/>
      <c r="ICL55" s="44"/>
      <c r="ICM55" s="44"/>
      <c r="ICN55" s="44"/>
      <c r="ICO55" s="44"/>
      <c r="ICP55" s="44"/>
      <c r="ICQ55" s="44"/>
      <c r="ICR55" s="44"/>
      <c r="ICS55" s="44"/>
      <c r="ICT55" s="44"/>
      <c r="ICU55" s="44"/>
      <c r="ICV55" s="44"/>
      <c r="ICW55" s="44"/>
      <c r="ICX55" s="44"/>
      <c r="ICY55" s="44"/>
      <c r="ICZ55" s="44"/>
      <c r="IDA55" s="44"/>
      <c r="IDB55" s="44"/>
      <c r="IDC55" s="44"/>
      <c r="IDD55" s="44"/>
      <c r="IDE55" s="44"/>
      <c r="IDF55" s="44"/>
      <c r="IDG55" s="44"/>
      <c r="IDH55" s="44"/>
      <c r="IDI55" s="44"/>
      <c r="IDJ55" s="44"/>
      <c r="IDK55" s="44"/>
      <c r="IDL55" s="44"/>
      <c r="IDM55" s="44"/>
      <c r="IDN55" s="44"/>
      <c r="IDO55" s="44"/>
      <c r="IDP55" s="44"/>
      <c r="IDQ55" s="44"/>
      <c r="IDR55" s="44"/>
      <c r="IDS55" s="44"/>
      <c r="IDT55" s="44"/>
      <c r="IDU55" s="44"/>
      <c r="IDV55" s="44"/>
      <c r="IDW55" s="44"/>
      <c r="IDX55" s="44"/>
      <c r="IDY55" s="44"/>
      <c r="IDZ55" s="44"/>
      <c r="IEA55" s="44"/>
      <c r="IEB55" s="44"/>
      <c r="IEC55" s="44"/>
      <c r="IED55" s="44"/>
      <c r="IEE55" s="44"/>
      <c r="IEF55" s="44"/>
      <c r="IEG55" s="44"/>
      <c r="IEH55" s="44"/>
      <c r="IEI55" s="44"/>
      <c r="IEJ55" s="44"/>
      <c r="IEK55" s="44"/>
      <c r="IEL55" s="44"/>
      <c r="IEM55" s="44"/>
      <c r="IEN55" s="44"/>
      <c r="IEO55" s="44"/>
      <c r="IEP55" s="44"/>
      <c r="IEQ55" s="44"/>
      <c r="IER55" s="44"/>
      <c r="IES55" s="44"/>
      <c r="IET55" s="44"/>
      <c r="IEU55" s="44"/>
      <c r="IEV55" s="44"/>
      <c r="IEW55" s="44"/>
      <c r="IEX55" s="44"/>
      <c r="IEY55" s="44"/>
      <c r="IEZ55" s="44"/>
      <c r="IFA55" s="44"/>
      <c r="IFB55" s="44"/>
      <c r="IFC55" s="44"/>
      <c r="IFD55" s="44"/>
      <c r="IFE55" s="44"/>
      <c r="IFF55" s="44"/>
      <c r="IFG55" s="44"/>
      <c r="IFH55" s="44"/>
      <c r="IFI55" s="44"/>
      <c r="IFJ55" s="44"/>
      <c r="IFK55" s="44"/>
      <c r="IFL55" s="44"/>
      <c r="IFM55" s="44"/>
      <c r="IFN55" s="44"/>
      <c r="IFO55" s="44"/>
      <c r="IFP55" s="44"/>
      <c r="IFQ55" s="44"/>
      <c r="IFR55" s="44"/>
      <c r="IFS55" s="44"/>
      <c r="IFT55" s="44"/>
      <c r="IFU55" s="44"/>
      <c r="IFV55" s="44"/>
      <c r="IFW55" s="44"/>
      <c r="IFX55" s="44"/>
      <c r="IFY55" s="44"/>
      <c r="IFZ55" s="44"/>
      <c r="IGA55" s="44"/>
      <c r="IGB55" s="44"/>
      <c r="IGC55" s="44"/>
      <c r="IGD55" s="44"/>
      <c r="IGE55" s="44"/>
      <c r="IGF55" s="44"/>
      <c r="IGG55" s="44"/>
      <c r="IGH55" s="44"/>
      <c r="IGI55" s="44"/>
      <c r="IGJ55" s="44"/>
      <c r="IGK55" s="44"/>
      <c r="IGL55" s="44"/>
      <c r="IGM55" s="44"/>
      <c r="IGN55" s="44"/>
      <c r="IGO55" s="44"/>
      <c r="IGP55" s="44"/>
      <c r="IGQ55" s="44"/>
      <c r="IGR55" s="44"/>
      <c r="IGS55" s="44"/>
      <c r="IGT55" s="44"/>
      <c r="IGU55" s="44"/>
      <c r="IGV55" s="44"/>
      <c r="IGW55" s="44"/>
      <c r="IGX55" s="44"/>
      <c r="IGY55" s="44"/>
      <c r="IGZ55" s="44"/>
      <c r="IHA55" s="44"/>
      <c r="IHB55" s="44"/>
      <c r="IHC55" s="44"/>
      <c r="IHD55" s="44"/>
      <c r="IHE55" s="44"/>
      <c r="IHF55" s="44"/>
      <c r="IHG55" s="44"/>
      <c r="IHH55" s="44"/>
      <c r="IHI55" s="44"/>
      <c r="IHJ55" s="44"/>
      <c r="IHK55" s="44"/>
      <c r="IHL55" s="44"/>
      <c r="IHM55" s="44"/>
      <c r="IHN55" s="44"/>
      <c r="IHO55" s="44"/>
      <c r="IHP55" s="44"/>
      <c r="IHQ55" s="44"/>
      <c r="IHR55" s="44"/>
      <c r="IHS55" s="44"/>
      <c r="IHT55" s="44"/>
      <c r="IHU55" s="44"/>
      <c r="IHV55" s="44"/>
      <c r="IHW55" s="44"/>
      <c r="IHX55" s="44"/>
      <c r="IHY55" s="44"/>
      <c r="IHZ55" s="44"/>
      <c r="IIA55" s="44"/>
      <c r="IIB55" s="44"/>
      <c r="IIC55" s="44"/>
      <c r="IID55" s="44"/>
      <c r="IIE55" s="44"/>
      <c r="IIF55" s="44"/>
      <c r="IIG55" s="44"/>
      <c r="IIH55" s="44"/>
      <c r="III55" s="44"/>
      <c r="IIJ55" s="44"/>
      <c r="IIK55" s="44"/>
      <c r="IIL55" s="44"/>
      <c r="IIM55" s="44"/>
      <c r="IIN55" s="44"/>
      <c r="IIO55" s="44"/>
      <c r="IIP55" s="44"/>
      <c r="IIQ55" s="44"/>
      <c r="IIR55" s="44"/>
      <c r="IIS55" s="44"/>
      <c r="IIT55" s="44"/>
      <c r="IIU55" s="44"/>
      <c r="IIV55" s="44"/>
      <c r="IIW55" s="44"/>
      <c r="IIX55" s="44"/>
      <c r="IIY55" s="44"/>
      <c r="IIZ55" s="44"/>
      <c r="IJA55" s="44"/>
      <c r="IJB55" s="44"/>
      <c r="IJC55" s="44"/>
      <c r="IJD55" s="44"/>
      <c r="IJE55" s="44"/>
      <c r="IJF55" s="44"/>
      <c r="IJG55" s="44"/>
      <c r="IJH55" s="44"/>
      <c r="IJI55" s="44"/>
      <c r="IJJ55" s="44"/>
      <c r="IJK55" s="44"/>
      <c r="IJL55" s="44"/>
      <c r="IJM55" s="44"/>
      <c r="IJN55" s="44"/>
      <c r="IJO55" s="44"/>
      <c r="IJP55" s="44"/>
      <c r="IJQ55" s="44"/>
      <c r="IJR55" s="44"/>
      <c r="IJS55" s="44"/>
      <c r="IJT55" s="44"/>
      <c r="IJU55" s="44"/>
      <c r="IJV55" s="44"/>
      <c r="IJW55" s="44"/>
      <c r="IJX55" s="44"/>
      <c r="IJY55" s="44"/>
      <c r="IJZ55" s="44"/>
      <c r="IKA55" s="44"/>
      <c r="IKB55" s="44"/>
      <c r="IKC55" s="44"/>
      <c r="IKD55" s="44"/>
      <c r="IKE55" s="44"/>
      <c r="IKF55" s="44"/>
      <c r="IKG55" s="44"/>
      <c r="IKH55" s="44"/>
      <c r="IKI55" s="44"/>
      <c r="IKJ55" s="44"/>
      <c r="IKK55" s="44"/>
      <c r="IKL55" s="44"/>
      <c r="IKM55" s="44"/>
      <c r="IKN55" s="44"/>
      <c r="IKO55" s="44"/>
      <c r="IKP55" s="44"/>
      <c r="IKQ55" s="44"/>
      <c r="IKR55" s="44"/>
      <c r="IKS55" s="44"/>
      <c r="IKT55" s="44"/>
      <c r="IKU55" s="44"/>
      <c r="IKV55" s="44"/>
      <c r="IKW55" s="44"/>
      <c r="IKX55" s="44"/>
      <c r="IKY55" s="44"/>
      <c r="IKZ55" s="44"/>
      <c r="ILA55" s="44"/>
      <c r="ILB55" s="44"/>
      <c r="ILC55" s="44"/>
      <c r="ILD55" s="44"/>
      <c r="ILE55" s="44"/>
      <c r="ILF55" s="44"/>
      <c r="ILG55" s="44"/>
      <c r="ILH55" s="44"/>
      <c r="ILI55" s="44"/>
      <c r="ILJ55" s="44"/>
      <c r="ILK55" s="44"/>
      <c r="ILL55" s="44"/>
      <c r="ILM55" s="44"/>
      <c r="ILN55" s="44"/>
      <c r="ILO55" s="44"/>
      <c r="ILP55" s="44"/>
      <c r="ILQ55" s="44"/>
      <c r="ILR55" s="44"/>
      <c r="ILS55" s="44"/>
      <c r="ILT55" s="44"/>
      <c r="ILU55" s="44"/>
      <c r="ILV55" s="44"/>
      <c r="ILW55" s="44"/>
      <c r="ILX55" s="44"/>
      <c r="ILY55" s="44"/>
      <c r="ILZ55" s="44"/>
      <c r="IMA55" s="44"/>
      <c r="IMB55" s="44"/>
      <c r="IMC55" s="44"/>
      <c r="IMD55" s="44"/>
      <c r="IME55" s="44"/>
      <c r="IMF55" s="44"/>
      <c r="IMG55" s="44"/>
      <c r="IMH55" s="44"/>
      <c r="IMI55" s="44"/>
      <c r="IMJ55" s="44"/>
      <c r="IMK55" s="44"/>
      <c r="IML55" s="44"/>
      <c r="IMM55" s="44"/>
      <c r="IMN55" s="44"/>
      <c r="IMO55" s="44"/>
      <c r="IMP55" s="44"/>
      <c r="IMQ55" s="44"/>
      <c r="IMR55" s="44"/>
      <c r="IMS55" s="44"/>
      <c r="IMT55" s="44"/>
      <c r="IMU55" s="44"/>
      <c r="IMV55" s="44"/>
      <c r="IMW55" s="44"/>
      <c r="IMX55" s="44"/>
      <c r="IMY55" s="44"/>
      <c r="IMZ55" s="44"/>
      <c r="INA55" s="44"/>
      <c r="INB55" s="44"/>
      <c r="INC55" s="44"/>
      <c r="IND55" s="44"/>
      <c r="INE55" s="44"/>
      <c r="INF55" s="44"/>
      <c r="ING55" s="44"/>
      <c r="INH55" s="44"/>
      <c r="INI55" s="44"/>
      <c r="INJ55" s="44"/>
      <c r="INK55" s="44"/>
      <c r="INL55" s="44"/>
      <c r="INM55" s="44"/>
      <c r="INN55" s="44"/>
      <c r="INO55" s="44"/>
      <c r="INP55" s="44"/>
      <c r="INQ55" s="44"/>
      <c r="INR55" s="44"/>
      <c r="INS55" s="44"/>
      <c r="INT55" s="44"/>
      <c r="INU55" s="44"/>
      <c r="INV55" s="44"/>
      <c r="INW55" s="44"/>
      <c r="INX55" s="44"/>
      <c r="INY55" s="44"/>
      <c r="INZ55" s="44"/>
      <c r="IOA55" s="44"/>
      <c r="IOB55" s="44"/>
      <c r="IOC55" s="44"/>
      <c r="IOD55" s="44"/>
      <c r="IOE55" s="44"/>
      <c r="IOF55" s="44"/>
      <c r="IOG55" s="44"/>
      <c r="IOH55" s="44"/>
      <c r="IOI55" s="44"/>
      <c r="IOJ55" s="44"/>
      <c r="IOK55" s="44"/>
      <c r="IOL55" s="44"/>
      <c r="IOM55" s="44"/>
      <c r="ION55" s="44"/>
      <c r="IOO55" s="44"/>
      <c r="IOP55" s="44"/>
      <c r="IOQ55" s="44"/>
      <c r="IOR55" s="44"/>
      <c r="IOS55" s="44"/>
      <c r="IOT55" s="44"/>
      <c r="IOU55" s="44"/>
      <c r="IOV55" s="44"/>
      <c r="IOW55" s="44"/>
      <c r="IOX55" s="44"/>
      <c r="IOY55" s="44"/>
      <c r="IOZ55" s="44"/>
      <c r="IPA55" s="44"/>
      <c r="IPB55" s="44"/>
      <c r="IPC55" s="44"/>
      <c r="IPD55" s="44"/>
      <c r="IPE55" s="44"/>
      <c r="IPF55" s="44"/>
      <c r="IPG55" s="44"/>
      <c r="IPH55" s="44"/>
      <c r="IPI55" s="44"/>
      <c r="IPJ55" s="44"/>
      <c r="IPK55" s="44"/>
      <c r="IPL55" s="44"/>
      <c r="IPM55" s="44"/>
      <c r="IPN55" s="44"/>
      <c r="IPO55" s="44"/>
      <c r="IPP55" s="44"/>
      <c r="IPQ55" s="44"/>
      <c r="IPR55" s="44"/>
      <c r="IPS55" s="44"/>
      <c r="IPT55" s="44"/>
      <c r="IPU55" s="44"/>
      <c r="IPV55" s="44"/>
      <c r="IPW55" s="44"/>
      <c r="IPX55" s="44"/>
      <c r="IPY55" s="44"/>
      <c r="IPZ55" s="44"/>
      <c r="IQA55" s="44"/>
      <c r="IQB55" s="44"/>
      <c r="IQC55" s="44"/>
      <c r="IQD55" s="44"/>
      <c r="IQE55" s="44"/>
      <c r="IQF55" s="44"/>
      <c r="IQG55" s="44"/>
      <c r="IQH55" s="44"/>
      <c r="IQI55" s="44"/>
      <c r="IQJ55" s="44"/>
      <c r="IQK55" s="44"/>
      <c r="IQL55" s="44"/>
      <c r="IQM55" s="44"/>
      <c r="IQN55" s="44"/>
      <c r="IQO55" s="44"/>
      <c r="IQP55" s="44"/>
      <c r="IQQ55" s="44"/>
      <c r="IQR55" s="44"/>
      <c r="IQS55" s="44"/>
      <c r="IQT55" s="44"/>
      <c r="IQU55" s="44"/>
      <c r="IQV55" s="44"/>
      <c r="IQW55" s="44"/>
      <c r="IQX55" s="44"/>
      <c r="IQY55" s="44"/>
      <c r="IQZ55" s="44"/>
      <c r="IRA55" s="44"/>
      <c r="IRB55" s="44"/>
      <c r="IRC55" s="44"/>
      <c r="IRD55" s="44"/>
      <c r="IRE55" s="44"/>
      <c r="IRF55" s="44"/>
      <c r="IRG55" s="44"/>
      <c r="IRH55" s="44"/>
      <c r="IRI55" s="44"/>
      <c r="IRJ55" s="44"/>
      <c r="IRK55" s="44"/>
      <c r="IRL55" s="44"/>
      <c r="IRM55" s="44"/>
      <c r="IRN55" s="44"/>
      <c r="IRO55" s="44"/>
      <c r="IRP55" s="44"/>
      <c r="IRQ55" s="44"/>
      <c r="IRR55" s="44"/>
      <c r="IRS55" s="44"/>
      <c r="IRT55" s="44"/>
      <c r="IRU55" s="44"/>
      <c r="IRV55" s="44"/>
      <c r="IRW55" s="44"/>
      <c r="IRX55" s="44"/>
      <c r="IRY55" s="44"/>
      <c r="IRZ55" s="44"/>
      <c r="ISA55" s="44"/>
      <c r="ISB55" s="44"/>
      <c r="ISC55" s="44"/>
      <c r="ISD55" s="44"/>
      <c r="ISE55" s="44"/>
      <c r="ISF55" s="44"/>
      <c r="ISG55" s="44"/>
      <c r="ISH55" s="44"/>
      <c r="ISI55" s="44"/>
      <c r="ISJ55" s="44"/>
      <c r="ISK55" s="44"/>
      <c r="ISL55" s="44"/>
      <c r="ISM55" s="44"/>
      <c r="ISN55" s="44"/>
      <c r="ISO55" s="44"/>
      <c r="ISP55" s="44"/>
      <c r="ISQ55" s="44"/>
      <c r="ISR55" s="44"/>
      <c r="ISS55" s="44"/>
      <c r="IST55" s="44"/>
      <c r="ISU55" s="44"/>
      <c r="ISV55" s="44"/>
      <c r="ISW55" s="44"/>
      <c r="ISX55" s="44"/>
      <c r="ISY55" s="44"/>
      <c r="ISZ55" s="44"/>
      <c r="ITA55" s="44"/>
      <c r="ITB55" s="44"/>
      <c r="ITC55" s="44"/>
      <c r="ITD55" s="44"/>
      <c r="ITE55" s="44"/>
      <c r="ITF55" s="44"/>
      <c r="ITG55" s="44"/>
      <c r="ITH55" s="44"/>
      <c r="ITI55" s="44"/>
      <c r="ITJ55" s="44"/>
      <c r="ITK55" s="44"/>
      <c r="ITL55" s="44"/>
      <c r="ITM55" s="44"/>
      <c r="ITN55" s="44"/>
      <c r="ITO55" s="44"/>
      <c r="ITP55" s="44"/>
      <c r="ITQ55" s="44"/>
      <c r="ITR55" s="44"/>
      <c r="ITS55" s="44"/>
      <c r="ITT55" s="44"/>
      <c r="ITU55" s="44"/>
      <c r="ITV55" s="44"/>
      <c r="ITW55" s="44"/>
      <c r="ITX55" s="44"/>
      <c r="ITY55" s="44"/>
      <c r="ITZ55" s="44"/>
      <c r="IUA55" s="44"/>
      <c r="IUB55" s="44"/>
      <c r="IUC55" s="44"/>
      <c r="IUD55" s="44"/>
      <c r="IUE55" s="44"/>
      <c r="IUF55" s="44"/>
      <c r="IUG55" s="44"/>
      <c r="IUH55" s="44"/>
      <c r="IUI55" s="44"/>
      <c r="IUJ55" s="44"/>
      <c r="IUK55" s="44"/>
      <c r="IUL55" s="44"/>
      <c r="IUM55" s="44"/>
      <c r="IUN55" s="44"/>
      <c r="IUO55" s="44"/>
      <c r="IUP55" s="44"/>
      <c r="IUQ55" s="44"/>
      <c r="IUR55" s="44"/>
      <c r="IUS55" s="44"/>
      <c r="IUT55" s="44"/>
      <c r="IUU55" s="44"/>
      <c r="IUV55" s="44"/>
      <c r="IUW55" s="44"/>
      <c r="IUX55" s="44"/>
      <c r="IUY55" s="44"/>
      <c r="IUZ55" s="44"/>
      <c r="IVA55" s="44"/>
      <c r="IVB55" s="44"/>
      <c r="IVC55" s="44"/>
      <c r="IVD55" s="44"/>
      <c r="IVE55" s="44"/>
      <c r="IVF55" s="44"/>
      <c r="IVG55" s="44"/>
      <c r="IVH55" s="44"/>
      <c r="IVI55" s="44"/>
      <c r="IVJ55" s="44"/>
      <c r="IVK55" s="44"/>
      <c r="IVL55" s="44"/>
      <c r="IVM55" s="44"/>
      <c r="IVN55" s="44"/>
      <c r="IVO55" s="44"/>
      <c r="IVP55" s="44"/>
      <c r="IVQ55" s="44"/>
      <c r="IVR55" s="44"/>
      <c r="IVS55" s="44"/>
      <c r="IVT55" s="44"/>
      <c r="IVU55" s="44"/>
      <c r="IVV55" s="44"/>
      <c r="IVW55" s="44"/>
      <c r="IVX55" s="44"/>
      <c r="IVY55" s="44"/>
      <c r="IVZ55" s="44"/>
      <c r="IWA55" s="44"/>
      <c r="IWB55" s="44"/>
      <c r="IWC55" s="44"/>
      <c r="IWD55" s="44"/>
      <c r="IWE55" s="44"/>
      <c r="IWF55" s="44"/>
      <c r="IWG55" s="44"/>
      <c r="IWH55" s="44"/>
      <c r="IWI55" s="44"/>
      <c r="IWJ55" s="44"/>
      <c r="IWK55" s="44"/>
      <c r="IWL55" s="44"/>
      <c r="IWM55" s="44"/>
      <c r="IWN55" s="44"/>
      <c r="IWO55" s="44"/>
      <c r="IWP55" s="44"/>
      <c r="IWQ55" s="44"/>
      <c r="IWR55" s="44"/>
      <c r="IWS55" s="44"/>
      <c r="IWT55" s="44"/>
      <c r="IWU55" s="44"/>
      <c r="IWV55" s="44"/>
      <c r="IWW55" s="44"/>
      <c r="IWX55" s="44"/>
      <c r="IWY55" s="44"/>
      <c r="IWZ55" s="44"/>
      <c r="IXA55" s="44"/>
      <c r="IXB55" s="44"/>
      <c r="IXC55" s="44"/>
      <c r="IXD55" s="44"/>
      <c r="IXE55" s="44"/>
      <c r="IXF55" s="44"/>
      <c r="IXG55" s="44"/>
      <c r="IXH55" s="44"/>
      <c r="IXI55" s="44"/>
      <c r="IXJ55" s="44"/>
      <c r="IXK55" s="44"/>
      <c r="IXL55" s="44"/>
      <c r="IXM55" s="44"/>
      <c r="IXN55" s="44"/>
      <c r="IXO55" s="44"/>
      <c r="IXP55" s="44"/>
      <c r="IXQ55" s="44"/>
      <c r="IXR55" s="44"/>
      <c r="IXS55" s="44"/>
      <c r="IXT55" s="44"/>
      <c r="IXU55" s="44"/>
      <c r="IXV55" s="44"/>
      <c r="IXW55" s="44"/>
      <c r="IXX55" s="44"/>
      <c r="IXY55" s="44"/>
      <c r="IXZ55" s="44"/>
      <c r="IYA55" s="44"/>
      <c r="IYB55" s="44"/>
      <c r="IYC55" s="44"/>
      <c r="IYD55" s="44"/>
      <c r="IYE55" s="44"/>
      <c r="IYF55" s="44"/>
      <c r="IYG55" s="44"/>
      <c r="IYH55" s="44"/>
      <c r="IYI55" s="44"/>
      <c r="IYJ55" s="44"/>
      <c r="IYK55" s="44"/>
      <c r="IYL55" s="44"/>
      <c r="IYM55" s="44"/>
      <c r="IYN55" s="44"/>
      <c r="IYO55" s="44"/>
      <c r="IYP55" s="44"/>
      <c r="IYQ55" s="44"/>
      <c r="IYR55" s="44"/>
      <c r="IYS55" s="44"/>
      <c r="IYT55" s="44"/>
      <c r="IYU55" s="44"/>
      <c r="IYV55" s="44"/>
      <c r="IYW55" s="44"/>
      <c r="IYX55" s="44"/>
      <c r="IYY55" s="44"/>
      <c r="IYZ55" s="44"/>
      <c r="IZA55" s="44"/>
      <c r="IZB55" s="44"/>
      <c r="IZC55" s="44"/>
      <c r="IZD55" s="44"/>
      <c r="IZE55" s="44"/>
      <c r="IZF55" s="44"/>
      <c r="IZG55" s="44"/>
      <c r="IZH55" s="44"/>
      <c r="IZI55" s="44"/>
      <c r="IZJ55" s="44"/>
      <c r="IZK55" s="44"/>
      <c r="IZL55" s="44"/>
      <c r="IZM55" s="44"/>
      <c r="IZN55" s="44"/>
      <c r="IZO55" s="44"/>
      <c r="IZP55" s="44"/>
      <c r="IZQ55" s="44"/>
      <c r="IZR55" s="44"/>
      <c r="IZS55" s="44"/>
      <c r="IZT55" s="44"/>
      <c r="IZU55" s="44"/>
      <c r="IZV55" s="44"/>
      <c r="IZW55" s="44"/>
      <c r="IZX55" s="44"/>
      <c r="IZY55" s="44"/>
      <c r="IZZ55" s="44"/>
      <c r="JAA55" s="44"/>
      <c r="JAB55" s="44"/>
      <c r="JAC55" s="44"/>
      <c r="JAD55" s="44"/>
      <c r="JAE55" s="44"/>
      <c r="JAF55" s="44"/>
      <c r="JAG55" s="44"/>
      <c r="JAH55" s="44"/>
      <c r="JAI55" s="44"/>
      <c r="JAJ55" s="44"/>
      <c r="JAK55" s="44"/>
      <c r="JAL55" s="44"/>
      <c r="JAM55" s="44"/>
      <c r="JAN55" s="44"/>
      <c r="JAO55" s="44"/>
      <c r="JAP55" s="44"/>
      <c r="JAQ55" s="44"/>
      <c r="JAR55" s="44"/>
      <c r="JAS55" s="44"/>
      <c r="JAT55" s="44"/>
      <c r="JAU55" s="44"/>
      <c r="JAV55" s="44"/>
      <c r="JAW55" s="44"/>
      <c r="JAX55" s="44"/>
      <c r="JAY55" s="44"/>
      <c r="JAZ55" s="44"/>
      <c r="JBA55" s="44"/>
      <c r="JBB55" s="44"/>
      <c r="JBC55" s="44"/>
      <c r="JBD55" s="44"/>
      <c r="JBE55" s="44"/>
      <c r="JBF55" s="44"/>
      <c r="JBG55" s="44"/>
      <c r="JBH55" s="44"/>
      <c r="JBI55" s="44"/>
      <c r="JBJ55" s="44"/>
      <c r="JBK55" s="44"/>
      <c r="JBL55" s="44"/>
      <c r="JBM55" s="44"/>
      <c r="JBN55" s="44"/>
      <c r="JBO55" s="44"/>
      <c r="JBP55" s="44"/>
      <c r="JBQ55" s="44"/>
      <c r="JBR55" s="44"/>
      <c r="JBS55" s="44"/>
      <c r="JBT55" s="44"/>
      <c r="JBU55" s="44"/>
      <c r="JBV55" s="44"/>
      <c r="JBW55" s="44"/>
      <c r="JBX55" s="44"/>
      <c r="JBY55" s="44"/>
      <c r="JBZ55" s="44"/>
      <c r="JCA55" s="44"/>
      <c r="JCB55" s="44"/>
      <c r="JCC55" s="44"/>
      <c r="JCD55" s="44"/>
      <c r="JCE55" s="44"/>
      <c r="JCF55" s="44"/>
      <c r="JCG55" s="44"/>
      <c r="JCH55" s="44"/>
      <c r="JCI55" s="44"/>
      <c r="JCJ55" s="44"/>
      <c r="JCK55" s="44"/>
      <c r="JCL55" s="44"/>
      <c r="JCM55" s="44"/>
      <c r="JCN55" s="44"/>
      <c r="JCO55" s="44"/>
      <c r="JCP55" s="44"/>
      <c r="JCQ55" s="44"/>
      <c r="JCR55" s="44"/>
      <c r="JCS55" s="44"/>
      <c r="JCT55" s="44"/>
      <c r="JCU55" s="44"/>
      <c r="JCV55" s="44"/>
      <c r="JCW55" s="44"/>
      <c r="JCX55" s="44"/>
      <c r="JCY55" s="44"/>
      <c r="JCZ55" s="44"/>
      <c r="JDA55" s="44"/>
      <c r="JDB55" s="44"/>
      <c r="JDC55" s="44"/>
      <c r="JDD55" s="44"/>
      <c r="JDE55" s="44"/>
      <c r="JDF55" s="44"/>
      <c r="JDG55" s="44"/>
      <c r="JDH55" s="44"/>
      <c r="JDI55" s="44"/>
      <c r="JDJ55" s="44"/>
      <c r="JDK55" s="44"/>
      <c r="JDL55" s="44"/>
      <c r="JDM55" s="44"/>
      <c r="JDN55" s="44"/>
      <c r="JDO55" s="44"/>
      <c r="JDP55" s="44"/>
      <c r="JDQ55" s="44"/>
      <c r="JDR55" s="44"/>
      <c r="JDS55" s="44"/>
      <c r="JDT55" s="44"/>
      <c r="JDU55" s="44"/>
      <c r="JDV55" s="44"/>
      <c r="JDW55" s="44"/>
      <c r="JDX55" s="44"/>
      <c r="JDY55" s="44"/>
      <c r="JDZ55" s="44"/>
      <c r="JEA55" s="44"/>
      <c r="JEB55" s="44"/>
      <c r="JEC55" s="44"/>
      <c r="JED55" s="44"/>
      <c r="JEE55" s="44"/>
      <c r="JEF55" s="44"/>
      <c r="JEG55" s="44"/>
      <c r="JEH55" s="44"/>
      <c r="JEI55" s="44"/>
      <c r="JEJ55" s="44"/>
      <c r="JEK55" s="44"/>
      <c r="JEL55" s="44"/>
      <c r="JEM55" s="44"/>
      <c r="JEN55" s="44"/>
      <c r="JEO55" s="44"/>
      <c r="JEP55" s="44"/>
      <c r="JEQ55" s="44"/>
      <c r="JER55" s="44"/>
      <c r="JES55" s="44"/>
      <c r="JET55" s="44"/>
      <c r="JEU55" s="44"/>
      <c r="JEV55" s="44"/>
      <c r="JEW55" s="44"/>
      <c r="JEX55" s="44"/>
      <c r="JEY55" s="44"/>
      <c r="JEZ55" s="44"/>
      <c r="JFA55" s="44"/>
      <c r="JFB55" s="44"/>
      <c r="JFC55" s="44"/>
      <c r="JFD55" s="44"/>
      <c r="JFE55" s="44"/>
      <c r="JFF55" s="44"/>
      <c r="JFG55" s="44"/>
      <c r="JFH55" s="44"/>
      <c r="JFI55" s="44"/>
      <c r="JFJ55" s="44"/>
      <c r="JFK55" s="44"/>
      <c r="JFL55" s="44"/>
      <c r="JFM55" s="44"/>
      <c r="JFN55" s="44"/>
      <c r="JFO55" s="44"/>
      <c r="JFP55" s="44"/>
      <c r="JFQ55" s="44"/>
      <c r="JFR55" s="44"/>
      <c r="JFS55" s="44"/>
      <c r="JFT55" s="44"/>
      <c r="JFU55" s="44"/>
      <c r="JFV55" s="44"/>
      <c r="JFW55" s="44"/>
      <c r="JFX55" s="44"/>
      <c r="JFY55" s="44"/>
      <c r="JFZ55" s="44"/>
      <c r="JGA55" s="44"/>
      <c r="JGB55" s="44"/>
      <c r="JGC55" s="44"/>
      <c r="JGD55" s="44"/>
      <c r="JGE55" s="44"/>
      <c r="JGF55" s="44"/>
      <c r="JGG55" s="44"/>
      <c r="JGH55" s="44"/>
      <c r="JGI55" s="44"/>
      <c r="JGJ55" s="44"/>
      <c r="JGK55" s="44"/>
      <c r="JGL55" s="44"/>
      <c r="JGM55" s="44"/>
      <c r="JGN55" s="44"/>
      <c r="JGO55" s="44"/>
      <c r="JGP55" s="44"/>
      <c r="JGQ55" s="44"/>
      <c r="JGR55" s="44"/>
      <c r="JGS55" s="44"/>
      <c r="JGT55" s="44"/>
      <c r="JGU55" s="44"/>
      <c r="JGV55" s="44"/>
      <c r="JGW55" s="44"/>
      <c r="JGX55" s="44"/>
      <c r="JGY55" s="44"/>
      <c r="JGZ55" s="44"/>
      <c r="JHA55" s="44"/>
      <c r="JHB55" s="44"/>
      <c r="JHC55" s="44"/>
      <c r="JHD55" s="44"/>
      <c r="JHE55" s="44"/>
      <c r="JHF55" s="44"/>
      <c r="JHG55" s="44"/>
      <c r="JHH55" s="44"/>
      <c r="JHI55" s="44"/>
      <c r="JHJ55" s="44"/>
      <c r="JHK55" s="44"/>
      <c r="JHL55" s="44"/>
      <c r="JHM55" s="44"/>
      <c r="JHN55" s="44"/>
      <c r="JHO55" s="44"/>
      <c r="JHP55" s="44"/>
      <c r="JHQ55" s="44"/>
      <c r="JHR55" s="44"/>
      <c r="JHS55" s="44"/>
      <c r="JHT55" s="44"/>
      <c r="JHU55" s="44"/>
      <c r="JHV55" s="44"/>
      <c r="JHW55" s="44"/>
      <c r="JHX55" s="44"/>
      <c r="JHY55" s="44"/>
      <c r="JHZ55" s="44"/>
      <c r="JIA55" s="44"/>
      <c r="JIB55" s="44"/>
      <c r="JIC55" s="44"/>
      <c r="JID55" s="44"/>
      <c r="JIE55" s="44"/>
      <c r="JIF55" s="44"/>
      <c r="JIG55" s="44"/>
      <c r="JIH55" s="44"/>
      <c r="JII55" s="44"/>
      <c r="JIJ55" s="44"/>
      <c r="JIK55" s="44"/>
      <c r="JIL55" s="44"/>
      <c r="JIM55" s="44"/>
      <c r="JIN55" s="44"/>
      <c r="JIO55" s="44"/>
      <c r="JIP55" s="44"/>
      <c r="JIQ55" s="44"/>
      <c r="JIR55" s="44"/>
      <c r="JIS55" s="44"/>
      <c r="JIT55" s="44"/>
      <c r="JIU55" s="44"/>
      <c r="JIV55" s="44"/>
      <c r="JIW55" s="44"/>
      <c r="JIX55" s="44"/>
      <c r="JIY55" s="44"/>
      <c r="JIZ55" s="44"/>
      <c r="JJA55" s="44"/>
      <c r="JJB55" s="44"/>
      <c r="JJC55" s="44"/>
      <c r="JJD55" s="44"/>
      <c r="JJE55" s="44"/>
      <c r="JJF55" s="44"/>
      <c r="JJG55" s="44"/>
      <c r="JJH55" s="44"/>
      <c r="JJI55" s="44"/>
      <c r="JJJ55" s="44"/>
      <c r="JJK55" s="44"/>
      <c r="JJL55" s="44"/>
      <c r="JJM55" s="44"/>
      <c r="JJN55" s="44"/>
      <c r="JJO55" s="44"/>
      <c r="JJP55" s="44"/>
      <c r="JJQ55" s="44"/>
      <c r="JJR55" s="44"/>
      <c r="JJS55" s="44"/>
      <c r="JJT55" s="44"/>
      <c r="JJU55" s="44"/>
      <c r="JJV55" s="44"/>
      <c r="JJW55" s="44"/>
      <c r="JJX55" s="44"/>
      <c r="JJY55" s="44"/>
      <c r="JJZ55" s="44"/>
      <c r="JKA55" s="44"/>
      <c r="JKB55" s="44"/>
      <c r="JKC55" s="44"/>
      <c r="JKD55" s="44"/>
      <c r="JKE55" s="44"/>
      <c r="JKF55" s="44"/>
      <c r="JKG55" s="44"/>
      <c r="JKH55" s="44"/>
      <c r="JKI55" s="44"/>
      <c r="JKJ55" s="44"/>
      <c r="JKK55" s="44"/>
      <c r="JKL55" s="44"/>
      <c r="JKM55" s="44"/>
      <c r="JKN55" s="44"/>
      <c r="JKO55" s="44"/>
      <c r="JKP55" s="44"/>
      <c r="JKQ55" s="44"/>
      <c r="JKR55" s="44"/>
      <c r="JKS55" s="44"/>
      <c r="JKT55" s="44"/>
      <c r="JKU55" s="44"/>
      <c r="JKV55" s="44"/>
      <c r="JKW55" s="44"/>
      <c r="JKX55" s="44"/>
      <c r="JKY55" s="44"/>
      <c r="JKZ55" s="44"/>
      <c r="JLA55" s="44"/>
      <c r="JLB55" s="44"/>
      <c r="JLC55" s="44"/>
      <c r="JLD55" s="44"/>
      <c r="JLE55" s="44"/>
      <c r="JLF55" s="44"/>
      <c r="JLG55" s="44"/>
      <c r="JLH55" s="44"/>
      <c r="JLI55" s="44"/>
      <c r="JLJ55" s="44"/>
      <c r="JLK55" s="44"/>
      <c r="JLL55" s="44"/>
      <c r="JLM55" s="44"/>
      <c r="JLN55" s="44"/>
      <c r="JLO55" s="44"/>
      <c r="JLP55" s="44"/>
      <c r="JLQ55" s="44"/>
      <c r="JLR55" s="44"/>
      <c r="JLS55" s="44"/>
      <c r="JLT55" s="44"/>
      <c r="JLU55" s="44"/>
      <c r="JLV55" s="44"/>
      <c r="JLW55" s="44"/>
      <c r="JLX55" s="44"/>
      <c r="JLY55" s="44"/>
      <c r="JLZ55" s="44"/>
      <c r="JMA55" s="44"/>
      <c r="JMB55" s="44"/>
      <c r="JMC55" s="44"/>
      <c r="JMD55" s="44"/>
      <c r="JME55" s="44"/>
      <c r="JMF55" s="44"/>
      <c r="JMG55" s="44"/>
      <c r="JMH55" s="44"/>
      <c r="JMI55" s="44"/>
      <c r="JMJ55" s="44"/>
      <c r="JMK55" s="44"/>
      <c r="JML55" s="44"/>
      <c r="JMM55" s="44"/>
      <c r="JMN55" s="44"/>
      <c r="JMO55" s="44"/>
      <c r="JMP55" s="44"/>
      <c r="JMQ55" s="44"/>
      <c r="JMR55" s="44"/>
      <c r="JMS55" s="44"/>
      <c r="JMT55" s="44"/>
      <c r="JMU55" s="44"/>
      <c r="JMV55" s="44"/>
      <c r="JMW55" s="44"/>
      <c r="JMX55" s="44"/>
      <c r="JMY55" s="44"/>
      <c r="JMZ55" s="44"/>
      <c r="JNA55" s="44"/>
      <c r="JNB55" s="44"/>
      <c r="JNC55" s="44"/>
      <c r="JND55" s="44"/>
      <c r="JNE55" s="44"/>
      <c r="JNF55" s="44"/>
      <c r="JNG55" s="44"/>
      <c r="JNH55" s="44"/>
      <c r="JNI55" s="44"/>
      <c r="JNJ55" s="44"/>
      <c r="JNK55" s="44"/>
      <c r="JNL55" s="44"/>
      <c r="JNM55" s="44"/>
      <c r="JNN55" s="44"/>
      <c r="JNO55" s="44"/>
      <c r="JNP55" s="44"/>
      <c r="JNQ55" s="44"/>
      <c r="JNR55" s="44"/>
      <c r="JNS55" s="44"/>
      <c r="JNT55" s="44"/>
      <c r="JNU55" s="44"/>
      <c r="JNV55" s="44"/>
      <c r="JNW55" s="44"/>
      <c r="JNX55" s="44"/>
      <c r="JNY55" s="44"/>
      <c r="JNZ55" s="44"/>
      <c r="JOA55" s="44"/>
      <c r="JOB55" s="44"/>
      <c r="JOC55" s="44"/>
      <c r="JOD55" s="44"/>
      <c r="JOE55" s="44"/>
      <c r="JOF55" s="44"/>
      <c r="JOG55" s="44"/>
      <c r="JOH55" s="44"/>
      <c r="JOI55" s="44"/>
      <c r="JOJ55" s="44"/>
      <c r="JOK55" s="44"/>
      <c r="JOL55" s="44"/>
      <c r="JOM55" s="44"/>
      <c r="JON55" s="44"/>
      <c r="JOO55" s="44"/>
      <c r="JOP55" s="44"/>
      <c r="JOQ55" s="44"/>
      <c r="JOR55" s="44"/>
      <c r="JOS55" s="44"/>
      <c r="JOT55" s="44"/>
      <c r="JOU55" s="44"/>
      <c r="JOV55" s="44"/>
      <c r="JOW55" s="44"/>
      <c r="JOX55" s="44"/>
      <c r="JOY55" s="44"/>
      <c r="JOZ55" s="44"/>
      <c r="JPA55" s="44"/>
      <c r="JPB55" s="44"/>
      <c r="JPC55" s="44"/>
      <c r="JPD55" s="44"/>
      <c r="JPE55" s="44"/>
      <c r="JPF55" s="44"/>
      <c r="JPG55" s="44"/>
      <c r="JPH55" s="44"/>
      <c r="JPI55" s="44"/>
      <c r="JPJ55" s="44"/>
      <c r="JPK55" s="44"/>
      <c r="JPL55" s="44"/>
      <c r="JPM55" s="44"/>
      <c r="JPN55" s="44"/>
      <c r="JPO55" s="44"/>
      <c r="JPP55" s="44"/>
      <c r="JPQ55" s="44"/>
      <c r="JPR55" s="44"/>
      <c r="JPS55" s="44"/>
      <c r="JPT55" s="44"/>
      <c r="JPU55" s="44"/>
      <c r="JPV55" s="44"/>
      <c r="JPW55" s="44"/>
      <c r="JPX55" s="44"/>
      <c r="JPY55" s="44"/>
      <c r="JPZ55" s="44"/>
      <c r="JQA55" s="44"/>
      <c r="JQB55" s="44"/>
      <c r="JQC55" s="44"/>
      <c r="JQD55" s="44"/>
      <c r="JQE55" s="44"/>
      <c r="JQF55" s="44"/>
      <c r="JQG55" s="44"/>
      <c r="JQH55" s="44"/>
      <c r="JQI55" s="44"/>
      <c r="JQJ55" s="44"/>
      <c r="JQK55" s="44"/>
      <c r="JQL55" s="44"/>
      <c r="JQM55" s="44"/>
      <c r="JQN55" s="44"/>
      <c r="JQO55" s="44"/>
      <c r="JQP55" s="44"/>
      <c r="JQQ55" s="44"/>
      <c r="JQR55" s="44"/>
      <c r="JQS55" s="44"/>
      <c r="JQT55" s="44"/>
      <c r="JQU55" s="44"/>
      <c r="JQV55" s="44"/>
      <c r="JQW55" s="44"/>
      <c r="JQX55" s="44"/>
      <c r="JQY55" s="44"/>
      <c r="JQZ55" s="44"/>
      <c r="JRA55" s="44"/>
      <c r="JRB55" s="44"/>
      <c r="JRC55" s="44"/>
      <c r="JRD55" s="44"/>
      <c r="JRE55" s="44"/>
      <c r="JRF55" s="44"/>
      <c r="JRG55" s="44"/>
      <c r="JRH55" s="44"/>
      <c r="JRI55" s="44"/>
      <c r="JRJ55" s="44"/>
      <c r="JRK55" s="44"/>
      <c r="JRL55" s="44"/>
      <c r="JRM55" s="44"/>
      <c r="JRN55" s="44"/>
      <c r="JRO55" s="44"/>
      <c r="JRP55" s="44"/>
      <c r="JRQ55" s="44"/>
      <c r="JRR55" s="44"/>
      <c r="JRS55" s="44"/>
      <c r="JRT55" s="44"/>
      <c r="JRU55" s="44"/>
      <c r="JRV55" s="44"/>
      <c r="JRW55" s="44"/>
      <c r="JRX55" s="44"/>
      <c r="JRY55" s="44"/>
      <c r="JRZ55" s="44"/>
      <c r="JSA55" s="44"/>
      <c r="JSB55" s="44"/>
      <c r="JSC55" s="44"/>
      <c r="JSD55" s="44"/>
      <c r="JSE55" s="44"/>
      <c r="JSF55" s="44"/>
      <c r="JSG55" s="44"/>
      <c r="JSH55" s="44"/>
      <c r="JSI55" s="44"/>
      <c r="JSJ55" s="44"/>
      <c r="JSK55" s="44"/>
      <c r="JSL55" s="44"/>
      <c r="JSM55" s="44"/>
      <c r="JSN55" s="44"/>
      <c r="JSO55" s="44"/>
      <c r="JSP55" s="44"/>
      <c r="JSQ55" s="44"/>
      <c r="JSR55" s="44"/>
      <c r="JSS55" s="44"/>
      <c r="JST55" s="44"/>
      <c r="JSU55" s="44"/>
      <c r="JSV55" s="44"/>
      <c r="JSW55" s="44"/>
      <c r="JSX55" s="44"/>
      <c r="JSY55" s="44"/>
      <c r="JSZ55" s="44"/>
      <c r="JTA55" s="44"/>
      <c r="JTB55" s="44"/>
      <c r="JTC55" s="44"/>
      <c r="JTD55" s="44"/>
      <c r="JTE55" s="44"/>
      <c r="JTF55" s="44"/>
      <c r="JTG55" s="44"/>
      <c r="JTH55" s="44"/>
      <c r="JTI55" s="44"/>
      <c r="JTJ55" s="44"/>
      <c r="JTK55" s="44"/>
      <c r="JTL55" s="44"/>
      <c r="JTM55" s="44"/>
      <c r="JTN55" s="44"/>
      <c r="JTO55" s="44"/>
      <c r="JTP55" s="44"/>
      <c r="JTQ55" s="44"/>
      <c r="JTR55" s="44"/>
      <c r="JTS55" s="44"/>
      <c r="JTT55" s="44"/>
      <c r="JTU55" s="44"/>
      <c r="JTV55" s="44"/>
      <c r="JTW55" s="44"/>
      <c r="JTX55" s="44"/>
      <c r="JTY55" s="44"/>
      <c r="JTZ55" s="44"/>
      <c r="JUA55" s="44"/>
      <c r="JUB55" s="44"/>
      <c r="JUC55" s="44"/>
      <c r="JUD55" s="44"/>
      <c r="JUE55" s="44"/>
      <c r="JUF55" s="44"/>
      <c r="JUG55" s="44"/>
      <c r="JUH55" s="44"/>
      <c r="JUI55" s="44"/>
      <c r="JUJ55" s="44"/>
      <c r="JUK55" s="44"/>
      <c r="JUL55" s="44"/>
      <c r="JUM55" s="44"/>
      <c r="JUN55" s="44"/>
      <c r="JUO55" s="44"/>
      <c r="JUP55" s="44"/>
      <c r="JUQ55" s="44"/>
      <c r="JUR55" s="44"/>
      <c r="JUS55" s="44"/>
      <c r="JUT55" s="44"/>
      <c r="JUU55" s="44"/>
      <c r="JUV55" s="44"/>
      <c r="JUW55" s="44"/>
      <c r="JUX55" s="44"/>
      <c r="JUY55" s="44"/>
      <c r="JUZ55" s="44"/>
      <c r="JVA55" s="44"/>
      <c r="JVB55" s="44"/>
      <c r="JVC55" s="44"/>
      <c r="JVD55" s="44"/>
      <c r="JVE55" s="44"/>
      <c r="JVF55" s="44"/>
      <c r="JVG55" s="44"/>
      <c r="JVH55" s="44"/>
      <c r="JVI55" s="44"/>
      <c r="JVJ55" s="44"/>
      <c r="JVK55" s="44"/>
      <c r="JVL55" s="44"/>
      <c r="JVM55" s="44"/>
      <c r="JVN55" s="44"/>
      <c r="JVO55" s="44"/>
      <c r="JVP55" s="44"/>
      <c r="JVQ55" s="44"/>
      <c r="JVR55" s="44"/>
      <c r="JVS55" s="44"/>
      <c r="JVT55" s="44"/>
      <c r="JVU55" s="44"/>
      <c r="JVV55" s="44"/>
      <c r="JVW55" s="44"/>
      <c r="JVX55" s="44"/>
      <c r="JVY55" s="44"/>
      <c r="JVZ55" s="44"/>
      <c r="JWA55" s="44"/>
      <c r="JWB55" s="44"/>
      <c r="JWC55" s="44"/>
      <c r="JWD55" s="44"/>
      <c r="JWE55" s="44"/>
      <c r="JWF55" s="44"/>
      <c r="JWG55" s="44"/>
      <c r="JWH55" s="44"/>
      <c r="JWI55" s="44"/>
      <c r="JWJ55" s="44"/>
      <c r="JWK55" s="44"/>
      <c r="JWL55" s="44"/>
      <c r="JWM55" s="44"/>
      <c r="JWN55" s="44"/>
      <c r="JWO55" s="44"/>
      <c r="JWP55" s="44"/>
      <c r="JWQ55" s="44"/>
      <c r="JWR55" s="44"/>
      <c r="JWS55" s="44"/>
      <c r="JWT55" s="44"/>
      <c r="JWU55" s="44"/>
      <c r="JWV55" s="44"/>
      <c r="JWW55" s="44"/>
      <c r="JWX55" s="44"/>
      <c r="JWY55" s="44"/>
      <c r="JWZ55" s="44"/>
      <c r="JXA55" s="44"/>
      <c r="JXB55" s="44"/>
      <c r="JXC55" s="44"/>
      <c r="JXD55" s="44"/>
      <c r="JXE55" s="44"/>
      <c r="JXF55" s="44"/>
      <c r="JXG55" s="44"/>
      <c r="JXH55" s="44"/>
      <c r="JXI55" s="44"/>
      <c r="JXJ55" s="44"/>
      <c r="JXK55" s="44"/>
      <c r="JXL55" s="44"/>
      <c r="JXM55" s="44"/>
      <c r="JXN55" s="44"/>
      <c r="JXO55" s="44"/>
      <c r="JXP55" s="44"/>
      <c r="JXQ55" s="44"/>
      <c r="JXR55" s="44"/>
      <c r="JXS55" s="44"/>
      <c r="JXT55" s="44"/>
      <c r="JXU55" s="44"/>
      <c r="JXV55" s="44"/>
      <c r="JXW55" s="44"/>
      <c r="JXX55" s="44"/>
      <c r="JXY55" s="44"/>
      <c r="JXZ55" s="44"/>
      <c r="JYA55" s="44"/>
      <c r="JYB55" s="44"/>
      <c r="JYC55" s="44"/>
      <c r="JYD55" s="44"/>
      <c r="JYE55" s="44"/>
      <c r="JYF55" s="44"/>
      <c r="JYG55" s="44"/>
      <c r="JYH55" s="44"/>
      <c r="JYI55" s="44"/>
      <c r="JYJ55" s="44"/>
      <c r="JYK55" s="44"/>
      <c r="JYL55" s="44"/>
      <c r="JYM55" s="44"/>
      <c r="JYN55" s="44"/>
      <c r="JYO55" s="44"/>
      <c r="JYP55" s="44"/>
      <c r="JYQ55" s="44"/>
      <c r="JYR55" s="44"/>
      <c r="JYS55" s="44"/>
      <c r="JYT55" s="44"/>
      <c r="JYU55" s="44"/>
      <c r="JYV55" s="44"/>
      <c r="JYW55" s="44"/>
      <c r="JYX55" s="44"/>
      <c r="JYY55" s="44"/>
      <c r="JYZ55" s="44"/>
      <c r="JZA55" s="44"/>
      <c r="JZB55" s="44"/>
      <c r="JZC55" s="44"/>
      <c r="JZD55" s="44"/>
      <c r="JZE55" s="44"/>
      <c r="JZF55" s="44"/>
      <c r="JZG55" s="44"/>
      <c r="JZH55" s="44"/>
      <c r="JZI55" s="44"/>
      <c r="JZJ55" s="44"/>
      <c r="JZK55" s="44"/>
      <c r="JZL55" s="44"/>
      <c r="JZM55" s="44"/>
      <c r="JZN55" s="44"/>
      <c r="JZO55" s="44"/>
      <c r="JZP55" s="44"/>
      <c r="JZQ55" s="44"/>
      <c r="JZR55" s="44"/>
      <c r="JZS55" s="44"/>
      <c r="JZT55" s="44"/>
      <c r="JZU55" s="44"/>
      <c r="JZV55" s="44"/>
      <c r="JZW55" s="44"/>
      <c r="JZX55" s="44"/>
      <c r="JZY55" s="44"/>
      <c r="JZZ55" s="44"/>
      <c r="KAA55" s="44"/>
      <c r="KAB55" s="44"/>
      <c r="KAC55" s="44"/>
      <c r="KAD55" s="44"/>
      <c r="KAE55" s="44"/>
      <c r="KAF55" s="44"/>
      <c r="KAG55" s="44"/>
      <c r="KAH55" s="44"/>
      <c r="KAI55" s="44"/>
      <c r="KAJ55" s="44"/>
      <c r="KAK55" s="44"/>
      <c r="KAL55" s="44"/>
      <c r="KAM55" s="44"/>
      <c r="KAN55" s="44"/>
      <c r="KAO55" s="44"/>
      <c r="KAP55" s="44"/>
      <c r="KAQ55" s="44"/>
      <c r="KAR55" s="44"/>
      <c r="KAS55" s="44"/>
      <c r="KAT55" s="44"/>
      <c r="KAU55" s="44"/>
      <c r="KAV55" s="44"/>
      <c r="KAW55" s="44"/>
      <c r="KAX55" s="44"/>
      <c r="KAY55" s="44"/>
      <c r="KAZ55" s="44"/>
      <c r="KBA55" s="44"/>
      <c r="KBB55" s="44"/>
      <c r="KBC55" s="44"/>
      <c r="KBD55" s="44"/>
      <c r="KBE55" s="44"/>
      <c r="KBF55" s="44"/>
      <c r="KBG55" s="44"/>
      <c r="KBH55" s="44"/>
      <c r="KBI55" s="44"/>
      <c r="KBJ55" s="44"/>
      <c r="KBK55" s="44"/>
      <c r="KBL55" s="44"/>
      <c r="KBM55" s="44"/>
      <c r="KBN55" s="44"/>
      <c r="KBO55" s="44"/>
      <c r="KBP55" s="44"/>
      <c r="KBQ55" s="44"/>
      <c r="KBR55" s="44"/>
      <c r="KBS55" s="44"/>
      <c r="KBT55" s="44"/>
      <c r="KBU55" s="44"/>
      <c r="KBV55" s="44"/>
      <c r="KBW55" s="44"/>
      <c r="KBX55" s="44"/>
      <c r="KBY55" s="44"/>
      <c r="KBZ55" s="44"/>
      <c r="KCA55" s="44"/>
      <c r="KCB55" s="44"/>
      <c r="KCC55" s="44"/>
      <c r="KCD55" s="44"/>
      <c r="KCE55" s="44"/>
      <c r="KCF55" s="44"/>
      <c r="KCG55" s="44"/>
      <c r="KCH55" s="44"/>
      <c r="KCI55" s="44"/>
      <c r="KCJ55" s="44"/>
      <c r="KCK55" s="44"/>
      <c r="KCL55" s="44"/>
      <c r="KCM55" s="44"/>
      <c r="KCN55" s="44"/>
      <c r="KCO55" s="44"/>
      <c r="KCP55" s="44"/>
      <c r="KCQ55" s="44"/>
      <c r="KCR55" s="44"/>
      <c r="KCS55" s="44"/>
      <c r="KCT55" s="44"/>
      <c r="KCU55" s="44"/>
      <c r="KCV55" s="44"/>
      <c r="KCW55" s="44"/>
      <c r="KCX55" s="44"/>
      <c r="KCY55" s="44"/>
      <c r="KCZ55" s="44"/>
      <c r="KDA55" s="44"/>
      <c r="KDB55" s="44"/>
      <c r="KDC55" s="44"/>
      <c r="KDD55" s="44"/>
      <c r="KDE55" s="44"/>
      <c r="KDF55" s="44"/>
      <c r="KDG55" s="44"/>
      <c r="KDH55" s="44"/>
      <c r="KDI55" s="44"/>
      <c r="KDJ55" s="44"/>
      <c r="KDK55" s="44"/>
      <c r="KDL55" s="44"/>
      <c r="KDM55" s="44"/>
      <c r="KDN55" s="44"/>
      <c r="KDO55" s="44"/>
      <c r="KDP55" s="44"/>
      <c r="KDQ55" s="44"/>
      <c r="KDR55" s="44"/>
      <c r="KDS55" s="44"/>
      <c r="KDT55" s="44"/>
      <c r="KDU55" s="44"/>
      <c r="KDV55" s="44"/>
      <c r="KDW55" s="44"/>
      <c r="KDX55" s="44"/>
      <c r="KDY55" s="44"/>
      <c r="KDZ55" s="44"/>
      <c r="KEA55" s="44"/>
      <c r="KEB55" s="44"/>
      <c r="KEC55" s="44"/>
      <c r="KED55" s="44"/>
      <c r="KEE55" s="44"/>
      <c r="KEF55" s="44"/>
      <c r="KEG55" s="44"/>
      <c r="KEH55" s="44"/>
      <c r="KEI55" s="44"/>
      <c r="KEJ55" s="44"/>
      <c r="KEK55" s="44"/>
      <c r="KEL55" s="44"/>
      <c r="KEM55" s="44"/>
      <c r="KEN55" s="44"/>
      <c r="KEO55" s="44"/>
      <c r="KEP55" s="44"/>
      <c r="KEQ55" s="44"/>
      <c r="KER55" s="44"/>
      <c r="KES55" s="44"/>
      <c r="KET55" s="44"/>
      <c r="KEU55" s="44"/>
      <c r="KEV55" s="44"/>
      <c r="KEW55" s="44"/>
      <c r="KEX55" s="44"/>
      <c r="KEY55" s="44"/>
      <c r="KEZ55" s="44"/>
      <c r="KFA55" s="44"/>
      <c r="KFB55" s="44"/>
      <c r="KFC55" s="44"/>
      <c r="KFD55" s="44"/>
      <c r="KFE55" s="44"/>
      <c r="KFF55" s="44"/>
      <c r="KFG55" s="44"/>
      <c r="KFH55" s="44"/>
      <c r="KFI55" s="44"/>
      <c r="KFJ55" s="44"/>
      <c r="KFK55" s="44"/>
      <c r="KFL55" s="44"/>
      <c r="KFM55" s="44"/>
      <c r="KFN55" s="44"/>
      <c r="KFO55" s="44"/>
      <c r="KFP55" s="44"/>
      <c r="KFQ55" s="44"/>
      <c r="KFR55" s="44"/>
      <c r="KFS55" s="44"/>
      <c r="KFT55" s="44"/>
      <c r="KFU55" s="44"/>
      <c r="KFV55" s="44"/>
      <c r="KFW55" s="44"/>
      <c r="KFX55" s="44"/>
      <c r="KFY55" s="44"/>
      <c r="KFZ55" s="44"/>
      <c r="KGA55" s="44"/>
      <c r="KGB55" s="44"/>
      <c r="KGC55" s="44"/>
      <c r="KGD55" s="44"/>
      <c r="KGE55" s="44"/>
      <c r="KGF55" s="44"/>
      <c r="KGG55" s="44"/>
      <c r="KGH55" s="44"/>
      <c r="KGI55" s="44"/>
      <c r="KGJ55" s="44"/>
      <c r="KGK55" s="44"/>
      <c r="KGL55" s="44"/>
      <c r="KGM55" s="44"/>
      <c r="KGN55" s="44"/>
      <c r="KGO55" s="44"/>
      <c r="KGP55" s="44"/>
      <c r="KGQ55" s="44"/>
      <c r="KGR55" s="44"/>
      <c r="KGS55" s="44"/>
      <c r="KGT55" s="44"/>
      <c r="KGU55" s="44"/>
      <c r="KGV55" s="44"/>
      <c r="KGW55" s="44"/>
      <c r="KGX55" s="44"/>
      <c r="KGY55" s="44"/>
      <c r="KGZ55" s="44"/>
      <c r="KHA55" s="44"/>
      <c r="KHB55" s="44"/>
      <c r="KHC55" s="44"/>
      <c r="KHD55" s="44"/>
      <c r="KHE55" s="44"/>
      <c r="KHF55" s="44"/>
      <c r="KHG55" s="44"/>
      <c r="KHH55" s="44"/>
      <c r="KHI55" s="44"/>
      <c r="KHJ55" s="44"/>
      <c r="KHK55" s="44"/>
      <c r="KHL55" s="44"/>
      <c r="KHM55" s="44"/>
      <c r="KHN55" s="44"/>
      <c r="KHO55" s="44"/>
      <c r="KHP55" s="44"/>
      <c r="KHQ55" s="44"/>
      <c r="KHR55" s="44"/>
      <c r="KHS55" s="44"/>
      <c r="KHT55" s="44"/>
      <c r="KHU55" s="44"/>
      <c r="KHV55" s="44"/>
      <c r="KHW55" s="44"/>
      <c r="KHX55" s="44"/>
      <c r="KHY55" s="44"/>
      <c r="KHZ55" s="44"/>
      <c r="KIA55" s="44"/>
      <c r="KIB55" s="44"/>
      <c r="KIC55" s="44"/>
      <c r="KID55" s="44"/>
      <c r="KIE55" s="44"/>
      <c r="KIF55" s="44"/>
      <c r="KIG55" s="44"/>
      <c r="KIH55" s="44"/>
      <c r="KII55" s="44"/>
      <c r="KIJ55" s="44"/>
      <c r="KIK55" s="44"/>
      <c r="KIL55" s="44"/>
      <c r="KIM55" s="44"/>
      <c r="KIN55" s="44"/>
      <c r="KIO55" s="44"/>
      <c r="KIP55" s="44"/>
      <c r="KIQ55" s="44"/>
      <c r="KIR55" s="44"/>
      <c r="KIS55" s="44"/>
      <c r="KIT55" s="44"/>
      <c r="KIU55" s="44"/>
      <c r="KIV55" s="44"/>
      <c r="KIW55" s="44"/>
      <c r="KIX55" s="44"/>
      <c r="KIY55" s="44"/>
      <c r="KIZ55" s="44"/>
      <c r="KJA55" s="44"/>
      <c r="KJB55" s="44"/>
      <c r="KJC55" s="44"/>
      <c r="KJD55" s="44"/>
      <c r="KJE55" s="44"/>
      <c r="KJF55" s="44"/>
      <c r="KJG55" s="44"/>
      <c r="KJH55" s="44"/>
      <c r="KJI55" s="44"/>
      <c r="KJJ55" s="44"/>
      <c r="KJK55" s="44"/>
      <c r="KJL55" s="44"/>
      <c r="KJM55" s="44"/>
      <c r="KJN55" s="44"/>
      <c r="KJO55" s="44"/>
      <c r="KJP55" s="44"/>
      <c r="KJQ55" s="44"/>
      <c r="KJR55" s="44"/>
      <c r="KJS55" s="44"/>
      <c r="KJT55" s="44"/>
      <c r="KJU55" s="44"/>
      <c r="KJV55" s="44"/>
      <c r="KJW55" s="44"/>
      <c r="KJX55" s="44"/>
      <c r="KJY55" s="44"/>
      <c r="KJZ55" s="44"/>
      <c r="KKA55" s="44"/>
      <c r="KKB55" s="44"/>
      <c r="KKC55" s="44"/>
      <c r="KKD55" s="44"/>
      <c r="KKE55" s="44"/>
      <c r="KKF55" s="44"/>
      <c r="KKG55" s="44"/>
      <c r="KKH55" s="44"/>
      <c r="KKI55" s="44"/>
      <c r="KKJ55" s="44"/>
      <c r="KKK55" s="44"/>
      <c r="KKL55" s="44"/>
      <c r="KKM55" s="44"/>
      <c r="KKN55" s="44"/>
      <c r="KKO55" s="44"/>
      <c r="KKP55" s="44"/>
      <c r="KKQ55" s="44"/>
      <c r="KKR55" s="44"/>
      <c r="KKS55" s="44"/>
      <c r="KKT55" s="44"/>
      <c r="KKU55" s="44"/>
      <c r="KKV55" s="44"/>
      <c r="KKW55" s="44"/>
      <c r="KKX55" s="44"/>
      <c r="KKY55" s="44"/>
      <c r="KKZ55" s="44"/>
      <c r="KLA55" s="44"/>
      <c r="KLB55" s="44"/>
      <c r="KLC55" s="44"/>
      <c r="KLD55" s="44"/>
      <c r="KLE55" s="44"/>
      <c r="KLF55" s="44"/>
      <c r="KLG55" s="44"/>
      <c r="KLH55" s="44"/>
      <c r="KLI55" s="44"/>
      <c r="KLJ55" s="44"/>
      <c r="KLK55" s="44"/>
      <c r="KLL55" s="44"/>
      <c r="KLM55" s="44"/>
      <c r="KLN55" s="44"/>
      <c r="KLO55" s="44"/>
      <c r="KLP55" s="44"/>
      <c r="KLQ55" s="44"/>
      <c r="KLR55" s="44"/>
      <c r="KLS55" s="44"/>
      <c r="KLT55" s="44"/>
      <c r="KLU55" s="44"/>
      <c r="KLV55" s="44"/>
      <c r="KLW55" s="44"/>
      <c r="KLX55" s="44"/>
      <c r="KLY55" s="44"/>
      <c r="KLZ55" s="44"/>
      <c r="KMA55" s="44"/>
      <c r="KMB55" s="44"/>
      <c r="KMC55" s="44"/>
      <c r="KMD55" s="44"/>
      <c r="KME55" s="44"/>
      <c r="KMF55" s="44"/>
      <c r="KMG55" s="44"/>
      <c r="KMH55" s="44"/>
      <c r="KMI55" s="44"/>
      <c r="KMJ55" s="44"/>
      <c r="KMK55" s="44"/>
      <c r="KML55" s="44"/>
      <c r="KMM55" s="44"/>
      <c r="KMN55" s="44"/>
      <c r="KMO55" s="44"/>
      <c r="KMP55" s="44"/>
      <c r="KMQ55" s="44"/>
      <c r="KMR55" s="44"/>
      <c r="KMS55" s="44"/>
      <c r="KMT55" s="44"/>
      <c r="KMU55" s="44"/>
      <c r="KMV55" s="44"/>
      <c r="KMW55" s="44"/>
      <c r="KMX55" s="44"/>
      <c r="KMY55" s="44"/>
      <c r="KMZ55" s="44"/>
      <c r="KNA55" s="44"/>
      <c r="KNB55" s="44"/>
      <c r="KNC55" s="44"/>
      <c r="KND55" s="44"/>
      <c r="KNE55" s="44"/>
      <c r="KNF55" s="44"/>
      <c r="KNG55" s="44"/>
      <c r="KNH55" s="44"/>
      <c r="KNI55" s="44"/>
      <c r="KNJ55" s="44"/>
      <c r="KNK55" s="44"/>
      <c r="KNL55" s="44"/>
      <c r="KNM55" s="44"/>
      <c r="KNN55" s="44"/>
      <c r="KNO55" s="44"/>
      <c r="KNP55" s="44"/>
      <c r="KNQ55" s="44"/>
      <c r="KNR55" s="44"/>
      <c r="KNS55" s="44"/>
      <c r="KNT55" s="44"/>
      <c r="KNU55" s="44"/>
      <c r="KNV55" s="44"/>
      <c r="KNW55" s="44"/>
      <c r="KNX55" s="44"/>
      <c r="KNY55" s="44"/>
      <c r="KNZ55" s="44"/>
      <c r="KOA55" s="44"/>
      <c r="KOB55" s="44"/>
      <c r="KOC55" s="44"/>
      <c r="KOD55" s="44"/>
      <c r="KOE55" s="44"/>
      <c r="KOF55" s="44"/>
      <c r="KOG55" s="44"/>
      <c r="KOH55" s="44"/>
      <c r="KOI55" s="44"/>
      <c r="KOJ55" s="44"/>
      <c r="KOK55" s="44"/>
      <c r="KOL55" s="44"/>
      <c r="KOM55" s="44"/>
      <c r="KON55" s="44"/>
      <c r="KOO55" s="44"/>
      <c r="KOP55" s="44"/>
      <c r="KOQ55" s="44"/>
      <c r="KOR55" s="44"/>
      <c r="KOS55" s="44"/>
      <c r="KOT55" s="44"/>
      <c r="KOU55" s="44"/>
      <c r="KOV55" s="44"/>
      <c r="KOW55" s="44"/>
      <c r="KOX55" s="44"/>
      <c r="KOY55" s="44"/>
      <c r="KOZ55" s="44"/>
      <c r="KPA55" s="44"/>
      <c r="KPB55" s="44"/>
      <c r="KPC55" s="44"/>
      <c r="KPD55" s="44"/>
      <c r="KPE55" s="44"/>
      <c r="KPF55" s="44"/>
      <c r="KPG55" s="44"/>
      <c r="KPH55" s="44"/>
      <c r="KPI55" s="44"/>
      <c r="KPJ55" s="44"/>
      <c r="KPK55" s="44"/>
      <c r="KPL55" s="44"/>
      <c r="KPM55" s="44"/>
      <c r="KPN55" s="44"/>
      <c r="KPO55" s="44"/>
      <c r="KPP55" s="44"/>
      <c r="KPQ55" s="44"/>
      <c r="KPR55" s="44"/>
      <c r="KPS55" s="44"/>
      <c r="KPT55" s="44"/>
      <c r="KPU55" s="44"/>
      <c r="KPV55" s="44"/>
      <c r="KPW55" s="44"/>
      <c r="KPX55" s="44"/>
      <c r="KPY55" s="44"/>
      <c r="KPZ55" s="44"/>
      <c r="KQA55" s="44"/>
      <c r="KQB55" s="44"/>
      <c r="KQC55" s="44"/>
      <c r="KQD55" s="44"/>
      <c r="KQE55" s="44"/>
      <c r="KQF55" s="44"/>
      <c r="KQG55" s="44"/>
      <c r="KQH55" s="44"/>
      <c r="KQI55" s="44"/>
      <c r="KQJ55" s="44"/>
      <c r="KQK55" s="44"/>
      <c r="KQL55" s="44"/>
      <c r="KQM55" s="44"/>
      <c r="KQN55" s="44"/>
      <c r="KQO55" s="44"/>
      <c r="KQP55" s="44"/>
      <c r="KQQ55" s="44"/>
      <c r="KQR55" s="44"/>
      <c r="KQS55" s="44"/>
      <c r="KQT55" s="44"/>
      <c r="KQU55" s="44"/>
      <c r="KQV55" s="44"/>
      <c r="KQW55" s="44"/>
      <c r="KQX55" s="44"/>
      <c r="KQY55" s="44"/>
      <c r="KQZ55" s="44"/>
      <c r="KRA55" s="44"/>
      <c r="KRB55" s="44"/>
      <c r="KRC55" s="44"/>
      <c r="KRD55" s="44"/>
      <c r="KRE55" s="44"/>
      <c r="KRF55" s="44"/>
      <c r="KRG55" s="44"/>
      <c r="KRH55" s="44"/>
      <c r="KRI55" s="44"/>
      <c r="KRJ55" s="44"/>
      <c r="KRK55" s="44"/>
      <c r="KRL55" s="44"/>
      <c r="KRM55" s="44"/>
      <c r="KRN55" s="44"/>
      <c r="KRO55" s="44"/>
      <c r="KRP55" s="44"/>
      <c r="KRQ55" s="44"/>
      <c r="KRR55" s="44"/>
      <c r="KRS55" s="44"/>
      <c r="KRT55" s="44"/>
      <c r="KRU55" s="44"/>
      <c r="KRV55" s="44"/>
      <c r="KRW55" s="44"/>
      <c r="KRX55" s="44"/>
      <c r="KRY55" s="44"/>
      <c r="KRZ55" s="44"/>
      <c r="KSA55" s="44"/>
      <c r="KSB55" s="44"/>
      <c r="KSC55" s="44"/>
      <c r="KSD55" s="44"/>
      <c r="KSE55" s="44"/>
      <c r="KSF55" s="44"/>
      <c r="KSG55" s="44"/>
      <c r="KSH55" s="44"/>
      <c r="KSI55" s="44"/>
      <c r="KSJ55" s="44"/>
      <c r="KSK55" s="44"/>
      <c r="KSL55" s="44"/>
      <c r="KSM55" s="44"/>
      <c r="KSN55" s="44"/>
      <c r="KSO55" s="44"/>
      <c r="KSP55" s="44"/>
      <c r="KSQ55" s="44"/>
      <c r="KSR55" s="44"/>
      <c r="KSS55" s="44"/>
      <c r="KST55" s="44"/>
      <c r="KSU55" s="44"/>
      <c r="KSV55" s="44"/>
      <c r="KSW55" s="44"/>
      <c r="KSX55" s="44"/>
      <c r="KSY55" s="44"/>
      <c r="KSZ55" s="44"/>
      <c r="KTA55" s="44"/>
      <c r="KTB55" s="44"/>
      <c r="KTC55" s="44"/>
      <c r="KTD55" s="44"/>
      <c r="KTE55" s="44"/>
      <c r="KTF55" s="44"/>
      <c r="KTG55" s="44"/>
      <c r="KTH55" s="44"/>
      <c r="KTI55" s="44"/>
      <c r="KTJ55" s="44"/>
      <c r="KTK55" s="44"/>
      <c r="KTL55" s="44"/>
      <c r="KTM55" s="44"/>
      <c r="KTN55" s="44"/>
      <c r="KTO55" s="44"/>
      <c r="KTP55" s="44"/>
      <c r="KTQ55" s="44"/>
      <c r="KTR55" s="44"/>
      <c r="KTS55" s="44"/>
      <c r="KTT55" s="44"/>
      <c r="KTU55" s="44"/>
      <c r="KTV55" s="44"/>
      <c r="KTW55" s="44"/>
      <c r="KTX55" s="44"/>
      <c r="KTY55" s="44"/>
      <c r="KTZ55" s="44"/>
      <c r="KUA55" s="44"/>
      <c r="KUB55" s="44"/>
      <c r="KUC55" s="44"/>
      <c r="KUD55" s="44"/>
      <c r="KUE55" s="44"/>
      <c r="KUF55" s="44"/>
      <c r="KUG55" s="44"/>
      <c r="KUH55" s="44"/>
      <c r="KUI55" s="44"/>
      <c r="KUJ55" s="44"/>
      <c r="KUK55" s="44"/>
      <c r="KUL55" s="44"/>
      <c r="KUM55" s="44"/>
      <c r="KUN55" s="44"/>
      <c r="KUO55" s="44"/>
      <c r="KUP55" s="44"/>
      <c r="KUQ55" s="44"/>
      <c r="KUR55" s="44"/>
      <c r="KUS55" s="44"/>
      <c r="KUT55" s="44"/>
      <c r="KUU55" s="44"/>
      <c r="KUV55" s="44"/>
      <c r="KUW55" s="44"/>
      <c r="KUX55" s="44"/>
      <c r="KUY55" s="44"/>
      <c r="KUZ55" s="44"/>
      <c r="KVA55" s="44"/>
      <c r="KVB55" s="44"/>
      <c r="KVC55" s="44"/>
      <c r="KVD55" s="44"/>
      <c r="KVE55" s="44"/>
      <c r="KVF55" s="44"/>
      <c r="KVG55" s="44"/>
      <c r="KVH55" s="44"/>
      <c r="KVI55" s="44"/>
      <c r="KVJ55" s="44"/>
      <c r="KVK55" s="44"/>
      <c r="KVL55" s="44"/>
      <c r="KVM55" s="44"/>
      <c r="KVN55" s="44"/>
      <c r="KVO55" s="44"/>
      <c r="KVP55" s="44"/>
      <c r="KVQ55" s="44"/>
      <c r="KVR55" s="44"/>
      <c r="KVS55" s="44"/>
      <c r="KVT55" s="44"/>
      <c r="KVU55" s="44"/>
      <c r="KVV55" s="44"/>
      <c r="KVW55" s="44"/>
      <c r="KVX55" s="44"/>
      <c r="KVY55" s="44"/>
      <c r="KVZ55" s="44"/>
      <c r="KWA55" s="44"/>
      <c r="KWB55" s="44"/>
      <c r="KWC55" s="44"/>
      <c r="KWD55" s="44"/>
      <c r="KWE55" s="44"/>
      <c r="KWF55" s="44"/>
      <c r="KWG55" s="44"/>
      <c r="KWH55" s="44"/>
      <c r="KWI55" s="44"/>
      <c r="KWJ55" s="44"/>
      <c r="KWK55" s="44"/>
      <c r="KWL55" s="44"/>
      <c r="KWM55" s="44"/>
      <c r="KWN55" s="44"/>
      <c r="KWO55" s="44"/>
      <c r="KWP55" s="44"/>
      <c r="KWQ55" s="44"/>
      <c r="KWR55" s="44"/>
      <c r="KWS55" s="44"/>
      <c r="KWT55" s="44"/>
      <c r="KWU55" s="44"/>
      <c r="KWV55" s="44"/>
      <c r="KWW55" s="44"/>
      <c r="KWX55" s="44"/>
      <c r="KWY55" s="44"/>
      <c r="KWZ55" s="44"/>
      <c r="KXA55" s="44"/>
      <c r="KXB55" s="44"/>
      <c r="KXC55" s="44"/>
      <c r="KXD55" s="44"/>
      <c r="KXE55" s="44"/>
      <c r="KXF55" s="44"/>
      <c r="KXG55" s="44"/>
      <c r="KXH55" s="44"/>
      <c r="KXI55" s="44"/>
      <c r="KXJ55" s="44"/>
      <c r="KXK55" s="44"/>
      <c r="KXL55" s="44"/>
      <c r="KXM55" s="44"/>
      <c r="KXN55" s="44"/>
      <c r="KXO55" s="44"/>
      <c r="KXP55" s="44"/>
      <c r="KXQ55" s="44"/>
      <c r="KXR55" s="44"/>
      <c r="KXS55" s="44"/>
      <c r="KXT55" s="44"/>
      <c r="KXU55" s="44"/>
      <c r="KXV55" s="44"/>
      <c r="KXW55" s="44"/>
      <c r="KXX55" s="44"/>
      <c r="KXY55" s="44"/>
      <c r="KXZ55" s="44"/>
      <c r="KYA55" s="44"/>
      <c r="KYB55" s="44"/>
      <c r="KYC55" s="44"/>
      <c r="KYD55" s="44"/>
      <c r="KYE55" s="44"/>
      <c r="KYF55" s="44"/>
      <c r="KYG55" s="44"/>
      <c r="KYH55" s="44"/>
      <c r="KYI55" s="44"/>
      <c r="KYJ55" s="44"/>
      <c r="KYK55" s="44"/>
      <c r="KYL55" s="44"/>
      <c r="KYM55" s="44"/>
      <c r="KYN55" s="44"/>
      <c r="KYO55" s="44"/>
      <c r="KYP55" s="44"/>
      <c r="KYQ55" s="44"/>
      <c r="KYR55" s="44"/>
      <c r="KYS55" s="44"/>
      <c r="KYT55" s="44"/>
      <c r="KYU55" s="44"/>
      <c r="KYV55" s="44"/>
      <c r="KYW55" s="44"/>
      <c r="KYX55" s="44"/>
      <c r="KYY55" s="44"/>
      <c r="KYZ55" s="44"/>
      <c r="KZA55" s="44"/>
      <c r="KZB55" s="44"/>
      <c r="KZC55" s="44"/>
      <c r="KZD55" s="44"/>
      <c r="KZE55" s="44"/>
      <c r="KZF55" s="44"/>
      <c r="KZG55" s="44"/>
      <c r="KZH55" s="44"/>
      <c r="KZI55" s="44"/>
      <c r="KZJ55" s="44"/>
      <c r="KZK55" s="44"/>
      <c r="KZL55" s="44"/>
      <c r="KZM55" s="44"/>
      <c r="KZN55" s="44"/>
      <c r="KZO55" s="44"/>
      <c r="KZP55" s="44"/>
      <c r="KZQ55" s="44"/>
      <c r="KZR55" s="44"/>
      <c r="KZS55" s="44"/>
      <c r="KZT55" s="44"/>
      <c r="KZU55" s="44"/>
      <c r="KZV55" s="44"/>
      <c r="KZW55" s="44"/>
      <c r="KZX55" s="44"/>
      <c r="KZY55" s="44"/>
      <c r="KZZ55" s="44"/>
      <c r="LAA55" s="44"/>
      <c r="LAB55" s="44"/>
      <c r="LAC55" s="44"/>
      <c r="LAD55" s="44"/>
      <c r="LAE55" s="44"/>
      <c r="LAF55" s="44"/>
      <c r="LAG55" s="44"/>
      <c r="LAH55" s="44"/>
      <c r="LAI55" s="44"/>
      <c r="LAJ55" s="44"/>
      <c r="LAK55" s="44"/>
      <c r="LAL55" s="44"/>
      <c r="LAM55" s="44"/>
      <c r="LAN55" s="44"/>
      <c r="LAO55" s="44"/>
      <c r="LAP55" s="44"/>
      <c r="LAQ55" s="44"/>
      <c r="LAR55" s="44"/>
      <c r="LAS55" s="44"/>
      <c r="LAT55" s="44"/>
      <c r="LAU55" s="44"/>
      <c r="LAV55" s="44"/>
      <c r="LAW55" s="44"/>
      <c r="LAX55" s="44"/>
      <c r="LAY55" s="44"/>
      <c r="LAZ55" s="44"/>
      <c r="LBA55" s="44"/>
      <c r="LBB55" s="44"/>
      <c r="LBC55" s="44"/>
      <c r="LBD55" s="44"/>
      <c r="LBE55" s="44"/>
      <c r="LBF55" s="44"/>
      <c r="LBG55" s="44"/>
      <c r="LBH55" s="44"/>
      <c r="LBI55" s="44"/>
      <c r="LBJ55" s="44"/>
      <c r="LBK55" s="44"/>
      <c r="LBL55" s="44"/>
      <c r="LBM55" s="44"/>
      <c r="LBN55" s="44"/>
      <c r="LBO55" s="44"/>
      <c r="LBP55" s="44"/>
      <c r="LBQ55" s="44"/>
      <c r="LBR55" s="44"/>
      <c r="LBS55" s="44"/>
      <c r="LBT55" s="44"/>
      <c r="LBU55" s="44"/>
      <c r="LBV55" s="44"/>
      <c r="LBW55" s="44"/>
      <c r="LBX55" s="44"/>
      <c r="LBY55" s="44"/>
      <c r="LBZ55" s="44"/>
      <c r="LCA55" s="44"/>
      <c r="LCB55" s="44"/>
      <c r="LCC55" s="44"/>
      <c r="LCD55" s="44"/>
      <c r="LCE55" s="44"/>
      <c r="LCF55" s="44"/>
      <c r="LCG55" s="44"/>
      <c r="LCH55" s="44"/>
      <c r="LCI55" s="44"/>
      <c r="LCJ55" s="44"/>
      <c r="LCK55" s="44"/>
      <c r="LCL55" s="44"/>
      <c r="LCM55" s="44"/>
      <c r="LCN55" s="44"/>
      <c r="LCO55" s="44"/>
      <c r="LCP55" s="44"/>
      <c r="LCQ55" s="44"/>
      <c r="LCR55" s="44"/>
      <c r="LCS55" s="44"/>
      <c r="LCT55" s="44"/>
      <c r="LCU55" s="44"/>
      <c r="LCV55" s="44"/>
      <c r="LCW55" s="44"/>
      <c r="LCX55" s="44"/>
      <c r="LCY55" s="44"/>
      <c r="LCZ55" s="44"/>
      <c r="LDA55" s="44"/>
      <c r="LDB55" s="44"/>
      <c r="LDC55" s="44"/>
      <c r="LDD55" s="44"/>
      <c r="LDE55" s="44"/>
      <c r="LDF55" s="44"/>
      <c r="LDG55" s="44"/>
      <c r="LDH55" s="44"/>
      <c r="LDI55" s="44"/>
      <c r="LDJ55" s="44"/>
      <c r="LDK55" s="44"/>
      <c r="LDL55" s="44"/>
      <c r="LDM55" s="44"/>
      <c r="LDN55" s="44"/>
      <c r="LDO55" s="44"/>
      <c r="LDP55" s="44"/>
      <c r="LDQ55" s="44"/>
      <c r="LDR55" s="44"/>
      <c r="LDS55" s="44"/>
      <c r="LDT55" s="44"/>
      <c r="LDU55" s="44"/>
      <c r="LDV55" s="44"/>
      <c r="LDW55" s="44"/>
      <c r="LDX55" s="44"/>
      <c r="LDY55" s="44"/>
      <c r="LDZ55" s="44"/>
      <c r="LEA55" s="44"/>
      <c r="LEB55" s="44"/>
      <c r="LEC55" s="44"/>
      <c r="LED55" s="44"/>
      <c r="LEE55" s="44"/>
      <c r="LEF55" s="44"/>
      <c r="LEG55" s="44"/>
      <c r="LEH55" s="44"/>
      <c r="LEI55" s="44"/>
      <c r="LEJ55" s="44"/>
      <c r="LEK55" s="44"/>
      <c r="LEL55" s="44"/>
      <c r="LEM55" s="44"/>
      <c r="LEN55" s="44"/>
      <c r="LEO55" s="44"/>
      <c r="LEP55" s="44"/>
      <c r="LEQ55" s="44"/>
      <c r="LER55" s="44"/>
      <c r="LES55" s="44"/>
      <c r="LET55" s="44"/>
      <c r="LEU55" s="44"/>
      <c r="LEV55" s="44"/>
      <c r="LEW55" s="44"/>
      <c r="LEX55" s="44"/>
      <c r="LEY55" s="44"/>
      <c r="LEZ55" s="44"/>
      <c r="LFA55" s="44"/>
      <c r="LFB55" s="44"/>
      <c r="LFC55" s="44"/>
      <c r="LFD55" s="44"/>
      <c r="LFE55" s="44"/>
      <c r="LFF55" s="44"/>
      <c r="LFG55" s="44"/>
      <c r="LFH55" s="44"/>
      <c r="LFI55" s="44"/>
      <c r="LFJ55" s="44"/>
      <c r="LFK55" s="44"/>
      <c r="LFL55" s="44"/>
      <c r="LFM55" s="44"/>
      <c r="LFN55" s="44"/>
      <c r="LFO55" s="44"/>
      <c r="LFP55" s="44"/>
      <c r="LFQ55" s="44"/>
      <c r="LFR55" s="44"/>
      <c r="LFS55" s="44"/>
      <c r="LFT55" s="44"/>
      <c r="LFU55" s="44"/>
      <c r="LFV55" s="44"/>
      <c r="LFW55" s="44"/>
      <c r="LFX55" s="44"/>
      <c r="LFY55" s="44"/>
      <c r="LFZ55" s="44"/>
      <c r="LGA55" s="44"/>
      <c r="LGB55" s="44"/>
      <c r="LGC55" s="44"/>
      <c r="LGD55" s="44"/>
      <c r="LGE55" s="44"/>
      <c r="LGF55" s="44"/>
      <c r="LGG55" s="44"/>
      <c r="LGH55" s="44"/>
      <c r="LGI55" s="44"/>
      <c r="LGJ55" s="44"/>
      <c r="LGK55" s="44"/>
      <c r="LGL55" s="44"/>
      <c r="LGM55" s="44"/>
      <c r="LGN55" s="44"/>
      <c r="LGO55" s="44"/>
      <c r="LGP55" s="44"/>
      <c r="LGQ55" s="44"/>
      <c r="LGR55" s="44"/>
      <c r="LGS55" s="44"/>
      <c r="LGT55" s="44"/>
      <c r="LGU55" s="44"/>
      <c r="LGV55" s="44"/>
      <c r="LGW55" s="44"/>
      <c r="LGX55" s="44"/>
      <c r="LGY55" s="44"/>
      <c r="LGZ55" s="44"/>
      <c r="LHA55" s="44"/>
      <c r="LHB55" s="44"/>
      <c r="LHC55" s="44"/>
      <c r="LHD55" s="44"/>
      <c r="LHE55" s="44"/>
      <c r="LHF55" s="44"/>
      <c r="LHG55" s="44"/>
      <c r="LHH55" s="44"/>
      <c r="LHI55" s="44"/>
      <c r="LHJ55" s="44"/>
      <c r="LHK55" s="44"/>
      <c r="LHL55" s="44"/>
      <c r="LHM55" s="44"/>
      <c r="LHN55" s="44"/>
      <c r="LHO55" s="44"/>
      <c r="LHP55" s="44"/>
      <c r="LHQ55" s="44"/>
      <c r="LHR55" s="44"/>
      <c r="LHS55" s="44"/>
      <c r="LHT55" s="44"/>
      <c r="LHU55" s="44"/>
      <c r="LHV55" s="44"/>
      <c r="LHW55" s="44"/>
      <c r="LHX55" s="44"/>
      <c r="LHY55" s="44"/>
      <c r="LHZ55" s="44"/>
      <c r="LIA55" s="44"/>
      <c r="LIB55" s="44"/>
      <c r="LIC55" s="44"/>
      <c r="LID55" s="44"/>
      <c r="LIE55" s="44"/>
      <c r="LIF55" s="44"/>
      <c r="LIG55" s="44"/>
      <c r="LIH55" s="44"/>
      <c r="LII55" s="44"/>
      <c r="LIJ55" s="44"/>
      <c r="LIK55" s="44"/>
      <c r="LIL55" s="44"/>
      <c r="LIM55" s="44"/>
      <c r="LIN55" s="44"/>
      <c r="LIO55" s="44"/>
      <c r="LIP55" s="44"/>
      <c r="LIQ55" s="44"/>
      <c r="LIR55" s="44"/>
      <c r="LIS55" s="44"/>
      <c r="LIT55" s="44"/>
      <c r="LIU55" s="44"/>
      <c r="LIV55" s="44"/>
      <c r="LIW55" s="44"/>
      <c r="LIX55" s="44"/>
      <c r="LIY55" s="44"/>
      <c r="LIZ55" s="44"/>
      <c r="LJA55" s="44"/>
      <c r="LJB55" s="44"/>
      <c r="LJC55" s="44"/>
      <c r="LJD55" s="44"/>
      <c r="LJE55" s="44"/>
      <c r="LJF55" s="44"/>
      <c r="LJG55" s="44"/>
      <c r="LJH55" s="44"/>
      <c r="LJI55" s="44"/>
      <c r="LJJ55" s="44"/>
      <c r="LJK55" s="44"/>
      <c r="LJL55" s="44"/>
      <c r="LJM55" s="44"/>
      <c r="LJN55" s="44"/>
      <c r="LJO55" s="44"/>
      <c r="LJP55" s="44"/>
      <c r="LJQ55" s="44"/>
      <c r="LJR55" s="44"/>
      <c r="LJS55" s="44"/>
      <c r="LJT55" s="44"/>
      <c r="LJU55" s="44"/>
      <c r="LJV55" s="44"/>
      <c r="LJW55" s="44"/>
      <c r="LJX55" s="44"/>
      <c r="LJY55" s="44"/>
      <c r="LJZ55" s="44"/>
      <c r="LKA55" s="44"/>
      <c r="LKB55" s="44"/>
      <c r="LKC55" s="44"/>
      <c r="LKD55" s="44"/>
      <c r="LKE55" s="44"/>
      <c r="LKF55" s="44"/>
      <c r="LKG55" s="44"/>
      <c r="LKH55" s="44"/>
      <c r="LKI55" s="44"/>
      <c r="LKJ55" s="44"/>
      <c r="LKK55" s="44"/>
      <c r="LKL55" s="44"/>
      <c r="LKM55" s="44"/>
      <c r="LKN55" s="44"/>
      <c r="LKO55" s="44"/>
      <c r="LKP55" s="44"/>
      <c r="LKQ55" s="44"/>
      <c r="LKR55" s="44"/>
      <c r="LKS55" s="44"/>
      <c r="LKT55" s="44"/>
      <c r="LKU55" s="44"/>
      <c r="LKV55" s="44"/>
      <c r="LKW55" s="44"/>
      <c r="LKX55" s="44"/>
      <c r="LKY55" s="44"/>
      <c r="LKZ55" s="44"/>
      <c r="LLA55" s="44"/>
      <c r="LLB55" s="44"/>
      <c r="LLC55" s="44"/>
      <c r="LLD55" s="44"/>
      <c r="LLE55" s="44"/>
      <c r="LLF55" s="44"/>
      <c r="LLG55" s="44"/>
      <c r="LLH55" s="44"/>
      <c r="LLI55" s="44"/>
      <c r="LLJ55" s="44"/>
      <c r="LLK55" s="44"/>
      <c r="LLL55" s="44"/>
      <c r="LLM55" s="44"/>
      <c r="LLN55" s="44"/>
      <c r="LLO55" s="44"/>
      <c r="LLP55" s="44"/>
      <c r="LLQ55" s="44"/>
      <c r="LLR55" s="44"/>
      <c r="LLS55" s="44"/>
      <c r="LLT55" s="44"/>
      <c r="LLU55" s="44"/>
      <c r="LLV55" s="44"/>
      <c r="LLW55" s="44"/>
      <c r="LLX55" s="44"/>
      <c r="LLY55" s="44"/>
      <c r="LLZ55" s="44"/>
      <c r="LMA55" s="44"/>
      <c r="LMB55" s="44"/>
      <c r="LMC55" s="44"/>
      <c r="LMD55" s="44"/>
      <c r="LME55" s="44"/>
      <c r="LMF55" s="44"/>
      <c r="LMG55" s="44"/>
      <c r="LMH55" s="44"/>
      <c r="LMI55" s="44"/>
      <c r="LMJ55" s="44"/>
      <c r="LMK55" s="44"/>
      <c r="LML55" s="44"/>
      <c r="LMM55" s="44"/>
      <c r="LMN55" s="44"/>
      <c r="LMO55" s="44"/>
      <c r="LMP55" s="44"/>
      <c r="LMQ55" s="44"/>
      <c r="LMR55" s="44"/>
      <c r="LMS55" s="44"/>
      <c r="LMT55" s="44"/>
      <c r="LMU55" s="44"/>
      <c r="LMV55" s="44"/>
      <c r="LMW55" s="44"/>
      <c r="LMX55" s="44"/>
      <c r="LMY55" s="44"/>
      <c r="LMZ55" s="44"/>
      <c r="LNA55" s="44"/>
      <c r="LNB55" s="44"/>
      <c r="LNC55" s="44"/>
      <c r="LND55" s="44"/>
      <c r="LNE55" s="44"/>
      <c r="LNF55" s="44"/>
      <c r="LNG55" s="44"/>
      <c r="LNH55" s="44"/>
      <c r="LNI55" s="44"/>
      <c r="LNJ55" s="44"/>
      <c r="LNK55" s="44"/>
      <c r="LNL55" s="44"/>
      <c r="LNM55" s="44"/>
      <c r="LNN55" s="44"/>
      <c r="LNO55" s="44"/>
      <c r="LNP55" s="44"/>
      <c r="LNQ55" s="44"/>
      <c r="LNR55" s="44"/>
      <c r="LNS55" s="44"/>
      <c r="LNT55" s="44"/>
      <c r="LNU55" s="44"/>
      <c r="LNV55" s="44"/>
      <c r="LNW55" s="44"/>
      <c r="LNX55" s="44"/>
      <c r="LNY55" s="44"/>
      <c r="LNZ55" s="44"/>
      <c r="LOA55" s="44"/>
      <c r="LOB55" s="44"/>
      <c r="LOC55" s="44"/>
      <c r="LOD55" s="44"/>
      <c r="LOE55" s="44"/>
      <c r="LOF55" s="44"/>
      <c r="LOG55" s="44"/>
      <c r="LOH55" s="44"/>
      <c r="LOI55" s="44"/>
      <c r="LOJ55" s="44"/>
      <c r="LOK55" s="44"/>
      <c r="LOL55" s="44"/>
      <c r="LOM55" s="44"/>
      <c r="LON55" s="44"/>
      <c r="LOO55" s="44"/>
      <c r="LOP55" s="44"/>
      <c r="LOQ55" s="44"/>
      <c r="LOR55" s="44"/>
      <c r="LOS55" s="44"/>
      <c r="LOT55" s="44"/>
      <c r="LOU55" s="44"/>
      <c r="LOV55" s="44"/>
      <c r="LOW55" s="44"/>
      <c r="LOX55" s="44"/>
      <c r="LOY55" s="44"/>
      <c r="LOZ55" s="44"/>
      <c r="LPA55" s="44"/>
      <c r="LPB55" s="44"/>
      <c r="LPC55" s="44"/>
      <c r="LPD55" s="44"/>
      <c r="LPE55" s="44"/>
      <c r="LPF55" s="44"/>
      <c r="LPG55" s="44"/>
      <c r="LPH55" s="44"/>
      <c r="LPI55" s="44"/>
      <c r="LPJ55" s="44"/>
      <c r="LPK55" s="44"/>
      <c r="LPL55" s="44"/>
      <c r="LPM55" s="44"/>
      <c r="LPN55" s="44"/>
      <c r="LPO55" s="44"/>
      <c r="LPP55" s="44"/>
      <c r="LPQ55" s="44"/>
      <c r="LPR55" s="44"/>
      <c r="LPS55" s="44"/>
      <c r="LPT55" s="44"/>
      <c r="LPU55" s="44"/>
      <c r="LPV55" s="44"/>
      <c r="LPW55" s="44"/>
      <c r="LPX55" s="44"/>
      <c r="LPY55" s="44"/>
      <c r="LPZ55" s="44"/>
      <c r="LQA55" s="44"/>
      <c r="LQB55" s="44"/>
      <c r="LQC55" s="44"/>
      <c r="LQD55" s="44"/>
      <c r="LQE55" s="44"/>
      <c r="LQF55" s="44"/>
      <c r="LQG55" s="44"/>
      <c r="LQH55" s="44"/>
      <c r="LQI55" s="44"/>
      <c r="LQJ55" s="44"/>
      <c r="LQK55" s="44"/>
      <c r="LQL55" s="44"/>
      <c r="LQM55" s="44"/>
      <c r="LQN55" s="44"/>
      <c r="LQO55" s="44"/>
      <c r="LQP55" s="44"/>
      <c r="LQQ55" s="44"/>
      <c r="LQR55" s="44"/>
      <c r="LQS55" s="44"/>
      <c r="LQT55" s="44"/>
      <c r="LQU55" s="44"/>
      <c r="LQV55" s="44"/>
      <c r="LQW55" s="44"/>
      <c r="LQX55" s="44"/>
      <c r="LQY55" s="44"/>
      <c r="LQZ55" s="44"/>
      <c r="LRA55" s="44"/>
      <c r="LRB55" s="44"/>
      <c r="LRC55" s="44"/>
      <c r="LRD55" s="44"/>
      <c r="LRE55" s="44"/>
      <c r="LRF55" s="44"/>
      <c r="LRG55" s="44"/>
      <c r="LRH55" s="44"/>
      <c r="LRI55" s="44"/>
      <c r="LRJ55" s="44"/>
      <c r="LRK55" s="44"/>
      <c r="LRL55" s="44"/>
      <c r="LRM55" s="44"/>
      <c r="LRN55" s="44"/>
      <c r="LRO55" s="44"/>
      <c r="LRP55" s="44"/>
      <c r="LRQ55" s="44"/>
      <c r="LRR55" s="44"/>
      <c r="LRS55" s="44"/>
      <c r="LRT55" s="44"/>
      <c r="LRU55" s="44"/>
      <c r="LRV55" s="44"/>
      <c r="LRW55" s="44"/>
      <c r="LRX55" s="44"/>
      <c r="LRY55" s="44"/>
      <c r="LRZ55" s="44"/>
      <c r="LSA55" s="44"/>
      <c r="LSB55" s="44"/>
      <c r="LSC55" s="44"/>
      <c r="LSD55" s="44"/>
      <c r="LSE55" s="44"/>
      <c r="LSF55" s="44"/>
      <c r="LSG55" s="44"/>
      <c r="LSH55" s="44"/>
      <c r="LSI55" s="44"/>
      <c r="LSJ55" s="44"/>
      <c r="LSK55" s="44"/>
      <c r="LSL55" s="44"/>
      <c r="LSM55" s="44"/>
      <c r="LSN55" s="44"/>
      <c r="LSO55" s="44"/>
      <c r="LSP55" s="44"/>
      <c r="LSQ55" s="44"/>
      <c r="LSR55" s="44"/>
      <c r="LSS55" s="44"/>
      <c r="LST55" s="44"/>
      <c r="LSU55" s="44"/>
      <c r="LSV55" s="44"/>
      <c r="LSW55" s="44"/>
      <c r="LSX55" s="44"/>
      <c r="LSY55" s="44"/>
      <c r="LSZ55" s="44"/>
      <c r="LTA55" s="44"/>
      <c r="LTB55" s="44"/>
      <c r="LTC55" s="44"/>
      <c r="LTD55" s="44"/>
      <c r="LTE55" s="44"/>
      <c r="LTF55" s="44"/>
      <c r="LTG55" s="44"/>
      <c r="LTH55" s="44"/>
      <c r="LTI55" s="44"/>
      <c r="LTJ55" s="44"/>
      <c r="LTK55" s="44"/>
      <c r="LTL55" s="44"/>
      <c r="LTM55" s="44"/>
      <c r="LTN55" s="44"/>
      <c r="LTO55" s="44"/>
      <c r="LTP55" s="44"/>
      <c r="LTQ55" s="44"/>
      <c r="LTR55" s="44"/>
      <c r="LTS55" s="44"/>
      <c r="LTT55" s="44"/>
      <c r="LTU55" s="44"/>
      <c r="LTV55" s="44"/>
      <c r="LTW55" s="44"/>
      <c r="LTX55" s="44"/>
      <c r="LTY55" s="44"/>
      <c r="LTZ55" s="44"/>
      <c r="LUA55" s="44"/>
      <c r="LUB55" s="44"/>
      <c r="LUC55" s="44"/>
      <c r="LUD55" s="44"/>
      <c r="LUE55" s="44"/>
      <c r="LUF55" s="44"/>
      <c r="LUG55" s="44"/>
      <c r="LUH55" s="44"/>
      <c r="LUI55" s="44"/>
      <c r="LUJ55" s="44"/>
      <c r="LUK55" s="44"/>
      <c r="LUL55" s="44"/>
      <c r="LUM55" s="44"/>
      <c r="LUN55" s="44"/>
      <c r="LUO55" s="44"/>
      <c r="LUP55" s="44"/>
      <c r="LUQ55" s="44"/>
      <c r="LUR55" s="44"/>
      <c r="LUS55" s="44"/>
      <c r="LUT55" s="44"/>
      <c r="LUU55" s="44"/>
      <c r="LUV55" s="44"/>
      <c r="LUW55" s="44"/>
      <c r="LUX55" s="44"/>
      <c r="LUY55" s="44"/>
      <c r="LUZ55" s="44"/>
      <c r="LVA55" s="44"/>
      <c r="LVB55" s="44"/>
      <c r="LVC55" s="44"/>
      <c r="LVD55" s="44"/>
      <c r="LVE55" s="44"/>
      <c r="LVF55" s="44"/>
      <c r="LVG55" s="44"/>
      <c r="LVH55" s="44"/>
      <c r="LVI55" s="44"/>
      <c r="LVJ55" s="44"/>
      <c r="LVK55" s="44"/>
      <c r="LVL55" s="44"/>
      <c r="LVM55" s="44"/>
      <c r="LVN55" s="44"/>
      <c r="LVO55" s="44"/>
      <c r="LVP55" s="44"/>
      <c r="LVQ55" s="44"/>
      <c r="LVR55" s="44"/>
      <c r="LVS55" s="44"/>
      <c r="LVT55" s="44"/>
      <c r="LVU55" s="44"/>
      <c r="LVV55" s="44"/>
      <c r="LVW55" s="44"/>
      <c r="LVX55" s="44"/>
      <c r="LVY55" s="44"/>
      <c r="LVZ55" s="44"/>
      <c r="LWA55" s="44"/>
      <c r="LWB55" s="44"/>
      <c r="LWC55" s="44"/>
      <c r="LWD55" s="44"/>
      <c r="LWE55" s="44"/>
      <c r="LWF55" s="44"/>
      <c r="LWG55" s="44"/>
      <c r="LWH55" s="44"/>
      <c r="LWI55" s="44"/>
      <c r="LWJ55" s="44"/>
      <c r="LWK55" s="44"/>
      <c r="LWL55" s="44"/>
      <c r="LWM55" s="44"/>
      <c r="LWN55" s="44"/>
      <c r="LWO55" s="44"/>
      <c r="LWP55" s="44"/>
      <c r="LWQ55" s="44"/>
      <c r="LWR55" s="44"/>
      <c r="LWS55" s="44"/>
      <c r="LWT55" s="44"/>
      <c r="LWU55" s="44"/>
      <c r="LWV55" s="44"/>
      <c r="LWW55" s="44"/>
      <c r="LWX55" s="44"/>
      <c r="LWY55" s="44"/>
      <c r="LWZ55" s="44"/>
      <c r="LXA55" s="44"/>
      <c r="LXB55" s="44"/>
      <c r="LXC55" s="44"/>
      <c r="LXD55" s="44"/>
      <c r="LXE55" s="44"/>
      <c r="LXF55" s="44"/>
      <c r="LXG55" s="44"/>
      <c r="LXH55" s="44"/>
      <c r="LXI55" s="44"/>
      <c r="LXJ55" s="44"/>
      <c r="LXK55" s="44"/>
      <c r="LXL55" s="44"/>
      <c r="LXM55" s="44"/>
      <c r="LXN55" s="44"/>
      <c r="LXO55" s="44"/>
      <c r="LXP55" s="44"/>
      <c r="LXQ55" s="44"/>
      <c r="LXR55" s="44"/>
      <c r="LXS55" s="44"/>
      <c r="LXT55" s="44"/>
      <c r="LXU55" s="44"/>
      <c r="LXV55" s="44"/>
      <c r="LXW55" s="44"/>
      <c r="LXX55" s="44"/>
      <c r="LXY55" s="44"/>
      <c r="LXZ55" s="44"/>
      <c r="LYA55" s="44"/>
      <c r="LYB55" s="44"/>
      <c r="LYC55" s="44"/>
      <c r="LYD55" s="44"/>
      <c r="LYE55" s="44"/>
      <c r="LYF55" s="44"/>
      <c r="LYG55" s="44"/>
      <c r="LYH55" s="44"/>
      <c r="LYI55" s="44"/>
      <c r="LYJ55" s="44"/>
      <c r="LYK55" s="44"/>
      <c r="LYL55" s="44"/>
      <c r="LYM55" s="44"/>
      <c r="LYN55" s="44"/>
      <c r="LYO55" s="44"/>
      <c r="LYP55" s="44"/>
      <c r="LYQ55" s="44"/>
      <c r="LYR55" s="44"/>
      <c r="LYS55" s="44"/>
      <c r="LYT55" s="44"/>
      <c r="LYU55" s="44"/>
      <c r="LYV55" s="44"/>
      <c r="LYW55" s="44"/>
      <c r="LYX55" s="44"/>
      <c r="LYY55" s="44"/>
      <c r="LYZ55" s="44"/>
      <c r="LZA55" s="44"/>
      <c r="LZB55" s="44"/>
      <c r="LZC55" s="44"/>
      <c r="LZD55" s="44"/>
      <c r="LZE55" s="44"/>
      <c r="LZF55" s="44"/>
      <c r="LZG55" s="44"/>
      <c r="LZH55" s="44"/>
      <c r="LZI55" s="44"/>
      <c r="LZJ55" s="44"/>
      <c r="LZK55" s="44"/>
      <c r="LZL55" s="44"/>
      <c r="LZM55" s="44"/>
      <c r="LZN55" s="44"/>
      <c r="LZO55" s="44"/>
      <c r="LZP55" s="44"/>
      <c r="LZQ55" s="44"/>
      <c r="LZR55" s="44"/>
      <c r="LZS55" s="44"/>
      <c r="LZT55" s="44"/>
      <c r="LZU55" s="44"/>
      <c r="LZV55" s="44"/>
      <c r="LZW55" s="44"/>
      <c r="LZX55" s="44"/>
      <c r="LZY55" s="44"/>
      <c r="LZZ55" s="44"/>
      <c r="MAA55" s="44"/>
      <c r="MAB55" s="44"/>
      <c r="MAC55" s="44"/>
      <c r="MAD55" s="44"/>
      <c r="MAE55" s="44"/>
      <c r="MAF55" s="44"/>
      <c r="MAG55" s="44"/>
      <c r="MAH55" s="44"/>
      <c r="MAI55" s="44"/>
      <c r="MAJ55" s="44"/>
      <c r="MAK55" s="44"/>
      <c r="MAL55" s="44"/>
      <c r="MAM55" s="44"/>
      <c r="MAN55" s="44"/>
      <c r="MAO55" s="44"/>
      <c r="MAP55" s="44"/>
      <c r="MAQ55" s="44"/>
      <c r="MAR55" s="44"/>
      <c r="MAS55" s="44"/>
      <c r="MAT55" s="44"/>
      <c r="MAU55" s="44"/>
      <c r="MAV55" s="44"/>
      <c r="MAW55" s="44"/>
      <c r="MAX55" s="44"/>
      <c r="MAY55" s="44"/>
      <c r="MAZ55" s="44"/>
      <c r="MBA55" s="44"/>
      <c r="MBB55" s="44"/>
      <c r="MBC55" s="44"/>
      <c r="MBD55" s="44"/>
      <c r="MBE55" s="44"/>
      <c r="MBF55" s="44"/>
      <c r="MBG55" s="44"/>
      <c r="MBH55" s="44"/>
      <c r="MBI55" s="44"/>
      <c r="MBJ55" s="44"/>
      <c r="MBK55" s="44"/>
      <c r="MBL55" s="44"/>
      <c r="MBM55" s="44"/>
      <c r="MBN55" s="44"/>
      <c r="MBO55" s="44"/>
      <c r="MBP55" s="44"/>
      <c r="MBQ55" s="44"/>
      <c r="MBR55" s="44"/>
      <c r="MBS55" s="44"/>
      <c r="MBT55" s="44"/>
      <c r="MBU55" s="44"/>
      <c r="MBV55" s="44"/>
      <c r="MBW55" s="44"/>
      <c r="MBX55" s="44"/>
      <c r="MBY55" s="44"/>
      <c r="MBZ55" s="44"/>
      <c r="MCA55" s="44"/>
      <c r="MCB55" s="44"/>
      <c r="MCC55" s="44"/>
      <c r="MCD55" s="44"/>
      <c r="MCE55" s="44"/>
      <c r="MCF55" s="44"/>
      <c r="MCG55" s="44"/>
      <c r="MCH55" s="44"/>
      <c r="MCI55" s="44"/>
      <c r="MCJ55" s="44"/>
      <c r="MCK55" s="44"/>
      <c r="MCL55" s="44"/>
      <c r="MCM55" s="44"/>
      <c r="MCN55" s="44"/>
      <c r="MCO55" s="44"/>
      <c r="MCP55" s="44"/>
      <c r="MCQ55" s="44"/>
      <c r="MCR55" s="44"/>
      <c r="MCS55" s="44"/>
      <c r="MCT55" s="44"/>
      <c r="MCU55" s="44"/>
      <c r="MCV55" s="44"/>
      <c r="MCW55" s="44"/>
      <c r="MCX55" s="44"/>
      <c r="MCY55" s="44"/>
      <c r="MCZ55" s="44"/>
      <c r="MDA55" s="44"/>
      <c r="MDB55" s="44"/>
      <c r="MDC55" s="44"/>
      <c r="MDD55" s="44"/>
      <c r="MDE55" s="44"/>
      <c r="MDF55" s="44"/>
      <c r="MDG55" s="44"/>
      <c r="MDH55" s="44"/>
      <c r="MDI55" s="44"/>
      <c r="MDJ55" s="44"/>
      <c r="MDK55" s="44"/>
      <c r="MDL55" s="44"/>
      <c r="MDM55" s="44"/>
      <c r="MDN55" s="44"/>
      <c r="MDO55" s="44"/>
      <c r="MDP55" s="44"/>
      <c r="MDQ55" s="44"/>
      <c r="MDR55" s="44"/>
      <c r="MDS55" s="44"/>
      <c r="MDT55" s="44"/>
      <c r="MDU55" s="44"/>
      <c r="MDV55" s="44"/>
      <c r="MDW55" s="44"/>
      <c r="MDX55" s="44"/>
      <c r="MDY55" s="44"/>
      <c r="MDZ55" s="44"/>
      <c r="MEA55" s="44"/>
      <c r="MEB55" s="44"/>
      <c r="MEC55" s="44"/>
      <c r="MED55" s="44"/>
      <c r="MEE55" s="44"/>
      <c r="MEF55" s="44"/>
      <c r="MEG55" s="44"/>
      <c r="MEH55" s="44"/>
      <c r="MEI55" s="44"/>
      <c r="MEJ55" s="44"/>
      <c r="MEK55" s="44"/>
      <c r="MEL55" s="44"/>
      <c r="MEM55" s="44"/>
      <c r="MEN55" s="44"/>
      <c r="MEO55" s="44"/>
      <c r="MEP55" s="44"/>
      <c r="MEQ55" s="44"/>
      <c r="MER55" s="44"/>
      <c r="MES55" s="44"/>
      <c r="MET55" s="44"/>
      <c r="MEU55" s="44"/>
      <c r="MEV55" s="44"/>
      <c r="MEW55" s="44"/>
      <c r="MEX55" s="44"/>
      <c r="MEY55" s="44"/>
      <c r="MEZ55" s="44"/>
      <c r="MFA55" s="44"/>
      <c r="MFB55" s="44"/>
      <c r="MFC55" s="44"/>
      <c r="MFD55" s="44"/>
      <c r="MFE55" s="44"/>
      <c r="MFF55" s="44"/>
      <c r="MFG55" s="44"/>
      <c r="MFH55" s="44"/>
      <c r="MFI55" s="44"/>
      <c r="MFJ55" s="44"/>
      <c r="MFK55" s="44"/>
      <c r="MFL55" s="44"/>
      <c r="MFM55" s="44"/>
      <c r="MFN55" s="44"/>
      <c r="MFO55" s="44"/>
      <c r="MFP55" s="44"/>
      <c r="MFQ55" s="44"/>
      <c r="MFR55" s="44"/>
      <c r="MFS55" s="44"/>
      <c r="MFT55" s="44"/>
      <c r="MFU55" s="44"/>
      <c r="MFV55" s="44"/>
      <c r="MFW55" s="44"/>
      <c r="MFX55" s="44"/>
      <c r="MFY55" s="44"/>
      <c r="MFZ55" s="44"/>
      <c r="MGA55" s="44"/>
      <c r="MGB55" s="44"/>
      <c r="MGC55" s="44"/>
      <c r="MGD55" s="44"/>
      <c r="MGE55" s="44"/>
      <c r="MGF55" s="44"/>
      <c r="MGG55" s="44"/>
      <c r="MGH55" s="44"/>
      <c r="MGI55" s="44"/>
      <c r="MGJ55" s="44"/>
      <c r="MGK55" s="44"/>
      <c r="MGL55" s="44"/>
      <c r="MGM55" s="44"/>
      <c r="MGN55" s="44"/>
      <c r="MGO55" s="44"/>
      <c r="MGP55" s="44"/>
      <c r="MGQ55" s="44"/>
      <c r="MGR55" s="44"/>
      <c r="MGS55" s="44"/>
      <c r="MGT55" s="44"/>
      <c r="MGU55" s="44"/>
      <c r="MGV55" s="44"/>
      <c r="MGW55" s="44"/>
      <c r="MGX55" s="44"/>
      <c r="MGY55" s="44"/>
      <c r="MGZ55" s="44"/>
      <c r="MHA55" s="44"/>
      <c r="MHB55" s="44"/>
      <c r="MHC55" s="44"/>
      <c r="MHD55" s="44"/>
      <c r="MHE55" s="44"/>
      <c r="MHF55" s="44"/>
      <c r="MHG55" s="44"/>
      <c r="MHH55" s="44"/>
      <c r="MHI55" s="44"/>
      <c r="MHJ55" s="44"/>
      <c r="MHK55" s="44"/>
      <c r="MHL55" s="44"/>
      <c r="MHM55" s="44"/>
      <c r="MHN55" s="44"/>
      <c r="MHO55" s="44"/>
      <c r="MHP55" s="44"/>
      <c r="MHQ55" s="44"/>
      <c r="MHR55" s="44"/>
      <c r="MHS55" s="44"/>
      <c r="MHT55" s="44"/>
      <c r="MHU55" s="44"/>
      <c r="MHV55" s="44"/>
      <c r="MHW55" s="44"/>
      <c r="MHX55" s="44"/>
      <c r="MHY55" s="44"/>
      <c r="MHZ55" s="44"/>
      <c r="MIA55" s="44"/>
      <c r="MIB55" s="44"/>
      <c r="MIC55" s="44"/>
      <c r="MID55" s="44"/>
      <c r="MIE55" s="44"/>
      <c r="MIF55" s="44"/>
      <c r="MIG55" s="44"/>
      <c r="MIH55" s="44"/>
      <c r="MII55" s="44"/>
      <c r="MIJ55" s="44"/>
      <c r="MIK55" s="44"/>
      <c r="MIL55" s="44"/>
      <c r="MIM55" s="44"/>
      <c r="MIN55" s="44"/>
      <c r="MIO55" s="44"/>
      <c r="MIP55" s="44"/>
      <c r="MIQ55" s="44"/>
      <c r="MIR55" s="44"/>
      <c r="MIS55" s="44"/>
      <c r="MIT55" s="44"/>
      <c r="MIU55" s="44"/>
      <c r="MIV55" s="44"/>
      <c r="MIW55" s="44"/>
      <c r="MIX55" s="44"/>
      <c r="MIY55" s="44"/>
      <c r="MIZ55" s="44"/>
      <c r="MJA55" s="44"/>
      <c r="MJB55" s="44"/>
      <c r="MJC55" s="44"/>
      <c r="MJD55" s="44"/>
      <c r="MJE55" s="44"/>
      <c r="MJF55" s="44"/>
      <c r="MJG55" s="44"/>
      <c r="MJH55" s="44"/>
      <c r="MJI55" s="44"/>
      <c r="MJJ55" s="44"/>
      <c r="MJK55" s="44"/>
      <c r="MJL55" s="44"/>
      <c r="MJM55" s="44"/>
      <c r="MJN55" s="44"/>
      <c r="MJO55" s="44"/>
      <c r="MJP55" s="44"/>
      <c r="MJQ55" s="44"/>
      <c r="MJR55" s="44"/>
      <c r="MJS55" s="44"/>
      <c r="MJT55" s="44"/>
      <c r="MJU55" s="44"/>
      <c r="MJV55" s="44"/>
      <c r="MJW55" s="44"/>
      <c r="MJX55" s="44"/>
      <c r="MJY55" s="44"/>
      <c r="MJZ55" s="44"/>
      <c r="MKA55" s="44"/>
      <c r="MKB55" s="44"/>
      <c r="MKC55" s="44"/>
      <c r="MKD55" s="44"/>
      <c r="MKE55" s="44"/>
      <c r="MKF55" s="44"/>
      <c r="MKG55" s="44"/>
      <c r="MKH55" s="44"/>
      <c r="MKI55" s="44"/>
      <c r="MKJ55" s="44"/>
      <c r="MKK55" s="44"/>
      <c r="MKL55" s="44"/>
      <c r="MKM55" s="44"/>
      <c r="MKN55" s="44"/>
      <c r="MKO55" s="44"/>
      <c r="MKP55" s="44"/>
      <c r="MKQ55" s="44"/>
      <c r="MKR55" s="44"/>
      <c r="MKS55" s="44"/>
      <c r="MKT55" s="44"/>
      <c r="MKU55" s="44"/>
      <c r="MKV55" s="44"/>
      <c r="MKW55" s="44"/>
      <c r="MKX55" s="44"/>
      <c r="MKY55" s="44"/>
      <c r="MKZ55" s="44"/>
      <c r="MLA55" s="44"/>
      <c r="MLB55" s="44"/>
      <c r="MLC55" s="44"/>
      <c r="MLD55" s="44"/>
      <c r="MLE55" s="44"/>
      <c r="MLF55" s="44"/>
      <c r="MLG55" s="44"/>
      <c r="MLH55" s="44"/>
      <c r="MLI55" s="44"/>
      <c r="MLJ55" s="44"/>
      <c r="MLK55" s="44"/>
      <c r="MLL55" s="44"/>
      <c r="MLM55" s="44"/>
      <c r="MLN55" s="44"/>
      <c r="MLO55" s="44"/>
      <c r="MLP55" s="44"/>
      <c r="MLQ55" s="44"/>
      <c r="MLR55" s="44"/>
      <c r="MLS55" s="44"/>
      <c r="MLT55" s="44"/>
      <c r="MLU55" s="44"/>
      <c r="MLV55" s="44"/>
      <c r="MLW55" s="44"/>
      <c r="MLX55" s="44"/>
      <c r="MLY55" s="44"/>
      <c r="MLZ55" s="44"/>
      <c r="MMA55" s="44"/>
      <c r="MMB55" s="44"/>
      <c r="MMC55" s="44"/>
      <c r="MMD55" s="44"/>
      <c r="MME55" s="44"/>
      <c r="MMF55" s="44"/>
      <c r="MMG55" s="44"/>
      <c r="MMH55" s="44"/>
      <c r="MMI55" s="44"/>
      <c r="MMJ55" s="44"/>
      <c r="MMK55" s="44"/>
      <c r="MML55" s="44"/>
      <c r="MMM55" s="44"/>
      <c r="MMN55" s="44"/>
      <c r="MMO55" s="44"/>
      <c r="MMP55" s="44"/>
      <c r="MMQ55" s="44"/>
      <c r="MMR55" s="44"/>
      <c r="MMS55" s="44"/>
      <c r="MMT55" s="44"/>
      <c r="MMU55" s="44"/>
      <c r="MMV55" s="44"/>
      <c r="MMW55" s="44"/>
      <c r="MMX55" s="44"/>
      <c r="MMY55" s="44"/>
      <c r="MMZ55" s="44"/>
      <c r="MNA55" s="44"/>
      <c r="MNB55" s="44"/>
      <c r="MNC55" s="44"/>
      <c r="MND55" s="44"/>
      <c r="MNE55" s="44"/>
      <c r="MNF55" s="44"/>
      <c r="MNG55" s="44"/>
      <c r="MNH55" s="44"/>
      <c r="MNI55" s="44"/>
      <c r="MNJ55" s="44"/>
      <c r="MNK55" s="44"/>
      <c r="MNL55" s="44"/>
      <c r="MNM55" s="44"/>
      <c r="MNN55" s="44"/>
      <c r="MNO55" s="44"/>
      <c r="MNP55" s="44"/>
      <c r="MNQ55" s="44"/>
      <c r="MNR55" s="44"/>
      <c r="MNS55" s="44"/>
      <c r="MNT55" s="44"/>
      <c r="MNU55" s="44"/>
      <c r="MNV55" s="44"/>
      <c r="MNW55" s="44"/>
      <c r="MNX55" s="44"/>
      <c r="MNY55" s="44"/>
      <c r="MNZ55" s="44"/>
      <c r="MOA55" s="44"/>
      <c r="MOB55" s="44"/>
      <c r="MOC55" s="44"/>
      <c r="MOD55" s="44"/>
      <c r="MOE55" s="44"/>
      <c r="MOF55" s="44"/>
      <c r="MOG55" s="44"/>
      <c r="MOH55" s="44"/>
      <c r="MOI55" s="44"/>
      <c r="MOJ55" s="44"/>
      <c r="MOK55" s="44"/>
      <c r="MOL55" s="44"/>
      <c r="MOM55" s="44"/>
      <c r="MON55" s="44"/>
      <c r="MOO55" s="44"/>
      <c r="MOP55" s="44"/>
      <c r="MOQ55" s="44"/>
      <c r="MOR55" s="44"/>
      <c r="MOS55" s="44"/>
      <c r="MOT55" s="44"/>
      <c r="MOU55" s="44"/>
      <c r="MOV55" s="44"/>
      <c r="MOW55" s="44"/>
      <c r="MOX55" s="44"/>
      <c r="MOY55" s="44"/>
      <c r="MOZ55" s="44"/>
      <c r="MPA55" s="44"/>
      <c r="MPB55" s="44"/>
      <c r="MPC55" s="44"/>
      <c r="MPD55" s="44"/>
      <c r="MPE55" s="44"/>
      <c r="MPF55" s="44"/>
      <c r="MPG55" s="44"/>
      <c r="MPH55" s="44"/>
      <c r="MPI55" s="44"/>
      <c r="MPJ55" s="44"/>
      <c r="MPK55" s="44"/>
      <c r="MPL55" s="44"/>
      <c r="MPM55" s="44"/>
      <c r="MPN55" s="44"/>
      <c r="MPO55" s="44"/>
      <c r="MPP55" s="44"/>
      <c r="MPQ55" s="44"/>
      <c r="MPR55" s="44"/>
      <c r="MPS55" s="44"/>
      <c r="MPT55" s="44"/>
      <c r="MPU55" s="44"/>
      <c r="MPV55" s="44"/>
      <c r="MPW55" s="44"/>
      <c r="MPX55" s="44"/>
      <c r="MPY55" s="44"/>
      <c r="MPZ55" s="44"/>
      <c r="MQA55" s="44"/>
      <c r="MQB55" s="44"/>
      <c r="MQC55" s="44"/>
      <c r="MQD55" s="44"/>
      <c r="MQE55" s="44"/>
      <c r="MQF55" s="44"/>
      <c r="MQG55" s="44"/>
      <c r="MQH55" s="44"/>
      <c r="MQI55" s="44"/>
      <c r="MQJ55" s="44"/>
      <c r="MQK55" s="44"/>
      <c r="MQL55" s="44"/>
      <c r="MQM55" s="44"/>
      <c r="MQN55" s="44"/>
      <c r="MQO55" s="44"/>
      <c r="MQP55" s="44"/>
      <c r="MQQ55" s="44"/>
      <c r="MQR55" s="44"/>
      <c r="MQS55" s="44"/>
      <c r="MQT55" s="44"/>
      <c r="MQU55" s="44"/>
      <c r="MQV55" s="44"/>
      <c r="MQW55" s="44"/>
      <c r="MQX55" s="44"/>
      <c r="MQY55" s="44"/>
      <c r="MQZ55" s="44"/>
      <c r="MRA55" s="44"/>
      <c r="MRB55" s="44"/>
      <c r="MRC55" s="44"/>
      <c r="MRD55" s="44"/>
      <c r="MRE55" s="44"/>
      <c r="MRF55" s="44"/>
      <c r="MRG55" s="44"/>
      <c r="MRH55" s="44"/>
      <c r="MRI55" s="44"/>
      <c r="MRJ55" s="44"/>
      <c r="MRK55" s="44"/>
      <c r="MRL55" s="44"/>
      <c r="MRM55" s="44"/>
      <c r="MRN55" s="44"/>
      <c r="MRO55" s="44"/>
      <c r="MRP55" s="44"/>
      <c r="MRQ55" s="44"/>
      <c r="MRR55" s="44"/>
      <c r="MRS55" s="44"/>
      <c r="MRT55" s="44"/>
      <c r="MRU55" s="44"/>
      <c r="MRV55" s="44"/>
      <c r="MRW55" s="44"/>
      <c r="MRX55" s="44"/>
      <c r="MRY55" s="44"/>
      <c r="MRZ55" s="44"/>
      <c r="MSA55" s="44"/>
      <c r="MSB55" s="44"/>
      <c r="MSC55" s="44"/>
      <c r="MSD55" s="44"/>
      <c r="MSE55" s="44"/>
      <c r="MSF55" s="44"/>
      <c r="MSG55" s="44"/>
      <c r="MSH55" s="44"/>
      <c r="MSI55" s="44"/>
      <c r="MSJ55" s="44"/>
      <c r="MSK55" s="44"/>
      <c r="MSL55" s="44"/>
      <c r="MSM55" s="44"/>
      <c r="MSN55" s="44"/>
      <c r="MSO55" s="44"/>
      <c r="MSP55" s="44"/>
      <c r="MSQ55" s="44"/>
      <c r="MSR55" s="44"/>
      <c r="MSS55" s="44"/>
      <c r="MST55" s="44"/>
      <c r="MSU55" s="44"/>
      <c r="MSV55" s="44"/>
      <c r="MSW55" s="44"/>
      <c r="MSX55" s="44"/>
      <c r="MSY55" s="44"/>
      <c r="MSZ55" s="44"/>
      <c r="MTA55" s="44"/>
      <c r="MTB55" s="44"/>
      <c r="MTC55" s="44"/>
      <c r="MTD55" s="44"/>
      <c r="MTE55" s="44"/>
      <c r="MTF55" s="44"/>
      <c r="MTG55" s="44"/>
      <c r="MTH55" s="44"/>
      <c r="MTI55" s="44"/>
      <c r="MTJ55" s="44"/>
      <c r="MTK55" s="44"/>
      <c r="MTL55" s="44"/>
      <c r="MTM55" s="44"/>
      <c r="MTN55" s="44"/>
      <c r="MTO55" s="44"/>
      <c r="MTP55" s="44"/>
      <c r="MTQ55" s="44"/>
      <c r="MTR55" s="44"/>
      <c r="MTS55" s="44"/>
      <c r="MTT55" s="44"/>
      <c r="MTU55" s="44"/>
      <c r="MTV55" s="44"/>
      <c r="MTW55" s="44"/>
      <c r="MTX55" s="44"/>
      <c r="MTY55" s="44"/>
      <c r="MTZ55" s="44"/>
      <c r="MUA55" s="44"/>
      <c r="MUB55" s="44"/>
      <c r="MUC55" s="44"/>
      <c r="MUD55" s="44"/>
      <c r="MUE55" s="44"/>
      <c r="MUF55" s="44"/>
      <c r="MUG55" s="44"/>
      <c r="MUH55" s="44"/>
      <c r="MUI55" s="44"/>
      <c r="MUJ55" s="44"/>
      <c r="MUK55" s="44"/>
      <c r="MUL55" s="44"/>
      <c r="MUM55" s="44"/>
      <c r="MUN55" s="44"/>
      <c r="MUO55" s="44"/>
      <c r="MUP55" s="44"/>
      <c r="MUQ55" s="44"/>
      <c r="MUR55" s="44"/>
      <c r="MUS55" s="44"/>
      <c r="MUT55" s="44"/>
      <c r="MUU55" s="44"/>
      <c r="MUV55" s="44"/>
      <c r="MUW55" s="44"/>
      <c r="MUX55" s="44"/>
      <c r="MUY55" s="44"/>
      <c r="MUZ55" s="44"/>
      <c r="MVA55" s="44"/>
      <c r="MVB55" s="44"/>
      <c r="MVC55" s="44"/>
      <c r="MVD55" s="44"/>
      <c r="MVE55" s="44"/>
      <c r="MVF55" s="44"/>
      <c r="MVG55" s="44"/>
      <c r="MVH55" s="44"/>
      <c r="MVI55" s="44"/>
      <c r="MVJ55" s="44"/>
      <c r="MVK55" s="44"/>
      <c r="MVL55" s="44"/>
      <c r="MVM55" s="44"/>
      <c r="MVN55" s="44"/>
      <c r="MVO55" s="44"/>
      <c r="MVP55" s="44"/>
      <c r="MVQ55" s="44"/>
      <c r="MVR55" s="44"/>
      <c r="MVS55" s="44"/>
      <c r="MVT55" s="44"/>
      <c r="MVU55" s="44"/>
      <c r="MVV55" s="44"/>
      <c r="MVW55" s="44"/>
      <c r="MVX55" s="44"/>
      <c r="MVY55" s="44"/>
      <c r="MVZ55" s="44"/>
      <c r="MWA55" s="44"/>
      <c r="MWB55" s="44"/>
      <c r="MWC55" s="44"/>
      <c r="MWD55" s="44"/>
      <c r="MWE55" s="44"/>
      <c r="MWF55" s="44"/>
      <c r="MWG55" s="44"/>
      <c r="MWH55" s="44"/>
      <c r="MWI55" s="44"/>
      <c r="MWJ55" s="44"/>
      <c r="MWK55" s="44"/>
      <c r="MWL55" s="44"/>
      <c r="MWM55" s="44"/>
      <c r="MWN55" s="44"/>
      <c r="MWO55" s="44"/>
      <c r="MWP55" s="44"/>
      <c r="MWQ55" s="44"/>
      <c r="MWR55" s="44"/>
      <c r="MWS55" s="44"/>
      <c r="MWT55" s="44"/>
      <c r="MWU55" s="44"/>
      <c r="MWV55" s="44"/>
      <c r="MWW55" s="44"/>
      <c r="MWX55" s="44"/>
      <c r="MWY55" s="44"/>
      <c r="MWZ55" s="44"/>
      <c r="MXA55" s="44"/>
      <c r="MXB55" s="44"/>
      <c r="MXC55" s="44"/>
      <c r="MXD55" s="44"/>
      <c r="MXE55" s="44"/>
      <c r="MXF55" s="44"/>
      <c r="MXG55" s="44"/>
      <c r="MXH55" s="44"/>
      <c r="MXI55" s="44"/>
      <c r="MXJ55" s="44"/>
      <c r="MXK55" s="44"/>
      <c r="MXL55" s="44"/>
      <c r="MXM55" s="44"/>
      <c r="MXN55" s="44"/>
      <c r="MXO55" s="44"/>
      <c r="MXP55" s="44"/>
      <c r="MXQ55" s="44"/>
      <c r="MXR55" s="44"/>
      <c r="MXS55" s="44"/>
      <c r="MXT55" s="44"/>
      <c r="MXU55" s="44"/>
      <c r="MXV55" s="44"/>
      <c r="MXW55" s="44"/>
      <c r="MXX55" s="44"/>
      <c r="MXY55" s="44"/>
      <c r="MXZ55" s="44"/>
      <c r="MYA55" s="44"/>
      <c r="MYB55" s="44"/>
      <c r="MYC55" s="44"/>
      <c r="MYD55" s="44"/>
      <c r="MYE55" s="44"/>
      <c r="MYF55" s="44"/>
      <c r="MYG55" s="44"/>
      <c r="MYH55" s="44"/>
      <c r="MYI55" s="44"/>
      <c r="MYJ55" s="44"/>
      <c r="MYK55" s="44"/>
      <c r="MYL55" s="44"/>
      <c r="MYM55" s="44"/>
      <c r="MYN55" s="44"/>
      <c r="MYO55" s="44"/>
      <c r="MYP55" s="44"/>
      <c r="MYQ55" s="44"/>
      <c r="MYR55" s="44"/>
      <c r="MYS55" s="44"/>
      <c r="MYT55" s="44"/>
      <c r="MYU55" s="44"/>
      <c r="MYV55" s="44"/>
      <c r="MYW55" s="44"/>
      <c r="MYX55" s="44"/>
      <c r="MYY55" s="44"/>
      <c r="MYZ55" s="44"/>
      <c r="MZA55" s="44"/>
      <c r="MZB55" s="44"/>
      <c r="MZC55" s="44"/>
      <c r="MZD55" s="44"/>
      <c r="MZE55" s="44"/>
      <c r="MZF55" s="44"/>
      <c r="MZG55" s="44"/>
      <c r="MZH55" s="44"/>
      <c r="MZI55" s="44"/>
      <c r="MZJ55" s="44"/>
      <c r="MZK55" s="44"/>
      <c r="MZL55" s="44"/>
      <c r="MZM55" s="44"/>
      <c r="MZN55" s="44"/>
      <c r="MZO55" s="44"/>
      <c r="MZP55" s="44"/>
      <c r="MZQ55" s="44"/>
      <c r="MZR55" s="44"/>
      <c r="MZS55" s="44"/>
      <c r="MZT55" s="44"/>
      <c r="MZU55" s="44"/>
      <c r="MZV55" s="44"/>
      <c r="MZW55" s="44"/>
      <c r="MZX55" s="44"/>
      <c r="MZY55" s="44"/>
      <c r="MZZ55" s="44"/>
      <c r="NAA55" s="44"/>
      <c r="NAB55" s="44"/>
      <c r="NAC55" s="44"/>
      <c r="NAD55" s="44"/>
      <c r="NAE55" s="44"/>
      <c r="NAF55" s="44"/>
      <c r="NAG55" s="44"/>
      <c r="NAH55" s="44"/>
      <c r="NAI55" s="44"/>
      <c r="NAJ55" s="44"/>
      <c r="NAK55" s="44"/>
      <c r="NAL55" s="44"/>
      <c r="NAM55" s="44"/>
      <c r="NAN55" s="44"/>
      <c r="NAO55" s="44"/>
      <c r="NAP55" s="44"/>
      <c r="NAQ55" s="44"/>
      <c r="NAR55" s="44"/>
      <c r="NAS55" s="44"/>
      <c r="NAT55" s="44"/>
      <c r="NAU55" s="44"/>
      <c r="NAV55" s="44"/>
      <c r="NAW55" s="44"/>
      <c r="NAX55" s="44"/>
      <c r="NAY55" s="44"/>
      <c r="NAZ55" s="44"/>
      <c r="NBA55" s="44"/>
      <c r="NBB55" s="44"/>
      <c r="NBC55" s="44"/>
      <c r="NBD55" s="44"/>
      <c r="NBE55" s="44"/>
      <c r="NBF55" s="44"/>
      <c r="NBG55" s="44"/>
      <c r="NBH55" s="44"/>
      <c r="NBI55" s="44"/>
      <c r="NBJ55" s="44"/>
      <c r="NBK55" s="44"/>
      <c r="NBL55" s="44"/>
      <c r="NBM55" s="44"/>
      <c r="NBN55" s="44"/>
      <c r="NBO55" s="44"/>
      <c r="NBP55" s="44"/>
      <c r="NBQ55" s="44"/>
      <c r="NBR55" s="44"/>
      <c r="NBS55" s="44"/>
      <c r="NBT55" s="44"/>
      <c r="NBU55" s="44"/>
      <c r="NBV55" s="44"/>
      <c r="NBW55" s="44"/>
      <c r="NBX55" s="44"/>
      <c r="NBY55" s="44"/>
      <c r="NBZ55" s="44"/>
      <c r="NCA55" s="44"/>
      <c r="NCB55" s="44"/>
      <c r="NCC55" s="44"/>
      <c r="NCD55" s="44"/>
      <c r="NCE55" s="44"/>
      <c r="NCF55" s="44"/>
      <c r="NCG55" s="44"/>
      <c r="NCH55" s="44"/>
      <c r="NCI55" s="44"/>
      <c r="NCJ55" s="44"/>
      <c r="NCK55" s="44"/>
      <c r="NCL55" s="44"/>
      <c r="NCM55" s="44"/>
      <c r="NCN55" s="44"/>
      <c r="NCO55" s="44"/>
      <c r="NCP55" s="44"/>
      <c r="NCQ55" s="44"/>
      <c r="NCR55" s="44"/>
      <c r="NCS55" s="44"/>
      <c r="NCT55" s="44"/>
      <c r="NCU55" s="44"/>
      <c r="NCV55" s="44"/>
      <c r="NCW55" s="44"/>
      <c r="NCX55" s="44"/>
      <c r="NCY55" s="44"/>
      <c r="NCZ55" s="44"/>
      <c r="NDA55" s="44"/>
      <c r="NDB55" s="44"/>
      <c r="NDC55" s="44"/>
      <c r="NDD55" s="44"/>
      <c r="NDE55" s="44"/>
      <c r="NDF55" s="44"/>
      <c r="NDG55" s="44"/>
      <c r="NDH55" s="44"/>
      <c r="NDI55" s="44"/>
      <c r="NDJ55" s="44"/>
      <c r="NDK55" s="44"/>
      <c r="NDL55" s="44"/>
      <c r="NDM55" s="44"/>
      <c r="NDN55" s="44"/>
      <c r="NDO55" s="44"/>
      <c r="NDP55" s="44"/>
      <c r="NDQ55" s="44"/>
      <c r="NDR55" s="44"/>
      <c r="NDS55" s="44"/>
      <c r="NDT55" s="44"/>
      <c r="NDU55" s="44"/>
      <c r="NDV55" s="44"/>
      <c r="NDW55" s="44"/>
      <c r="NDX55" s="44"/>
      <c r="NDY55" s="44"/>
      <c r="NDZ55" s="44"/>
      <c r="NEA55" s="44"/>
      <c r="NEB55" s="44"/>
      <c r="NEC55" s="44"/>
      <c r="NED55" s="44"/>
      <c r="NEE55" s="44"/>
      <c r="NEF55" s="44"/>
      <c r="NEG55" s="44"/>
      <c r="NEH55" s="44"/>
      <c r="NEI55" s="44"/>
      <c r="NEJ55" s="44"/>
      <c r="NEK55" s="44"/>
      <c r="NEL55" s="44"/>
      <c r="NEM55" s="44"/>
      <c r="NEN55" s="44"/>
      <c r="NEO55" s="44"/>
      <c r="NEP55" s="44"/>
      <c r="NEQ55" s="44"/>
      <c r="NER55" s="44"/>
      <c r="NES55" s="44"/>
      <c r="NET55" s="44"/>
      <c r="NEU55" s="44"/>
      <c r="NEV55" s="44"/>
      <c r="NEW55" s="44"/>
      <c r="NEX55" s="44"/>
      <c r="NEY55" s="44"/>
      <c r="NEZ55" s="44"/>
      <c r="NFA55" s="44"/>
      <c r="NFB55" s="44"/>
      <c r="NFC55" s="44"/>
      <c r="NFD55" s="44"/>
      <c r="NFE55" s="44"/>
      <c r="NFF55" s="44"/>
      <c r="NFG55" s="44"/>
      <c r="NFH55" s="44"/>
      <c r="NFI55" s="44"/>
      <c r="NFJ55" s="44"/>
      <c r="NFK55" s="44"/>
      <c r="NFL55" s="44"/>
      <c r="NFM55" s="44"/>
      <c r="NFN55" s="44"/>
      <c r="NFO55" s="44"/>
      <c r="NFP55" s="44"/>
      <c r="NFQ55" s="44"/>
      <c r="NFR55" s="44"/>
      <c r="NFS55" s="44"/>
      <c r="NFT55" s="44"/>
      <c r="NFU55" s="44"/>
      <c r="NFV55" s="44"/>
      <c r="NFW55" s="44"/>
      <c r="NFX55" s="44"/>
      <c r="NFY55" s="44"/>
      <c r="NFZ55" s="44"/>
      <c r="NGA55" s="44"/>
      <c r="NGB55" s="44"/>
      <c r="NGC55" s="44"/>
      <c r="NGD55" s="44"/>
      <c r="NGE55" s="44"/>
      <c r="NGF55" s="44"/>
      <c r="NGG55" s="44"/>
      <c r="NGH55" s="44"/>
      <c r="NGI55" s="44"/>
      <c r="NGJ55" s="44"/>
      <c r="NGK55" s="44"/>
      <c r="NGL55" s="44"/>
      <c r="NGM55" s="44"/>
      <c r="NGN55" s="44"/>
      <c r="NGO55" s="44"/>
      <c r="NGP55" s="44"/>
      <c r="NGQ55" s="44"/>
      <c r="NGR55" s="44"/>
      <c r="NGS55" s="44"/>
      <c r="NGT55" s="44"/>
      <c r="NGU55" s="44"/>
      <c r="NGV55" s="44"/>
      <c r="NGW55" s="44"/>
      <c r="NGX55" s="44"/>
      <c r="NGY55" s="44"/>
      <c r="NGZ55" s="44"/>
      <c r="NHA55" s="44"/>
      <c r="NHB55" s="44"/>
      <c r="NHC55" s="44"/>
      <c r="NHD55" s="44"/>
      <c r="NHE55" s="44"/>
      <c r="NHF55" s="44"/>
      <c r="NHG55" s="44"/>
      <c r="NHH55" s="44"/>
      <c r="NHI55" s="44"/>
      <c r="NHJ55" s="44"/>
      <c r="NHK55" s="44"/>
      <c r="NHL55" s="44"/>
      <c r="NHM55" s="44"/>
      <c r="NHN55" s="44"/>
      <c r="NHO55" s="44"/>
      <c r="NHP55" s="44"/>
      <c r="NHQ55" s="44"/>
      <c r="NHR55" s="44"/>
      <c r="NHS55" s="44"/>
      <c r="NHT55" s="44"/>
      <c r="NHU55" s="44"/>
      <c r="NHV55" s="44"/>
      <c r="NHW55" s="44"/>
      <c r="NHX55" s="44"/>
      <c r="NHY55" s="44"/>
      <c r="NHZ55" s="44"/>
      <c r="NIA55" s="44"/>
      <c r="NIB55" s="44"/>
      <c r="NIC55" s="44"/>
      <c r="NID55" s="44"/>
      <c r="NIE55" s="44"/>
      <c r="NIF55" s="44"/>
      <c r="NIG55" s="44"/>
      <c r="NIH55" s="44"/>
      <c r="NII55" s="44"/>
      <c r="NIJ55" s="44"/>
      <c r="NIK55" s="44"/>
      <c r="NIL55" s="44"/>
      <c r="NIM55" s="44"/>
      <c r="NIN55" s="44"/>
      <c r="NIO55" s="44"/>
      <c r="NIP55" s="44"/>
      <c r="NIQ55" s="44"/>
      <c r="NIR55" s="44"/>
      <c r="NIS55" s="44"/>
      <c r="NIT55" s="44"/>
      <c r="NIU55" s="44"/>
      <c r="NIV55" s="44"/>
      <c r="NIW55" s="44"/>
      <c r="NIX55" s="44"/>
      <c r="NIY55" s="44"/>
      <c r="NIZ55" s="44"/>
      <c r="NJA55" s="44"/>
      <c r="NJB55" s="44"/>
      <c r="NJC55" s="44"/>
      <c r="NJD55" s="44"/>
      <c r="NJE55" s="44"/>
      <c r="NJF55" s="44"/>
      <c r="NJG55" s="44"/>
      <c r="NJH55" s="44"/>
      <c r="NJI55" s="44"/>
      <c r="NJJ55" s="44"/>
      <c r="NJK55" s="44"/>
      <c r="NJL55" s="44"/>
      <c r="NJM55" s="44"/>
      <c r="NJN55" s="44"/>
      <c r="NJO55" s="44"/>
      <c r="NJP55" s="44"/>
      <c r="NJQ55" s="44"/>
      <c r="NJR55" s="44"/>
      <c r="NJS55" s="44"/>
      <c r="NJT55" s="44"/>
      <c r="NJU55" s="44"/>
      <c r="NJV55" s="44"/>
      <c r="NJW55" s="44"/>
      <c r="NJX55" s="44"/>
      <c r="NJY55" s="44"/>
      <c r="NJZ55" s="44"/>
      <c r="NKA55" s="44"/>
      <c r="NKB55" s="44"/>
      <c r="NKC55" s="44"/>
      <c r="NKD55" s="44"/>
      <c r="NKE55" s="44"/>
      <c r="NKF55" s="44"/>
      <c r="NKG55" s="44"/>
      <c r="NKH55" s="44"/>
      <c r="NKI55" s="44"/>
      <c r="NKJ55" s="44"/>
      <c r="NKK55" s="44"/>
      <c r="NKL55" s="44"/>
      <c r="NKM55" s="44"/>
      <c r="NKN55" s="44"/>
      <c r="NKO55" s="44"/>
      <c r="NKP55" s="44"/>
      <c r="NKQ55" s="44"/>
      <c r="NKR55" s="44"/>
      <c r="NKS55" s="44"/>
      <c r="NKT55" s="44"/>
      <c r="NKU55" s="44"/>
      <c r="NKV55" s="44"/>
      <c r="NKW55" s="44"/>
      <c r="NKX55" s="44"/>
      <c r="NKY55" s="44"/>
      <c r="NKZ55" s="44"/>
      <c r="NLA55" s="44"/>
      <c r="NLB55" s="44"/>
      <c r="NLC55" s="44"/>
      <c r="NLD55" s="44"/>
      <c r="NLE55" s="44"/>
      <c r="NLF55" s="44"/>
      <c r="NLG55" s="44"/>
      <c r="NLH55" s="44"/>
      <c r="NLI55" s="44"/>
      <c r="NLJ55" s="44"/>
      <c r="NLK55" s="44"/>
      <c r="NLL55" s="44"/>
      <c r="NLM55" s="44"/>
      <c r="NLN55" s="44"/>
      <c r="NLO55" s="44"/>
      <c r="NLP55" s="44"/>
      <c r="NLQ55" s="44"/>
      <c r="NLR55" s="44"/>
      <c r="NLS55" s="44"/>
      <c r="NLT55" s="44"/>
      <c r="NLU55" s="44"/>
      <c r="NLV55" s="44"/>
      <c r="NLW55" s="44"/>
      <c r="NLX55" s="44"/>
      <c r="NLY55" s="44"/>
      <c r="NLZ55" s="44"/>
      <c r="NMA55" s="44"/>
      <c r="NMB55" s="44"/>
      <c r="NMC55" s="44"/>
      <c r="NMD55" s="44"/>
      <c r="NME55" s="44"/>
      <c r="NMF55" s="44"/>
      <c r="NMG55" s="44"/>
      <c r="NMH55" s="44"/>
      <c r="NMI55" s="44"/>
      <c r="NMJ55" s="44"/>
      <c r="NMK55" s="44"/>
      <c r="NML55" s="44"/>
      <c r="NMM55" s="44"/>
      <c r="NMN55" s="44"/>
      <c r="NMO55" s="44"/>
      <c r="NMP55" s="44"/>
      <c r="NMQ55" s="44"/>
      <c r="NMR55" s="44"/>
      <c r="NMS55" s="44"/>
      <c r="NMT55" s="44"/>
      <c r="NMU55" s="44"/>
      <c r="NMV55" s="44"/>
      <c r="NMW55" s="44"/>
      <c r="NMX55" s="44"/>
      <c r="NMY55" s="44"/>
      <c r="NMZ55" s="44"/>
      <c r="NNA55" s="44"/>
      <c r="NNB55" s="44"/>
      <c r="NNC55" s="44"/>
      <c r="NND55" s="44"/>
      <c r="NNE55" s="44"/>
      <c r="NNF55" s="44"/>
      <c r="NNG55" s="44"/>
      <c r="NNH55" s="44"/>
      <c r="NNI55" s="44"/>
      <c r="NNJ55" s="44"/>
      <c r="NNK55" s="44"/>
      <c r="NNL55" s="44"/>
      <c r="NNM55" s="44"/>
      <c r="NNN55" s="44"/>
      <c r="NNO55" s="44"/>
      <c r="NNP55" s="44"/>
      <c r="NNQ55" s="44"/>
      <c r="NNR55" s="44"/>
      <c r="NNS55" s="44"/>
      <c r="NNT55" s="44"/>
      <c r="NNU55" s="44"/>
      <c r="NNV55" s="44"/>
      <c r="NNW55" s="44"/>
      <c r="NNX55" s="44"/>
      <c r="NNY55" s="44"/>
      <c r="NNZ55" s="44"/>
      <c r="NOA55" s="44"/>
      <c r="NOB55" s="44"/>
      <c r="NOC55" s="44"/>
      <c r="NOD55" s="44"/>
      <c r="NOE55" s="44"/>
      <c r="NOF55" s="44"/>
      <c r="NOG55" s="44"/>
      <c r="NOH55" s="44"/>
      <c r="NOI55" s="44"/>
      <c r="NOJ55" s="44"/>
      <c r="NOK55" s="44"/>
      <c r="NOL55" s="44"/>
      <c r="NOM55" s="44"/>
      <c r="NON55" s="44"/>
      <c r="NOO55" s="44"/>
      <c r="NOP55" s="44"/>
      <c r="NOQ55" s="44"/>
      <c r="NOR55" s="44"/>
      <c r="NOS55" s="44"/>
      <c r="NOT55" s="44"/>
      <c r="NOU55" s="44"/>
      <c r="NOV55" s="44"/>
      <c r="NOW55" s="44"/>
      <c r="NOX55" s="44"/>
      <c r="NOY55" s="44"/>
      <c r="NOZ55" s="44"/>
      <c r="NPA55" s="44"/>
      <c r="NPB55" s="44"/>
      <c r="NPC55" s="44"/>
      <c r="NPD55" s="44"/>
      <c r="NPE55" s="44"/>
      <c r="NPF55" s="44"/>
      <c r="NPG55" s="44"/>
      <c r="NPH55" s="44"/>
      <c r="NPI55" s="44"/>
      <c r="NPJ55" s="44"/>
      <c r="NPK55" s="44"/>
      <c r="NPL55" s="44"/>
      <c r="NPM55" s="44"/>
      <c r="NPN55" s="44"/>
      <c r="NPO55" s="44"/>
      <c r="NPP55" s="44"/>
      <c r="NPQ55" s="44"/>
      <c r="NPR55" s="44"/>
      <c r="NPS55" s="44"/>
      <c r="NPT55" s="44"/>
      <c r="NPU55" s="44"/>
      <c r="NPV55" s="44"/>
      <c r="NPW55" s="44"/>
      <c r="NPX55" s="44"/>
      <c r="NPY55" s="44"/>
      <c r="NPZ55" s="44"/>
      <c r="NQA55" s="44"/>
      <c r="NQB55" s="44"/>
      <c r="NQC55" s="44"/>
      <c r="NQD55" s="44"/>
      <c r="NQE55" s="44"/>
      <c r="NQF55" s="44"/>
      <c r="NQG55" s="44"/>
      <c r="NQH55" s="44"/>
      <c r="NQI55" s="44"/>
      <c r="NQJ55" s="44"/>
      <c r="NQK55" s="44"/>
      <c r="NQL55" s="44"/>
      <c r="NQM55" s="44"/>
      <c r="NQN55" s="44"/>
      <c r="NQO55" s="44"/>
      <c r="NQP55" s="44"/>
      <c r="NQQ55" s="44"/>
      <c r="NQR55" s="44"/>
      <c r="NQS55" s="44"/>
      <c r="NQT55" s="44"/>
      <c r="NQU55" s="44"/>
      <c r="NQV55" s="44"/>
      <c r="NQW55" s="44"/>
      <c r="NQX55" s="44"/>
      <c r="NQY55" s="44"/>
      <c r="NQZ55" s="44"/>
      <c r="NRA55" s="44"/>
      <c r="NRB55" s="44"/>
      <c r="NRC55" s="44"/>
      <c r="NRD55" s="44"/>
      <c r="NRE55" s="44"/>
      <c r="NRF55" s="44"/>
      <c r="NRG55" s="44"/>
      <c r="NRH55" s="44"/>
      <c r="NRI55" s="44"/>
      <c r="NRJ55" s="44"/>
      <c r="NRK55" s="44"/>
      <c r="NRL55" s="44"/>
      <c r="NRM55" s="44"/>
      <c r="NRN55" s="44"/>
      <c r="NRO55" s="44"/>
      <c r="NRP55" s="44"/>
      <c r="NRQ55" s="44"/>
      <c r="NRR55" s="44"/>
      <c r="NRS55" s="44"/>
      <c r="NRT55" s="44"/>
      <c r="NRU55" s="44"/>
      <c r="NRV55" s="44"/>
      <c r="NRW55" s="44"/>
      <c r="NRX55" s="44"/>
      <c r="NRY55" s="44"/>
      <c r="NRZ55" s="44"/>
      <c r="NSA55" s="44"/>
      <c r="NSB55" s="44"/>
      <c r="NSC55" s="44"/>
      <c r="NSD55" s="44"/>
      <c r="NSE55" s="44"/>
      <c r="NSF55" s="44"/>
      <c r="NSG55" s="44"/>
      <c r="NSH55" s="44"/>
      <c r="NSI55" s="44"/>
      <c r="NSJ55" s="44"/>
      <c r="NSK55" s="44"/>
      <c r="NSL55" s="44"/>
      <c r="NSM55" s="44"/>
      <c r="NSN55" s="44"/>
      <c r="NSO55" s="44"/>
      <c r="NSP55" s="44"/>
      <c r="NSQ55" s="44"/>
      <c r="NSR55" s="44"/>
      <c r="NSS55" s="44"/>
      <c r="NST55" s="44"/>
      <c r="NSU55" s="44"/>
      <c r="NSV55" s="44"/>
      <c r="NSW55" s="44"/>
      <c r="NSX55" s="44"/>
      <c r="NSY55" s="44"/>
      <c r="NSZ55" s="44"/>
      <c r="NTA55" s="44"/>
      <c r="NTB55" s="44"/>
      <c r="NTC55" s="44"/>
      <c r="NTD55" s="44"/>
      <c r="NTE55" s="44"/>
      <c r="NTF55" s="44"/>
      <c r="NTG55" s="44"/>
      <c r="NTH55" s="44"/>
      <c r="NTI55" s="44"/>
      <c r="NTJ55" s="44"/>
      <c r="NTK55" s="44"/>
      <c r="NTL55" s="44"/>
      <c r="NTM55" s="44"/>
      <c r="NTN55" s="44"/>
      <c r="NTO55" s="44"/>
      <c r="NTP55" s="44"/>
      <c r="NTQ55" s="44"/>
      <c r="NTR55" s="44"/>
      <c r="NTS55" s="44"/>
      <c r="NTT55" s="44"/>
      <c r="NTU55" s="44"/>
      <c r="NTV55" s="44"/>
      <c r="NTW55" s="44"/>
      <c r="NTX55" s="44"/>
      <c r="NTY55" s="44"/>
      <c r="NTZ55" s="44"/>
      <c r="NUA55" s="44"/>
      <c r="NUB55" s="44"/>
      <c r="NUC55" s="44"/>
      <c r="NUD55" s="44"/>
      <c r="NUE55" s="44"/>
      <c r="NUF55" s="44"/>
      <c r="NUG55" s="44"/>
      <c r="NUH55" s="44"/>
      <c r="NUI55" s="44"/>
      <c r="NUJ55" s="44"/>
      <c r="NUK55" s="44"/>
      <c r="NUL55" s="44"/>
      <c r="NUM55" s="44"/>
      <c r="NUN55" s="44"/>
      <c r="NUO55" s="44"/>
      <c r="NUP55" s="44"/>
      <c r="NUQ55" s="44"/>
      <c r="NUR55" s="44"/>
      <c r="NUS55" s="44"/>
      <c r="NUT55" s="44"/>
      <c r="NUU55" s="44"/>
      <c r="NUV55" s="44"/>
      <c r="NUW55" s="44"/>
      <c r="NUX55" s="44"/>
      <c r="NUY55" s="44"/>
      <c r="NUZ55" s="44"/>
      <c r="NVA55" s="44"/>
      <c r="NVB55" s="44"/>
      <c r="NVC55" s="44"/>
      <c r="NVD55" s="44"/>
      <c r="NVE55" s="44"/>
      <c r="NVF55" s="44"/>
      <c r="NVG55" s="44"/>
      <c r="NVH55" s="44"/>
      <c r="NVI55" s="44"/>
      <c r="NVJ55" s="44"/>
      <c r="NVK55" s="44"/>
      <c r="NVL55" s="44"/>
      <c r="NVM55" s="44"/>
      <c r="NVN55" s="44"/>
      <c r="NVO55" s="44"/>
      <c r="NVP55" s="44"/>
      <c r="NVQ55" s="44"/>
      <c r="NVR55" s="44"/>
      <c r="NVS55" s="44"/>
      <c r="NVT55" s="44"/>
      <c r="NVU55" s="44"/>
      <c r="NVV55" s="44"/>
      <c r="NVW55" s="44"/>
      <c r="NVX55" s="44"/>
      <c r="NVY55" s="44"/>
      <c r="NVZ55" s="44"/>
      <c r="NWA55" s="44"/>
      <c r="NWB55" s="44"/>
      <c r="NWC55" s="44"/>
      <c r="NWD55" s="44"/>
      <c r="NWE55" s="44"/>
      <c r="NWF55" s="44"/>
      <c r="NWG55" s="44"/>
      <c r="NWH55" s="44"/>
      <c r="NWI55" s="44"/>
      <c r="NWJ55" s="44"/>
      <c r="NWK55" s="44"/>
      <c r="NWL55" s="44"/>
      <c r="NWM55" s="44"/>
      <c r="NWN55" s="44"/>
      <c r="NWO55" s="44"/>
      <c r="NWP55" s="44"/>
      <c r="NWQ55" s="44"/>
      <c r="NWR55" s="44"/>
      <c r="NWS55" s="44"/>
      <c r="NWT55" s="44"/>
      <c r="NWU55" s="44"/>
      <c r="NWV55" s="44"/>
      <c r="NWW55" s="44"/>
      <c r="NWX55" s="44"/>
      <c r="NWY55" s="44"/>
      <c r="NWZ55" s="44"/>
      <c r="NXA55" s="44"/>
      <c r="NXB55" s="44"/>
      <c r="NXC55" s="44"/>
      <c r="NXD55" s="44"/>
      <c r="NXE55" s="44"/>
      <c r="NXF55" s="44"/>
      <c r="NXG55" s="44"/>
      <c r="NXH55" s="44"/>
      <c r="NXI55" s="44"/>
      <c r="NXJ55" s="44"/>
      <c r="NXK55" s="44"/>
      <c r="NXL55" s="44"/>
      <c r="NXM55" s="44"/>
      <c r="NXN55" s="44"/>
      <c r="NXO55" s="44"/>
      <c r="NXP55" s="44"/>
      <c r="NXQ55" s="44"/>
      <c r="NXR55" s="44"/>
      <c r="NXS55" s="44"/>
      <c r="NXT55" s="44"/>
      <c r="NXU55" s="44"/>
      <c r="NXV55" s="44"/>
      <c r="NXW55" s="44"/>
      <c r="NXX55" s="44"/>
      <c r="NXY55" s="44"/>
      <c r="NXZ55" s="44"/>
      <c r="NYA55" s="44"/>
      <c r="NYB55" s="44"/>
      <c r="NYC55" s="44"/>
      <c r="NYD55" s="44"/>
      <c r="NYE55" s="44"/>
      <c r="NYF55" s="44"/>
      <c r="NYG55" s="44"/>
      <c r="NYH55" s="44"/>
      <c r="NYI55" s="44"/>
      <c r="NYJ55" s="44"/>
      <c r="NYK55" s="44"/>
      <c r="NYL55" s="44"/>
      <c r="NYM55" s="44"/>
      <c r="NYN55" s="44"/>
      <c r="NYO55" s="44"/>
      <c r="NYP55" s="44"/>
      <c r="NYQ55" s="44"/>
      <c r="NYR55" s="44"/>
      <c r="NYS55" s="44"/>
      <c r="NYT55" s="44"/>
      <c r="NYU55" s="44"/>
      <c r="NYV55" s="44"/>
      <c r="NYW55" s="44"/>
      <c r="NYX55" s="44"/>
      <c r="NYY55" s="44"/>
      <c r="NYZ55" s="44"/>
      <c r="NZA55" s="44"/>
      <c r="NZB55" s="44"/>
      <c r="NZC55" s="44"/>
      <c r="NZD55" s="44"/>
      <c r="NZE55" s="44"/>
      <c r="NZF55" s="44"/>
      <c r="NZG55" s="44"/>
      <c r="NZH55" s="44"/>
      <c r="NZI55" s="44"/>
      <c r="NZJ55" s="44"/>
      <c r="NZK55" s="44"/>
      <c r="NZL55" s="44"/>
      <c r="NZM55" s="44"/>
      <c r="NZN55" s="44"/>
      <c r="NZO55" s="44"/>
      <c r="NZP55" s="44"/>
      <c r="NZQ55" s="44"/>
      <c r="NZR55" s="44"/>
      <c r="NZS55" s="44"/>
      <c r="NZT55" s="44"/>
      <c r="NZU55" s="44"/>
      <c r="NZV55" s="44"/>
      <c r="NZW55" s="44"/>
      <c r="NZX55" s="44"/>
      <c r="NZY55" s="44"/>
      <c r="NZZ55" s="44"/>
      <c r="OAA55" s="44"/>
      <c r="OAB55" s="44"/>
      <c r="OAC55" s="44"/>
      <c r="OAD55" s="44"/>
      <c r="OAE55" s="44"/>
      <c r="OAF55" s="44"/>
      <c r="OAG55" s="44"/>
      <c r="OAH55" s="44"/>
      <c r="OAI55" s="44"/>
      <c r="OAJ55" s="44"/>
      <c r="OAK55" s="44"/>
      <c r="OAL55" s="44"/>
      <c r="OAM55" s="44"/>
      <c r="OAN55" s="44"/>
      <c r="OAO55" s="44"/>
      <c r="OAP55" s="44"/>
      <c r="OAQ55" s="44"/>
      <c r="OAR55" s="44"/>
      <c r="OAS55" s="44"/>
      <c r="OAT55" s="44"/>
      <c r="OAU55" s="44"/>
      <c r="OAV55" s="44"/>
      <c r="OAW55" s="44"/>
      <c r="OAX55" s="44"/>
      <c r="OAY55" s="44"/>
      <c r="OAZ55" s="44"/>
      <c r="OBA55" s="44"/>
      <c r="OBB55" s="44"/>
      <c r="OBC55" s="44"/>
      <c r="OBD55" s="44"/>
      <c r="OBE55" s="44"/>
      <c r="OBF55" s="44"/>
      <c r="OBG55" s="44"/>
      <c r="OBH55" s="44"/>
      <c r="OBI55" s="44"/>
      <c r="OBJ55" s="44"/>
      <c r="OBK55" s="44"/>
      <c r="OBL55" s="44"/>
      <c r="OBM55" s="44"/>
      <c r="OBN55" s="44"/>
      <c r="OBO55" s="44"/>
      <c r="OBP55" s="44"/>
      <c r="OBQ55" s="44"/>
      <c r="OBR55" s="44"/>
      <c r="OBS55" s="44"/>
      <c r="OBT55" s="44"/>
      <c r="OBU55" s="44"/>
      <c r="OBV55" s="44"/>
      <c r="OBW55" s="44"/>
      <c r="OBX55" s="44"/>
      <c r="OBY55" s="44"/>
      <c r="OBZ55" s="44"/>
      <c r="OCA55" s="44"/>
      <c r="OCB55" s="44"/>
      <c r="OCC55" s="44"/>
      <c r="OCD55" s="44"/>
      <c r="OCE55" s="44"/>
      <c r="OCF55" s="44"/>
      <c r="OCG55" s="44"/>
      <c r="OCH55" s="44"/>
      <c r="OCI55" s="44"/>
      <c r="OCJ55" s="44"/>
      <c r="OCK55" s="44"/>
      <c r="OCL55" s="44"/>
      <c r="OCM55" s="44"/>
      <c r="OCN55" s="44"/>
      <c r="OCO55" s="44"/>
      <c r="OCP55" s="44"/>
      <c r="OCQ55" s="44"/>
      <c r="OCR55" s="44"/>
      <c r="OCS55" s="44"/>
      <c r="OCT55" s="44"/>
      <c r="OCU55" s="44"/>
      <c r="OCV55" s="44"/>
      <c r="OCW55" s="44"/>
      <c r="OCX55" s="44"/>
      <c r="OCY55" s="44"/>
      <c r="OCZ55" s="44"/>
      <c r="ODA55" s="44"/>
      <c r="ODB55" s="44"/>
      <c r="ODC55" s="44"/>
      <c r="ODD55" s="44"/>
      <c r="ODE55" s="44"/>
      <c r="ODF55" s="44"/>
      <c r="ODG55" s="44"/>
      <c r="ODH55" s="44"/>
      <c r="ODI55" s="44"/>
      <c r="ODJ55" s="44"/>
      <c r="ODK55" s="44"/>
      <c r="ODL55" s="44"/>
      <c r="ODM55" s="44"/>
      <c r="ODN55" s="44"/>
      <c r="ODO55" s="44"/>
      <c r="ODP55" s="44"/>
      <c r="ODQ55" s="44"/>
      <c r="ODR55" s="44"/>
      <c r="ODS55" s="44"/>
      <c r="ODT55" s="44"/>
      <c r="ODU55" s="44"/>
      <c r="ODV55" s="44"/>
      <c r="ODW55" s="44"/>
      <c r="ODX55" s="44"/>
      <c r="ODY55" s="44"/>
      <c r="ODZ55" s="44"/>
      <c r="OEA55" s="44"/>
      <c r="OEB55" s="44"/>
      <c r="OEC55" s="44"/>
      <c r="OED55" s="44"/>
      <c r="OEE55" s="44"/>
      <c r="OEF55" s="44"/>
      <c r="OEG55" s="44"/>
      <c r="OEH55" s="44"/>
      <c r="OEI55" s="44"/>
      <c r="OEJ55" s="44"/>
      <c r="OEK55" s="44"/>
      <c r="OEL55" s="44"/>
      <c r="OEM55" s="44"/>
      <c r="OEN55" s="44"/>
      <c r="OEO55" s="44"/>
      <c r="OEP55" s="44"/>
      <c r="OEQ55" s="44"/>
      <c r="OER55" s="44"/>
      <c r="OES55" s="44"/>
      <c r="OET55" s="44"/>
      <c r="OEU55" s="44"/>
      <c r="OEV55" s="44"/>
      <c r="OEW55" s="44"/>
      <c r="OEX55" s="44"/>
      <c r="OEY55" s="44"/>
      <c r="OEZ55" s="44"/>
      <c r="OFA55" s="44"/>
      <c r="OFB55" s="44"/>
      <c r="OFC55" s="44"/>
      <c r="OFD55" s="44"/>
      <c r="OFE55" s="44"/>
      <c r="OFF55" s="44"/>
      <c r="OFG55" s="44"/>
      <c r="OFH55" s="44"/>
      <c r="OFI55" s="44"/>
      <c r="OFJ55" s="44"/>
      <c r="OFK55" s="44"/>
      <c r="OFL55" s="44"/>
      <c r="OFM55" s="44"/>
      <c r="OFN55" s="44"/>
      <c r="OFO55" s="44"/>
      <c r="OFP55" s="44"/>
      <c r="OFQ55" s="44"/>
      <c r="OFR55" s="44"/>
      <c r="OFS55" s="44"/>
      <c r="OFT55" s="44"/>
      <c r="OFU55" s="44"/>
      <c r="OFV55" s="44"/>
      <c r="OFW55" s="44"/>
      <c r="OFX55" s="44"/>
      <c r="OFY55" s="44"/>
      <c r="OFZ55" s="44"/>
      <c r="OGA55" s="44"/>
      <c r="OGB55" s="44"/>
      <c r="OGC55" s="44"/>
      <c r="OGD55" s="44"/>
      <c r="OGE55" s="44"/>
      <c r="OGF55" s="44"/>
      <c r="OGG55" s="44"/>
      <c r="OGH55" s="44"/>
      <c r="OGI55" s="44"/>
      <c r="OGJ55" s="44"/>
      <c r="OGK55" s="44"/>
      <c r="OGL55" s="44"/>
      <c r="OGM55" s="44"/>
      <c r="OGN55" s="44"/>
      <c r="OGO55" s="44"/>
      <c r="OGP55" s="44"/>
      <c r="OGQ55" s="44"/>
      <c r="OGR55" s="44"/>
      <c r="OGS55" s="44"/>
      <c r="OGT55" s="44"/>
      <c r="OGU55" s="44"/>
      <c r="OGV55" s="44"/>
      <c r="OGW55" s="44"/>
      <c r="OGX55" s="44"/>
      <c r="OGY55" s="44"/>
      <c r="OGZ55" s="44"/>
      <c r="OHA55" s="44"/>
      <c r="OHB55" s="44"/>
      <c r="OHC55" s="44"/>
      <c r="OHD55" s="44"/>
      <c r="OHE55" s="44"/>
      <c r="OHF55" s="44"/>
      <c r="OHG55" s="44"/>
      <c r="OHH55" s="44"/>
      <c r="OHI55" s="44"/>
      <c r="OHJ55" s="44"/>
      <c r="OHK55" s="44"/>
      <c r="OHL55" s="44"/>
      <c r="OHM55" s="44"/>
      <c r="OHN55" s="44"/>
      <c r="OHO55" s="44"/>
      <c r="OHP55" s="44"/>
      <c r="OHQ55" s="44"/>
      <c r="OHR55" s="44"/>
      <c r="OHS55" s="44"/>
      <c r="OHT55" s="44"/>
      <c r="OHU55" s="44"/>
      <c r="OHV55" s="44"/>
      <c r="OHW55" s="44"/>
      <c r="OHX55" s="44"/>
      <c r="OHY55" s="44"/>
      <c r="OHZ55" s="44"/>
      <c r="OIA55" s="44"/>
      <c r="OIB55" s="44"/>
      <c r="OIC55" s="44"/>
      <c r="OID55" s="44"/>
      <c r="OIE55" s="44"/>
      <c r="OIF55" s="44"/>
      <c r="OIG55" s="44"/>
      <c r="OIH55" s="44"/>
      <c r="OII55" s="44"/>
      <c r="OIJ55" s="44"/>
      <c r="OIK55" s="44"/>
      <c r="OIL55" s="44"/>
      <c r="OIM55" s="44"/>
      <c r="OIN55" s="44"/>
      <c r="OIO55" s="44"/>
      <c r="OIP55" s="44"/>
      <c r="OIQ55" s="44"/>
      <c r="OIR55" s="44"/>
      <c r="OIS55" s="44"/>
      <c r="OIT55" s="44"/>
      <c r="OIU55" s="44"/>
      <c r="OIV55" s="44"/>
      <c r="OIW55" s="44"/>
      <c r="OIX55" s="44"/>
      <c r="OIY55" s="44"/>
      <c r="OIZ55" s="44"/>
      <c r="OJA55" s="44"/>
      <c r="OJB55" s="44"/>
      <c r="OJC55" s="44"/>
      <c r="OJD55" s="44"/>
      <c r="OJE55" s="44"/>
      <c r="OJF55" s="44"/>
      <c r="OJG55" s="44"/>
      <c r="OJH55" s="44"/>
      <c r="OJI55" s="44"/>
      <c r="OJJ55" s="44"/>
      <c r="OJK55" s="44"/>
      <c r="OJL55" s="44"/>
      <c r="OJM55" s="44"/>
      <c r="OJN55" s="44"/>
      <c r="OJO55" s="44"/>
      <c r="OJP55" s="44"/>
      <c r="OJQ55" s="44"/>
      <c r="OJR55" s="44"/>
      <c r="OJS55" s="44"/>
      <c r="OJT55" s="44"/>
      <c r="OJU55" s="44"/>
      <c r="OJV55" s="44"/>
      <c r="OJW55" s="44"/>
      <c r="OJX55" s="44"/>
      <c r="OJY55" s="44"/>
      <c r="OJZ55" s="44"/>
      <c r="OKA55" s="44"/>
      <c r="OKB55" s="44"/>
      <c r="OKC55" s="44"/>
      <c r="OKD55" s="44"/>
      <c r="OKE55" s="44"/>
      <c r="OKF55" s="44"/>
      <c r="OKG55" s="44"/>
      <c r="OKH55" s="44"/>
      <c r="OKI55" s="44"/>
      <c r="OKJ55" s="44"/>
      <c r="OKK55" s="44"/>
      <c r="OKL55" s="44"/>
      <c r="OKM55" s="44"/>
      <c r="OKN55" s="44"/>
      <c r="OKO55" s="44"/>
      <c r="OKP55" s="44"/>
      <c r="OKQ55" s="44"/>
      <c r="OKR55" s="44"/>
      <c r="OKS55" s="44"/>
      <c r="OKT55" s="44"/>
      <c r="OKU55" s="44"/>
      <c r="OKV55" s="44"/>
      <c r="OKW55" s="44"/>
      <c r="OKX55" s="44"/>
      <c r="OKY55" s="44"/>
      <c r="OKZ55" s="44"/>
      <c r="OLA55" s="44"/>
      <c r="OLB55" s="44"/>
      <c r="OLC55" s="44"/>
      <c r="OLD55" s="44"/>
      <c r="OLE55" s="44"/>
      <c r="OLF55" s="44"/>
      <c r="OLG55" s="44"/>
      <c r="OLH55" s="44"/>
      <c r="OLI55" s="44"/>
      <c r="OLJ55" s="44"/>
      <c r="OLK55" s="44"/>
      <c r="OLL55" s="44"/>
      <c r="OLM55" s="44"/>
      <c r="OLN55" s="44"/>
      <c r="OLO55" s="44"/>
      <c r="OLP55" s="44"/>
      <c r="OLQ55" s="44"/>
      <c r="OLR55" s="44"/>
      <c r="OLS55" s="44"/>
      <c r="OLT55" s="44"/>
      <c r="OLU55" s="44"/>
      <c r="OLV55" s="44"/>
      <c r="OLW55" s="44"/>
      <c r="OLX55" s="44"/>
      <c r="OLY55" s="44"/>
      <c r="OLZ55" s="44"/>
      <c r="OMA55" s="44"/>
      <c r="OMB55" s="44"/>
      <c r="OMC55" s="44"/>
      <c r="OMD55" s="44"/>
      <c r="OME55" s="44"/>
      <c r="OMF55" s="44"/>
      <c r="OMG55" s="44"/>
      <c r="OMH55" s="44"/>
      <c r="OMI55" s="44"/>
      <c r="OMJ55" s="44"/>
      <c r="OMK55" s="44"/>
      <c r="OML55" s="44"/>
      <c r="OMM55" s="44"/>
      <c r="OMN55" s="44"/>
      <c r="OMO55" s="44"/>
      <c r="OMP55" s="44"/>
      <c r="OMQ55" s="44"/>
      <c r="OMR55" s="44"/>
      <c r="OMS55" s="44"/>
      <c r="OMT55" s="44"/>
      <c r="OMU55" s="44"/>
      <c r="OMV55" s="44"/>
      <c r="OMW55" s="44"/>
      <c r="OMX55" s="44"/>
      <c r="OMY55" s="44"/>
      <c r="OMZ55" s="44"/>
      <c r="ONA55" s="44"/>
      <c r="ONB55" s="44"/>
      <c r="ONC55" s="44"/>
      <c r="OND55" s="44"/>
      <c r="ONE55" s="44"/>
      <c r="ONF55" s="44"/>
      <c r="ONG55" s="44"/>
      <c r="ONH55" s="44"/>
      <c r="ONI55" s="44"/>
      <c r="ONJ55" s="44"/>
      <c r="ONK55" s="44"/>
      <c r="ONL55" s="44"/>
      <c r="ONM55" s="44"/>
      <c r="ONN55" s="44"/>
      <c r="ONO55" s="44"/>
      <c r="ONP55" s="44"/>
      <c r="ONQ55" s="44"/>
      <c r="ONR55" s="44"/>
      <c r="ONS55" s="44"/>
      <c r="ONT55" s="44"/>
      <c r="ONU55" s="44"/>
      <c r="ONV55" s="44"/>
      <c r="ONW55" s="44"/>
      <c r="ONX55" s="44"/>
      <c r="ONY55" s="44"/>
      <c r="ONZ55" s="44"/>
      <c r="OOA55" s="44"/>
      <c r="OOB55" s="44"/>
      <c r="OOC55" s="44"/>
      <c r="OOD55" s="44"/>
      <c r="OOE55" s="44"/>
      <c r="OOF55" s="44"/>
      <c r="OOG55" s="44"/>
      <c r="OOH55" s="44"/>
      <c r="OOI55" s="44"/>
      <c r="OOJ55" s="44"/>
      <c r="OOK55" s="44"/>
      <c r="OOL55" s="44"/>
      <c r="OOM55" s="44"/>
      <c r="OON55" s="44"/>
      <c r="OOO55" s="44"/>
      <c r="OOP55" s="44"/>
      <c r="OOQ55" s="44"/>
      <c r="OOR55" s="44"/>
      <c r="OOS55" s="44"/>
      <c r="OOT55" s="44"/>
      <c r="OOU55" s="44"/>
      <c r="OOV55" s="44"/>
      <c r="OOW55" s="44"/>
      <c r="OOX55" s="44"/>
      <c r="OOY55" s="44"/>
      <c r="OOZ55" s="44"/>
      <c r="OPA55" s="44"/>
      <c r="OPB55" s="44"/>
      <c r="OPC55" s="44"/>
      <c r="OPD55" s="44"/>
      <c r="OPE55" s="44"/>
      <c r="OPF55" s="44"/>
      <c r="OPG55" s="44"/>
      <c r="OPH55" s="44"/>
      <c r="OPI55" s="44"/>
      <c r="OPJ55" s="44"/>
      <c r="OPK55" s="44"/>
      <c r="OPL55" s="44"/>
      <c r="OPM55" s="44"/>
      <c r="OPN55" s="44"/>
      <c r="OPO55" s="44"/>
      <c r="OPP55" s="44"/>
      <c r="OPQ55" s="44"/>
      <c r="OPR55" s="44"/>
      <c r="OPS55" s="44"/>
      <c r="OPT55" s="44"/>
      <c r="OPU55" s="44"/>
      <c r="OPV55" s="44"/>
      <c r="OPW55" s="44"/>
      <c r="OPX55" s="44"/>
      <c r="OPY55" s="44"/>
      <c r="OPZ55" s="44"/>
      <c r="OQA55" s="44"/>
      <c r="OQB55" s="44"/>
      <c r="OQC55" s="44"/>
      <c r="OQD55" s="44"/>
      <c r="OQE55" s="44"/>
      <c r="OQF55" s="44"/>
      <c r="OQG55" s="44"/>
      <c r="OQH55" s="44"/>
      <c r="OQI55" s="44"/>
      <c r="OQJ55" s="44"/>
      <c r="OQK55" s="44"/>
      <c r="OQL55" s="44"/>
      <c r="OQM55" s="44"/>
      <c r="OQN55" s="44"/>
      <c r="OQO55" s="44"/>
      <c r="OQP55" s="44"/>
      <c r="OQQ55" s="44"/>
      <c r="OQR55" s="44"/>
      <c r="OQS55" s="44"/>
      <c r="OQT55" s="44"/>
      <c r="OQU55" s="44"/>
      <c r="OQV55" s="44"/>
      <c r="OQW55" s="44"/>
      <c r="OQX55" s="44"/>
      <c r="OQY55" s="44"/>
      <c r="OQZ55" s="44"/>
      <c r="ORA55" s="44"/>
      <c r="ORB55" s="44"/>
      <c r="ORC55" s="44"/>
      <c r="ORD55" s="44"/>
      <c r="ORE55" s="44"/>
      <c r="ORF55" s="44"/>
      <c r="ORG55" s="44"/>
      <c r="ORH55" s="44"/>
      <c r="ORI55" s="44"/>
      <c r="ORJ55" s="44"/>
      <c r="ORK55" s="44"/>
      <c r="ORL55" s="44"/>
      <c r="ORM55" s="44"/>
      <c r="ORN55" s="44"/>
      <c r="ORO55" s="44"/>
      <c r="ORP55" s="44"/>
      <c r="ORQ55" s="44"/>
      <c r="ORR55" s="44"/>
      <c r="ORS55" s="44"/>
      <c r="ORT55" s="44"/>
      <c r="ORU55" s="44"/>
      <c r="ORV55" s="44"/>
      <c r="ORW55" s="44"/>
      <c r="ORX55" s="44"/>
      <c r="ORY55" s="44"/>
      <c r="ORZ55" s="44"/>
      <c r="OSA55" s="44"/>
      <c r="OSB55" s="44"/>
      <c r="OSC55" s="44"/>
      <c r="OSD55" s="44"/>
      <c r="OSE55" s="44"/>
      <c r="OSF55" s="44"/>
      <c r="OSG55" s="44"/>
      <c r="OSH55" s="44"/>
      <c r="OSI55" s="44"/>
      <c r="OSJ55" s="44"/>
      <c r="OSK55" s="44"/>
      <c r="OSL55" s="44"/>
      <c r="OSM55" s="44"/>
      <c r="OSN55" s="44"/>
      <c r="OSO55" s="44"/>
      <c r="OSP55" s="44"/>
      <c r="OSQ55" s="44"/>
      <c r="OSR55" s="44"/>
      <c r="OSS55" s="44"/>
      <c r="OST55" s="44"/>
      <c r="OSU55" s="44"/>
      <c r="OSV55" s="44"/>
      <c r="OSW55" s="44"/>
      <c r="OSX55" s="44"/>
      <c r="OSY55" s="44"/>
      <c r="OSZ55" s="44"/>
      <c r="OTA55" s="44"/>
      <c r="OTB55" s="44"/>
      <c r="OTC55" s="44"/>
      <c r="OTD55" s="44"/>
      <c r="OTE55" s="44"/>
      <c r="OTF55" s="44"/>
      <c r="OTG55" s="44"/>
      <c r="OTH55" s="44"/>
      <c r="OTI55" s="44"/>
      <c r="OTJ55" s="44"/>
      <c r="OTK55" s="44"/>
      <c r="OTL55" s="44"/>
      <c r="OTM55" s="44"/>
      <c r="OTN55" s="44"/>
      <c r="OTO55" s="44"/>
      <c r="OTP55" s="44"/>
      <c r="OTQ55" s="44"/>
      <c r="OTR55" s="44"/>
      <c r="OTS55" s="44"/>
      <c r="OTT55" s="44"/>
      <c r="OTU55" s="44"/>
      <c r="OTV55" s="44"/>
      <c r="OTW55" s="44"/>
      <c r="OTX55" s="44"/>
      <c r="OTY55" s="44"/>
      <c r="OTZ55" s="44"/>
      <c r="OUA55" s="44"/>
      <c r="OUB55" s="44"/>
      <c r="OUC55" s="44"/>
      <c r="OUD55" s="44"/>
      <c r="OUE55" s="44"/>
      <c r="OUF55" s="44"/>
      <c r="OUG55" s="44"/>
      <c r="OUH55" s="44"/>
      <c r="OUI55" s="44"/>
      <c r="OUJ55" s="44"/>
      <c r="OUK55" s="44"/>
      <c r="OUL55" s="44"/>
      <c r="OUM55" s="44"/>
      <c r="OUN55" s="44"/>
      <c r="OUO55" s="44"/>
      <c r="OUP55" s="44"/>
      <c r="OUQ55" s="44"/>
      <c r="OUR55" s="44"/>
      <c r="OUS55" s="44"/>
      <c r="OUT55" s="44"/>
      <c r="OUU55" s="44"/>
      <c r="OUV55" s="44"/>
      <c r="OUW55" s="44"/>
      <c r="OUX55" s="44"/>
      <c r="OUY55" s="44"/>
      <c r="OUZ55" s="44"/>
      <c r="OVA55" s="44"/>
      <c r="OVB55" s="44"/>
      <c r="OVC55" s="44"/>
      <c r="OVD55" s="44"/>
      <c r="OVE55" s="44"/>
      <c r="OVF55" s="44"/>
      <c r="OVG55" s="44"/>
      <c r="OVH55" s="44"/>
      <c r="OVI55" s="44"/>
      <c r="OVJ55" s="44"/>
      <c r="OVK55" s="44"/>
      <c r="OVL55" s="44"/>
      <c r="OVM55" s="44"/>
      <c r="OVN55" s="44"/>
      <c r="OVO55" s="44"/>
      <c r="OVP55" s="44"/>
      <c r="OVQ55" s="44"/>
      <c r="OVR55" s="44"/>
      <c r="OVS55" s="44"/>
      <c r="OVT55" s="44"/>
      <c r="OVU55" s="44"/>
      <c r="OVV55" s="44"/>
      <c r="OVW55" s="44"/>
      <c r="OVX55" s="44"/>
      <c r="OVY55" s="44"/>
      <c r="OVZ55" s="44"/>
      <c r="OWA55" s="44"/>
      <c r="OWB55" s="44"/>
      <c r="OWC55" s="44"/>
      <c r="OWD55" s="44"/>
      <c r="OWE55" s="44"/>
      <c r="OWF55" s="44"/>
      <c r="OWG55" s="44"/>
      <c r="OWH55" s="44"/>
      <c r="OWI55" s="44"/>
      <c r="OWJ55" s="44"/>
      <c r="OWK55" s="44"/>
      <c r="OWL55" s="44"/>
      <c r="OWM55" s="44"/>
      <c r="OWN55" s="44"/>
      <c r="OWO55" s="44"/>
      <c r="OWP55" s="44"/>
      <c r="OWQ55" s="44"/>
      <c r="OWR55" s="44"/>
      <c r="OWS55" s="44"/>
      <c r="OWT55" s="44"/>
      <c r="OWU55" s="44"/>
      <c r="OWV55" s="44"/>
      <c r="OWW55" s="44"/>
      <c r="OWX55" s="44"/>
      <c r="OWY55" s="44"/>
      <c r="OWZ55" s="44"/>
      <c r="OXA55" s="44"/>
      <c r="OXB55" s="44"/>
      <c r="OXC55" s="44"/>
      <c r="OXD55" s="44"/>
      <c r="OXE55" s="44"/>
      <c r="OXF55" s="44"/>
      <c r="OXG55" s="44"/>
      <c r="OXH55" s="44"/>
      <c r="OXI55" s="44"/>
      <c r="OXJ55" s="44"/>
      <c r="OXK55" s="44"/>
      <c r="OXL55" s="44"/>
      <c r="OXM55" s="44"/>
      <c r="OXN55" s="44"/>
      <c r="OXO55" s="44"/>
      <c r="OXP55" s="44"/>
      <c r="OXQ55" s="44"/>
      <c r="OXR55" s="44"/>
      <c r="OXS55" s="44"/>
      <c r="OXT55" s="44"/>
      <c r="OXU55" s="44"/>
      <c r="OXV55" s="44"/>
      <c r="OXW55" s="44"/>
      <c r="OXX55" s="44"/>
      <c r="OXY55" s="44"/>
      <c r="OXZ55" s="44"/>
      <c r="OYA55" s="44"/>
      <c r="OYB55" s="44"/>
      <c r="OYC55" s="44"/>
      <c r="OYD55" s="44"/>
      <c r="OYE55" s="44"/>
      <c r="OYF55" s="44"/>
      <c r="OYG55" s="44"/>
      <c r="OYH55" s="44"/>
      <c r="OYI55" s="44"/>
      <c r="OYJ55" s="44"/>
      <c r="OYK55" s="44"/>
      <c r="OYL55" s="44"/>
      <c r="OYM55" s="44"/>
      <c r="OYN55" s="44"/>
      <c r="OYO55" s="44"/>
      <c r="OYP55" s="44"/>
      <c r="OYQ55" s="44"/>
      <c r="OYR55" s="44"/>
      <c r="OYS55" s="44"/>
      <c r="OYT55" s="44"/>
      <c r="OYU55" s="44"/>
      <c r="OYV55" s="44"/>
      <c r="OYW55" s="44"/>
      <c r="OYX55" s="44"/>
      <c r="OYY55" s="44"/>
      <c r="OYZ55" s="44"/>
      <c r="OZA55" s="44"/>
      <c r="OZB55" s="44"/>
      <c r="OZC55" s="44"/>
      <c r="OZD55" s="44"/>
      <c r="OZE55" s="44"/>
      <c r="OZF55" s="44"/>
      <c r="OZG55" s="44"/>
      <c r="OZH55" s="44"/>
      <c r="OZI55" s="44"/>
      <c r="OZJ55" s="44"/>
      <c r="OZK55" s="44"/>
      <c r="OZL55" s="44"/>
      <c r="OZM55" s="44"/>
      <c r="OZN55" s="44"/>
      <c r="OZO55" s="44"/>
      <c r="OZP55" s="44"/>
      <c r="OZQ55" s="44"/>
      <c r="OZR55" s="44"/>
      <c r="OZS55" s="44"/>
      <c r="OZT55" s="44"/>
      <c r="OZU55" s="44"/>
      <c r="OZV55" s="44"/>
      <c r="OZW55" s="44"/>
      <c r="OZX55" s="44"/>
      <c r="OZY55" s="44"/>
      <c r="OZZ55" s="44"/>
      <c r="PAA55" s="44"/>
      <c r="PAB55" s="44"/>
      <c r="PAC55" s="44"/>
      <c r="PAD55" s="44"/>
      <c r="PAE55" s="44"/>
      <c r="PAF55" s="44"/>
      <c r="PAG55" s="44"/>
      <c r="PAH55" s="44"/>
      <c r="PAI55" s="44"/>
      <c r="PAJ55" s="44"/>
      <c r="PAK55" s="44"/>
      <c r="PAL55" s="44"/>
      <c r="PAM55" s="44"/>
      <c r="PAN55" s="44"/>
      <c r="PAO55" s="44"/>
      <c r="PAP55" s="44"/>
      <c r="PAQ55" s="44"/>
      <c r="PAR55" s="44"/>
      <c r="PAS55" s="44"/>
      <c r="PAT55" s="44"/>
      <c r="PAU55" s="44"/>
      <c r="PAV55" s="44"/>
      <c r="PAW55" s="44"/>
      <c r="PAX55" s="44"/>
      <c r="PAY55" s="44"/>
      <c r="PAZ55" s="44"/>
      <c r="PBA55" s="44"/>
      <c r="PBB55" s="44"/>
      <c r="PBC55" s="44"/>
      <c r="PBD55" s="44"/>
      <c r="PBE55" s="44"/>
      <c r="PBF55" s="44"/>
      <c r="PBG55" s="44"/>
      <c r="PBH55" s="44"/>
      <c r="PBI55" s="44"/>
      <c r="PBJ55" s="44"/>
      <c r="PBK55" s="44"/>
      <c r="PBL55" s="44"/>
      <c r="PBM55" s="44"/>
      <c r="PBN55" s="44"/>
      <c r="PBO55" s="44"/>
      <c r="PBP55" s="44"/>
      <c r="PBQ55" s="44"/>
      <c r="PBR55" s="44"/>
      <c r="PBS55" s="44"/>
      <c r="PBT55" s="44"/>
      <c r="PBU55" s="44"/>
      <c r="PBV55" s="44"/>
      <c r="PBW55" s="44"/>
      <c r="PBX55" s="44"/>
      <c r="PBY55" s="44"/>
      <c r="PBZ55" s="44"/>
      <c r="PCA55" s="44"/>
      <c r="PCB55" s="44"/>
      <c r="PCC55" s="44"/>
      <c r="PCD55" s="44"/>
      <c r="PCE55" s="44"/>
      <c r="PCF55" s="44"/>
      <c r="PCG55" s="44"/>
      <c r="PCH55" s="44"/>
      <c r="PCI55" s="44"/>
      <c r="PCJ55" s="44"/>
      <c r="PCK55" s="44"/>
      <c r="PCL55" s="44"/>
      <c r="PCM55" s="44"/>
      <c r="PCN55" s="44"/>
      <c r="PCO55" s="44"/>
      <c r="PCP55" s="44"/>
      <c r="PCQ55" s="44"/>
      <c r="PCR55" s="44"/>
      <c r="PCS55" s="44"/>
      <c r="PCT55" s="44"/>
      <c r="PCU55" s="44"/>
      <c r="PCV55" s="44"/>
      <c r="PCW55" s="44"/>
      <c r="PCX55" s="44"/>
      <c r="PCY55" s="44"/>
      <c r="PCZ55" s="44"/>
      <c r="PDA55" s="44"/>
      <c r="PDB55" s="44"/>
      <c r="PDC55" s="44"/>
      <c r="PDD55" s="44"/>
      <c r="PDE55" s="44"/>
      <c r="PDF55" s="44"/>
      <c r="PDG55" s="44"/>
      <c r="PDH55" s="44"/>
      <c r="PDI55" s="44"/>
      <c r="PDJ55" s="44"/>
      <c r="PDK55" s="44"/>
      <c r="PDL55" s="44"/>
      <c r="PDM55" s="44"/>
      <c r="PDN55" s="44"/>
      <c r="PDO55" s="44"/>
      <c r="PDP55" s="44"/>
      <c r="PDQ55" s="44"/>
      <c r="PDR55" s="44"/>
      <c r="PDS55" s="44"/>
      <c r="PDT55" s="44"/>
      <c r="PDU55" s="44"/>
      <c r="PDV55" s="44"/>
      <c r="PDW55" s="44"/>
      <c r="PDX55" s="44"/>
      <c r="PDY55" s="44"/>
      <c r="PDZ55" s="44"/>
      <c r="PEA55" s="44"/>
      <c r="PEB55" s="44"/>
      <c r="PEC55" s="44"/>
      <c r="PED55" s="44"/>
      <c r="PEE55" s="44"/>
      <c r="PEF55" s="44"/>
      <c r="PEG55" s="44"/>
      <c r="PEH55" s="44"/>
      <c r="PEI55" s="44"/>
      <c r="PEJ55" s="44"/>
      <c r="PEK55" s="44"/>
      <c r="PEL55" s="44"/>
      <c r="PEM55" s="44"/>
      <c r="PEN55" s="44"/>
      <c r="PEO55" s="44"/>
      <c r="PEP55" s="44"/>
      <c r="PEQ55" s="44"/>
      <c r="PER55" s="44"/>
      <c r="PES55" s="44"/>
      <c r="PET55" s="44"/>
      <c r="PEU55" s="44"/>
      <c r="PEV55" s="44"/>
      <c r="PEW55" s="44"/>
      <c r="PEX55" s="44"/>
      <c r="PEY55" s="44"/>
      <c r="PEZ55" s="44"/>
      <c r="PFA55" s="44"/>
      <c r="PFB55" s="44"/>
      <c r="PFC55" s="44"/>
      <c r="PFD55" s="44"/>
      <c r="PFE55" s="44"/>
      <c r="PFF55" s="44"/>
      <c r="PFG55" s="44"/>
      <c r="PFH55" s="44"/>
      <c r="PFI55" s="44"/>
      <c r="PFJ55" s="44"/>
      <c r="PFK55" s="44"/>
      <c r="PFL55" s="44"/>
      <c r="PFM55" s="44"/>
      <c r="PFN55" s="44"/>
      <c r="PFO55" s="44"/>
      <c r="PFP55" s="44"/>
      <c r="PFQ55" s="44"/>
      <c r="PFR55" s="44"/>
      <c r="PFS55" s="44"/>
      <c r="PFT55" s="44"/>
      <c r="PFU55" s="44"/>
      <c r="PFV55" s="44"/>
      <c r="PFW55" s="44"/>
      <c r="PFX55" s="44"/>
      <c r="PFY55" s="44"/>
      <c r="PFZ55" s="44"/>
      <c r="PGA55" s="44"/>
      <c r="PGB55" s="44"/>
      <c r="PGC55" s="44"/>
      <c r="PGD55" s="44"/>
      <c r="PGE55" s="44"/>
      <c r="PGF55" s="44"/>
      <c r="PGG55" s="44"/>
      <c r="PGH55" s="44"/>
      <c r="PGI55" s="44"/>
      <c r="PGJ55" s="44"/>
      <c r="PGK55" s="44"/>
      <c r="PGL55" s="44"/>
      <c r="PGM55" s="44"/>
      <c r="PGN55" s="44"/>
      <c r="PGO55" s="44"/>
      <c r="PGP55" s="44"/>
      <c r="PGQ55" s="44"/>
      <c r="PGR55" s="44"/>
      <c r="PGS55" s="44"/>
      <c r="PGT55" s="44"/>
      <c r="PGU55" s="44"/>
      <c r="PGV55" s="44"/>
      <c r="PGW55" s="44"/>
      <c r="PGX55" s="44"/>
      <c r="PGY55" s="44"/>
      <c r="PGZ55" s="44"/>
      <c r="PHA55" s="44"/>
      <c r="PHB55" s="44"/>
      <c r="PHC55" s="44"/>
      <c r="PHD55" s="44"/>
      <c r="PHE55" s="44"/>
      <c r="PHF55" s="44"/>
      <c r="PHG55" s="44"/>
      <c r="PHH55" s="44"/>
      <c r="PHI55" s="44"/>
      <c r="PHJ55" s="44"/>
      <c r="PHK55" s="44"/>
      <c r="PHL55" s="44"/>
      <c r="PHM55" s="44"/>
      <c r="PHN55" s="44"/>
      <c r="PHO55" s="44"/>
      <c r="PHP55" s="44"/>
      <c r="PHQ55" s="44"/>
      <c r="PHR55" s="44"/>
      <c r="PHS55" s="44"/>
      <c r="PHT55" s="44"/>
      <c r="PHU55" s="44"/>
      <c r="PHV55" s="44"/>
      <c r="PHW55" s="44"/>
      <c r="PHX55" s="44"/>
      <c r="PHY55" s="44"/>
      <c r="PHZ55" s="44"/>
      <c r="PIA55" s="44"/>
      <c r="PIB55" s="44"/>
      <c r="PIC55" s="44"/>
      <c r="PID55" s="44"/>
      <c r="PIE55" s="44"/>
      <c r="PIF55" s="44"/>
      <c r="PIG55" s="44"/>
      <c r="PIH55" s="44"/>
      <c r="PII55" s="44"/>
      <c r="PIJ55" s="44"/>
      <c r="PIK55" s="44"/>
      <c r="PIL55" s="44"/>
      <c r="PIM55" s="44"/>
      <c r="PIN55" s="44"/>
      <c r="PIO55" s="44"/>
      <c r="PIP55" s="44"/>
      <c r="PIQ55" s="44"/>
      <c r="PIR55" s="44"/>
      <c r="PIS55" s="44"/>
      <c r="PIT55" s="44"/>
      <c r="PIU55" s="44"/>
      <c r="PIV55" s="44"/>
      <c r="PIW55" s="44"/>
      <c r="PIX55" s="44"/>
      <c r="PIY55" s="44"/>
      <c r="PIZ55" s="44"/>
      <c r="PJA55" s="44"/>
      <c r="PJB55" s="44"/>
      <c r="PJC55" s="44"/>
      <c r="PJD55" s="44"/>
      <c r="PJE55" s="44"/>
      <c r="PJF55" s="44"/>
      <c r="PJG55" s="44"/>
      <c r="PJH55" s="44"/>
      <c r="PJI55" s="44"/>
      <c r="PJJ55" s="44"/>
      <c r="PJK55" s="44"/>
      <c r="PJL55" s="44"/>
      <c r="PJM55" s="44"/>
      <c r="PJN55" s="44"/>
      <c r="PJO55" s="44"/>
      <c r="PJP55" s="44"/>
      <c r="PJQ55" s="44"/>
      <c r="PJR55" s="44"/>
      <c r="PJS55" s="44"/>
      <c r="PJT55" s="44"/>
      <c r="PJU55" s="44"/>
      <c r="PJV55" s="44"/>
      <c r="PJW55" s="44"/>
      <c r="PJX55" s="44"/>
      <c r="PJY55" s="44"/>
      <c r="PJZ55" s="44"/>
      <c r="PKA55" s="44"/>
      <c r="PKB55" s="44"/>
      <c r="PKC55" s="44"/>
      <c r="PKD55" s="44"/>
      <c r="PKE55" s="44"/>
      <c r="PKF55" s="44"/>
      <c r="PKG55" s="44"/>
      <c r="PKH55" s="44"/>
      <c r="PKI55" s="44"/>
      <c r="PKJ55" s="44"/>
      <c r="PKK55" s="44"/>
      <c r="PKL55" s="44"/>
      <c r="PKM55" s="44"/>
      <c r="PKN55" s="44"/>
      <c r="PKO55" s="44"/>
      <c r="PKP55" s="44"/>
      <c r="PKQ55" s="44"/>
      <c r="PKR55" s="44"/>
      <c r="PKS55" s="44"/>
      <c r="PKT55" s="44"/>
      <c r="PKU55" s="44"/>
      <c r="PKV55" s="44"/>
      <c r="PKW55" s="44"/>
      <c r="PKX55" s="44"/>
      <c r="PKY55" s="44"/>
      <c r="PKZ55" s="44"/>
      <c r="PLA55" s="44"/>
      <c r="PLB55" s="44"/>
      <c r="PLC55" s="44"/>
      <c r="PLD55" s="44"/>
      <c r="PLE55" s="44"/>
      <c r="PLF55" s="44"/>
      <c r="PLG55" s="44"/>
      <c r="PLH55" s="44"/>
      <c r="PLI55" s="44"/>
      <c r="PLJ55" s="44"/>
      <c r="PLK55" s="44"/>
      <c r="PLL55" s="44"/>
      <c r="PLM55" s="44"/>
      <c r="PLN55" s="44"/>
      <c r="PLO55" s="44"/>
      <c r="PLP55" s="44"/>
      <c r="PLQ55" s="44"/>
      <c r="PLR55" s="44"/>
      <c r="PLS55" s="44"/>
      <c r="PLT55" s="44"/>
      <c r="PLU55" s="44"/>
      <c r="PLV55" s="44"/>
      <c r="PLW55" s="44"/>
      <c r="PLX55" s="44"/>
      <c r="PLY55" s="44"/>
      <c r="PLZ55" s="44"/>
      <c r="PMA55" s="44"/>
      <c r="PMB55" s="44"/>
      <c r="PMC55" s="44"/>
      <c r="PMD55" s="44"/>
      <c r="PME55" s="44"/>
      <c r="PMF55" s="44"/>
      <c r="PMG55" s="44"/>
      <c r="PMH55" s="44"/>
      <c r="PMI55" s="44"/>
      <c r="PMJ55" s="44"/>
      <c r="PMK55" s="44"/>
      <c r="PML55" s="44"/>
      <c r="PMM55" s="44"/>
      <c r="PMN55" s="44"/>
      <c r="PMO55" s="44"/>
      <c r="PMP55" s="44"/>
      <c r="PMQ55" s="44"/>
      <c r="PMR55" s="44"/>
      <c r="PMS55" s="44"/>
      <c r="PMT55" s="44"/>
      <c r="PMU55" s="44"/>
      <c r="PMV55" s="44"/>
      <c r="PMW55" s="44"/>
      <c r="PMX55" s="44"/>
      <c r="PMY55" s="44"/>
      <c r="PMZ55" s="44"/>
      <c r="PNA55" s="44"/>
      <c r="PNB55" s="44"/>
      <c r="PNC55" s="44"/>
      <c r="PND55" s="44"/>
      <c r="PNE55" s="44"/>
      <c r="PNF55" s="44"/>
      <c r="PNG55" s="44"/>
      <c r="PNH55" s="44"/>
      <c r="PNI55" s="44"/>
      <c r="PNJ55" s="44"/>
      <c r="PNK55" s="44"/>
      <c r="PNL55" s="44"/>
      <c r="PNM55" s="44"/>
      <c r="PNN55" s="44"/>
      <c r="PNO55" s="44"/>
      <c r="PNP55" s="44"/>
      <c r="PNQ55" s="44"/>
      <c r="PNR55" s="44"/>
      <c r="PNS55" s="44"/>
      <c r="PNT55" s="44"/>
      <c r="PNU55" s="44"/>
      <c r="PNV55" s="44"/>
      <c r="PNW55" s="44"/>
      <c r="PNX55" s="44"/>
      <c r="PNY55" s="44"/>
      <c r="PNZ55" s="44"/>
      <c r="POA55" s="44"/>
      <c r="POB55" s="44"/>
      <c r="POC55" s="44"/>
      <c r="POD55" s="44"/>
      <c r="POE55" s="44"/>
      <c r="POF55" s="44"/>
      <c r="POG55" s="44"/>
      <c r="POH55" s="44"/>
      <c r="POI55" s="44"/>
      <c r="POJ55" s="44"/>
      <c r="POK55" s="44"/>
      <c r="POL55" s="44"/>
      <c r="POM55" s="44"/>
      <c r="PON55" s="44"/>
      <c r="POO55" s="44"/>
      <c r="POP55" s="44"/>
      <c r="POQ55" s="44"/>
      <c r="POR55" s="44"/>
      <c r="POS55" s="44"/>
      <c r="POT55" s="44"/>
      <c r="POU55" s="44"/>
      <c r="POV55" s="44"/>
      <c r="POW55" s="44"/>
      <c r="POX55" s="44"/>
      <c r="POY55" s="44"/>
      <c r="POZ55" s="44"/>
      <c r="PPA55" s="44"/>
      <c r="PPB55" s="44"/>
      <c r="PPC55" s="44"/>
      <c r="PPD55" s="44"/>
      <c r="PPE55" s="44"/>
      <c r="PPF55" s="44"/>
      <c r="PPG55" s="44"/>
      <c r="PPH55" s="44"/>
      <c r="PPI55" s="44"/>
      <c r="PPJ55" s="44"/>
      <c r="PPK55" s="44"/>
      <c r="PPL55" s="44"/>
      <c r="PPM55" s="44"/>
      <c r="PPN55" s="44"/>
      <c r="PPO55" s="44"/>
      <c r="PPP55" s="44"/>
      <c r="PPQ55" s="44"/>
      <c r="PPR55" s="44"/>
      <c r="PPS55" s="44"/>
      <c r="PPT55" s="44"/>
      <c r="PPU55" s="44"/>
      <c r="PPV55" s="44"/>
      <c r="PPW55" s="44"/>
      <c r="PPX55" s="44"/>
      <c r="PPY55" s="44"/>
      <c r="PPZ55" s="44"/>
      <c r="PQA55" s="44"/>
      <c r="PQB55" s="44"/>
      <c r="PQC55" s="44"/>
      <c r="PQD55" s="44"/>
      <c r="PQE55" s="44"/>
      <c r="PQF55" s="44"/>
      <c r="PQG55" s="44"/>
      <c r="PQH55" s="44"/>
      <c r="PQI55" s="44"/>
      <c r="PQJ55" s="44"/>
      <c r="PQK55" s="44"/>
      <c r="PQL55" s="44"/>
      <c r="PQM55" s="44"/>
      <c r="PQN55" s="44"/>
      <c r="PQO55" s="44"/>
      <c r="PQP55" s="44"/>
      <c r="PQQ55" s="44"/>
      <c r="PQR55" s="44"/>
      <c r="PQS55" s="44"/>
      <c r="PQT55" s="44"/>
      <c r="PQU55" s="44"/>
      <c r="PQV55" s="44"/>
      <c r="PQW55" s="44"/>
      <c r="PQX55" s="44"/>
      <c r="PQY55" s="44"/>
      <c r="PQZ55" s="44"/>
      <c r="PRA55" s="44"/>
      <c r="PRB55" s="44"/>
      <c r="PRC55" s="44"/>
      <c r="PRD55" s="44"/>
      <c r="PRE55" s="44"/>
      <c r="PRF55" s="44"/>
      <c r="PRG55" s="44"/>
      <c r="PRH55" s="44"/>
      <c r="PRI55" s="44"/>
      <c r="PRJ55" s="44"/>
      <c r="PRK55" s="44"/>
      <c r="PRL55" s="44"/>
      <c r="PRM55" s="44"/>
      <c r="PRN55" s="44"/>
      <c r="PRO55" s="44"/>
      <c r="PRP55" s="44"/>
      <c r="PRQ55" s="44"/>
      <c r="PRR55" s="44"/>
      <c r="PRS55" s="44"/>
      <c r="PRT55" s="44"/>
      <c r="PRU55" s="44"/>
      <c r="PRV55" s="44"/>
      <c r="PRW55" s="44"/>
      <c r="PRX55" s="44"/>
      <c r="PRY55" s="44"/>
      <c r="PRZ55" s="44"/>
      <c r="PSA55" s="44"/>
      <c r="PSB55" s="44"/>
      <c r="PSC55" s="44"/>
      <c r="PSD55" s="44"/>
      <c r="PSE55" s="44"/>
      <c r="PSF55" s="44"/>
      <c r="PSG55" s="44"/>
      <c r="PSH55" s="44"/>
      <c r="PSI55" s="44"/>
      <c r="PSJ55" s="44"/>
      <c r="PSK55" s="44"/>
      <c r="PSL55" s="44"/>
      <c r="PSM55" s="44"/>
      <c r="PSN55" s="44"/>
      <c r="PSO55" s="44"/>
      <c r="PSP55" s="44"/>
      <c r="PSQ55" s="44"/>
      <c r="PSR55" s="44"/>
      <c r="PSS55" s="44"/>
      <c r="PST55" s="44"/>
      <c r="PSU55" s="44"/>
      <c r="PSV55" s="44"/>
      <c r="PSW55" s="44"/>
      <c r="PSX55" s="44"/>
      <c r="PSY55" s="44"/>
      <c r="PSZ55" s="44"/>
      <c r="PTA55" s="44"/>
      <c r="PTB55" s="44"/>
      <c r="PTC55" s="44"/>
      <c r="PTD55" s="44"/>
      <c r="PTE55" s="44"/>
      <c r="PTF55" s="44"/>
      <c r="PTG55" s="44"/>
      <c r="PTH55" s="44"/>
      <c r="PTI55" s="44"/>
      <c r="PTJ55" s="44"/>
      <c r="PTK55" s="44"/>
      <c r="PTL55" s="44"/>
      <c r="PTM55" s="44"/>
      <c r="PTN55" s="44"/>
      <c r="PTO55" s="44"/>
      <c r="PTP55" s="44"/>
      <c r="PTQ55" s="44"/>
      <c r="PTR55" s="44"/>
      <c r="PTS55" s="44"/>
      <c r="PTT55" s="44"/>
      <c r="PTU55" s="44"/>
      <c r="PTV55" s="44"/>
      <c r="PTW55" s="44"/>
      <c r="PTX55" s="44"/>
      <c r="PTY55" s="44"/>
      <c r="PTZ55" s="44"/>
      <c r="PUA55" s="44"/>
      <c r="PUB55" s="44"/>
      <c r="PUC55" s="44"/>
      <c r="PUD55" s="44"/>
      <c r="PUE55" s="44"/>
      <c r="PUF55" s="44"/>
      <c r="PUG55" s="44"/>
      <c r="PUH55" s="44"/>
      <c r="PUI55" s="44"/>
      <c r="PUJ55" s="44"/>
      <c r="PUK55" s="44"/>
      <c r="PUL55" s="44"/>
      <c r="PUM55" s="44"/>
      <c r="PUN55" s="44"/>
      <c r="PUO55" s="44"/>
      <c r="PUP55" s="44"/>
      <c r="PUQ55" s="44"/>
      <c r="PUR55" s="44"/>
      <c r="PUS55" s="44"/>
      <c r="PUT55" s="44"/>
      <c r="PUU55" s="44"/>
      <c r="PUV55" s="44"/>
      <c r="PUW55" s="44"/>
      <c r="PUX55" s="44"/>
      <c r="PUY55" s="44"/>
      <c r="PUZ55" s="44"/>
      <c r="PVA55" s="44"/>
      <c r="PVB55" s="44"/>
      <c r="PVC55" s="44"/>
      <c r="PVD55" s="44"/>
      <c r="PVE55" s="44"/>
      <c r="PVF55" s="44"/>
      <c r="PVG55" s="44"/>
      <c r="PVH55" s="44"/>
      <c r="PVI55" s="44"/>
      <c r="PVJ55" s="44"/>
      <c r="PVK55" s="44"/>
      <c r="PVL55" s="44"/>
      <c r="PVM55" s="44"/>
      <c r="PVN55" s="44"/>
      <c r="PVO55" s="44"/>
      <c r="PVP55" s="44"/>
      <c r="PVQ55" s="44"/>
      <c r="PVR55" s="44"/>
      <c r="PVS55" s="44"/>
      <c r="PVT55" s="44"/>
      <c r="PVU55" s="44"/>
      <c r="PVV55" s="44"/>
      <c r="PVW55" s="44"/>
      <c r="PVX55" s="44"/>
      <c r="PVY55" s="44"/>
      <c r="PVZ55" s="44"/>
      <c r="PWA55" s="44"/>
      <c r="PWB55" s="44"/>
      <c r="PWC55" s="44"/>
      <c r="PWD55" s="44"/>
      <c r="PWE55" s="44"/>
      <c r="PWF55" s="44"/>
      <c r="PWG55" s="44"/>
      <c r="PWH55" s="44"/>
      <c r="PWI55" s="44"/>
      <c r="PWJ55" s="44"/>
      <c r="PWK55" s="44"/>
      <c r="PWL55" s="44"/>
      <c r="PWM55" s="44"/>
      <c r="PWN55" s="44"/>
      <c r="PWO55" s="44"/>
      <c r="PWP55" s="44"/>
      <c r="PWQ55" s="44"/>
      <c r="PWR55" s="44"/>
      <c r="PWS55" s="44"/>
      <c r="PWT55" s="44"/>
      <c r="PWU55" s="44"/>
      <c r="PWV55" s="44"/>
      <c r="PWW55" s="44"/>
      <c r="PWX55" s="44"/>
      <c r="PWY55" s="44"/>
      <c r="PWZ55" s="44"/>
      <c r="PXA55" s="44"/>
      <c r="PXB55" s="44"/>
      <c r="PXC55" s="44"/>
      <c r="PXD55" s="44"/>
      <c r="PXE55" s="44"/>
      <c r="PXF55" s="44"/>
      <c r="PXG55" s="44"/>
      <c r="PXH55" s="44"/>
      <c r="PXI55" s="44"/>
      <c r="PXJ55" s="44"/>
      <c r="PXK55" s="44"/>
      <c r="PXL55" s="44"/>
      <c r="PXM55" s="44"/>
      <c r="PXN55" s="44"/>
      <c r="PXO55" s="44"/>
      <c r="PXP55" s="44"/>
      <c r="PXQ55" s="44"/>
      <c r="PXR55" s="44"/>
      <c r="PXS55" s="44"/>
      <c r="PXT55" s="44"/>
      <c r="PXU55" s="44"/>
      <c r="PXV55" s="44"/>
      <c r="PXW55" s="44"/>
      <c r="PXX55" s="44"/>
      <c r="PXY55" s="44"/>
      <c r="PXZ55" s="44"/>
      <c r="PYA55" s="44"/>
      <c r="PYB55" s="44"/>
      <c r="PYC55" s="44"/>
      <c r="PYD55" s="44"/>
      <c r="PYE55" s="44"/>
      <c r="PYF55" s="44"/>
      <c r="PYG55" s="44"/>
      <c r="PYH55" s="44"/>
      <c r="PYI55" s="44"/>
      <c r="PYJ55" s="44"/>
      <c r="PYK55" s="44"/>
      <c r="PYL55" s="44"/>
      <c r="PYM55" s="44"/>
      <c r="PYN55" s="44"/>
      <c r="PYO55" s="44"/>
      <c r="PYP55" s="44"/>
      <c r="PYQ55" s="44"/>
      <c r="PYR55" s="44"/>
      <c r="PYS55" s="44"/>
      <c r="PYT55" s="44"/>
      <c r="PYU55" s="44"/>
      <c r="PYV55" s="44"/>
      <c r="PYW55" s="44"/>
      <c r="PYX55" s="44"/>
      <c r="PYY55" s="44"/>
      <c r="PYZ55" s="44"/>
      <c r="PZA55" s="44"/>
      <c r="PZB55" s="44"/>
      <c r="PZC55" s="44"/>
      <c r="PZD55" s="44"/>
      <c r="PZE55" s="44"/>
      <c r="PZF55" s="44"/>
      <c r="PZG55" s="44"/>
      <c r="PZH55" s="44"/>
      <c r="PZI55" s="44"/>
      <c r="PZJ55" s="44"/>
      <c r="PZK55" s="44"/>
      <c r="PZL55" s="44"/>
      <c r="PZM55" s="44"/>
      <c r="PZN55" s="44"/>
      <c r="PZO55" s="44"/>
      <c r="PZP55" s="44"/>
      <c r="PZQ55" s="44"/>
      <c r="PZR55" s="44"/>
      <c r="PZS55" s="44"/>
      <c r="PZT55" s="44"/>
      <c r="PZU55" s="44"/>
      <c r="PZV55" s="44"/>
      <c r="PZW55" s="44"/>
      <c r="PZX55" s="44"/>
      <c r="PZY55" s="44"/>
      <c r="PZZ55" s="44"/>
      <c r="QAA55" s="44"/>
      <c r="QAB55" s="44"/>
      <c r="QAC55" s="44"/>
      <c r="QAD55" s="44"/>
      <c r="QAE55" s="44"/>
      <c r="QAF55" s="44"/>
      <c r="QAG55" s="44"/>
      <c r="QAH55" s="44"/>
      <c r="QAI55" s="44"/>
      <c r="QAJ55" s="44"/>
      <c r="QAK55" s="44"/>
      <c r="QAL55" s="44"/>
      <c r="QAM55" s="44"/>
      <c r="QAN55" s="44"/>
      <c r="QAO55" s="44"/>
      <c r="QAP55" s="44"/>
      <c r="QAQ55" s="44"/>
      <c r="QAR55" s="44"/>
      <c r="QAS55" s="44"/>
      <c r="QAT55" s="44"/>
      <c r="QAU55" s="44"/>
      <c r="QAV55" s="44"/>
      <c r="QAW55" s="44"/>
      <c r="QAX55" s="44"/>
      <c r="QAY55" s="44"/>
      <c r="QAZ55" s="44"/>
      <c r="QBA55" s="44"/>
      <c r="QBB55" s="44"/>
      <c r="QBC55" s="44"/>
      <c r="QBD55" s="44"/>
      <c r="QBE55" s="44"/>
      <c r="QBF55" s="44"/>
      <c r="QBG55" s="44"/>
      <c r="QBH55" s="44"/>
      <c r="QBI55" s="44"/>
      <c r="QBJ55" s="44"/>
      <c r="QBK55" s="44"/>
      <c r="QBL55" s="44"/>
      <c r="QBM55" s="44"/>
      <c r="QBN55" s="44"/>
      <c r="QBO55" s="44"/>
      <c r="QBP55" s="44"/>
      <c r="QBQ55" s="44"/>
      <c r="QBR55" s="44"/>
      <c r="QBS55" s="44"/>
      <c r="QBT55" s="44"/>
      <c r="QBU55" s="44"/>
      <c r="QBV55" s="44"/>
      <c r="QBW55" s="44"/>
      <c r="QBX55" s="44"/>
      <c r="QBY55" s="44"/>
      <c r="QBZ55" s="44"/>
      <c r="QCA55" s="44"/>
      <c r="QCB55" s="44"/>
      <c r="QCC55" s="44"/>
      <c r="QCD55" s="44"/>
      <c r="QCE55" s="44"/>
      <c r="QCF55" s="44"/>
      <c r="QCG55" s="44"/>
      <c r="QCH55" s="44"/>
      <c r="QCI55" s="44"/>
      <c r="QCJ55" s="44"/>
      <c r="QCK55" s="44"/>
      <c r="QCL55" s="44"/>
      <c r="QCM55" s="44"/>
      <c r="QCN55" s="44"/>
      <c r="QCO55" s="44"/>
      <c r="QCP55" s="44"/>
      <c r="QCQ55" s="44"/>
      <c r="QCR55" s="44"/>
      <c r="QCS55" s="44"/>
      <c r="QCT55" s="44"/>
      <c r="QCU55" s="44"/>
      <c r="QCV55" s="44"/>
      <c r="QCW55" s="44"/>
      <c r="QCX55" s="44"/>
      <c r="QCY55" s="44"/>
      <c r="QCZ55" s="44"/>
      <c r="QDA55" s="44"/>
      <c r="QDB55" s="44"/>
      <c r="QDC55" s="44"/>
      <c r="QDD55" s="44"/>
      <c r="QDE55" s="44"/>
      <c r="QDF55" s="44"/>
      <c r="QDG55" s="44"/>
      <c r="QDH55" s="44"/>
      <c r="QDI55" s="44"/>
      <c r="QDJ55" s="44"/>
      <c r="QDK55" s="44"/>
      <c r="QDL55" s="44"/>
      <c r="QDM55" s="44"/>
      <c r="QDN55" s="44"/>
      <c r="QDO55" s="44"/>
      <c r="QDP55" s="44"/>
      <c r="QDQ55" s="44"/>
      <c r="QDR55" s="44"/>
      <c r="QDS55" s="44"/>
      <c r="QDT55" s="44"/>
      <c r="QDU55" s="44"/>
      <c r="QDV55" s="44"/>
      <c r="QDW55" s="44"/>
      <c r="QDX55" s="44"/>
      <c r="QDY55" s="44"/>
      <c r="QDZ55" s="44"/>
      <c r="QEA55" s="44"/>
      <c r="QEB55" s="44"/>
      <c r="QEC55" s="44"/>
      <c r="QED55" s="44"/>
      <c r="QEE55" s="44"/>
      <c r="QEF55" s="44"/>
      <c r="QEG55" s="44"/>
      <c r="QEH55" s="44"/>
      <c r="QEI55" s="44"/>
      <c r="QEJ55" s="44"/>
      <c r="QEK55" s="44"/>
      <c r="QEL55" s="44"/>
      <c r="QEM55" s="44"/>
      <c r="QEN55" s="44"/>
      <c r="QEO55" s="44"/>
      <c r="QEP55" s="44"/>
      <c r="QEQ55" s="44"/>
      <c r="QER55" s="44"/>
      <c r="QES55" s="44"/>
      <c r="QET55" s="44"/>
      <c r="QEU55" s="44"/>
      <c r="QEV55" s="44"/>
      <c r="QEW55" s="44"/>
      <c r="QEX55" s="44"/>
      <c r="QEY55" s="44"/>
      <c r="QEZ55" s="44"/>
      <c r="QFA55" s="44"/>
      <c r="QFB55" s="44"/>
      <c r="QFC55" s="44"/>
      <c r="QFD55" s="44"/>
      <c r="QFE55" s="44"/>
      <c r="QFF55" s="44"/>
      <c r="QFG55" s="44"/>
      <c r="QFH55" s="44"/>
      <c r="QFI55" s="44"/>
      <c r="QFJ55" s="44"/>
      <c r="QFK55" s="44"/>
      <c r="QFL55" s="44"/>
      <c r="QFM55" s="44"/>
      <c r="QFN55" s="44"/>
      <c r="QFO55" s="44"/>
      <c r="QFP55" s="44"/>
      <c r="QFQ55" s="44"/>
      <c r="QFR55" s="44"/>
      <c r="QFS55" s="44"/>
      <c r="QFT55" s="44"/>
      <c r="QFU55" s="44"/>
      <c r="QFV55" s="44"/>
      <c r="QFW55" s="44"/>
      <c r="QFX55" s="44"/>
      <c r="QFY55" s="44"/>
      <c r="QFZ55" s="44"/>
      <c r="QGA55" s="44"/>
      <c r="QGB55" s="44"/>
      <c r="QGC55" s="44"/>
      <c r="QGD55" s="44"/>
      <c r="QGE55" s="44"/>
      <c r="QGF55" s="44"/>
      <c r="QGG55" s="44"/>
      <c r="QGH55" s="44"/>
      <c r="QGI55" s="44"/>
      <c r="QGJ55" s="44"/>
      <c r="QGK55" s="44"/>
      <c r="QGL55" s="44"/>
      <c r="QGM55" s="44"/>
      <c r="QGN55" s="44"/>
      <c r="QGO55" s="44"/>
      <c r="QGP55" s="44"/>
      <c r="QGQ55" s="44"/>
      <c r="QGR55" s="44"/>
      <c r="QGS55" s="44"/>
      <c r="QGT55" s="44"/>
      <c r="QGU55" s="44"/>
      <c r="QGV55" s="44"/>
      <c r="QGW55" s="44"/>
      <c r="QGX55" s="44"/>
      <c r="QGY55" s="44"/>
      <c r="QGZ55" s="44"/>
      <c r="QHA55" s="44"/>
      <c r="QHB55" s="44"/>
      <c r="QHC55" s="44"/>
      <c r="QHD55" s="44"/>
      <c r="QHE55" s="44"/>
      <c r="QHF55" s="44"/>
      <c r="QHG55" s="44"/>
      <c r="QHH55" s="44"/>
      <c r="QHI55" s="44"/>
      <c r="QHJ55" s="44"/>
      <c r="QHK55" s="44"/>
      <c r="QHL55" s="44"/>
      <c r="QHM55" s="44"/>
      <c r="QHN55" s="44"/>
      <c r="QHO55" s="44"/>
      <c r="QHP55" s="44"/>
      <c r="QHQ55" s="44"/>
      <c r="QHR55" s="44"/>
      <c r="QHS55" s="44"/>
      <c r="QHT55" s="44"/>
      <c r="QHU55" s="44"/>
      <c r="QHV55" s="44"/>
      <c r="QHW55" s="44"/>
      <c r="QHX55" s="44"/>
      <c r="QHY55" s="44"/>
      <c r="QHZ55" s="44"/>
      <c r="QIA55" s="44"/>
      <c r="QIB55" s="44"/>
      <c r="QIC55" s="44"/>
      <c r="QID55" s="44"/>
      <c r="QIE55" s="44"/>
      <c r="QIF55" s="44"/>
      <c r="QIG55" s="44"/>
      <c r="QIH55" s="44"/>
      <c r="QII55" s="44"/>
      <c r="QIJ55" s="44"/>
      <c r="QIK55" s="44"/>
      <c r="QIL55" s="44"/>
      <c r="QIM55" s="44"/>
      <c r="QIN55" s="44"/>
      <c r="QIO55" s="44"/>
      <c r="QIP55" s="44"/>
      <c r="QIQ55" s="44"/>
      <c r="QIR55" s="44"/>
      <c r="QIS55" s="44"/>
      <c r="QIT55" s="44"/>
      <c r="QIU55" s="44"/>
      <c r="QIV55" s="44"/>
      <c r="QIW55" s="44"/>
      <c r="QIX55" s="44"/>
      <c r="QIY55" s="44"/>
      <c r="QIZ55" s="44"/>
      <c r="QJA55" s="44"/>
      <c r="QJB55" s="44"/>
      <c r="QJC55" s="44"/>
      <c r="QJD55" s="44"/>
      <c r="QJE55" s="44"/>
      <c r="QJF55" s="44"/>
      <c r="QJG55" s="44"/>
      <c r="QJH55" s="44"/>
      <c r="QJI55" s="44"/>
      <c r="QJJ55" s="44"/>
      <c r="QJK55" s="44"/>
      <c r="QJL55" s="44"/>
      <c r="QJM55" s="44"/>
      <c r="QJN55" s="44"/>
      <c r="QJO55" s="44"/>
      <c r="QJP55" s="44"/>
      <c r="QJQ55" s="44"/>
      <c r="QJR55" s="44"/>
      <c r="QJS55" s="44"/>
      <c r="QJT55" s="44"/>
      <c r="QJU55" s="44"/>
      <c r="QJV55" s="44"/>
      <c r="QJW55" s="44"/>
      <c r="QJX55" s="44"/>
      <c r="QJY55" s="44"/>
      <c r="QJZ55" s="44"/>
      <c r="QKA55" s="44"/>
      <c r="QKB55" s="44"/>
      <c r="QKC55" s="44"/>
      <c r="QKD55" s="44"/>
      <c r="QKE55" s="44"/>
      <c r="QKF55" s="44"/>
      <c r="QKG55" s="44"/>
      <c r="QKH55" s="44"/>
      <c r="QKI55" s="44"/>
      <c r="QKJ55" s="44"/>
      <c r="QKK55" s="44"/>
      <c r="QKL55" s="44"/>
      <c r="QKM55" s="44"/>
      <c r="QKN55" s="44"/>
      <c r="QKO55" s="44"/>
      <c r="QKP55" s="44"/>
      <c r="QKQ55" s="44"/>
      <c r="QKR55" s="44"/>
      <c r="QKS55" s="44"/>
      <c r="QKT55" s="44"/>
      <c r="QKU55" s="44"/>
      <c r="QKV55" s="44"/>
      <c r="QKW55" s="44"/>
      <c r="QKX55" s="44"/>
      <c r="QKY55" s="44"/>
      <c r="QKZ55" s="44"/>
      <c r="QLA55" s="44"/>
      <c r="QLB55" s="44"/>
      <c r="QLC55" s="44"/>
      <c r="QLD55" s="44"/>
      <c r="QLE55" s="44"/>
      <c r="QLF55" s="44"/>
      <c r="QLG55" s="44"/>
      <c r="QLH55" s="44"/>
      <c r="QLI55" s="44"/>
      <c r="QLJ55" s="44"/>
      <c r="QLK55" s="44"/>
      <c r="QLL55" s="44"/>
      <c r="QLM55" s="44"/>
      <c r="QLN55" s="44"/>
      <c r="QLO55" s="44"/>
      <c r="QLP55" s="44"/>
      <c r="QLQ55" s="44"/>
      <c r="QLR55" s="44"/>
      <c r="QLS55" s="44"/>
      <c r="QLT55" s="44"/>
      <c r="QLU55" s="44"/>
      <c r="QLV55" s="44"/>
      <c r="QLW55" s="44"/>
      <c r="QLX55" s="44"/>
      <c r="QLY55" s="44"/>
      <c r="QLZ55" s="44"/>
      <c r="QMA55" s="44"/>
      <c r="QMB55" s="44"/>
      <c r="QMC55" s="44"/>
      <c r="QMD55" s="44"/>
      <c r="QME55" s="44"/>
      <c r="QMF55" s="44"/>
      <c r="QMG55" s="44"/>
      <c r="QMH55" s="44"/>
      <c r="QMI55" s="44"/>
      <c r="QMJ55" s="44"/>
      <c r="QMK55" s="44"/>
      <c r="QML55" s="44"/>
      <c r="QMM55" s="44"/>
      <c r="QMN55" s="44"/>
      <c r="QMO55" s="44"/>
      <c r="QMP55" s="44"/>
      <c r="QMQ55" s="44"/>
      <c r="QMR55" s="44"/>
      <c r="QMS55" s="44"/>
      <c r="QMT55" s="44"/>
      <c r="QMU55" s="44"/>
      <c r="QMV55" s="44"/>
      <c r="QMW55" s="44"/>
      <c r="QMX55" s="44"/>
      <c r="QMY55" s="44"/>
      <c r="QMZ55" s="44"/>
      <c r="QNA55" s="44"/>
      <c r="QNB55" s="44"/>
      <c r="QNC55" s="44"/>
      <c r="QND55" s="44"/>
      <c r="QNE55" s="44"/>
      <c r="QNF55" s="44"/>
      <c r="QNG55" s="44"/>
      <c r="QNH55" s="44"/>
      <c r="QNI55" s="44"/>
      <c r="QNJ55" s="44"/>
      <c r="QNK55" s="44"/>
      <c r="QNL55" s="44"/>
      <c r="QNM55" s="44"/>
      <c r="QNN55" s="44"/>
      <c r="QNO55" s="44"/>
      <c r="QNP55" s="44"/>
      <c r="QNQ55" s="44"/>
      <c r="QNR55" s="44"/>
      <c r="QNS55" s="44"/>
      <c r="QNT55" s="44"/>
      <c r="QNU55" s="44"/>
      <c r="QNV55" s="44"/>
      <c r="QNW55" s="44"/>
      <c r="QNX55" s="44"/>
      <c r="QNY55" s="44"/>
      <c r="QNZ55" s="44"/>
      <c r="QOA55" s="44"/>
      <c r="QOB55" s="44"/>
      <c r="QOC55" s="44"/>
      <c r="QOD55" s="44"/>
      <c r="QOE55" s="44"/>
      <c r="QOF55" s="44"/>
      <c r="QOG55" s="44"/>
      <c r="QOH55" s="44"/>
      <c r="QOI55" s="44"/>
      <c r="QOJ55" s="44"/>
      <c r="QOK55" s="44"/>
      <c r="QOL55" s="44"/>
      <c r="QOM55" s="44"/>
      <c r="QON55" s="44"/>
      <c r="QOO55" s="44"/>
      <c r="QOP55" s="44"/>
      <c r="QOQ55" s="44"/>
      <c r="QOR55" s="44"/>
      <c r="QOS55" s="44"/>
      <c r="QOT55" s="44"/>
      <c r="QOU55" s="44"/>
      <c r="QOV55" s="44"/>
      <c r="QOW55" s="44"/>
      <c r="QOX55" s="44"/>
      <c r="QOY55" s="44"/>
      <c r="QOZ55" s="44"/>
      <c r="QPA55" s="44"/>
      <c r="QPB55" s="44"/>
      <c r="QPC55" s="44"/>
      <c r="QPD55" s="44"/>
      <c r="QPE55" s="44"/>
      <c r="QPF55" s="44"/>
      <c r="QPG55" s="44"/>
      <c r="QPH55" s="44"/>
      <c r="QPI55" s="44"/>
      <c r="QPJ55" s="44"/>
      <c r="QPK55" s="44"/>
      <c r="QPL55" s="44"/>
      <c r="QPM55" s="44"/>
      <c r="QPN55" s="44"/>
      <c r="QPO55" s="44"/>
      <c r="QPP55" s="44"/>
      <c r="QPQ55" s="44"/>
      <c r="QPR55" s="44"/>
      <c r="QPS55" s="44"/>
      <c r="QPT55" s="44"/>
      <c r="QPU55" s="44"/>
      <c r="QPV55" s="44"/>
      <c r="QPW55" s="44"/>
      <c r="QPX55" s="44"/>
      <c r="QPY55" s="44"/>
      <c r="QPZ55" s="44"/>
      <c r="QQA55" s="44"/>
      <c r="QQB55" s="44"/>
      <c r="QQC55" s="44"/>
      <c r="QQD55" s="44"/>
      <c r="QQE55" s="44"/>
      <c r="QQF55" s="44"/>
      <c r="QQG55" s="44"/>
      <c r="QQH55" s="44"/>
      <c r="QQI55" s="44"/>
      <c r="QQJ55" s="44"/>
      <c r="QQK55" s="44"/>
      <c r="QQL55" s="44"/>
      <c r="QQM55" s="44"/>
      <c r="QQN55" s="44"/>
      <c r="QQO55" s="44"/>
      <c r="QQP55" s="44"/>
      <c r="QQQ55" s="44"/>
      <c r="QQR55" s="44"/>
      <c r="QQS55" s="44"/>
      <c r="QQT55" s="44"/>
      <c r="QQU55" s="44"/>
      <c r="QQV55" s="44"/>
      <c r="QQW55" s="44"/>
      <c r="QQX55" s="44"/>
      <c r="QQY55" s="44"/>
      <c r="QQZ55" s="44"/>
      <c r="QRA55" s="44"/>
      <c r="QRB55" s="44"/>
      <c r="QRC55" s="44"/>
      <c r="QRD55" s="44"/>
      <c r="QRE55" s="44"/>
      <c r="QRF55" s="44"/>
      <c r="QRG55" s="44"/>
      <c r="QRH55" s="44"/>
      <c r="QRI55" s="44"/>
      <c r="QRJ55" s="44"/>
      <c r="QRK55" s="44"/>
      <c r="QRL55" s="44"/>
      <c r="QRM55" s="44"/>
      <c r="QRN55" s="44"/>
      <c r="QRO55" s="44"/>
      <c r="QRP55" s="44"/>
      <c r="QRQ55" s="44"/>
      <c r="QRR55" s="44"/>
      <c r="QRS55" s="44"/>
      <c r="QRT55" s="44"/>
      <c r="QRU55" s="44"/>
      <c r="QRV55" s="44"/>
      <c r="QRW55" s="44"/>
      <c r="QRX55" s="44"/>
      <c r="QRY55" s="44"/>
      <c r="QRZ55" s="44"/>
      <c r="QSA55" s="44"/>
      <c r="QSB55" s="44"/>
      <c r="QSC55" s="44"/>
      <c r="QSD55" s="44"/>
      <c r="QSE55" s="44"/>
      <c r="QSF55" s="44"/>
      <c r="QSG55" s="44"/>
      <c r="QSH55" s="44"/>
      <c r="QSI55" s="44"/>
      <c r="QSJ55" s="44"/>
      <c r="QSK55" s="44"/>
      <c r="QSL55" s="44"/>
      <c r="QSM55" s="44"/>
      <c r="QSN55" s="44"/>
      <c r="QSO55" s="44"/>
      <c r="QSP55" s="44"/>
      <c r="QSQ55" s="44"/>
      <c r="QSR55" s="44"/>
      <c r="QSS55" s="44"/>
      <c r="QST55" s="44"/>
      <c r="QSU55" s="44"/>
      <c r="QSV55" s="44"/>
      <c r="QSW55" s="44"/>
      <c r="QSX55" s="44"/>
      <c r="QSY55" s="44"/>
      <c r="QSZ55" s="44"/>
      <c r="QTA55" s="44"/>
      <c r="QTB55" s="44"/>
      <c r="QTC55" s="44"/>
      <c r="QTD55" s="44"/>
      <c r="QTE55" s="44"/>
      <c r="QTF55" s="44"/>
      <c r="QTG55" s="44"/>
      <c r="QTH55" s="44"/>
      <c r="QTI55" s="44"/>
      <c r="QTJ55" s="44"/>
      <c r="QTK55" s="44"/>
      <c r="QTL55" s="44"/>
      <c r="QTM55" s="44"/>
      <c r="QTN55" s="44"/>
      <c r="QTO55" s="44"/>
      <c r="QTP55" s="44"/>
      <c r="QTQ55" s="44"/>
      <c r="QTR55" s="44"/>
      <c r="QTS55" s="44"/>
      <c r="QTT55" s="44"/>
      <c r="QTU55" s="44"/>
      <c r="QTV55" s="44"/>
      <c r="QTW55" s="44"/>
      <c r="QTX55" s="44"/>
      <c r="QTY55" s="44"/>
      <c r="QTZ55" s="44"/>
      <c r="QUA55" s="44"/>
      <c r="QUB55" s="44"/>
      <c r="QUC55" s="44"/>
      <c r="QUD55" s="44"/>
      <c r="QUE55" s="44"/>
      <c r="QUF55" s="44"/>
      <c r="QUG55" s="44"/>
      <c r="QUH55" s="44"/>
      <c r="QUI55" s="44"/>
      <c r="QUJ55" s="44"/>
      <c r="QUK55" s="44"/>
      <c r="QUL55" s="44"/>
      <c r="QUM55" s="44"/>
      <c r="QUN55" s="44"/>
      <c r="QUO55" s="44"/>
      <c r="QUP55" s="44"/>
      <c r="QUQ55" s="44"/>
      <c r="QUR55" s="44"/>
      <c r="QUS55" s="44"/>
      <c r="QUT55" s="44"/>
      <c r="QUU55" s="44"/>
      <c r="QUV55" s="44"/>
      <c r="QUW55" s="44"/>
      <c r="QUX55" s="44"/>
      <c r="QUY55" s="44"/>
      <c r="QUZ55" s="44"/>
      <c r="QVA55" s="44"/>
      <c r="QVB55" s="44"/>
      <c r="QVC55" s="44"/>
      <c r="QVD55" s="44"/>
      <c r="QVE55" s="44"/>
      <c r="QVF55" s="44"/>
      <c r="QVG55" s="44"/>
      <c r="QVH55" s="44"/>
      <c r="QVI55" s="44"/>
      <c r="QVJ55" s="44"/>
      <c r="QVK55" s="44"/>
      <c r="QVL55" s="44"/>
      <c r="QVM55" s="44"/>
      <c r="QVN55" s="44"/>
      <c r="QVO55" s="44"/>
      <c r="QVP55" s="44"/>
      <c r="QVQ55" s="44"/>
      <c r="QVR55" s="44"/>
      <c r="QVS55" s="44"/>
      <c r="QVT55" s="44"/>
      <c r="QVU55" s="44"/>
      <c r="QVV55" s="44"/>
      <c r="QVW55" s="44"/>
      <c r="QVX55" s="44"/>
      <c r="QVY55" s="44"/>
      <c r="QVZ55" s="44"/>
      <c r="QWA55" s="44"/>
      <c r="QWB55" s="44"/>
      <c r="QWC55" s="44"/>
      <c r="QWD55" s="44"/>
      <c r="QWE55" s="44"/>
      <c r="QWF55" s="44"/>
      <c r="QWG55" s="44"/>
      <c r="QWH55" s="44"/>
      <c r="QWI55" s="44"/>
      <c r="QWJ55" s="44"/>
      <c r="QWK55" s="44"/>
      <c r="QWL55" s="44"/>
      <c r="QWM55" s="44"/>
      <c r="QWN55" s="44"/>
      <c r="QWO55" s="44"/>
      <c r="QWP55" s="44"/>
      <c r="QWQ55" s="44"/>
      <c r="QWR55" s="44"/>
      <c r="QWS55" s="44"/>
      <c r="QWT55" s="44"/>
      <c r="QWU55" s="44"/>
      <c r="QWV55" s="44"/>
      <c r="QWW55" s="44"/>
      <c r="QWX55" s="44"/>
      <c r="QWY55" s="44"/>
      <c r="QWZ55" s="44"/>
      <c r="QXA55" s="44"/>
      <c r="QXB55" s="44"/>
      <c r="QXC55" s="44"/>
      <c r="QXD55" s="44"/>
      <c r="QXE55" s="44"/>
      <c r="QXF55" s="44"/>
      <c r="QXG55" s="44"/>
      <c r="QXH55" s="44"/>
      <c r="QXI55" s="44"/>
      <c r="QXJ55" s="44"/>
      <c r="QXK55" s="44"/>
      <c r="QXL55" s="44"/>
      <c r="QXM55" s="44"/>
      <c r="QXN55" s="44"/>
      <c r="QXO55" s="44"/>
      <c r="QXP55" s="44"/>
      <c r="QXQ55" s="44"/>
      <c r="QXR55" s="44"/>
      <c r="QXS55" s="44"/>
      <c r="QXT55" s="44"/>
      <c r="QXU55" s="44"/>
      <c r="QXV55" s="44"/>
      <c r="QXW55" s="44"/>
      <c r="QXX55" s="44"/>
      <c r="QXY55" s="44"/>
      <c r="QXZ55" s="44"/>
      <c r="QYA55" s="44"/>
      <c r="QYB55" s="44"/>
      <c r="QYC55" s="44"/>
      <c r="QYD55" s="44"/>
      <c r="QYE55" s="44"/>
      <c r="QYF55" s="44"/>
      <c r="QYG55" s="44"/>
      <c r="QYH55" s="44"/>
      <c r="QYI55" s="44"/>
      <c r="QYJ55" s="44"/>
      <c r="QYK55" s="44"/>
      <c r="QYL55" s="44"/>
      <c r="QYM55" s="44"/>
      <c r="QYN55" s="44"/>
      <c r="QYO55" s="44"/>
      <c r="QYP55" s="44"/>
      <c r="QYQ55" s="44"/>
      <c r="QYR55" s="44"/>
      <c r="QYS55" s="44"/>
      <c r="QYT55" s="44"/>
      <c r="QYU55" s="44"/>
      <c r="QYV55" s="44"/>
      <c r="QYW55" s="44"/>
      <c r="QYX55" s="44"/>
      <c r="QYY55" s="44"/>
      <c r="QYZ55" s="44"/>
      <c r="QZA55" s="44"/>
      <c r="QZB55" s="44"/>
      <c r="QZC55" s="44"/>
      <c r="QZD55" s="44"/>
      <c r="QZE55" s="44"/>
      <c r="QZF55" s="44"/>
      <c r="QZG55" s="44"/>
      <c r="QZH55" s="44"/>
      <c r="QZI55" s="44"/>
      <c r="QZJ55" s="44"/>
      <c r="QZK55" s="44"/>
      <c r="QZL55" s="44"/>
      <c r="QZM55" s="44"/>
      <c r="QZN55" s="44"/>
      <c r="QZO55" s="44"/>
      <c r="QZP55" s="44"/>
      <c r="QZQ55" s="44"/>
      <c r="QZR55" s="44"/>
      <c r="QZS55" s="44"/>
      <c r="QZT55" s="44"/>
      <c r="QZU55" s="44"/>
      <c r="QZV55" s="44"/>
      <c r="QZW55" s="44"/>
      <c r="QZX55" s="44"/>
      <c r="QZY55" s="44"/>
      <c r="QZZ55" s="44"/>
      <c r="RAA55" s="44"/>
      <c r="RAB55" s="44"/>
      <c r="RAC55" s="44"/>
      <c r="RAD55" s="44"/>
      <c r="RAE55" s="44"/>
      <c r="RAF55" s="44"/>
      <c r="RAG55" s="44"/>
      <c r="RAH55" s="44"/>
      <c r="RAI55" s="44"/>
      <c r="RAJ55" s="44"/>
      <c r="RAK55" s="44"/>
      <c r="RAL55" s="44"/>
      <c r="RAM55" s="44"/>
      <c r="RAN55" s="44"/>
      <c r="RAO55" s="44"/>
      <c r="RAP55" s="44"/>
      <c r="RAQ55" s="44"/>
      <c r="RAR55" s="44"/>
      <c r="RAS55" s="44"/>
      <c r="RAT55" s="44"/>
      <c r="RAU55" s="44"/>
      <c r="RAV55" s="44"/>
      <c r="RAW55" s="44"/>
      <c r="RAX55" s="44"/>
      <c r="RAY55" s="44"/>
      <c r="RAZ55" s="44"/>
      <c r="RBA55" s="44"/>
      <c r="RBB55" s="44"/>
      <c r="RBC55" s="44"/>
      <c r="RBD55" s="44"/>
      <c r="RBE55" s="44"/>
      <c r="RBF55" s="44"/>
      <c r="RBG55" s="44"/>
      <c r="RBH55" s="44"/>
      <c r="RBI55" s="44"/>
      <c r="RBJ55" s="44"/>
      <c r="RBK55" s="44"/>
      <c r="RBL55" s="44"/>
      <c r="RBM55" s="44"/>
      <c r="RBN55" s="44"/>
      <c r="RBO55" s="44"/>
      <c r="RBP55" s="44"/>
      <c r="RBQ55" s="44"/>
      <c r="RBR55" s="44"/>
      <c r="RBS55" s="44"/>
      <c r="RBT55" s="44"/>
      <c r="RBU55" s="44"/>
      <c r="RBV55" s="44"/>
      <c r="RBW55" s="44"/>
      <c r="RBX55" s="44"/>
      <c r="RBY55" s="44"/>
      <c r="RBZ55" s="44"/>
      <c r="RCA55" s="44"/>
      <c r="RCB55" s="44"/>
      <c r="RCC55" s="44"/>
      <c r="RCD55" s="44"/>
      <c r="RCE55" s="44"/>
      <c r="RCF55" s="44"/>
      <c r="RCG55" s="44"/>
      <c r="RCH55" s="44"/>
      <c r="RCI55" s="44"/>
      <c r="RCJ55" s="44"/>
      <c r="RCK55" s="44"/>
      <c r="RCL55" s="44"/>
      <c r="RCM55" s="44"/>
      <c r="RCN55" s="44"/>
      <c r="RCO55" s="44"/>
      <c r="RCP55" s="44"/>
      <c r="RCQ55" s="44"/>
      <c r="RCR55" s="44"/>
      <c r="RCS55" s="44"/>
      <c r="RCT55" s="44"/>
      <c r="RCU55" s="44"/>
      <c r="RCV55" s="44"/>
      <c r="RCW55" s="44"/>
      <c r="RCX55" s="44"/>
      <c r="RCY55" s="44"/>
      <c r="RCZ55" s="44"/>
      <c r="RDA55" s="44"/>
      <c r="RDB55" s="44"/>
      <c r="RDC55" s="44"/>
      <c r="RDD55" s="44"/>
      <c r="RDE55" s="44"/>
      <c r="RDF55" s="44"/>
      <c r="RDG55" s="44"/>
      <c r="RDH55" s="44"/>
      <c r="RDI55" s="44"/>
      <c r="RDJ55" s="44"/>
      <c r="RDK55" s="44"/>
      <c r="RDL55" s="44"/>
      <c r="RDM55" s="44"/>
      <c r="RDN55" s="44"/>
      <c r="RDO55" s="44"/>
      <c r="RDP55" s="44"/>
      <c r="RDQ55" s="44"/>
      <c r="RDR55" s="44"/>
      <c r="RDS55" s="44"/>
      <c r="RDT55" s="44"/>
      <c r="RDU55" s="44"/>
      <c r="RDV55" s="44"/>
      <c r="RDW55" s="44"/>
      <c r="RDX55" s="44"/>
      <c r="RDY55" s="44"/>
      <c r="RDZ55" s="44"/>
      <c r="REA55" s="44"/>
      <c r="REB55" s="44"/>
      <c r="REC55" s="44"/>
      <c r="RED55" s="44"/>
      <c r="REE55" s="44"/>
      <c r="REF55" s="44"/>
      <c r="REG55" s="44"/>
      <c r="REH55" s="44"/>
      <c r="REI55" s="44"/>
      <c r="REJ55" s="44"/>
      <c r="REK55" s="44"/>
      <c r="REL55" s="44"/>
      <c r="REM55" s="44"/>
      <c r="REN55" s="44"/>
      <c r="REO55" s="44"/>
      <c r="REP55" s="44"/>
      <c r="REQ55" s="44"/>
      <c r="RER55" s="44"/>
      <c r="RES55" s="44"/>
      <c r="RET55" s="44"/>
      <c r="REU55" s="44"/>
      <c r="REV55" s="44"/>
      <c r="REW55" s="44"/>
      <c r="REX55" s="44"/>
      <c r="REY55" s="44"/>
      <c r="REZ55" s="44"/>
      <c r="RFA55" s="44"/>
      <c r="RFB55" s="44"/>
      <c r="RFC55" s="44"/>
      <c r="RFD55" s="44"/>
      <c r="RFE55" s="44"/>
      <c r="RFF55" s="44"/>
      <c r="RFG55" s="44"/>
      <c r="RFH55" s="44"/>
      <c r="RFI55" s="44"/>
      <c r="RFJ55" s="44"/>
      <c r="RFK55" s="44"/>
      <c r="RFL55" s="44"/>
      <c r="RFM55" s="44"/>
      <c r="RFN55" s="44"/>
      <c r="RFO55" s="44"/>
      <c r="RFP55" s="44"/>
      <c r="RFQ55" s="44"/>
      <c r="RFR55" s="44"/>
      <c r="RFS55" s="44"/>
      <c r="RFT55" s="44"/>
      <c r="RFU55" s="44"/>
      <c r="RFV55" s="44"/>
      <c r="RFW55" s="44"/>
      <c r="RFX55" s="44"/>
      <c r="RFY55" s="44"/>
      <c r="RFZ55" s="44"/>
      <c r="RGA55" s="44"/>
      <c r="RGB55" s="44"/>
      <c r="RGC55" s="44"/>
      <c r="RGD55" s="44"/>
      <c r="RGE55" s="44"/>
      <c r="RGF55" s="44"/>
      <c r="RGG55" s="44"/>
      <c r="RGH55" s="44"/>
      <c r="RGI55" s="44"/>
      <c r="RGJ55" s="44"/>
      <c r="RGK55" s="44"/>
      <c r="RGL55" s="44"/>
      <c r="RGM55" s="44"/>
      <c r="RGN55" s="44"/>
      <c r="RGO55" s="44"/>
      <c r="RGP55" s="44"/>
      <c r="RGQ55" s="44"/>
      <c r="RGR55" s="44"/>
      <c r="RGS55" s="44"/>
      <c r="RGT55" s="44"/>
      <c r="RGU55" s="44"/>
      <c r="RGV55" s="44"/>
      <c r="RGW55" s="44"/>
      <c r="RGX55" s="44"/>
      <c r="RGY55" s="44"/>
      <c r="RGZ55" s="44"/>
      <c r="RHA55" s="44"/>
      <c r="RHB55" s="44"/>
      <c r="RHC55" s="44"/>
      <c r="RHD55" s="44"/>
      <c r="RHE55" s="44"/>
      <c r="RHF55" s="44"/>
      <c r="RHG55" s="44"/>
      <c r="RHH55" s="44"/>
      <c r="RHI55" s="44"/>
      <c r="RHJ55" s="44"/>
      <c r="RHK55" s="44"/>
      <c r="RHL55" s="44"/>
      <c r="RHM55" s="44"/>
      <c r="RHN55" s="44"/>
      <c r="RHO55" s="44"/>
      <c r="RHP55" s="44"/>
      <c r="RHQ55" s="44"/>
      <c r="RHR55" s="44"/>
      <c r="RHS55" s="44"/>
      <c r="RHT55" s="44"/>
      <c r="RHU55" s="44"/>
      <c r="RHV55" s="44"/>
      <c r="RHW55" s="44"/>
      <c r="RHX55" s="44"/>
      <c r="RHY55" s="44"/>
      <c r="RHZ55" s="44"/>
      <c r="RIA55" s="44"/>
      <c r="RIB55" s="44"/>
      <c r="RIC55" s="44"/>
      <c r="RID55" s="44"/>
      <c r="RIE55" s="44"/>
      <c r="RIF55" s="44"/>
      <c r="RIG55" s="44"/>
      <c r="RIH55" s="44"/>
      <c r="RII55" s="44"/>
      <c r="RIJ55" s="44"/>
      <c r="RIK55" s="44"/>
      <c r="RIL55" s="44"/>
      <c r="RIM55" s="44"/>
      <c r="RIN55" s="44"/>
      <c r="RIO55" s="44"/>
      <c r="RIP55" s="44"/>
      <c r="RIQ55" s="44"/>
      <c r="RIR55" s="44"/>
      <c r="RIS55" s="44"/>
      <c r="RIT55" s="44"/>
      <c r="RIU55" s="44"/>
      <c r="RIV55" s="44"/>
      <c r="RIW55" s="44"/>
      <c r="RIX55" s="44"/>
      <c r="RIY55" s="44"/>
      <c r="RIZ55" s="44"/>
      <c r="RJA55" s="44"/>
      <c r="RJB55" s="44"/>
      <c r="RJC55" s="44"/>
      <c r="RJD55" s="44"/>
      <c r="RJE55" s="44"/>
      <c r="RJF55" s="44"/>
      <c r="RJG55" s="44"/>
      <c r="RJH55" s="44"/>
      <c r="RJI55" s="44"/>
      <c r="RJJ55" s="44"/>
      <c r="RJK55" s="44"/>
      <c r="RJL55" s="44"/>
      <c r="RJM55" s="44"/>
      <c r="RJN55" s="44"/>
      <c r="RJO55" s="44"/>
      <c r="RJP55" s="44"/>
      <c r="RJQ55" s="44"/>
      <c r="RJR55" s="44"/>
      <c r="RJS55" s="44"/>
      <c r="RJT55" s="44"/>
      <c r="RJU55" s="44"/>
      <c r="RJV55" s="44"/>
      <c r="RJW55" s="44"/>
      <c r="RJX55" s="44"/>
      <c r="RJY55" s="44"/>
      <c r="RJZ55" s="44"/>
      <c r="RKA55" s="44"/>
      <c r="RKB55" s="44"/>
      <c r="RKC55" s="44"/>
      <c r="RKD55" s="44"/>
      <c r="RKE55" s="44"/>
      <c r="RKF55" s="44"/>
      <c r="RKG55" s="44"/>
      <c r="RKH55" s="44"/>
      <c r="RKI55" s="44"/>
      <c r="RKJ55" s="44"/>
      <c r="RKK55" s="44"/>
      <c r="RKL55" s="44"/>
      <c r="RKM55" s="44"/>
      <c r="RKN55" s="44"/>
      <c r="RKO55" s="44"/>
      <c r="RKP55" s="44"/>
      <c r="RKQ55" s="44"/>
      <c r="RKR55" s="44"/>
      <c r="RKS55" s="44"/>
      <c r="RKT55" s="44"/>
      <c r="RKU55" s="44"/>
      <c r="RKV55" s="44"/>
      <c r="RKW55" s="44"/>
      <c r="RKX55" s="44"/>
      <c r="RKY55" s="44"/>
      <c r="RKZ55" s="44"/>
      <c r="RLA55" s="44"/>
      <c r="RLB55" s="44"/>
      <c r="RLC55" s="44"/>
      <c r="RLD55" s="44"/>
      <c r="RLE55" s="44"/>
      <c r="RLF55" s="44"/>
      <c r="RLG55" s="44"/>
      <c r="RLH55" s="44"/>
      <c r="RLI55" s="44"/>
      <c r="RLJ55" s="44"/>
      <c r="RLK55" s="44"/>
      <c r="RLL55" s="44"/>
      <c r="RLM55" s="44"/>
      <c r="RLN55" s="44"/>
      <c r="RLO55" s="44"/>
      <c r="RLP55" s="44"/>
      <c r="RLQ55" s="44"/>
      <c r="RLR55" s="44"/>
      <c r="RLS55" s="44"/>
      <c r="RLT55" s="44"/>
      <c r="RLU55" s="44"/>
      <c r="RLV55" s="44"/>
      <c r="RLW55" s="44"/>
      <c r="RLX55" s="44"/>
      <c r="RLY55" s="44"/>
      <c r="RLZ55" s="44"/>
      <c r="RMA55" s="44"/>
      <c r="RMB55" s="44"/>
      <c r="RMC55" s="44"/>
      <c r="RMD55" s="44"/>
      <c r="RME55" s="44"/>
      <c r="RMF55" s="44"/>
      <c r="RMG55" s="44"/>
      <c r="RMH55" s="44"/>
      <c r="RMI55" s="44"/>
      <c r="RMJ55" s="44"/>
      <c r="RMK55" s="44"/>
      <c r="RML55" s="44"/>
      <c r="RMM55" s="44"/>
      <c r="RMN55" s="44"/>
      <c r="RMO55" s="44"/>
      <c r="RMP55" s="44"/>
      <c r="RMQ55" s="44"/>
      <c r="RMR55" s="44"/>
      <c r="RMS55" s="44"/>
      <c r="RMT55" s="44"/>
      <c r="RMU55" s="44"/>
      <c r="RMV55" s="44"/>
      <c r="RMW55" s="44"/>
      <c r="RMX55" s="44"/>
      <c r="RMY55" s="44"/>
      <c r="RMZ55" s="44"/>
      <c r="RNA55" s="44"/>
      <c r="RNB55" s="44"/>
      <c r="RNC55" s="44"/>
      <c r="RND55" s="44"/>
      <c r="RNE55" s="44"/>
      <c r="RNF55" s="44"/>
      <c r="RNG55" s="44"/>
      <c r="RNH55" s="44"/>
      <c r="RNI55" s="44"/>
      <c r="RNJ55" s="44"/>
      <c r="RNK55" s="44"/>
      <c r="RNL55" s="44"/>
      <c r="RNM55" s="44"/>
      <c r="RNN55" s="44"/>
      <c r="RNO55" s="44"/>
      <c r="RNP55" s="44"/>
      <c r="RNQ55" s="44"/>
      <c r="RNR55" s="44"/>
      <c r="RNS55" s="44"/>
      <c r="RNT55" s="44"/>
      <c r="RNU55" s="44"/>
      <c r="RNV55" s="44"/>
      <c r="RNW55" s="44"/>
      <c r="RNX55" s="44"/>
      <c r="RNY55" s="44"/>
      <c r="RNZ55" s="44"/>
      <c r="ROA55" s="44"/>
      <c r="ROB55" s="44"/>
      <c r="ROC55" s="44"/>
      <c r="ROD55" s="44"/>
      <c r="ROE55" s="44"/>
      <c r="ROF55" s="44"/>
      <c r="ROG55" s="44"/>
      <c r="ROH55" s="44"/>
      <c r="ROI55" s="44"/>
      <c r="ROJ55" s="44"/>
      <c r="ROK55" s="44"/>
      <c r="ROL55" s="44"/>
      <c r="ROM55" s="44"/>
      <c r="RON55" s="44"/>
      <c r="ROO55" s="44"/>
      <c r="ROP55" s="44"/>
      <c r="ROQ55" s="44"/>
      <c r="ROR55" s="44"/>
      <c r="ROS55" s="44"/>
      <c r="ROT55" s="44"/>
      <c r="ROU55" s="44"/>
      <c r="ROV55" s="44"/>
      <c r="ROW55" s="44"/>
      <c r="ROX55" s="44"/>
      <c r="ROY55" s="44"/>
      <c r="ROZ55" s="44"/>
      <c r="RPA55" s="44"/>
      <c r="RPB55" s="44"/>
      <c r="RPC55" s="44"/>
      <c r="RPD55" s="44"/>
      <c r="RPE55" s="44"/>
      <c r="RPF55" s="44"/>
      <c r="RPG55" s="44"/>
      <c r="RPH55" s="44"/>
      <c r="RPI55" s="44"/>
      <c r="RPJ55" s="44"/>
      <c r="RPK55" s="44"/>
      <c r="RPL55" s="44"/>
      <c r="RPM55" s="44"/>
      <c r="RPN55" s="44"/>
      <c r="RPO55" s="44"/>
      <c r="RPP55" s="44"/>
      <c r="RPQ55" s="44"/>
      <c r="RPR55" s="44"/>
      <c r="RPS55" s="44"/>
      <c r="RPT55" s="44"/>
      <c r="RPU55" s="44"/>
      <c r="RPV55" s="44"/>
      <c r="RPW55" s="44"/>
      <c r="RPX55" s="44"/>
      <c r="RPY55" s="44"/>
      <c r="RPZ55" s="44"/>
      <c r="RQA55" s="44"/>
      <c r="RQB55" s="44"/>
      <c r="RQC55" s="44"/>
      <c r="RQD55" s="44"/>
      <c r="RQE55" s="44"/>
      <c r="RQF55" s="44"/>
      <c r="RQG55" s="44"/>
      <c r="RQH55" s="44"/>
      <c r="RQI55" s="44"/>
      <c r="RQJ55" s="44"/>
      <c r="RQK55" s="44"/>
      <c r="RQL55" s="44"/>
      <c r="RQM55" s="44"/>
      <c r="RQN55" s="44"/>
      <c r="RQO55" s="44"/>
      <c r="RQP55" s="44"/>
      <c r="RQQ55" s="44"/>
      <c r="RQR55" s="44"/>
      <c r="RQS55" s="44"/>
      <c r="RQT55" s="44"/>
      <c r="RQU55" s="44"/>
      <c r="RQV55" s="44"/>
      <c r="RQW55" s="44"/>
      <c r="RQX55" s="44"/>
      <c r="RQY55" s="44"/>
      <c r="RQZ55" s="44"/>
      <c r="RRA55" s="44"/>
      <c r="RRB55" s="44"/>
      <c r="RRC55" s="44"/>
      <c r="RRD55" s="44"/>
      <c r="RRE55" s="44"/>
      <c r="RRF55" s="44"/>
      <c r="RRG55" s="44"/>
      <c r="RRH55" s="44"/>
      <c r="RRI55" s="44"/>
      <c r="RRJ55" s="44"/>
      <c r="RRK55" s="44"/>
      <c r="RRL55" s="44"/>
      <c r="RRM55" s="44"/>
      <c r="RRN55" s="44"/>
      <c r="RRO55" s="44"/>
      <c r="RRP55" s="44"/>
      <c r="RRQ55" s="44"/>
      <c r="RRR55" s="44"/>
      <c r="RRS55" s="44"/>
      <c r="RRT55" s="44"/>
      <c r="RRU55" s="44"/>
      <c r="RRV55" s="44"/>
      <c r="RRW55" s="44"/>
      <c r="RRX55" s="44"/>
      <c r="RRY55" s="44"/>
      <c r="RRZ55" s="44"/>
      <c r="RSA55" s="44"/>
      <c r="RSB55" s="44"/>
      <c r="RSC55" s="44"/>
      <c r="RSD55" s="44"/>
      <c r="RSE55" s="44"/>
      <c r="RSF55" s="44"/>
      <c r="RSG55" s="44"/>
      <c r="RSH55" s="44"/>
      <c r="RSI55" s="44"/>
      <c r="RSJ55" s="44"/>
      <c r="RSK55" s="44"/>
      <c r="RSL55" s="44"/>
      <c r="RSM55" s="44"/>
      <c r="RSN55" s="44"/>
      <c r="RSO55" s="44"/>
      <c r="RSP55" s="44"/>
      <c r="RSQ55" s="44"/>
      <c r="RSR55" s="44"/>
      <c r="RSS55" s="44"/>
      <c r="RST55" s="44"/>
      <c r="RSU55" s="44"/>
      <c r="RSV55" s="44"/>
      <c r="RSW55" s="44"/>
      <c r="RSX55" s="44"/>
      <c r="RSY55" s="44"/>
      <c r="RSZ55" s="44"/>
      <c r="RTA55" s="44"/>
      <c r="RTB55" s="44"/>
      <c r="RTC55" s="44"/>
      <c r="RTD55" s="44"/>
      <c r="RTE55" s="44"/>
      <c r="RTF55" s="44"/>
      <c r="RTG55" s="44"/>
      <c r="RTH55" s="44"/>
      <c r="RTI55" s="44"/>
      <c r="RTJ55" s="44"/>
      <c r="RTK55" s="44"/>
      <c r="RTL55" s="44"/>
      <c r="RTM55" s="44"/>
      <c r="RTN55" s="44"/>
      <c r="RTO55" s="44"/>
      <c r="RTP55" s="44"/>
      <c r="RTQ55" s="44"/>
      <c r="RTR55" s="44"/>
      <c r="RTS55" s="44"/>
      <c r="RTT55" s="44"/>
      <c r="RTU55" s="44"/>
      <c r="RTV55" s="44"/>
      <c r="RTW55" s="44"/>
      <c r="RTX55" s="44"/>
      <c r="RTY55" s="44"/>
      <c r="RTZ55" s="44"/>
      <c r="RUA55" s="44"/>
      <c r="RUB55" s="44"/>
      <c r="RUC55" s="44"/>
      <c r="RUD55" s="44"/>
      <c r="RUE55" s="44"/>
      <c r="RUF55" s="44"/>
      <c r="RUG55" s="44"/>
      <c r="RUH55" s="44"/>
      <c r="RUI55" s="44"/>
      <c r="RUJ55" s="44"/>
      <c r="RUK55" s="44"/>
      <c r="RUL55" s="44"/>
      <c r="RUM55" s="44"/>
      <c r="RUN55" s="44"/>
      <c r="RUO55" s="44"/>
      <c r="RUP55" s="44"/>
      <c r="RUQ55" s="44"/>
      <c r="RUR55" s="44"/>
      <c r="RUS55" s="44"/>
      <c r="RUT55" s="44"/>
      <c r="RUU55" s="44"/>
      <c r="RUV55" s="44"/>
      <c r="RUW55" s="44"/>
      <c r="RUX55" s="44"/>
      <c r="RUY55" s="44"/>
      <c r="RUZ55" s="44"/>
      <c r="RVA55" s="44"/>
      <c r="RVB55" s="44"/>
      <c r="RVC55" s="44"/>
      <c r="RVD55" s="44"/>
      <c r="RVE55" s="44"/>
      <c r="RVF55" s="44"/>
      <c r="RVG55" s="44"/>
      <c r="RVH55" s="44"/>
      <c r="RVI55" s="44"/>
      <c r="RVJ55" s="44"/>
      <c r="RVK55" s="44"/>
      <c r="RVL55" s="44"/>
      <c r="RVM55" s="44"/>
      <c r="RVN55" s="44"/>
      <c r="RVO55" s="44"/>
      <c r="RVP55" s="44"/>
      <c r="RVQ55" s="44"/>
      <c r="RVR55" s="44"/>
      <c r="RVS55" s="44"/>
      <c r="RVT55" s="44"/>
      <c r="RVU55" s="44"/>
      <c r="RVV55" s="44"/>
      <c r="RVW55" s="44"/>
      <c r="RVX55" s="44"/>
      <c r="RVY55" s="44"/>
      <c r="RVZ55" s="44"/>
      <c r="RWA55" s="44"/>
      <c r="RWB55" s="44"/>
      <c r="RWC55" s="44"/>
      <c r="RWD55" s="44"/>
      <c r="RWE55" s="44"/>
      <c r="RWF55" s="44"/>
      <c r="RWG55" s="44"/>
      <c r="RWH55" s="44"/>
      <c r="RWI55" s="44"/>
      <c r="RWJ55" s="44"/>
      <c r="RWK55" s="44"/>
      <c r="RWL55" s="44"/>
      <c r="RWM55" s="44"/>
      <c r="RWN55" s="44"/>
      <c r="RWO55" s="44"/>
      <c r="RWP55" s="44"/>
      <c r="RWQ55" s="44"/>
      <c r="RWR55" s="44"/>
      <c r="RWS55" s="44"/>
      <c r="RWT55" s="44"/>
      <c r="RWU55" s="44"/>
      <c r="RWV55" s="44"/>
      <c r="RWW55" s="44"/>
      <c r="RWX55" s="44"/>
      <c r="RWY55" s="44"/>
      <c r="RWZ55" s="44"/>
      <c r="RXA55" s="44"/>
      <c r="RXB55" s="44"/>
      <c r="RXC55" s="44"/>
      <c r="RXD55" s="44"/>
      <c r="RXE55" s="44"/>
      <c r="RXF55" s="44"/>
      <c r="RXG55" s="44"/>
      <c r="RXH55" s="44"/>
      <c r="RXI55" s="44"/>
      <c r="RXJ55" s="44"/>
      <c r="RXK55" s="44"/>
      <c r="RXL55" s="44"/>
      <c r="RXM55" s="44"/>
      <c r="RXN55" s="44"/>
      <c r="RXO55" s="44"/>
      <c r="RXP55" s="44"/>
      <c r="RXQ55" s="44"/>
      <c r="RXR55" s="44"/>
      <c r="RXS55" s="44"/>
      <c r="RXT55" s="44"/>
      <c r="RXU55" s="44"/>
      <c r="RXV55" s="44"/>
      <c r="RXW55" s="44"/>
      <c r="RXX55" s="44"/>
      <c r="RXY55" s="44"/>
      <c r="RXZ55" s="44"/>
      <c r="RYA55" s="44"/>
      <c r="RYB55" s="44"/>
      <c r="RYC55" s="44"/>
      <c r="RYD55" s="44"/>
      <c r="RYE55" s="44"/>
      <c r="RYF55" s="44"/>
      <c r="RYG55" s="44"/>
      <c r="RYH55" s="44"/>
      <c r="RYI55" s="44"/>
      <c r="RYJ55" s="44"/>
      <c r="RYK55" s="44"/>
      <c r="RYL55" s="44"/>
      <c r="RYM55" s="44"/>
      <c r="RYN55" s="44"/>
      <c r="RYO55" s="44"/>
      <c r="RYP55" s="44"/>
      <c r="RYQ55" s="44"/>
      <c r="RYR55" s="44"/>
      <c r="RYS55" s="44"/>
      <c r="RYT55" s="44"/>
      <c r="RYU55" s="44"/>
      <c r="RYV55" s="44"/>
      <c r="RYW55" s="44"/>
      <c r="RYX55" s="44"/>
      <c r="RYY55" s="44"/>
      <c r="RYZ55" s="44"/>
      <c r="RZA55" s="44"/>
      <c r="RZB55" s="44"/>
      <c r="RZC55" s="44"/>
      <c r="RZD55" s="44"/>
      <c r="RZE55" s="44"/>
      <c r="RZF55" s="44"/>
      <c r="RZG55" s="44"/>
      <c r="RZH55" s="44"/>
      <c r="RZI55" s="44"/>
      <c r="RZJ55" s="44"/>
      <c r="RZK55" s="44"/>
      <c r="RZL55" s="44"/>
      <c r="RZM55" s="44"/>
      <c r="RZN55" s="44"/>
      <c r="RZO55" s="44"/>
      <c r="RZP55" s="44"/>
      <c r="RZQ55" s="44"/>
      <c r="RZR55" s="44"/>
      <c r="RZS55" s="44"/>
      <c r="RZT55" s="44"/>
      <c r="RZU55" s="44"/>
      <c r="RZV55" s="44"/>
      <c r="RZW55" s="44"/>
      <c r="RZX55" s="44"/>
      <c r="RZY55" s="44"/>
      <c r="RZZ55" s="44"/>
      <c r="SAA55" s="44"/>
      <c r="SAB55" s="44"/>
      <c r="SAC55" s="44"/>
      <c r="SAD55" s="44"/>
      <c r="SAE55" s="44"/>
      <c r="SAF55" s="44"/>
      <c r="SAG55" s="44"/>
      <c r="SAH55" s="44"/>
      <c r="SAI55" s="44"/>
      <c r="SAJ55" s="44"/>
      <c r="SAK55" s="44"/>
      <c r="SAL55" s="44"/>
      <c r="SAM55" s="44"/>
      <c r="SAN55" s="44"/>
      <c r="SAO55" s="44"/>
      <c r="SAP55" s="44"/>
      <c r="SAQ55" s="44"/>
      <c r="SAR55" s="44"/>
      <c r="SAS55" s="44"/>
      <c r="SAT55" s="44"/>
      <c r="SAU55" s="44"/>
      <c r="SAV55" s="44"/>
      <c r="SAW55" s="44"/>
      <c r="SAX55" s="44"/>
      <c r="SAY55" s="44"/>
      <c r="SAZ55" s="44"/>
      <c r="SBA55" s="44"/>
      <c r="SBB55" s="44"/>
      <c r="SBC55" s="44"/>
      <c r="SBD55" s="44"/>
      <c r="SBE55" s="44"/>
      <c r="SBF55" s="44"/>
      <c r="SBG55" s="44"/>
      <c r="SBH55" s="44"/>
      <c r="SBI55" s="44"/>
      <c r="SBJ55" s="44"/>
      <c r="SBK55" s="44"/>
      <c r="SBL55" s="44"/>
      <c r="SBM55" s="44"/>
      <c r="SBN55" s="44"/>
      <c r="SBO55" s="44"/>
      <c r="SBP55" s="44"/>
      <c r="SBQ55" s="44"/>
      <c r="SBR55" s="44"/>
      <c r="SBS55" s="44"/>
      <c r="SBT55" s="44"/>
      <c r="SBU55" s="44"/>
      <c r="SBV55" s="44"/>
      <c r="SBW55" s="44"/>
      <c r="SBX55" s="44"/>
      <c r="SBY55" s="44"/>
      <c r="SBZ55" s="44"/>
      <c r="SCA55" s="44"/>
      <c r="SCB55" s="44"/>
      <c r="SCC55" s="44"/>
      <c r="SCD55" s="44"/>
      <c r="SCE55" s="44"/>
      <c r="SCF55" s="44"/>
      <c r="SCG55" s="44"/>
      <c r="SCH55" s="44"/>
      <c r="SCI55" s="44"/>
      <c r="SCJ55" s="44"/>
      <c r="SCK55" s="44"/>
      <c r="SCL55" s="44"/>
      <c r="SCM55" s="44"/>
      <c r="SCN55" s="44"/>
      <c r="SCO55" s="44"/>
      <c r="SCP55" s="44"/>
      <c r="SCQ55" s="44"/>
      <c r="SCR55" s="44"/>
      <c r="SCS55" s="44"/>
      <c r="SCT55" s="44"/>
      <c r="SCU55" s="44"/>
      <c r="SCV55" s="44"/>
      <c r="SCW55" s="44"/>
      <c r="SCX55" s="44"/>
      <c r="SCY55" s="44"/>
      <c r="SCZ55" s="44"/>
      <c r="SDA55" s="44"/>
      <c r="SDB55" s="44"/>
      <c r="SDC55" s="44"/>
      <c r="SDD55" s="44"/>
      <c r="SDE55" s="44"/>
      <c r="SDF55" s="44"/>
      <c r="SDG55" s="44"/>
      <c r="SDH55" s="44"/>
      <c r="SDI55" s="44"/>
      <c r="SDJ55" s="44"/>
      <c r="SDK55" s="44"/>
      <c r="SDL55" s="44"/>
      <c r="SDM55" s="44"/>
      <c r="SDN55" s="44"/>
      <c r="SDO55" s="44"/>
      <c r="SDP55" s="44"/>
      <c r="SDQ55" s="44"/>
      <c r="SDR55" s="44"/>
      <c r="SDS55" s="44"/>
      <c r="SDT55" s="44"/>
      <c r="SDU55" s="44"/>
      <c r="SDV55" s="44"/>
      <c r="SDW55" s="44"/>
      <c r="SDX55" s="44"/>
      <c r="SDY55" s="44"/>
      <c r="SDZ55" s="44"/>
      <c r="SEA55" s="44"/>
      <c r="SEB55" s="44"/>
      <c r="SEC55" s="44"/>
      <c r="SED55" s="44"/>
      <c r="SEE55" s="44"/>
      <c r="SEF55" s="44"/>
      <c r="SEG55" s="44"/>
      <c r="SEH55" s="44"/>
      <c r="SEI55" s="44"/>
      <c r="SEJ55" s="44"/>
      <c r="SEK55" s="44"/>
      <c r="SEL55" s="44"/>
      <c r="SEM55" s="44"/>
      <c r="SEN55" s="44"/>
      <c r="SEO55" s="44"/>
      <c r="SEP55" s="44"/>
      <c r="SEQ55" s="44"/>
      <c r="SER55" s="44"/>
      <c r="SES55" s="44"/>
      <c r="SET55" s="44"/>
      <c r="SEU55" s="44"/>
      <c r="SEV55" s="44"/>
      <c r="SEW55" s="44"/>
      <c r="SEX55" s="44"/>
      <c r="SEY55" s="44"/>
      <c r="SEZ55" s="44"/>
      <c r="SFA55" s="44"/>
      <c r="SFB55" s="44"/>
      <c r="SFC55" s="44"/>
      <c r="SFD55" s="44"/>
      <c r="SFE55" s="44"/>
      <c r="SFF55" s="44"/>
      <c r="SFG55" s="44"/>
      <c r="SFH55" s="44"/>
      <c r="SFI55" s="44"/>
      <c r="SFJ55" s="44"/>
      <c r="SFK55" s="44"/>
      <c r="SFL55" s="44"/>
      <c r="SFM55" s="44"/>
      <c r="SFN55" s="44"/>
      <c r="SFO55" s="44"/>
      <c r="SFP55" s="44"/>
      <c r="SFQ55" s="44"/>
      <c r="SFR55" s="44"/>
      <c r="SFS55" s="44"/>
      <c r="SFT55" s="44"/>
      <c r="SFU55" s="44"/>
      <c r="SFV55" s="44"/>
      <c r="SFW55" s="44"/>
      <c r="SFX55" s="44"/>
      <c r="SFY55" s="44"/>
      <c r="SFZ55" s="44"/>
      <c r="SGA55" s="44"/>
      <c r="SGB55" s="44"/>
      <c r="SGC55" s="44"/>
      <c r="SGD55" s="44"/>
      <c r="SGE55" s="44"/>
      <c r="SGF55" s="44"/>
      <c r="SGG55" s="44"/>
      <c r="SGH55" s="44"/>
      <c r="SGI55" s="44"/>
      <c r="SGJ55" s="44"/>
      <c r="SGK55" s="44"/>
      <c r="SGL55" s="44"/>
      <c r="SGM55" s="44"/>
      <c r="SGN55" s="44"/>
      <c r="SGO55" s="44"/>
      <c r="SGP55" s="44"/>
      <c r="SGQ55" s="44"/>
      <c r="SGR55" s="44"/>
      <c r="SGS55" s="44"/>
      <c r="SGT55" s="44"/>
      <c r="SGU55" s="44"/>
      <c r="SGV55" s="44"/>
      <c r="SGW55" s="44"/>
      <c r="SGX55" s="44"/>
      <c r="SGY55" s="44"/>
      <c r="SGZ55" s="44"/>
      <c r="SHA55" s="44"/>
      <c r="SHB55" s="44"/>
      <c r="SHC55" s="44"/>
      <c r="SHD55" s="44"/>
      <c r="SHE55" s="44"/>
      <c r="SHF55" s="44"/>
      <c r="SHG55" s="44"/>
      <c r="SHH55" s="44"/>
      <c r="SHI55" s="44"/>
      <c r="SHJ55" s="44"/>
      <c r="SHK55" s="44"/>
      <c r="SHL55" s="44"/>
      <c r="SHM55" s="44"/>
      <c r="SHN55" s="44"/>
      <c r="SHO55" s="44"/>
      <c r="SHP55" s="44"/>
      <c r="SHQ55" s="44"/>
      <c r="SHR55" s="44"/>
      <c r="SHS55" s="44"/>
      <c r="SHT55" s="44"/>
      <c r="SHU55" s="44"/>
      <c r="SHV55" s="44"/>
      <c r="SHW55" s="44"/>
      <c r="SHX55" s="44"/>
      <c r="SHY55" s="44"/>
      <c r="SHZ55" s="44"/>
      <c r="SIA55" s="44"/>
      <c r="SIB55" s="44"/>
      <c r="SIC55" s="44"/>
      <c r="SID55" s="44"/>
      <c r="SIE55" s="44"/>
      <c r="SIF55" s="44"/>
      <c r="SIG55" s="44"/>
      <c r="SIH55" s="44"/>
      <c r="SII55" s="44"/>
      <c r="SIJ55" s="44"/>
      <c r="SIK55" s="44"/>
      <c r="SIL55" s="44"/>
      <c r="SIM55" s="44"/>
      <c r="SIN55" s="44"/>
      <c r="SIO55" s="44"/>
      <c r="SIP55" s="44"/>
      <c r="SIQ55" s="44"/>
      <c r="SIR55" s="44"/>
      <c r="SIS55" s="44"/>
      <c r="SIT55" s="44"/>
      <c r="SIU55" s="44"/>
      <c r="SIV55" s="44"/>
      <c r="SIW55" s="44"/>
      <c r="SIX55" s="44"/>
      <c r="SIY55" s="44"/>
      <c r="SIZ55" s="44"/>
      <c r="SJA55" s="44"/>
      <c r="SJB55" s="44"/>
      <c r="SJC55" s="44"/>
      <c r="SJD55" s="44"/>
      <c r="SJE55" s="44"/>
      <c r="SJF55" s="44"/>
      <c r="SJG55" s="44"/>
      <c r="SJH55" s="44"/>
      <c r="SJI55" s="44"/>
      <c r="SJJ55" s="44"/>
      <c r="SJK55" s="44"/>
      <c r="SJL55" s="44"/>
      <c r="SJM55" s="44"/>
      <c r="SJN55" s="44"/>
      <c r="SJO55" s="44"/>
      <c r="SJP55" s="44"/>
      <c r="SJQ55" s="44"/>
      <c r="SJR55" s="44"/>
      <c r="SJS55" s="44"/>
      <c r="SJT55" s="44"/>
      <c r="SJU55" s="44"/>
      <c r="SJV55" s="44"/>
      <c r="SJW55" s="44"/>
      <c r="SJX55" s="44"/>
      <c r="SJY55" s="44"/>
      <c r="SJZ55" s="44"/>
      <c r="SKA55" s="44"/>
      <c r="SKB55" s="44"/>
      <c r="SKC55" s="44"/>
      <c r="SKD55" s="44"/>
      <c r="SKE55" s="44"/>
      <c r="SKF55" s="44"/>
      <c r="SKG55" s="44"/>
      <c r="SKH55" s="44"/>
      <c r="SKI55" s="44"/>
      <c r="SKJ55" s="44"/>
      <c r="SKK55" s="44"/>
      <c r="SKL55" s="44"/>
      <c r="SKM55" s="44"/>
      <c r="SKN55" s="44"/>
      <c r="SKO55" s="44"/>
      <c r="SKP55" s="44"/>
      <c r="SKQ55" s="44"/>
      <c r="SKR55" s="44"/>
      <c r="SKS55" s="44"/>
      <c r="SKT55" s="44"/>
      <c r="SKU55" s="44"/>
      <c r="SKV55" s="44"/>
      <c r="SKW55" s="44"/>
      <c r="SKX55" s="44"/>
      <c r="SKY55" s="44"/>
      <c r="SKZ55" s="44"/>
      <c r="SLA55" s="44"/>
      <c r="SLB55" s="44"/>
      <c r="SLC55" s="44"/>
      <c r="SLD55" s="44"/>
      <c r="SLE55" s="44"/>
      <c r="SLF55" s="44"/>
      <c r="SLG55" s="44"/>
      <c r="SLH55" s="44"/>
      <c r="SLI55" s="44"/>
      <c r="SLJ55" s="44"/>
      <c r="SLK55" s="44"/>
      <c r="SLL55" s="44"/>
      <c r="SLM55" s="44"/>
      <c r="SLN55" s="44"/>
      <c r="SLO55" s="44"/>
      <c r="SLP55" s="44"/>
      <c r="SLQ55" s="44"/>
      <c r="SLR55" s="44"/>
      <c r="SLS55" s="44"/>
      <c r="SLT55" s="44"/>
      <c r="SLU55" s="44"/>
      <c r="SLV55" s="44"/>
      <c r="SLW55" s="44"/>
      <c r="SLX55" s="44"/>
      <c r="SLY55" s="44"/>
      <c r="SLZ55" s="44"/>
      <c r="SMA55" s="44"/>
      <c r="SMB55" s="44"/>
      <c r="SMC55" s="44"/>
      <c r="SMD55" s="44"/>
      <c r="SME55" s="44"/>
      <c r="SMF55" s="44"/>
      <c r="SMG55" s="44"/>
      <c r="SMH55" s="44"/>
      <c r="SMI55" s="44"/>
      <c r="SMJ55" s="44"/>
      <c r="SMK55" s="44"/>
      <c r="SML55" s="44"/>
      <c r="SMM55" s="44"/>
      <c r="SMN55" s="44"/>
      <c r="SMO55" s="44"/>
      <c r="SMP55" s="44"/>
      <c r="SMQ55" s="44"/>
      <c r="SMR55" s="44"/>
      <c r="SMS55" s="44"/>
      <c r="SMT55" s="44"/>
      <c r="SMU55" s="44"/>
      <c r="SMV55" s="44"/>
      <c r="SMW55" s="44"/>
      <c r="SMX55" s="44"/>
      <c r="SMY55" s="44"/>
      <c r="SMZ55" s="44"/>
      <c r="SNA55" s="44"/>
      <c r="SNB55" s="44"/>
      <c r="SNC55" s="44"/>
      <c r="SND55" s="44"/>
      <c r="SNE55" s="44"/>
      <c r="SNF55" s="44"/>
      <c r="SNG55" s="44"/>
      <c r="SNH55" s="44"/>
      <c r="SNI55" s="44"/>
      <c r="SNJ55" s="44"/>
      <c r="SNK55" s="44"/>
      <c r="SNL55" s="44"/>
      <c r="SNM55" s="44"/>
      <c r="SNN55" s="44"/>
      <c r="SNO55" s="44"/>
      <c r="SNP55" s="44"/>
      <c r="SNQ55" s="44"/>
      <c r="SNR55" s="44"/>
      <c r="SNS55" s="44"/>
      <c r="SNT55" s="44"/>
      <c r="SNU55" s="44"/>
      <c r="SNV55" s="44"/>
      <c r="SNW55" s="44"/>
      <c r="SNX55" s="44"/>
      <c r="SNY55" s="44"/>
      <c r="SNZ55" s="44"/>
      <c r="SOA55" s="44"/>
      <c r="SOB55" s="44"/>
      <c r="SOC55" s="44"/>
      <c r="SOD55" s="44"/>
      <c r="SOE55" s="44"/>
      <c r="SOF55" s="44"/>
      <c r="SOG55" s="44"/>
      <c r="SOH55" s="44"/>
      <c r="SOI55" s="44"/>
      <c r="SOJ55" s="44"/>
      <c r="SOK55" s="44"/>
      <c r="SOL55" s="44"/>
      <c r="SOM55" s="44"/>
      <c r="SON55" s="44"/>
      <c r="SOO55" s="44"/>
      <c r="SOP55" s="44"/>
      <c r="SOQ55" s="44"/>
      <c r="SOR55" s="44"/>
      <c r="SOS55" s="44"/>
      <c r="SOT55" s="44"/>
      <c r="SOU55" s="44"/>
      <c r="SOV55" s="44"/>
      <c r="SOW55" s="44"/>
      <c r="SOX55" s="44"/>
      <c r="SOY55" s="44"/>
      <c r="SOZ55" s="44"/>
      <c r="SPA55" s="44"/>
      <c r="SPB55" s="44"/>
      <c r="SPC55" s="44"/>
      <c r="SPD55" s="44"/>
      <c r="SPE55" s="44"/>
      <c r="SPF55" s="44"/>
      <c r="SPG55" s="44"/>
      <c r="SPH55" s="44"/>
      <c r="SPI55" s="44"/>
      <c r="SPJ55" s="44"/>
      <c r="SPK55" s="44"/>
      <c r="SPL55" s="44"/>
      <c r="SPM55" s="44"/>
      <c r="SPN55" s="44"/>
      <c r="SPO55" s="44"/>
      <c r="SPP55" s="44"/>
      <c r="SPQ55" s="44"/>
      <c r="SPR55" s="44"/>
      <c r="SPS55" s="44"/>
      <c r="SPT55" s="44"/>
      <c r="SPU55" s="44"/>
      <c r="SPV55" s="44"/>
      <c r="SPW55" s="44"/>
      <c r="SPX55" s="44"/>
      <c r="SPY55" s="44"/>
      <c r="SPZ55" s="44"/>
      <c r="SQA55" s="44"/>
      <c r="SQB55" s="44"/>
      <c r="SQC55" s="44"/>
      <c r="SQD55" s="44"/>
      <c r="SQE55" s="44"/>
      <c r="SQF55" s="44"/>
      <c r="SQG55" s="44"/>
      <c r="SQH55" s="44"/>
      <c r="SQI55" s="44"/>
      <c r="SQJ55" s="44"/>
      <c r="SQK55" s="44"/>
      <c r="SQL55" s="44"/>
      <c r="SQM55" s="44"/>
      <c r="SQN55" s="44"/>
      <c r="SQO55" s="44"/>
      <c r="SQP55" s="44"/>
      <c r="SQQ55" s="44"/>
      <c r="SQR55" s="44"/>
      <c r="SQS55" s="44"/>
      <c r="SQT55" s="44"/>
      <c r="SQU55" s="44"/>
      <c r="SQV55" s="44"/>
      <c r="SQW55" s="44"/>
      <c r="SQX55" s="44"/>
      <c r="SQY55" s="44"/>
      <c r="SQZ55" s="44"/>
      <c r="SRA55" s="44"/>
      <c r="SRB55" s="44"/>
      <c r="SRC55" s="44"/>
      <c r="SRD55" s="44"/>
      <c r="SRE55" s="44"/>
      <c r="SRF55" s="44"/>
      <c r="SRG55" s="44"/>
      <c r="SRH55" s="44"/>
      <c r="SRI55" s="44"/>
      <c r="SRJ55" s="44"/>
      <c r="SRK55" s="44"/>
      <c r="SRL55" s="44"/>
      <c r="SRM55" s="44"/>
      <c r="SRN55" s="44"/>
      <c r="SRO55" s="44"/>
      <c r="SRP55" s="44"/>
      <c r="SRQ55" s="44"/>
      <c r="SRR55" s="44"/>
      <c r="SRS55" s="44"/>
      <c r="SRT55" s="44"/>
      <c r="SRU55" s="44"/>
      <c r="SRV55" s="44"/>
      <c r="SRW55" s="44"/>
      <c r="SRX55" s="44"/>
      <c r="SRY55" s="44"/>
      <c r="SRZ55" s="44"/>
      <c r="SSA55" s="44"/>
      <c r="SSB55" s="44"/>
      <c r="SSC55" s="44"/>
      <c r="SSD55" s="44"/>
      <c r="SSE55" s="44"/>
      <c r="SSF55" s="44"/>
      <c r="SSG55" s="44"/>
      <c r="SSH55" s="44"/>
      <c r="SSI55" s="44"/>
      <c r="SSJ55" s="44"/>
      <c r="SSK55" s="44"/>
      <c r="SSL55" s="44"/>
      <c r="SSM55" s="44"/>
      <c r="SSN55" s="44"/>
      <c r="SSO55" s="44"/>
      <c r="SSP55" s="44"/>
      <c r="SSQ55" s="44"/>
      <c r="SSR55" s="44"/>
      <c r="SSS55" s="44"/>
      <c r="SST55" s="44"/>
      <c r="SSU55" s="44"/>
      <c r="SSV55" s="44"/>
      <c r="SSW55" s="44"/>
      <c r="SSX55" s="44"/>
      <c r="SSY55" s="44"/>
      <c r="SSZ55" s="44"/>
      <c r="STA55" s="44"/>
      <c r="STB55" s="44"/>
      <c r="STC55" s="44"/>
      <c r="STD55" s="44"/>
      <c r="STE55" s="44"/>
      <c r="STF55" s="44"/>
      <c r="STG55" s="44"/>
      <c r="STH55" s="44"/>
      <c r="STI55" s="44"/>
      <c r="STJ55" s="44"/>
      <c r="STK55" s="44"/>
      <c r="STL55" s="44"/>
      <c r="STM55" s="44"/>
      <c r="STN55" s="44"/>
      <c r="STO55" s="44"/>
      <c r="STP55" s="44"/>
      <c r="STQ55" s="44"/>
      <c r="STR55" s="44"/>
      <c r="STS55" s="44"/>
      <c r="STT55" s="44"/>
      <c r="STU55" s="44"/>
      <c r="STV55" s="44"/>
      <c r="STW55" s="44"/>
      <c r="STX55" s="44"/>
      <c r="STY55" s="44"/>
      <c r="STZ55" s="44"/>
      <c r="SUA55" s="44"/>
      <c r="SUB55" s="44"/>
      <c r="SUC55" s="44"/>
      <c r="SUD55" s="44"/>
      <c r="SUE55" s="44"/>
      <c r="SUF55" s="44"/>
      <c r="SUG55" s="44"/>
      <c r="SUH55" s="44"/>
      <c r="SUI55" s="44"/>
      <c r="SUJ55" s="44"/>
      <c r="SUK55" s="44"/>
      <c r="SUL55" s="44"/>
      <c r="SUM55" s="44"/>
      <c r="SUN55" s="44"/>
      <c r="SUO55" s="44"/>
      <c r="SUP55" s="44"/>
      <c r="SUQ55" s="44"/>
      <c r="SUR55" s="44"/>
      <c r="SUS55" s="44"/>
      <c r="SUT55" s="44"/>
      <c r="SUU55" s="44"/>
      <c r="SUV55" s="44"/>
      <c r="SUW55" s="44"/>
      <c r="SUX55" s="44"/>
      <c r="SUY55" s="44"/>
      <c r="SUZ55" s="44"/>
      <c r="SVA55" s="44"/>
      <c r="SVB55" s="44"/>
      <c r="SVC55" s="44"/>
      <c r="SVD55" s="44"/>
      <c r="SVE55" s="44"/>
      <c r="SVF55" s="44"/>
      <c r="SVG55" s="44"/>
      <c r="SVH55" s="44"/>
      <c r="SVI55" s="44"/>
      <c r="SVJ55" s="44"/>
      <c r="SVK55" s="44"/>
      <c r="SVL55" s="44"/>
      <c r="SVM55" s="44"/>
      <c r="SVN55" s="44"/>
      <c r="SVO55" s="44"/>
      <c r="SVP55" s="44"/>
      <c r="SVQ55" s="44"/>
      <c r="SVR55" s="44"/>
      <c r="SVS55" s="44"/>
      <c r="SVT55" s="44"/>
      <c r="SVU55" s="44"/>
      <c r="SVV55" s="44"/>
      <c r="SVW55" s="44"/>
      <c r="SVX55" s="44"/>
      <c r="SVY55" s="44"/>
      <c r="SVZ55" s="44"/>
      <c r="SWA55" s="44"/>
      <c r="SWB55" s="44"/>
      <c r="SWC55" s="44"/>
      <c r="SWD55" s="44"/>
      <c r="SWE55" s="44"/>
      <c r="SWF55" s="44"/>
      <c r="SWG55" s="44"/>
      <c r="SWH55" s="44"/>
      <c r="SWI55" s="44"/>
      <c r="SWJ55" s="44"/>
      <c r="SWK55" s="44"/>
      <c r="SWL55" s="44"/>
      <c r="SWM55" s="44"/>
      <c r="SWN55" s="44"/>
      <c r="SWO55" s="44"/>
      <c r="SWP55" s="44"/>
      <c r="SWQ55" s="44"/>
      <c r="SWR55" s="44"/>
      <c r="SWS55" s="44"/>
      <c r="SWT55" s="44"/>
      <c r="SWU55" s="44"/>
      <c r="SWV55" s="44"/>
      <c r="SWW55" s="44"/>
      <c r="SWX55" s="44"/>
      <c r="SWY55" s="44"/>
      <c r="SWZ55" s="44"/>
      <c r="SXA55" s="44"/>
      <c r="SXB55" s="44"/>
      <c r="SXC55" s="44"/>
      <c r="SXD55" s="44"/>
      <c r="SXE55" s="44"/>
      <c r="SXF55" s="44"/>
      <c r="SXG55" s="44"/>
      <c r="SXH55" s="44"/>
      <c r="SXI55" s="44"/>
      <c r="SXJ55" s="44"/>
      <c r="SXK55" s="44"/>
      <c r="SXL55" s="44"/>
      <c r="SXM55" s="44"/>
      <c r="SXN55" s="44"/>
      <c r="SXO55" s="44"/>
      <c r="SXP55" s="44"/>
      <c r="SXQ55" s="44"/>
      <c r="SXR55" s="44"/>
      <c r="SXS55" s="44"/>
      <c r="SXT55" s="44"/>
      <c r="SXU55" s="44"/>
      <c r="SXV55" s="44"/>
      <c r="SXW55" s="44"/>
      <c r="SXX55" s="44"/>
      <c r="SXY55" s="44"/>
      <c r="SXZ55" s="44"/>
      <c r="SYA55" s="44"/>
      <c r="SYB55" s="44"/>
      <c r="SYC55" s="44"/>
      <c r="SYD55" s="44"/>
      <c r="SYE55" s="44"/>
      <c r="SYF55" s="44"/>
      <c r="SYG55" s="44"/>
      <c r="SYH55" s="44"/>
      <c r="SYI55" s="44"/>
      <c r="SYJ55" s="44"/>
      <c r="SYK55" s="44"/>
      <c r="SYL55" s="44"/>
      <c r="SYM55" s="44"/>
      <c r="SYN55" s="44"/>
      <c r="SYO55" s="44"/>
      <c r="SYP55" s="44"/>
      <c r="SYQ55" s="44"/>
      <c r="SYR55" s="44"/>
      <c r="SYS55" s="44"/>
      <c r="SYT55" s="44"/>
      <c r="SYU55" s="44"/>
      <c r="SYV55" s="44"/>
      <c r="SYW55" s="44"/>
      <c r="SYX55" s="44"/>
      <c r="SYY55" s="44"/>
      <c r="SYZ55" s="44"/>
      <c r="SZA55" s="44"/>
      <c r="SZB55" s="44"/>
      <c r="SZC55" s="44"/>
      <c r="SZD55" s="44"/>
      <c r="SZE55" s="44"/>
      <c r="SZF55" s="44"/>
      <c r="SZG55" s="44"/>
      <c r="SZH55" s="44"/>
      <c r="SZI55" s="44"/>
      <c r="SZJ55" s="44"/>
      <c r="SZK55" s="44"/>
      <c r="SZL55" s="44"/>
      <c r="SZM55" s="44"/>
      <c r="SZN55" s="44"/>
      <c r="SZO55" s="44"/>
      <c r="SZP55" s="44"/>
      <c r="SZQ55" s="44"/>
      <c r="SZR55" s="44"/>
      <c r="SZS55" s="44"/>
      <c r="SZT55" s="44"/>
      <c r="SZU55" s="44"/>
      <c r="SZV55" s="44"/>
      <c r="SZW55" s="44"/>
      <c r="SZX55" s="44"/>
      <c r="SZY55" s="44"/>
      <c r="SZZ55" s="44"/>
      <c r="TAA55" s="44"/>
      <c r="TAB55" s="44"/>
      <c r="TAC55" s="44"/>
      <c r="TAD55" s="44"/>
      <c r="TAE55" s="44"/>
      <c r="TAF55" s="44"/>
      <c r="TAG55" s="44"/>
      <c r="TAH55" s="44"/>
      <c r="TAI55" s="44"/>
      <c r="TAJ55" s="44"/>
      <c r="TAK55" s="44"/>
      <c r="TAL55" s="44"/>
      <c r="TAM55" s="44"/>
      <c r="TAN55" s="44"/>
      <c r="TAO55" s="44"/>
      <c r="TAP55" s="44"/>
      <c r="TAQ55" s="44"/>
      <c r="TAR55" s="44"/>
      <c r="TAS55" s="44"/>
      <c r="TAT55" s="44"/>
      <c r="TAU55" s="44"/>
      <c r="TAV55" s="44"/>
      <c r="TAW55" s="44"/>
      <c r="TAX55" s="44"/>
      <c r="TAY55" s="44"/>
      <c r="TAZ55" s="44"/>
      <c r="TBA55" s="44"/>
      <c r="TBB55" s="44"/>
      <c r="TBC55" s="44"/>
      <c r="TBD55" s="44"/>
      <c r="TBE55" s="44"/>
      <c r="TBF55" s="44"/>
      <c r="TBG55" s="44"/>
      <c r="TBH55" s="44"/>
      <c r="TBI55" s="44"/>
      <c r="TBJ55" s="44"/>
      <c r="TBK55" s="44"/>
      <c r="TBL55" s="44"/>
      <c r="TBM55" s="44"/>
      <c r="TBN55" s="44"/>
      <c r="TBO55" s="44"/>
      <c r="TBP55" s="44"/>
      <c r="TBQ55" s="44"/>
      <c r="TBR55" s="44"/>
      <c r="TBS55" s="44"/>
      <c r="TBT55" s="44"/>
      <c r="TBU55" s="44"/>
      <c r="TBV55" s="44"/>
      <c r="TBW55" s="44"/>
      <c r="TBX55" s="44"/>
      <c r="TBY55" s="44"/>
      <c r="TBZ55" s="44"/>
      <c r="TCA55" s="44"/>
      <c r="TCB55" s="44"/>
      <c r="TCC55" s="44"/>
      <c r="TCD55" s="44"/>
      <c r="TCE55" s="44"/>
      <c r="TCF55" s="44"/>
      <c r="TCG55" s="44"/>
      <c r="TCH55" s="44"/>
      <c r="TCI55" s="44"/>
      <c r="TCJ55" s="44"/>
      <c r="TCK55" s="44"/>
      <c r="TCL55" s="44"/>
      <c r="TCM55" s="44"/>
      <c r="TCN55" s="44"/>
      <c r="TCO55" s="44"/>
      <c r="TCP55" s="44"/>
      <c r="TCQ55" s="44"/>
      <c r="TCR55" s="44"/>
      <c r="TCS55" s="44"/>
      <c r="TCT55" s="44"/>
      <c r="TCU55" s="44"/>
      <c r="TCV55" s="44"/>
      <c r="TCW55" s="44"/>
      <c r="TCX55" s="44"/>
      <c r="TCY55" s="44"/>
      <c r="TCZ55" s="44"/>
      <c r="TDA55" s="44"/>
      <c r="TDB55" s="44"/>
      <c r="TDC55" s="44"/>
      <c r="TDD55" s="44"/>
      <c r="TDE55" s="44"/>
      <c r="TDF55" s="44"/>
      <c r="TDG55" s="44"/>
      <c r="TDH55" s="44"/>
      <c r="TDI55" s="44"/>
      <c r="TDJ55" s="44"/>
      <c r="TDK55" s="44"/>
      <c r="TDL55" s="44"/>
      <c r="TDM55" s="44"/>
      <c r="TDN55" s="44"/>
      <c r="TDO55" s="44"/>
      <c r="TDP55" s="44"/>
      <c r="TDQ55" s="44"/>
      <c r="TDR55" s="44"/>
      <c r="TDS55" s="44"/>
      <c r="TDT55" s="44"/>
      <c r="TDU55" s="44"/>
      <c r="TDV55" s="44"/>
      <c r="TDW55" s="44"/>
      <c r="TDX55" s="44"/>
      <c r="TDY55" s="44"/>
      <c r="TDZ55" s="44"/>
      <c r="TEA55" s="44"/>
      <c r="TEB55" s="44"/>
      <c r="TEC55" s="44"/>
      <c r="TED55" s="44"/>
      <c r="TEE55" s="44"/>
      <c r="TEF55" s="44"/>
      <c r="TEG55" s="44"/>
      <c r="TEH55" s="44"/>
      <c r="TEI55" s="44"/>
      <c r="TEJ55" s="44"/>
      <c r="TEK55" s="44"/>
      <c r="TEL55" s="44"/>
      <c r="TEM55" s="44"/>
      <c r="TEN55" s="44"/>
      <c r="TEO55" s="44"/>
      <c r="TEP55" s="44"/>
      <c r="TEQ55" s="44"/>
      <c r="TER55" s="44"/>
      <c r="TES55" s="44"/>
      <c r="TET55" s="44"/>
      <c r="TEU55" s="44"/>
      <c r="TEV55" s="44"/>
      <c r="TEW55" s="44"/>
      <c r="TEX55" s="44"/>
      <c r="TEY55" s="44"/>
      <c r="TEZ55" s="44"/>
      <c r="TFA55" s="44"/>
      <c r="TFB55" s="44"/>
      <c r="TFC55" s="44"/>
      <c r="TFD55" s="44"/>
      <c r="TFE55" s="44"/>
      <c r="TFF55" s="44"/>
      <c r="TFG55" s="44"/>
      <c r="TFH55" s="44"/>
      <c r="TFI55" s="44"/>
      <c r="TFJ55" s="44"/>
      <c r="TFK55" s="44"/>
      <c r="TFL55" s="44"/>
      <c r="TFM55" s="44"/>
      <c r="TFN55" s="44"/>
      <c r="TFO55" s="44"/>
      <c r="TFP55" s="44"/>
      <c r="TFQ55" s="44"/>
      <c r="TFR55" s="44"/>
      <c r="TFS55" s="44"/>
      <c r="TFT55" s="44"/>
      <c r="TFU55" s="44"/>
      <c r="TFV55" s="44"/>
      <c r="TFW55" s="44"/>
      <c r="TFX55" s="44"/>
      <c r="TFY55" s="44"/>
      <c r="TFZ55" s="44"/>
      <c r="TGA55" s="44"/>
      <c r="TGB55" s="44"/>
      <c r="TGC55" s="44"/>
      <c r="TGD55" s="44"/>
      <c r="TGE55" s="44"/>
      <c r="TGF55" s="44"/>
      <c r="TGG55" s="44"/>
      <c r="TGH55" s="44"/>
      <c r="TGI55" s="44"/>
      <c r="TGJ55" s="44"/>
      <c r="TGK55" s="44"/>
      <c r="TGL55" s="44"/>
      <c r="TGM55" s="44"/>
      <c r="TGN55" s="44"/>
      <c r="TGO55" s="44"/>
      <c r="TGP55" s="44"/>
      <c r="TGQ55" s="44"/>
      <c r="TGR55" s="44"/>
      <c r="TGS55" s="44"/>
      <c r="TGT55" s="44"/>
      <c r="TGU55" s="44"/>
      <c r="TGV55" s="44"/>
      <c r="TGW55" s="44"/>
      <c r="TGX55" s="44"/>
      <c r="TGY55" s="44"/>
      <c r="TGZ55" s="44"/>
      <c r="THA55" s="44"/>
      <c r="THB55" s="44"/>
      <c r="THC55" s="44"/>
      <c r="THD55" s="44"/>
      <c r="THE55" s="44"/>
      <c r="THF55" s="44"/>
      <c r="THG55" s="44"/>
      <c r="THH55" s="44"/>
      <c r="THI55" s="44"/>
      <c r="THJ55" s="44"/>
      <c r="THK55" s="44"/>
      <c r="THL55" s="44"/>
      <c r="THM55" s="44"/>
      <c r="THN55" s="44"/>
      <c r="THO55" s="44"/>
      <c r="THP55" s="44"/>
      <c r="THQ55" s="44"/>
      <c r="THR55" s="44"/>
      <c r="THS55" s="44"/>
      <c r="THT55" s="44"/>
      <c r="THU55" s="44"/>
      <c r="THV55" s="44"/>
      <c r="THW55" s="44"/>
      <c r="THX55" s="44"/>
      <c r="THY55" s="44"/>
      <c r="THZ55" s="44"/>
      <c r="TIA55" s="44"/>
      <c r="TIB55" s="44"/>
      <c r="TIC55" s="44"/>
      <c r="TID55" s="44"/>
      <c r="TIE55" s="44"/>
      <c r="TIF55" s="44"/>
      <c r="TIG55" s="44"/>
      <c r="TIH55" s="44"/>
      <c r="TII55" s="44"/>
      <c r="TIJ55" s="44"/>
      <c r="TIK55" s="44"/>
      <c r="TIL55" s="44"/>
      <c r="TIM55" s="44"/>
      <c r="TIN55" s="44"/>
      <c r="TIO55" s="44"/>
      <c r="TIP55" s="44"/>
      <c r="TIQ55" s="44"/>
      <c r="TIR55" s="44"/>
      <c r="TIS55" s="44"/>
      <c r="TIT55" s="44"/>
      <c r="TIU55" s="44"/>
      <c r="TIV55" s="44"/>
      <c r="TIW55" s="44"/>
      <c r="TIX55" s="44"/>
      <c r="TIY55" s="44"/>
      <c r="TIZ55" s="44"/>
      <c r="TJA55" s="44"/>
      <c r="TJB55" s="44"/>
      <c r="TJC55" s="44"/>
      <c r="TJD55" s="44"/>
      <c r="TJE55" s="44"/>
      <c r="TJF55" s="44"/>
      <c r="TJG55" s="44"/>
      <c r="TJH55" s="44"/>
      <c r="TJI55" s="44"/>
      <c r="TJJ55" s="44"/>
      <c r="TJK55" s="44"/>
      <c r="TJL55" s="44"/>
      <c r="TJM55" s="44"/>
      <c r="TJN55" s="44"/>
      <c r="TJO55" s="44"/>
      <c r="TJP55" s="44"/>
      <c r="TJQ55" s="44"/>
      <c r="TJR55" s="44"/>
      <c r="TJS55" s="44"/>
      <c r="TJT55" s="44"/>
      <c r="TJU55" s="44"/>
      <c r="TJV55" s="44"/>
      <c r="TJW55" s="44"/>
      <c r="TJX55" s="44"/>
      <c r="TJY55" s="44"/>
      <c r="TJZ55" s="44"/>
      <c r="TKA55" s="44"/>
      <c r="TKB55" s="44"/>
      <c r="TKC55" s="44"/>
      <c r="TKD55" s="44"/>
      <c r="TKE55" s="44"/>
      <c r="TKF55" s="44"/>
      <c r="TKG55" s="44"/>
      <c r="TKH55" s="44"/>
      <c r="TKI55" s="44"/>
      <c r="TKJ55" s="44"/>
      <c r="TKK55" s="44"/>
      <c r="TKL55" s="44"/>
      <c r="TKM55" s="44"/>
      <c r="TKN55" s="44"/>
      <c r="TKO55" s="44"/>
      <c r="TKP55" s="44"/>
      <c r="TKQ55" s="44"/>
      <c r="TKR55" s="44"/>
      <c r="TKS55" s="44"/>
      <c r="TKT55" s="44"/>
      <c r="TKU55" s="44"/>
      <c r="TKV55" s="44"/>
      <c r="TKW55" s="44"/>
      <c r="TKX55" s="44"/>
      <c r="TKY55" s="44"/>
      <c r="TKZ55" s="44"/>
      <c r="TLA55" s="44"/>
      <c r="TLB55" s="44"/>
      <c r="TLC55" s="44"/>
      <c r="TLD55" s="44"/>
      <c r="TLE55" s="44"/>
      <c r="TLF55" s="44"/>
      <c r="TLG55" s="44"/>
      <c r="TLH55" s="44"/>
      <c r="TLI55" s="44"/>
      <c r="TLJ55" s="44"/>
      <c r="TLK55" s="44"/>
      <c r="TLL55" s="44"/>
      <c r="TLM55" s="44"/>
      <c r="TLN55" s="44"/>
      <c r="TLO55" s="44"/>
      <c r="TLP55" s="44"/>
      <c r="TLQ55" s="44"/>
      <c r="TLR55" s="44"/>
      <c r="TLS55" s="44"/>
      <c r="TLT55" s="44"/>
      <c r="TLU55" s="44"/>
      <c r="TLV55" s="44"/>
      <c r="TLW55" s="44"/>
      <c r="TLX55" s="44"/>
      <c r="TLY55" s="44"/>
      <c r="TLZ55" s="44"/>
      <c r="TMA55" s="44"/>
      <c r="TMB55" s="44"/>
      <c r="TMC55" s="44"/>
      <c r="TMD55" s="44"/>
      <c r="TME55" s="44"/>
      <c r="TMF55" s="44"/>
      <c r="TMG55" s="44"/>
      <c r="TMH55" s="44"/>
      <c r="TMI55" s="44"/>
      <c r="TMJ55" s="44"/>
      <c r="TMK55" s="44"/>
      <c r="TML55" s="44"/>
      <c r="TMM55" s="44"/>
      <c r="TMN55" s="44"/>
      <c r="TMO55" s="44"/>
      <c r="TMP55" s="44"/>
      <c r="TMQ55" s="44"/>
      <c r="TMR55" s="44"/>
      <c r="TMS55" s="44"/>
      <c r="TMT55" s="44"/>
      <c r="TMU55" s="44"/>
      <c r="TMV55" s="44"/>
      <c r="TMW55" s="44"/>
      <c r="TMX55" s="44"/>
      <c r="TMY55" s="44"/>
      <c r="TMZ55" s="44"/>
      <c r="TNA55" s="44"/>
      <c r="TNB55" s="44"/>
      <c r="TNC55" s="44"/>
      <c r="TND55" s="44"/>
      <c r="TNE55" s="44"/>
      <c r="TNF55" s="44"/>
      <c r="TNG55" s="44"/>
      <c r="TNH55" s="44"/>
      <c r="TNI55" s="44"/>
      <c r="TNJ55" s="44"/>
      <c r="TNK55" s="44"/>
      <c r="TNL55" s="44"/>
      <c r="TNM55" s="44"/>
      <c r="TNN55" s="44"/>
      <c r="TNO55" s="44"/>
      <c r="TNP55" s="44"/>
      <c r="TNQ55" s="44"/>
      <c r="TNR55" s="44"/>
      <c r="TNS55" s="44"/>
      <c r="TNT55" s="44"/>
      <c r="TNU55" s="44"/>
      <c r="TNV55" s="44"/>
      <c r="TNW55" s="44"/>
      <c r="TNX55" s="44"/>
      <c r="TNY55" s="44"/>
      <c r="TNZ55" s="44"/>
      <c r="TOA55" s="44"/>
      <c r="TOB55" s="44"/>
      <c r="TOC55" s="44"/>
      <c r="TOD55" s="44"/>
      <c r="TOE55" s="44"/>
      <c r="TOF55" s="44"/>
      <c r="TOG55" s="44"/>
      <c r="TOH55" s="44"/>
      <c r="TOI55" s="44"/>
      <c r="TOJ55" s="44"/>
      <c r="TOK55" s="44"/>
      <c r="TOL55" s="44"/>
      <c r="TOM55" s="44"/>
      <c r="TON55" s="44"/>
      <c r="TOO55" s="44"/>
      <c r="TOP55" s="44"/>
      <c r="TOQ55" s="44"/>
      <c r="TOR55" s="44"/>
      <c r="TOS55" s="44"/>
      <c r="TOT55" s="44"/>
      <c r="TOU55" s="44"/>
      <c r="TOV55" s="44"/>
      <c r="TOW55" s="44"/>
      <c r="TOX55" s="44"/>
      <c r="TOY55" s="44"/>
      <c r="TOZ55" s="44"/>
      <c r="TPA55" s="44"/>
      <c r="TPB55" s="44"/>
      <c r="TPC55" s="44"/>
      <c r="TPD55" s="44"/>
      <c r="TPE55" s="44"/>
      <c r="TPF55" s="44"/>
      <c r="TPG55" s="44"/>
      <c r="TPH55" s="44"/>
      <c r="TPI55" s="44"/>
      <c r="TPJ55" s="44"/>
      <c r="TPK55" s="44"/>
      <c r="TPL55" s="44"/>
      <c r="TPM55" s="44"/>
      <c r="TPN55" s="44"/>
      <c r="TPO55" s="44"/>
      <c r="TPP55" s="44"/>
      <c r="TPQ55" s="44"/>
      <c r="TPR55" s="44"/>
      <c r="TPS55" s="44"/>
      <c r="TPT55" s="44"/>
      <c r="TPU55" s="44"/>
      <c r="TPV55" s="44"/>
      <c r="TPW55" s="44"/>
      <c r="TPX55" s="44"/>
      <c r="TPY55" s="44"/>
      <c r="TPZ55" s="44"/>
      <c r="TQA55" s="44"/>
      <c r="TQB55" s="44"/>
      <c r="TQC55" s="44"/>
      <c r="TQD55" s="44"/>
      <c r="TQE55" s="44"/>
      <c r="TQF55" s="44"/>
      <c r="TQG55" s="44"/>
      <c r="TQH55" s="44"/>
      <c r="TQI55" s="44"/>
      <c r="TQJ55" s="44"/>
      <c r="TQK55" s="44"/>
      <c r="TQL55" s="44"/>
      <c r="TQM55" s="44"/>
      <c r="TQN55" s="44"/>
      <c r="TQO55" s="44"/>
      <c r="TQP55" s="44"/>
      <c r="TQQ55" s="44"/>
      <c r="TQR55" s="44"/>
      <c r="TQS55" s="44"/>
      <c r="TQT55" s="44"/>
      <c r="TQU55" s="44"/>
      <c r="TQV55" s="44"/>
      <c r="TQW55" s="44"/>
      <c r="TQX55" s="44"/>
      <c r="TQY55" s="44"/>
      <c r="TQZ55" s="44"/>
      <c r="TRA55" s="44"/>
      <c r="TRB55" s="44"/>
      <c r="TRC55" s="44"/>
      <c r="TRD55" s="44"/>
      <c r="TRE55" s="44"/>
      <c r="TRF55" s="44"/>
      <c r="TRG55" s="44"/>
      <c r="TRH55" s="44"/>
      <c r="TRI55" s="44"/>
      <c r="TRJ55" s="44"/>
      <c r="TRK55" s="44"/>
      <c r="TRL55" s="44"/>
      <c r="TRM55" s="44"/>
      <c r="TRN55" s="44"/>
      <c r="TRO55" s="44"/>
      <c r="TRP55" s="44"/>
      <c r="TRQ55" s="44"/>
      <c r="TRR55" s="44"/>
      <c r="TRS55" s="44"/>
      <c r="TRT55" s="44"/>
      <c r="TRU55" s="44"/>
      <c r="TRV55" s="44"/>
      <c r="TRW55" s="44"/>
      <c r="TRX55" s="44"/>
      <c r="TRY55" s="44"/>
      <c r="TRZ55" s="44"/>
      <c r="TSA55" s="44"/>
      <c r="TSB55" s="44"/>
      <c r="TSC55" s="44"/>
      <c r="TSD55" s="44"/>
      <c r="TSE55" s="44"/>
      <c r="TSF55" s="44"/>
      <c r="TSG55" s="44"/>
      <c r="TSH55" s="44"/>
      <c r="TSI55" s="44"/>
      <c r="TSJ55" s="44"/>
      <c r="TSK55" s="44"/>
      <c r="TSL55" s="44"/>
      <c r="TSM55" s="44"/>
      <c r="TSN55" s="44"/>
      <c r="TSO55" s="44"/>
      <c r="TSP55" s="44"/>
      <c r="TSQ55" s="44"/>
      <c r="TSR55" s="44"/>
      <c r="TSS55" s="44"/>
      <c r="TST55" s="44"/>
      <c r="TSU55" s="44"/>
      <c r="TSV55" s="44"/>
      <c r="TSW55" s="44"/>
      <c r="TSX55" s="44"/>
      <c r="TSY55" s="44"/>
      <c r="TSZ55" s="44"/>
      <c r="TTA55" s="44"/>
      <c r="TTB55" s="44"/>
      <c r="TTC55" s="44"/>
      <c r="TTD55" s="44"/>
      <c r="TTE55" s="44"/>
      <c r="TTF55" s="44"/>
      <c r="TTG55" s="44"/>
      <c r="TTH55" s="44"/>
      <c r="TTI55" s="44"/>
      <c r="TTJ55" s="44"/>
      <c r="TTK55" s="44"/>
      <c r="TTL55" s="44"/>
      <c r="TTM55" s="44"/>
      <c r="TTN55" s="44"/>
      <c r="TTO55" s="44"/>
      <c r="TTP55" s="44"/>
      <c r="TTQ55" s="44"/>
      <c r="TTR55" s="44"/>
      <c r="TTS55" s="44"/>
      <c r="TTT55" s="44"/>
      <c r="TTU55" s="44"/>
      <c r="TTV55" s="44"/>
      <c r="TTW55" s="44"/>
      <c r="TTX55" s="44"/>
      <c r="TTY55" s="44"/>
      <c r="TTZ55" s="44"/>
      <c r="TUA55" s="44"/>
      <c r="TUB55" s="44"/>
      <c r="TUC55" s="44"/>
      <c r="TUD55" s="44"/>
      <c r="TUE55" s="44"/>
      <c r="TUF55" s="44"/>
      <c r="TUG55" s="44"/>
      <c r="TUH55" s="44"/>
      <c r="TUI55" s="44"/>
      <c r="TUJ55" s="44"/>
      <c r="TUK55" s="44"/>
      <c r="TUL55" s="44"/>
      <c r="TUM55" s="44"/>
      <c r="TUN55" s="44"/>
      <c r="TUO55" s="44"/>
      <c r="TUP55" s="44"/>
      <c r="TUQ55" s="44"/>
      <c r="TUR55" s="44"/>
      <c r="TUS55" s="44"/>
      <c r="TUT55" s="44"/>
      <c r="TUU55" s="44"/>
      <c r="TUV55" s="44"/>
      <c r="TUW55" s="44"/>
      <c r="TUX55" s="44"/>
      <c r="TUY55" s="44"/>
      <c r="TUZ55" s="44"/>
      <c r="TVA55" s="44"/>
      <c r="TVB55" s="44"/>
      <c r="TVC55" s="44"/>
      <c r="TVD55" s="44"/>
      <c r="TVE55" s="44"/>
      <c r="TVF55" s="44"/>
      <c r="TVG55" s="44"/>
      <c r="TVH55" s="44"/>
      <c r="TVI55" s="44"/>
      <c r="TVJ55" s="44"/>
      <c r="TVK55" s="44"/>
      <c r="TVL55" s="44"/>
      <c r="TVM55" s="44"/>
      <c r="TVN55" s="44"/>
      <c r="TVO55" s="44"/>
      <c r="TVP55" s="44"/>
      <c r="TVQ55" s="44"/>
      <c r="TVR55" s="44"/>
      <c r="TVS55" s="44"/>
      <c r="TVT55" s="44"/>
      <c r="TVU55" s="44"/>
      <c r="TVV55" s="44"/>
      <c r="TVW55" s="44"/>
      <c r="TVX55" s="44"/>
      <c r="TVY55" s="44"/>
      <c r="TVZ55" s="44"/>
      <c r="TWA55" s="44"/>
      <c r="TWB55" s="44"/>
      <c r="TWC55" s="44"/>
      <c r="TWD55" s="44"/>
      <c r="TWE55" s="44"/>
      <c r="TWF55" s="44"/>
      <c r="TWG55" s="44"/>
      <c r="TWH55" s="44"/>
      <c r="TWI55" s="44"/>
      <c r="TWJ55" s="44"/>
      <c r="TWK55" s="44"/>
      <c r="TWL55" s="44"/>
      <c r="TWM55" s="44"/>
      <c r="TWN55" s="44"/>
      <c r="TWO55" s="44"/>
      <c r="TWP55" s="44"/>
      <c r="TWQ55" s="44"/>
      <c r="TWR55" s="44"/>
      <c r="TWS55" s="44"/>
      <c r="TWT55" s="44"/>
      <c r="TWU55" s="44"/>
      <c r="TWV55" s="44"/>
      <c r="TWW55" s="44"/>
      <c r="TWX55" s="44"/>
      <c r="TWY55" s="44"/>
      <c r="TWZ55" s="44"/>
      <c r="TXA55" s="44"/>
      <c r="TXB55" s="44"/>
      <c r="TXC55" s="44"/>
      <c r="TXD55" s="44"/>
      <c r="TXE55" s="44"/>
      <c r="TXF55" s="44"/>
      <c r="TXG55" s="44"/>
      <c r="TXH55" s="44"/>
      <c r="TXI55" s="44"/>
      <c r="TXJ55" s="44"/>
      <c r="TXK55" s="44"/>
      <c r="TXL55" s="44"/>
      <c r="TXM55" s="44"/>
      <c r="TXN55" s="44"/>
      <c r="TXO55" s="44"/>
      <c r="TXP55" s="44"/>
      <c r="TXQ55" s="44"/>
      <c r="TXR55" s="44"/>
      <c r="TXS55" s="44"/>
      <c r="TXT55" s="44"/>
      <c r="TXU55" s="44"/>
      <c r="TXV55" s="44"/>
      <c r="TXW55" s="44"/>
      <c r="TXX55" s="44"/>
      <c r="TXY55" s="44"/>
      <c r="TXZ55" s="44"/>
      <c r="TYA55" s="44"/>
      <c r="TYB55" s="44"/>
      <c r="TYC55" s="44"/>
      <c r="TYD55" s="44"/>
      <c r="TYE55" s="44"/>
      <c r="TYF55" s="44"/>
      <c r="TYG55" s="44"/>
      <c r="TYH55" s="44"/>
      <c r="TYI55" s="44"/>
      <c r="TYJ55" s="44"/>
      <c r="TYK55" s="44"/>
      <c r="TYL55" s="44"/>
      <c r="TYM55" s="44"/>
      <c r="TYN55" s="44"/>
      <c r="TYO55" s="44"/>
      <c r="TYP55" s="44"/>
      <c r="TYQ55" s="44"/>
      <c r="TYR55" s="44"/>
      <c r="TYS55" s="44"/>
      <c r="TYT55" s="44"/>
      <c r="TYU55" s="44"/>
      <c r="TYV55" s="44"/>
      <c r="TYW55" s="44"/>
      <c r="TYX55" s="44"/>
      <c r="TYY55" s="44"/>
      <c r="TYZ55" s="44"/>
      <c r="TZA55" s="44"/>
      <c r="TZB55" s="44"/>
      <c r="TZC55" s="44"/>
      <c r="TZD55" s="44"/>
      <c r="TZE55" s="44"/>
      <c r="TZF55" s="44"/>
      <c r="TZG55" s="44"/>
      <c r="TZH55" s="44"/>
      <c r="TZI55" s="44"/>
      <c r="TZJ55" s="44"/>
      <c r="TZK55" s="44"/>
      <c r="TZL55" s="44"/>
      <c r="TZM55" s="44"/>
      <c r="TZN55" s="44"/>
      <c r="TZO55" s="44"/>
      <c r="TZP55" s="44"/>
      <c r="TZQ55" s="44"/>
      <c r="TZR55" s="44"/>
      <c r="TZS55" s="44"/>
      <c r="TZT55" s="44"/>
      <c r="TZU55" s="44"/>
      <c r="TZV55" s="44"/>
      <c r="TZW55" s="44"/>
      <c r="TZX55" s="44"/>
      <c r="TZY55" s="44"/>
      <c r="TZZ55" s="44"/>
      <c r="UAA55" s="44"/>
      <c r="UAB55" s="44"/>
      <c r="UAC55" s="44"/>
      <c r="UAD55" s="44"/>
      <c r="UAE55" s="44"/>
      <c r="UAF55" s="44"/>
      <c r="UAG55" s="44"/>
      <c r="UAH55" s="44"/>
      <c r="UAI55" s="44"/>
      <c r="UAJ55" s="44"/>
      <c r="UAK55" s="44"/>
      <c r="UAL55" s="44"/>
      <c r="UAM55" s="44"/>
      <c r="UAN55" s="44"/>
      <c r="UAO55" s="44"/>
      <c r="UAP55" s="44"/>
      <c r="UAQ55" s="44"/>
      <c r="UAR55" s="44"/>
      <c r="UAS55" s="44"/>
      <c r="UAT55" s="44"/>
      <c r="UAU55" s="44"/>
      <c r="UAV55" s="44"/>
      <c r="UAW55" s="44"/>
      <c r="UAX55" s="44"/>
      <c r="UAY55" s="44"/>
      <c r="UAZ55" s="44"/>
      <c r="UBA55" s="44"/>
      <c r="UBB55" s="44"/>
      <c r="UBC55" s="44"/>
      <c r="UBD55" s="44"/>
      <c r="UBE55" s="44"/>
      <c r="UBF55" s="44"/>
      <c r="UBG55" s="44"/>
      <c r="UBH55" s="44"/>
      <c r="UBI55" s="44"/>
      <c r="UBJ55" s="44"/>
      <c r="UBK55" s="44"/>
      <c r="UBL55" s="44"/>
      <c r="UBM55" s="44"/>
      <c r="UBN55" s="44"/>
      <c r="UBO55" s="44"/>
      <c r="UBP55" s="44"/>
      <c r="UBQ55" s="44"/>
      <c r="UBR55" s="44"/>
      <c r="UBS55" s="44"/>
      <c r="UBT55" s="44"/>
      <c r="UBU55" s="44"/>
      <c r="UBV55" s="44"/>
      <c r="UBW55" s="44"/>
      <c r="UBX55" s="44"/>
      <c r="UBY55" s="44"/>
      <c r="UBZ55" s="44"/>
      <c r="UCA55" s="44"/>
      <c r="UCB55" s="44"/>
      <c r="UCC55" s="44"/>
      <c r="UCD55" s="44"/>
      <c r="UCE55" s="44"/>
      <c r="UCF55" s="44"/>
      <c r="UCG55" s="44"/>
      <c r="UCH55" s="44"/>
      <c r="UCI55" s="44"/>
      <c r="UCJ55" s="44"/>
      <c r="UCK55" s="44"/>
      <c r="UCL55" s="44"/>
      <c r="UCM55" s="44"/>
      <c r="UCN55" s="44"/>
      <c r="UCO55" s="44"/>
      <c r="UCP55" s="44"/>
      <c r="UCQ55" s="44"/>
      <c r="UCR55" s="44"/>
      <c r="UCS55" s="44"/>
      <c r="UCT55" s="44"/>
      <c r="UCU55" s="44"/>
      <c r="UCV55" s="44"/>
      <c r="UCW55" s="44"/>
      <c r="UCX55" s="44"/>
      <c r="UCY55" s="44"/>
      <c r="UCZ55" s="44"/>
      <c r="UDA55" s="44"/>
      <c r="UDB55" s="44"/>
      <c r="UDC55" s="44"/>
      <c r="UDD55" s="44"/>
      <c r="UDE55" s="44"/>
      <c r="UDF55" s="44"/>
      <c r="UDG55" s="44"/>
      <c r="UDH55" s="44"/>
      <c r="UDI55" s="44"/>
      <c r="UDJ55" s="44"/>
      <c r="UDK55" s="44"/>
      <c r="UDL55" s="44"/>
      <c r="UDM55" s="44"/>
      <c r="UDN55" s="44"/>
      <c r="UDO55" s="44"/>
      <c r="UDP55" s="44"/>
      <c r="UDQ55" s="44"/>
      <c r="UDR55" s="44"/>
      <c r="UDS55" s="44"/>
      <c r="UDT55" s="44"/>
      <c r="UDU55" s="44"/>
      <c r="UDV55" s="44"/>
      <c r="UDW55" s="44"/>
      <c r="UDX55" s="44"/>
      <c r="UDY55" s="44"/>
      <c r="UDZ55" s="44"/>
      <c r="UEA55" s="44"/>
      <c r="UEB55" s="44"/>
      <c r="UEC55" s="44"/>
      <c r="UED55" s="44"/>
      <c r="UEE55" s="44"/>
      <c r="UEF55" s="44"/>
      <c r="UEG55" s="44"/>
      <c r="UEH55" s="44"/>
      <c r="UEI55" s="44"/>
      <c r="UEJ55" s="44"/>
      <c r="UEK55" s="44"/>
      <c r="UEL55" s="44"/>
      <c r="UEM55" s="44"/>
      <c r="UEN55" s="44"/>
      <c r="UEO55" s="44"/>
      <c r="UEP55" s="44"/>
      <c r="UEQ55" s="44"/>
      <c r="UER55" s="44"/>
      <c r="UES55" s="44"/>
      <c r="UET55" s="44"/>
      <c r="UEU55" s="44"/>
      <c r="UEV55" s="44"/>
      <c r="UEW55" s="44"/>
      <c r="UEX55" s="44"/>
      <c r="UEY55" s="44"/>
      <c r="UEZ55" s="44"/>
      <c r="UFA55" s="44"/>
      <c r="UFB55" s="44"/>
      <c r="UFC55" s="44"/>
      <c r="UFD55" s="44"/>
      <c r="UFE55" s="44"/>
      <c r="UFF55" s="44"/>
      <c r="UFG55" s="44"/>
      <c r="UFH55" s="44"/>
      <c r="UFI55" s="44"/>
      <c r="UFJ55" s="44"/>
      <c r="UFK55" s="44"/>
      <c r="UFL55" s="44"/>
      <c r="UFM55" s="44"/>
      <c r="UFN55" s="44"/>
      <c r="UFO55" s="44"/>
      <c r="UFP55" s="44"/>
      <c r="UFQ55" s="44"/>
      <c r="UFR55" s="44"/>
      <c r="UFS55" s="44"/>
      <c r="UFT55" s="44"/>
      <c r="UFU55" s="44"/>
      <c r="UFV55" s="44"/>
      <c r="UFW55" s="44"/>
      <c r="UFX55" s="44"/>
      <c r="UFY55" s="44"/>
      <c r="UFZ55" s="44"/>
      <c r="UGA55" s="44"/>
      <c r="UGB55" s="44"/>
      <c r="UGC55" s="44"/>
      <c r="UGD55" s="44"/>
      <c r="UGE55" s="44"/>
      <c r="UGF55" s="44"/>
      <c r="UGG55" s="44"/>
      <c r="UGH55" s="44"/>
      <c r="UGI55" s="44"/>
      <c r="UGJ55" s="44"/>
      <c r="UGK55" s="44"/>
      <c r="UGL55" s="44"/>
      <c r="UGM55" s="44"/>
      <c r="UGN55" s="44"/>
      <c r="UGO55" s="44"/>
      <c r="UGP55" s="44"/>
      <c r="UGQ55" s="44"/>
      <c r="UGR55" s="44"/>
      <c r="UGS55" s="44"/>
      <c r="UGT55" s="44"/>
      <c r="UGU55" s="44"/>
      <c r="UGV55" s="44"/>
      <c r="UGW55" s="44"/>
      <c r="UGX55" s="44"/>
      <c r="UGY55" s="44"/>
      <c r="UGZ55" s="44"/>
      <c r="UHA55" s="44"/>
      <c r="UHB55" s="44"/>
      <c r="UHC55" s="44"/>
      <c r="UHD55" s="44"/>
      <c r="UHE55" s="44"/>
      <c r="UHF55" s="44"/>
      <c r="UHG55" s="44"/>
      <c r="UHH55" s="44"/>
      <c r="UHI55" s="44"/>
      <c r="UHJ55" s="44"/>
      <c r="UHK55" s="44"/>
      <c r="UHL55" s="44"/>
      <c r="UHM55" s="44"/>
      <c r="UHN55" s="44"/>
      <c r="UHO55" s="44"/>
      <c r="UHP55" s="44"/>
      <c r="UHQ55" s="44"/>
      <c r="UHR55" s="44"/>
      <c r="UHS55" s="44"/>
      <c r="UHT55" s="44"/>
      <c r="UHU55" s="44"/>
      <c r="UHV55" s="44"/>
      <c r="UHW55" s="44"/>
      <c r="UHX55" s="44"/>
      <c r="UHY55" s="44"/>
      <c r="UHZ55" s="44"/>
      <c r="UIA55" s="44"/>
      <c r="UIB55" s="44"/>
      <c r="UIC55" s="44"/>
      <c r="UID55" s="44"/>
      <c r="UIE55" s="44"/>
      <c r="UIF55" s="44"/>
      <c r="UIG55" s="44"/>
      <c r="UIH55" s="44"/>
      <c r="UII55" s="44"/>
      <c r="UIJ55" s="44"/>
      <c r="UIK55" s="44"/>
      <c r="UIL55" s="44"/>
      <c r="UIM55" s="44"/>
      <c r="UIN55" s="44"/>
      <c r="UIO55" s="44"/>
      <c r="UIP55" s="44"/>
      <c r="UIQ55" s="44"/>
      <c r="UIR55" s="44"/>
      <c r="UIS55" s="44"/>
      <c r="UIT55" s="44"/>
      <c r="UIU55" s="44"/>
      <c r="UIV55" s="44"/>
      <c r="UIW55" s="44"/>
      <c r="UIX55" s="44"/>
      <c r="UIY55" s="44"/>
      <c r="UIZ55" s="44"/>
      <c r="UJA55" s="44"/>
      <c r="UJB55" s="44"/>
      <c r="UJC55" s="44"/>
      <c r="UJD55" s="44"/>
      <c r="UJE55" s="44"/>
      <c r="UJF55" s="44"/>
      <c r="UJG55" s="44"/>
      <c r="UJH55" s="44"/>
      <c r="UJI55" s="44"/>
      <c r="UJJ55" s="44"/>
      <c r="UJK55" s="44"/>
      <c r="UJL55" s="44"/>
      <c r="UJM55" s="44"/>
      <c r="UJN55" s="44"/>
      <c r="UJO55" s="44"/>
      <c r="UJP55" s="44"/>
      <c r="UJQ55" s="44"/>
      <c r="UJR55" s="44"/>
      <c r="UJS55" s="44"/>
      <c r="UJT55" s="44"/>
      <c r="UJU55" s="44"/>
      <c r="UJV55" s="44"/>
      <c r="UJW55" s="44"/>
      <c r="UJX55" s="44"/>
      <c r="UJY55" s="44"/>
      <c r="UJZ55" s="44"/>
      <c r="UKA55" s="44"/>
      <c r="UKB55" s="44"/>
      <c r="UKC55" s="44"/>
      <c r="UKD55" s="44"/>
      <c r="UKE55" s="44"/>
      <c r="UKF55" s="44"/>
      <c r="UKG55" s="44"/>
      <c r="UKH55" s="44"/>
      <c r="UKI55" s="44"/>
      <c r="UKJ55" s="44"/>
      <c r="UKK55" s="44"/>
      <c r="UKL55" s="44"/>
      <c r="UKM55" s="44"/>
      <c r="UKN55" s="44"/>
      <c r="UKO55" s="44"/>
      <c r="UKP55" s="44"/>
      <c r="UKQ55" s="44"/>
      <c r="UKR55" s="44"/>
      <c r="UKS55" s="44"/>
      <c r="UKT55" s="44"/>
      <c r="UKU55" s="44"/>
      <c r="UKV55" s="44"/>
      <c r="UKW55" s="44"/>
      <c r="UKX55" s="44"/>
      <c r="UKY55" s="44"/>
      <c r="UKZ55" s="44"/>
      <c r="ULA55" s="44"/>
      <c r="ULB55" s="44"/>
      <c r="ULC55" s="44"/>
      <c r="ULD55" s="44"/>
      <c r="ULE55" s="44"/>
      <c r="ULF55" s="44"/>
      <c r="ULG55" s="44"/>
      <c r="ULH55" s="44"/>
      <c r="ULI55" s="44"/>
      <c r="ULJ55" s="44"/>
      <c r="ULK55" s="44"/>
      <c r="ULL55" s="44"/>
      <c r="ULM55" s="44"/>
      <c r="ULN55" s="44"/>
      <c r="ULO55" s="44"/>
      <c r="ULP55" s="44"/>
      <c r="ULQ55" s="44"/>
      <c r="ULR55" s="44"/>
      <c r="ULS55" s="44"/>
      <c r="ULT55" s="44"/>
      <c r="ULU55" s="44"/>
      <c r="ULV55" s="44"/>
      <c r="ULW55" s="44"/>
      <c r="ULX55" s="44"/>
      <c r="ULY55" s="44"/>
      <c r="ULZ55" s="44"/>
      <c r="UMA55" s="44"/>
      <c r="UMB55" s="44"/>
      <c r="UMC55" s="44"/>
      <c r="UMD55" s="44"/>
      <c r="UME55" s="44"/>
      <c r="UMF55" s="44"/>
      <c r="UMG55" s="44"/>
      <c r="UMH55" s="44"/>
      <c r="UMI55" s="44"/>
      <c r="UMJ55" s="44"/>
      <c r="UMK55" s="44"/>
      <c r="UML55" s="44"/>
      <c r="UMM55" s="44"/>
      <c r="UMN55" s="44"/>
      <c r="UMO55" s="44"/>
      <c r="UMP55" s="44"/>
      <c r="UMQ55" s="44"/>
      <c r="UMR55" s="44"/>
      <c r="UMS55" s="44"/>
      <c r="UMT55" s="44"/>
      <c r="UMU55" s="44"/>
      <c r="UMV55" s="44"/>
      <c r="UMW55" s="44"/>
      <c r="UMX55" s="44"/>
      <c r="UMY55" s="44"/>
      <c r="UMZ55" s="44"/>
      <c r="UNA55" s="44"/>
      <c r="UNB55" s="44"/>
      <c r="UNC55" s="44"/>
      <c r="UND55" s="44"/>
      <c r="UNE55" s="44"/>
      <c r="UNF55" s="44"/>
      <c r="UNG55" s="44"/>
      <c r="UNH55" s="44"/>
      <c r="UNI55" s="44"/>
      <c r="UNJ55" s="44"/>
      <c r="UNK55" s="44"/>
      <c r="UNL55" s="44"/>
      <c r="UNM55" s="44"/>
      <c r="UNN55" s="44"/>
      <c r="UNO55" s="44"/>
      <c r="UNP55" s="44"/>
      <c r="UNQ55" s="44"/>
      <c r="UNR55" s="44"/>
      <c r="UNS55" s="44"/>
      <c r="UNT55" s="44"/>
      <c r="UNU55" s="44"/>
      <c r="UNV55" s="44"/>
      <c r="UNW55" s="44"/>
      <c r="UNX55" s="44"/>
      <c r="UNY55" s="44"/>
      <c r="UNZ55" s="44"/>
      <c r="UOA55" s="44"/>
      <c r="UOB55" s="44"/>
      <c r="UOC55" s="44"/>
      <c r="UOD55" s="44"/>
      <c r="UOE55" s="44"/>
      <c r="UOF55" s="44"/>
      <c r="UOG55" s="44"/>
      <c r="UOH55" s="44"/>
      <c r="UOI55" s="44"/>
      <c r="UOJ55" s="44"/>
      <c r="UOK55" s="44"/>
      <c r="UOL55" s="44"/>
      <c r="UOM55" s="44"/>
      <c r="UON55" s="44"/>
      <c r="UOO55" s="44"/>
      <c r="UOP55" s="44"/>
      <c r="UOQ55" s="44"/>
      <c r="UOR55" s="44"/>
      <c r="UOS55" s="44"/>
      <c r="UOT55" s="44"/>
      <c r="UOU55" s="44"/>
      <c r="UOV55" s="44"/>
      <c r="UOW55" s="44"/>
      <c r="UOX55" s="44"/>
      <c r="UOY55" s="44"/>
      <c r="UOZ55" s="44"/>
      <c r="UPA55" s="44"/>
      <c r="UPB55" s="44"/>
      <c r="UPC55" s="44"/>
      <c r="UPD55" s="44"/>
      <c r="UPE55" s="44"/>
      <c r="UPF55" s="44"/>
      <c r="UPG55" s="44"/>
      <c r="UPH55" s="44"/>
      <c r="UPI55" s="44"/>
      <c r="UPJ55" s="44"/>
      <c r="UPK55" s="44"/>
      <c r="UPL55" s="44"/>
      <c r="UPM55" s="44"/>
      <c r="UPN55" s="44"/>
      <c r="UPO55" s="44"/>
      <c r="UPP55" s="44"/>
      <c r="UPQ55" s="44"/>
      <c r="UPR55" s="44"/>
      <c r="UPS55" s="44"/>
      <c r="UPT55" s="44"/>
      <c r="UPU55" s="44"/>
      <c r="UPV55" s="44"/>
      <c r="UPW55" s="44"/>
      <c r="UPX55" s="44"/>
      <c r="UPY55" s="44"/>
      <c r="UPZ55" s="44"/>
      <c r="UQA55" s="44"/>
      <c r="UQB55" s="44"/>
      <c r="UQC55" s="44"/>
      <c r="UQD55" s="44"/>
      <c r="UQE55" s="44"/>
      <c r="UQF55" s="44"/>
      <c r="UQG55" s="44"/>
      <c r="UQH55" s="44"/>
      <c r="UQI55" s="44"/>
      <c r="UQJ55" s="44"/>
      <c r="UQK55" s="44"/>
      <c r="UQL55" s="44"/>
      <c r="UQM55" s="44"/>
      <c r="UQN55" s="44"/>
      <c r="UQO55" s="44"/>
      <c r="UQP55" s="44"/>
      <c r="UQQ55" s="44"/>
      <c r="UQR55" s="44"/>
      <c r="UQS55" s="44"/>
      <c r="UQT55" s="44"/>
      <c r="UQU55" s="44"/>
      <c r="UQV55" s="44"/>
      <c r="UQW55" s="44"/>
      <c r="UQX55" s="44"/>
      <c r="UQY55" s="44"/>
      <c r="UQZ55" s="44"/>
      <c r="URA55" s="44"/>
      <c r="URB55" s="44"/>
      <c r="URC55" s="44"/>
      <c r="URD55" s="44"/>
      <c r="URE55" s="44"/>
      <c r="URF55" s="44"/>
      <c r="URG55" s="44"/>
      <c r="URH55" s="44"/>
      <c r="URI55" s="44"/>
      <c r="URJ55" s="44"/>
      <c r="URK55" s="44"/>
      <c r="URL55" s="44"/>
      <c r="URM55" s="44"/>
      <c r="URN55" s="44"/>
      <c r="URO55" s="44"/>
      <c r="URP55" s="44"/>
      <c r="URQ55" s="44"/>
      <c r="URR55" s="44"/>
      <c r="URS55" s="44"/>
      <c r="URT55" s="44"/>
      <c r="URU55" s="44"/>
      <c r="URV55" s="44"/>
      <c r="URW55" s="44"/>
      <c r="URX55" s="44"/>
      <c r="URY55" s="44"/>
      <c r="URZ55" s="44"/>
      <c r="USA55" s="44"/>
      <c r="USB55" s="44"/>
      <c r="USC55" s="44"/>
      <c r="USD55" s="44"/>
      <c r="USE55" s="44"/>
      <c r="USF55" s="44"/>
      <c r="USG55" s="44"/>
      <c r="USH55" s="44"/>
      <c r="USI55" s="44"/>
      <c r="USJ55" s="44"/>
      <c r="USK55" s="44"/>
      <c r="USL55" s="44"/>
      <c r="USM55" s="44"/>
      <c r="USN55" s="44"/>
      <c r="USO55" s="44"/>
      <c r="USP55" s="44"/>
      <c r="USQ55" s="44"/>
      <c r="USR55" s="44"/>
      <c r="USS55" s="44"/>
      <c r="UST55" s="44"/>
      <c r="USU55" s="44"/>
      <c r="USV55" s="44"/>
      <c r="USW55" s="44"/>
      <c r="USX55" s="44"/>
      <c r="USY55" s="44"/>
      <c r="USZ55" s="44"/>
      <c r="UTA55" s="44"/>
      <c r="UTB55" s="44"/>
      <c r="UTC55" s="44"/>
      <c r="UTD55" s="44"/>
      <c r="UTE55" s="44"/>
      <c r="UTF55" s="44"/>
      <c r="UTG55" s="44"/>
      <c r="UTH55" s="44"/>
      <c r="UTI55" s="44"/>
      <c r="UTJ55" s="44"/>
      <c r="UTK55" s="44"/>
      <c r="UTL55" s="44"/>
      <c r="UTM55" s="44"/>
      <c r="UTN55" s="44"/>
      <c r="UTO55" s="44"/>
      <c r="UTP55" s="44"/>
      <c r="UTQ55" s="44"/>
      <c r="UTR55" s="44"/>
      <c r="UTS55" s="44"/>
      <c r="UTT55" s="44"/>
      <c r="UTU55" s="44"/>
      <c r="UTV55" s="44"/>
      <c r="UTW55" s="44"/>
      <c r="UTX55" s="44"/>
      <c r="UTY55" s="44"/>
      <c r="UTZ55" s="44"/>
      <c r="UUA55" s="44"/>
      <c r="UUB55" s="44"/>
      <c r="UUC55" s="44"/>
      <c r="UUD55" s="44"/>
      <c r="UUE55" s="44"/>
      <c r="UUF55" s="44"/>
      <c r="UUG55" s="44"/>
      <c r="UUH55" s="44"/>
      <c r="UUI55" s="44"/>
      <c r="UUJ55" s="44"/>
      <c r="UUK55" s="44"/>
      <c r="UUL55" s="44"/>
      <c r="UUM55" s="44"/>
      <c r="UUN55" s="44"/>
      <c r="UUO55" s="44"/>
      <c r="UUP55" s="44"/>
      <c r="UUQ55" s="44"/>
      <c r="UUR55" s="44"/>
      <c r="UUS55" s="44"/>
      <c r="UUT55" s="44"/>
      <c r="UUU55" s="44"/>
      <c r="UUV55" s="44"/>
      <c r="UUW55" s="44"/>
      <c r="UUX55" s="44"/>
      <c r="UUY55" s="44"/>
      <c r="UUZ55" s="44"/>
      <c r="UVA55" s="44"/>
      <c r="UVB55" s="44"/>
      <c r="UVC55" s="44"/>
      <c r="UVD55" s="44"/>
      <c r="UVE55" s="44"/>
      <c r="UVF55" s="44"/>
      <c r="UVG55" s="44"/>
      <c r="UVH55" s="44"/>
      <c r="UVI55" s="44"/>
      <c r="UVJ55" s="44"/>
      <c r="UVK55" s="44"/>
      <c r="UVL55" s="44"/>
      <c r="UVM55" s="44"/>
      <c r="UVN55" s="44"/>
      <c r="UVO55" s="44"/>
      <c r="UVP55" s="44"/>
      <c r="UVQ55" s="44"/>
      <c r="UVR55" s="44"/>
      <c r="UVS55" s="44"/>
      <c r="UVT55" s="44"/>
      <c r="UVU55" s="44"/>
      <c r="UVV55" s="44"/>
      <c r="UVW55" s="44"/>
      <c r="UVX55" s="44"/>
      <c r="UVY55" s="44"/>
      <c r="UVZ55" s="44"/>
      <c r="UWA55" s="44"/>
      <c r="UWB55" s="44"/>
      <c r="UWC55" s="44"/>
      <c r="UWD55" s="44"/>
      <c r="UWE55" s="44"/>
      <c r="UWF55" s="44"/>
      <c r="UWG55" s="44"/>
      <c r="UWH55" s="44"/>
      <c r="UWI55" s="44"/>
      <c r="UWJ55" s="44"/>
      <c r="UWK55" s="44"/>
      <c r="UWL55" s="44"/>
      <c r="UWM55" s="44"/>
      <c r="UWN55" s="44"/>
      <c r="UWO55" s="44"/>
      <c r="UWP55" s="44"/>
      <c r="UWQ55" s="44"/>
      <c r="UWR55" s="44"/>
      <c r="UWS55" s="44"/>
      <c r="UWT55" s="44"/>
      <c r="UWU55" s="44"/>
      <c r="UWV55" s="44"/>
      <c r="UWW55" s="44"/>
      <c r="UWX55" s="44"/>
      <c r="UWY55" s="44"/>
      <c r="UWZ55" s="44"/>
      <c r="UXA55" s="44"/>
      <c r="UXB55" s="44"/>
      <c r="UXC55" s="44"/>
      <c r="UXD55" s="44"/>
      <c r="UXE55" s="44"/>
      <c r="UXF55" s="44"/>
      <c r="UXG55" s="44"/>
      <c r="UXH55" s="44"/>
      <c r="UXI55" s="44"/>
      <c r="UXJ55" s="44"/>
      <c r="UXK55" s="44"/>
      <c r="UXL55" s="44"/>
      <c r="UXM55" s="44"/>
      <c r="UXN55" s="44"/>
      <c r="UXO55" s="44"/>
      <c r="UXP55" s="44"/>
      <c r="UXQ55" s="44"/>
      <c r="UXR55" s="44"/>
      <c r="UXS55" s="44"/>
      <c r="UXT55" s="44"/>
      <c r="UXU55" s="44"/>
      <c r="UXV55" s="44"/>
      <c r="UXW55" s="44"/>
      <c r="UXX55" s="44"/>
      <c r="UXY55" s="44"/>
      <c r="UXZ55" s="44"/>
      <c r="UYA55" s="44"/>
      <c r="UYB55" s="44"/>
      <c r="UYC55" s="44"/>
      <c r="UYD55" s="44"/>
      <c r="UYE55" s="44"/>
      <c r="UYF55" s="44"/>
      <c r="UYG55" s="44"/>
      <c r="UYH55" s="44"/>
      <c r="UYI55" s="44"/>
      <c r="UYJ55" s="44"/>
      <c r="UYK55" s="44"/>
      <c r="UYL55" s="44"/>
      <c r="UYM55" s="44"/>
      <c r="UYN55" s="44"/>
      <c r="UYO55" s="44"/>
      <c r="UYP55" s="44"/>
      <c r="UYQ55" s="44"/>
      <c r="UYR55" s="44"/>
      <c r="UYS55" s="44"/>
      <c r="UYT55" s="44"/>
      <c r="UYU55" s="44"/>
      <c r="UYV55" s="44"/>
      <c r="UYW55" s="44"/>
      <c r="UYX55" s="44"/>
      <c r="UYY55" s="44"/>
      <c r="UYZ55" s="44"/>
      <c r="UZA55" s="44"/>
      <c r="UZB55" s="44"/>
      <c r="UZC55" s="44"/>
      <c r="UZD55" s="44"/>
      <c r="UZE55" s="44"/>
      <c r="UZF55" s="44"/>
      <c r="UZG55" s="44"/>
      <c r="UZH55" s="44"/>
      <c r="UZI55" s="44"/>
      <c r="UZJ55" s="44"/>
      <c r="UZK55" s="44"/>
      <c r="UZL55" s="44"/>
      <c r="UZM55" s="44"/>
      <c r="UZN55" s="44"/>
      <c r="UZO55" s="44"/>
      <c r="UZP55" s="44"/>
      <c r="UZQ55" s="44"/>
      <c r="UZR55" s="44"/>
      <c r="UZS55" s="44"/>
      <c r="UZT55" s="44"/>
      <c r="UZU55" s="44"/>
      <c r="UZV55" s="44"/>
      <c r="UZW55" s="44"/>
      <c r="UZX55" s="44"/>
      <c r="UZY55" s="44"/>
      <c r="UZZ55" s="44"/>
      <c r="VAA55" s="44"/>
      <c r="VAB55" s="44"/>
      <c r="VAC55" s="44"/>
      <c r="VAD55" s="44"/>
      <c r="VAE55" s="44"/>
      <c r="VAF55" s="44"/>
      <c r="VAG55" s="44"/>
      <c r="VAH55" s="44"/>
      <c r="VAI55" s="44"/>
      <c r="VAJ55" s="44"/>
      <c r="VAK55" s="44"/>
      <c r="VAL55" s="44"/>
      <c r="VAM55" s="44"/>
      <c r="VAN55" s="44"/>
      <c r="VAO55" s="44"/>
      <c r="VAP55" s="44"/>
      <c r="VAQ55" s="44"/>
      <c r="VAR55" s="44"/>
      <c r="VAS55" s="44"/>
      <c r="VAT55" s="44"/>
      <c r="VAU55" s="44"/>
      <c r="VAV55" s="44"/>
      <c r="VAW55" s="44"/>
      <c r="VAX55" s="44"/>
      <c r="VAY55" s="44"/>
      <c r="VAZ55" s="44"/>
      <c r="VBA55" s="44"/>
      <c r="VBB55" s="44"/>
      <c r="VBC55" s="44"/>
      <c r="VBD55" s="44"/>
      <c r="VBE55" s="44"/>
      <c r="VBF55" s="44"/>
      <c r="VBG55" s="44"/>
      <c r="VBH55" s="44"/>
      <c r="VBI55" s="44"/>
      <c r="VBJ55" s="44"/>
      <c r="VBK55" s="44"/>
      <c r="VBL55" s="44"/>
      <c r="VBM55" s="44"/>
      <c r="VBN55" s="44"/>
      <c r="VBO55" s="44"/>
      <c r="VBP55" s="44"/>
      <c r="VBQ55" s="44"/>
      <c r="VBR55" s="44"/>
      <c r="VBS55" s="44"/>
      <c r="VBT55" s="44"/>
      <c r="VBU55" s="44"/>
      <c r="VBV55" s="44"/>
      <c r="VBW55" s="44"/>
      <c r="VBX55" s="44"/>
      <c r="VBY55" s="44"/>
      <c r="VBZ55" s="44"/>
      <c r="VCA55" s="44"/>
      <c r="VCB55" s="44"/>
      <c r="VCC55" s="44"/>
      <c r="VCD55" s="44"/>
      <c r="VCE55" s="44"/>
      <c r="VCF55" s="44"/>
      <c r="VCG55" s="44"/>
      <c r="VCH55" s="44"/>
      <c r="VCI55" s="44"/>
      <c r="VCJ55" s="44"/>
      <c r="VCK55" s="44"/>
      <c r="VCL55" s="44"/>
      <c r="VCM55" s="44"/>
      <c r="VCN55" s="44"/>
      <c r="VCO55" s="44"/>
      <c r="VCP55" s="44"/>
      <c r="VCQ55" s="44"/>
      <c r="VCR55" s="44"/>
      <c r="VCS55" s="44"/>
      <c r="VCT55" s="44"/>
      <c r="VCU55" s="44"/>
      <c r="VCV55" s="44"/>
      <c r="VCW55" s="44"/>
      <c r="VCX55" s="44"/>
      <c r="VCY55" s="44"/>
      <c r="VCZ55" s="44"/>
      <c r="VDA55" s="44"/>
      <c r="VDB55" s="44"/>
      <c r="VDC55" s="44"/>
      <c r="VDD55" s="44"/>
      <c r="VDE55" s="44"/>
      <c r="VDF55" s="44"/>
      <c r="VDG55" s="44"/>
      <c r="VDH55" s="44"/>
      <c r="VDI55" s="44"/>
      <c r="VDJ55" s="44"/>
      <c r="VDK55" s="44"/>
      <c r="VDL55" s="44"/>
      <c r="VDM55" s="44"/>
      <c r="VDN55" s="44"/>
      <c r="VDO55" s="44"/>
      <c r="VDP55" s="44"/>
      <c r="VDQ55" s="44"/>
      <c r="VDR55" s="44"/>
      <c r="VDS55" s="44"/>
      <c r="VDT55" s="44"/>
      <c r="VDU55" s="44"/>
      <c r="VDV55" s="44"/>
      <c r="VDW55" s="44"/>
      <c r="VDX55" s="44"/>
      <c r="VDY55" s="44"/>
      <c r="VDZ55" s="44"/>
      <c r="VEA55" s="44"/>
      <c r="VEB55" s="44"/>
      <c r="VEC55" s="44"/>
      <c r="VED55" s="44"/>
      <c r="VEE55" s="44"/>
      <c r="VEF55" s="44"/>
      <c r="VEG55" s="44"/>
      <c r="VEH55" s="44"/>
      <c r="VEI55" s="44"/>
      <c r="VEJ55" s="44"/>
      <c r="VEK55" s="44"/>
      <c r="VEL55" s="44"/>
      <c r="VEM55" s="44"/>
      <c r="VEN55" s="44"/>
      <c r="VEO55" s="44"/>
      <c r="VEP55" s="44"/>
      <c r="VEQ55" s="44"/>
      <c r="VER55" s="44"/>
      <c r="VES55" s="44"/>
      <c r="VET55" s="44"/>
      <c r="VEU55" s="44"/>
      <c r="VEV55" s="44"/>
      <c r="VEW55" s="44"/>
      <c r="VEX55" s="44"/>
      <c r="VEY55" s="44"/>
      <c r="VEZ55" s="44"/>
      <c r="VFA55" s="44"/>
      <c r="VFB55" s="44"/>
      <c r="VFC55" s="44"/>
      <c r="VFD55" s="44"/>
      <c r="VFE55" s="44"/>
      <c r="VFF55" s="44"/>
      <c r="VFG55" s="44"/>
      <c r="VFH55" s="44"/>
      <c r="VFI55" s="44"/>
      <c r="VFJ55" s="44"/>
      <c r="VFK55" s="44"/>
      <c r="VFL55" s="44"/>
      <c r="VFM55" s="44"/>
      <c r="VFN55" s="44"/>
      <c r="VFO55" s="44"/>
      <c r="VFP55" s="44"/>
      <c r="VFQ55" s="44"/>
      <c r="VFR55" s="44"/>
      <c r="VFS55" s="44"/>
      <c r="VFT55" s="44"/>
      <c r="VFU55" s="44"/>
      <c r="VFV55" s="44"/>
      <c r="VFW55" s="44"/>
      <c r="VFX55" s="44"/>
      <c r="VFY55" s="44"/>
      <c r="VFZ55" s="44"/>
      <c r="VGA55" s="44"/>
      <c r="VGB55" s="44"/>
      <c r="VGC55" s="44"/>
      <c r="VGD55" s="44"/>
      <c r="VGE55" s="44"/>
      <c r="VGF55" s="44"/>
      <c r="VGG55" s="44"/>
      <c r="VGH55" s="44"/>
      <c r="VGI55" s="44"/>
      <c r="VGJ55" s="44"/>
      <c r="VGK55" s="44"/>
      <c r="VGL55" s="44"/>
      <c r="VGM55" s="44"/>
      <c r="VGN55" s="44"/>
      <c r="VGO55" s="44"/>
      <c r="VGP55" s="44"/>
      <c r="VGQ55" s="44"/>
      <c r="VGR55" s="44"/>
      <c r="VGS55" s="44"/>
      <c r="VGT55" s="44"/>
      <c r="VGU55" s="44"/>
      <c r="VGV55" s="44"/>
      <c r="VGW55" s="44"/>
      <c r="VGX55" s="44"/>
    </row>
    <row r="56" spans="1:15078" s="1" customFormat="1" x14ac:dyDescent="0.25">
      <c r="B56" s="223"/>
      <c r="C56" s="119" t="s">
        <v>80</v>
      </c>
      <c r="D56" s="123">
        <f>SUM(D58:D59)</f>
        <v>3242307.3</v>
      </c>
      <c r="E56" s="224" t="s">
        <v>16</v>
      </c>
      <c r="F56" s="110">
        <f t="shared" ref="F56:T56" si="13">F57+F58+F59</f>
        <v>0</v>
      </c>
      <c r="G56" s="110">
        <f t="shared" si="13"/>
        <v>0</v>
      </c>
      <c r="H56" s="110">
        <f t="shared" si="13"/>
        <v>0</v>
      </c>
      <c r="I56" s="110">
        <f t="shared" si="13"/>
        <v>155103</v>
      </c>
      <c r="J56" s="110">
        <f t="shared" si="13"/>
        <v>0</v>
      </c>
      <c r="K56" s="110">
        <f t="shared" si="13"/>
        <v>0</v>
      </c>
      <c r="L56" s="110">
        <f t="shared" si="13"/>
        <v>0</v>
      </c>
      <c r="M56" s="110">
        <f t="shared" si="13"/>
        <v>0</v>
      </c>
      <c r="N56" s="110">
        <f t="shared" si="13"/>
        <v>0</v>
      </c>
      <c r="O56" s="110">
        <f t="shared" si="13"/>
        <v>0</v>
      </c>
      <c r="P56" s="110">
        <f t="shared" si="13"/>
        <v>0</v>
      </c>
      <c r="Q56" s="110">
        <f t="shared" si="13"/>
        <v>0</v>
      </c>
      <c r="R56" s="110">
        <f t="shared" si="13"/>
        <v>0</v>
      </c>
      <c r="S56" s="110">
        <f t="shared" si="13"/>
        <v>0</v>
      </c>
      <c r="T56" s="110">
        <f t="shared" si="13"/>
        <v>151100</v>
      </c>
      <c r="U56" s="110">
        <f t="shared" ref="U56:AI56" si="14">U58+U59</f>
        <v>0</v>
      </c>
      <c r="V56" s="110">
        <f t="shared" si="14"/>
        <v>0</v>
      </c>
      <c r="W56" s="110">
        <f t="shared" si="14"/>
        <v>0</v>
      </c>
      <c r="X56" s="110">
        <f t="shared" si="14"/>
        <v>0</v>
      </c>
      <c r="Y56" s="110">
        <f t="shared" si="14"/>
        <v>0</v>
      </c>
      <c r="Z56" s="110">
        <f t="shared" si="14"/>
        <v>0</v>
      </c>
      <c r="AA56" s="110">
        <f t="shared" si="14"/>
        <v>0</v>
      </c>
      <c r="AB56" s="110">
        <f t="shared" si="14"/>
        <v>0</v>
      </c>
      <c r="AC56" s="110">
        <f t="shared" si="14"/>
        <v>322600</v>
      </c>
      <c r="AD56" s="110">
        <f t="shared" si="14"/>
        <v>0</v>
      </c>
      <c r="AE56" s="110">
        <f t="shared" si="14"/>
        <v>0</v>
      </c>
      <c r="AF56" s="110">
        <f t="shared" si="14"/>
        <v>0</v>
      </c>
      <c r="AG56" s="110">
        <f t="shared" si="14"/>
        <v>0</v>
      </c>
      <c r="AH56" s="110">
        <f t="shared" si="14"/>
        <v>210900</v>
      </c>
      <c r="AI56" s="219">
        <f t="shared" si="14"/>
        <v>0</v>
      </c>
      <c r="AJ56" s="9">
        <v>5040</v>
      </c>
      <c r="AK56" s="308">
        <f>SUM(F56:AI56)</f>
        <v>839703</v>
      </c>
      <c r="AW56" s="29"/>
      <c r="AX56" s="13"/>
      <c r="CB56" s="28"/>
      <c r="DI56" s="29"/>
    </row>
    <row r="57" spans="1:15078" s="1" customFormat="1" x14ac:dyDescent="0.25">
      <c r="B57" s="223"/>
      <c r="C57" s="119" t="s">
        <v>79</v>
      </c>
      <c r="D57" s="123"/>
      <c r="E57" s="224" t="s">
        <v>16</v>
      </c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352"/>
      <c r="AH57" s="352"/>
      <c r="AI57" s="219"/>
      <c r="AJ57" s="9"/>
      <c r="AK57" s="308">
        <f>SUM(F57:AI57)</f>
        <v>0</v>
      </c>
      <c r="AW57" s="29"/>
      <c r="AX57" s="29"/>
      <c r="DI57" s="29"/>
    </row>
    <row r="58" spans="1:15078" s="1" customFormat="1" x14ac:dyDescent="0.25">
      <c r="B58" s="223"/>
      <c r="C58" s="119" t="s">
        <v>78</v>
      </c>
      <c r="D58" s="123">
        <v>1945384.38</v>
      </c>
      <c r="E58" s="224" t="s">
        <v>16</v>
      </c>
      <c r="F58" s="110"/>
      <c r="G58" s="110"/>
      <c r="H58" s="110"/>
      <c r="I58" s="110">
        <v>93700</v>
      </c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>
        <v>90900</v>
      </c>
      <c r="U58" s="110"/>
      <c r="V58" s="110"/>
      <c r="W58" s="110"/>
      <c r="X58" s="110"/>
      <c r="Y58" s="110"/>
      <c r="Z58" s="110"/>
      <c r="AA58" s="110"/>
      <c r="AB58" s="110"/>
      <c r="AC58" s="110">
        <v>195400</v>
      </c>
      <c r="AD58" s="110"/>
      <c r="AE58" s="110"/>
      <c r="AF58" s="110"/>
      <c r="AG58" s="352"/>
      <c r="AH58" s="352">
        <v>127900</v>
      </c>
      <c r="AI58" s="219"/>
      <c r="AJ58" s="9"/>
      <c r="AK58" s="308">
        <f>SUM(F58:AI58)</f>
        <v>507900</v>
      </c>
      <c r="AW58" s="29"/>
      <c r="AX58" s="38"/>
      <c r="CB58" s="29"/>
      <c r="DI58" s="29"/>
    </row>
    <row r="59" spans="1:15078" s="1" customFormat="1" x14ac:dyDescent="0.25">
      <c r="B59" s="223"/>
      <c r="C59" s="119" t="s">
        <v>77</v>
      </c>
      <c r="D59" s="123">
        <v>1296922.92</v>
      </c>
      <c r="E59" s="224" t="s">
        <v>16</v>
      </c>
      <c r="F59" s="110"/>
      <c r="G59" s="110"/>
      <c r="H59" s="110"/>
      <c r="I59" s="110">
        <v>61403</v>
      </c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>
        <v>60200</v>
      </c>
      <c r="U59" s="110"/>
      <c r="V59" s="110"/>
      <c r="W59" s="110"/>
      <c r="X59" s="110"/>
      <c r="Y59" s="110"/>
      <c r="Z59" s="110"/>
      <c r="AA59" s="110"/>
      <c r="AB59" s="110"/>
      <c r="AC59" s="110">
        <v>127200</v>
      </c>
      <c r="AD59" s="110"/>
      <c r="AE59" s="110"/>
      <c r="AF59" s="110"/>
      <c r="AG59" s="352"/>
      <c r="AH59" s="352">
        <v>83000</v>
      </c>
      <c r="AI59" s="219"/>
      <c r="AJ59" s="9"/>
      <c r="AK59" s="308">
        <f>SUM(F59:AI59)</f>
        <v>331803</v>
      </c>
      <c r="DI59" s="29"/>
    </row>
    <row r="60" spans="1:15078" s="1" customFormat="1" x14ac:dyDescent="0.25">
      <c r="B60" s="415"/>
      <c r="C60" s="416" t="s">
        <v>148</v>
      </c>
      <c r="D60" s="303"/>
      <c r="E60" s="101" t="s">
        <v>29</v>
      </c>
      <c r="F60" s="417">
        <f>(F42+F46+F51+F56)/2000/1000*100</f>
        <v>95.874549999999999</v>
      </c>
      <c r="G60" s="417">
        <f t="shared" ref="G60:AL60" si="15">(G42+G46+G51+G56)/2000/1000*100</f>
        <v>101.04035</v>
      </c>
      <c r="H60" s="417">
        <f t="shared" si="15"/>
        <v>102.59355000000001</v>
      </c>
      <c r="I60" s="417">
        <f t="shared" si="15"/>
        <v>44.224849999999996</v>
      </c>
      <c r="J60" s="417">
        <f t="shared" si="15"/>
        <v>100.52025</v>
      </c>
      <c r="K60" s="417">
        <f t="shared" si="15"/>
        <v>112.90724999999999</v>
      </c>
      <c r="L60" s="417">
        <f t="shared" si="15"/>
        <v>113.91375000000001</v>
      </c>
      <c r="M60" s="417">
        <f t="shared" si="15"/>
        <v>108.98460000000001</v>
      </c>
      <c r="N60" s="417">
        <f t="shared" si="15"/>
        <v>108.41489999999997</v>
      </c>
      <c r="O60" s="417">
        <f t="shared" si="15"/>
        <v>103.70515</v>
      </c>
      <c r="P60" s="417">
        <f t="shared" si="15"/>
        <v>103.83314999999999</v>
      </c>
      <c r="Q60" s="417">
        <f t="shared" si="15"/>
        <v>100.63415000000001</v>
      </c>
      <c r="R60" s="417">
        <f t="shared" si="15"/>
        <v>100.22279999999999</v>
      </c>
      <c r="S60" s="417">
        <f t="shared" si="15"/>
        <v>77.004300000000001</v>
      </c>
      <c r="T60" s="417">
        <f t="shared" si="15"/>
        <v>43.539149999999999</v>
      </c>
      <c r="U60" s="417">
        <f t="shared" si="15"/>
        <v>98.146349999999998</v>
      </c>
      <c r="V60" s="417">
        <f t="shared" si="15"/>
        <v>87.074149999999989</v>
      </c>
      <c r="W60" s="417">
        <f t="shared" si="15"/>
        <v>85.828299999999999</v>
      </c>
      <c r="X60" s="417">
        <f t="shared" si="15"/>
        <v>84.619749999999996</v>
      </c>
      <c r="Y60" s="417">
        <f t="shared" si="15"/>
        <v>67.603449999999995</v>
      </c>
      <c r="Z60" s="417">
        <f t="shared" si="15"/>
        <v>64.445299999999989</v>
      </c>
      <c r="AA60" s="417">
        <f t="shared" si="15"/>
        <v>50.055399999999992</v>
      </c>
      <c r="AB60" s="417">
        <f t="shared" si="15"/>
        <v>49.112450000000003</v>
      </c>
      <c r="AC60" s="417">
        <f t="shared" si="15"/>
        <v>42.474400000000003</v>
      </c>
      <c r="AD60" s="417">
        <f t="shared" si="15"/>
        <v>53.222349999999999</v>
      </c>
      <c r="AE60" s="417">
        <f t="shared" si="15"/>
        <v>58.248249999999999</v>
      </c>
      <c r="AF60" s="417">
        <f t="shared" si="15"/>
        <v>20.000049999999998</v>
      </c>
      <c r="AG60" s="417">
        <f t="shared" si="15"/>
        <v>60.448399999999999</v>
      </c>
      <c r="AH60" s="417">
        <f t="shared" si="15"/>
        <v>35.445</v>
      </c>
      <c r="AI60" s="417">
        <f t="shared" si="15"/>
        <v>97.74175000000001</v>
      </c>
      <c r="AJ60" s="417"/>
      <c r="AK60" s="307">
        <f>AVERAGE(E60:AI60)</f>
        <v>79.062603333333357</v>
      </c>
      <c r="AL60" s="418">
        <f t="shared" si="15"/>
        <v>0</v>
      </c>
      <c r="DJ60" s="29"/>
    </row>
    <row r="61" spans="1:15078" x14ac:dyDescent="0.25">
      <c r="B61" s="215"/>
      <c r="C61" s="134" t="s">
        <v>76</v>
      </c>
      <c r="D61" s="135"/>
      <c r="E61" s="231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349"/>
      <c r="AH61" s="349"/>
      <c r="AI61" s="214"/>
      <c r="AJ61" s="9"/>
      <c r="AK61" s="34" t="s">
        <v>75</v>
      </c>
    </row>
    <row r="62" spans="1:15078" x14ac:dyDescent="0.25">
      <c r="B62" s="223"/>
      <c r="C62" s="136" t="s">
        <v>74</v>
      </c>
      <c r="D62" s="114">
        <v>94.2</v>
      </c>
      <c r="E62" s="232" t="s">
        <v>29</v>
      </c>
      <c r="F62" s="137">
        <f t="shared" ref="F62:AI62" si="16">(F39/(F32))*100</f>
        <v>94.319026890687923</v>
      </c>
      <c r="G62" s="137">
        <f t="shared" si="16"/>
        <v>94.245225835620346</v>
      </c>
      <c r="H62" s="137">
        <f t="shared" si="16"/>
        <v>94.285913786709997</v>
      </c>
      <c r="I62" s="137">
        <f t="shared" si="16"/>
        <v>94.223266945036897</v>
      </c>
      <c r="J62" s="137">
        <f t="shared" si="16"/>
        <v>94.389630959242325</v>
      </c>
      <c r="K62" s="137">
        <f t="shared" si="16"/>
        <v>94.52979941610046</v>
      </c>
      <c r="L62" s="137">
        <f t="shared" si="16"/>
        <v>95.368114343773044</v>
      </c>
      <c r="M62" s="137">
        <f t="shared" si="16"/>
        <v>95.525343025913955</v>
      </c>
      <c r="N62" s="137">
        <f t="shared" si="16"/>
        <v>95.307717416749739</v>
      </c>
      <c r="O62" s="137">
        <f t="shared" si="16"/>
        <v>93.898594158178824</v>
      </c>
      <c r="P62" s="137">
        <f t="shared" si="16"/>
        <v>95.22610695918388</v>
      </c>
      <c r="Q62" s="137">
        <f t="shared" si="16"/>
        <v>95.239715515274696</v>
      </c>
      <c r="R62" s="137">
        <f t="shared" si="16"/>
        <v>95.255424506870483</v>
      </c>
      <c r="S62" s="137">
        <f t="shared" si="16"/>
        <v>95.689168947407353</v>
      </c>
      <c r="T62" s="137">
        <f t="shared" si="16"/>
        <v>94.975592530736975</v>
      </c>
      <c r="U62" s="137">
        <f t="shared" si="16"/>
        <v>94.691184232718911</v>
      </c>
      <c r="V62" s="137">
        <f t="shared" si="16"/>
        <v>94.64424366142093</v>
      </c>
      <c r="W62" s="137">
        <f t="shared" si="16"/>
        <v>95.281990057328088</v>
      </c>
      <c r="X62" s="137">
        <f t="shared" si="16"/>
        <v>95.570625926782483</v>
      </c>
      <c r="Y62" s="137">
        <f t="shared" si="16"/>
        <v>95.628989829003771</v>
      </c>
      <c r="Z62" s="137">
        <f t="shared" si="16"/>
        <v>94.986242693081508</v>
      </c>
      <c r="AA62" s="137">
        <f t="shared" si="16"/>
        <v>94.549016594960051</v>
      </c>
      <c r="AB62" s="137">
        <f t="shared" si="16"/>
        <v>94.217763493342616</v>
      </c>
      <c r="AC62" s="137">
        <f t="shared" si="16"/>
        <v>94.226327593531749</v>
      </c>
      <c r="AD62" s="137">
        <f t="shared" si="16"/>
        <v>94.288155679121047</v>
      </c>
      <c r="AE62" s="137">
        <f t="shared" si="16"/>
        <v>93.479738906667649</v>
      </c>
      <c r="AF62" s="137">
        <f t="shared" si="16"/>
        <v>94.294806558436321</v>
      </c>
      <c r="AG62" s="137">
        <f t="shared" si="16"/>
        <v>94.339968613592362</v>
      </c>
      <c r="AH62" s="137">
        <f t="shared" si="16"/>
        <v>94.226496714301945</v>
      </c>
      <c r="AI62" s="233">
        <f t="shared" si="16"/>
        <v>95.413238928127029</v>
      </c>
      <c r="AJ62" s="6"/>
      <c r="AK62" s="307">
        <f>(AK39/(AK32))*100</f>
        <v>94.770619437866628</v>
      </c>
      <c r="AL62" s="39"/>
    </row>
    <row r="63" spans="1:15078" x14ac:dyDescent="0.25">
      <c r="B63" s="223"/>
      <c r="C63" s="136" t="s">
        <v>73</v>
      </c>
      <c r="D63" s="114">
        <v>5</v>
      </c>
      <c r="E63" s="232" t="s">
        <v>29</v>
      </c>
      <c r="F63" s="137">
        <f t="shared" ref="F63:AI63" si="17">(F40/(F32))*100</f>
        <v>5.0113502298523249</v>
      </c>
      <c r="G63" s="137">
        <f t="shared" si="17"/>
        <v>5.135901842981025</v>
      </c>
      <c r="H63" s="137">
        <f t="shared" si="17"/>
        <v>5.1122323841831356</v>
      </c>
      <c r="I63" s="137">
        <f t="shared" si="17"/>
        <v>4.9898364825217545</v>
      </c>
      <c r="J63" s="137">
        <f t="shared" si="17"/>
        <v>4.9109127374491601</v>
      </c>
      <c r="K63" s="137">
        <f t="shared" si="17"/>
        <v>4.7740991402963235</v>
      </c>
      <c r="L63" s="137">
        <f t="shared" si="17"/>
        <v>3.8964546768791979</v>
      </c>
      <c r="M63" s="137">
        <f t="shared" si="17"/>
        <v>3.7987880307857207</v>
      </c>
      <c r="N63" s="137">
        <f t="shared" si="17"/>
        <v>3.9087700865061983</v>
      </c>
      <c r="O63" s="137">
        <f t="shared" si="17"/>
        <v>5.3760706516297576</v>
      </c>
      <c r="P63" s="137">
        <f t="shared" si="17"/>
        <v>4.0922210584102627</v>
      </c>
      <c r="Q63" s="137">
        <f t="shared" si="17"/>
        <v>4.0466858684049996</v>
      </c>
      <c r="R63" s="137">
        <f t="shared" si="17"/>
        <v>3.9782089137191661</v>
      </c>
      <c r="S63" s="137">
        <f t="shared" si="17"/>
        <v>3.5555283304978182</v>
      </c>
      <c r="T63" s="137">
        <f t="shared" si="17"/>
        <v>4.3041206204249871</v>
      </c>
      <c r="U63" s="137">
        <f t="shared" si="17"/>
        <v>4.5353639944826742</v>
      </c>
      <c r="V63" s="137">
        <f t="shared" si="17"/>
        <v>4.5948738705954932</v>
      </c>
      <c r="W63" s="137">
        <f t="shared" si="17"/>
        <v>3.9830517693387142</v>
      </c>
      <c r="X63" s="137">
        <f t="shared" si="17"/>
        <v>3.7131837784156607</v>
      </c>
      <c r="Y63" s="137">
        <f t="shared" si="17"/>
        <v>3.579055345072637</v>
      </c>
      <c r="Z63" s="137">
        <f t="shared" si="17"/>
        <v>4.2722362000552403</v>
      </c>
      <c r="AA63" s="137">
        <f t="shared" si="17"/>
        <v>4.6692155657591865</v>
      </c>
      <c r="AB63" s="137">
        <f t="shared" si="17"/>
        <v>5.042842094358889</v>
      </c>
      <c r="AC63" s="137">
        <f t="shared" si="17"/>
        <v>5.0434608138272035</v>
      </c>
      <c r="AD63" s="137">
        <f t="shared" si="17"/>
        <v>5.009339943826431</v>
      </c>
      <c r="AE63" s="137">
        <f t="shared" si="17"/>
        <v>5.9875946913379829</v>
      </c>
      <c r="AF63" s="137">
        <f t="shared" si="17"/>
        <v>5.1539455617478396</v>
      </c>
      <c r="AG63" s="137">
        <f t="shared" si="17"/>
        <v>5.1078719237708778</v>
      </c>
      <c r="AH63" s="137">
        <f t="shared" si="17"/>
        <v>5.1505193650854171</v>
      </c>
      <c r="AI63" s="233">
        <f t="shared" si="17"/>
        <v>3.8151387160658268</v>
      </c>
      <c r="AJ63" s="6"/>
      <c r="AK63" s="307">
        <f>(AK40/(AK32))*100</f>
        <v>4.5217620868637471</v>
      </c>
      <c r="BX63" s="21"/>
    </row>
    <row r="64" spans="1:15078" x14ac:dyDescent="0.25">
      <c r="B64" s="223"/>
      <c r="C64" s="136" t="s">
        <v>72</v>
      </c>
      <c r="D64" s="114">
        <v>82</v>
      </c>
      <c r="E64" s="232" t="s">
        <v>29</v>
      </c>
      <c r="F64" s="137">
        <f t="shared" ref="F64:AI64" si="18">(F43/F42)*100</f>
        <v>83.136434467995628</v>
      </c>
      <c r="G64" s="137">
        <f t="shared" si="18"/>
        <v>82.883026434488798</v>
      </c>
      <c r="H64" s="137">
        <f t="shared" si="18"/>
        <v>82.459862242801819</v>
      </c>
      <c r="I64" s="137">
        <f t="shared" si="18"/>
        <v>82.10843522156749</v>
      </c>
      <c r="J64" s="137">
        <f t="shared" si="18"/>
        <v>82.099129279921215</v>
      </c>
      <c r="K64" s="137">
        <f t="shared" si="18"/>
        <v>83.170035582303171</v>
      </c>
      <c r="L64" s="137">
        <f t="shared" si="18"/>
        <v>82.508389022396329</v>
      </c>
      <c r="M64" s="137">
        <f t="shared" si="18"/>
        <v>83.05778981617587</v>
      </c>
      <c r="N64" s="137">
        <f t="shared" si="18"/>
        <v>84.535059295355168</v>
      </c>
      <c r="O64" s="137">
        <f t="shared" si="18"/>
        <v>82.518563446463361</v>
      </c>
      <c r="P64" s="137">
        <f t="shared" si="18"/>
        <v>82.63627752793785</v>
      </c>
      <c r="Q64" s="137">
        <f t="shared" si="18"/>
        <v>82.274357164044204</v>
      </c>
      <c r="R64" s="137">
        <f t="shared" si="18"/>
        <v>82.374170348463622</v>
      </c>
      <c r="S64" s="137">
        <f t="shared" si="18"/>
        <v>82.997832588569736</v>
      </c>
      <c r="T64" s="137">
        <f t="shared" si="18"/>
        <v>84.512603847169459</v>
      </c>
      <c r="U64" s="137">
        <f t="shared" si="18"/>
        <v>82.254001295004855</v>
      </c>
      <c r="V64" s="137">
        <f t="shared" si="18"/>
        <v>82.191327736188072</v>
      </c>
      <c r="W64" s="137">
        <f t="shared" si="18"/>
        <v>82.213617186871929</v>
      </c>
      <c r="X64" s="137">
        <f t="shared" si="18"/>
        <v>82.277068887582388</v>
      </c>
      <c r="Y64" s="137">
        <f t="shared" si="18"/>
        <v>82.304675279146252</v>
      </c>
      <c r="Z64" s="137">
        <f t="shared" si="18"/>
        <v>82.963226177859354</v>
      </c>
      <c r="AA64" s="137">
        <f t="shared" si="18"/>
        <v>82.897649404459855</v>
      </c>
      <c r="AB64" s="137">
        <f t="shared" si="18"/>
        <v>82.311613450357285</v>
      </c>
      <c r="AC64" s="137">
        <f t="shared" si="18"/>
        <v>82.334546646056978</v>
      </c>
      <c r="AD64" s="137">
        <f t="shared" si="18"/>
        <v>82.105825841963011</v>
      </c>
      <c r="AE64" s="137">
        <f t="shared" si="18"/>
        <v>82.143497873326666</v>
      </c>
      <c r="AF64" s="137">
        <f t="shared" si="18"/>
        <v>82.536793658015853</v>
      </c>
      <c r="AG64" s="137">
        <f t="shared" si="18"/>
        <v>84.588173110899604</v>
      </c>
      <c r="AH64" s="137" t="e">
        <f t="shared" si="18"/>
        <v>#DIV/0!</v>
      </c>
      <c r="AI64" s="233">
        <f t="shared" si="18"/>
        <v>82.044640564501194</v>
      </c>
      <c r="AJ64" s="6"/>
      <c r="AK64" s="312">
        <f>AK43/AK42*100</f>
        <v>82.671044104180552</v>
      </c>
    </row>
    <row r="65" spans="2:113 15079:15092" x14ac:dyDescent="0.25">
      <c r="B65" s="223"/>
      <c r="C65" s="136" t="s">
        <v>70</v>
      </c>
      <c r="D65" s="114">
        <v>18</v>
      </c>
      <c r="E65" s="232" t="s">
        <v>29</v>
      </c>
      <c r="F65" s="137">
        <f t="shared" ref="F65:AI65" si="19">(F44/F42)*100</f>
        <v>16.86356553200438</v>
      </c>
      <c r="G65" s="137">
        <f t="shared" si="19"/>
        <v>17.116973565511202</v>
      </c>
      <c r="H65" s="137">
        <f t="shared" si="19"/>
        <v>17.540137757198188</v>
      </c>
      <c r="I65" s="137">
        <f t="shared" si="19"/>
        <v>17.891564778432507</v>
      </c>
      <c r="J65" s="137">
        <f t="shared" si="19"/>
        <v>17.900870720078789</v>
      </c>
      <c r="K65" s="137">
        <f t="shared" si="19"/>
        <v>16.829964417696829</v>
      </c>
      <c r="L65" s="137">
        <f t="shared" si="19"/>
        <v>17.491610977603671</v>
      </c>
      <c r="M65" s="137">
        <f t="shared" si="19"/>
        <v>16.942210183824137</v>
      </c>
      <c r="N65" s="137">
        <f t="shared" si="19"/>
        <v>15.464940704644842</v>
      </c>
      <c r="O65" s="137">
        <f t="shared" si="19"/>
        <v>17.481436553536636</v>
      </c>
      <c r="P65" s="137">
        <f t="shared" si="19"/>
        <v>17.36372247206215</v>
      </c>
      <c r="Q65" s="137">
        <f t="shared" si="19"/>
        <v>17.725642835955789</v>
      </c>
      <c r="R65" s="137">
        <f t="shared" si="19"/>
        <v>17.625829651536375</v>
      </c>
      <c r="S65" s="137">
        <f t="shared" si="19"/>
        <v>17.002167411430271</v>
      </c>
      <c r="T65" s="137">
        <f t="shared" si="19"/>
        <v>15.487396152830534</v>
      </c>
      <c r="U65" s="137">
        <f t="shared" si="19"/>
        <v>17.745998704995142</v>
      </c>
      <c r="V65" s="137">
        <f t="shared" si="19"/>
        <v>17.808672263811935</v>
      </c>
      <c r="W65" s="137">
        <f t="shared" si="19"/>
        <v>17.786382813128071</v>
      </c>
      <c r="X65" s="137">
        <f t="shared" si="19"/>
        <v>17.722931112417609</v>
      </c>
      <c r="Y65" s="137">
        <f t="shared" si="19"/>
        <v>17.695324720853744</v>
      </c>
      <c r="Z65" s="137">
        <f t="shared" si="19"/>
        <v>17.036773822140638</v>
      </c>
      <c r="AA65" s="137">
        <f t="shared" si="19"/>
        <v>17.102350595540141</v>
      </c>
      <c r="AB65" s="137">
        <f t="shared" si="19"/>
        <v>17.688386549642708</v>
      </c>
      <c r="AC65" s="137">
        <f t="shared" si="19"/>
        <v>17.665453353943029</v>
      </c>
      <c r="AD65" s="137">
        <f t="shared" si="19"/>
        <v>17.894174158036989</v>
      </c>
      <c r="AE65" s="137">
        <f t="shared" si="19"/>
        <v>17.856502126673334</v>
      </c>
      <c r="AF65" s="137">
        <f t="shared" si="19"/>
        <v>17.463206341984144</v>
      </c>
      <c r="AG65" s="137">
        <f t="shared" si="19"/>
        <v>15.4118268891004</v>
      </c>
      <c r="AH65" s="137" t="e">
        <f t="shared" si="19"/>
        <v>#DIV/0!</v>
      </c>
      <c r="AI65" s="233">
        <f t="shared" si="19"/>
        <v>17.95535943549881</v>
      </c>
      <c r="AJ65" s="6"/>
      <c r="AK65" s="312">
        <f>AK44/AK42*100</f>
        <v>17.328955895819458</v>
      </c>
    </row>
    <row r="66" spans="2:113 15079:15092" x14ac:dyDescent="0.25">
      <c r="B66" s="223"/>
      <c r="C66" s="136" t="s">
        <v>143</v>
      </c>
      <c r="D66" s="114">
        <v>75</v>
      </c>
      <c r="E66" s="232" t="s">
        <v>29</v>
      </c>
      <c r="F66" s="137">
        <f t="shared" ref="F66:AI66" si="20">(F47/F46)*100</f>
        <v>75.875653210209791</v>
      </c>
      <c r="G66" s="137" t="e">
        <f t="shared" si="20"/>
        <v>#DIV/0!</v>
      </c>
      <c r="H66" s="137" t="e">
        <f t="shared" si="20"/>
        <v>#DIV/0!</v>
      </c>
      <c r="I66" s="137" t="e">
        <f t="shared" si="20"/>
        <v>#DIV/0!</v>
      </c>
      <c r="J66" s="137" t="e">
        <f t="shared" si="20"/>
        <v>#DIV/0!</v>
      </c>
      <c r="K66" s="137" t="e">
        <f t="shared" si="20"/>
        <v>#DIV/0!</v>
      </c>
      <c r="L66" s="137" t="e">
        <f t="shared" si="20"/>
        <v>#DIV/0!</v>
      </c>
      <c r="M66" s="137" t="e">
        <f t="shared" si="20"/>
        <v>#DIV/0!</v>
      </c>
      <c r="N66" s="137" t="e">
        <f t="shared" si="20"/>
        <v>#DIV/0!</v>
      </c>
      <c r="O66" s="137" t="e">
        <f t="shared" si="20"/>
        <v>#DIV/0!</v>
      </c>
      <c r="P66" s="137" t="e">
        <f t="shared" si="20"/>
        <v>#DIV/0!</v>
      </c>
      <c r="Q66" s="137" t="e">
        <f t="shared" si="20"/>
        <v>#DIV/0!</v>
      </c>
      <c r="R66" s="137" t="e">
        <f t="shared" si="20"/>
        <v>#DIV/0!</v>
      </c>
      <c r="S66" s="137" t="e">
        <f t="shared" si="20"/>
        <v>#DIV/0!</v>
      </c>
      <c r="T66" s="137" t="e">
        <f t="shared" si="20"/>
        <v>#DIV/0!</v>
      </c>
      <c r="U66" s="137" t="e">
        <f t="shared" si="20"/>
        <v>#DIV/0!</v>
      </c>
      <c r="V66" s="137" t="e">
        <f t="shared" si="20"/>
        <v>#DIV/0!</v>
      </c>
      <c r="W66" s="137" t="e">
        <f t="shared" si="20"/>
        <v>#DIV/0!</v>
      </c>
      <c r="X66" s="137" t="e">
        <f t="shared" si="20"/>
        <v>#DIV/0!</v>
      </c>
      <c r="Y66" s="137" t="e">
        <f t="shared" si="20"/>
        <v>#DIV/0!</v>
      </c>
      <c r="Z66" s="137" t="e">
        <f t="shared" si="20"/>
        <v>#DIV/0!</v>
      </c>
      <c r="AA66" s="137" t="e">
        <f t="shared" si="20"/>
        <v>#DIV/0!</v>
      </c>
      <c r="AB66" s="137" t="e">
        <f t="shared" si="20"/>
        <v>#DIV/0!</v>
      </c>
      <c r="AC66" s="137" t="e">
        <f t="shared" si="20"/>
        <v>#DIV/0!</v>
      </c>
      <c r="AD66" s="137" t="e">
        <f t="shared" si="20"/>
        <v>#DIV/0!</v>
      </c>
      <c r="AE66" s="137" t="e">
        <f t="shared" si="20"/>
        <v>#DIV/0!</v>
      </c>
      <c r="AF66" s="137" t="e">
        <f t="shared" si="20"/>
        <v>#DIV/0!</v>
      </c>
      <c r="AG66" s="137" t="e">
        <f t="shared" si="20"/>
        <v>#DIV/0!</v>
      </c>
      <c r="AH66" s="137" t="e">
        <f t="shared" si="20"/>
        <v>#DIV/0!</v>
      </c>
      <c r="AI66" s="233" t="e">
        <f t="shared" si="20"/>
        <v>#DIV/0!</v>
      </c>
      <c r="AJ66" s="6"/>
      <c r="AK66" s="313">
        <f>(AK47/AK46)*100</f>
        <v>75.875653210209791</v>
      </c>
    </row>
    <row r="67" spans="2:113 15079:15092" x14ac:dyDescent="0.25">
      <c r="B67" s="223"/>
      <c r="C67" s="136" t="s">
        <v>70</v>
      </c>
      <c r="D67" s="114">
        <v>25</v>
      </c>
      <c r="E67" s="232" t="s">
        <v>29</v>
      </c>
      <c r="F67" s="137">
        <f t="shared" ref="F67:AI67" si="21">(F48/F46)*100</f>
        <v>24.124346789790213</v>
      </c>
      <c r="G67" s="137" t="e">
        <f t="shared" si="21"/>
        <v>#DIV/0!</v>
      </c>
      <c r="H67" s="137" t="e">
        <f t="shared" si="21"/>
        <v>#DIV/0!</v>
      </c>
      <c r="I67" s="137" t="e">
        <f t="shared" si="21"/>
        <v>#DIV/0!</v>
      </c>
      <c r="J67" s="137" t="e">
        <f t="shared" si="21"/>
        <v>#DIV/0!</v>
      </c>
      <c r="K67" s="137" t="e">
        <f t="shared" si="21"/>
        <v>#DIV/0!</v>
      </c>
      <c r="L67" s="137" t="e">
        <f t="shared" si="21"/>
        <v>#DIV/0!</v>
      </c>
      <c r="M67" s="137" t="e">
        <f t="shared" si="21"/>
        <v>#DIV/0!</v>
      </c>
      <c r="N67" s="137" t="e">
        <f t="shared" si="21"/>
        <v>#DIV/0!</v>
      </c>
      <c r="O67" s="137" t="e">
        <f t="shared" si="21"/>
        <v>#DIV/0!</v>
      </c>
      <c r="P67" s="137" t="e">
        <f t="shared" si="21"/>
        <v>#DIV/0!</v>
      </c>
      <c r="Q67" s="137" t="e">
        <f t="shared" si="21"/>
        <v>#DIV/0!</v>
      </c>
      <c r="R67" s="137" t="e">
        <f t="shared" si="21"/>
        <v>#DIV/0!</v>
      </c>
      <c r="S67" s="137" t="e">
        <f t="shared" si="21"/>
        <v>#DIV/0!</v>
      </c>
      <c r="T67" s="137" t="e">
        <f t="shared" si="21"/>
        <v>#DIV/0!</v>
      </c>
      <c r="U67" s="137" t="e">
        <f t="shared" si="21"/>
        <v>#DIV/0!</v>
      </c>
      <c r="V67" s="137" t="e">
        <f t="shared" si="21"/>
        <v>#DIV/0!</v>
      </c>
      <c r="W67" s="137" t="e">
        <f t="shared" si="21"/>
        <v>#DIV/0!</v>
      </c>
      <c r="X67" s="137" t="e">
        <f t="shared" si="21"/>
        <v>#DIV/0!</v>
      </c>
      <c r="Y67" s="137" t="e">
        <f t="shared" si="21"/>
        <v>#DIV/0!</v>
      </c>
      <c r="Z67" s="137" t="e">
        <f t="shared" si="21"/>
        <v>#DIV/0!</v>
      </c>
      <c r="AA67" s="137" t="e">
        <f t="shared" si="21"/>
        <v>#DIV/0!</v>
      </c>
      <c r="AB67" s="137" t="e">
        <f t="shared" si="21"/>
        <v>#DIV/0!</v>
      </c>
      <c r="AC67" s="137" t="e">
        <f t="shared" si="21"/>
        <v>#DIV/0!</v>
      </c>
      <c r="AD67" s="137" t="e">
        <f t="shared" si="21"/>
        <v>#DIV/0!</v>
      </c>
      <c r="AE67" s="137" t="e">
        <f t="shared" si="21"/>
        <v>#DIV/0!</v>
      </c>
      <c r="AF67" s="137" t="e">
        <f t="shared" si="21"/>
        <v>#DIV/0!</v>
      </c>
      <c r="AG67" s="137" t="e">
        <f t="shared" si="21"/>
        <v>#DIV/0!</v>
      </c>
      <c r="AH67" s="137" t="e">
        <f t="shared" si="21"/>
        <v>#DIV/0!</v>
      </c>
      <c r="AI67" s="233" t="e">
        <f t="shared" si="21"/>
        <v>#DIV/0!</v>
      </c>
      <c r="AJ67" s="6"/>
      <c r="AK67" s="313">
        <f>(AK48/AK46)*100</f>
        <v>24.124346789790213</v>
      </c>
    </row>
    <row r="68" spans="2:113 15079:15092" x14ac:dyDescent="0.25">
      <c r="B68" s="223"/>
      <c r="C68" s="136" t="s">
        <v>144</v>
      </c>
      <c r="D68" s="114">
        <v>75</v>
      </c>
      <c r="E68" s="232" t="s">
        <v>29</v>
      </c>
      <c r="F68" s="137" t="e">
        <f t="shared" ref="F68:AI68" si="22">F52/F51*100</f>
        <v>#DIV/0!</v>
      </c>
      <c r="G68" s="137" t="e">
        <f t="shared" si="22"/>
        <v>#DIV/0!</v>
      </c>
      <c r="H68" s="137" t="e">
        <f t="shared" si="22"/>
        <v>#DIV/0!</v>
      </c>
      <c r="I68" s="137" t="e">
        <f t="shared" si="22"/>
        <v>#DIV/0!</v>
      </c>
      <c r="J68" s="137" t="e">
        <f t="shared" si="22"/>
        <v>#DIV/0!</v>
      </c>
      <c r="K68" s="137" t="e">
        <f t="shared" si="22"/>
        <v>#DIV/0!</v>
      </c>
      <c r="L68" s="137" t="e">
        <f t="shared" si="22"/>
        <v>#DIV/0!</v>
      </c>
      <c r="M68" s="137" t="e">
        <f t="shared" si="22"/>
        <v>#DIV/0!</v>
      </c>
      <c r="N68" s="137" t="e">
        <f t="shared" si="22"/>
        <v>#DIV/0!</v>
      </c>
      <c r="O68" s="137" t="e">
        <f t="shared" si="22"/>
        <v>#DIV/0!</v>
      </c>
      <c r="P68" s="137" t="e">
        <f t="shared" si="22"/>
        <v>#DIV/0!</v>
      </c>
      <c r="Q68" s="137" t="e">
        <f t="shared" si="22"/>
        <v>#DIV/0!</v>
      </c>
      <c r="R68" s="137" t="e">
        <f t="shared" si="22"/>
        <v>#DIV/0!</v>
      </c>
      <c r="S68" s="137" t="e">
        <f t="shared" si="22"/>
        <v>#DIV/0!</v>
      </c>
      <c r="T68" s="137">
        <f t="shared" si="22"/>
        <v>75.249615651028023</v>
      </c>
      <c r="U68" s="137" t="e">
        <f t="shared" si="22"/>
        <v>#DIV/0!</v>
      </c>
      <c r="V68" s="137" t="e">
        <f t="shared" si="22"/>
        <v>#DIV/0!</v>
      </c>
      <c r="W68" s="137" t="e">
        <f t="shared" si="22"/>
        <v>#DIV/0!</v>
      </c>
      <c r="X68" s="137" t="e">
        <f t="shared" si="22"/>
        <v>#DIV/0!</v>
      </c>
      <c r="Y68" s="137" t="e">
        <f t="shared" si="22"/>
        <v>#DIV/0!</v>
      </c>
      <c r="Z68" s="137" t="e">
        <f t="shared" si="22"/>
        <v>#DIV/0!</v>
      </c>
      <c r="AA68" s="137" t="e">
        <f t="shared" si="22"/>
        <v>#DIV/0!</v>
      </c>
      <c r="AB68" s="137" t="e">
        <f t="shared" si="22"/>
        <v>#DIV/0!</v>
      </c>
      <c r="AC68" s="137">
        <f t="shared" si="22"/>
        <v>75.393923141308491</v>
      </c>
      <c r="AD68" s="137" t="e">
        <f t="shared" si="22"/>
        <v>#DIV/0!</v>
      </c>
      <c r="AE68" s="137" t="e">
        <f t="shared" si="22"/>
        <v>#DIV/0!</v>
      </c>
      <c r="AF68" s="137" t="e">
        <f t="shared" si="22"/>
        <v>#DIV/0!</v>
      </c>
      <c r="AG68" s="137">
        <f t="shared" si="22"/>
        <v>75.491593046451982</v>
      </c>
      <c r="AH68" s="137">
        <f t="shared" si="22"/>
        <v>75.93634538152611</v>
      </c>
      <c r="AI68" s="233">
        <f t="shared" si="22"/>
        <v>75.246918118765777</v>
      </c>
      <c r="AJ68" s="6"/>
      <c r="AK68" s="314">
        <f>AK52/AK51*100</f>
        <v>75.53374349888054</v>
      </c>
      <c r="BX68" s="21"/>
    </row>
    <row r="69" spans="2:113 15079:15092" x14ac:dyDescent="0.25">
      <c r="B69" s="223"/>
      <c r="C69" s="136" t="s">
        <v>70</v>
      </c>
      <c r="D69" s="114">
        <v>25</v>
      </c>
      <c r="E69" s="232" t="s">
        <v>29</v>
      </c>
      <c r="F69" s="137" t="e">
        <f t="shared" ref="F69:AI69" si="23">F53/F51*100</f>
        <v>#DIV/0!</v>
      </c>
      <c r="G69" s="137" t="e">
        <f t="shared" si="23"/>
        <v>#DIV/0!</v>
      </c>
      <c r="H69" s="137" t="e">
        <f t="shared" si="23"/>
        <v>#DIV/0!</v>
      </c>
      <c r="I69" s="137" t="e">
        <f t="shared" si="23"/>
        <v>#DIV/0!</v>
      </c>
      <c r="J69" s="137" t="e">
        <f t="shared" si="23"/>
        <v>#DIV/0!</v>
      </c>
      <c r="K69" s="137" t="e">
        <f t="shared" si="23"/>
        <v>#DIV/0!</v>
      </c>
      <c r="L69" s="137" t="e">
        <f t="shared" si="23"/>
        <v>#DIV/0!</v>
      </c>
      <c r="M69" s="137" t="e">
        <f t="shared" si="23"/>
        <v>#DIV/0!</v>
      </c>
      <c r="N69" s="137" t="e">
        <f t="shared" si="23"/>
        <v>#DIV/0!</v>
      </c>
      <c r="O69" s="137" t="e">
        <f t="shared" si="23"/>
        <v>#DIV/0!</v>
      </c>
      <c r="P69" s="137" t="e">
        <f t="shared" si="23"/>
        <v>#DIV/0!</v>
      </c>
      <c r="Q69" s="137" t="e">
        <f t="shared" si="23"/>
        <v>#DIV/0!</v>
      </c>
      <c r="R69" s="137" t="e">
        <f t="shared" si="23"/>
        <v>#DIV/0!</v>
      </c>
      <c r="S69" s="137" t="e">
        <f t="shared" si="23"/>
        <v>#DIV/0!</v>
      </c>
      <c r="T69" s="137">
        <f t="shared" si="23"/>
        <v>24.75038434897197</v>
      </c>
      <c r="U69" s="137" t="e">
        <f t="shared" si="23"/>
        <v>#DIV/0!</v>
      </c>
      <c r="V69" s="137" t="e">
        <f t="shared" si="23"/>
        <v>#DIV/0!</v>
      </c>
      <c r="W69" s="137" t="e">
        <f t="shared" si="23"/>
        <v>#DIV/0!</v>
      </c>
      <c r="X69" s="137" t="e">
        <f t="shared" si="23"/>
        <v>#DIV/0!</v>
      </c>
      <c r="Y69" s="137" t="e">
        <f t="shared" si="23"/>
        <v>#DIV/0!</v>
      </c>
      <c r="Z69" s="137" t="e">
        <f t="shared" si="23"/>
        <v>#DIV/0!</v>
      </c>
      <c r="AA69" s="137" t="e">
        <f t="shared" si="23"/>
        <v>#DIV/0!</v>
      </c>
      <c r="AB69" s="137" t="e">
        <f t="shared" si="23"/>
        <v>#DIV/0!</v>
      </c>
      <c r="AC69" s="137">
        <f t="shared" si="23"/>
        <v>24.606076858691502</v>
      </c>
      <c r="AD69" s="137" t="e">
        <f t="shared" si="23"/>
        <v>#DIV/0!</v>
      </c>
      <c r="AE69" s="137" t="e">
        <f t="shared" si="23"/>
        <v>#DIV/0!</v>
      </c>
      <c r="AF69" s="137" t="e">
        <f t="shared" si="23"/>
        <v>#DIV/0!</v>
      </c>
      <c r="AG69" s="137">
        <f t="shared" si="23"/>
        <v>24.508406953548022</v>
      </c>
      <c r="AH69" s="137">
        <f t="shared" si="23"/>
        <v>24.063654618473894</v>
      </c>
      <c r="AI69" s="233">
        <f t="shared" si="23"/>
        <v>24.753081881234223</v>
      </c>
      <c r="AJ69" s="69"/>
      <c r="AK69" s="314">
        <f>AK53/AK51*100</f>
        <v>24.466256501119453</v>
      </c>
    </row>
    <row r="70" spans="2:113 15079:15092" x14ac:dyDescent="0.25">
      <c r="B70" s="223"/>
      <c r="C70" s="136" t="s">
        <v>69</v>
      </c>
      <c r="D70" s="114">
        <v>60</v>
      </c>
      <c r="E70" s="232" t="s">
        <v>29</v>
      </c>
      <c r="F70" s="137" t="e">
        <f t="shared" ref="F70:T70" si="24">F58/F56*100</f>
        <v>#DIV/0!</v>
      </c>
      <c r="G70" s="137" t="e">
        <f t="shared" si="24"/>
        <v>#DIV/0!</v>
      </c>
      <c r="H70" s="137" t="e">
        <f t="shared" si="24"/>
        <v>#DIV/0!</v>
      </c>
      <c r="I70" s="137">
        <f t="shared" si="24"/>
        <v>60.411468508023702</v>
      </c>
      <c r="J70" s="137" t="e">
        <f t="shared" si="24"/>
        <v>#DIV/0!</v>
      </c>
      <c r="K70" s="137" t="e">
        <f t="shared" si="24"/>
        <v>#DIV/0!</v>
      </c>
      <c r="L70" s="137" t="e">
        <f t="shared" si="24"/>
        <v>#DIV/0!</v>
      </c>
      <c r="M70" s="137" t="e">
        <f t="shared" si="24"/>
        <v>#DIV/0!</v>
      </c>
      <c r="N70" s="137" t="e">
        <f t="shared" si="24"/>
        <v>#DIV/0!</v>
      </c>
      <c r="O70" s="137" t="e">
        <f t="shared" si="24"/>
        <v>#DIV/0!</v>
      </c>
      <c r="P70" s="137" t="e">
        <f t="shared" si="24"/>
        <v>#DIV/0!</v>
      </c>
      <c r="Q70" s="137" t="e">
        <f t="shared" si="24"/>
        <v>#DIV/0!</v>
      </c>
      <c r="R70" s="137" t="e">
        <f t="shared" si="24"/>
        <v>#DIV/0!</v>
      </c>
      <c r="S70" s="137" t="e">
        <f t="shared" si="24"/>
        <v>#DIV/0!</v>
      </c>
      <c r="T70" s="137">
        <f t="shared" si="24"/>
        <v>60.158835208471203</v>
      </c>
      <c r="U70" s="137" t="e">
        <f>(U58+U57)/U56*100</f>
        <v>#DIV/0!</v>
      </c>
      <c r="V70" s="137" t="e">
        <f>(V58+V57)/V56*100</f>
        <v>#DIV/0!</v>
      </c>
      <c r="W70" s="137" t="e">
        <f>(W58+W57)/W56*100</f>
        <v>#DIV/0!</v>
      </c>
      <c r="X70" s="137" t="e">
        <f t="shared" ref="X70:AI70" si="25">X58/X56*100</f>
        <v>#DIV/0!</v>
      </c>
      <c r="Y70" s="137" t="e">
        <f t="shared" si="25"/>
        <v>#DIV/0!</v>
      </c>
      <c r="Z70" s="137" t="e">
        <f t="shared" si="25"/>
        <v>#DIV/0!</v>
      </c>
      <c r="AA70" s="137" t="e">
        <f t="shared" si="25"/>
        <v>#DIV/0!</v>
      </c>
      <c r="AB70" s="137" t="e">
        <f t="shared" si="25"/>
        <v>#DIV/0!</v>
      </c>
      <c r="AC70" s="137">
        <f t="shared" si="25"/>
        <v>60.570365778053315</v>
      </c>
      <c r="AD70" s="137" t="e">
        <f t="shared" si="25"/>
        <v>#DIV/0!</v>
      </c>
      <c r="AE70" s="137" t="e">
        <f t="shared" si="25"/>
        <v>#DIV/0!</v>
      </c>
      <c r="AF70" s="137" t="e">
        <f t="shared" si="25"/>
        <v>#DIV/0!</v>
      </c>
      <c r="AG70" s="137" t="e">
        <f t="shared" si="25"/>
        <v>#DIV/0!</v>
      </c>
      <c r="AH70" s="137">
        <f t="shared" si="25"/>
        <v>60.644855381697482</v>
      </c>
      <c r="AI70" s="233" t="e">
        <f t="shared" si="25"/>
        <v>#DIV/0!</v>
      </c>
      <c r="AJ70" s="6"/>
      <c r="AK70" s="312">
        <f>(AK58+AK57)/AK56*100</f>
        <v>60.485671719643733</v>
      </c>
    </row>
    <row r="71" spans="2:113 15079:15092" x14ac:dyDescent="0.25">
      <c r="B71" s="223"/>
      <c r="C71" s="136" t="s">
        <v>68</v>
      </c>
      <c r="D71" s="114">
        <v>40</v>
      </c>
      <c r="E71" s="232" t="s">
        <v>29</v>
      </c>
      <c r="F71" s="137" t="e">
        <f t="shared" ref="F71:AI71" si="26">F59/F56*100</f>
        <v>#DIV/0!</v>
      </c>
      <c r="G71" s="137" t="e">
        <f t="shared" si="26"/>
        <v>#DIV/0!</v>
      </c>
      <c r="H71" s="137" t="e">
        <f t="shared" si="26"/>
        <v>#DIV/0!</v>
      </c>
      <c r="I71" s="137">
        <f t="shared" si="26"/>
        <v>39.588531491976298</v>
      </c>
      <c r="J71" s="137" t="e">
        <f t="shared" si="26"/>
        <v>#DIV/0!</v>
      </c>
      <c r="K71" s="137" t="e">
        <f t="shared" si="26"/>
        <v>#DIV/0!</v>
      </c>
      <c r="L71" s="137" t="e">
        <f t="shared" si="26"/>
        <v>#DIV/0!</v>
      </c>
      <c r="M71" s="137" t="e">
        <f t="shared" si="26"/>
        <v>#DIV/0!</v>
      </c>
      <c r="N71" s="137" t="e">
        <f t="shared" si="26"/>
        <v>#DIV/0!</v>
      </c>
      <c r="O71" s="137" t="e">
        <f t="shared" si="26"/>
        <v>#DIV/0!</v>
      </c>
      <c r="P71" s="137" t="e">
        <f t="shared" si="26"/>
        <v>#DIV/0!</v>
      </c>
      <c r="Q71" s="137" t="e">
        <f t="shared" si="26"/>
        <v>#DIV/0!</v>
      </c>
      <c r="R71" s="137" t="e">
        <f t="shared" si="26"/>
        <v>#DIV/0!</v>
      </c>
      <c r="S71" s="137" t="e">
        <f t="shared" si="26"/>
        <v>#DIV/0!</v>
      </c>
      <c r="T71" s="137">
        <f t="shared" si="26"/>
        <v>39.84116479152879</v>
      </c>
      <c r="U71" s="137" t="e">
        <f t="shared" si="26"/>
        <v>#DIV/0!</v>
      </c>
      <c r="V71" s="137" t="e">
        <f t="shared" si="26"/>
        <v>#DIV/0!</v>
      </c>
      <c r="W71" s="137" t="e">
        <f t="shared" si="26"/>
        <v>#DIV/0!</v>
      </c>
      <c r="X71" s="137" t="e">
        <f t="shared" si="26"/>
        <v>#DIV/0!</v>
      </c>
      <c r="Y71" s="137" t="e">
        <f t="shared" si="26"/>
        <v>#DIV/0!</v>
      </c>
      <c r="Z71" s="137" t="e">
        <f t="shared" si="26"/>
        <v>#DIV/0!</v>
      </c>
      <c r="AA71" s="137" t="e">
        <f t="shared" si="26"/>
        <v>#DIV/0!</v>
      </c>
      <c r="AB71" s="137" t="e">
        <f t="shared" si="26"/>
        <v>#DIV/0!</v>
      </c>
      <c r="AC71" s="137">
        <f t="shared" si="26"/>
        <v>39.429634221946685</v>
      </c>
      <c r="AD71" s="137" t="e">
        <f t="shared" si="26"/>
        <v>#DIV/0!</v>
      </c>
      <c r="AE71" s="137" t="e">
        <f t="shared" si="26"/>
        <v>#DIV/0!</v>
      </c>
      <c r="AF71" s="137" t="e">
        <f t="shared" si="26"/>
        <v>#DIV/0!</v>
      </c>
      <c r="AG71" s="137" t="e">
        <f t="shared" si="26"/>
        <v>#DIV/0!</v>
      </c>
      <c r="AH71" s="137">
        <f t="shared" si="26"/>
        <v>39.355144618302511</v>
      </c>
      <c r="AI71" s="233" t="e">
        <f t="shared" si="26"/>
        <v>#DIV/0!</v>
      </c>
      <c r="AJ71" s="69"/>
      <c r="AK71" s="312">
        <f>AK59/AK56*100</f>
        <v>39.514328280356267</v>
      </c>
    </row>
    <row r="72" spans="2:113 15079:15092" x14ac:dyDescent="0.25">
      <c r="B72" s="212">
        <v>3</v>
      </c>
      <c r="C72" s="138" t="s">
        <v>67</v>
      </c>
      <c r="D72" s="135"/>
      <c r="E72" s="231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349"/>
      <c r="AH72" s="349"/>
      <c r="AI72" s="214"/>
      <c r="AJ72" s="9"/>
      <c r="AK72" s="31" t="s">
        <v>66</v>
      </c>
      <c r="AL72" s="21"/>
    </row>
    <row r="73" spans="2:113 15079:15092" x14ac:dyDescent="0.25">
      <c r="B73" s="215"/>
      <c r="C73" s="113" t="s">
        <v>65</v>
      </c>
      <c r="D73" s="114">
        <v>8</v>
      </c>
      <c r="E73" s="160" t="s">
        <v>63</v>
      </c>
      <c r="F73" s="78">
        <v>23360</v>
      </c>
      <c r="G73" s="78">
        <f>18480+6450</f>
        <v>24930</v>
      </c>
      <c r="H73" s="78">
        <f>21864-2850</f>
        <v>19014</v>
      </c>
      <c r="I73" s="78">
        <f>23672-2625</f>
        <v>21047</v>
      </c>
      <c r="J73" s="78">
        <v>22720</v>
      </c>
      <c r="K73" s="78">
        <v>22720</v>
      </c>
      <c r="L73" s="78">
        <v>19664</v>
      </c>
      <c r="M73" s="107">
        <v>17528</v>
      </c>
      <c r="N73" s="107">
        <v>13386</v>
      </c>
      <c r="O73" s="78">
        <v>19750</v>
      </c>
      <c r="P73" s="78">
        <v>14597</v>
      </c>
      <c r="Q73" s="78">
        <v>16907</v>
      </c>
      <c r="R73" s="78">
        <v>15751</v>
      </c>
      <c r="S73" s="78">
        <v>18318</v>
      </c>
      <c r="T73" s="78">
        <f>19643-10400+1400</f>
        <v>10643</v>
      </c>
      <c r="U73" s="78">
        <v>17259</v>
      </c>
      <c r="V73" s="78">
        <v>18292</v>
      </c>
      <c r="W73" s="78">
        <v>15977</v>
      </c>
      <c r="X73" s="107">
        <v>11945</v>
      </c>
      <c r="Y73" s="78">
        <v>12004</v>
      </c>
      <c r="Z73" s="78">
        <v>12255</v>
      </c>
      <c r="AA73" s="78">
        <v>15861</v>
      </c>
      <c r="AB73" s="78">
        <v>19142</v>
      </c>
      <c r="AC73" s="78">
        <v>7918</v>
      </c>
      <c r="AD73" s="78">
        <v>14597</v>
      </c>
      <c r="AE73" s="78">
        <v>12227</v>
      </c>
      <c r="AF73" s="78">
        <v>13871</v>
      </c>
      <c r="AG73" s="393">
        <f>18700-3200</f>
        <v>15500</v>
      </c>
      <c r="AH73" s="351"/>
      <c r="AI73" s="394">
        <f>18700-1350</f>
        <v>17350</v>
      </c>
      <c r="AJ73" s="9"/>
      <c r="AK73" s="8">
        <f>SUM(F73:AI73)</f>
        <v>484533</v>
      </c>
      <c r="AL73" s="21"/>
      <c r="AX73" s="21"/>
    </row>
    <row r="74" spans="2:113 15079:15092" x14ac:dyDescent="0.25">
      <c r="B74" s="223"/>
      <c r="C74" s="139"/>
      <c r="D74" s="118"/>
      <c r="E74" s="160" t="s">
        <v>29</v>
      </c>
      <c r="F74" s="387">
        <f t="shared" ref="F74:AI74" si="27">F73/(F33)*100</f>
        <v>1.2671033182810572</v>
      </c>
      <c r="G74" s="387">
        <f t="shared" si="27"/>
        <v>1.1293819612376903</v>
      </c>
      <c r="H74" s="387">
        <f t="shared" si="27"/>
        <v>1.2889894916240088</v>
      </c>
      <c r="I74" s="387">
        <f t="shared" si="27"/>
        <v>1.1484004947828994</v>
      </c>
      <c r="J74" s="387">
        <f t="shared" si="27"/>
        <v>1.1259492143382099</v>
      </c>
      <c r="K74" s="387">
        <f t="shared" si="27"/>
        <v>1.1608503228614961</v>
      </c>
      <c r="L74" s="387">
        <f t="shared" si="27"/>
        <v>0.91731777848996165</v>
      </c>
      <c r="M74" s="137">
        <f t="shared" si="27"/>
        <v>0.80218247820748267</v>
      </c>
      <c r="N74" s="137">
        <f t="shared" si="27"/>
        <v>0.73559393192706268</v>
      </c>
      <c r="O74" s="387">
        <f t="shared" si="27"/>
        <v>1.123558431865141</v>
      </c>
      <c r="P74" s="387">
        <f t="shared" si="27"/>
        <v>0.81936478319979433</v>
      </c>
      <c r="Q74" s="387">
        <f t="shared" si="27"/>
        <v>0.93845767004723091</v>
      </c>
      <c r="R74" s="387">
        <f t="shared" si="27"/>
        <v>0.86221714230661006</v>
      </c>
      <c r="S74" s="387">
        <f t="shared" si="27"/>
        <v>1.0585795916857754</v>
      </c>
      <c r="T74" s="387">
        <f t="shared" si="27"/>
        <v>0.93078210008859175</v>
      </c>
      <c r="U74" s="387">
        <f t="shared" si="27"/>
        <v>0.9420609842433082</v>
      </c>
      <c r="V74" s="387">
        <f t="shared" si="27"/>
        <v>1.1865355587686028</v>
      </c>
      <c r="W74" s="387">
        <f t="shared" si="27"/>
        <v>1.0862559422150184</v>
      </c>
      <c r="X74" s="137">
        <f t="shared" si="27"/>
        <v>0.81250765233243094</v>
      </c>
      <c r="Y74" s="387">
        <f t="shared" si="27"/>
        <v>0.85391410494806363</v>
      </c>
      <c r="Z74" s="387">
        <f t="shared" si="27"/>
        <v>0.92482609043448327</v>
      </c>
      <c r="AA74" s="387">
        <f t="shared" si="27"/>
        <v>1.1946834665027657</v>
      </c>
      <c r="AB74" s="387">
        <f t="shared" si="27"/>
        <v>1.2876171615918506</v>
      </c>
      <c r="AC74" s="387">
        <f t="shared" si="27"/>
        <v>1.1073723193282483</v>
      </c>
      <c r="AD74" s="387">
        <f t="shared" si="27"/>
        <v>1.2216412189463606</v>
      </c>
      <c r="AE74" s="387">
        <f t="shared" si="27"/>
        <v>0.98263610398085355</v>
      </c>
      <c r="AF74" s="387">
        <f t="shared" si="27"/>
        <v>1.1203456909781115</v>
      </c>
      <c r="AG74" s="387">
        <f t="shared" si="27"/>
        <v>1.4689047088346563</v>
      </c>
      <c r="AH74" s="137">
        <f t="shared" si="27"/>
        <v>0</v>
      </c>
      <c r="AI74" s="395">
        <f t="shared" si="27"/>
        <v>1.2938646207447886</v>
      </c>
      <c r="AJ74" s="9"/>
      <c r="AK74" s="380">
        <f>AK73/(AK33)*100</f>
        <v>1.0380170952021361</v>
      </c>
      <c r="AL74" s="408"/>
      <c r="BW74" s="39">
        <f>K74*10</f>
        <v>11.608503228614961</v>
      </c>
      <c r="BX74" s="39">
        <f>L74*10</f>
        <v>9.1731777848996163</v>
      </c>
    </row>
    <row r="75" spans="2:113 15079:15092" s="1" customFormat="1" x14ac:dyDescent="0.25">
      <c r="B75" s="215"/>
      <c r="C75" s="140" t="s">
        <v>64</v>
      </c>
      <c r="D75" s="141">
        <v>16</v>
      </c>
      <c r="E75" s="234" t="s">
        <v>63</v>
      </c>
      <c r="F75" s="142"/>
      <c r="G75" s="142"/>
      <c r="H75" s="142"/>
      <c r="I75" s="142">
        <v>2625</v>
      </c>
      <c r="J75" s="142">
        <v>0</v>
      </c>
      <c r="K75" s="142"/>
      <c r="L75" s="142"/>
      <c r="M75" s="142"/>
      <c r="N75" s="142"/>
      <c r="O75" s="142"/>
      <c r="P75" s="142"/>
      <c r="Q75" s="142"/>
      <c r="R75" s="142"/>
      <c r="S75" s="142"/>
      <c r="T75" s="142">
        <f>10400-1400</f>
        <v>9000</v>
      </c>
      <c r="U75" s="142"/>
      <c r="V75" s="143"/>
      <c r="W75" s="143"/>
      <c r="X75" s="143"/>
      <c r="Y75" s="143"/>
      <c r="Z75" s="143"/>
      <c r="AA75" s="142"/>
      <c r="AB75" s="142"/>
      <c r="AC75" s="142">
        <v>8550</v>
      </c>
      <c r="AD75" s="142"/>
      <c r="AE75" s="142"/>
      <c r="AF75" s="142">
        <v>0</v>
      </c>
      <c r="AG75" s="358">
        <v>3200</v>
      </c>
      <c r="AH75" s="358">
        <v>9978</v>
      </c>
      <c r="AI75" s="235">
        <v>1350</v>
      </c>
      <c r="AJ75" s="9"/>
      <c r="AK75" s="43">
        <f>SUM(F75:AI75)</f>
        <v>34703</v>
      </c>
      <c r="AL75" s="39"/>
      <c r="DI75" s="4"/>
      <c r="VGY75"/>
      <c r="VGZ75"/>
      <c r="VHA75"/>
      <c r="VHB75"/>
      <c r="VHC75"/>
      <c r="VHD75"/>
      <c r="VHE75"/>
      <c r="VHF75"/>
      <c r="VHG75"/>
      <c r="VHH75"/>
      <c r="VHI75"/>
      <c r="VHJ75"/>
      <c r="VHK75"/>
      <c r="VHL75"/>
    </row>
    <row r="76" spans="2:113 15079:15092" s="1" customFormat="1" x14ac:dyDescent="0.25">
      <c r="B76" s="223"/>
      <c r="C76" s="144"/>
      <c r="D76" s="145"/>
      <c r="E76" s="236" t="s">
        <v>29</v>
      </c>
      <c r="F76" s="146" t="e">
        <f t="shared" ref="F76:AI76" si="28">F75/(F34)*100</f>
        <v>#DIV/0!</v>
      </c>
      <c r="G76" s="146" t="e">
        <f t="shared" si="28"/>
        <v>#DIV/0!</v>
      </c>
      <c r="H76" s="146" t="e">
        <f t="shared" si="28"/>
        <v>#DIV/0!</v>
      </c>
      <c r="I76" s="146">
        <f t="shared" si="28"/>
        <v>1.5946105201771383</v>
      </c>
      <c r="J76" s="146" t="e">
        <f t="shared" si="28"/>
        <v>#DIV/0!</v>
      </c>
      <c r="K76" s="146" t="e">
        <f t="shared" si="28"/>
        <v>#DIV/0!</v>
      </c>
      <c r="L76" s="146" t="e">
        <f t="shared" si="28"/>
        <v>#DIV/0!</v>
      </c>
      <c r="M76" s="146" t="e">
        <f t="shared" si="28"/>
        <v>#DIV/0!</v>
      </c>
      <c r="N76" s="146" t="e">
        <f t="shared" si="28"/>
        <v>#DIV/0!</v>
      </c>
      <c r="O76" s="146" t="e">
        <f t="shared" si="28"/>
        <v>#DIV/0!</v>
      </c>
      <c r="P76" s="146" t="e">
        <f t="shared" si="28"/>
        <v>#DIV/0!</v>
      </c>
      <c r="Q76" s="146" t="e">
        <f t="shared" si="28"/>
        <v>#DIV/0!</v>
      </c>
      <c r="R76" s="146" t="e">
        <f t="shared" si="28"/>
        <v>#DIV/0!</v>
      </c>
      <c r="S76" s="146" t="e">
        <f t="shared" si="28"/>
        <v>#DIV/0!</v>
      </c>
      <c r="T76" s="146">
        <f t="shared" si="28"/>
        <v>1.3685278138072292</v>
      </c>
      <c r="U76" s="146" t="e">
        <f t="shared" si="28"/>
        <v>#DIV/0!</v>
      </c>
      <c r="V76" s="146" t="e">
        <f t="shared" si="28"/>
        <v>#DIV/0!</v>
      </c>
      <c r="W76" s="146" t="e">
        <f t="shared" si="28"/>
        <v>#DIV/0!</v>
      </c>
      <c r="X76" s="146" t="e">
        <f t="shared" si="28"/>
        <v>#DIV/0!</v>
      </c>
      <c r="Y76" s="146" t="e">
        <f t="shared" si="28"/>
        <v>#DIV/0!</v>
      </c>
      <c r="Z76" s="146" t="e">
        <f t="shared" si="28"/>
        <v>#DIV/0!</v>
      </c>
      <c r="AA76" s="146" t="e">
        <f t="shared" si="28"/>
        <v>#DIV/0!</v>
      </c>
      <c r="AB76" s="146" t="e">
        <f t="shared" si="28"/>
        <v>#DIV/0!</v>
      </c>
      <c r="AC76" s="146">
        <f t="shared" si="28"/>
        <v>1.4232043904607021</v>
      </c>
      <c r="AD76" s="146" t="e">
        <f t="shared" si="28"/>
        <v>#DIV/0!</v>
      </c>
      <c r="AE76" s="146" t="e">
        <f t="shared" si="28"/>
        <v>#DIV/0!</v>
      </c>
      <c r="AF76" s="146" t="e">
        <f t="shared" si="28"/>
        <v>#DIV/0!</v>
      </c>
      <c r="AG76" s="146">
        <f t="shared" si="28"/>
        <v>1.5642337942934796</v>
      </c>
      <c r="AH76" s="146">
        <f t="shared" si="28"/>
        <v>1.3263184759433637</v>
      </c>
      <c r="AI76" s="320">
        <f t="shared" si="28"/>
        <v>1.5783750920718802</v>
      </c>
      <c r="AJ76" s="9"/>
      <c r="AK76" s="321">
        <f>AK75/(AK34)*100</f>
        <v>1.4075857853426608</v>
      </c>
      <c r="AL76" s="408"/>
      <c r="DI76" s="4"/>
      <c r="VGY76"/>
      <c r="VGZ76"/>
      <c r="VHA76"/>
      <c r="VHB76"/>
      <c r="VHC76"/>
      <c r="VHD76"/>
      <c r="VHE76"/>
      <c r="VHF76"/>
      <c r="VHG76"/>
      <c r="VHH76"/>
      <c r="VHI76"/>
      <c r="VHJ76"/>
      <c r="VHK76"/>
      <c r="VHL76"/>
    </row>
    <row r="77" spans="2:113 15079:15092" x14ac:dyDescent="0.25">
      <c r="B77" s="223"/>
      <c r="C77" s="113" t="s">
        <v>62</v>
      </c>
      <c r="D77" s="114">
        <v>0.55000000000000004</v>
      </c>
      <c r="E77" s="160" t="s">
        <v>16</v>
      </c>
      <c r="F77" s="107">
        <v>1007.424</v>
      </c>
      <c r="G77" s="107">
        <v>1127.5219999999999</v>
      </c>
      <c r="H77" s="107">
        <v>867.50400000000002</v>
      </c>
      <c r="I77" s="107">
        <v>1061.06</v>
      </c>
      <c r="J77" s="107">
        <v>991.1</v>
      </c>
      <c r="K77" s="107">
        <v>991.1</v>
      </c>
      <c r="L77" s="107">
        <v>1207.9760000000001</v>
      </c>
      <c r="M77" s="107">
        <v>1167.1659999999999</v>
      </c>
      <c r="N77" s="107">
        <v>818.53200000000004</v>
      </c>
      <c r="O77" s="107">
        <v>884.99400000000003</v>
      </c>
      <c r="P77" s="107">
        <v>816.2</v>
      </c>
      <c r="Q77" s="388">
        <v>813.86800000000005</v>
      </c>
      <c r="R77" s="107">
        <v>930.46799999999996</v>
      </c>
      <c r="S77" s="107">
        <v>809.21</v>
      </c>
      <c r="T77" s="107">
        <v>905.98199999999997</v>
      </c>
      <c r="U77" s="107">
        <v>943.29</v>
      </c>
      <c r="V77" s="107">
        <v>729.91600000000005</v>
      </c>
      <c r="W77" s="107">
        <v>764.89599999999996</v>
      </c>
      <c r="X77" s="107">
        <v>743.9</v>
      </c>
      <c r="Y77" s="107">
        <v>705</v>
      </c>
      <c r="Z77" s="107">
        <v>754</v>
      </c>
      <c r="AA77" s="107">
        <v>754</v>
      </c>
      <c r="AB77" s="107">
        <v>738</v>
      </c>
      <c r="AC77" s="107">
        <v>646</v>
      </c>
      <c r="AD77" s="107">
        <v>640</v>
      </c>
      <c r="AE77" s="107">
        <v>627</v>
      </c>
      <c r="AF77" s="107">
        <v>618</v>
      </c>
      <c r="AG77" s="351">
        <v>621.47799999999995</v>
      </c>
      <c r="AH77" s="351">
        <v>644.798</v>
      </c>
      <c r="AI77" s="217">
        <v>621.47799999999995</v>
      </c>
      <c r="AJ77" s="9"/>
      <c r="AK77" s="43">
        <f>SUM(F77:AI77)</f>
        <v>24951.861999999997</v>
      </c>
    </row>
    <row r="78" spans="2:113 15079:15092" x14ac:dyDescent="0.25">
      <c r="B78" s="237"/>
      <c r="C78" s="147"/>
      <c r="D78" s="118"/>
      <c r="E78" s="183" t="s">
        <v>29</v>
      </c>
      <c r="F78" s="148">
        <f t="shared" ref="F78:P78" si="29">F77/(F32)*100</f>
        <v>5.4645132419348284E-2</v>
      </c>
      <c r="G78" s="148">
        <f t="shared" si="29"/>
        <v>5.1079141905280505E-2</v>
      </c>
      <c r="H78" s="148">
        <f t="shared" si="29"/>
        <v>5.8809484587240682E-2</v>
      </c>
      <c r="I78" s="148">
        <f t="shared" si="29"/>
        <v>5.3123654460432372E-2</v>
      </c>
      <c r="J78" s="148">
        <f t="shared" si="29"/>
        <v>4.9116561018072179E-2</v>
      </c>
      <c r="K78" s="148">
        <f t="shared" si="29"/>
        <v>5.0639029708980134E-2</v>
      </c>
      <c r="L78" s="148">
        <f t="shared" si="29"/>
        <v>5.6351599918083299E-2</v>
      </c>
      <c r="M78" s="148">
        <f t="shared" si="29"/>
        <v>5.3416254812843157E-2</v>
      </c>
      <c r="N78" s="148">
        <f t="shared" si="29"/>
        <v>4.4980365477971199E-2</v>
      </c>
      <c r="O78" s="148">
        <f t="shared" si="29"/>
        <v>5.0346454220256139E-2</v>
      </c>
      <c r="P78" s="148">
        <f t="shared" si="29"/>
        <v>4.5815272730538613E-2</v>
      </c>
      <c r="Q78" s="148">
        <f>R77/(Q32)*100</f>
        <v>5.1647532461909673E-2</v>
      </c>
      <c r="R78" s="148">
        <f t="shared" ref="R78:AI78" si="30">R77/(R32)*100</f>
        <v>5.0934255600771187E-2</v>
      </c>
      <c r="S78" s="148">
        <f t="shared" si="30"/>
        <v>4.6763467157334121E-2</v>
      </c>
      <c r="T78" s="148">
        <f t="shared" si="30"/>
        <v>5.030192861203895E-2</v>
      </c>
      <c r="U78" s="148">
        <f t="shared" si="30"/>
        <v>5.1488307887297642E-2</v>
      </c>
      <c r="V78" s="148">
        <f t="shared" si="30"/>
        <v>4.7346998081901577E-2</v>
      </c>
      <c r="W78" s="148">
        <f t="shared" si="30"/>
        <v>5.200430776594471E-2</v>
      </c>
      <c r="X78" s="148">
        <f t="shared" si="30"/>
        <v>5.0600623069911706E-2</v>
      </c>
      <c r="Y78" s="148">
        <f t="shared" si="30"/>
        <v>5.0150736753447597E-2</v>
      </c>
      <c r="Z78" s="148">
        <f t="shared" si="30"/>
        <v>5.6900764764390079E-2</v>
      </c>
      <c r="AA78" s="148">
        <f t="shared" si="30"/>
        <v>5.6792846210395653E-2</v>
      </c>
      <c r="AB78" s="148">
        <f t="shared" si="30"/>
        <v>4.9642747113926737E-2</v>
      </c>
      <c r="AC78" s="148">
        <f t="shared" si="30"/>
        <v>4.9096241553508446E-2</v>
      </c>
      <c r="AD78" s="148">
        <f t="shared" si="30"/>
        <v>5.3562401872005942E-2</v>
      </c>
      <c r="AE78" s="148">
        <f t="shared" si="30"/>
        <v>5.0389534407131363E-2</v>
      </c>
      <c r="AF78" s="148">
        <f t="shared" si="30"/>
        <v>4.9915192633874485E-2</v>
      </c>
      <c r="AG78" s="148">
        <f t="shared" si="30"/>
        <v>4.9332225204222001E-2</v>
      </c>
      <c r="AH78" s="148">
        <f t="shared" si="30"/>
        <v>5.1217491526608469E-2</v>
      </c>
      <c r="AI78" s="322">
        <f t="shared" si="30"/>
        <v>4.3567395152386126E-2</v>
      </c>
      <c r="AJ78" s="42"/>
      <c r="AK78" s="238">
        <f>AK77/(AK32)*100</f>
        <v>5.0772814450423358E-2</v>
      </c>
    </row>
    <row r="79" spans="2:113 15079:15092" s="2" customFormat="1" x14ac:dyDescent="0.25">
      <c r="B79" s="239">
        <v>4</v>
      </c>
      <c r="C79" s="149" t="s">
        <v>61</v>
      </c>
      <c r="D79" s="150">
        <v>0.8</v>
      </c>
      <c r="E79" s="240" t="s">
        <v>29</v>
      </c>
      <c r="F79" s="151">
        <f t="shared" ref="F79:AI79" si="31">((SUM(F39:F40))-(SUM(F32)))/(SUM(F32))*100</f>
        <v>-0.6696228794597453</v>
      </c>
      <c r="G79" s="151">
        <f t="shared" si="31"/>
        <v>-0.61887232139863968</v>
      </c>
      <c r="H79" s="151">
        <f t="shared" si="31"/>
        <v>-0.60185382910686602</v>
      </c>
      <c r="I79" s="151">
        <f t="shared" si="31"/>
        <v>-0.78689657244134703</v>
      </c>
      <c r="J79" s="151">
        <f t="shared" si="31"/>
        <v>-0.69945630330851649</v>
      </c>
      <c r="K79" s="151">
        <f t="shared" si="31"/>
        <v>-0.69610144360321402</v>
      </c>
      <c r="L79" s="151">
        <f t="shared" si="31"/>
        <v>-0.73543097934775459</v>
      </c>
      <c r="M79" s="151">
        <f t="shared" si="31"/>
        <v>-0.67586894330032554</v>
      </c>
      <c r="N79" s="151">
        <f t="shared" si="31"/>
        <v>-0.78351249674406542</v>
      </c>
      <c r="O79" s="151">
        <f t="shared" si="31"/>
        <v>-0.72533519019142023</v>
      </c>
      <c r="P79" s="151">
        <f t="shared" si="31"/>
        <v>-0.68167198240585758</v>
      </c>
      <c r="Q79" s="151">
        <f t="shared" si="31"/>
        <v>-0.71359861632029342</v>
      </c>
      <c r="R79" s="151">
        <f t="shared" si="31"/>
        <v>-0.76636657941035757</v>
      </c>
      <c r="S79" s="151">
        <f t="shared" si="31"/>
        <v>-0.75530272209482952</v>
      </c>
      <c r="T79" s="151">
        <f t="shared" si="31"/>
        <v>-0.72028684883803562</v>
      </c>
      <c r="U79" s="151">
        <f t="shared" si="31"/>
        <v>-0.77345177279840527</v>
      </c>
      <c r="V79" s="151">
        <f t="shared" si="31"/>
        <v>-0.76088246798358361</v>
      </c>
      <c r="W79" s="151">
        <f t="shared" si="31"/>
        <v>-0.73495817333318836</v>
      </c>
      <c r="X79" s="151">
        <f t="shared" si="31"/>
        <v>-0.71619029480185559</v>
      </c>
      <c r="Y79" s="151">
        <f t="shared" si="31"/>
        <v>-0.79195482592359157</v>
      </c>
      <c r="Z79" s="151">
        <f t="shared" si="31"/>
        <v>-0.74152110686325856</v>
      </c>
      <c r="AA79" s="151">
        <f t="shared" si="31"/>
        <v>-0.78176783928076454</v>
      </c>
      <c r="AB79" s="151">
        <f t="shared" si="31"/>
        <v>-0.73939441229848613</v>
      </c>
      <c r="AC79" s="151">
        <f t="shared" si="31"/>
        <v>-0.73021159264103574</v>
      </c>
      <c r="AD79" s="151">
        <f t="shared" si="31"/>
        <v>-0.702504377052528</v>
      </c>
      <c r="AE79" s="151">
        <f t="shared" si="31"/>
        <v>-0.53266640199436477</v>
      </c>
      <c r="AF79" s="151">
        <f t="shared" si="31"/>
        <v>-0.55124787981584689</v>
      </c>
      <c r="AG79" s="151">
        <f t="shared" si="31"/>
        <v>-0.55215946263675986</v>
      </c>
      <c r="AH79" s="151">
        <f t="shared" si="31"/>
        <v>-0.62298392061264185</v>
      </c>
      <c r="AI79" s="323">
        <f t="shared" si="31"/>
        <v>-0.771622355807147</v>
      </c>
      <c r="AJ79" s="41"/>
      <c r="AK79" s="70">
        <f>((SUM(AK39:AK40))-(SUM(AK32)))/(SUM(AK32))*100</f>
        <v>-0.70761847526962418</v>
      </c>
      <c r="DI79" s="25"/>
    </row>
    <row r="80" spans="2:113 15079:15092" s="2" customFormat="1" x14ac:dyDescent="0.25">
      <c r="B80" s="241"/>
      <c r="C80" s="136" t="s">
        <v>60</v>
      </c>
      <c r="D80" s="152">
        <v>22</v>
      </c>
      <c r="E80" s="232" t="s">
        <v>29</v>
      </c>
      <c r="F80" s="137">
        <v>22.51</v>
      </c>
      <c r="G80" s="137">
        <v>22.52</v>
      </c>
      <c r="H80" s="137">
        <v>22.53</v>
      </c>
      <c r="I80" s="137">
        <v>22.35</v>
      </c>
      <c r="J80" s="137">
        <v>22.16</v>
      </c>
      <c r="K80" s="137">
        <v>22.08</v>
      </c>
      <c r="L80" s="137">
        <v>22.07</v>
      </c>
      <c r="M80" s="137">
        <v>22.05</v>
      </c>
      <c r="N80" s="137">
        <v>22.07</v>
      </c>
      <c r="O80" s="137">
        <v>22.12</v>
      </c>
      <c r="P80" s="137">
        <v>22.1</v>
      </c>
      <c r="Q80" s="389">
        <v>22.1</v>
      </c>
      <c r="R80" s="137">
        <v>21.97</v>
      </c>
      <c r="S80" s="137">
        <v>22.5</v>
      </c>
      <c r="T80" s="137">
        <v>22.05</v>
      </c>
      <c r="U80" s="137">
        <v>22.07</v>
      </c>
      <c r="V80" s="137">
        <v>22.06</v>
      </c>
      <c r="W80" s="137">
        <v>22.1</v>
      </c>
      <c r="X80" s="137">
        <v>22.04</v>
      </c>
      <c r="Y80" s="137">
        <v>22.13</v>
      </c>
      <c r="Z80" s="137">
        <v>22.22</v>
      </c>
      <c r="AA80" s="137">
        <v>22.22</v>
      </c>
      <c r="AB80" s="137">
        <v>22.19</v>
      </c>
      <c r="AC80" s="137">
        <v>22.19</v>
      </c>
      <c r="AD80" s="137">
        <v>22.25</v>
      </c>
      <c r="AE80" s="137">
        <v>22.13</v>
      </c>
      <c r="AF80" s="137">
        <v>22.15</v>
      </c>
      <c r="AG80" s="359">
        <v>22.14</v>
      </c>
      <c r="AH80" s="359">
        <v>22.16</v>
      </c>
      <c r="AI80" s="233">
        <v>22.14</v>
      </c>
      <c r="AJ80" s="6"/>
      <c r="AK80" s="40">
        <f>AVERAGE(F80:AI80)</f>
        <v>22.178999999999998</v>
      </c>
      <c r="DI80" s="25"/>
    </row>
    <row r="81" spans="2:113 15079:15471" s="2" customFormat="1" x14ac:dyDescent="0.25">
      <c r="B81" s="242"/>
      <c r="C81" s="153" t="s">
        <v>59</v>
      </c>
      <c r="D81" s="118"/>
      <c r="E81" s="243" t="s">
        <v>16</v>
      </c>
      <c r="F81" s="137">
        <f t="shared" ref="F81:AI81" si="32">SUM(F73,F75)+(F80%*SUM(F73,F75))</f>
        <v>28618.335999999999</v>
      </c>
      <c r="G81" s="137">
        <f t="shared" si="32"/>
        <v>30544.236000000001</v>
      </c>
      <c r="H81" s="137">
        <f t="shared" si="32"/>
        <v>23297.854200000002</v>
      </c>
      <c r="I81" s="137">
        <f t="shared" si="32"/>
        <v>28962.691999999999</v>
      </c>
      <c r="J81" s="137">
        <f t="shared" si="32"/>
        <v>27754.752</v>
      </c>
      <c r="K81" s="137">
        <f t="shared" si="32"/>
        <v>27736.576000000001</v>
      </c>
      <c r="L81" s="137">
        <f t="shared" si="32"/>
        <v>24003.844799999999</v>
      </c>
      <c r="M81" s="137">
        <f t="shared" si="32"/>
        <v>21392.923999999999</v>
      </c>
      <c r="N81" s="137">
        <f t="shared" si="32"/>
        <v>16340.290199999999</v>
      </c>
      <c r="O81" s="137">
        <f t="shared" si="32"/>
        <v>24118.7</v>
      </c>
      <c r="P81" s="137">
        <f t="shared" si="32"/>
        <v>17822.936999999998</v>
      </c>
      <c r="Q81" s="137">
        <f>SUM(Q73,Q75)+(R80%*SUM(Q73,Q75))</f>
        <v>20621.4679</v>
      </c>
      <c r="R81" s="137">
        <f>SUM(R73,R75)+(S80%*SUM(R73,R75))</f>
        <v>19294.974999999999</v>
      </c>
      <c r="S81" s="137">
        <f t="shared" si="32"/>
        <v>22439.55</v>
      </c>
      <c r="T81" s="137">
        <f t="shared" si="32"/>
        <v>23974.281500000001</v>
      </c>
      <c r="U81" s="137">
        <f t="shared" si="32"/>
        <v>21068.061300000001</v>
      </c>
      <c r="V81" s="137">
        <f t="shared" si="32"/>
        <v>22327.215199999999</v>
      </c>
      <c r="W81" s="137">
        <f t="shared" si="32"/>
        <v>19507.917000000001</v>
      </c>
      <c r="X81" s="137">
        <f t="shared" si="32"/>
        <v>14577.678</v>
      </c>
      <c r="Y81" s="137">
        <f t="shared" si="32"/>
        <v>14660.485199999999</v>
      </c>
      <c r="Z81" s="137">
        <f t="shared" si="32"/>
        <v>14978.061</v>
      </c>
      <c r="AA81" s="137">
        <f t="shared" si="32"/>
        <v>19385.314200000001</v>
      </c>
      <c r="AB81" s="137">
        <f t="shared" si="32"/>
        <v>23389.609799999998</v>
      </c>
      <c r="AC81" s="137">
        <f t="shared" si="32"/>
        <v>20122.249199999998</v>
      </c>
      <c r="AD81" s="137">
        <f t="shared" si="32"/>
        <v>17844.8325</v>
      </c>
      <c r="AE81" s="137">
        <f t="shared" si="32"/>
        <v>14932.8351</v>
      </c>
      <c r="AF81" s="137">
        <f t="shared" si="32"/>
        <v>16943.426500000001</v>
      </c>
      <c r="AG81" s="137">
        <f t="shared" si="32"/>
        <v>22840.18</v>
      </c>
      <c r="AH81" s="137">
        <f t="shared" si="32"/>
        <v>12189.1248</v>
      </c>
      <c r="AI81" s="396">
        <f t="shared" si="32"/>
        <v>22840.18</v>
      </c>
      <c r="AJ81" s="6"/>
      <c r="AK81" s="40">
        <f>SUM(AK73,AK75)+(AK80%*SUM(AK73,AK75))</f>
        <v>634397.35244000005</v>
      </c>
      <c r="AL81" s="409"/>
      <c r="DI81" s="25"/>
    </row>
    <row r="82" spans="2:113 15079:15471" x14ac:dyDescent="0.25">
      <c r="B82" s="212">
        <v>5</v>
      </c>
      <c r="C82" s="82" t="s">
        <v>58</v>
      </c>
      <c r="D82" s="98"/>
      <c r="E82" s="213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100"/>
      <c r="AD82" s="99"/>
      <c r="AE82" s="99"/>
      <c r="AF82" s="99"/>
      <c r="AG82" s="349"/>
      <c r="AH82" s="349"/>
      <c r="AI82" s="214"/>
      <c r="AJ82" s="21"/>
      <c r="AK82" s="34" t="s">
        <v>45</v>
      </c>
    </row>
    <row r="83" spans="2:113 15079:15471" s="45" customFormat="1" x14ac:dyDescent="0.25">
      <c r="B83" s="215"/>
      <c r="C83" s="154" t="s">
        <v>57</v>
      </c>
      <c r="D83" s="155"/>
      <c r="E83" s="156" t="s">
        <v>16</v>
      </c>
      <c r="F83" s="157"/>
      <c r="G83" s="157"/>
      <c r="H83" s="157"/>
      <c r="I83" s="157">
        <v>94902</v>
      </c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>
        <v>90566</v>
      </c>
      <c r="V83" s="157"/>
      <c r="W83" s="157"/>
      <c r="X83" s="157"/>
      <c r="Y83" s="157"/>
      <c r="Z83" s="157"/>
      <c r="AA83" s="157"/>
      <c r="AB83" s="157"/>
      <c r="AC83" s="157">
        <v>194515</v>
      </c>
      <c r="AD83" s="157"/>
      <c r="AE83" s="157"/>
      <c r="AF83" s="157"/>
      <c r="AG83" s="360"/>
      <c r="AH83" s="360">
        <v>127933</v>
      </c>
      <c r="AI83" s="244"/>
      <c r="AJ83" s="18"/>
      <c r="AK83" s="37">
        <f>SUM(F83:AI83)</f>
        <v>507916</v>
      </c>
      <c r="AL83" s="410"/>
      <c r="BO83" s="18"/>
      <c r="DI83" s="38"/>
    </row>
    <row r="84" spans="2:113 15079:15471" s="1" customFormat="1" x14ac:dyDescent="0.25">
      <c r="B84" s="223"/>
      <c r="C84" s="158" t="s">
        <v>52</v>
      </c>
      <c r="D84" s="159"/>
      <c r="E84" s="160" t="s">
        <v>16</v>
      </c>
      <c r="F84" s="245"/>
      <c r="G84" s="161"/>
      <c r="H84" s="112"/>
      <c r="I84" s="112"/>
      <c r="J84" s="112">
        <f>38088.74+54344.35</f>
        <v>92433.09</v>
      </c>
      <c r="K84" s="112"/>
      <c r="L84" s="112"/>
      <c r="M84" s="112"/>
      <c r="N84" s="163"/>
      <c r="O84" s="163"/>
      <c r="P84" s="112"/>
      <c r="Q84" s="112"/>
      <c r="R84" s="112"/>
      <c r="S84" s="112"/>
      <c r="T84" s="112"/>
      <c r="U84" s="161"/>
      <c r="V84" s="112">
        <v>7930.52</v>
      </c>
      <c r="W84" s="112">
        <v>706.81</v>
      </c>
      <c r="X84" s="112"/>
      <c r="Y84" s="112"/>
      <c r="Z84" s="112"/>
      <c r="AA84" s="112"/>
      <c r="AB84" s="161"/>
      <c r="AC84" s="112"/>
      <c r="AD84" s="112">
        <v>40709.620000000003</v>
      </c>
      <c r="AE84" s="112">
        <v>28860.45</v>
      </c>
      <c r="AF84" s="112"/>
      <c r="AG84" s="353"/>
      <c r="AH84" s="353"/>
      <c r="AI84" s="221"/>
      <c r="AJ84" s="16"/>
      <c r="AK84" s="37">
        <f>SUM(F84:AI84)</f>
        <v>170640.49000000002</v>
      </c>
      <c r="AL84" s="39"/>
      <c r="DI84" s="29"/>
    </row>
    <row r="85" spans="2:113 15079:15471" s="1" customFormat="1" x14ac:dyDescent="0.25">
      <c r="B85" s="223"/>
      <c r="C85" s="164" t="s">
        <v>44</v>
      </c>
      <c r="D85" s="118"/>
      <c r="E85" s="160" t="s">
        <v>16</v>
      </c>
      <c r="F85" s="137">
        <f>SUM(F89:F90)*10.86</f>
        <v>0</v>
      </c>
      <c r="G85" s="137">
        <f t="shared" ref="G85:AF85" si="33">SUM(G89:G90)*10.86</f>
        <v>0</v>
      </c>
      <c r="H85" s="137">
        <f t="shared" si="33"/>
        <v>0</v>
      </c>
      <c r="I85" s="137">
        <f t="shared" si="33"/>
        <v>0</v>
      </c>
      <c r="J85" s="137">
        <f t="shared" si="33"/>
        <v>92440.319999999992</v>
      </c>
      <c r="K85" s="137">
        <f t="shared" si="33"/>
        <v>0</v>
      </c>
      <c r="L85" s="137">
        <f t="shared" si="33"/>
        <v>0</v>
      </c>
      <c r="M85" s="137">
        <f t="shared" si="33"/>
        <v>0</v>
      </c>
      <c r="N85" s="137">
        <f t="shared" si="33"/>
        <v>0</v>
      </c>
      <c r="O85" s="137">
        <f t="shared" si="33"/>
        <v>0</v>
      </c>
      <c r="P85" s="137">
        <f t="shared" si="33"/>
        <v>0</v>
      </c>
      <c r="Q85" s="137">
        <f t="shared" si="33"/>
        <v>0</v>
      </c>
      <c r="R85" s="137">
        <f t="shared" si="33"/>
        <v>0</v>
      </c>
      <c r="S85" s="137">
        <f t="shared" si="33"/>
        <v>0</v>
      </c>
      <c r="T85" s="137">
        <f t="shared" si="33"/>
        <v>0</v>
      </c>
      <c r="U85" s="137">
        <f t="shared" si="33"/>
        <v>0</v>
      </c>
      <c r="V85" s="137">
        <f t="shared" si="33"/>
        <v>7927.7999999999993</v>
      </c>
      <c r="W85" s="137">
        <f t="shared" si="33"/>
        <v>705.9</v>
      </c>
      <c r="X85" s="137">
        <f t="shared" si="33"/>
        <v>0</v>
      </c>
      <c r="Y85" s="137">
        <f t="shared" si="33"/>
        <v>0</v>
      </c>
      <c r="Z85" s="137">
        <f t="shared" si="33"/>
        <v>0</v>
      </c>
      <c r="AA85" s="137">
        <f t="shared" si="33"/>
        <v>0</v>
      </c>
      <c r="AB85" s="137">
        <f t="shared" si="33"/>
        <v>0</v>
      </c>
      <c r="AC85" s="137">
        <f t="shared" si="33"/>
        <v>0</v>
      </c>
      <c r="AD85" s="137">
        <f t="shared" si="33"/>
        <v>40703.279999999999</v>
      </c>
      <c r="AE85" s="137">
        <f t="shared" si="33"/>
        <v>28855.019999999997</v>
      </c>
      <c r="AF85" s="165">
        <f t="shared" si="33"/>
        <v>0</v>
      </c>
      <c r="AG85" s="165">
        <f>SUM(AG89:AG90)*10.86</f>
        <v>0</v>
      </c>
      <c r="AH85" s="165">
        <f>SUM(AH89:AH90)*10.86</f>
        <v>0</v>
      </c>
      <c r="AI85" s="397">
        <f>SUM(AI89:AI90)*10.86</f>
        <v>0</v>
      </c>
      <c r="AJ85" s="9"/>
      <c r="AK85" s="32">
        <f>SUM(F85:AI85)</f>
        <v>170632.31999999998</v>
      </c>
      <c r="AL85" s="408"/>
      <c r="DI85" s="29"/>
    </row>
    <row r="86" spans="2:113 15079:15471" s="1" customFormat="1" x14ac:dyDescent="0.25">
      <c r="B86" s="223"/>
      <c r="C86" s="164" t="s">
        <v>43</v>
      </c>
      <c r="D86" s="118"/>
      <c r="E86" s="160" t="s">
        <v>16</v>
      </c>
      <c r="F86" s="137">
        <f>F84-F85</f>
        <v>0</v>
      </c>
      <c r="G86" s="137">
        <f t="shared" ref="G86:AF86" si="34">G84-G85</f>
        <v>0</v>
      </c>
      <c r="H86" s="137">
        <f t="shared" si="34"/>
        <v>0</v>
      </c>
      <c r="I86" s="137">
        <f t="shared" si="34"/>
        <v>0</v>
      </c>
      <c r="J86" s="137">
        <f t="shared" si="34"/>
        <v>-7.2299999999959255</v>
      </c>
      <c r="K86" s="137">
        <f t="shared" si="34"/>
        <v>0</v>
      </c>
      <c r="L86" s="137">
        <f t="shared" si="34"/>
        <v>0</v>
      </c>
      <c r="M86" s="137">
        <f t="shared" si="34"/>
        <v>0</v>
      </c>
      <c r="N86" s="137">
        <f t="shared" si="34"/>
        <v>0</v>
      </c>
      <c r="O86" s="137">
        <f t="shared" si="34"/>
        <v>0</v>
      </c>
      <c r="P86" s="137">
        <f t="shared" si="34"/>
        <v>0</v>
      </c>
      <c r="Q86" s="137">
        <f t="shared" si="34"/>
        <v>0</v>
      </c>
      <c r="R86" s="137">
        <f t="shared" si="34"/>
        <v>0</v>
      </c>
      <c r="S86" s="137">
        <f t="shared" si="34"/>
        <v>0</v>
      </c>
      <c r="T86" s="137">
        <f t="shared" si="34"/>
        <v>0</v>
      </c>
      <c r="U86" s="137">
        <f t="shared" si="34"/>
        <v>0</v>
      </c>
      <c r="V86" s="137">
        <f t="shared" si="34"/>
        <v>2.7200000000011642</v>
      </c>
      <c r="W86" s="137">
        <f t="shared" si="34"/>
        <v>0.90999999999996817</v>
      </c>
      <c r="X86" s="137">
        <f t="shared" si="34"/>
        <v>0</v>
      </c>
      <c r="Y86" s="137">
        <f t="shared" si="34"/>
        <v>0</v>
      </c>
      <c r="Z86" s="137">
        <f>Z84-Z85</f>
        <v>0</v>
      </c>
      <c r="AA86" s="137">
        <f t="shared" si="34"/>
        <v>0</v>
      </c>
      <c r="AB86" s="137">
        <f t="shared" si="34"/>
        <v>0</v>
      </c>
      <c r="AC86" s="137">
        <f t="shared" si="34"/>
        <v>0</v>
      </c>
      <c r="AD86" s="137">
        <f t="shared" si="34"/>
        <v>6.3400000000037835</v>
      </c>
      <c r="AE86" s="137">
        <f t="shared" si="34"/>
        <v>5.430000000003929</v>
      </c>
      <c r="AF86" s="137">
        <f t="shared" si="34"/>
        <v>0</v>
      </c>
      <c r="AG86" s="137">
        <f>AG84-AG85</f>
        <v>0</v>
      </c>
      <c r="AH86" s="137">
        <f>AH84-AH85</f>
        <v>0</v>
      </c>
      <c r="AI86" s="233">
        <f>AI84-AI85</f>
        <v>0</v>
      </c>
      <c r="AJ86" s="9"/>
      <c r="AK86" s="32">
        <f>SUM(F86:AI86)</f>
        <v>8.1700000000129194</v>
      </c>
      <c r="DI86" s="29"/>
    </row>
    <row r="87" spans="2:113 15079:15471" s="1" customFormat="1" x14ac:dyDescent="0.25">
      <c r="B87" s="223"/>
      <c r="C87" s="164" t="s">
        <v>56</v>
      </c>
      <c r="D87" s="118"/>
      <c r="E87" s="101" t="s">
        <v>16</v>
      </c>
      <c r="F87" s="137">
        <v>0</v>
      </c>
      <c r="G87" s="137"/>
      <c r="H87" s="137">
        <v>0</v>
      </c>
      <c r="I87" s="137">
        <v>0</v>
      </c>
      <c r="J87" s="137">
        <v>0</v>
      </c>
      <c r="K87" s="137">
        <v>0</v>
      </c>
      <c r="L87" s="137">
        <v>0</v>
      </c>
      <c r="M87" s="137">
        <v>0</v>
      </c>
      <c r="N87" s="137">
        <v>0</v>
      </c>
      <c r="O87" s="137">
        <v>0</v>
      </c>
      <c r="P87" s="137">
        <v>0</v>
      </c>
      <c r="Q87" s="137">
        <v>0</v>
      </c>
      <c r="R87" s="137">
        <v>0</v>
      </c>
      <c r="S87" s="137"/>
      <c r="T87" s="137">
        <v>0</v>
      </c>
      <c r="U87" s="137">
        <v>0</v>
      </c>
      <c r="V87" s="137">
        <v>0</v>
      </c>
      <c r="W87" s="137">
        <v>0</v>
      </c>
      <c r="X87" s="137">
        <v>0</v>
      </c>
      <c r="Y87" s="137">
        <v>0</v>
      </c>
      <c r="Z87" s="137">
        <v>0</v>
      </c>
      <c r="AA87" s="137">
        <v>0</v>
      </c>
      <c r="AB87" s="137">
        <v>0</v>
      </c>
      <c r="AC87" s="137">
        <v>0</v>
      </c>
      <c r="AD87" s="137">
        <v>0</v>
      </c>
      <c r="AE87" s="137"/>
      <c r="AF87" s="137">
        <v>0</v>
      </c>
      <c r="AG87" s="137">
        <v>0</v>
      </c>
      <c r="AH87" s="137">
        <v>0</v>
      </c>
      <c r="AI87" s="233">
        <v>0</v>
      </c>
      <c r="AJ87" s="9"/>
      <c r="AK87" s="32">
        <f>SUM(F87:AI87)</f>
        <v>0</v>
      </c>
      <c r="DI87" s="29"/>
    </row>
    <row r="88" spans="2:113 15079:15471" s="1" customFormat="1" x14ac:dyDescent="0.25">
      <c r="B88" s="223"/>
      <c r="C88" s="164" t="s">
        <v>33</v>
      </c>
      <c r="D88" s="118"/>
      <c r="E88" s="101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351"/>
      <c r="AH88" s="351"/>
      <c r="AI88" s="217"/>
      <c r="AJ88" s="9"/>
      <c r="AK88" s="33" t="s">
        <v>33</v>
      </c>
      <c r="DI88" s="29"/>
    </row>
    <row r="89" spans="2:113 15079:15471" s="44" customFormat="1" x14ac:dyDescent="0.2">
      <c r="B89" s="228"/>
      <c r="C89" s="166" t="s">
        <v>55</v>
      </c>
      <c r="D89" s="86"/>
      <c r="E89" s="246" t="s">
        <v>36</v>
      </c>
      <c r="F89" s="167"/>
      <c r="G89" s="167"/>
      <c r="H89" s="167"/>
      <c r="I89" s="167"/>
      <c r="J89" s="167">
        <v>3508</v>
      </c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>
        <v>730</v>
      </c>
      <c r="W89" s="167">
        <v>65</v>
      </c>
      <c r="X89" s="167"/>
      <c r="Y89" s="167"/>
      <c r="Z89" s="167"/>
      <c r="AA89" s="167"/>
      <c r="AB89" s="167"/>
      <c r="AC89" s="167"/>
      <c r="AD89" s="167">
        <v>3748</v>
      </c>
      <c r="AE89" s="167">
        <v>2657</v>
      </c>
      <c r="AF89" s="167"/>
      <c r="AG89" s="361"/>
      <c r="AH89" s="361"/>
      <c r="AI89" s="247"/>
      <c r="AJ89" s="36"/>
      <c r="AK89" s="17">
        <f>SUM(F89:AI89)</f>
        <v>10708</v>
      </c>
      <c r="DI89" s="248"/>
    </row>
    <row r="90" spans="2:113 15079:15471" s="44" customFormat="1" x14ac:dyDescent="0.2">
      <c r="B90" s="228"/>
      <c r="C90" s="166" t="s">
        <v>54</v>
      </c>
      <c r="D90" s="86"/>
      <c r="E90" s="246" t="s">
        <v>36</v>
      </c>
      <c r="F90" s="167"/>
      <c r="G90" s="167"/>
      <c r="H90" s="167"/>
      <c r="I90" s="167"/>
      <c r="J90" s="167">
        <v>5004</v>
      </c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67"/>
      <c r="AA90" s="167"/>
      <c r="AB90" s="167"/>
      <c r="AC90" s="167"/>
      <c r="AD90" s="167"/>
      <c r="AE90" s="167"/>
      <c r="AF90" s="167"/>
      <c r="AG90" s="361"/>
      <c r="AH90" s="361"/>
      <c r="AI90" s="247"/>
      <c r="AJ90" s="36"/>
      <c r="AK90" s="17">
        <f>SUM(F90:AI90)</f>
        <v>5004</v>
      </c>
      <c r="DI90" s="248"/>
    </row>
    <row r="91" spans="2:113 15079:15471" s="1" customFormat="1" x14ac:dyDescent="0.25">
      <c r="B91" s="223"/>
      <c r="C91" s="164" t="s">
        <v>32</v>
      </c>
      <c r="D91" s="118"/>
      <c r="E91" s="101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351"/>
      <c r="AH91" s="351"/>
      <c r="AI91" s="217"/>
      <c r="AJ91" s="9"/>
      <c r="AK91" s="33" t="s">
        <v>32</v>
      </c>
      <c r="DI91" s="29"/>
    </row>
    <row r="92" spans="2:113 15079:15471" s="1" customFormat="1" x14ac:dyDescent="0.25">
      <c r="B92" s="223"/>
      <c r="C92" s="113" t="s">
        <v>55</v>
      </c>
      <c r="D92" s="118"/>
      <c r="E92" s="160" t="s">
        <v>32</v>
      </c>
      <c r="F92" s="107">
        <f t="shared" ref="F92:AF92" si="35">F89*12</f>
        <v>0</v>
      </c>
      <c r="G92" s="107">
        <f t="shared" si="35"/>
        <v>0</v>
      </c>
      <c r="H92" s="107">
        <f t="shared" si="35"/>
        <v>0</v>
      </c>
      <c r="I92" s="107">
        <f t="shared" si="35"/>
        <v>0</v>
      </c>
      <c r="J92" s="107">
        <f t="shared" si="35"/>
        <v>42096</v>
      </c>
      <c r="K92" s="107">
        <f t="shared" si="35"/>
        <v>0</v>
      </c>
      <c r="L92" s="107">
        <f t="shared" si="35"/>
        <v>0</v>
      </c>
      <c r="M92" s="107">
        <f t="shared" si="35"/>
        <v>0</v>
      </c>
      <c r="N92" s="107">
        <f t="shared" si="35"/>
        <v>0</v>
      </c>
      <c r="O92" s="107">
        <f t="shared" si="35"/>
        <v>0</v>
      </c>
      <c r="P92" s="107">
        <f t="shared" si="35"/>
        <v>0</v>
      </c>
      <c r="Q92" s="107">
        <f t="shared" si="35"/>
        <v>0</v>
      </c>
      <c r="R92" s="107">
        <f t="shared" si="35"/>
        <v>0</v>
      </c>
      <c r="S92" s="107">
        <f t="shared" si="35"/>
        <v>0</v>
      </c>
      <c r="T92" s="107">
        <f t="shared" si="35"/>
        <v>0</v>
      </c>
      <c r="U92" s="107">
        <f t="shared" si="35"/>
        <v>0</v>
      </c>
      <c r="V92" s="107">
        <f t="shared" si="35"/>
        <v>8760</v>
      </c>
      <c r="W92" s="107">
        <f t="shared" si="35"/>
        <v>780</v>
      </c>
      <c r="X92" s="107">
        <f t="shared" si="35"/>
        <v>0</v>
      </c>
      <c r="Y92" s="107">
        <f t="shared" si="35"/>
        <v>0</v>
      </c>
      <c r="Z92" s="107">
        <f t="shared" si="35"/>
        <v>0</v>
      </c>
      <c r="AA92" s="107">
        <f t="shared" si="35"/>
        <v>0</v>
      </c>
      <c r="AB92" s="107">
        <f t="shared" si="35"/>
        <v>0</v>
      </c>
      <c r="AC92" s="107">
        <f t="shared" si="35"/>
        <v>0</v>
      </c>
      <c r="AD92" s="107">
        <f t="shared" si="35"/>
        <v>44976</v>
      </c>
      <c r="AE92" s="107">
        <f t="shared" si="35"/>
        <v>31884</v>
      </c>
      <c r="AF92" s="107">
        <f t="shared" si="35"/>
        <v>0</v>
      </c>
      <c r="AG92" s="107">
        <f>AG89*12</f>
        <v>0</v>
      </c>
      <c r="AH92" s="107">
        <f>AH89*12</f>
        <v>0</v>
      </c>
      <c r="AI92" s="217">
        <f>AI89*12</f>
        <v>0</v>
      </c>
      <c r="AJ92" s="9"/>
      <c r="AK92" s="17">
        <f>AK89*12</f>
        <v>128496</v>
      </c>
      <c r="DI92" s="29"/>
    </row>
    <row r="93" spans="2:113 15079:15471" s="1" customFormat="1" x14ac:dyDescent="0.25">
      <c r="B93" s="223"/>
      <c r="C93" s="113" t="s">
        <v>54</v>
      </c>
      <c r="D93" s="118"/>
      <c r="E93" s="160" t="s">
        <v>32</v>
      </c>
      <c r="F93" s="107">
        <f t="shared" ref="F93:AF93" si="36">F90*6</f>
        <v>0</v>
      </c>
      <c r="G93" s="107">
        <f t="shared" si="36"/>
        <v>0</v>
      </c>
      <c r="H93" s="107">
        <v>0</v>
      </c>
      <c r="I93" s="107">
        <f t="shared" si="36"/>
        <v>0</v>
      </c>
      <c r="J93" s="107">
        <f t="shared" si="36"/>
        <v>30024</v>
      </c>
      <c r="K93" s="107">
        <f t="shared" si="36"/>
        <v>0</v>
      </c>
      <c r="L93" s="107">
        <f t="shared" si="36"/>
        <v>0</v>
      </c>
      <c r="M93" s="107">
        <f t="shared" si="36"/>
        <v>0</v>
      </c>
      <c r="N93" s="107">
        <f t="shared" si="36"/>
        <v>0</v>
      </c>
      <c r="O93" s="107">
        <f t="shared" si="36"/>
        <v>0</v>
      </c>
      <c r="P93" s="107">
        <f t="shared" si="36"/>
        <v>0</v>
      </c>
      <c r="Q93" s="107">
        <f t="shared" si="36"/>
        <v>0</v>
      </c>
      <c r="R93" s="107">
        <f t="shared" si="36"/>
        <v>0</v>
      </c>
      <c r="S93" s="107">
        <f t="shared" si="36"/>
        <v>0</v>
      </c>
      <c r="T93" s="107">
        <f t="shared" si="36"/>
        <v>0</v>
      </c>
      <c r="U93" s="107">
        <f t="shared" si="36"/>
        <v>0</v>
      </c>
      <c r="V93" s="107">
        <f t="shared" si="36"/>
        <v>0</v>
      </c>
      <c r="W93" s="107">
        <f t="shared" si="36"/>
        <v>0</v>
      </c>
      <c r="X93" s="107">
        <f t="shared" si="36"/>
        <v>0</v>
      </c>
      <c r="Y93" s="107">
        <f t="shared" si="36"/>
        <v>0</v>
      </c>
      <c r="Z93" s="107">
        <f t="shared" si="36"/>
        <v>0</v>
      </c>
      <c r="AA93" s="107">
        <f t="shared" si="36"/>
        <v>0</v>
      </c>
      <c r="AB93" s="107">
        <f t="shared" si="36"/>
        <v>0</v>
      </c>
      <c r="AC93" s="107">
        <f t="shared" si="36"/>
        <v>0</v>
      </c>
      <c r="AD93" s="107">
        <f t="shared" si="36"/>
        <v>0</v>
      </c>
      <c r="AE93" s="107">
        <f t="shared" si="36"/>
        <v>0</v>
      </c>
      <c r="AF93" s="107">
        <f t="shared" si="36"/>
        <v>0</v>
      </c>
      <c r="AG93" s="107">
        <f>AG90*6</f>
        <v>0</v>
      </c>
      <c r="AH93" s="107">
        <f>AH90*6</f>
        <v>0</v>
      </c>
      <c r="AI93" s="217">
        <f>AI90*6</f>
        <v>0</v>
      </c>
      <c r="AJ93" s="9"/>
      <c r="AK93" s="17">
        <f>AK90*6</f>
        <v>30024</v>
      </c>
      <c r="DI93" s="29"/>
    </row>
    <row r="94" spans="2:113 15079:15471" s="1" customFormat="1" x14ac:dyDescent="0.25">
      <c r="B94" s="223"/>
      <c r="C94" s="164" t="s">
        <v>41</v>
      </c>
      <c r="D94" s="118"/>
      <c r="E94" s="160" t="s">
        <v>40</v>
      </c>
      <c r="F94" s="398">
        <f>(F84*45)/1700</f>
        <v>0</v>
      </c>
      <c r="G94" s="168">
        <f>(G84*45)/1700</f>
        <v>0</v>
      </c>
      <c r="H94" s="168">
        <f t="shared" ref="H94:AF94" si="37">(H84*45)/1700</f>
        <v>0</v>
      </c>
      <c r="I94" s="168">
        <f t="shared" si="37"/>
        <v>0</v>
      </c>
      <c r="J94" s="168">
        <f t="shared" si="37"/>
        <v>2446.7582647058821</v>
      </c>
      <c r="K94" s="168">
        <f t="shared" si="37"/>
        <v>0</v>
      </c>
      <c r="L94" s="168">
        <f t="shared" si="37"/>
        <v>0</v>
      </c>
      <c r="M94" s="168">
        <f t="shared" si="37"/>
        <v>0</v>
      </c>
      <c r="N94" s="168">
        <f t="shared" si="37"/>
        <v>0</v>
      </c>
      <c r="O94" s="168">
        <f t="shared" si="37"/>
        <v>0</v>
      </c>
      <c r="P94" s="168">
        <f t="shared" si="37"/>
        <v>0</v>
      </c>
      <c r="Q94" s="168">
        <f t="shared" si="37"/>
        <v>0</v>
      </c>
      <c r="R94" s="168">
        <f t="shared" si="37"/>
        <v>0</v>
      </c>
      <c r="S94" s="168">
        <f t="shared" si="37"/>
        <v>0</v>
      </c>
      <c r="T94" s="168">
        <f t="shared" si="37"/>
        <v>0</v>
      </c>
      <c r="U94" s="168">
        <f t="shared" si="37"/>
        <v>0</v>
      </c>
      <c r="V94" s="168">
        <f t="shared" si="37"/>
        <v>209.92552941176473</v>
      </c>
      <c r="W94" s="168">
        <f t="shared" si="37"/>
        <v>18.709676470588235</v>
      </c>
      <c r="X94" s="168">
        <f t="shared" si="37"/>
        <v>0</v>
      </c>
      <c r="Y94" s="168">
        <f t="shared" si="37"/>
        <v>0</v>
      </c>
      <c r="Z94" s="168">
        <f t="shared" si="37"/>
        <v>0</v>
      </c>
      <c r="AA94" s="168">
        <f t="shared" si="37"/>
        <v>0</v>
      </c>
      <c r="AB94" s="168">
        <f t="shared" si="37"/>
        <v>0</v>
      </c>
      <c r="AC94" s="168">
        <f t="shared" si="37"/>
        <v>0</v>
      </c>
      <c r="AD94" s="168">
        <f t="shared" si="37"/>
        <v>1077.6075882352941</v>
      </c>
      <c r="AE94" s="168">
        <f t="shared" si="37"/>
        <v>763.9530882352941</v>
      </c>
      <c r="AF94" s="168">
        <f t="shared" si="37"/>
        <v>0</v>
      </c>
      <c r="AG94" s="168">
        <f>(AG84*45)/1700</f>
        <v>0</v>
      </c>
      <c r="AH94" s="168">
        <f>(AH84*45)/1700</f>
        <v>0</v>
      </c>
      <c r="AI94" s="399">
        <f>(AI84*45)/1700</f>
        <v>0</v>
      </c>
      <c r="AJ94" s="9"/>
      <c r="AK94" s="17">
        <f>SUM(F94:AI94)</f>
        <v>4516.9541470588229</v>
      </c>
      <c r="DI94" s="29"/>
    </row>
    <row r="95" spans="2:113 15079:15471" s="1" customFormat="1" x14ac:dyDescent="0.25">
      <c r="B95" s="223"/>
      <c r="C95" s="164" t="s">
        <v>39</v>
      </c>
      <c r="D95" s="118"/>
      <c r="E95" s="160" t="s">
        <v>38</v>
      </c>
      <c r="F95" s="107">
        <f t="shared" ref="F95:AF95" si="38">SUM(F89:F90)/500</f>
        <v>0</v>
      </c>
      <c r="G95" s="107">
        <f t="shared" si="38"/>
        <v>0</v>
      </c>
      <c r="H95" s="107">
        <f t="shared" si="38"/>
        <v>0</v>
      </c>
      <c r="I95" s="107">
        <f t="shared" si="38"/>
        <v>0</v>
      </c>
      <c r="J95" s="107">
        <f t="shared" si="38"/>
        <v>17.024000000000001</v>
      </c>
      <c r="K95" s="107">
        <f t="shared" si="38"/>
        <v>0</v>
      </c>
      <c r="L95" s="107">
        <f t="shared" si="38"/>
        <v>0</v>
      </c>
      <c r="M95" s="107">
        <f t="shared" si="38"/>
        <v>0</v>
      </c>
      <c r="N95" s="107">
        <f t="shared" si="38"/>
        <v>0</v>
      </c>
      <c r="O95" s="107">
        <f t="shared" si="38"/>
        <v>0</v>
      </c>
      <c r="P95" s="107">
        <f t="shared" si="38"/>
        <v>0</v>
      </c>
      <c r="Q95" s="107">
        <f t="shared" si="38"/>
        <v>0</v>
      </c>
      <c r="R95" s="107">
        <f t="shared" si="38"/>
        <v>0</v>
      </c>
      <c r="S95" s="107">
        <f t="shared" si="38"/>
        <v>0</v>
      </c>
      <c r="T95" s="107">
        <f t="shared" si="38"/>
        <v>0</v>
      </c>
      <c r="U95" s="107">
        <f t="shared" si="38"/>
        <v>0</v>
      </c>
      <c r="V95" s="107">
        <f t="shared" si="38"/>
        <v>1.46</v>
      </c>
      <c r="W95" s="107">
        <f t="shared" si="38"/>
        <v>0.13</v>
      </c>
      <c r="X95" s="107">
        <f t="shared" si="38"/>
        <v>0</v>
      </c>
      <c r="Y95" s="107">
        <f t="shared" si="38"/>
        <v>0</v>
      </c>
      <c r="Z95" s="107">
        <f t="shared" si="38"/>
        <v>0</v>
      </c>
      <c r="AA95" s="107">
        <f t="shared" si="38"/>
        <v>0</v>
      </c>
      <c r="AB95" s="107">
        <f t="shared" si="38"/>
        <v>0</v>
      </c>
      <c r="AC95" s="107">
        <f t="shared" si="38"/>
        <v>0</v>
      </c>
      <c r="AD95" s="107">
        <f t="shared" si="38"/>
        <v>7.4960000000000004</v>
      </c>
      <c r="AE95" s="107">
        <f t="shared" si="38"/>
        <v>5.3140000000000001</v>
      </c>
      <c r="AF95" s="107">
        <f t="shared" si="38"/>
        <v>0</v>
      </c>
      <c r="AG95" s="107">
        <f>SUM(AG89:AG90)/500</f>
        <v>0</v>
      </c>
      <c r="AH95" s="107">
        <f>SUM(AH89:AH90)/500</f>
        <v>0</v>
      </c>
      <c r="AI95" s="217">
        <f>SUM(AI89:AI90)/500</f>
        <v>0</v>
      </c>
      <c r="AJ95" s="9"/>
      <c r="AK95" s="17">
        <f>SUM(F95:AI95)</f>
        <v>31.423999999999999</v>
      </c>
      <c r="DI95" s="29"/>
    </row>
    <row r="96" spans="2:113 15079:15471" s="1" customFormat="1" x14ac:dyDescent="0.25">
      <c r="B96" s="215"/>
      <c r="C96" s="82" t="s">
        <v>37</v>
      </c>
      <c r="D96" s="98"/>
      <c r="E96" s="213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100"/>
      <c r="AD96" s="99"/>
      <c r="AE96" s="99"/>
      <c r="AF96" s="99"/>
      <c r="AG96" s="349"/>
      <c r="AH96" s="349"/>
      <c r="AI96" s="214"/>
      <c r="AJ96" s="21"/>
      <c r="AK96" s="34" t="s">
        <v>34</v>
      </c>
      <c r="DI96" s="4"/>
      <c r="VGY96"/>
      <c r="VGZ96"/>
      <c r="VHA96"/>
      <c r="VHB96"/>
      <c r="VHC96"/>
      <c r="VHD96"/>
      <c r="VHE96"/>
      <c r="VHF96"/>
      <c r="VHG96"/>
      <c r="VHH96"/>
      <c r="VHI96"/>
      <c r="VHJ96"/>
      <c r="VHK96"/>
      <c r="VHL96"/>
      <c r="VHM96"/>
      <c r="VHN96"/>
      <c r="VHO96"/>
      <c r="VHP96"/>
      <c r="VHQ96"/>
      <c r="VHR96"/>
      <c r="VHS96"/>
      <c r="VHT96"/>
      <c r="VHU96"/>
      <c r="VHV96"/>
      <c r="VHW96"/>
      <c r="VHX96"/>
      <c r="VHY96"/>
      <c r="VHZ96"/>
      <c r="VIA96"/>
      <c r="VIB96"/>
      <c r="VIC96"/>
      <c r="VID96"/>
      <c r="VIE96"/>
      <c r="VIF96"/>
      <c r="VIG96"/>
      <c r="VIH96"/>
      <c r="VII96"/>
      <c r="VIJ96"/>
      <c r="VIK96"/>
      <c r="VIL96"/>
      <c r="VIM96"/>
      <c r="VIN96"/>
      <c r="VIO96"/>
      <c r="VIP96"/>
      <c r="VIQ96"/>
      <c r="VIR96"/>
      <c r="VIS96"/>
      <c r="VIT96"/>
      <c r="VIU96"/>
      <c r="VIV96"/>
      <c r="VIW96"/>
      <c r="VIX96"/>
      <c r="VIY96"/>
      <c r="VIZ96"/>
      <c r="VJA96"/>
      <c r="VJB96"/>
      <c r="VJC96"/>
      <c r="VJD96"/>
      <c r="VJE96"/>
      <c r="VJF96"/>
      <c r="VJG96"/>
      <c r="VJH96"/>
      <c r="VJI96"/>
      <c r="VJJ96"/>
      <c r="VJK96"/>
      <c r="VJL96"/>
      <c r="VJM96"/>
      <c r="VJN96"/>
      <c r="VJO96"/>
      <c r="VJP96"/>
      <c r="VJQ96"/>
      <c r="VJR96"/>
      <c r="VJS96"/>
      <c r="VJT96"/>
      <c r="VJU96"/>
      <c r="VJV96"/>
      <c r="VJW96"/>
      <c r="VJX96"/>
      <c r="VJY96"/>
      <c r="VJZ96"/>
      <c r="VKA96"/>
      <c r="VKB96"/>
      <c r="VKC96"/>
      <c r="VKD96"/>
      <c r="VKE96"/>
      <c r="VKF96"/>
      <c r="VKG96"/>
      <c r="VKH96"/>
      <c r="VKI96"/>
      <c r="VKJ96"/>
      <c r="VKK96"/>
      <c r="VKL96"/>
      <c r="VKM96"/>
      <c r="VKN96"/>
      <c r="VKO96"/>
      <c r="VKP96"/>
      <c r="VKQ96"/>
      <c r="VKR96"/>
      <c r="VKS96"/>
      <c r="VKT96"/>
      <c r="VKU96"/>
      <c r="VKV96"/>
      <c r="VKW96"/>
      <c r="VKX96"/>
      <c r="VKY96"/>
      <c r="VKZ96"/>
      <c r="VLA96"/>
      <c r="VLB96"/>
      <c r="VLC96"/>
      <c r="VLD96"/>
      <c r="VLE96"/>
      <c r="VLF96"/>
      <c r="VLG96"/>
      <c r="VLH96"/>
      <c r="VLI96"/>
      <c r="VLJ96"/>
      <c r="VLK96"/>
      <c r="VLL96"/>
      <c r="VLM96"/>
      <c r="VLN96"/>
      <c r="VLO96"/>
      <c r="VLP96"/>
      <c r="VLQ96"/>
      <c r="VLR96"/>
      <c r="VLS96"/>
      <c r="VLT96"/>
      <c r="VLU96"/>
      <c r="VLV96"/>
      <c r="VLW96"/>
      <c r="VLX96"/>
      <c r="VLY96"/>
      <c r="VLZ96"/>
      <c r="VMA96"/>
      <c r="VMB96"/>
      <c r="VMC96"/>
      <c r="VMD96"/>
      <c r="VME96"/>
      <c r="VMF96"/>
      <c r="VMG96"/>
      <c r="VMH96"/>
      <c r="VMI96"/>
      <c r="VMJ96"/>
      <c r="VMK96"/>
      <c r="VML96"/>
      <c r="VMM96"/>
      <c r="VMN96"/>
      <c r="VMO96"/>
      <c r="VMP96"/>
      <c r="VMQ96"/>
      <c r="VMR96"/>
      <c r="VMS96"/>
      <c r="VMT96"/>
      <c r="VMU96"/>
      <c r="VMV96"/>
      <c r="VMW96"/>
      <c r="VMX96"/>
      <c r="VMY96"/>
      <c r="VMZ96"/>
      <c r="VNA96"/>
      <c r="VNB96"/>
      <c r="VNC96"/>
      <c r="VND96"/>
      <c r="VNE96"/>
      <c r="VNF96"/>
      <c r="VNG96"/>
      <c r="VNH96"/>
      <c r="VNI96"/>
      <c r="VNJ96"/>
      <c r="VNK96"/>
      <c r="VNL96"/>
      <c r="VNM96"/>
      <c r="VNN96"/>
      <c r="VNO96"/>
      <c r="VNP96"/>
      <c r="VNQ96"/>
      <c r="VNR96"/>
      <c r="VNS96"/>
      <c r="VNT96"/>
      <c r="VNU96"/>
      <c r="VNV96"/>
      <c r="VNW96"/>
      <c r="VNX96"/>
      <c r="VNY96"/>
      <c r="VNZ96"/>
      <c r="VOA96"/>
      <c r="VOB96"/>
      <c r="VOC96"/>
      <c r="VOD96"/>
      <c r="VOE96"/>
      <c r="VOF96"/>
      <c r="VOG96"/>
      <c r="VOH96"/>
      <c r="VOI96"/>
      <c r="VOJ96"/>
      <c r="VOK96"/>
      <c r="VOL96"/>
      <c r="VOM96"/>
      <c r="VON96"/>
      <c r="VOO96"/>
      <c r="VOP96"/>
      <c r="VOQ96"/>
      <c r="VOR96"/>
      <c r="VOS96"/>
      <c r="VOT96"/>
      <c r="VOU96"/>
      <c r="VOV96"/>
      <c r="VOW96"/>
      <c r="VOX96"/>
      <c r="VOY96"/>
      <c r="VOZ96"/>
      <c r="VPA96"/>
      <c r="VPB96"/>
      <c r="VPC96"/>
      <c r="VPD96"/>
      <c r="VPE96"/>
      <c r="VPF96"/>
      <c r="VPG96"/>
      <c r="VPH96"/>
      <c r="VPI96"/>
      <c r="VPJ96"/>
      <c r="VPK96"/>
      <c r="VPL96"/>
      <c r="VPM96"/>
      <c r="VPN96"/>
      <c r="VPO96"/>
      <c r="VPP96"/>
      <c r="VPQ96"/>
      <c r="VPR96"/>
      <c r="VPS96"/>
      <c r="VPT96"/>
      <c r="VPU96"/>
      <c r="VPV96"/>
      <c r="VPW96"/>
      <c r="VPX96"/>
      <c r="VPY96"/>
      <c r="VPZ96"/>
      <c r="VQA96"/>
      <c r="VQB96"/>
      <c r="VQC96"/>
      <c r="VQD96"/>
      <c r="VQE96"/>
      <c r="VQF96"/>
      <c r="VQG96"/>
      <c r="VQH96"/>
      <c r="VQI96"/>
      <c r="VQJ96"/>
      <c r="VQK96"/>
      <c r="VQL96"/>
      <c r="VQM96"/>
      <c r="VQN96"/>
      <c r="VQO96"/>
      <c r="VQP96"/>
      <c r="VQQ96"/>
      <c r="VQR96"/>
      <c r="VQS96"/>
      <c r="VQT96"/>
      <c r="VQU96"/>
      <c r="VQV96"/>
      <c r="VQW96"/>
      <c r="VQX96"/>
      <c r="VQY96"/>
      <c r="VQZ96"/>
      <c r="VRA96"/>
      <c r="VRB96"/>
      <c r="VRC96"/>
      <c r="VRD96"/>
      <c r="VRE96"/>
      <c r="VRF96"/>
      <c r="VRG96"/>
      <c r="VRH96"/>
      <c r="VRI96"/>
      <c r="VRJ96"/>
      <c r="VRK96"/>
      <c r="VRL96"/>
      <c r="VRM96"/>
      <c r="VRN96"/>
      <c r="VRO96"/>
      <c r="VRP96"/>
      <c r="VRQ96"/>
      <c r="VRR96"/>
      <c r="VRS96"/>
      <c r="VRT96"/>
      <c r="VRU96"/>
      <c r="VRV96"/>
      <c r="VRW96"/>
      <c r="VRX96"/>
      <c r="VRY96"/>
      <c r="VRZ96"/>
      <c r="VSA96"/>
      <c r="VSB96"/>
      <c r="VSC96"/>
      <c r="VSD96"/>
      <c r="VSE96"/>
      <c r="VSF96"/>
      <c r="VSG96"/>
      <c r="VSH96"/>
      <c r="VSI96"/>
      <c r="VSJ96"/>
      <c r="VSK96"/>
      <c r="VSL96"/>
      <c r="VSM96"/>
      <c r="VSN96"/>
      <c r="VSO96"/>
      <c r="VSP96"/>
      <c r="VSQ96"/>
      <c r="VSR96"/>
      <c r="VSS96"/>
      <c r="VST96"/>
      <c r="VSU96"/>
      <c r="VSV96"/>
      <c r="VSW96"/>
      <c r="VSX96"/>
      <c r="VSY96"/>
      <c r="VSZ96"/>
      <c r="VTA96"/>
      <c r="VTB96"/>
      <c r="VTC96"/>
      <c r="VTD96"/>
      <c r="VTE96"/>
      <c r="VTF96"/>
      <c r="VTG96"/>
      <c r="VTH96"/>
      <c r="VTI96"/>
      <c r="VTJ96"/>
      <c r="VTK96"/>
      <c r="VTL96"/>
      <c r="VTM96"/>
      <c r="VTN96"/>
      <c r="VTO96"/>
      <c r="VTP96"/>
      <c r="VTQ96"/>
      <c r="VTR96"/>
      <c r="VTS96"/>
      <c r="VTT96"/>
      <c r="VTU96"/>
      <c r="VTV96"/>
      <c r="VTW96"/>
      <c r="VTX96"/>
      <c r="VTY96"/>
      <c r="VTZ96"/>
      <c r="VUA96"/>
      <c r="VUB96"/>
      <c r="VUC96"/>
      <c r="VUD96"/>
      <c r="VUE96"/>
      <c r="VUF96"/>
      <c r="VUG96"/>
      <c r="VUH96"/>
      <c r="VUI96"/>
      <c r="VUJ96"/>
      <c r="VUK96"/>
      <c r="VUL96"/>
      <c r="VUM96"/>
      <c r="VUN96"/>
      <c r="VUO96"/>
      <c r="VUP96"/>
      <c r="VUQ96"/>
      <c r="VUR96"/>
      <c r="VUS96"/>
      <c r="VUT96"/>
      <c r="VUU96"/>
      <c r="VUV96"/>
      <c r="VUW96"/>
      <c r="VUX96"/>
      <c r="VUY96"/>
      <c r="VUZ96"/>
      <c r="VVA96"/>
      <c r="VVB96"/>
      <c r="VVC96"/>
      <c r="VVD96"/>
      <c r="VVE96"/>
      <c r="VVF96"/>
      <c r="VVG96"/>
      <c r="VVH96"/>
      <c r="VVI96"/>
      <c r="VVJ96"/>
      <c r="VVK96"/>
      <c r="VVL96"/>
      <c r="VVM96"/>
      <c r="VVN96"/>
      <c r="VVO96"/>
      <c r="VVP96"/>
      <c r="VVQ96"/>
      <c r="VVR96"/>
      <c r="VVS96"/>
      <c r="VVT96"/>
      <c r="VVU96"/>
      <c r="VVV96"/>
      <c r="VVW96"/>
      <c r="VVX96"/>
      <c r="VVY96"/>
      <c r="VVZ96"/>
      <c r="VWA96"/>
    </row>
    <row r="97" spans="2:113 15079:15471" s="1" customFormat="1" x14ac:dyDescent="0.25">
      <c r="B97" s="223"/>
      <c r="C97" s="164" t="s">
        <v>33</v>
      </c>
      <c r="D97" s="118"/>
      <c r="E97" s="101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351"/>
      <c r="AH97" s="351"/>
      <c r="AI97" s="217"/>
      <c r="AJ97" s="9"/>
      <c r="AK97" s="33" t="s">
        <v>33</v>
      </c>
      <c r="DI97" s="29"/>
    </row>
    <row r="98" spans="2:113 15079:15471" s="1" customFormat="1" x14ac:dyDescent="0.25">
      <c r="B98" s="223"/>
      <c r="C98" s="113" t="s">
        <v>55</v>
      </c>
      <c r="D98" s="118"/>
      <c r="E98" s="160" t="s">
        <v>36</v>
      </c>
      <c r="F98" s="107"/>
      <c r="G98" s="107"/>
      <c r="H98" s="107"/>
      <c r="I98" s="107"/>
      <c r="J98" s="107">
        <v>1</v>
      </c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351"/>
      <c r="AH98" s="351"/>
      <c r="AI98" s="217"/>
      <c r="AJ98" s="9"/>
      <c r="AK98" s="17">
        <f>SUM(F98:AI98)</f>
        <v>1</v>
      </c>
      <c r="DI98" s="29"/>
    </row>
    <row r="99" spans="2:113 15079:15471" s="1" customFormat="1" x14ac:dyDescent="0.25">
      <c r="B99" s="223"/>
      <c r="C99" s="113" t="s">
        <v>54</v>
      </c>
      <c r="D99" s="118"/>
      <c r="E99" s="160" t="s">
        <v>36</v>
      </c>
      <c r="F99" s="107"/>
      <c r="G99" s="107"/>
      <c r="H99" s="107"/>
      <c r="I99" s="107"/>
      <c r="J99" s="107">
        <v>4</v>
      </c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351"/>
      <c r="AH99" s="351"/>
      <c r="AI99" s="217"/>
      <c r="AJ99" s="9"/>
      <c r="AK99" s="17">
        <f>SUM(F99:AI99)</f>
        <v>4</v>
      </c>
      <c r="DI99" s="29"/>
    </row>
    <row r="100" spans="2:113 15079:15471" s="1" customFormat="1" x14ac:dyDescent="0.25">
      <c r="B100" s="223"/>
      <c r="C100" s="164" t="s">
        <v>32</v>
      </c>
      <c r="D100" s="118"/>
      <c r="E100" s="101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351"/>
      <c r="AH100" s="351"/>
      <c r="AI100" s="217"/>
      <c r="AJ100" s="9"/>
      <c r="AK100" s="33" t="s">
        <v>32</v>
      </c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I100" s="29"/>
    </row>
    <row r="101" spans="2:113 15079:15471" s="1" customFormat="1" x14ac:dyDescent="0.25">
      <c r="B101" s="223"/>
      <c r="C101" s="113" t="s">
        <v>55</v>
      </c>
      <c r="D101" s="118"/>
      <c r="E101" s="160" t="s">
        <v>32</v>
      </c>
      <c r="F101" s="107"/>
      <c r="G101" s="107"/>
      <c r="H101" s="167"/>
      <c r="I101" s="107"/>
      <c r="J101" s="107"/>
      <c r="K101" s="107"/>
      <c r="L101" s="107"/>
      <c r="M101" s="107"/>
      <c r="N101" s="169"/>
      <c r="O101" s="107"/>
      <c r="P101" s="107"/>
      <c r="Q101" s="107"/>
      <c r="R101" s="107"/>
      <c r="S101" s="107"/>
      <c r="T101" s="107"/>
      <c r="U101" s="169"/>
      <c r="V101" s="107"/>
      <c r="W101" s="107"/>
      <c r="X101" s="107"/>
      <c r="Y101" s="107"/>
      <c r="Z101" s="107"/>
      <c r="AA101" s="107"/>
      <c r="AB101" s="169"/>
      <c r="AC101" s="107"/>
      <c r="AD101" s="107"/>
      <c r="AE101" s="107"/>
      <c r="AF101" s="107"/>
      <c r="AG101" s="351"/>
      <c r="AH101" s="351"/>
      <c r="AI101" s="217"/>
      <c r="AJ101" s="9"/>
      <c r="AK101" s="17">
        <f>SUM(F101:AI101)</f>
        <v>0</v>
      </c>
      <c r="CQ101" s="38"/>
      <c r="CR101" s="29"/>
      <c r="CS101" s="29"/>
      <c r="CT101" s="29"/>
      <c r="CU101" s="249"/>
      <c r="CV101" s="29"/>
      <c r="CW101" s="29"/>
      <c r="CX101" s="29"/>
      <c r="CY101" s="29"/>
      <c r="CZ101" s="29"/>
      <c r="DI101" s="29"/>
    </row>
    <row r="102" spans="2:113 15079:15471" s="1" customFormat="1" x14ac:dyDescent="0.25">
      <c r="B102" s="223"/>
      <c r="C102" s="113" t="s">
        <v>54</v>
      </c>
      <c r="D102" s="118"/>
      <c r="E102" s="160" t="s">
        <v>32</v>
      </c>
      <c r="F102" s="170"/>
      <c r="G102" s="170"/>
      <c r="H102" s="167"/>
      <c r="I102" s="167"/>
      <c r="J102" s="16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69"/>
      <c r="V102" s="107"/>
      <c r="W102" s="107"/>
      <c r="X102" s="107"/>
      <c r="Y102" s="107"/>
      <c r="Z102" s="107"/>
      <c r="AA102" s="107"/>
      <c r="AB102" s="169"/>
      <c r="AC102" s="107"/>
      <c r="AD102" s="107"/>
      <c r="AE102" s="107"/>
      <c r="AF102" s="107"/>
      <c r="AG102" s="351"/>
      <c r="AH102" s="351"/>
      <c r="AI102" s="217"/>
      <c r="AJ102" s="9"/>
      <c r="AK102" s="17">
        <f>SUM(F102:AI102)</f>
        <v>0</v>
      </c>
      <c r="CQ102" s="4"/>
      <c r="CR102" s="29"/>
      <c r="CS102" s="29"/>
      <c r="CT102" s="29"/>
      <c r="CU102" s="29"/>
      <c r="CV102" s="29"/>
      <c r="CW102" s="29"/>
      <c r="CX102" s="29"/>
      <c r="CY102" s="29"/>
      <c r="CZ102" s="29"/>
      <c r="DI102" s="29"/>
    </row>
    <row r="103" spans="2:113 15079:15471" x14ac:dyDescent="0.25">
      <c r="B103" s="215"/>
      <c r="C103" s="82" t="s">
        <v>35</v>
      </c>
      <c r="D103" s="98"/>
      <c r="E103" s="213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100"/>
      <c r="AD103" s="99"/>
      <c r="AE103" s="99"/>
      <c r="AF103" s="99"/>
      <c r="AG103" s="349"/>
      <c r="AH103" s="349"/>
      <c r="AI103" s="214"/>
      <c r="AJ103" s="21"/>
      <c r="AK103" s="34" t="s">
        <v>34</v>
      </c>
      <c r="CQ103" s="4"/>
      <c r="CR103" s="4"/>
      <c r="CS103" s="4"/>
      <c r="CT103" s="4"/>
      <c r="CU103" s="4"/>
      <c r="CV103" s="4"/>
      <c r="CW103" s="4"/>
      <c r="CX103" s="4"/>
      <c r="CY103" s="4"/>
      <c r="CZ103" s="4"/>
    </row>
    <row r="104" spans="2:113 15079:15471" s="1" customFormat="1" x14ac:dyDescent="0.25">
      <c r="B104" s="223"/>
      <c r="C104" s="164" t="s">
        <v>33</v>
      </c>
      <c r="D104" s="118"/>
      <c r="E104" s="101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351"/>
      <c r="AH104" s="351"/>
      <c r="AI104" s="217"/>
      <c r="AJ104" s="9"/>
      <c r="AK104" s="33" t="s">
        <v>33</v>
      </c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I104" s="29"/>
    </row>
    <row r="105" spans="2:113 15079:15471" s="1" customFormat="1" x14ac:dyDescent="0.25">
      <c r="B105" s="223"/>
      <c r="C105" s="113" t="s">
        <v>55</v>
      </c>
      <c r="D105" s="114">
        <v>0.3</v>
      </c>
      <c r="E105" s="160" t="s">
        <v>29</v>
      </c>
      <c r="F105" s="137" t="e">
        <f t="shared" ref="F105:AI106" si="39">F98/F89*100</f>
        <v>#DIV/0!</v>
      </c>
      <c r="G105" s="137" t="e">
        <f t="shared" si="39"/>
        <v>#DIV/0!</v>
      </c>
      <c r="H105" s="137" t="e">
        <f t="shared" si="39"/>
        <v>#DIV/0!</v>
      </c>
      <c r="I105" s="137" t="e">
        <f t="shared" si="39"/>
        <v>#DIV/0!</v>
      </c>
      <c r="J105" s="137">
        <f t="shared" si="39"/>
        <v>2.8506271379703536E-2</v>
      </c>
      <c r="K105" s="137" t="e">
        <f t="shared" si="39"/>
        <v>#DIV/0!</v>
      </c>
      <c r="L105" s="137" t="e">
        <f t="shared" si="39"/>
        <v>#DIV/0!</v>
      </c>
      <c r="M105" s="137" t="e">
        <f t="shared" si="39"/>
        <v>#DIV/0!</v>
      </c>
      <c r="N105" s="137" t="e">
        <f t="shared" si="39"/>
        <v>#DIV/0!</v>
      </c>
      <c r="O105" s="137" t="e">
        <f t="shared" si="39"/>
        <v>#DIV/0!</v>
      </c>
      <c r="P105" s="137" t="e">
        <f t="shared" si="39"/>
        <v>#DIV/0!</v>
      </c>
      <c r="Q105" s="137" t="e">
        <f t="shared" si="39"/>
        <v>#DIV/0!</v>
      </c>
      <c r="R105" s="137" t="e">
        <f t="shared" si="39"/>
        <v>#DIV/0!</v>
      </c>
      <c r="S105" s="137" t="e">
        <f t="shared" si="39"/>
        <v>#DIV/0!</v>
      </c>
      <c r="T105" s="137" t="e">
        <f t="shared" si="39"/>
        <v>#DIV/0!</v>
      </c>
      <c r="U105" s="137" t="e">
        <f t="shared" si="39"/>
        <v>#DIV/0!</v>
      </c>
      <c r="V105" s="137">
        <f t="shared" si="39"/>
        <v>0</v>
      </c>
      <c r="W105" s="137">
        <f t="shared" si="39"/>
        <v>0</v>
      </c>
      <c r="X105" s="137" t="e">
        <f t="shared" si="39"/>
        <v>#DIV/0!</v>
      </c>
      <c r="Y105" s="137" t="e">
        <f t="shared" si="39"/>
        <v>#DIV/0!</v>
      </c>
      <c r="Z105" s="137" t="e">
        <f t="shared" si="39"/>
        <v>#DIV/0!</v>
      </c>
      <c r="AA105" s="137" t="e">
        <f t="shared" si="39"/>
        <v>#DIV/0!</v>
      </c>
      <c r="AB105" s="137" t="e">
        <f t="shared" si="39"/>
        <v>#DIV/0!</v>
      </c>
      <c r="AC105" s="137" t="e">
        <f t="shared" si="39"/>
        <v>#DIV/0!</v>
      </c>
      <c r="AD105" s="137">
        <f t="shared" si="39"/>
        <v>0</v>
      </c>
      <c r="AE105" s="137">
        <f>AE98/AE89*100</f>
        <v>0</v>
      </c>
      <c r="AF105" s="137" t="e">
        <f t="shared" si="39"/>
        <v>#DIV/0!</v>
      </c>
      <c r="AG105" s="137" t="e">
        <f t="shared" si="39"/>
        <v>#DIV/0!</v>
      </c>
      <c r="AH105" s="137" t="e">
        <f t="shared" si="39"/>
        <v>#DIV/0!</v>
      </c>
      <c r="AI105" s="233" t="e">
        <f t="shared" si="39"/>
        <v>#DIV/0!</v>
      </c>
      <c r="AJ105" s="9"/>
      <c r="AK105" s="32">
        <f>AK98/AK89*100</f>
        <v>9.3388121031004866E-3</v>
      </c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I105" s="29"/>
    </row>
    <row r="106" spans="2:113 15079:15471" s="1" customFormat="1" x14ac:dyDescent="0.25">
      <c r="B106" s="223"/>
      <c r="C106" s="113" t="s">
        <v>54</v>
      </c>
      <c r="D106" s="114">
        <v>0.3</v>
      </c>
      <c r="E106" s="160" t="s">
        <v>29</v>
      </c>
      <c r="F106" s="137" t="e">
        <f t="shared" si="39"/>
        <v>#DIV/0!</v>
      </c>
      <c r="G106" s="137" t="e">
        <f t="shared" si="39"/>
        <v>#DIV/0!</v>
      </c>
      <c r="H106" s="137" t="e">
        <f t="shared" si="39"/>
        <v>#DIV/0!</v>
      </c>
      <c r="I106" s="137" t="e">
        <f t="shared" si="39"/>
        <v>#DIV/0!</v>
      </c>
      <c r="J106" s="137">
        <f t="shared" si="39"/>
        <v>7.9936051159072735E-2</v>
      </c>
      <c r="K106" s="137" t="e">
        <f t="shared" si="39"/>
        <v>#DIV/0!</v>
      </c>
      <c r="L106" s="137" t="e">
        <f t="shared" si="39"/>
        <v>#DIV/0!</v>
      </c>
      <c r="M106" s="137" t="e">
        <f t="shared" si="39"/>
        <v>#DIV/0!</v>
      </c>
      <c r="N106" s="137" t="e">
        <f t="shared" si="39"/>
        <v>#DIV/0!</v>
      </c>
      <c r="O106" s="137" t="e">
        <f t="shared" si="39"/>
        <v>#DIV/0!</v>
      </c>
      <c r="P106" s="137" t="e">
        <f t="shared" si="39"/>
        <v>#DIV/0!</v>
      </c>
      <c r="Q106" s="137" t="e">
        <f t="shared" si="39"/>
        <v>#DIV/0!</v>
      </c>
      <c r="R106" s="137" t="e">
        <f t="shared" si="39"/>
        <v>#DIV/0!</v>
      </c>
      <c r="S106" s="137" t="e">
        <f t="shared" si="39"/>
        <v>#DIV/0!</v>
      </c>
      <c r="T106" s="137" t="e">
        <f t="shared" si="39"/>
        <v>#DIV/0!</v>
      </c>
      <c r="U106" s="137" t="e">
        <f t="shared" si="39"/>
        <v>#DIV/0!</v>
      </c>
      <c r="V106" s="137" t="e">
        <f t="shared" si="39"/>
        <v>#DIV/0!</v>
      </c>
      <c r="W106" s="137" t="e">
        <f t="shared" si="39"/>
        <v>#DIV/0!</v>
      </c>
      <c r="X106" s="137" t="e">
        <f t="shared" si="39"/>
        <v>#DIV/0!</v>
      </c>
      <c r="Y106" s="137" t="e">
        <f t="shared" si="39"/>
        <v>#DIV/0!</v>
      </c>
      <c r="Z106" s="137" t="e">
        <f t="shared" si="39"/>
        <v>#DIV/0!</v>
      </c>
      <c r="AA106" s="137" t="e">
        <f t="shared" si="39"/>
        <v>#DIV/0!</v>
      </c>
      <c r="AB106" s="137" t="e">
        <f t="shared" si="39"/>
        <v>#DIV/0!</v>
      </c>
      <c r="AC106" s="137" t="e">
        <f t="shared" si="39"/>
        <v>#DIV/0!</v>
      </c>
      <c r="AD106" s="137" t="e">
        <f t="shared" si="39"/>
        <v>#DIV/0!</v>
      </c>
      <c r="AE106" s="137" t="e">
        <f t="shared" si="39"/>
        <v>#DIV/0!</v>
      </c>
      <c r="AF106" s="137" t="e">
        <f t="shared" si="39"/>
        <v>#DIV/0!</v>
      </c>
      <c r="AG106" s="137" t="e">
        <f t="shared" si="39"/>
        <v>#DIV/0!</v>
      </c>
      <c r="AH106" s="137" t="e">
        <f t="shared" si="39"/>
        <v>#DIV/0!</v>
      </c>
      <c r="AI106" s="233" t="e">
        <f t="shared" si="39"/>
        <v>#DIV/0!</v>
      </c>
      <c r="AJ106" s="9"/>
      <c r="AK106" s="32">
        <f>AK99/AK90*100</f>
        <v>7.9936051159072735E-2</v>
      </c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I106" s="29"/>
    </row>
    <row r="107" spans="2:113 15079:15471" s="1" customFormat="1" x14ac:dyDescent="0.25">
      <c r="B107" s="223"/>
      <c r="C107" s="164" t="s">
        <v>32</v>
      </c>
      <c r="D107" s="114"/>
      <c r="E107" s="101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233"/>
      <c r="AJ107" s="9"/>
      <c r="AK107" s="33" t="s">
        <v>32</v>
      </c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I107" s="29"/>
    </row>
    <row r="108" spans="2:113 15079:15471" s="1" customFormat="1" x14ac:dyDescent="0.25">
      <c r="B108" s="223"/>
      <c r="C108" s="113" t="s">
        <v>55</v>
      </c>
      <c r="D108" s="114">
        <v>0.5</v>
      </c>
      <c r="E108" s="160" t="s">
        <v>29</v>
      </c>
      <c r="F108" s="137" t="e">
        <f t="shared" ref="F108:AI109" si="40">F101/F92*100</f>
        <v>#DIV/0!</v>
      </c>
      <c r="G108" s="137" t="e">
        <f t="shared" si="40"/>
        <v>#DIV/0!</v>
      </c>
      <c r="H108" s="137" t="e">
        <f t="shared" si="40"/>
        <v>#DIV/0!</v>
      </c>
      <c r="I108" s="137" t="e">
        <f t="shared" si="40"/>
        <v>#DIV/0!</v>
      </c>
      <c r="J108" s="137">
        <f t="shared" si="40"/>
        <v>0</v>
      </c>
      <c r="K108" s="137" t="e">
        <f t="shared" si="40"/>
        <v>#DIV/0!</v>
      </c>
      <c r="L108" s="137" t="e">
        <f t="shared" si="40"/>
        <v>#DIV/0!</v>
      </c>
      <c r="M108" s="137" t="e">
        <f t="shared" si="40"/>
        <v>#DIV/0!</v>
      </c>
      <c r="N108" s="137" t="e">
        <f t="shared" si="40"/>
        <v>#DIV/0!</v>
      </c>
      <c r="O108" s="137" t="e">
        <f t="shared" si="40"/>
        <v>#DIV/0!</v>
      </c>
      <c r="P108" s="137" t="e">
        <f t="shared" si="40"/>
        <v>#DIV/0!</v>
      </c>
      <c r="Q108" s="137" t="e">
        <f t="shared" si="40"/>
        <v>#DIV/0!</v>
      </c>
      <c r="R108" s="137" t="e">
        <f t="shared" si="40"/>
        <v>#DIV/0!</v>
      </c>
      <c r="S108" s="137" t="e">
        <f t="shared" si="40"/>
        <v>#DIV/0!</v>
      </c>
      <c r="T108" s="137" t="e">
        <f t="shared" si="40"/>
        <v>#DIV/0!</v>
      </c>
      <c r="U108" s="137" t="e">
        <f t="shared" si="40"/>
        <v>#DIV/0!</v>
      </c>
      <c r="V108" s="137">
        <f t="shared" si="40"/>
        <v>0</v>
      </c>
      <c r="W108" s="137">
        <f t="shared" si="40"/>
        <v>0</v>
      </c>
      <c r="X108" s="137" t="e">
        <f t="shared" si="40"/>
        <v>#DIV/0!</v>
      </c>
      <c r="Y108" s="137" t="e">
        <f t="shared" si="40"/>
        <v>#DIV/0!</v>
      </c>
      <c r="Z108" s="137" t="e">
        <f t="shared" si="40"/>
        <v>#DIV/0!</v>
      </c>
      <c r="AA108" s="137" t="e">
        <f t="shared" si="40"/>
        <v>#DIV/0!</v>
      </c>
      <c r="AB108" s="137" t="e">
        <f t="shared" si="40"/>
        <v>#DIV/0!</v>
      </c>
      <c r="AC108" s="137" t="e">
        <f t="shared" si="40"/>
        <v>#DIV/0!</v>
      </c>
      <c r="AD108" s="137">
        <f t="shared" si="40"/>
        <v>0</v>
      </c>
      <c r="AE108" s="137">
        <f t="shared" si="40"/>
        <v>0</v>
      </c>
      <c r="AF108" s="137" t="e">
        <f t="shared" si="40"/>
        <v>#DIV/0!</v>
      </c>
      <c r="AG108" s="137" t="e">
        <f t="shared" si="40"/>
        <v>#DIV/0!</v>
      </c>
      <c r="AH108" s="137" t="e">
        <f t="shared" si="40"/>
        <v>#DIV/0!</v>
      </c>
      <c r="AI108" s="233" t="e">
        <f t="shared" si="40"/>
        <v>#DIV/0!</v>
      </c>
      <c r="AJ108" s="9"/>
      <c r="AK108" s="32">
        <f>AK101/AK92*100</f>
        <v>0</v>
      </c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I108" s="29"/>
    </row>
    <row r="109" spans="2:113 15079:15471" s="1" customFormat="1" x14ac:dyDescent="0.25">
      <c r="B109" s="223"/>
      <c r="C109" s="113" t="s">
        <v>54</v>
      </c>
      <c r="D109" s="114">
        <v>0.5</v>
      </c>
      <c r="E109" s="160" t="s">
        <v>29</v>
      </c>
      <c r="F109" s="137" t="e">
        <f t="shared" si="40"/>
        <v>#DIV/0!</v>
      </c>
      <c r="G109" s="137" t="e">
        <f t="shared" si="40"/>
        <v>#DIV/0!</v>
      </c>
      <c r="H109" s="137" t="e">
        <f t="shared" si="40"/>
        <v>#DIV/0!</v>
      </c>
      <c r="I109" s="137" t="e">
        <f t="shared" si="40"/>
        <v>#DIV/0!</v>
      </c>
      <c r="J109" s="137">
        <f t="shared" si="40"/>
        <v>0</v>
      </c>
      <c r="K109" s="137" t="e">
        <f t="shared" si="40"/>
        <v>#DIV/0!</v>
      </c>
      <c r="L109" s="137" t="e">
        <f t="shared" si="40"/>
        <v>#DIV/0!</v>
      </c>
      <c r="M109" s="137" t="e">
        <f t="shared" si="40"/>
        <v>#DIV/0!</v>
      </c>
      <c r="N109" s="137" t="e">
        <f t="shared" si="40"/>
        <v>#DIV/0!</v>
      </c>
      <c r="O109" s="137" t="e">
        <f t="shared" si="40"/>
        <v>#DIV/0!</v>
      </c>
      <c r="P109" s="137" t="e">
        <f t="shared" si="40"/>
        <v>#DIV/0!</v>
      </c>
      <c r="Q109" s="137" t="e">
        <f t="shared" si="40"/>
        <v>#DIV/0!</v>
      </c>
      <c r="R109" s="137" t="e">
        <f t="shared" si="40"/>
        <v>#DIV/0!</v>
      </c>
      <c r="S109" s="137" t="e">
        <f t="shared" si="40"/>
        <v>#DIV/0!</v>
      </c>
      <c r="T109" s="137" t="e">
        <f t="shared" si="40"/>
        <v>#DIV/0!</v>
      </c>
      <c r="U109" s="137" t="e">
        <f t="shared" si="40"/>
        <v>#DIV/0!</v>
      </c>
      <c r="V109" s="137" t="e">
        <f t="shared" si="40"/>
        <v>#DIV/0!</v>
      </c>
      <c r="W109" s="137" t="e">
        <f t="shared" si="40"/>
        <v>#DIV/0!</v>
      </c>
      <c r="X109" s="137" t="e">
        <f t="shared" si="40"/>
        <v>#DIV/0!</v>
      </c>
      <c r="Y109" s="137" t="e">
        <f t="shared" si="40"/>
        <v>#DIV/0!</v>
      </c>
      <c r="Z109" s="137" t="e">
        <f t="shared" si="40"/>
        <v>#DIV/0!</v>
      </c>
      <c r="AA109" s="137" t="e">
        <f t="shared" si="40"/>
        <v>#DIV/0!</v>
      </c>
      <c r="AB109" s="137" t="e">
        <f t="shared" si="40"/>
        <v>#DIV/0!</v>
      </c>
      <c r="AC109" s="137" t="e">
        <f t="shared" si="40"/>
        <v>#DIV/0!</v>
      </c>
      <c r="AD109" s="137" t="e">
        <f t="shared" si="40"/>
        <v>#DIV/0!</v>
      </c>
      <c r="AE109" s="137" t="e">
        <f t="shared" si="40"/>
        <v>#DIV/0!</v>
      </c>
      <c r="AF109" s="137" t="e">
        <f t="shared" si="40"/>
        <v>#DIV/0!</v>
      </c>
      <c r="AG109" s="137" t="e">
        <f t="shared" si="40"/>
        <v>#DIV/0!</v>
      </c>
      <c r="AH109" s="137" t="e">
        <f t="shared" si="40"/>
        <v>#DIV/0!</v>
      </c>
      <c r="AI109" s="233" t="e">
        <f t="shared" si="40"/>
        <v>#DIV/0!</v>
      </c>
      <c r="AJ109" s="9"/>
      <c r="AK109" s="32">
        <f>AK102/AK93*100</f>
        <v>0</v>
      </c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I109" s="29"/>
    </row>
    <row r="110" spans="2:113 15079:15471" s="1" customFormat="1" x14ac:dyDescent="0.25">
      <c r="B110" s="212">
        <v>6</v>
      </c>
      <c r="C110" s="82" t="s">
        <v>53</v>
      </c>
      <c r="D110" s="98"/>
      <c r="E110" s="213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100"/>
      <c r="AD110" s="99"/>
      <c r="AE110" s="99"/>
      <c r="AF110" s="99"/>
      <c r="AG110" s="349"/>
      <c r="AH110" s="349"/>
      <c r="AI110" s="214"/>
      <c r="AJ110" s="21"/>
      <c r="AK110" s="34" t="s">
        <v>45</v>
      </c>
      <c r="CQ110" s="4"/>
      <c r="CR110" s="4"/>
      <c r="CS110" s="29"/>
      <c r="CT110" s="29"/>
      <c r="CU110" s="4"/>
      <c r="CV110" s="29"/>
      <c r="CW110" s="4"/>
      <c r="CX110" s="4"/>
      <c r="CY110" s="4"/>
      <c r="CZ110" s="4"/>
      <c r="DI110" s="4"/>
      <c r="VGY110"/>
      <c r="VGZ110"/>
      <c r="VHA110"/>
      <c r="VHB110"/>
      <c r="VHC110"/>
      <c r="VHD110"/>
      <c r="VHE110"/>
      <c r="VHF110"/>
      <c r="VHG110"/>
      <c r="VHH110"/>
      <c r="VHI110"/>
      <c r="VHJ110"/>
      <c r="VHK110"/>
      <c r="VHL110"/>
      <c r="VHM110"/>
      <c r="VHN110"/>
      <c r="VHO110"/>
      <c r="VHP110"/>
      <c r="VHQ110"/>
      <c r="VHR110"/>
      <c r="VHS110"/>
      <c r="VHT110"/>
      <c r="VHU110"/>
      <c r="VHV110"/>
      <c r="VHW110"/>
      <c r="VHX110"/>
      <c r="VHY110"/>
      <c r="VHZ110"/>
      <c r="VIA110"/>
      <c r="VIB110"/>
      <c r="VIC110"/>
      <c r="VID110"/>
      <c r="VIE110"/>
      <c r="VIF110"/>
      <c r="VIG110"/>
      <c r="VIH110"/>
      <c r="VII110"/>
      <c r="VIJ110"/>
      <c r="VIK110"/>
      <c r="VIL110"/>
      <c r="VIM110"/>
      <c r="VIN110"/>
      <c r="VIO110"/>
      <c r="VIP110"/>
      <c r="VIQ110"/>
      <c r="VIR110"/>
      <c r="VIS110"/>
      <c r="VIT110"/>
      <c r="VIU110"/>
      <c r="VIV110"/>
      <c r="VIW110"/>
      <c r="VIX110"/>
      <c r="VIY110"/>
      <c r="VIZ110"/>
      <c r="VJA110"/>
      <c r="VJB110"/>
      <c r="VJC110"/>
      <c r="VJD110"/>
      <c r="VJE110"/>
      <c r="VJF110"/>
      <c r="VJG110"/>
      <c r="VJH110"/>
      <c r="VJI110"/>
      <c r="VJJ110"/>
      <c r="VJK110"/>
      <c r="VJL110"/>
      <c r="VJM110"/>
      <c r="VJN110"/>
      <c r="VJO110"/>
      <c r="VJP110"/>
      <c r="VJQ110"/>
      <c r="VJR110"/>
      <c r="VJS110"/>
      <c r="VJT110"/>
      <c r="VJU110"/>
      <c r="VJV110"/>
      <c r="VJW110"/>
      <c r="VJX110"/>
      <c r="VJY110"/>
      <c r="VJZ110"/>
      <c r="VKA110"/>
      <c r="VKB110"/>
      <c r="VKC110"/>
      <c r="VKD110"/>
      <c r="VKE110"/>
      <c r="VKF110"/>
      <c r="VKG110"/>
      <c r="VKH110"/>
      <c r="VKI110"/>
      <c r="VKJ110"/>
      <c r="VKK110"/>
      <c r="VKL110"/>
      <c r="VKM110"/>
      <c r="VKN110"/>
      <c r="VKO110"/>
      <c r="VKP110"/>
      <c r="VKQ110"/>
      <c r="VKR110"/>
      <c r="VKS110"/>
      <c r="VKT110"/>
      <c r="VKU110"/>
      <c r="VKV110"/>
      <c r="VKW110"/>
      <c r="VKX110"/>
      <c r="VKY110"/>
      <c r="VKZ110"/>
      <c r="VLA110"/>
      <c r="VLB110"/>
      <c r="VLC110"/>
      <c r="VLD110"/>
      <c r="VLE110"/>
      <c r="VLF110"/>
      <c r="VLG110"/>
      <c r="VLH110"/>
      <c r="VLI110"/>
      <c r="VLJ110"/>
      <c r="VLK110"/>
      <c r="VLL110"/>
      <c r="VLM110"/>
      <c r="VLN110"/>
      <c r="VLO110"/>
      <c r="VLP110"/>
      <c r="VLQ110"/>
      <c r="VLR110"/>
      <c r="VLS110"/>
      <c r="VLT110"/>
      <c r="VLU110"/>
      <c r="VLV110"/>
      <c r="VLW110"/>
      <c r="VLX110"/>
      <c r="VLY110"/>
      <c r="VLZ110"/>
      <c r="VMA110"/>
      <c r="VMB110"/>
      <c r="VMC110"/>
      <c r="VMD110"/>
      <c r="VME110"/>
      <c r="VMF110"/>
      <c r="VMG110"/>
      <c r="VMH110"/>
      <c r="VMI110"/>
      <c r="VMJ110"/>
      <c r="VMK110"/>
      <c r="VML110"/>
      <c r="VMM110"/>
      <c r="VMN110"/>
      <c r="VMO110"/>
      <c r="VMP110"/>
      <c r="VMQ110"/>
      <c r="VMR110"/>
      <c r="VMS110"/>
      <c r="VMT110"/>
      <c r="VMU110"/>
      <c r="VMV110"/>
      <c r="VMW110"/>
      <c r="VMX110"/>
      <c r="VMY110"/>
      <c r="VMZ110"/>
      <c r="VNA110"/>
      <c r="VNB110"/>
      <c r="VNC110"/>
      <c r="VND110"/>
      <c r="VNE110"/>
      <c r="VNF110"/>
      <c r="VNG110"/>
      <c r="VNH110"/>
      <c r="VNI110"/>
      <c r="VNJ110"/>
      <c r="VNK110"/>
      <c r="VNL110"/>
      <c r="VNM110"/>
      <c r="VNN110"/>
      <c r="VNO110"/>
      <c r="VNP110"/>
      <c r="VNQ110"/>
      <c r="VNR110"/>
      <c r="VNS110"/>
      <c r="VNT110"/>
      <c r="VNU110"/>
      <c r="VNV110"/>
      <c r="VNW110"/>
      <c r="VNX110"/>
      <c r="VNY110"/>
      <c r="VNZ110"/>
      <c r="VOA110"/>
      <c r="VOB110"/>
      <c r="VOC110"/>
      <c r="VOD110"/>
      <c r="VOE110"/>
      <c r="VOF110"/>
      <c r="VOG110"/>
      <c r="VOH110"/>
      <c r="VOI110"/>
      <c r="VOJ110"/>
      <c r="VOK110"/>
      <c r="VOL110"/>
      <c r="VOM110"/>
      <c r="VON110"/>
      <c r="VOO110"/>
      <c r="VOP110"/>
      <c r="VOQ110"/>
      <c r="VOR110"/>
      <c r="VOS110"/>
      <c r="VOT110"/>
      <c r="VOU110"/>
      <c r="VOV110"/>
      <c r="VOW110"/>
      <c r="VOX110"/>
      <c r="VOY110"/>
      <c r="VOZ110"/>
      <c r="VPA110"/>
      <c r="VPB110"/>
      <c r="VPC110"/>
      <c r="VPD110"/>
      <c r="VPE110"/>
      <c r="VPF110"/>
      <c r="VPG110"/>
      <c r="VPH110"/>
      <c r="VPI110"/>
      <c r="VPJ110"/>
      <c r="VPK110"/>
      <c r="VPL110"/>
      <c r="VPM110"/>
      <c r="VPN110"/>
      <c r="VPO110"/>
      <c r="VPP110"/>
      <c r="VPQ110"/>
      <c r="VPR110"/>
      <c r="VPS110"/>
      <c r="VPT110"/>
      <c r="VPU110"/>
      <c r="VPV110"/>
      <c r="VPW110"/>
      <c r="VPX110"/>
      <c r="VPY110"/>
      <c r="VPZ110"/>
      <c r="VQA110"/>
      <c r="VQB110"/>
      <c r="VQC110"/>
      <c r="VQD110"/>
      <c r="VQE110"/>
      <c r="VQF110"/>
      <c r="VQG110"/>
      <c r="VQH110"/>
      <c r="VQI110"/>
      <c r="VQJ110"/>
      <c r="VQK110"/>
      <c r="VQL110"/>
      <c r="VQM110"/>
      <c r="VQN110"/>
      <c r="VQO110"/>
      <c r="VQP110"/>
      <c r="VQQ110"/>
      <c r="VQR110"/>
      <c r="VQS110"/>
      <c r="VQT110"/>
      <c r="VQU110"/>
      <c r="VQV110"/>
      <c r="VQW110"/>
      <c r="VQX110"/>
      <c r="VQY110"/>
      <c r="VQZ110"/>
      <c r="VRA110"/>
      <c r="VRB110"/>
      <c r="VRC110"/>
      <c r="VRD110"/>
      <c r="VRE110"/>
      <c r="VRF110"/>
      <c r="VRG110"/>
      <c r="VRH110"/>
      <c r="VRI110"/>
      <c r="VRJ110"/>
      <c r="VRK110"/>
      <c r="VRL110"/>
      <c r="VRM110"/>
      <c r="VRN110"/>
      <c r="VRO110"/>
      <c r="VRP110"/>
      <c r="VRQ110"/>
      <c r="VRR110"/>
      <c r="VRS110"/>
      <c r="VRT110"/>
      <c r="VRU110"/>
      <c r="VRV110"/>
      <c r="VRW110"/>
      <c r="VRX110"/>
      <c r="VRY110"/>
      <c r="VRZ110"/>
      <c r="VSA110"/>
      <c r="VSB110"/>
      <c r="VSC110"/>
      <c r="VSD110"/>
      <c r="VSE110"/>
      <c r="VSF110"/>
      <c r="VSG110"/>
      <c r="VSH110"/>
      <c r="VSI110"/>
      <c r="VSJ110"/>
      <c r="VSK110"/>
      <c r="VSL110"/>
      <c r="VSM110"/>
      <c r="VSN110"/>
      <c r="VSO110"/>
      <c r="VSP110"/>
      <c r="VSQ110"/>
      <c r="VSR110"/>
      <c r="VSS110"/>
      <c r="VST110"/>
      <c r="VSU110"/>
      <c r="VSV110"/>
      <c r="VSW110"/>
      <c r="VSX110"/>
      <c r="VSY110"/>
      <c r="VSZ110"/>
      <c r="VTA110"/>
      <c r="VTB110"/>
      <c r="VTC110"/>
      <c r="VTD110"/>
      <c r="VTE110"/>
      <c r="VTF110"/>
      <c r="VTG110"/>
      <c r="VTH110"/>
      <c r="VTI110"/>
      <c r="VTJ110"/>
      <c r="VTK110"/>
      <c r="VTL110"/>
      <c r="VTM110"/>
      <c r="VTN110"/>
      <c r="VTO110"/>
      <c r="VTP110"/>
      <c r="VTQ110"/>
      <c r="VTR110"/>
      <c r="VTS110"/>
      <c r="VTT110"/>
      <c r="VTU110"/>
      <c r="VTV110"/>
      <c r="VTW110"/>
      <c r="VTX110"/>
      <c r="VTY110"/>
      <c r="VTZ110"/>
      <c r="VUA110"/>
      <c r="VUB110"/>
      <c r="VUC110"/>
      <c r="VUD110"/>
      <c r="VUE110"/>
      <c r="VUF110"/>
      <c r="VUG110"/>
      <c r="VUH110"/>
      <c r="VUI110"/>
      <c r="VUJ110"/>
      <c r="VUK110"/>
      <c r="VUL110"/>
      <c r="VUM110"/>
      <c r="VUN110"/>
      <c r="VUO110"/>
      <c r="VUP110"/>
      <c r="VUQ110"/>
      <c r="VUR110"/>
      <c r="VUS110"/>
      <c r="VUT110"/>
      <c r="VUU110"/>
      <c r="VUV110"/>
      <c r="VUW110"/>
      <c r="VUX110"/>
      <c r="VUY110"/>
      <c r="VUZ110"/>
      <c r="VVA110"/>
      <c r="VVB110"/>
      <c r="VVC110"/>
      <c r="VVD110"/>
      <c r="VVE110"/>
      <c r="VVF110"/>
      <c r="VVG110"/>
      <c r="VVH110"/>
      <c r="VVI110"/>
      <c r="VVJ110"/>
      <c r="VVK110"/>
      <c r="VVL110"/>
      <c r="VVM110"/>
      <c r="VVN110"/>
      <c r="VVO110"/>
      <c r="VVP110"/>
      <c r="VVQ110"/>
      <c r="VVR110"/>
      <c r="VVS110"/>
      <c r="VVT110"/>
      <c r="VVU110"/>
      <c r="VVV110"/>
      <c r="VVW110"/>
      <c r="VVX110"/>
      <c r="VVY110"/>
      <c r="VVZ110"/>
      <c r="VWA110"/>
    </row>
    <row r="111" spans="2:113 15079:15471" s="1" customFormat="1" x14ac:dyDescent="0.25">
      <c r="B111" s="223"/>
      <c r="C111" s="158" t="s">
        <v>52</v>
      </c>
      <c r="D111" s="159"/>
      <c r="E111" s="160" t="s">
        <v>16</v>
      </c>
      <c r="F111" s="191"/>
      <c r="G111" s="191"/>
      <c r="H111" s="167">
        <v>0</v>
      </c>
      <c r="I111" s="171"/>
      <c r="J111" s="167"/>
      <c r="K111" s="167"/>
      <c r="L111" s="167"/>
      <c r="M111" s="167"/>
      <c r="N111" s="167"/>
      <c r="O111" s="167"/>
      <c r="P111" s="171"/>
      <c r="Q111" s="167"/>
      <c r="R111" s="167"/>
      <c r="S111" s="167"/>
      <c r="T111" s="167"/>
      <c r="U111" s="191">
        <v>75238.98</v>
      </c>
      <c r="V111" s="191">
        <v>3629.05</v>
      </c>
      <c r="W111" s="107"/>
      <c r="X111" s="167"/>
      <c r="Y111" s="167"/>
      <c r="Z111" s="167"/>
      <c r="AA111" s="167"/>
      <c r="AB111" s="167"/>
      <c r="AC111" s="167"/>
      <c r="AD111" s="137">
        <v>25599.74</v>
      </c>
      <c r="AE111" s="191">
        <v>28845.97</v>
      </c>
      <c r="AF111" s="167"/>
      <c r="AG111" s="361"/>
      <c r="AH111" s="361"/>
      <c r="AI111" s="247"/>
      <c r="AJ111" s="16"/>
      <c r="AK111" s="37">
        <f>SUM(AK112:AK113)</f>
        <v>133313.74000000002</v>
      </c>
      <c r="CQ111" s="4"/>
      <c r="CR111" s="29"/>
      <c r="CS111" s="29"/>
      <c r="CT111" s="29"/>
      <c r="CU111" s="4"/>
      <c r="CV111" s="29"/>
      <c r="CW111" s="29"/>
      <c r="CX111" s="29"/>
      <c r="CY111" s="29"/>
      <c r="CZ111" s="29"/>
      <c r="DI111" s="29"/>
    </row>
    <row r="112" spans="2:113 15079:15471" s="1" customFormat="1" x14ac:dyDescent="0.25">
      <c r="B112" s="223"/>
      <c r="C112" s="164" t="s">
        <v>44</v>
      </c>
      <c r="D112" s="118"/>
      <c r="E112" s="160" t="s">
        <v>16</v>
      </c>
      <c r="F112" s="137">
        <f t="shared" ref="F112:AF112" si="41">SUM(F116:F117)*10.86</f>
        <v>0</v>
      </c>
      <c r="G112" s="137">
        <f t="shared" si="41"/>
        <v>0</v>
      </c>
      <c r="H112" s="137">
        <f t="shared" si="41"/>
        <v>0</v>
      </c>
      <c r="I112" s="137">
        <f t="shared" si="41"/>
        <v>0</v>
      </c>
      <c r="J112" s="137">
        <f t="shared" si="41"/>
        <v>0</v>
      </c>
      <c r="K112" s="137">
        <f t="shared" si="41"/>
        <v>0</v>
      </c>
      <c r="L112" s="137">
        <f t="shared" si="41"/>
        <v>0</v>
      </c>
      <c r="M112" s="137">
        <f t="shared" si="41"/>
        <v>0</v>
      </c>
      <c r="N112" s="137">
        <f t="shared" si="41"/>
        <v>0</v>
      </c>
      <c r="O112" s="137">
        <f t="shared" si="41"/>
        <v>0</v>
      </c>
      <c r="P112" s="137">
        <f t="shared" si="41"/>
        <v>0</v>
      </c>
      <c r="Q112" s="137">
        <f t="shared" si="41"/>
        <v>0</v>
      </c>
      <c r="R112" s="137">
        <f t="shared" si="41"/>
        <v>0</v>
      </c>
      <c r="S112" s="137">
        <f t="shared" si="41"/>
        <v>0</v>
      </c>
      <c r="T112" s="137">
        <f t="shared" si="41"/>
        <v>0</v>
      </c>
      <c r="U112" s="137">
        <f t="shared" si="41"/>
        <v>75227.22</v>
      </c>
      <c r="V112" s="137">
        <f t="shared" si="41"/>
        <v>3627.24</v>
      </c>
      <c r="W112" s="137">
        <f>SUM(W116:W117)*10.86</f>
        <v>0</v>
      </c>
      <c r="X112" s="137">
        <f t="shared" si="41"/>
        <v>0</v>
      </c>
      <c r="Y112" s="137">
        <f t="shared" si="41"/>
        <v>0</v>
      </c>
      <c r="Z112" s="137">
        <f t="shared" si="41"/>
        <v>0</v>
      </c>
      <c r="AA112" s="137">
        <f t="shared" si="41"/>
        <v>0</v>
      </c>
      <c r="AB112" s="137">
        <f t="shared" si="41"/>
        <v>0</v>
      </c>
      <c r="AC112" s="137">
        <f t="shared" si="41"/>
        <v>0</v>
      </c>
      <c r="AD112" s="137">
        <f t="shared" si="41"/>
        <v>25597.02</v>
      </c>
      <c r="AE112" s="137">
        <f t="shared" si="41"/>
        <v>28844.16</v>
      </c>
      <c r="AF112" s="137">
        <f t="shared" si="41"/>
        <v>0</v>
      </c>
      <c r="AG112" s="359"/>
      <c r="AH112" s="359"/>
      <c r="AI112" s="233"/>
      <c r="AJ112" s="9"/>
      <c r="AK112" s="32">
        <f>SUM(F112:AI112)</f>
        <v>133295.64000000001</v>
      </c>
      <c r="CQ112" s="250"/>
      <c r="CR112" s="38"/>
      <c r="CS112" s="38"/>
      <c r="CT112" s="38"/>
      <c r="CU112" s="38"/>
      <c r="CV112" s="38"/>
      <c r="CW112" s="29"/>
      <c r="CX112" s="29"/>
      <c r="CY112" s="29"/>
      <c r="CZ112" s="29"/>
      <c r="DI112" s="29"/>
    </row>
    <row r="113" spans="2:113 15079:15471" s="1" customFormat="1" x14ac:dyDescent="0.25">
      <c r="B113" s="223"/>
      <c r="C113" s="164" t="s">
        <v>43</v>
      </c>
      <c r="D113" s="118"/>
      <c r="E113" s="160" t="s">
        <v>16</v>
      </c>
      <c r="F113" s="137">
        <f t="shared" ref="F113:AF113" si="42">F111-F112</f>
        <v>0</v>
      </c>
      <c r="G113" s="137">
        <f t="shared" si="42"/>
        <v>0</v>
      </c>
      <c r="H113" s="137">
        <f t="shared" si="42"/>
        <v>0</v>
      </c>
      <c r="I113" s="137">
        <f t="shared" si="42"/>
        <v>0</v>
      </c>
      <c r="J113" s="137">
        <f t="shared" si="42"/>
        <v>0</v>
      </c>
      <c r="K113" s="137">
        <f t="shared" si="42"/>
        <v>0</v>
      </c>
      <c r="L113" s="137">
        <f t="shared" si="42"/>
        <v>0</v>
      </c>
      <c r="M113" s="137">
        <f t="shared" si="42"/>
        <v>0</v>
      </c>
      <c r="N113" s="137">
        <f t="shared" si="42"/>
        <v>0</v>
      </c>
      <c r="O113" s="137">
        <f t="shared" si="42"/>
        <v>0</v>
      </c>
      <c r="P113" s="137">
        <f t="shared" si="42"/>
        <v>0</v>
      </c>
      <c r="Q113" s="137">
        <f t="shared" si="42"/>
        <v>0</v>
      </c>
      <c r="R113" s="137">
        <f t="shared" si="42"/>
        <v>0</v>
      </c>
      <c r="S113" s="137">
        <f t="shared" si="42"/>
        <v>0</v>
      </c>
      <c r="T113" s="137">
        <f t="shared" si="42"/>
        <v>0</v>
      </c>
      <c r="U113" s="137">
        <f t="shared" si="42"/>
        <v>11.759999999994761</v>
      </c>
      <c r="V113" s="137">
        <f t="shared" si="42"/>
        <v>1.8100000000004002</v>
      </c>
      <c r="W113" s="137">
        <f t="shared" si="42"/>
        <v>0</v>
      </c>
      <c r="X113" s="137">
        <f t="shared" si="42"/>
        <v>0</v>
      </c>
      <c r="Y113" s="137">
        <f t="shared" si="42"/>
        <v>0</v>
      </c>
      <c r="Z113" s="137">
        <f t="shared" si="42"/>
        <v>0</v>
      </c>
      <c r="AA113" s="137">
        <f t="shared" si="42"/>
        <v>0</v>
      </c>
      <c r="AB113" s="137">
        <f t="shared" si="42"/>
        <v>0</v>
      </c>
      <c r="AC113" s="137">
        <f t="shared" si="42"/>
        <v>0</v>
      </c>
      <c r="AD113" s="137">
        <f t="shared" si="42"/>
        <v>2.7200000000011642</v>
      </c>
      <c r="AE113" s="137">
        <f t="shared" si="42"/>
        <v>1.8100000000013097</v>
      </c>
      <c r="AF113" s="137">
        <f t="shared" si="42"/>
        <v>0</v>
      </c>
      <c r="AG113" s="359"/>
      <c r="AH113" s="359"/>
      <c r="AI113" s="233"/>
      <c r="AJ113" s="9"/>
      <c r="AK113" s="32">
        <f>SUM(F113:AI113)</f>
        <v>18.099999999997635</v>
      </c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I113" s="29"/>
    </row>
    <row r="114" spans="2:113 15079:15471" s="1" customFormat="1" x14ac:dyDescent="0.25">
      <c r="B114" s="223"/>
      <c r="C114" s="164" t="s">
        <v>56</v>
      </c>
      <c r="D114" s="118"/>
      <c r="E114" s="101" t="s">
        <v>16</v>
      </c>
      <c r="F114" s="137">
        <v>0</v>
      </c>
      <c r="G114" s="137"/>
      <c r="H114" s="137">
        <v>0</v>
      </c>
      <c r="I114" s="137">
        <v>0</v>
      </c>
      <c r="J114" s="137">
        <v>0</v>
      </c>
      <c r="K114" s="137">
        <v>0</v>
      </c>
      <c r="L114" s="137">
        <v>0</v>
      </c>
      <c r="M114" s="137">
        <v>0</v>
      </c>
      <c r="N114" s="137">
        <v>0</v>
      </c>
      <c r="O114" s="137">
        <v>0</v>
      </c>
      <c r="P114" s="137">
        <v>0</v>
      </c>
      <c r="Q114" s="137">
        <v>0</v>
      </c>
      <c r="R114" s="137">
        <v>0</v>
      </c>
      <c r="S114" s="137"/>
      <c r="T114" s="137">
        <v>0</v>
      </c>
      <c r="U114" s="137">
        <v>0</v>
      </c>
      <c r="V114" s="137"/>
      <c r="W114" s="137">
        <v>0</v>
      </c>
      <c r="X114" s="137">
        <v>0</v>
      </c>
      <c r="Y114" s="137"/>
      <c r="Z114" s="137">
        <v>0</v>
      </c>
      <c r="AA114" s="137">
        <v>0</v>
      </c>
      <c r="AB114" s="137">
        <v>0</v>
      </c>
      <c r="AC114" s="137">
        <v>0</v>
      </c>
      <c r="AD114" s="137">
        <v>0</v>
      </c>
      <c r="AE114" s="137"/>
      <c r="AF114" s="137">
        <v>0</v>
      </c>
      <c r="AG114" s="359"/>
      <c r="AH114" s="359"/>
      <c r="AI114" s="233"/>
      <c r="AJ114" s="9"/>
      <c r="AK114" s="32">
        <f>SUM(F114:AI114)</f>
        <v>0</v>
      </c>
      <c r="DI114" s="29"/>
    </row>
    <row r="115" spans="2:113 15079:15471" s="1" customFormat="1" x14ac:dyDescent="0.25">
      <c r="B115" s="223"/>
      <c r="C115" s="164" t="s">
        <v>33</v>
      </c>
      <c r="D115" s="118"/>
      <c r="E115" s="101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351"/>
      <c r="AH115" s="351"/>
      <c r="AI115" s="217"/>
      <c r="AJ115" s="9"/>
      <c r="AK115" s="33" t="s">
        <v>33</v>
      </c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I115" s="29"/>
    </row>
    <row r="116" spans="2:113 15079:15471" s="44" customFormat="1" x14ac:dyDescent="0.25">
      <c r="B116" s="228"/>
      <c r="C116" s="85" t="s">
        <v>51</v>
      </c>
      <c r="D116" s="86"/>
      <c r="E116" s="246" t="s">
        <v>36</v>
      </c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167"/>
      <c r="Q116" s="167"/>
      <c r="R116" s="167"/>
      <c r="S116" s="167"/>
      <c r="T116" s="167"/>
      <c r="U116" s="167"/>
      <c r="V116" s="167"/>
      <c r="W116" s="167">
        <v>0</v>
      </c>
      <c r="X116" s="167"/>
      <c r="Y116" s="167"/>
      <c r="Z116" s="167">
        <v>0</v>
      </c>
      <c r="AA116" s="167">
        <v>0</v>
      </c>
      <c r="AB116" s="167"/>
      <c r="AC116" s="167"/>
      <c r="AD116" s="167">
        <v>2357</v>
      </c>
      <c r="AE116" s="167">
        <v>2656</v>
      </c>
      <c r="AF116" s="167">
        <v>0</v>
      </c>
      <c r="AG116" s="361"/>
      <c r="AH116" s="361"/>
      <c r="AI116" s="247"/>
      <c r="AJ116" s="36"/>
      <c r="AK116" s="35">
        <f>SUM(F116:AI116)</f>
        <v>5013</v>
      </c>
      <c r="CQ116" s="248"/>
      <c r="CR116" s="248"/>
      <c r="CS116" s="248"/>
      <c r="CT116" s="248"/>
      <c r="CU116" s="248"/>
      <c r="CV116" s="248"/>
      <c r="CW116" s="248"/>
      <c r="CX116" s="248"/>
      <c r="CY116" s="248"/>
      <c r="CZ116" s="248"/>
      <c r="DI116" s="248"/>
    </row>
    <row r="117" spans="2:113 15079:15471" s="44" customFormat="1" x14ac:dyDescent="0.2">
      <c r="B117" s="228"/>
      <c r="C117" s="85" t="s">
        <v>50</v>
      </c>
      <c r="D117" s="86"/>
      <c r="E117" s="246" t="s">
        <v>36</v>
      </c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>
        <v>6927</v>
      </c>
      <c r="V117" s="167">
        <v>334</v>
      </c>
      <c r="W117" s="167"/>
      <c r="X117" s="167"/>
      <c r="Y117" s="167"/>
      <c r="Z117" s="167">
        <v>0</v>
      </c>
      <c r="AA117" s="167">
        <v>0</v>
      </c>
      <c r="AB117" s="167"/>
      <c r="AC117" s="167"/>
      <c r="AD117" s="107"/>
      <c r="AE117" s="167"/>
      <c r="AF117" s="167">
        <v>0</v>
      </c>
      <c r="AG117" s="361"/>
      <c r="AH117" s="361"/>
      <c r="AI117" s="247"/>
      <c r="AJ117" s="36"/>
      <c r="AK117" s="35">
        <f>SUM(F117:AI117)</f>
        <v>7261</v>
      </c>
      <c r="CQ117" s="248"/>
      <c r="CR117" s="248"/>
      <c r="CS117" s="248"/>
      <c r="CT117" s="248"/>
      <c r="CU117" s="248"/>
      <c r="CV117" s="248"/>
      <c r="CW117" s="248"/>
      <c r="CX117" s="248"/>
      <c r="CY117" s="248"/>
      <c r="CZ117" s="248"/>
      <c r="DI117" s="248"/>
    </row>
    <row r="118" spans="2:113 15079:15471" s="1" customFormat="1" x14ac:dyDescent="0.25">
      <c r="B118" s="223"/>
      <c r="C118" s="164" t="s">
        <v>32</v>
      </c>
      <c r="D118" s="118"/>
      <c r="E118" s="101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351"/>
      <c r="AH118" s="351"/>
      <c r="AI118" s="217"/>
      <c r="AJ118" s="9"/>
      <c r="AK118" s="33" t="s">
        <v>32</v>
      </c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I118" s="29"/>
    </row>
    <row r="119" spans="2:113 15079:15471" s="1" customFormat="1" x14ac:dyDescent="0.25">
      <c r="B119" s="223"/>
      <c r="C119" s="85" t="s">
        <v>51</v>
      </c>
      <c r="D119" s="118"/>
      <c r="E119" s="160" t="s">
        <v>32</v>
      </c>
      <c r="F119" s="107">
        <f t="shared" ref="F119:AF119" si="43">F116*12</f>
        <v>0</v>
      </c>
      <c r="G119" s="107">
        <f t="shared" si="43"/>
        <v>0</v>
      </c>
      <c r="H119" s="107">
        <f t="shared" si="43"/>
        <v>0</v>
      </c>
      <c r="I119" s="107">
        <f t="shared" si="43"/>
        <v>0</v>
      </c>
      <c r="J119" s="107">
        <f t="shared" si="43"/>
        <v>0</v>
      </c>
      <c r="K119" s="107">
        <f t="shared" si="43"/>
        <v>0</v>
      </c>
      <c r="L119" s="107">
        <f t="shared" si="43"/>
        <v>0</v>
      </c>
      <c r="M119" s="107">
        <f t="shared" si="43"/>
        <v>0</v>
      </c>
      <c r="N119" s="107">
        <f t="shared" si="43"/>
        <v>0</v>
      </c>
      <c r="O119" s="107">
        <f t="shared" si="43"/>
        <v>0</v>
      </c>
      <c r="P119" s="107">
        <f t="shared" si="43"/>
        <v>0</v>
      </c>
      <c r="Q119" s="107">
        <f t="shared" si="43"/>
        <v>0</v>
      </c>
      <c r="R119" s="107">
        <f t="shared" si="43"/>
        <v>0</v>
      </c>
      <c r="S119" s="107">
        <f t="shared" si="43"/>
        <v>0</v>
      </c>
      <c r="T119" s="107">
        <f t="shared" si="43"/>
        <v>0</v>
      </c>
      <c r="U119" s="107">
        <f t="shared" si="43"/>
        <v>0</v>
      </c>
      <c r="V119" s="107">
        <f t="shared" si="43"/>
        <v>0</v>
      </c>
      <c r="W119" s="107">
        <f t="shared" si="43"/>
        <v>0</v>
      </c>
      <c r="X119" s="107">
        <f t="shared" si="43"/>
        <v>0</v>
      </c>
      <c r="Y119" s="107">
        <f t="shared" si="43"/>
        <v>0</v>
      </c>
      <c r="Z119" s="107">
        <f t="shared" si="43"/>
        <v>0</v>
      </c>
      <c r="AA119" s="107">
        <f t="shared" si="43"/>
        <v>0</v>
      </c>
      <c r="AB119" s="107">
        <f t="shared" si="43"/>
        <v>0</v>
      </c>
      <c r="AC119" s="107">
        <f t="shared" si="43"/>
        <v>0</v>
      </c>
      <c r="AD119" s="107">
        <f t="shared" si="43"/>
        <v>28284</v>
      </c>
      <c r="AE119" s="107">
        <f t="shared" si="43"/>
        <v>31872</v>
      </c>
      <c r="AF119" s="107">
        <f t="shared" si="43"/>
        <v>0</v>
      </c>
      <c r="AG119" s="351"/>
      <c r="AH119" s="351"/>
      <c r="AI119" s="217"/>
      <c r="AJ119" s="9"/>
      <c r="AK119" s="17">
        <f>AK116*12</f>
        <v>60156</v>
      </c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I119" s="29"/>
    </row>
    <row r="120" spans="2:113 15079:15471" s="1" customFormat="1" x14ac:dyDescent="0.25">
      <c r="B120" s="223"/>
      <c r="C120" s="85" t="s">
        <v>50</v>
      </c>
      <c r="D120" s="118"/>
      <c r="E120" s="160" t="s">
        <v>32</v>
      </c>
      <c r="F120" s="107">
        <f t="shared" ref="F120:AF120" si="44">F117*6</f>
        <v>0</v>
      </c>
      <c r="G120" s="107">
        <f t="shared" si="44"/>
        <v>0</v>
      </c>
      <c r="H120" s="107">
        <f t="shared" si="44"/>
        <v>0</v>
      </c>
      <c r="I120" s="107">
        <f t="shared" si="44"/>
        <v>0</v>
      </c>
      <c r="J120" s="107">
        <f t="shared" si="44"/>
        <v>0</v>
      </c>
      <c r="K120" s="107">
        <f t="shared" si="44"/>
        <v>0</v>
      </c>
      <c r="L120" s="107">
        <f t="shared" si="44"/>
        <v>0</v>
      </c>
      <c r="M120" s="107">
        <f t="shared" si="44"/>
        <v>0</v>
      </c>
      <c r="N120" s="107">
        <f t="shared" si="44"/>
        <v>0</v>
      </c>
      <c r="O120" s="107">
        <f t="shared" si="44"/>
        <v>0</v>
      </c>
      <c r="P120" s="107">
        <f t="shared" si="44"/>
        <v>0</v>
      </c>
      <c r="Q120" s="107">
        <f t="shared" si="44"/>
        <v>0</v>
      </c>
      <c r="R120" s="107">
        <f t="shared" si="44"/>
        <v>0</v>
      </c>
      <c r="S120" s="107">
        <f t="shared" si="44"/>
        <v>0</v>
      </c>
      <c r="T120" s="107">
        <f t="shared" si="44"/>
        <v>0</v>
      </c>
      <c r="U120" s="107">
        <f t="shared" si="44"/>
        <v>41562</v>
      </c>
      <c r="V120" s="107">
        <f t="shared" si="44"/>
        <v>2004</v>
      </c>
      <c r="W120" s="107">
        <f t="shared" si="44"/>
        <v>0</v>
      </c>
      <c r="X120" s="107">
        <f t="shared" si="44"/>
        <v>0</v>
      </c>
      <c r="Y120" s="107">
        <f t="shared" si="44"/>
        <v>0</v>
      </c>
      <c r="Z120" s="107">
        <f t="shared" si="44"/>
        <v>0</v>
      </c>
      <c r="AA120" s="107">
        <f t="shared" si="44"/>
        <v>0</v>
      </c>
      <c r="AB120" s="107">
        <f t="shared" si="44"/>
        <v>0</v>
      </c>
      <c r="AC120" s="107">
        <f t="shared" si="44"/>
        <v>0</v>
      </c>
      <c r="AD120" s="107">
        <f t="shared" si="44"/>
        <v>0</v>
      </c>
      <c r="AE120" s="107">
        <f t="shared" si="44"/>
        <v>0</v>
      </c>
      <c r="AF120" s="107">
        <f t="shared" si="44"/>
        <v>0</v>
      </c>
      <c r="AG120" s="351"/>
      <c r="AH120" s="351"/>
      <c r="AI120" s="217"/>
      <c r="AJ120" s="9"/>
      <c r="AK120" s="17">
        <f>AK117*6</f>
        <v>43566</v>
      </c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I120" s="29"/>
    </row>
    <row r="121" spans="2:113 15079:15471" s="1" customFormat="1" x14ac:dyDescent="0.25">
      <c r="B121" s="223"/>
      <c r="C121" s="164" t="s">
        <v>41</v>
      </c>
      <c r="D121" s="118"/>
      <c r="E121" s="160" t="s">
        <v>40</v>
      </c>
      <c r="F121" s="107">
        <v>0</v>
      </c>
      <c r="G121" s="107">
        <f>(G111*45)/1700</f>
        <v>0</v>
      </c>
      <c r="H121" s="107">
        <f t="shared" ref="H121:Y121" si="45">(H111*45)/1700</f>
        <v>0</v>
      </c>
      <c r="I121" s="107">
        <f t="shared" si="45"/>
        <v>0</v>
      </c>
      <c r="J121" s="107">
        <f t="shared" si="45"/>
        <v>0</v>
      </c>
      <c r="K121" s="107">
        <f t="shared" si="45"/>
        <v>0</v>
      </c>
      <c r="L121" s="107">
        <f t="shared" si="45"/>
        <v>0</v>
      </c>
      <c r="M121" s="107">
        <f t="shared" si="45"/>
        <v>0</v>
      </c>
      <c r="N121" s="107">
        <f t="shared" si="45"/>
        <v>0</v>
      </c>
      <c r="O121" s="107">
        <f t="shared" si="45"/>
        <v>0</v>
      </c>
      <c r="P121" s="107">
        <f t="shared" si="45"/>
        <v>0</v>
      </c>
      <c r="Q121" s="107">
        <f t="shared" si="45"/>
        <v>0</v>
      </c>
      <c r="R121" s="107">
        <f t="shared" si="45"/>
        <v>0</v>
      </c>
      <c r="S121" s="107">
        <f t="shared" si="45"/>
        <v>0</v>
      </c>
      <c r="T121" s="107">
        <f t="shared" si="45"/>
        <v>0</v>
      </c>
      <c r="U121" s="107">
        <f t="shared" si="45"/>
        <v>1991.6200588235292</v>
      </c>
      <c r="V121" s="107">
        <f t="shared" si="45"/>
        <v>96.063088235294117</v>
      </c>
      <c r="W121" s="107">
        <f t="shared" si="45"/>
        <v>0</v>
      </c>
      <c r="X121" s="107">
        <f t="shared" si="45"/>
        <v>0</v>
      </c>
      <c r="Y121" s="107">
        <f t="shared" si="45"/>
        <v>0</v>
      </c>
      <c r="Z121" s="107">
        <f t="shared" ref="Z121:AF121" si="46">Z111*45/1700</f>
        <v>0</v>
      </c>
      <c r="AA121" s="107">
        <f t="shared" si="46"/>
        <v>0</v>
      </c>
      <c r="AB121" s="107">
        <f t="shared" si="46"/>
        <v>0</v>
      </c>
      <c r="AC121" s="107">
        <f t="shared" si="46"/>
        <v>0</v>
      </c>
      <c r="AD121" s="107">
        <f t="shared" si="46"/>
        <v>677.64017647058824</v>
      </c>
      <c r="AE121" s="107">
        <f t="shared" si="46"/>
        <v>763.56979411764712</v>
      </c>
      <c r="AF121" s="107">
        <f t="shared" si="46"/>
        <v>0</v>
      </c>
      <c r="AG121" s="351"/>
      <c r="AH121" s="351"/>
      <c r="AI121" s="217"/>
      <c r="AJ121" s="9"/>
      <c r="AK121" s="17">
        <f>SUM(F121:AI121)</f>
        <v>3528.8931176470587</v>
      </c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I121" s="29"/>
    </row>
    <row r="122" spans="2:113 15079:15471" s="1" customFormat="1" x14ac:dyDescent="0.25">
      <c r="B122" s="223"/>
      <c r="C122" s="164" t="s">
        <v>39</v>
      </c>
      <c r="D122" s="118"/>
      <c r="E122" s="160" t="s">
        <v>38</v>
      </c>
      <c r="F122" s="107">
        <f t="shared" ref="F122:AF122" si="47">SUM(F116:F117)/500</f>
        <v>0</v>
      </c>
      <c r="G122" s="107">
        <f t="shared" si="47"/>
        <v>0</v>
      </c>
      <c r="H122" s="107">
        <f t="shared" si="47"/>
        <v>0</v>
      </c>
      <c r="I122" s="107">
        <f t="shared" si="47"/>
        <v>0</v>
      </c>
      <c r="J122" s="107">
        <f t="shared" si="47"/>
        <v>0</v>
      </c>
      <c r="K122" s="107">
        <f t="shared" si="47"/>
        <v>0</v>
      </c>
      <c r="L122" s="107">
        <f t="shared" si="47"/>
        <v>0</v>
      </c>
      <c r="M122" s="107">
        <f t="shared" si="47"/>
        <v>0</v>
      </c>
      <c r="N122" s="107">
        <f t="shared" si="47"/>
        <v>0</v>
      </c>
      <c r="O122" s="107">
        <f t="shared" si="47"/>
        <v>0</v>
      </c>
      <c r="P122" s="107">
        <f t="shared" si="47"/>
        <v>0</v>
      </c>
      <c r="Q122" s="107">
        <f t="shared" si="47"/>
        <v>0</v>
      </c>
      <c r="R122" s="107">
        <f t="shared" si="47"/>
        <v>0</v>
      </c>
      <c r="S122" s="107">
        <f t="shared" si="47"/>
        <v>0</v>
      </c>
      <c r="T122" s="107">
        <f t="shared" si="47"/>
        <v>0</v>
      </c>
      <c r="U122" s="107">
        <f t="shared" si="47"/>
        <v>13.853999999999999</v>
      </c>
      <c r="V122" s="107">
        <f t="shared" si="47"/>
        <v>0.66800000000000004</v>
      </c>
      <c r="W122" s="107">
        <f t="shared" si="47"/>
        <v>0</v>
      </c>
      <c r="X122" s="107">
        <f t="shared" si="47"/>
        <v>0</v>
      </c>
      <c r="Y122" s="107">
        <f t="shared" si="47"/>
        <v>0</v>
      </c>
      <c r="Z122" s="107">
        <f t="shared" si="47"/>
        <v>0</v>
      </c>
      <c r="AA122" s="107">
        <f t="shared" si="47"/>
        <v>0</v>
      </c>
      <c r="AB122" s="107">
        <f t="shared" si="47"/>
        <v>0</v>
      </c>
      <c r="AC122" s="107">
        <f t="shared" si="47"/>
        <v>0</v>
      </c>
      <c r="AD122" s="107">
        <f t="shared" si="47"/>
        <v>4.7140000000000004</v>
      </c>
      <c r="AE122" s="107">
        <f t="shared" si="47"/>
        <v>5.3120000000000003</v>
      </c>
      <c r="AF122" s="162">
        <f t="shared" si="47"/>
        <v>0</v>
      </c>
      <c r="AG122" s="362"/>
      <c r="AH122" s="362"/>
      <c r="AI122" s="400"/>
      <c r="AJ122" s="9"/>
      <c r="AK122" s="17">
        <f>SUM(F122:AI122)</f>
        <v>24.547999999999998</v>
      </c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I122" s="29"/>
    </row>
    <row r="123" spans="2:113 15079:15471" s="1" customFormat="1" x14ac:dyDescent="0.25">
      <c r="B123" s="215"/>
      <c r="C123" s="82" t="s">
        <v>37</v>
      </c>
      <c r="D123" s="98"/>
      <c r="E123" s="213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100"/>
      <c r="AD123" s="99"/>
      <c r="AE123" s="99"/>
      <c r="AF123" s="99"/>
      <c r="AG123" s="349"/>
      <c r="AH123" s="349"/>
      <c r="AI123" s="214"/>
      <c r="AJ123" s="21"/>
      <c r="AK123" s="34" t="s">
        <v>34</v>
      </c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I123" s="4"/>
      <c r="VGY123"/>
      <c r="VGZ123"/>
      <c r="VHA123"/>
      <c r="VHB123"/>
      <c r="VHC123"/>
      <c r="VHD123"/>
      <c r="VHE123"/>
      <c r="VHF123"/>
      <c r="VHG123"/>
      <c r="VHH123"/>
      <c r="VHI123"/>
      <c r="VHJ123"/>
      <c r="VHK123"/>
      <c r="VHL123"/>
      <c r="VHM123"/>
      <c r="VHN123"/>
      <c r="VHO123"/>
      <c r="VHP123"/>
      <c r="VHQ123"/>
      <c r="VHR123"/>
      <c r="VHS123"/>
      <c r="VHT123"/>
      <c r="VHU123"/>
      <c r="VHV123"/>
      <c r="VHW123"/>
      <c r="VHX123"/>
      <c r="VHY123"/>
      <c r="VHZ123"/>
      <c r="VIA123"/>
      <c r="VIB123"/>
      <c r="VIC123"/>
      <c r="VID123"/>
      <c r="VIE123"/>
      <c r="VIF123"/>
      <c r="VIG123"/>
      <c r="VIH123"/>
      <c r="VII123"/>
      <c r="VIJ123"/>
      <c r="VIK123"/>
      <c r="VIL123"/>
      <c r="VIM123"/>
      <c r="VIN123"/>
      <c r="VIO123"/>
      <c r="VIP123"/>
      <c r="VIQ123"/>
      <c r="VIR123"/>
      <c r="VIS123"/>
      <c r="VIT123"/>
      <c r="VIU123"/>
      <c r="VIV123"/>
      <c r="VIW123"/>
      <c r="VIX123"/>
      <c r="VIY123"/>
      <c r="VIZ123"/>
      <c r="VJA123"/>
      <c r="VJB123"/>
      <c r="VJC123"/>
      <c r="VJD123"/>
      <c r="VJE123"/>
      <c r="VJF123"/>
      <c r="VJG123"/>
      <c r="VJH123"/>
      <c r="VJI123"/>
      <c r="VJJ123"/>
      <c r="VJK123"/>
      <c r="VJL123"/>
      <c r="VJM123"/>
      <c r="VJN123"/>
      <c r="VJO123"/>
      <c r="VJP123"/>
      <c r="VJQ123"/>
      <c r="VJR123"/>
      <c r="VJS123"/>
      <c r="VJT123"/>
      <c r="VJU123"/>
      <c r="VJV123"/>
      <c r="VJW123"/>
      <c r="VJX123"/>
      <c r="VJY123"/>
      <c r="VJZ123"/>
      <c r="VKA123"/>
      <c r="VKB123"/>
      <c r="VKC123"/>
      <c r="VKD123"/>
      <c r="VKE123"/>
      <c r="VKF123"/>
      <c r="VKG123"/>
      <c r="VKH123"/>
      <c r="VKI123"/>
      <c r="VKJ123"/>
      <c r="VKK123"/>
      <c r="VKL123"/>
      <c r="VKM123"/>
      <c r="VKN123"/>
      <c r="VKO123"/>
      <c r="VKP123"/>
      <c r="VKQ123"/>
      <c r="VKR123"/>
      <c r="VKS123"/>
      <c r="VKT123"/>
      <c r="VKU123"/>
      <c r="VKV123"/>
      <c r="VKW123"/>
      <c r="VKX123"/>
      <c r="VKY123"/>
      <c r="VKZ123"/>
      <c r="VLA123"/>
      <c r="VLB123"/>
      <c r="VLC123"/>
      <c r="VLD123"/>
      <c r="VLE123"/>
      <c r="VLF123"/>
      <c r="VLG123"/>
      <c r="VLH123"/>
      <c r="VLI123"/>
      <c r="VLJ123"/>
      <c r="VLK123"/>
      <c r="VLL123"/>
      <c r="VLM123"/>
      <c r="VLN123"/>
      <c r="VLO123"/>
      <c r="VLP123"/>
      <c r="VLQ123"/>
      <c r="VLR123"/>
      <c r="VLS123"/>
      <c r="VLT123"/>
      <c r="VLU123"/>
      <c r="VLV123"/>
      <c r="VLW123"/>
      <c r="VLX123"/>
      <c r="VLY123"/>
      <c r="VLZ123"/>
      <c r="VMA123"/>
      <c r="VMB123"/>
      <c r="VMC123"/>
      <c r="VMD123"/>
      <c r="VME123"/>
      <c r="VMF123"/>
      <c r="VMG123"/>
      <c r="VMH123"/>
      <c r="VMI123"/>
      <c r="VMJ123"/>
      <c r="VMK123"/>
      <c r="VML123"/>
      <c r="VMM123"/>
      <c r="VMN123"/>
      <c r="VMO123"/>
      <c r="VMP123"/>
      <c r="VMQ123"/>
      <c r="VMR123"/>
      <c r="VMS123"/>
      <c r="VMT123"/>
      <c r="VMU123"/>
      <c r="VMV123"/>
      <c r="VMW123"/>
      <c r="VMX123"/>
      <c r="VMY123"/>
      <c r="VMZ123"/>
      <c r="VNA123"/>
      <c r="VNB123"/>
      <c r="VNC123"/>
      <c r="VND123"/>
      <c r="VNE123"/>
      <c r="VNF123"/>
      <c r="VNG123"/>
      <c r="VNH123"/>
      <c r="VNI123"/>
      <c r="VNJ123"/>
      <c r="VNK123"/>
      <c r="VNL123"/>
      <c r="VNM123"/>
      <c r="VNN123"/>
      <c r="VNO123"/>
      <c r="VNP123"/>
      <c r="VNQ123"/>
      <c r="VNR123"/>
      <c r="VNS123"/>
      <c r="VNT123"/>
      <c r="VNU123"/>
      <c r="VNV123"/>
      <c r="VNW123"/>
      <c r="VNX123"/>
      <c r="VNY123"/>
      <c r="VNZ123"/>
      <c r="VOA123"/>
      <c r="VOB123"/>
      <c r="VOC123"/>
      <c r="VOD123"/>
      <c r="VOE123"/>
      <c r="VOF123"/>
      <c r="VOG123"/>
      <c r="VOH123"/>
      <c r="VOI123"/>
      <c r="VOJ123"/>
      <c r="VOK123"/>
      <c r="VOL123"/>
      <c r="VOM123"/>
      <c r="VON123"/>
      <c r="VOO123"/>
      <c r="VOP123"/>
      <c r="VOQ123"/>
      <c r="VOR123"/>
      <c r="VOS123"/>
      <c r="VOT123"/>
      <c r="VOU123"/>
      <c r="VOV123"/>
      <c r="VOW123"/>
      <c r="VOX123"/>
      <c r="VOY123"/>
      <c r="VOZ123"/>
      <c r="VPA123"/>
      <c r="VPB123"/>
      <c r="VPC123"/>
      <c r="VPD123"/>
      <c r="VPE123"/>
      <c r="VPF123"/>
      <c r="VPG123"/>
      <c r="VPH123"/>
      <c r="VPI123"/>
      <c r="VPJ123"/>
      <c r="VPK123"/>
      <c r="VPL123"/>
      <c r="VPM123"/>
      <c r="VPN123"/>
      <c r="VPO123"/>
      <c r="VPP123"/>
      <c r="VPQ123"/>
      <c r="VPR123"/>
      <c r="VPS123"/>
      <c r="VPT123"/>
      <c r="VPU123"/>
      <c r="VPV123"/>
      <c r="VPW123"/>
      <c r="VPX123"/>
      <c r="VPY123"/>
      <c r="VPZ123"/>
      <c r="VQA123"/>
      <c r="VQB123"/>
      <c r="VQC123"/>
      <c r="VQD123"/>
      <c r="VQE123"/>
      <c r="VQF123"/>
      <c r="VQG123"/>
      <c r="VQH123"/>
      <c r="VQI123"/>
      <c r="VQJ123"/>
      <c r="VQK123"/>
      <c r="VQL123"/>
      <c r="VQM123"/>
      <c r="VQN123"/>
      <c r="VQO123"/>
      <c r="VQP123"/>
      <c r="VQQ123"/>
      <c r="VQR123"/>
      <c r="VQS123"/>
      <c r="VQT123"/>
      <c r="VQU123"/>
      <c r="VQV123"/>
      <c r="VQW123"/>
      <c r="VQX123"/>
      <c r="VQY123"/>
      <c r="VQZ123"/>
      <c r="VRA123"/>
      <c r="VRB123"/>
      <c r="VRC123"/>
      <c r="VRD123"/>
      <c r="VRE123"/>
      <c r="VRF123"/>
      <c r="VRG123"/>
      <c r="VRH123"/>
      <c r="VRI123"/>
      <c r="VRJ123"/>
      <c r="VRK123"/>
      <c r="VRL123"/>
      <c r="VRM123"/>
      <c r="VRN123"/>
      <c r="VRO123"/>
      <c r="VRP123"/>
      <c r="VRQ123"/>
      <c r="VRR123"/>
      <c r="VRS123"/>
      <c r="VRT123"/>
      <c r="VRU123"/>
      <c r="VRV123"/>
      <c r="VRW123"/>
      <c r="VRX123"/>
      <c r="VRY123"/>
      <c r="VRZ123"/>
      <c r="VSA123"/>
      <c r="VSB123"/>
      <c r="VSC123"/>
      <c r="VSD123"/>
      <c r="VSE123"/>
      <c r="VSF123"/>
      <c r="VSG123"/>
      <c r="VSH123"/>
      <c r="VSI123"/>
      <c r="VSJ123"/>
      <c r="VSK123"/>
      <c r="VSL123"/>
      <c r="VSM123"/>
      <c r="VSN123"/>
      <c r="VSO123"/>
      <c r="VSP123"/>
      <c r="VSQ123"/>
      <c r="VSR123"/>
      <c r="VSS123"/>
      <c r="VST123"/>
      <c r="VSU123"/>
      <c r="VSV123"/>
      <c r="VSW123"/>
      <c r="VSX123"/>
      <c r="VSY123"/>
      <c r="VSZ123"/>
      <c r="VTA123"/>
      <c r="VTB123"/>
      <c r="VTC123"/>
      <c r="VTD123"/>
      <c r="VTE123"/>
      <c r="VTF123"/>
      <c r="VTG123"/>
      <c r="VTH123"/>
      <c r="VTI123"/>
      <c r="VTJ123"/>
      <c r="VTK123"/>
      <c r="VTL123"/>
      <c r="VTM123"/>
      <c r="VTN123"/>
      <c r="VTO123"/>
      <c r="VTP123"/>
      <c r="VTQ123"/>
      <c r="VTR123"/>
      <c r="VTS123"/>
      <c r="VTT123"/>
      <c r="VTU123"/>
      <c r="VTV123"/>
      <c r="VTW123"/>
      <c r="VTX123"/>
      <c r="VTY123"/>
      <c r="VTZ123"/>
      <c r="VUA123"/>
      <c r="VUB123"/>
      <c r="VUC123"/>
      <c r="VUD123"/>
      <c r="VUE123"/>
      <c r="VUF123"/>
      <c r="VUG123"/>
      <c r="VUH123"/>
      <c r="VUI123"/>
      <c r="VUJ123"/>
      <c r="VUK123"/>
      <c r="VUL123"/>
      <c r="VUM123"/>
      <c r="VUN123"/>
      <c r="VUO123"/>
      <c r="VUP123"/>
      <c r="VUQ123"/>
      <c r="VUR123"/>
      <c r="VUS123"/>
      <c r="VUT123"/>
      <c r="VUU123"/>
      <c r="VUV123"/>
      <c r="VUW123"/>
      <c r="VUX123"/>
      <c r="VUY123"/>
      <c r="VUZ123"/>
      <c r="VVA123"/>
      <c r="VVB123"/>
      <c r="VVC123"/>
      <c r="VVD123"/>
      <c r="VVE123"/>
      <c r="VVF123"/>
      <c r="VVG123"/>
      <c r="VVH123"/>
      <c r="VVI123"/>
      <c r="VVJ123"/>
      <c r="VVK123"/>
      <c r="VVL123"/>
      <c r="VVM123"/>
      <c r="VVN123"/>
      <c r="VVO123"/>
      <c r="VVP123"/>
      <c r="VVQ123"/>
      <c r="VVR123"/>
      <c r="VVS123"/>
      <c r="VVT123"/>
      <c r="VVU123"/>
      <c r="VVV123"/>
      <c r="VVW123"/>
      <c r="VVX123"/>
      <c r="VVY123"/>
      <c r="VVZ123"/>
      <c r="VWA123"/>
    </row>
    <row r="124" spans="2:113 15079:15471" s="1" customFormat="1" x14ac:dyDescent="0.25">
      <c r="B124" s="223"/>
      <c r="C124" s="164" t="s">
        <v>33</v>
      </c>
      <c r="D124" s="118"/>
      <c r="E124" s="101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351"/>
      <c r="AH124" s="351"/>
      <c r="AI124" s="217"/>
      <c r="AJ124" s="9"/>
      <c r="AK124" s="33" t="s">
        <v>33</v>
      </c>
      <c r="DI124" s="29"/>
    </row>
    <row r="125" spans="2:113 15079:15471" s="1" customFormat="1" x14ac:dyDescent="0.25">
      <c r="B125" s="223"/>
      <c r="C125" s="85" t="s">
        <v>51</v>
      </c>
      <c r="D125" s="118"/>
      <c r="E125" s="160" t="s">
        <v>36</v>
      </c>
      <c r="F125" s="167">
        <v>0</v>
      </c>
      <c r="G125" s="167"/>
      <c r="H125" s="167">
        <v>0</v>
      </c>
      <c r="I125" s="107"/>
      <c r="J125" s="167"/>
      <c r="K125" s="167"/>
      <c r="L125" s="167"/>
      <c r="M125" s="167"/>
      <c r="N125" s="167"/>
      <c r="O125" s="167"/>
      <c r="P125" s="107"/>
      <c r="Q125" s="167"/>
      <c r="R125" s="167"/>
      <c r="S125" s="167"/>
      <c r="T125" s="167"/>
      <c r="U125" s="167"/>
      <c r="V125" s="167"/>
      <c r="W125" s="107"/>
      <c r="X125" s="167"/>
      <c r="Y125" s="167"/>
      <c r="Z125" s="167">
        <v>0</v>
      </c>
      <c r="AA125" s="167">
        <v>0</v>
      </c>
      <c r="AB125" s="167"/>
      <c r="AC125" s="167"/>
      <c r="AD125" s="107"/>
      <c r="AE125" s="167"/>
      <c r="AF125" s="167">
        <v>0</v>
      </c>
      <c r="AG125" s="361"/>
      <c r="AH125" s="361"/>
      <c r="AI125" s="247"/>
      <c r="AJ125" s="9"/>
      <c r="AK125" s="17">
        <f>SUM(F125:AI125)</f>
        <v>0</v>
      </c>
      <c r="DI125" s="29"/>
    </row>
    <row r="126" spans="2:113 15079:15471" s="1" customFormat="1" x14ac:dyDescent="0.25">
      <c r="B126" s="223"/>
      <c r="C126" s="85" t="s">
        <v>50</v>
      </c>
      <c r="D126" s="118"/>
      <c r="E126" s="160" t="s">
        <v>36</v>
      </c>
      <c r="F126" s="167"/>
      <c r="G126" s="167"/>
      <c r="H126" s="167">
        <v>0</v>
      </c>
      <c r="I126" s="107"/>
      <c r="J126" s="167"/>
      <c r="K126" s="167"/>
      <c r="L126" s="167"/>
      <c r="M126" s="167"/>
      <c r="N126" s="167"/>
      <c r="O126" s="167"/>
      <c r="P126" s="107"/>
      <c r="Q126" s="167"/>
      <c r="R126" s="167"/>
      <c r="S126" s="167"/>
      <c r="T126" s="167"/>
      <c r="U126" s="167"/>
      <c r="V126" s="167"/>
      <c r="W126" s="107"/>
      <c r="X126" s="167"/>
      <c r="Y126" s="167"/>
      <c r="Z126" s="167">
        <v>0</v>
      </c>
      <c r="AA126" s="167">
        <v>0</v>
      </c>
      <c r="AB126" s="167"/>
      <c r="AC126" s="167"/>
      <c r="AD126" s="107"/>
      <c r="AE126" s="167"/>
      <c r="AF126" s="167">
        <v>0</v>
      </c>
      <c r="AG126" s="361"/>
      <c r="AH126" s="361"/>
      <c r="AI126" s="247"/>
      <c r="AJ126" s="9"/>
      <c r="AK126" s="17">
        <f>SUM(F126:AI126)</f>
        <v>0</v>
      </c>
      <c r="DI126" s="29"/>
    </row>
    <row r="127" spans="2:113 15079:15471" s="1" customFormat="1" x14ac:dyDescent="0.25">
      <c r="B127" s="223"/>
      <c r="C127" s="164" t="s">
        <v>32</v>
      </c>
      <c r="D127" s="118"/>
      <c r="E127" s="101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351"/>
      <c r="AH127" s="351"/>
      <c r="AI127" s="217"/>
      <c r="AJ127" s="9"/>
      <c r="AK127" s="33" t="s">
        <v>32</v>
      </c>
      <c r="DI127" s="29"/>
    </row>
    <row r="128" spans="2:113 15079:15471" s="1" customFormat="1" x14ac:dyDescent="0.25">
      <c r="B128" s="223"/>
      <c r="C128" s="85" t="s">
        <v>51</v>
      </c>
      <c r="D128" s="118"/>
      <c r="E128" s="160" t="s">
        <v>32</v>
      </c>
      <c r="F128" s="107">
        <v>0</v>
      </c>
      <c r="G128" s="107">
        <f>(G119*45)/1700</f>
        <v>0</v>
      </c>
      <c r="H128" s="107">
        <f>(H119*45)/1700</f>
        <v>0</v>
      </c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>
        <f t="shared" ref="X128:AC128" si="48">(X119*45)/1700</f>
        <v>0</v>
      </c>
      <c r="Y128" s="107">
        <f>(Y119*45)/1700</f>
        <v>0</v>
      </c>
      <c r="Z128" s="107">
        <f t="shared" si="48"/>
        <v>0</v>
      </c>
      <c r="AA128" s="107">
        <f t="shared" si="48"/>
        <v>0</v>
      </c>
      <c r="AB128" s="107">
        <f t="shared" si="48"/>
        <v>0</v>
      </c>
      <c r="AC128" s="107">
        <f t="shared" si="48"/>
        <v>0</v>
      </c>
      <c r="AD128" s="107"/>
      <c r="AE128" s="107">
        <f>(AE119*45)/1700</f>
        <v>843.67058823529408</v>
      </c>
      <c r="AF128" s="107">
        <f>(AF119*45)/1700</f>
        <v>0</v>
      </c>
      <c r="AG128" s="351"/>
      <c r="AH128" s="351"/>
      <c r="AI128" s="217"/>
      <c r="AJ128" s="9"/>
      <c r="AK128" s="17">
        <f>SUM(F128:AI128)</f>
        <v>843.67058823529408</v>
      </c>
      <c r="DI128" s="29"/>
    </row>
    <row r="129" spans="2:113 15079:15471" s="1" customFormat="1" x14ac:dyDescent="0.25">
      <c r="B129" s="223"/>
      <c r="C129" s="85" t="s">
        <v>50</v>
      </c>
      <c r="D129" s="118"/>
      <c r="E129" s="160" t="s">
        <v>32</v>
      </c>
      <c r="F129" s="107">
        <f>SUM(F123:F124)/500</f>
        <v>0</v>
      </c>
      <c r="G129" s="107">
        <f>SUM(G123:G124)/500</f>
        <v>0</v>
      </c>
      <c r="H129" s="107">
        <f>SUM(H123:H124)/500</f>
        <v>0</v>
      </c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>
        <f t="shared" ref="X129:AC129" si="49">SUM(X123:X124)/500</f>
        <v>0</v>
      </c>
      <c r="Y129" s="107">
        <f t="shared" si="49"/>
        <v>0</v>
      </c>
      <c r="Z129" s="107">
        <f t="shared" si="49"/>
        <v>0</v>
      </c>
      <c r="AA129" s="107">
        <f t="shared" si="49"/>
        <v>0</v>
      </c>
      <c r="AB129" s="107">
        <f t="shared" si="49"/>
        <v>0</v>
      </c>
      <c r="AC129" s="107">
        <f t="shared" si="49"/>
        <v>0</v>
      </c>
      <c r="AD129" s="107"/>
      <c r="AE129" s="107">
        <f>SUM(AE123:AE124)/500</f>
        <v>0</v>
      </c>
      <c r="AF129" s="107">
        <f>SUM(AF123:AF124)/500</f>
        <v>0</v>
      </c>
      <c r="AG129" s="351"/>
      <c r="AH129" s="351"/>
      <c r="AI129" s="217"/>
      <c r="AJ129" s="9"/>
      <c r="AK129" s="17">
        <f>SUM(F129:AI129)</f>
        <v>0</v>
      </c>
      <c r="DI129" s="29"/>
    </row>
    <row r="130" spans="2:113 15079:15471" s="1" customFormat="1" x14ac:dyDescent="0.25">
      <c r="B130" s="215"/>
      <c r="C130" s="82" t="s">
        <v>35</v>
      </c>
      <c r="D130" s="98"/>
      <c r="E130" s="213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100"/>
      <c r="AD130" s="99"/>
      <c r="AE130" s="99"/>
      <c r="AF130" s="99"/>
      <c r="AG130" s="349"/>
      <c r="AH130" s="349"/>
      <c r="AI130" s="214"/>
      <c r="AJ130" s="21"/>
      <c r="AK130" s="34" t="s">
        <v>34</v>
      </c>
      <c r="DI130" s="4"/>
      <c r="VGY130"/>
      <c r="VGZ130"/>
      <c r="VHA130"/>
      <c r="VHB130"/>
      <c r="VHC130"/>
      <c r="VHD130"/>
      <c r="VHE130"/>
      <c r="VHF130"/>
      <c r="VHG130"/>
      <c r="VHH130"/>
      <c r="VHI130"/>
      <c r="VHJ130"/>
      <c r="VHK130"/>
      <c r="VHL130"/>
      <c r="VHM130"/>
      <c r="VHN130"/>
      <c r="VHO130"/>
      <c r="VHP130"/>
      <c r="VHQ130"/>
      <c r="VHR130"/>
      <c r="VHS130"/>
      <c r="VHT130"/>
      <c r="VHU130"/>
      <c r="VHV130"/>
      <c r="VHW130"/>
      <c r="VHX130"/>
      <c r="VHY130"/>
      <c r="VHZ130"/>
      <c r="VIA130"/>
      <c r="VIB130"/>
      <c r="VIC130"/>
      <c r="VID130"/>
      <c r="VIE130"/>
      <c r="VIF130"/>
      <c r="VIG130"/>
      <c r="VIH130"/>
      <c r="VII130"/>
      <c r="VIJ130"/>
      <c r="VIK130"/>
      <c r="VIL130"/>
      <c r="VIM130"/>
      <c r="VIN130"/>
      <c r="VIO130"/>
      <c r="VIP130"/>
      <c r="VIQ130"/>
      <c r="VIR130"/>
      <c r="VIS130"/>
      <c r="VIT130"/>
      <c r="VIU130"/>
      <c r="VIV130"/>
      <c r="VIW130"/>
      <c r="VIX130"/>
      <c r="VIY130"/>
      <c r="VIZ130"/>
      <c r="VJA130"/>
      <c r="VJB130"/>
      <c r="VJC130"/>
      <c r="VJD130"/>
      <c r="VJE130"/>
      <c r="VJF130"/>
      <c r="VJG130"/>
      <c r="VJH130"/>
      <c r="VJI130"/>
      <c r="VJJ130"/>
      <c r="VJK130"/>
      <c r="VJL130"/>
      <c r="VJM130"/>
      <c r="VJN130"/>
      <c r="VJO130"/>
      <c r="VJP130"/>
      <c r="VJQ130"/>
      <c r="VJR130"/>
      <c r="VJS130"/>
      <c r="VJT130"/>
      <c r="VJU130"/>
      <c r="VJV130"/>
      <c r="VJW130"/>
      <c r="VJX130"/>
      <c r="VJY130"/>
      <c r="VJZ130"/>
      <c r="VKA130"/>
      <c r="VKB130"/>
      <c r="VKC130"/>
      <c r="VKD130"/>
      <c r="VKE130"/>
      <c r="VKF130"/>
      <c r="VKG130"/>
      <c r="VKH130"/>
      <c r="VKI130"/>
      <c r="VKJ130"/>
      <c r="VKK130"/>
      <c r="VKL130"/>
      <c r="VKM130"/>
      <c r="VKN130"/>
      <c r="VKO130"/>
      <c r="VKP130"/>
      <c r="VKQ130"/>
      <c r="VKR130"/>
      <c r="VKS130"/>
      <c r="VKT130"/>
      <c r="VKU130"/>
      <c r="VKV130"/>
      <c r="VKW130"/>
      <c r="VKX130"/>
      <c r="VKY130"/>
      <c r="VKZ130"/>
      <c r="VLA130"/>
      <c r="VLB130"/>
      <c r="VLC130"/>
      <c r="VLD130"/>
      <c r="VLE130"/>
      <c r="VLF130"/>
      <c r="VLG130"/>
      <c r="VLH130"/>
      <c r="VLI130"/>
      <c r="VLJ130"/>
      <c r="VLK130"/>
      <c r="VLL130"/>
      <c r="VLM130"/>
      <c r="VLN130"/>
      <c r="VLO130"/>
      <c r="VLP130"/>
      <c r="VLQ130"/>
      <c r="VLR130"/>
      <c r="VLS130"/>
      <c r="VLT130"/>
      <c r="VLU130"/>
      <c r="VLV130"/>
      <c r="VLW130"/>
      <c r="VLX130"/>
      <c r="VLY130"/>
      <c r="VLZ130"/>
      <c r="VMA130"/>
      <c r="VMB130"/>
      <c r="VMC130"/>
      <c r="VMD130"/>
      <c r="VME130"/>
      <c r="VMF130"/>
      <c r="VMG130"/>
      <c r="VMH130"/>
      <c r="VMI130"/>
      <c r="VMJ130"/>
      <c r="VMK130"/>
      <c r="VML130"/>
      <c r="VMM130"/>
      <c r="VMN130"/>
      <c r="VMO130"/>
      <c r="VMP130"/>
      <c r="VMQ130"/>
      <c r="VMR130"/>
      <c r="VMS130"/>
      <c r="VMT130"/>
      <c r="VMU130"/>
      <c r="VMV130"/>
      <c r="VMW130"/>
      <c r="VMX130"/>
      <c r="VMY130"/>
      <c r="VMZ130"/>
      <c r="VNA130"/>
      <c r="VNB130"/>
      <c r="VNC130"/>
      <c r="VND130"/>
      <c r="VNE130"/>
      <c r="VNF130"/>
      <c r="VNG130"/>
      <c r="VNH130"/>
      <c r="VNI130"/>
      <c r="VNJ130"/>
      <c r="VNK130"/>
      <c r="VNL130"/>
      <c r="VNM130"/>
      <c r="VNN130"/>
      <c r="VNO130"/>
      <c r="VNP130"/>
      <c r="VNQ130"/>
      <c r="VNR130"/>
      <c r="VNS130"/>
      <c r="VNT130"/>
      <c r="VNU130"/>
      <c r="VNV130"/>
      <c r="VNW130"/>
      <c r="VNX130"/>
      <c r="VNY130"/>
      <c r="VNZ130"/>
      <c r="VOA130"/>
      <c r="VOB130"/>
      <c r="VOC130"/>
      <c r="VOD130"/>
      <c r="VOE130"/>
      <c r="VOF130"/>
      <c r="VOG130"/>
      <c r="VOH130"/>
      <c r="VOI130"/>
      <c r="VOJ130"/>
      <c r="VOK130"/>
      <c r="VOL130"/>
      <c r="VOM130"/>
      <c r="VON130"/>
      <c r="VOO130"/>
      <c r="VOP130"/>
      <c r="VOQ130"/>
      <c r="VOR130"/>
      <c r="VOS130"/>
      <c r="VOT130"/>
      <c r="VOU130"/>
      <c r="VOV130"/>
      <c r="VOW130"/>
      <c r="VOX130"/>
      <c r="VOY130"/>
      <c r="VOZ130"/>
      <c r="VPA130"/>
      <c r="VPB130"/>
      <c r="VPC130"/>
      <c r="VPD130"/>
      <c r="VPE130"/>
      <c r="VPF130"/>
      <c r="VPG130"/>
      <c r="VPH130"/>
      <c r="VPI130"/>
      <c r="VPJ130"/>
      <c r="VPK130"/>
      <c r="VPL130"/>
      <c r="VPM130"/>
      <c r="VPN130"/>
      <c r="VPO130"/>
      <c r="VPP130"/>
      <c r="VPQ130"/>
      <c r="VPR130"/>
      <c r="VPS130"/>
      <c r="VPT130"/>
      <c r="VPU130"/>
      <c r="VPV130"/>
      <c r="VPW130"/>
      <c r="VPX130"/>
      <c r="VPY130"/>
      <c r="VPZ130"/>
      <c r="VQA130"/>
      <c r="VQB130"/>
      <c r="VQC130"/>
      <c r="VQD130"/>
      <c r="VQE130"/>
      <c r="VQF130"/>
      <c r="VQG130"/>
      <c r="VQH130"/>
      <c r="VQI130"/>
      <c r="VQJ130"/>
      <c r="VQK130"/>
      <c r="VQL130"/>
      <c r="VQM130"/>
      <c r="VQN130"/>
      <c r="VQO130"/>
      <c r="VQP130"/>
      <c r="VQQ130"/>
      <c r="VQR130"/>
      <c r="VQS130"/>
      <c r="VQT130"/>
      <c r="VQU130"/>
      <c r="VQV130"/>
      <c r="VQW130"/>
      <c r="VQX130"/>
      <c r="VQY130"/>
      <c r="VQZ130"/>
      <c r="VRA130"/>
      <c r="VRB130"/>
      <c r="VRC130"/>
      <c r="VRD130"/>
      <c r="VRE130"/>
      <c r="VRF130"/>
      <c r="VRG130"/>
      <c r="VRH130"/>
      <c r="VRI130"/>
      <c r="VRJ130"/>
      <c r="VRK130"/>
      <c r="VRL130"/>
      <c r="VRM130"/>
      <c r="VRN130"/>
      <c r="VRO130"/>
      <c r="VRP130"/>
      <c r="VRQ130"/>
      <c r="VRR130"/>
      <c r="VRS130"/>
      <c r="VRT130"/>
      <c r="VRU130"/>
      <c r="VRV130"/>
      <c r="VRW130"/>
      <c r="VRX130"/>
      <c r="VRY130"/>
      <c r="VRZ130"/>
      <c r="VSA130"/>
      <c r="VSB130"/>
      <c r="VSC130"/>
      <c r="VSD130"/>
      <c r="VSE130"/>
      <c r="VSF130"/>
      <c r="VSG130"/>
      <c r="VSH130"/>
      <c r="VSI130"/>
      <c r="VSJ130"/>
      <c r="VSK130"/>
      <c r="VSL130"/>
      <c r="VSM130"/>
      <c r="VSN130"/>
      <c r="VSO130"/>
      <c r="VSP130"/>
      <c r="VSQ130"/>
      <c r="VSR130"/>
      <c r="VSS130"/>
      <c r="VST130"/>
      <c r="VSU130"/>
      <c r="VSV130"/>
      <c r="VSW130"/>
      <c r="VSX130"/>
      <c r="VSY130"/>
      <c r="VSZ130"/>
      <c r="VTA130"/>
      <c r="VTB130"/>
      <c r="VTC130"/>
      <c r="VTD130"/>
      <c r="VTE130"/>
      <c r="VTF130"/>
      <c r="VTG130"/>
      <c r="VTH130"/>
      <c r="VTI130"/>
      <c r="VTJ130"/>
      <c r="VTK130"/>
      <c r="VTL130"/>
      <c r="VTM130"/>
      <c r="VTN130"/>
      <c r="VTO130"/>
      <c r="VTP130"/>
      <c r="VTQ130"/>
      <c r="VTR130"/>
      <c r="VTS130"/>
      <c r="VTT130"/>
      <c r="VTU130"/>
      <c r="VTV130"/>
      <c r="VTW130"/>
      <c r="VTX130"/>
      <c r="VTY130"/>
      <c r="VTZ130"/>
      <c r="VUA130"/>
      <c r="VUB130"/>
      <c r="VUC130"/>
      <c r="VUD130"/>
      <c r="VUE130"/>
      <c r="VUF130"/>
      <c r="VUG130"/>
      <c r="VUH130"/>
      <c r="VUI130"/>
      <c r="VUJ130"/>
      <c r="VUK130"/>
      <c r="VUL130"/>
      <c r="VUM130"/>
      <c r="VUN130"/>
      <c r="VUO130"/>
      <c r="VUP130"/>
      <c r="VUQ130"/>
      <c r="VUR130"/>
      <c r="VUS130"/>
      <c r="VUT130"/>
      <c r="VUU130"/>
      <c r="VUV130"/>
      <c r="VUW130"/>
      <c r="VUX130"/>
      <c r="VUY130"/>
      <c r="VUZ130"/>
      <c r="VVA130"/>
      <c r="VVB130"/>
      <c r="VVC130"/>
      <c r="VVD130"/>
      <c r="VVE130"/>
      <c r="VVF130"/>
      <c r="VVG130"/>
      <c r="VVH130"/>
      <c r="VVI130"/>
      <c r="VVJ130"/>
      <c r="VVK130"/>
      <c r="VVL130"/>
      <c r="VVM130"/>
      <c r="VVN130"/>
      <c r="VVO130"/>
      <c r="VVP130"/>
      <c r="VVQ130"/>
      <c r="VVR130"/>
      <c r="VVS130"/>
      <c r="VVT130"/>
      <c r="VVU130"/>
      <c r="VVV130"/>
      <c r="VVW130"/>
      <c r="VVX130"/>
      <c r="VVY130"/>
      <c r="VVZ130"/>
      <c r="VWA130"/>
    </row>
    <row r="131" spans="2:113 15079:15471" s="1" customFormat="1" x14ac:dyDescent="0.25">
      <c r="B131" s="223"/>
      <c r="C131" s="164" t="s">
        <v>33</v>
      </c>
      <c r="D131" s="118"/>
      <c r="E131" s="101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351"/>
      <c r="AH131" s="351"/>
      <c r="AI131" s="217"/>
      <c r="AJ131" s="9"/>
      <c r="AK131" s="33" t="s">
        <v>33</v>
      </c>
      <c r="DI131" s="29"/>
    </row>
    <row r="132" spans="2:113 15079:15471" s="1" customFormat="1" x14ac:dyDescent="0.25">
      <c r="B132" s="223"/>
      <c r="C132" s="85" t="s">
        <v>51</v>
      </c>
      <c r="D132" s="114">
        <v>0.3</v>
      </c>
      <c r="E132" s="160" t="s">
        <v>29</v>
      </c>
      <c r="F132" s="137" t="e">
        <f t="shared" ref="F132:AI133" si="50">F125/F116*100</f>
        <v>#DIV/0!</v>
      </c>
      <c r="G132" s="137" t="e">
        <f t="shared" si="50"/>
        <v>#DIV/0!</v>
      </c>
      <c r="H132" s="137" t="e">
        <f t="shared" si="50"/>
        <v>#DIV/0!</v>
      </c>
      <c r="I132" s="137" t="e">
        <f t="shared" si="50"/>
        <v>#DIV/0!</v>
      </c>
      <c r="J132" s="137" t="e">
        <f t="shared" si="50"/>
        <v>#DIV/0!</v>
      </c>
      <c r="K132" s="137" t="e">
        <f t="shared" si="50"/>
        <v>#DIV/0!</v>
      </c>
      <c r="L132" s="137" t="e">
        <f t="shared" si="50"/>
        <v>#DIV/0!</v>
      </c>
      <c r="M132" s="137" t="e">
        <f t="shared" si="50"/>
        <v>#DIV/0!</v>
      </c>
      <c r="N132" s="137" t="e">
        <f t="shared" si="50"/>
        <v>#DIV/0!</v>
      </c>
      <c r="O132" s="137" t="e">
        <f t="shared" si="50"/>
        <v>#DIV/0!</v>
      </c>
      <c r="P132" s="137" t="e">
        <f t="shared" si="50"/>
        <v>#DIV/0!</v>
      </c>
      <c r="Q132" s="137" t="e">
        <f t="shared" si="50"/>
        <v>#DIV/0!</v>
      </c>
      <c r="R132" s="137" t="e">
        <f t="shared" si="50"/>
        <v>#DIV/0!</v>
      </c>
      <c r="S132" s="137" t="e">
        <f t="shared" si="50"/>
        <v>#DIV/0!</v>
      </c>
      <c r="T132" s="137" t="e">
        <f t="shared" si="50"/>
        <v>#DIV/0!</v>
      </c>
      <c r="U132" s="137" t="e">
        <f t="shared" si="50"/>
        <v>#DIV/0!</v>
      </c>
      <c r="V132" s="137" t="e">
        <f t="shared" si="50"/>
        <v>#DIV/0!</v>
      </c>
      <c r="W132" s="137" t="e">
        <f t="shared" si="50"/>
        <v>#DIV/0!</v>
      </c>
      <c r="X132" s="137" t="e">
        <f t="shared" si="50"/>
        <v>#DIV/0!</v>
      </c>
      <c r="Y132" s="137" t="e">
        <f t="shared" si="50"/>
        <v>#DIV/0!</v>
      </c>
      <c r="Z132" s="137" t="e">
        <f t="shared" si="50"/>
        <v>#DIV/0!</v>
      </c>
      <c r="AA132" s="137" t="e">
        <f t="shared" si="50"/>
        <v>#DIV/0!</v>
      </c>
      <c r="AB132" s="137" t="e">
        <f t="shared" si="50"/>
        <v>#DIV/0!</v>
      </c>
      <c r="AC132" s="137" t="e">
        <f t="shared" si="50"/>
        <v>#DIV/0!</v>
      </c>
      <c r="AD132" s="137">
        <f t="shared" si="50"/>
        <v>0</v>
      </c>
      <c r="AE132" s="137">
        <f t="shared" si="50"/>
        <v>0</v>
      </c>
      <c r="AF132" s="137" t="e">
        <f t="shared" si="50"/>
        <v>#DIV/0!</v>
      </c>
      <c r="AG132" s="137" t="e">
        <f t="shared" si="50"/>
        <v>#DIV/0!</v>
      </c>
      <c r="AH132" s="137" t="e">
        <f t="shared" si="50"/>
        <v>#DIV/0!</v>
      </c>
      <c r="AI132" s="233" t="e">
        <f t="shared" si="50"/>
        <v>#DIV/0!</v>
      </c>
      <c r="AJ132" s="9"/>
      <c r="AK132" s="32">
        <f>AK125/AK116*100</f>
        <v>0</v>
      </c>
      <c r="DI132" s="29"/>
    </row>
    <row r="133" spans="2:113 15079:15471" s="1" customFormat="1" x14ac:dyDescent="0.25">
      <c r="B133" s="223"/>
      <c r="C133" s="85" t="s">
        <v>50</v>
      </c>
      <c r="D133" s="114">
        <v>0.3</v>
      </c>
      <c r="E133" s="160" t="s">
        <v>29</v>
      </c>
      <c r="F133" s="137" t="e">
        <f t="shared" si="50"/>
        <v>#DIV/0!</v>
      </c>
      <c r="G133" s="137" t="e">
        <f t="shared" si="50"/>
        <v>#DIV/0!</v>
      </c>
      <c r="H133" s="137" t="e">
        <f t="shared" si="50"/>
        <v>#DIV/0!</v>
      </c>
      <c r="I133" s="137" t="e">
        <f t="shared" si="50"/>
        <v>#DIV/0!</v>
      </c>
      <c r="J133" s="137" t="e">
        <f t="shared" si="50"/>
        <v>#DIV/0!</v>
      </c>
      <c r="K133" s="137" t="e">
        <f t="shared" si="50"/>
        <v>#DIV/0!</v>
      </c>
      <c r="L133" s="137" t="e">
        <f t="shared" si="50"/>
        <v>#DIV/0!</v>
      </c>
      <c r="M133" s="137" t="e">
        <f t="shared" si="50"/>
        <v>#DIV/0!</v>
      </c>
      <c r="N133" s="137" t="e">
        <f t="shared" si="50"/>
        <v>#DIV/0!</v>
      </c>
      <c r="O133" s="137" t="e">
        <f t="shared" si="50"/>
        <v>#DIV/0!</v>
      </c>
      <c r="P133" s="137" t="e">
        <f t="shared" si="50"/>
        <v>#DIV/0!</v>
      </c>
      <c r="Q133" s="137" t="e">
        <f t="shared" si="50"/>
        <v>#DIV/0!</v>
      </c>
      <c r="R133" s="137" t="e">
        <f t="shared" si="50"/>
        <v>#DIV/0!</v>
      </c>
      <c r="S133" s="137" t="e">
        <f t="shared" si="50"/>
        <v>#DIV/0!</v>
      </c>
      <c r="T133" s="137" t="e">
        <f t="shared" si="50"/>
        <v>#DIV/0!</v>
      </c>
      <c r="U133" s="137">
        <f t="shared" si="50"/>
        <v>0</v>
      </c>
      <c r="V133" s="137">
        <f t="shared" si="50"/>
        <v>0</v>
      </c>
      <c r="W133" s="137" t="e">
        <f t="shared" si="50"/>
        <v>#DIV/0!</v>
      </c>
      <c r="X133" s="137" t="e">
        <f t="shared" si="50"/>
        <v>#DIV/0!</v>
      </c>
      <c r="Y133" s="137" t="e">
        <f t="shared" si="50"/>
        <v>#DIV/0!</v>
      </c>
      <c r="Z133" s="137" t="e">
        <f t="shared" si="50"/>
        <v>#DIV/0!</v>
      </c>
      <c r="AA133" s="137" t="e">
        <f t="shared" si="50"/>
        <v>#DIV/0!</v>
      </c>
      <c r="AB133" s="137" t="e">
        <f t="shared" si="50"/>
        <v>#DIV/0!</v>
      </c>
      <c r="AC133" s="137" t="e">
        <f t="shared" si="50"/>
        <v>#DIV/0!</v>
      </c>
      <c r="AD133" s="137" t="e">
        <f t="shared" si="50"/>
        <v>#DIV/0!</v>
      </c>
      <c r="AE133" s="137" t="e">
        <f t="shared" si="50"/>
        <v>#DIV/0!</v>
      </c>
      <c r="AF133" s="137" t="e">
        <f t="shared" si="50"/>
        <v>#DIV/0!</v>
      </c>
      <c r="AG133" s="137" t="e">
        <f t="shared" si="50"/>
        <v>#DIV/0!</v>
      </c>
      <c r="AH133" s="137" t="e">
        <f t="shared" si="50"/>
        <v>#DIV/0!</v>
      </c>
      <c r="AI133" s="233" t="e">
        <f t="shared" si="50"/>
        <v>#DIV/0!</v>
      </c>
      <c r="AJ133" s="9"/>
      <c r="AK133" s="32">
        <f>AK126/AK117*100</f>
        <v>0</v>
      </c>
      <c r="DI133" s="29"/>
    </row>
    <row r="134" spans="2:113 15079:15471" s="1" customFormat="1" x14ac:dyDescent="0.25">
      <c r="B134" s="223"/>
      <c r="C134" s="164" t="s">
        <v>32</v>
      </c>
      <c r="D134" s="114"/>
      <c r="E134" s="101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233"/>
      <c r="AJ134" s="9"/>
      <c r="AK134" s="33" t="s">
        <v>32</v>
      </c>
      <c r="DI134" s="29"/>
    </row>
    <row r="135" spans="2:113 15079:15471" s="1" customFormat="1" x14ac:dyDescent="0.25">
      <c r="B135" s="223"/>
      <c r="C135" s="85" t="s">
        <v>51</v>
      </c>
      <c r="D135" s="114">
        <v>0.5</v>
      </c>
      <c r="E135" s="160" t="s">
        <v>29</v>
      </c>
      <c r="F135" s="137" t="e">
        <f t="shared" ref="F135:AI136" si="51">F128/F119*100</f>
        <v>#DIV/0!</v>
      </c>
      <c r="G135" s="137" t="e">
        <f t="shared" si="51"/>
        <v>#DIV/0!</v>
      </c>
      <c r="H135" s="137" t="e">
        <f t="shared" si="51"/>
        <v>#DIV/0!</v>
      </c>
      <c r="I135" s="137" t="e">
        <f t="shared" si="51"/>
        <v>#DIV/0!</v>
      </c>
      <c r="J135" s="137" t="e">
        <f t="shared" si="51"/>
        <v>#DIV/0!</v>
      </c>
      <c r="K135" s="137" t="e">
        <f t="shared" si="51"/>
        <v>#DIV/0!</v>
      </c>
      <c r="L135" s="137" t="e">
        <f t="shared" si="51"/>
        <v>#DIV/0!</v>
      </c>
      <c r="M135" s="137" t="e">
        <f t="shared" si="51"/>
        <v>#DIV/0!</v>
      </c>
      <c r="N135" s="137" t="e">
        <f t="shared" si="51"/>
        <v>#DIV/0!</v>
      </c>
      <c r="O135" s="137" t="e">
        <f t="shared" si="51"/>
        <v>#DIV/0!</v>
      </c>
      <c r="P135" s="137" t="e">
        <f t="shared" si="51"/>
        <v>#DIV/0!</v>
      </c>
      <c r="Q135" s="137" t="e">
        <f t="shared" si="51"/>
        <v>#DIV/0!</v>
      </c>
      <c r="R135" s="137" t="e">
        <f t="shared" si="51"/>
        <v>#DIV/0!</v>
      </c>
      <c r="S135" s="137" t="e">
        <f t="shared" si="51"/>
        <v>#DIV/0!</v>
      </c>
      <c r="T135" s="137" t="e">
        <f t="shared" si="51"/>
        <v>#DIV/0!</v>
      </c>
      <c r="U135" s="137" t="e">
        <f t="shared" si="51"/>
        <v>#DIV/0!</v>
      </c>
      <c r="V135" s="137" t="e">
        <f t="shared" si="51"/>
        <v>#DIV/0!</v>
      </c>
      <c r="W135" s="137" t="e">
        <f t="shared" si="51"/>
        <v>#DIV/0!</v>
      </c>
      <c r="X135" s="137" t="e">
        <f t="shared" si="51"/>
        <v>#DIV/0!</v>
      </c>
      <c r="Y135" s="137" t="e">
        <f t="shared" si="51"/>
        <v>#DIV/0!</v>
      </c>
      <c r="Z135" s="137" t="e">
        <f t="shared" si="51"/>
        <v>#DIV/0!</v>
      </c>
      <c r="AA135" s="137" t="e">
        <f t="shared" si="51"/>
        <v>#DIV/0!</v>
      </c>
      <c r="AB135" s="137" t="e">
        <f t="shared" si="51"/>
        <v>#DIV/0!</v>
      </c>
      <c r="AC135" s="137" t="e">
        <f t="shared" si="51"/>
        <v>#DIV/0!</v>
      </c>
      <c r="AD135" s="137">
        <f t="shared" si="51"/>
        <v>0</v>
      </c>
      <c r="AE135" s="137">
        <f t="shared" si="51"/>
        <v>2.6470588235294117</v>
      </c>
      <c r="AF135" s="137" t="e">
        <f t="shared" si="51"/>
        <v>#DIV/0!</v>
      </c>
      <c r="AG135" s="137" t="e">
        <f t="shared" si="51"/>
        <v>#DIV/0!</v>
      </c>
      <c r="AH135" s="137" t="e">
        <f t="shared" si="51"/>
        <v>#DIV/0!</v>
      </c>
      <c r="AI135" s="233" t="e">
        <f t="shared" si="51"/>
        <v>#DIV/0!</v>
      </c>
      <c r="AJ135" s="9"/>
      <c r="AK135" s="32">
        <f>AK128/AK119*100</f>
        <v>1.4024712218819304</v>
      </c>
      <c r="DI135" s="29"/>
    </row>
    <row r="136" spans="2:113 15079:15471" s="1" customFormat="1" x14ac:dyDescent="0.25">
      <c r="B136" s="223"/>
      <c r="C136" s="85" t="s">
        <v>50</v>
      </c>
      <c r="D136" s="114">
        <v>0.5</v>
      </c>
      <c r="E136" s="160" t="s">
        <v>29</v>
      </c>
      <c r="F136" s="137" t="e">
        <f t="shared" si="51"/>
        <v>#DIV/0!</v>
      </c>
      <c r="G136" s="137" t="e">
        <f t="shared" si="51"/>
        <v>#DIV/0!</v>
      </c>
      <c r="H136" s="137" t="e">
        <f t="shared" si="51"/>
        <v>#DIV/0!</v>
      </c>
      <c r="I136" s="137" t="e">
        <f t="shared" si="51"/>
        <v>#DIV/0!</v>
      </c>
      <c r="J136" s="137" t="e">
        <f t="shared" si="51"/>
        <v>#DIV/0!</v>
      </c>
      <c r="K136" s="137" t="e">
        <f t="shared" si="51"/>
        <v>#DIV/0!</v>
      </c>
      <c r="L136" s="137" t="e">
        <f t="shared" si="51"/>
        <v>#DIV/0!</v>
      </c>
      <c r="M136" s="137" t="e">
        <f t="shared" si="51"/>
        <v>#DIV/0!</v>
      </c>
      <c r="N136" s="137" t="e">
        <f t="shared" si="51"/>
        <v>#DIV/0!</v>
      </c>
      <c r="O136" s="137" t="e">
        <f t="shared" si="51"/>
        <v>#DIV/0!</v>
      </c>
      <c r="P136" s="137" t="e">
        <f t="shared" si="51"/>
        <v>#DIV/0!</v>
      </c>
      <c r="Q136" s="137" t="e">
        <f t="shared" si="51"/>
        <v>#DIV/0!</v>
      </c>
      <c r="R136" s="137" t="e">
        <f t="shared" si="51"/>
        <v>#DIV/0!</v>
      </c>
      <c r="S136" s="137" t="e">
        <f t="shared" si="51"/>
        <v>#DIV/0!</v>
      </c>
      <c r="T136" s="137" t="e">
        <f t="shared" si="51"/>
        <v>#DIV/0!</v>
      </c>
      <c r="U136" s="137">
        <f t="shared" si="51"/>
        <v>0</v>
      </c>
      <c r="V136" s="137">
        <f t="shared" si="51"/>
        <v>0</v>
      </c>
      <c r="W136" s="137" t="e">
        <f t="shared" si="51"/>
        <v>#DIV/0!</v>
      </c>
      <c r="X136" s="137" t="e">
        <f t="shared" si="51"/>
        <v>#DIV/0!</v>
      </c>
      <c r="Y136" s="137" t="e">
        <f t="shared" si="51"/>
        <v>#DIV/0!</v>
      </c>
      <c r="Z136" s="137" t="e">
        <f t="shared" si="51"/>
        <v>#DIV/0!</v>
      </c>
      <c r="AA136" s="137" t="e">
        <f t="shared" si="51"/>
        <v>#DIV/0!</v>
      </c>
      <c r="AB136" s="137" t="e">
        <f t="shared" si="51"/>
        <v>#DIV/0!</v>
      </c>
      <c r="AC136" s="137" t="e">
        <f t="shared" si="51"/>
        <v>#DIV/0!</v>
      </c>
      <c r="AD136" s="137" t="e">
        <f t="shared" si="51"/>
        <v>#DIV/0!</v>
      </c>
      <c r="AE136" s="137" t="e">
        <f t="shared" si="51"/>
        <v>#DIV/0!</v>
      </c>
      <c r="AF136" s="137" t="e">
        <f t="shared" si="51"/>
        <v>#DIV/0!</v>
      </c>
      <c r="AG136" s="137" t="e">
        <f t="shared" si="51"/>
        <v>#DIV/0!</v>
      </c>
      <c r="AH136" s="137" t="e">
        <f t="shared" si="51"/>
        <v>#DIV/0!</v>
      </c>
      <c r="AI136" s="233" t="e">
        <f t="shared" si="51"/>
        <v>#DIV/0!</v>
      </c>
      <c r="AJ136" s="9"/>
      <c r="AK136" s="32">
        <f>AK129/AK120*100</f>
        <v>0</v>
      </c>
      <c r="DI136" s="29"/>
    </row>
    <row r="137" spans="2:113 15079:15471" s="1" customFormat="1" x14ac:dyDescent="0.25">
      <c r="B137" s="223"/>
      <c r="C137" s="59" t="s">
        <v>49</v>
      </c>
      <c r="D137" s="172"/>
      <c r="E137" s="251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363"/>
      <c r="AH137" s="363"/>
      <c r="AI137" s="286"/>
      <c r="AJ137" s="382"/>
      <c r="AK137" s="34" t="s">
        <v>45</v>
      </c>
    </row>
    <row r="138" spans="2:113 15079:15471" s="1" customFormat="1" x14ac:dyDescent="0.25">
      <c r="B138" s="223"/>
      <c r="C138" s="65" t="s">
        <v>141</v>
      </c>
      <c r="D138" s="114"/>
      <c r="E138" s="66" t="s">
        <v>16</v>
      </c>
      <c r="F138" s="72">
        <v>98282</v>
      </c>
      <c r="G138" s="72">
        <v>91122</v>
      </c>
      <c r="H138" s="72">
        <v>99930</v>
      </c>
      <c r="I138" s="72"/>
      <c r="J138" s="72">
        <v>146914</v>
      </c>
      <c r="K138" s="72">
        <v>86679</v>
      </c>
      <c r="L138" s="72">
        <v>170556</v>
      </c>
      <c r="M138" s="72">
        <v>89182</v>
      </c>
      <c r="N138" s="72">
        <v>155220</v>
      </c>
      <c r="O138" s="72">
        <v>63000</v>
      </c>
      <c r="P138" s="72">
        <v>6261</v>
      </c>
      <c r="Q138" s="72"/>
      <c r="R138" s="72"/>
      <c r="S138" s="72">
        <v>68677</v>
      </c>
      <c r="T138" s="72">
        <v>3145</v>
      </c>
      <c r="U138" s="72">
        <v>0</v>
      </c>
      <c r="V138" s="72">
        <f>139747+1572</f>
        <v>141319</v>
      </c>
      <c r="W138" s="72">
        <f>51468+2241</f>
        <v>53709</v>
      </c>
      <c r="X138" s="72">
        <v>7769</v>
      </c>
      <c r="Y138" s="72"/>
      <c r="Z138" s="72"/>
      <c r="AA138" s="72"/>
      <c r="AB138" s="72"/>
      <c r="AC138" s="72"/>
      <c r="AD138" s="72"/>
      <c r="AE138" s="72">
        <f>41083+1711</f>
        <v>42794</v>
      </c>
      <c r="AF138" s="72">
        <v>124223</v>
      </c>
      <c r="AG138" s="364">
        <v>131383</v>
      </c>
      <c r="AH138" s="364">
        <v>68484</v>
      </c>
      <c r="AI138" s="258">
        <f>67915+1630</f>
        <v>69545</v>
      </c>
      <c r="AJ138" s="324"/>
      <c r="AK138" s="37">
        <f>SUM(C138:AI138)</f>
        <v>1718194</v>
      </c>
    </row>
    <row r="139" spans="2:113 15079:15471" s="1" customFormat="1" x14ac:dyDescent="0.25">
      <c r="B139" s="223"/>
      <c r="C139" s="65" t="s">
        <v>142</v>
      </c>
      <c r="D139" s="114"/>
      <c r="E139" s="66" t="s">
        <v>16</v>
      </c>
      <c r="F139" s="71">
        <f>22941.81+38513.59</f>
        <v>61455.399999999994</v>
      </c>
      <c r="G139" s="71">
        <f>38440.09+75764.83</f>
        <v>114204.92</v>
      </c>
      <c r="H139" s="71">
        <f>26326.27+47477.05</f>
        <v>73803.320000000007</v>
      </c>
      <c r="I139" s="71">
        <v>74282.03</v>
      </c>
      <c r="J139" s="71">
        <f>112589.29+136.55</f>
        <v>112725.84</v>
      </c>
      <c r="K139" s="71">
        <v>75802.789999999994</v>
      </c>
      <c r="L139" s="71">
        <v>138014.71</v>
      </c>
      <c r="M139" s="71">
        <v>146559.94</v>
      </c>
      <c r="N139" s="71">
        <v>138727</v>
      </c>
      <c r="O139" s="71">
        <v>73842.86</v>
      </c>
      <c r="P139" s="71">
        <v>36602.01</v>
      </c>
      <c r="Q139" s="71"/>
      <c r="R139" s="71"/>
      <c r="S139" s="71">
        <v>19509.490000000002</v>
      </c>
      <c r="T139" s="71">
        <v>37662.519999999997</v>
      </c>
      <c r="U139" s="71">
        <v>146.30000000000001</v>
      </c>
      <c r="V139" s="71">
        <f>30881.14+56590.4</f>
        <v>87471.540000000008</v>
      </c>
      <c r="W139" s="71">
        <v>29432.31</v>
      </c>
      <c r="X139" s="71">
        <v>37517</v>
      </c>
      <c r="Y139" s="71"/>
      <c r="Z139" s="71"/>
      <c r="AA139" s="71"/>
      <c r="AB139" s="71"/>
      <c r="AC139" s="71">
        <v>0</v>
      </c>
      <c r="AD139" s="71">
        <v>97.53</v>
      </c>
      <c r="AE139" s="71">
        <f>31105.47+43469.62</f>
        <v>74575.09</v>
      </c>
      <c r="AF139" s="71">
        <v>110726.28</v>
      </c>
      <c r="AG139" s="365">
        <f>84745.64+44465.92</f>
        <v>129211.56</v>
      </c>
      <c r="AH139" s="365">
        <v>76290.62</v>
      </c>
      <c r="AI139" s="325">
        <v>77225.88</v>
      </c>
      <c r="AJ139" s="326"/>
      <c r="AK139" s="202">
        <f>SUM(F139:AI139)</f>
        <v>1725886.9400000004</v>
      </c>
    </row>
    <row r="140" spans="2:113 15079:15471" s="1" customFormat="1" x14ac:dyDescent="0.25">
      <c r="B140" s="223"/>
      <c r="C140" s="63" t="s">
        <v>44</v>
      </c>
      <c r="D140" s="114"/>
      <c r="E140" s="66" t="s">
        <v>16</v>
      </c>
      <c r="F140" s="68">
        <f t="shared" ref="F140:AF140" si="52">SUM(F143:F144)*9.75348</f>
        <v>61466.430959999998</v>
      </c>
      <c r="G140" s="68">
        <f t="shared" si="52"/>
        <v>114281.52515999999</v>
      </c>
      <c r="H140" s="68">
        <f t="shared" si="52"/>
        <v>73970.392319999999</v>
      </c>
      <c r="I140" s="68">
        <f t="shared" si="52"/>
        <v>74243.489759999997</v>
      </c>
      <c r="J140" s="68">
        <f t="shared" si="52"/>
        <v>112779.48924</v>
      </c>
      <c r="K140" s="68">
        <f t="shared" si="52"/>
        <v>75862.567439999999</v>
      </c>
      <c r="L140" s="68">
        <f t="shared" si="52"/>
        <v>138041.00243999998</v>
      </c>
      <c r="M140" s="68">
        <f t="shared" si="52"/>
        <v>146653.32527999999</v>
      </c>
      <c r="N140" s="68">
        <f t="shared" si="52"/>
        <v>138801.77387999999</v>
      </c>
      <c r="O140" s="68">
        <f t="shared" si="52"/>
        <v>73911.871440000003</v>
      </c>
      <c r="P140" s="68">
        <f t="shared" si="52"/>
        <v>36624.3174</v>
      </c>
      <c r="Q140" s="68">
        <f t="shared" si="52"/>
        <v>0</v>
      </c>
      <c r="R140" s="68">
        <f t="shared" si="52"/>
        <v>0</v>
      </c>
      <c r="S140" s="68">
        <f t="shared" si="52"/>
        <v>19526.466959999998</v>
      </c>
      <c r="T140" s="68">
        <f t="shared" si="52"/>
        <v>37667.939760000001</v>
      </c>
      <c r="U140" s="68">
        <f t="shared" si="52"/>
        <v>146.3022</v>
      </c>
      <c r="V140" s="68">
        <f t="shared" si="52"/>
        <v>87517.976039999994</v>
      </c>
      <c r="W140" s="68">
        <f t="shared" si="52"/>
        <v>29475.01656</v>
      </c>
      <c r="X140" s="68">
        <f t="shared" si="52"/>
        <v>37521.637559999996</v>
      </c>
      <c r="Y140" s="68">
        <f t="shared" si="52"/>
        <v>0</v>
      </c>
      <c r="Z140" s="68">
        <f t="shared" si="52"/>
        <v>0</v>
      </c>
      <c r="AA140" s="68">
        <f t="shared" si="52"/>
        <v>0</v>
      </c>
      <c r="AB140" s="68">
        <f t="shared" si="52"/>
        <v>0</v>
      </c>
      <c r="AC140" s="68">
        <f t="shared" si="52"/>
        <v>0</v>
      </c>
      <c r="AD140" s="68">
        <f t="shared" si="52"/>
        <v>97.53479999999999</v>
      </c>
      <c r="AE140" s="68">
        <f t="shared" si="52"/>
        <v>74770.177679999993</v>
      </c>
      <c r="AF140" s="68">
        <f t="shared" si="52"/>
        <v>110731.25843999999</v>
      </c>
      <c r="AG140" s="68">
        <f>SUM(AG143:AG144)*9.75348</f>
        <v>129282.3774</v>
      </c>
      <c r="AH140" s="68">
        <f>SUM(AH143:AH144)*9.75348</f>
        <v>76350.241439999998</v>
      </c>
      <c r="AI140" s="259">
        <f>SUM(AI143:AI144)*9.75348</f>
        <v>77276.822039999999</v>
      </c>
      <c r="AJ140" s="327"/>
      <c r="AK140" s="32">
        <f>SUM(C140:S140)</f>
        <v>1066162.65228</v>
      </c>
    </row>
    <row r="141" spans="2:113 15079:15471" s="1" customFormat="1" x14ac:dyDescent="0.25">
      <c r="B141" s="223"/>
      <c r="C141" s="63" t="s">
        <v>43</v>
      </c>
      <c r="D141" s="114"/>
      <c r="E141" s="66" t="s">
        <v>16</v>
      </c>
      <c r="F141" s="68">
        <f t="shared" ref="F141:AF141" si="53">F139-F140</f>
        <v>-11.030960000003688</v>
      </c>
      <c r="G141" s="68">
        <f t="shared" si="53"/>
        <v>-76.605159999991884</v>
      </c>
      <c r="H141" s="68">
        <f t="shared" si="53"/>
        <v>-167.07231999999203</v>
      </c>
      <c r="I141" s="68">
        <f t="shared" si="53"/>
        <v>38.540240000002086</v>
      </c>
      <c r="J141" s="68">
        <f>J139-J140</f>
        <v>-53.649239999998827</v>
      </c>
      <c r="K141" s="68">
        <f t="shared" si="53"/>
        <v>-59.777440000005299</v>
      </c>
      <c r="L141" s="68">
        <f t="shared" si="53"/>
        <v>-26.292439999990165</v>
      </c>
      <c r="M141" s="68">
        <f t="shared" si="53"/>
        <v>-93.385279999987688</v>
      </c>
      <c r="N141" s="68">
        <f t="shared" si="53"/>
        <v>-74.773879999993369</v>
      </c>
      <c r="O141" s="68">
        <f t="shared" si="53"/>
        <v>-69.01144000000204</v>
      </c>
      <c r="P141" s="68">
        <f t="shared" si="53"/>
        <v>-22.30739999999787</v>
      </c>
      <c r="Q141" s="68">
        <f t="shared" si="53"/>
        <v>0</v>
      </c>
      <c r="R141" s="68">
        <f t="shared" si="53"/>
        <v>0</v>
      </c>
      <c r="S141" s="68">
        <f t="shared" si="53"/>
        <v>-16.976959999996325</v>
      </c>
      <c r="T141" s="68">
        <f t="shared" si="53"/>
        <v>-5.4197600000043167</v>
      </c>
      <c r="U141" s="68">
        <f t="shared" si="53"/>
        <v>-2.1999999999877673E-3</v>
      </c>
      <c r="V141" s="68">
        <f t="shared" si="53"/>
        <v>-46.436039999985951</v>
      </c>
      <c r="W141" s="68">
        <f t="shared" si="53"/>
        <v>-42.706559999998717</v>
      </c>
      <c r="X141" s="68">
        <f t="shared" si="53"/>
        <v>-4.6375599999955739</v>
      </c>
      <c r="Y141" s="68">
        <f t="shared" si="53"/>
        <v>0</v>
      </c>
      <c r="Z141" s="68">
        <f t="shared" si="53"/>
        <v>0</v>
      </c>
      <c r="AA141" s="68">
        <f t="shared" si="53"/>
        <v>0</v>
      </c>
      <c r="AB141" s="68">
        <f t="shared" si="53"/>
        <v>0</v>
      </c>
      <c r="AC141" s="68">
        <f t="shared" si="53"/>
        <v>0</v>
      </c>
      <c r="AD141" s="68">
        <f t="shared" si="53"/>
        <v>-4.7999999999888132E-3</v>
      </c>
      <c r="AE141" s="68">
        <f t="shared" si="53"/>
        <v>-195.08767999999691</v>
      </c>
      <c r="AF141" s="68">
        <f t="shared" si="53"/>
        <v>-4.9784399999916786</v>
      </c>
      <c r="AG141" s="68">
        <f>AG139-AG140</f>
        <v>-70.817399999999907</v>
      </c>
      <c r="AH141" s="68">
        <f>AH139-AH140</f>
        <v>-59.621440000002622</v>
      </c>
      <c r="AI141" s="259">
        <f>AI139-AI140</f>
        <v>-50.942039999994449</v>
      </c>
      <c r="AJ141" s="327"/>
      <c r="AK141" s="32">
        <f>SUM(C141:AI141)</f>
        <v>-1112.9961999999273</v>
      </c>
    </row>
    <row r="142" spans="2:113 15079:15471" s="1" customFormat="1" x14ac:dyDescent="0.25">
      <c r="B142" s="223"/>
      <c r="C142" s="63" t="s">
        <v>33</v>
      </c>
      <c r="D142" s="114"/>
      <c r="E142" s="49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367"/>
      <c r="AH142" s="367"/>
      <c r="AI142" s="260"/>
      <c r="AJ142" s="328"/>
      <c r="AK142" s="33" t="s">
        <v>33</v>
      </c>
    </row>
    <row r="143" spans="2:113 15079:15471" s="1" customFormat="1" x14ac:dyDescent="0.2">
      <c r="B143" s="223"/>
      <c r="C143" s="60" t="s">
        <v>48</v>
      </c>
      <c r="D143" s="114"/>
      <c r="E143" s="252" t="s">
        <v>36</v>
      </c>
      <c r="F143" s="64">
        <v>2352</v>
      </c>
      <c r="G143" s="64">
        <v>3942</v>
      </c>
      <c r="H143" s="64">
        <v>2711</v>
      </c>
      <c r="I143" s="64">
        <v>7612</v>
      </c>
      <c r="J143" s="64">
        <v>11549</v>
      </c>
      <c r="K143" s="64">
        <v>7778</v>
      </c>
      <c r="L143" s="64">
        <v>14153</v>
      </c>
      <c r="M143" s="64">
        <v>15036</v>
      </c>
      <c r="N143" s="64">
        <v>14231</v>
      </c>
      <c r="O143" s="64">
        <v>7578</v>
      </c>
      <c r="P143" s="64">
        <v>3755</v>
      </c>
      <c r="Q143" s="64"/>
      <c r="R143" s="64"/>
      <c r="S143" s="64">
        <v>2002</v>
      </c>
      <c r="T143" s="64">
        <v>3862</v>
      </c>
      <c r="U143" s="64">
        <v>15</v>
      </c>
      <c r="V143" s="64">
        <v>3166</v>
      </c>
      <c r="W143" s="64">
        <v>3022</v>
      </c>
      <c r="X143" s="64">
        <v>3847</v>
      </c>
      <c r="Y143" s="64"/>
      <c r="Z143" s="64"/>
      <c r="AA143" s="64"/>
      <c r="AB143" s="64"/>
      <c r="AC143" s="64">
        <v>0</v>
      </c>
      <c r="AD143" s="64">
        <v>10</v>
      </c>
      <c r="AE143" s="64">
        <v>3195</v>
      </c>
      <c r="AF143" s="64">
        <v>11353</v>
      </c>
      <c r="AG143" s="368">
        <v>8690</v>
      </c>
      <c r="AH143" s="368">
        <v>7828</v>
      </c>
      <c r="AI143" s="329">
        <v>7923</v>
      </c>
      <c r="AJ143" s="330"/>
      <c r="AK143" s="35">
        <f>SUM(C143:AI143)</f>
        <v>145610</v>
      </c>
    </row>
    <row r="144" spans="2:113 15079:15471" s="1" customFormat="1" x14ac:dyDescent="0.2">
      <c r="B144" s="223"/>
      <c r="C144" s="60" t="s">
        <v>47</v>
      </c>
      <c r="D144" s="114"/>
      <c r="E144" s="252" t="s">
        <v>36</v>
      </c>
      <c r="F144" s="64">
        <v>3950</v>
      </c>
      <c r="G144" s="64">
        <v>7775</v>
      </c>
      <c r="H144" s="64">
        <v>4873</v>
      </c>
      <c r="I144" s="64"/>
      <c r="J144" s="64">
        <v>14</v>
      </c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>
        <v>5807</v>
      </c>
      <c r="W144" s="64">
        <v>0</v>
      </c>
      <c r="X144" s="64">
        <v>0</v>
      </c>
      <c r="Y144" s="64"/>
      <c r="Z144" s="64"/>
      <c r="AA144" s="64"/>
      <c r="AB144" s="64"/>
      <c r="AC144" s="64">
        <v>0</v>
      </c>
      <c r="AD144" s="64">
        <v>0</v>
      </c>
      <c r="AE144" s="64">
        <v>4471</v>
      </c>
      <c r="AF144" s="64"/>
      <c r="AG144" s="368">
        <v>4565</v>
      </c>
      <c r="AH144" s="368"/>
      <c r="AI144" s="329"/>
      <c r="AJ144" s="330"/>
      <c r="AK144" s="35">
        <f>SUM(C144:AI144)</f>
        <v>31455</v>
      </c>
    </row>
    <row r="145" spans="2:37" s="1" customFormat="1" x14ac:dyDescent="0.25">
      <c r="B145" s="223"/>
      <c r="C145" s="63" t="s">
        <v>32</v>
      </c>
      <c r="D145" s="114"/>
      <c r="E145" s="49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367"/>
      <c r="AH145" s="367"/>
      <c r="AI145" s="260"/>
      <c r="AJ145" s="328"/>
      <c r="AK145" s="33" t="s">
        <v>32</v>
      </c>
    </row>
    <row r="146" spans="2:37" s="1" customFormat="1" x14ac:dyDescent="0.25">
      <c r="B146" s="223"/>
      <c r="C146" s="60" t="s">
        <v>48</v>
      </c>
      <c r="D146" s="114"/>
      <c r="E146" s="66" t="s">
        <v>32</v>
      </c>
      <c r="F146" s="10">
        <f t="shared" ref="F146:AF146" si="54">F143*12</f>
        <v>28224</v>
      </c>
      <c r="G146" s="10">
        <f t="shared" si="54"/>
        <v>47304</v>
      </c>
      <c r="H146" s="10">
        <f t="shared" si="54"/>
        <v>32532</v>
      </c>
      <c r="I146" s="10">
        <f t="shared" si="54"/>
        <v>91344</v>
      </c>
      <c r="J146" s="10">
        <f t="shared" si="54"/>
        <v>138588</v>
      </c>
      <c r="K146" s="10">
        <f t="shared" si="54"/>
        <v>93336</v>
      </c>
      <c r="L146" s="10">
        <f t="shared" si="54"/>
        <v>169836</v>
      </c>
      <c r="M146" s="10">
        <f t="shared" si="54"/>
        <v>180432</v>
      </c>
      <c r="N146" s="10">
        <f t="shared" si="54"/>
        <v>170772</v>
      </c>
      <c r="O146" s="10">
        <f t="shared" si="54"/>
        <v>90936</v>
      </c>
      <c r="P146" s="10">
        <f t="shared" si="54"/>
        <v>45060</v>
      </c>
      <c r="Q146" s="10">
        <f t="shared" si="54"/>
        <v>0</v>
      </c>
      <c r="R146" s="10">
        <f t="shared" si="54"/>
        <v>0</v>
      </c>
      <c r="S146" s="10">
        <f t="shared" si="54"/>
        <v>24024</v>
      </c>
      <c r="T146" s="10">
        <f t="shared" si="54"/>
        <v>46344</v>
      </c>
      <c r="U146" s="10">
        <f t="shared" si="54"/>
        <v>180</v>
      </c>
      <c r="V146" s="10">
        <f t="shared" si="54"/>
        <v>37992</v>
      </c>
      <c r="W146" s="10">
        <f t="shared" si="54"/>
        <v>36264</v>
      </c>
      <c r="X146" s="10">
        <f t="shared" si="54"/>
        <v>46164</v>
      </c>
      <c r="Y146" s="10">
        <f t="shared" si="54"/>
        <v>0</v>
      </c>
      <c r="Z146" s="10">
        <f t="shared" si="54"/>
        <v>0</v>
      </c>
      <c r="AA146" s="10">
        <f t="shared" si="54"/>
        <v>0</v>
      </c>
      <c r="AB146" s="10">
        <f t="shared" si="54"/>
        <v>0</v>
      </c>
      <c r="AC146" s="10">
        <f t="shared" si="54"/>
        <v>0</v>
      </c>
      <c r="AD146" s="10">
        <f t="shared" si="54"/>
        <v>120</v>
      </c>
      <c r="AE146" s="10">
        <f t="shared" si="54"/>
        <v>38340</v>
      </c>
      <c r="AF146" s="10">
        <f t="shared" si="54"/>
        <v>136236</v>
      </c>
      <c r="AG146" s="10">
        <f>AG143*12</f>
        <v>104280</v>
      </c>
      <c r="AH146" s="10">
        <f>AH143*12</f>
        <v>93936</v>
      </c>
      <c r="AI146" s="260">
        <f>AI143*12</f>
        <v>95076</v>
      </c>
      <c r="AJ146" s="328"/>
      <c r="AK146" s="17">
        <f>AK143*12</f>
        <v>1747320</v>
      </c>
    </row>
    <row r="147" spans="2:37" s="1" customFormat="1" x14ac:dyDescent="0.25">
      <c r="B147" s="223"/>
      <c r="C147" s="60" t="s">
        <v>47</v>
      </c>
      <c r="D147" s="114"/>
      <c r="E147" s="66" t="s">
        <v>32</v>
      </c>
      <c r="F147" s="10">
        <f t="shared" ref="F147:AF147" si="55">F144*6</f>
        <v>23700</v>
      </c>
      <c r="G147" s="10">
        <f t="shared" si="55"/>
        <v>46650</v>
      </c>
      <c r="H147" s="10">
        <f t="shared" si="55"/>
        <v>29238</v>
      </c>
      <c r="I147" s="10">
        <f t="shared" si="55"/>
        <v>0</v>
      </c>
      <c r="J147" s="10">
        <f t="shared" si="55"/>
        <v>84</v>
      </c>
      <c r="K147" s="10">
        <f t="shared" si="55"/>
        <v>0</v>
      </c>
      <c r="L147" s="10">
        <f t="shared" si="55"/>
        <v>0</v>
      </c>
      <c r="M147" s="10">
        <f t="shared" si="55"/>
        <v>0</v>
      </c>
      <c r="N147" s="10">
        <f t="shared" si="55"/>
        <v>0</v>
      </c>
      <c r="O147" s="10">
        <f t="shared" si="55"/>
        <v>0</v>
      </c>
      <c r="P147" s="10">
        <f t="shared" si="55"/>
        <v>0</v>
      </c>
      <c r="Q147" s="10">
        <f t="shared" si="55"/>
        <v>0</v>
      </c>
      <c r="R147" s="10">
        <f t="shared" si="55"/>
        <v>0</v>
      </c>
      <c r="S147" s="10">
        <f t="shared" si="55"/>
        <v>0</v>
      </c>
      <c r="T147" s="10">
        <f t="shared" si="55"/>
        <v>0</v>
      </c>
      <c r="U147" s="10">
        <f t="shared" si="55"/>
        <v>0</v>
      </c>
      <c r="V147" s="10">
        <f t="shared" si="55"/>
        <v>34842</v>
      </c>
      <c r="W147" s="10">
        <f t="shared" si="55"/>
        <v>0</v>
      </c>
      <c r="X147" s="10">
        <f t="shared" si="55"/>
        <v>0</v>
      </c>
      <c r="Y147" s="10">
        <f t="shared" si="55"/>
        <v>0</v>
      </c>
      <c r="Z147" s="10">
        <f t="shared" si="55"/>
        <v>0</v>
      </c>
      <c r="AA147" s="10">
        <f t="shared" si="55"/>
        <v>0</v>
      </c>
      <c r="AB147" s="10">
        <f t="shared" si="55"/>
        <v>0</v>
      </c>
      <c r="AC147" s="10">
        <f t="shared" si="55"/>
        <v>0</v>
      </c>
      <c r="AD147" s="10">
        <f t="shared" si="55"/>
        <v>0</v>
      </c>
      <c r="AE147" s="10">
        <f t="shared" si="55"/>
        <v>26826</v>
      </c>
      <c r="AF147" s="10">
        <f t="shared" si="55"/>
        <v>0</v>
      </c>
      <c r="AG147" s="10">
        <f>AG144*6</f>
        <v>27390</v>
      </c>
      <c r="AH147" s="10">
        <f>AH144*6</f>
        <v>0</v>
      </c>
      <c r="AI147" s="260">
        <f>AI144*6</f>
        <v>0</v>
      </c>
      <c r="AJ147" s="328"/>
      <c r="AK147" s="17">
        <f>AK144*6</f>
        <v>188730</v>
      </c>
    </row>
    <row r="148" spans="2:37" s="1" customFormat="1" x14ac:dyDescent="0.25">
      <c r="B148" s="223"/>
      <c r="C148" s="63" t="s">
        <v>41</v>
      </c>
      <c r="D148" s="114"/>
      <c r="E148" s="66" t="s">
        <v>40</v>
      </c>
      <c r="F148" s="10">
        <f t="shared" ref="F148:AF148" si="56">F139*45/1700</f>
        <v>1626.7605882352939</v>
      </c>
      <c r="G148" s="10">
        <f t="shared" si="56"/>
        <v>3023.0714117647062</v>
      </c>
      <c r="H148" s="10">
        <f t="shared" si="56"/>
        <v>1953.6172941176474</v>
      </c>
      <c r="I148" s="10">
        <f t="shared" si="56"/>
        <v>1966.2890294117647</v>
      </c>
      <c r="J148" s="10">
        <f t="shared" si="56"/>
        <v>2983.919294117647</v>
      </c>
      <c r="K148" s="10">
        <f t="shared" si="56"/>
        <v>2006.5444411764704</v>
      </c>
      <c r="L148" s="10">
        <f t="shared" si="56"/>
        <v>3653.3305588235289</v>
      </c>
      <c r="M148" s="10">
        <f t="shared" si="56"/>
        <v>3879.5278235294118</v>
      </c>
      <c r="N148" s="10">
        <f t="shared" si="56"/>
        <v>3672.1852941176471</v>
      </c>
      <c r="O148" s="10">
        <f t="shared" si="56"/>
        <v>1954.6639411764706</v>
      </c>
      <c r="P148" s="10">
        <f t="shared" si="56"/>
        <v>968.87673529411779</v>
      </c>
      <c r="Q148" s="10">
        <f t="shared" si="56"/>
        <v>0</v>
      </c>
      <c r="R148" s="10">
        <f t="shared" si="56"/>
        <v>0</v>
      </c>
      <c r="S148" s="10">
        <f t="shared" si="56"/>
        <v>516.42767647058827</v>
      </c>
      <c r="T148" s="10">
        <f t="shared" si="56"/>
        <v>996.94905882352941</v>
      </c>
      <c r="U148" s="10">
        <f t="shared" si="56"/>
        <v>3.8726470588235298</v>
      </c>
      <c r="V148" s="10">
        <f t="shared" si="56"/>
        <v>2315.4231176470589</v>
      </c>
      <c r="W148" s="10">
        <f t="shared" si="56"/>
        <v>779.09055882352936</v>
      </c>
      <c r="X148" s="10">
        <f t="shared" si="56"/>
        <v>993.09705882352944</v>
      </c>
      <c r="Y148" s="10">
        <f t="shared" si="56"/>
        <v>0</v>
      </c>
      <c r="Z148" s="10">
        <f t="shared" si="56"/>
        <v>0</v>
      </c>
      <c r="AA148" s="10">
        <f t="shared" si="56"/>
        <v>0</v>
      </c>
      <c r="AB148" s="10">
        <f t="shared" si="56"/>
        <v>0</v>
      </c>
      <c r="AC148" s="10">
        <f t="shared" si="56"/>
        <v>0</v>
      </c>
      <c r="AD148" s="10">
        <f t="shared" si="56"/>
        <v>2.5816764705882354</v>
      </c>
      <c r="AE148" s="10">
        <f t="shared" si="56"/>
        <v>1974.0464999999999</v>
      </c>
      <c r="AF148" s="10">
        <f t="shared" si="56"/>
        <v>2930.989764705882</v>
      </c>
      <c r="AG148" s="10">
        <f>AG139*45/1700</f>
        <v>3420.306</v>
      </c>
      <c r="AH148" s="10">
        <f>AH139*45/1700</f>
        <v>2019.457588235294</v>
      </c>
      <c r="AI148" s="260">
        <f>AI139*45/1700</f>
        <v>2044.2144705882354</v>
      </c>
      <c r="AJ148" s="328"/>
      <c r="AK148" s="17">
        <f>SUM(C148:AI148)</f>
        <v>45685.242529411764</v>
      </c>
    </row>
    <row r="149" spans="2:37" s="1" customFormat="1" x14ac:dyDescent="0.25">
      <c r="B149" s="223"/>
      <c r="C149" s="63" t="s">
        <v>39</v>
      </c>
      <c r="D149" s="114"/>
      <c r="E149" s="66" t="s">
        <v>38</v>
      </c>
      <c r="F149" s="10">
        <f>SUM(F143:F144)/500</f>
        <v>12.603999999999999</v>
      </c>
      <c r="G149" s="10">
        <f t="shared" ref="G149:AF149" si="57">SUM(G143:G144)/500</f>
        <v>23.434000000000001</v>
      </c>
      <c r="H149" s="10">
        <f t="shared" si="57"/>
        <v>15.167999999999999</v>
      </c>
      <c r="I149" s="10">
        <f t="shared" si="57"/>
        <v>15.224</v>
      </c>
      <c r="J149" s="10">
        <f t="shared" si="57"/>
        <v>23.126000000000001</v>
      </c>
      <c r="K149" s="10">
        <f t="shared" si="57"/>
        <v>15.555999999999999</v>
      </c>
      <c r="L149" s="10">
        <f t="shared" si="57"/>
        <v>28.306000000000001</v>
      </c>
      <c r="M149" s="10">
        <f t="shared" si="57"/>
        <v>30.071999999999999</v>
      </c>
      <c r="N149" s="10">
        <f t="shared" si="57"/>
        <v>28.462</v>
      </c>
      <c r="O149" s="10">
        <f t="shared" si="57"/>
        <v>15.156000000000001</v>
      </c>
      <c r="P149" s="10">
        <f t="shared" si="57"/>
        <v>7.51</v>
      </c>
      <c r="Q149" s="10">
        <f t="shared" si="57"/>
        <v>0</v>
      </c>
      <c r="R149" s="10">
        <f t="shared" si="57"/>
        <v>0</v>
      </c>
      <c r="S149" s="10">
        <f t="shared" si="57"/>
        <v>4.0039999999999996</v>
      </c>
      <c r="T149" s="10">
        <f t="shared" si="57"/>
        <v>7.7240000000000002</v>
      </c>
      <c r="U149" s="10">
        <f t="shared" si="57"/>
        <v>0.03</v>
      </c>
      <c r="V149" s="10">
        <f t="shared" si="57"/>
        <v>17.946000000000002</v>
      </c>
      <c r="W149" s="10">
        <f t="shared" si="57"/>
        <v>6.0439999999999996</v>
      </c>
      <c r="X149" s="10">
        <f t="shared" si="57"/>
        <v>7.694</v>
      </c>
      <c r="Y149" s="10">
        <f t="shared" si="57"/>
        <v>0</v>
      </c>
      <c r="Z149" s="10">
        <f t="shared" si="57"/>
        <v>0</v>
      </c>
      <c r="AA149" s="10">
        <f t="shared" si="57"/>
        <v>0</v>
      </c>
      <c r="AB149" s="10">
        <f t="shared" si="57"/>
        <v>0</v>
      </c>
      <c r="AC149" s="10">
        <f t="shared" si="57"/>
        <v>0</v>
      </c>
      <c r="AD149" s="10">
        <f t="shared" si="57"/>
        <v>0.02</v>
      </c>
      <c r="AE149" s="10">
        <f t="shared" si="57"/>
        <v>15.332000000000001</v>
      </c>
      <c r="AF149" s="10">
        <f t="shared" si="57"/>
        <v>22.706</v>
      </c>
      <c r="AG149" s="10">
        <f>SUM(AG143:AG144)/500</f>
        <v>26.51</v>
      </c>
      <c r="AH149" s="10">
        <f>SUM(AH143:AH144)/500</f>
        <v>15.656000000000001</v>
      </c>
      <c r="AI149" s="401">
        <f>SUM(AI143:AI144)/500</f>
        <v>15.846</v>
      </c>
      <c r="AJ149" s="328"/>
      <c r="AK149" s="17">
        <f>SUM(C149:AI149)</f>
        <v>354.13</v>
      </c>
    </row>
    <row r="150" spans="2:37" s="1" customFormat="1" x14ac:dyDescent="0.25">
      <c r="B150" s="223"/>
      <c r="C150" s="59" t="s">
        <v>37</v>
      </c>
      <c r="D150" s="172"/>
      <c r="E150" s="253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369"/>
      <c r="AH150" s="369"/>
      <c r="AI150" s="402"/>
      <c r="AJ150" s="382"/>
      <c r="AK150" s="34" t="s">
        <v>34</v>
      </c>
    </row>
    <row r="151" spans="2:37" s="1" customFormat="1" x14ac:dyDescent="0.25">
      <c r="B151" s="223"/>
      <c r="C151" s="63" t="s">
        <v>33</v>
      </c>
      <c r="D151" s="114"/>
      <c r="E151" s="49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367"/>
      <c r="AH151" s="367"/>
      <c r="AI151" s="260"/>
      <c r="AJ151" s="69"/>
      <c r="AK151" s="33" t="s">
        <v>33</v>
      </c>
    </row>
    <row r="152" spans="2:37" s="1" customFormat="1" x14ac:dyDescent="0.25">
      <c r="B152" s="223"/>
      <c r="C152" s="60" t="s">
        <v>48</v>
      </c>
      <c r="D152" s="114"/>
      <c r="E152" s="66" t="s">
        <v>36</v>
      </c>
      <c r="F152" s="64">
        <v>0</v>
      </c>
      <c r="G152" s="64">
        <v>1</v>
      </c>
      <c r="H152" s="64">
        <v>12</v>
      </c>
      <c r="I152" s="64">
        <v>1</v>
      </c>
      <c r="J152" s="64">
        <v>7</v>
      </c>
      <c r="K152" s="64">
        <v>7</v>
      </c>
      <c r="L152" s="64">
        <v>4</v>
      </c>
      <c r="M152" s="64">
        <v>11</v>
      </c>
      <c r="N152" s="64">
        <v>9</v>
      </c>
      <c r="O152" s="64">
        <v>8</v>
      </c>
      <c r="P152" s="64">
        <v>3</v>
      </c>
      <c r="Q152" s="64"/>
      <c r="R152" s="64"/>
      <c r="S152" s="64">
        <v>2</v>
      </c>
      <c r="T152" s="64">
        <v>1</v>
      </c>
      <c r="U152" s="64"/>
      <c r="V152" s="64"/>
      <c r="W152" s="64">
        <v>5</v>
      </c>
      <c r="X152" s="64">
        <v>1</v>
      </c>
      <c r="Y152" s="64"/>
      <c r="Z152" s="64"/>
      <c r="AA152" s="64"/>
      <c r="AB152" s="64"/>
      <c r="AC152" s="64"/>
      <c r="AD152" s="64"/>
      <c r="AE152" s="64">
        <v>6</v>
      </c>
      <c r="AF152" s="64">
        <v>2</v>
      </c>
      <c r="AG152" s="368">
        <v>2</v>
      </c>
      <c r="AH152" s="368">
        <v>7</v>
      </c>
      <c r="AI152" s="329">
        <v>6</v>
      </c>
      <c r="AJ152" s="69"/>
      <c r="AK152" s="17">
        <f>SUM(C152:AI152)</f>
        <v>95</v>
      </c>
    </row>
    <row r="153" spans="2:37" s="1" customFormat="1" x14ac:dyDescent="0.25">
      <c r="B153" s="223"/>
      <c r="C153" s="60" t="s">
        <v>47</v>
      </c>
      <c r="D153" s="114"/>
      <c r="E153" s="66" t="s">
        <v>36</v>
      </c>
      <c r="F153" s="64">
        <v>2</v>
      </c>
      <c r="G153" s="64">
        <v>8</v>
      </c>
      <c r="H153" s="64">
        <v>6</v>
      </c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>
        <v>6</v>
      </c>
      <c r="W153" s="64"/>
      <c r="X153" s="64"/>
      <c r="Y153" s="64"/>
      <c r="Z153" s="64"/>
      <c r="AA153" s="64"/>
      <c r="AB153" s="64"/>
      <c r="AC153" s="64"/>
      <c r="AD153" s="64"/>
      <c r="AE153" s="64">
        <v>15</v>
      </c>
      <c r="AF153" s="64"/>
      <c r="AG153" s="368">
        <v>7</v>
      </c>
      <c r="AH153" s="368"/>
      <c r="AI153" s="329"/>
      <c r="AJ153" s="69"/>
      <c r="AK153" s="17">
        <f>SUM(C153:AI153)</f>
        <v>44</v>
      </c>
    </row>
    <row r="154" spans="2:37" s="1" customFormat="1" x14ac:dyDescent="0.25">
      <c r="B154" s="223"/>
      <c r="C154" s="63" t="s">
        <v>32</v>
      </c>
      <c r="D154" s="114"/>
      <c r="E154" s="49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368"/>
      <c r="AH154" s="368"/>
      <c r="AI154" s="329"/>
      <c r="AJ154" s="69"/>
      <c r="AK154" s="33" t="s">
        <v>32</v>
      </c>
    </row>
    <row r="155" spans="2:37" s="1" customFormat="1" x14ac:dyDescent="0.25">
      <c r="B155" s="223"/>
      <c r="C155" s="60" t="str">
        <f>C152</f>
        <v xml:space="preserve">INL SP 900 mL  </v>
      </c>
      <c r="D155" s="114"/>
      <c r="E155" s="66" t="s">
        <v>32</v>
      </c>
      <c r="F155" s="64">
        <f>F152*12</f>
        <v>0</v>
      </c>
      <c r="G155" s="64">
        <f t="shared" ref="G155:AI155" si="58">G152*12</f>
        <v>12</v>
      </c>
      <c r="H155" s="64">
        <f t="shared" si="58"/>
        <v>144</v>
      </c>
      <c r="I155" s="64">
        <f t="shared" si="58"/>
        <v>12</v>
      </c>
      <c r="J155" s="64">
        <f t="shared" si="58"/>
        <v>84</v>
      </c>
      <c r="K155" s="64">
        <f t="shared" si="58"/>
        <v>84</v>
      </c>
      <c r="L155" s="64">
        <f t="shared" si="58"/>
        <v>48</v>
      </c>
      <c r="M155" s="64">
        <f t="shared" si="58"/>
        <v>132</v>
      </c>
      <c r="N155" s="64">
        <f t="shared" si="58"/>
        <v>108</v>
      </c>
      <c r="O155" s="64">
        <f t="shared" si="58"/>
        <v>96</v>
      </c>
      <c r="P155" s="64">
        <f t="shared" si="58"/>
        <v>36</v>
      </c>
      <c r="Q155" s="64">
        <f t="shared" si="58"/>
        <v>0</v>
      </c>
      <c r="R155" s="64">
        <f t="shared" si="58"/>
        <v>0</v>
      </c>
      <c r="S155" s="64">
        <f t="shared" si="58"/>
        <v>24</v>
      </c>
      <c r="T155" s="64">
        <f t="shared" si="58"/>
        <v>12</v>
      </c>
      <c r="U155" s="64">
        <f t="shared" si="58"/>
        <v>0</v>
      </c>
      <c r="V155" s="64">
        <f t="shared" si="58"/>
        <v>0</v>
      </c>
      <c r="W155" s="64">
        <f t="shared" si="58"/>
        <v>60</v>
      </c>
      <c r="X155" s="64">
        <f t="shared" si="58"/>
        <v>12</v>
      </c>
      <c r="Y155" s="64">
        <f t="shared" si="58"/>
        <v>0</v>
      </c>
      <c r="Z155" s="64">
        <f t="shared" si="58"/>
        <v>0</v>
      </c>
      <c r="AA155" s="64">
        <f t="shared" si="58"/>
        <v>0</v>
      </c>
      <c r="AB155" s="64">
        <f t="shared" si="58"/>
        <v>0</v>
      </c>
      <c r="AC155" s="64">
        <f t="shared" si="58"/>
        <v>0</v>
      </c>
      <c r="AD155" s="64">
        <f t="shared" si="58"/>
        <v>0</v>
      </c>
      <c r="AE155" s="64">
        <f t="shared" si="58"/>
        <v>72</v>
      </c>
      <c r="AF155" s="64">
        <f t="shared" si="58"/>
        <v>24</v>
      </c>
      <c r="AG155" s="64">
        <f t="shared" si="58"/>
        <v>24</v>
      </c>
      <c r="AH155" s="64">
        <f t="shared" si="58"/>
        <v>84</v>
      </c>
      <c r="AI155" s="329">
        <f t="shared" si="58"/>
        <v>72</v>
      </c>
      <c r="AJ155" s="69"/>
      <c r="AK155" s="17">
        <f>SUM(C155:AI155)</f>
        <v>1140</v>
      </c>
    </row>
    <row r="156" spans="2:37" s="1" customFormat="1" x14ac:dyDescent="0.25">
      <c r="B156" s="223"/>
      <c r="C156" s="60" t="str">
        <f>C153</f>
        <v>INL SP 1,8 L</v>
      </c>
      <c r="D156" s="114"/>
      <c r="E156" s="66" t="s">
        <v>32</v>
      </c>
      <c r="F156" s="64">
        <f>F153*6</f>
        <v>12</v>
      </c>
      <c r="G156" s="64">
        <f t="shared" ref="G156:AI156" si="59">G153*6</f>
        <v>48</v>
      </c>
      <c r="H156" s="64">
        <f t="shared" si="59"/>
        <v>36</v>
      </c>
      <c r="I156" s="64">
        <f t="shared" si="59"/>
        <v>0</v>
      </c>
      <c r="J156" s="64">
        <f t="shared" si="59"/>
        <v>0</v>
      </c>
      <c r="K156" s="64">
        <f t="shared" si="59"/>
        <v>0</v>
      </c>
      <c r="L156" s="64">
        <f t="shared" si="59"/>
        <v>0</v>
      </c>
      <c r="M156" s="64">
        <f t="shared" si="59"/>
        <v>0</v>
      </c>
      <c r="N156" s="64">
        <f t="shared" si="59"/>
        <v>0</v>
      </c>
      <c r="O156" s="64">
        <f t="shared" si="59"/>
        <v>0</v>
      </c>
      <c r="P156" s="64">
        <f t="shared" si="59"/>
        <v>0</v>
      </c>
      <c r="Q156" s="64">
        <f t="shared" si="59"/>
        <v>0</v>
      </c>
      <c r="R156" s="64">
        <f t="shared" si="59"/>
        <v>0</v>
      </c>
      <c r="S156" s="64">
        <f t="shared" si="59"/>
        <v>0</v>
      </c>
      <c r="T156" s="64">
        <f t="shared" si="59"/>
        <v>0</v>
      </c>
      <c r="U156" s="64">
        <f t="shared" si="59"/>
        <v>0</v>
      </c>
      <c r="V156" s="64">
        <f t="shared" si="59"/>
        <v>36</v>
      </c>
      <c r="W156" s="64">
        <f t="shared" si="59"/>
        <v>0</v>
      </c>
      <c r="X156" s="64">
        <f t="shared" si="59"/>
        <v>0</v>
      </c>
      <c r="Y156" s="64">
        <f t="shared" si="59"/>
        <v>0</v>
      </c>
      <c r="Z156" s="64">
        <f t="shared" si="59"/>
        <v>0</v>
      </c>
      <c r="AA156" s="64">
        <f t="shared" si="59"/>
        <v>0</v>
      </c>
      <c r="AB156" s="64">
        <f t="shared" si="59"/>
        <v>0</v>
      </c>
      <c r="AC156" s="64">
        <f t="shared" si="59"/>
        <v>0</v>
      </c>
      <c r="AD156" s="64">
        <f t="shared" si="59"/>
        <v>0</v>
      </c>
      <c r="AE156" s="64">
        <f t="shared" si="59"/>
        <v>90</v>
      </c>
      <c r="AF156" s="64">
        <f t="shared" si="59"/>
        <v>0</v>
      </c>
      <c r="AG156" s="64">
        <f t="shared" si="59"/>
        <v>42</v>
      </c>
      <c r="AH156" s="64">
        <f t="shared" si="59"/>
        <v>0</v>
      </c>
      <c r="AI156" s="329">
        <f t="shared" si="59"/>
        <v>0</v>
      </c>
      <c r="AJ156" s="69"/>
      <c r="AK156" s="17">
        <f>SUM(C156:AI156)</f>
        <v>264</v>
      </c>
    </row>
    <row r="157" spans="2:37" s="1" customFormat="1" x14ac:dyDescent="0.25">
      <c r="B157" s="223"/>
      <c r="C157" s="59" t="s">
        <v>35</v>
      </c>
      <c r="D157" s="172"/>
      <c r="E157" s="175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370"/>
      <c r="AH157" s="370"/>
      <c r="AI157" s="403"/>
      <c r="AJ157" s="382"/>
      <c r="AK157" s="77"/>
    </row>
    <row r="158" spans="2:37" s="1" customFormat="1" x14ac:dyDescent="0.25">
      <c r="B158" s="223"/>
      <c r="C158" s="63" t="s">
        <v>33</v>
      </c>
      <c r="D158" s="114"/>
      <c r="E158" s="66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368"/>
      <c r="AH158" s="368"/>
      <c r="AI158" s="329"/>
      <c r="AJ158" s="69"/>
      <c r="AK158" s="17"/>
    </row>
    <row r="159" spans="2:37" s="1" customFormat="1" x14ac:dyDescent="0.25">
      <c r="B159" s="223"/>
      <c r="C159" s="60" t="s">
        <v>48</v>
      </c>
      <c r="D159" s="114"/>
      <c r="E159" s="66" t="s">
        <v>29</v>
      </c>
      <c r="F159" s="64">
        <f t="shared" ref="F159:AI160" si="60">F152/F143*100</f>
        <v>0</v>
      </c>
      <c r="G159" s="64">
        <f t="shared" si="60"/>
        <v>2.5367833587011668E-2</v>
      </c>
      <c r="H159" s="64">
        <f t="shared" si="60"/>
        <v>0.44264109184802652</v>
      </c>
      <c r="I159" s="64">
        <f t="shared" si="60"/>
        <v>1.3137151865475564E-2</v>
      </c>
      <c r="J159" s="64">
        <f t="shared" si="60"/>
        <v>6.0611308338384275E-2</v>
      </c>
      <c r="K159" s="64">
        <f>K152/K143*100</f>
        <v>8.9997428644895863E-2</v>
      </c>
      <c r="L159" s="64">
        <f t="shared" si="60"/>
        <v>2.8262559174733273E-2</v>
      </c>
      <c r="M159" s="64">
        <f t="shared" si="60"/>
        <v>7.3157754722000534E-2</v>
      </c>
      <c r="N159" s="64">
        <f t="shared" si="60"/>
        <v>6.324221769376713E-2</v>
      </c>
      <c r="O159" s="64">
        <f t="shared" si="60"/>
        <v>0.10556875164951175</v>
      </c>
      <c r="P159" s="64">
        <f t="shared" si="60"/>
        <v>7.9893475366178426E-2</v>
      </c>
      <c r="Q159" s="64" t="e">
        <f t="shared" si="60"/>
        <v>#DIV/0!</v>
      </c>
      <c r="R159" s="64" t="e">
        <f t="shared" si="60"/>
        <v>#DIV/0!</v>
      </c>
      <c r="S159" s="64">
        <f t="shared" si="60"/>
        <v>9.9900099900099903E-2</v>
      </c>
      <c r="T159" s="64">
        <f t="shared" si="60"/>
        <v>2.589331952356292E-2</v>
      </c>
      <c r="U159" s="64">
        <f t="shared" si="60"/>
        <v>0</v>
      </c>
      <c r="V159" s="64">
        <f t="shared" si="60"/>
        <v>0</v>
      </c>
      <c r="W159" s="64">
        <f t="shared" si="60"/>
        <v>0.16545334215751159</v>
      </c>
      <c r="X159" s="64">
        <f t="shared" si="60"/>
        <v>2.5994281258123211E-2</v>
      </c>
      <c r="Y159" s="64" t="e">
        <f t="shared" si="60"/>
        <v>#DIV/0!</v>
      </c>
      <c r="Z159" s="64" t="e">
        <f t="shared" si="60"/>
        <v>#DIV/0!</v>
      </c>
      <c r="AA159" s="64" t="e">
        <f t="shared" si="60"/>
        <v>#DIV/0!</v>
      </c>
      <c r="AB159" s="64" t="e">
        <f t="shared" si="60"/>
        <v>#DIV/0!</v>
      </c>
      <c r="AC159" s="64" t="e">
        <f t="shared" si="60"/>
        <v>#DIV/0!</v>
      </c>
      <c r="AD159" s="64">
        <f t="shared" si="60"/>
        <v>0</v>
      </c>
      <c r="AE159" s="64">
        <f t="shared" si="60"/>
        <v>0.18779342723004694</v>
      </c>
      <c r="AF159" s="64">
        <f t="shared" si="60"/>
        <v>1.7616489033735576E-2</v>
      </c>
      <c r="AG159" s="64">
        <f t="shared" si="60"/>
        <v>2.3014959723820481E-2</v>
      </c>
      <c r="AH159" s="64">
        <f t="shared" si="60"/>
        <v>8.9422585590189063E-2</v>
      </c>
      <c r="AI159" s="329">
        <f t="shared" si="60"/>
        <v>7.5728890571753124E-2</v>
      </c>
      <c r="AJ159" s="330"/>
      <c r="AK159" s="17" t="e">
        <f>SUM(C159:AI159)</f>
        <v>#DIV/0!</v>
      </c>
    </row>
    <row r="160" spans="2:37" s="1" customFormat="1" x14ac:dyDescent="0.25">
      <c r="B160" s="223"/>
      <c r="C160" s="60" t="s">
        <v>119</v>
      </c>
      <c r="D160" s="114"/>
      <c r="E160" s="66" t="s">
        <v>29</v>
      </c>
      <c r="F160" s="64">
        <f>F153/F144*100</f>
        <v>5.0632911392405069E-2</v>
      </c>
      <c r="G160" s="64">
        <f t="shared" si="60"/>
        <v>0.10289389067524116</v>
      </c>
      <c r="H160" s="64">
        <f t="shared" si="60"/>
        <v>0.12312743689718859</v>
      </c>
      <c r="I160" s="64" t="e">
        <f>I153/I144*100</f>
        <v>#DIV/0!</v>
      </c>
      <c r="J160" s="64">
        <f t="shared" si="60"/>
        <v>0</v>
      </c>
      <c r="K160" s="64" t="e">
        <f t="shared" si="60"/>
        <v>#DIV/0!</v>
      </c>
      <c r="L160" s="64" t="e">
        <f t="shared" si="60"/>
        <v>#DIV/0!</v>
      </c>
      <c r="M160" s="64" t="e">
        <f t="shared" si="60"/>
        <v>#DIV/0!</v>
      </c>
      <c r="N160" s="64" t="e">
        <f t="shared" si="60"/>
        <v>#DIV/0!</v>
      </c>
      <c r="O160" s="64" t="e">
        <f t="shared" si="60"/>
        <v>#DIV/0!</v>
      </c>
      <c r="P160" s="64" t="e">
        <f t="shared" si="60"/>
        <v>#DIV/0!</v>
      </c>
      <c r="Q160" s="64" t="e">
        <f t="shared" si="60"/>
        <v>#DIV/0!</v>
      </c>
      <c r="R160" s="64" t="e">
        <f t="shared" si="60"/>
        <v>#DIV/0!</v>
      </c>
      <c r="S160" s="64" t="e">
        <f t="shared" si="60"/>
        <v>#DIV/0!</v>
      </c>
      <c r="T160" s="64" t="e">
        <f t="shared" si="60"/>
        <v>#DIV/0!</v>
      </c>
      <c r="U160" s="64" t="e">
        <f t="shared" si="60"/>
        <v>#DIV/0!</v>
      </c>
      <c r="V160" s="64">
        <f t="shared" si="60"/>
        <v>0.10332357499569485</v>
      </c>
      <c r="W160" s="64" t="e">
        <f t="shared" si="60"/>
        <v>#DIV/0!</v>
      </c>
      <c r="X160" s="64" t="e">
        <f t="shared" si="60"/>
        <v>#DIV/0!</v>
      </c>
      <c r="Y160" s="64" t="e">
        <f t="shared" si="60"/>
        <v>#DIV/0!</v>
      </c>
      <c r="Z160" s="64" t="e">
        <f t="shared" si="60"/>
        <v>#DIV/0!</v>
      </c>
      <c r="AA160" s="64" t="e">
        <f t="shared" si="60"/>
        <v>#DIV/0!</v>
      </c>
      <c r="AB160" s="64" t="e">
        <f t="shared" si="60"/>
        <v>#DIV/0!</v>
      </c>
      <c r="AC160" s="64" t="e">
        <f t="shared" si="60"/>
        <v>#DIV/0!</v>
      </c>
      <c r="AD160" s="64" t="e">
        <f t="shared" si="60"/>
        <v>#DIV/0!</v>
      </c>
      <c r="AE160" s="64">
        <f t="shared" si="60"/>
        <v>0.33549541489599644</v>
      </c>
      <c r="AF160" s="64" t="e">
        <f t="shared" si="60"/>
        <v>#DIV/0!</v>
      </c>
      <c r="AG160" s="64">
        <f t="shared" si="60"/>
        <v>0.15334063526834613</v>
      </c>
      <c r="AH160" s="64" t="e">
        <f t="shared" si="60"/>
        <v>#DIV/0!</v>
      </c>
      <c r="AI160" s="329" t="e">
        <f t="shared" si="60"/>
        <v>#DIV/0!</v>
      </c>
      <c r="AJ160" s="330"/>
      <c r="AK160" s="17" t="e">
        <f>SUM(C160:AI160)</f>
        <v>#DIV/0!</v>
      </c>
    </row>
    <row r="161" spans="2:113 15079:15471" s="1" customFormat="1" x14ac:dyDescent="0.25">
      <c r="B161" s="223"/>
      <c r="C161" s="63" t="s">
        <v>32</v>
      </c>
      <c r="D161" s="114"/>
      <c r="E161" s="49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329"/>
      <c r="AJ161" s="330"/>
      <c r="AK161" s="17"/>
    </row>
    <row r="162" spans="2:113 15079:15471" s="1" customFormat="1" x14ac:dyDescent="0.25">
      <c r="B162" s="223"/>
      <c r="C162" s="60" t="s">
        <v>48</v>
      </c>
      <c r="D162" s="114"/>
      <c r="E162" s="66" t="s">
        <v>29</v>
      </c>
      <c r="F162" s="64">
        <f t="shared" ref="F162:AI163" si="61">F155/F146*100</f>
        <v>0</v>
      </c>
      <c r="G162" s="64">
        <f t="shared" si="61"/>
        <v>2.5367833587011668E-2</v>
      </c>
      <c r="H162" s="64">
        <f t="shared" si="61"/>
        <v>0.44264109184802652</v>
      </c>
      <c r="I162" s="64">
        <f t="shared" si="61"/>
        <v>1.3137151865475564E-2</v>
      </c>
      <c r="J162" s="64">
        <f t="shared" si="61"/>
        <v>6.0611308338384275E-2</v>
      </c>
      <c r="K162" s="64">
        <f t="shared" si="61"/>
        <v>8.9997428644895863E-2</v>
      </c>
      <c r="L162" s="64">
        <f t="shared" si="61"/>
        <v>2.8262559174733273E-2</v>
      </c>
      <c r="M162" s="64">
        <f t="shared" si="61"/>
        <v>7.3157754722000534E-2</v>
      </c>
      <c r="N162" s="64">
        <f t="shared" si="61"/>
        <v>6.324221769376713E-2</v>
      </c>
      <c r="O162" s="64">
        <f t="shared" si="61"/>
        <v>0.10556875164951175</v>
      </c>
      <c r="P162" s="64">
        <f t="shared" si="61"/>
        <v>7.9893475366178426E-2</v>
      </c>
      <c r="Q162" s="64" t="e">
        <f t="shared" si="61"/>
        <v>#DIV/0!</v>
      </c>
      <c r="R162" s="64" t="e">
        <f t="shared" si="61"/>
        <v>#DIV/0!</v>
      </c>
      <c r="S162" s="64">
        <f t="shared" si="61"/>
        <v>9.9900099900099903E-2</v>
      </c>
      <c r="T162" s="64">
        <f t="shared" si="61"/>
        <v>2.589331952356292E-2</v>
      </c>
      <c r="U162" s="64">
        <f t="shared" si="61"/>
        <v>0</v>
      </c>
      <c r="V162" s="64">
        <f t="shared" si="61"/>
        <v>0</v>
      </c>
      <c r="W162" s="64">
        <f t="shared" si="61"/>
        <v>0.16545334215751159</v>
      </c>
      <c r="X162" s="64">
        <f t="shared" si="61"/>
        <v>2.5994281258123211E-2</v>
      </c>
      <c r="Y162" s="64" t="e">
        <f t="shared" si="61"/>
        <v>#DIV/0!</v>
      </c>
      <c r="Z162" s="64" t="e">
        <f t="shared" si="61"/>
        <v>#DIV/0!</v>
      </c>
      <c r="AA162" s="64" t="e">
        <f t="shared" si="61"/>
        <v>#DIV/0!</v>
      </c>
      <c r="AB162" s="64" t="e">
        <f t="shared" si="61"/>
        <v>#DIV/0!</v>
      </c>
      <c r="AC162" s="64" t="e">
        <f t="shared" si="61"/>
        <v>#DIV/0!</v>
      </c>
      <c r="AD162" s="64">
        <f t="shared" si="61"/>
        <v>0</v>
      </c>
      <c r="AE162" s="64">
        <f t="shared" si="61"/>
        <v>0.18779342723004694</v>
      </c>
      <c r="AF162" s="64">
        <f t="shared" si="61"/>
        <v>1.7616489033735576E-2</v>
      </c>
      <c r="AG162" s="64">
        <f t="shared" si="61"/>
        <v>2.3014959723820481E-2</v>
      </c>
      <c r="AH162" s="64">
        <f t="shared" si="61"/>
        <v>8.9422585590189063E-2</v>
      </c>
      <c r="AI162" s="329">
        <f t="shared" si="61"/>
        <v>7.5728890571753124E-2</v>
      </c>
      <c r="AJ162" s="330"/>
      <c r="AK162" s="17" t="e">
        <f>SUM(C162:AI162)</f>
        <v>#DIV/0!</v>
      </c>
    </row>
    <row r="163" spans="2:113 15079:15471" s="1" customFormat="1" ht="15.75" thickBot="1" x14ac:dyDescent="0.3">
      <c r="B163" s="254"/>
      <c r="C163" s="60" t="s">
        <v>119</v>
      </c>
      <c r="D163" s="114"/>
      <c r="E163" s="66" t="s">
        <v>29</v>
      </c>
      <c r="F163" s="64">
        <f t="shared" si="61"/>
        <v>5.0632911392405069E-2</v>
      </c>
      <c r="G163" s="64">
        <f t="shared" si="61"/>
        <v>0.10289389067524116</v>
      </c>
      <c r="H163" s="64">
        <f t="shared" si="61"/>
        <v>0.12312743689718859</v>
      </c>
      <c r="I163" s="64" t="e">
        <f t="shared" si="61"/>
        <v>#DIV/0!</v>
      </c>
      <c r="J163" s="64">
        <f t="shared" si="61"/>
        <v>0</v>
      </c>
      <c r="K163" s="64" t="e">
        <f t="shared" si="61"/>
        <v>#DIV/0!</v>
      </c>
      <c r="L163" s="64" t="e">
        <f t="shared" si="61"/>
        <v>#DIV/0!</v>
      </c>
      <c r="M163" s="64" t="e">
        <f t="shared" si="61"/>
        <v>#DIV/0!</v>
      </c>
      <c r="N163" s="64" t="e">
        <f t="shared" si="61"/>
        <v>#DIV/0!</v>
      </c>
      <c r="O163" s="64" t="e">
        <f t="shared" si="61"/>
        <v>#DIV/0!</v>
      </c>
      <c r="P163" s="64" t="e">
        <f t="shared" si="61"/>
        <v>#DIV/0!</v>
      </c>
      <c r="Q163" s="64" t="e">
        <f t="shared" si="61"/>
        <v>#DIV/0!</v>
      </c>
      <c r="R163" s="64" t="e">
        <f t="shared" si="61"/>
        <v>#DIV/0!</v>
      </c>
      <c r="S163" s="64" t="e">
        <f t="shared" si="61"/>
        <v>#DIV/0!</v>
      </c>
      <c r="T163" s="64" t="e">
        <f t="shared" si="61"/>
        <v>#DIV/0!</v>
      </c>
      <c r="U163" s="64" t="e">
        <f t="shared" si="61"/>
        <v>#DIV/0!</v>
      </c>
      <c r="V163" s="64">
        <f t="shared" si="61"/>
        <v>0.10332357499569485</v>
      </c>
      <c r="W163" s="64" t="e">
        <f t="shared" si="61"/>
        <v>#DIV/0!</v>
      </c>
      <c r="X163" s="64" t="e">
        <f t="shared" si="61"/>
        <v>#DIV/0!</v>
      </c>
      <c r="Y163" s="64" t="e">
        <f t="shared" si="61"/>
        <v>#DIV/0!</v>
      </c>
      <c r="Z163" s="64" t="e">
        <f t="shared" si="61"/>
        <v>#DIV/0!</v>
      </c>
      <c r="AA163" s="64" t="e">
        <f t="shared" si="61"/>
        <v>#DIV/0!</v>
      </c>
      <c r="AB163" s="64" t="e">
        <f t="shared" si="61"/>
        <v>#DIV/0!</v>
      </c>
      <c r="AC163" s="64" t="e">
        <f t="shared" si="61"/>
        <v>#DIV/0!</v>
      </c>
      <c r="AD163" s="64" t="e">
        <f t="shared" si="61"/>
        <v>#DIV/0!</v>
      </c>
      <c r="AE163" s="64">
        <f t="shared" si="61"/>
        <v>0.33549541489599644</v>
      </c>
      <c r="AF163" s="64" t="e">
        <f t="shared" si="61"/>
        <v>#DIV/0!</v>
      </c>
      <c r="AG163" s="64">
        <f t="shared" si="61"/>
        <v>0.15334063526834613</v>
      </c>
      <c r="AH163" s="64" t="e">
        <f t="shared" si="61"/>
        <v>#DIV/0!</v>
      </c>
      <c r="AI163" s="329" t="e">
        <f t="shared" si="61"/>
        <v>#DIV/0!</v>
      </c>
      <c r="AJ163" s="330"/>
      <c r="AK163" s="17" t="e">
        <f>SUM(C163:AI163)</f>
        <v>#DIV/0!</v>
      </c>
    </row>
    <row r="164" spans="2:113 15079:15471" s="1" customFormat="1" x14ac:dyDescent="0.25">
      <c r="B164" s="215">
        <v>7</v>
      </c>
      <c r="C164" s="82" t="s">
        <v>46</v>
      </c>
      <c r="D164" s="98"/>
      <c r="E164" s="213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100"/>
      <c r="AD164" s="99"/>
      <c r="AE164" s="99"/>
      <c r="AF164" s="99"/>
      <c r="AG164" s="349"/>
      <c r="AH164" s="349"/>
      <c r="AI164" s="214"/>
      <c r="AJ164" s="21"/>
      <c r="AK164" s="34" t="s">
        <v>45</v>
      </c>
      <c r="DI164" s="4"/>
      <c r="VGY164"/>
      <c r="VGZ164"/>
      <c r="VHA164"/>
      <c r="VHB164"/>
      <c r="VHC164"/>
      <c r="VHD164"/>
      <c r="VHE164"/>
      <c r="VHF164"/>
      <c r="VHG164"/>
      <c r="VHH164"/>
      <c r="VHI164"/>
      <c r="VHJ164"/>
      <c r="VHK164"/>
      <c r="VHL164"/>
      <c r="VHM164"/>
      <c r="VHN164"/>
      <c r="VHO164"/>
      <c r="VHP164"/>
      <c r="VHQ164"/>
      <c r="VHR164"/>
      <c r="VHS164"/>
      <c r="VHT164"/>
      <c r="VHU164"/>
      <c r="VHV164"/>
      <c r="VHW164"/>
      <c r="VHX164"/>
      <c r="VHY164"/>
      <c r="VHZ164"/>
      <c r="VIA164"/>
      <c r="VIB164"/>
      <c r="VIC164"/>
      <c r="VID164"/>
      <c r="VIE164"/>
      <c r="VIF164"/>
      <c r="VIG164"/>
      <c r="VIH164"/>
      <c r="VII164"/>
      <c r="VIJ164"/>
      <c r="VIK164"/>
      <c r="VIL164"/>
      <c r="VIM164"/>
      <c r="VIN164"/>
      <c r="VIO164"/>
      <c r="VIP164"/>
      <c r="VIQ164"/>
      <c r="VIR164"/>
      <c r="VIS164"/>
      <c r="VIT164"/>
      <c r="VIU164"/>
      <c r="VIV164"/>
      <c r="VIW164"/>
      <c r="VIX164"/>
      <c r="VIY164"/>
      <c r="VIZ164"/>
      <c r="VJA164"/>
      <c r="VJB164"/>
      <c r="VJC164"/>
      <c r="VJD164"/>
      <c r="VJE164"/>
      <c r="VJF164"/>
      <c r="VJG164"/>
      <c r="VJH164"/>
      <c r="VJI164"/>
      <c r="VJJ164"/>
      <c r="VJK164"/>
      <c r="VJL164"/>
      <c r="VJM164"/>
      <c r="VJN164"/>
      <c r="VJO164"/>
      <c r="VJP164"/>
      <c r="VJQ164"/>
      <c r="VJR164"/>
      <c r="VJS164"/>
      <c r="VJT164"/>
      <c r="VJU164"/>
      <c r="VJV164"/>
      <c r="VJW164"/>
      <c r="VJX164"/>
      <c r="VJY164"/>
      <c r="VJZ164"/>
      <c r="VKA164"/>
      <c r="VKB164"/>
      <c r="VKC164"/>
      <c r="VKD164"/>
      <c r="VKE164"/>
      <c r="VKF164"/>
      <c r="VKG164"/>
      <c r="VKH164"/>
      <c r="VKI164"/>
      <c r="VKJ164"/>
      <c r="VKK164"/>
      <c r="VKL164"/>
      <c r="VKM164"/>
      <c r="VKN164"/>
      <c r="VKO164"/>
      <c r="VKP164"/>
      <c r="VKQ164"/>
      <c r="VKR164"/>
      <c r="VKS164"/>
      <c r="VKT164"/>
      <c r="VKU164"/>
      <c r="VKV164"/>
      <c r="VKW164"/>
      <c r="VKX164"/>
      <c r="VKY164"/>
      <c r="VKZ164"/>
      <c r="VLA164"/>
      <c r="VLB164"/>
      <c r="VLC164"/>
      <c r="VLD164"/>
      <c r="VLE164"/>
      <c r="VLF164"/>
      <c r="VLG164"/>
      <c r="VLH164"/>
      <c r="VLI164"/>
      <c r="VLJ164"/>
      <c r="VLK164"/>
      <c r="VLL164"/>
      <c r="VLM164"/>
      <c r="VLN164"/>
      <c r="VLO164"/>
      <c r="VLP164"/>
      <c r="VLQ164"/>
      <c r="VLR164"/>
      <c r="VLS164"/>
      <c r="VLT164"/>
      <c r="VLU164"/>
      <c r="VLV164"/>
      <c r="VLW164"/>
      <c r="VLX164"/>
      <c r="VLY164"/>
      <c r="VLZ164"/>
      <c r="VMA164"/>
      <c r="VMB164"/>
      <c r="VMC164"/>
      <c r="VMD164"/>
      <c r="VME164"/>
      <c r="VMF164"/>
      <c r="VMG164"/>
      <c r="VMH164"/>
      <c r="VMI164"/>
      <c r="VMJ164"/>
      <c r="VMK164"/>
      <c r="VML164"/>
      <c r="VMM164"/>
      <c r="VMN164"/>
      <c r="VMO164"/>
      <c r="VMP164"/>
      <c r="VMQ164"/>
      <c r="VMR164"/>
      <c r="VMS164"/>
      <c r="VMT164"/>
      <c r="VMU164"/>
      <c r="VMV164"/>
      <c r="VMW164"/>
      <c r="VMX164"/>
      <c r="VMY164"/>
      <c r="VMZ164"/>
      <c r="VNA164"/>
      <c r="VNB164"/>
      <c r="VNC164"/>
      <c r="VND164"/>
      <c r="VNE164"/>
      <c r="VNF164"/>
      <c r="VNG164"/>
      <c r="VNH164"/>
      <c r="VNI164"/>
      <c r="VNJ164"/>
      <c r="VNK164"/>
      <c r="VNL164"/>
      <c r="VNM164"/>
      <c r="VNN164"/>
      <c r="VNO164"/>
      <c r="VNP164"/>
      <c r="VNQ164"/>
      <c r="VNR164"/>
      <c r="VNS164"/>
      <c r="VNT164"/>
      <c r="VNU164"/>
      <c r="VNV164"/>
      <c r="VNW164"/>
      <c r="VNX164"/>
      <c r="VNY164"/>
      <c r="VNZ164"/>
      <c r="VOA164"/>
      <c r="VOB164"/>
      <c r="VOC164"/>
      <c r="VOD164"/>
      <c r="VOE164"/>
      <c r="VOF164"/>
      <c r="VOG164"/>
      <c r="VOH164"/>
      <c r="VOI164"/>
      <c r="VOJ164"/>
      <c r="VOK164"/>
      <c r="VOL164"/>
      <c r="VOM164"/>
      <c r="VON164"/>
      <c r="VOO164"/>
      <c r="VOP164"/>
      <c r="VOQ164"/>
      <c r="VOR164"/>
      <c r="VOS164"/>
      <c r="VOT164"/>
      <c r="VOU164"/>
      <c r="VOV164"/>
      <c r="VOW164"/>
      <c r="VOX164"/>
      <c r="VOY164"/>
      <c r="VOZ164"/>
      <c r="VPA164"/>
      <c r="VPB164"/>
      <c r="VPC164"/>
      <c r="VPD164"/>
      <c r="VPE164"/>
      <c r="VPF164"/>
      <c r="VPG164"/>
      <c r="VPH164"/>
      <c r="VPI164"/>
      <c r="VPJ164"/>
      <c r="VPK164"/>
      <c r="VPL164"/>
      <c r="VPM164"/>
      <c r="VPN164"/>
      <c r="VPO164"/>
      <c r="VPP164"/>
      <c r="VPQ164"/>
      <c r="VPR164"/>
      <c r="VPS164"/>
      <c r="VPT164"/>
      <c r="VPU164"/>
      <c r="VPV164"/>
      <c r="VPW164"/>
      <c r="VPX164"/>
      <c r="VPY164"/>
      <c r="VPZ164"/>
      <c r="VQA164"/>
      <c r="VQB164"/>
      <c r="VQC164"/>
      <c r="VQD164"/>
      <c r="VQE164"/>
      <c r="VQF164"/>
      <c r="VQG164"/>
      <c r="VQH164"/>
      <c r="VQI164"/>
      <c r="VQJ164"/>
      <c r="VQK164"/>
      <c r="VQL164"/>
      <c r="VQM164"/>
      <c r="VQN164"/>
      <c r="VQO164"/>
      <c r="VQP164"/>
      <c r="VQQ164"/>
      <c r="VQR164"/>
      <c r="VQS164"/>
      <c r="VQT164"/>
      <c r="VQU164"/>
      <c r="VQV164"/>
      <c r="VQW164"/>
      <c r="VQX164"/>
      <c r="VQY164"/>
      <c r="VQZ164"/>
      <c r="VRA164"/>
      <c r="VRB164"/>
      <c r="VRC164"/>
      <c r="VRD164"/>
      <c r="VRE164"/>
      <c r="VRF164"/>
      <c r="VRG164"/>
      <c r="VRH164"/>
      <c r="VRI164"/>
      <c r="VRJ164"/>
      <c r="VRK164"/>
      <c r="VRL164"/>
      <c r="VRM164"/>
      <c r="VRN164"/>
      <c r="VRO164"/>
      <c r="VRP164"/>
      <c r="VRQ164"/>
      <c r="VRR164"/>
      <c r="VRS164"/>
      <c r="VRT164"/>
      <c r="VRU164"/>
      <c r="VRV164"/>
      <c r="VRW164"/>
      <c r="VRX164"/>
      <c r="VRY164"/>
      <c r="VRZ164"/>
      <c r="VSA164"/>
      <c r="VSB164"/>
      <c r="VSC164"/>
      <c r="VSD164"/>
      <c r="VSE164"/>
      <c r="VSF164"/>
      <c r="VSG164"/>
      <c r="VSH164"/>
      <c r="VSI164"/>
      <c r="VSJ164"/>
      <c r="VSK164"/>
      <c r="VSL164"/>
      <c r="VSM164"/>
      <c r="VSN164"/>
      <c r="VSO164"/>
      <c r="VSP164"/>
      <c r="VSQ164"/>
      <c r="VSR164"/>
      <c r="VSS164"/>
      <c r="VST164"/>
      <c r="VSU164"/>
      <c r="VSV164"/>
      <c r="VSW164"/>
      <c r="VSX164"/>
      <c r="VSY164"/>
      <c r="VSZ164"/>
      <c r="VTA164"/>
      <c r="VTB164"/>
      <c r="VTC164"/>
      <c r="VTD164"/>
      <c r="VTE164"/>
      <c r="VTF164"/>
      <c r="VTG164"/>
      <c r="VTH164"/>
      <c r="VTI164"/>
      <c r="VTJ164"/>
      <c r="VTK164"/>
      <c r="VTL164"/>
      <c r="VTM164"/>
      <c r="VTN164"/>
      <c r="VTO164"/>
      <c r="VTP164"/>
      <c r="VTQ164"/>
      <c r="VTR164"/>
      <c r="VTS164"/>
      <c r="VTT164"/>
      <c r="VTU164"/>
      <c r="VTV164"/>
      <c r="VTW164"/>
      <c r="VTX164"/>
      <c r="VTY164"/>
      <c r="VTZ164"/>
      <c r="VUA164"/>
      <c r="VUB164"/>
      <c r="VUC164"/>
      <c r="VUD164"/>
      <c r="VUE164"/>
      <c r="VUF164"/>
      <c r="VUG164"/>
      <c r="VUH164"/>
      <c r="VUI164"/>
      <c r="VUJ164"/>
      <c r="VUK164"/>
      <c r="VUL164"/>
      <c r="VUM164"/>
      <c r="VUN164"/>
      <c r="VUO164"/>
      <c r="VUP164"/>
      <c r="VUQ164"/>
      <c r="VUR164"/>
      <c r="VUS164"/>
      <c r="VUT164"/>
      <c r="VUU164"/>
      <c r="VUV164"/>
      <c r="VUW164"/>
      <c r="VUX164"/>
      <c r="VUY164"/>
      <c r="VUZ164"/>
      <c r="VVA164"/>
      <c r="VVB164"/>
      <c r="VVC164"/>
      <c r="VVD164"/>
      <c r="VVE164"/>
      <c r="VVF164"/>
      <c r="VVG164"/>
      <c r="VVH164"/>
      <c r="VVI164"/>
      <c r="VVJ164"/>
      <c r="VVK164"/>
      <c r="VVL164"/>
      <c r="VVM164"/>
      <c r="VVN164"/>
      <c r="VVO164"/>
      <c r="VVP164"/>
      <c r="VVQ164"/>
      <c r="VVR164"/>
      <c r="VVS164"/>
      <c r="VVT164"/>
      <c r="VVU164"/>
      <c r="VVV164"/>
      <c r="VVW164"/>
      <c r="VVX164"/>
      <c r="VVY164"/>
      <c r="VVZ164"/>
      <c r="VWA164"/>
    </row>
    <row r="165" spans="2:113 15079:15471" s="1" customFormat="1" x14ac:dyDescent="0.25">
      <c r="B165" s="223"/>
      <c r="C165" s="158" t="s">
        <v>142</v>
      </c>
      <c r="D165" s="159"/>
      <c r="E165" s="160" t="s">
        <v>16</v>
      </c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  <c r="AF165" s="171"/>
      <c r="AG165" s="371"/>
      <c r="AH165" s="371"/>
      <c r="AI165" s="255"/>
      <c r="AJ165" s="16"/>
      <c r="AK165" s="37">
        <f>SUM(AK166:AK167)</f>
        <v>0</v>
      </c>
      <c r="DI165" s="29"/>
    </row>
    <row r="166" spans="2:113 15079:15471" s="1" customFormat="1" x14ac:dyDescent="0.25">
      <c r="B166" s="223"/>
      <c r="C166" s="164" t="s">
        <v>44</v>
      </c>
      <c r="D166" s="118"/>
      <c r="E166" s="160" t="s">
        <v>16</v>
      </c>
      <c r="F166" s="137">
        <f>SUM(F169:F171)*9.75348</f>
        <v>0</v>
      </c>
      <c r="G166" s="137">
        <f t="shared" ref="G166:T166" si="62">SUM(G169:G171)*9.75348</f>
        <v>0</v>
      </c>
      <c r="H166" s="137">
        <f t="shared" si="62"/>
        <v>0</v>
      </c>
      <c r="I166" s="137">
        <f t="shared" si="62"/>
        <v>0</v>
      </c>
      <c r="J166" s="137">
        <f t="shared" si="62"/>
        <v>0</v>
      </c>
      <c r="K166" s="137">
        <f t="shared" si="62"/>
        <v>0</v>
      </c>
      <c r="L166" s="137">
        <f t="shared" si="62"/>
        <v>0</v>
      </c>
      <c r="M166" s="137">
        <f t="shared" si="62"/>
        <v>0</v>
      </c>
      <c r="N166" s="137">
        <f t="shared" si="62"/>
        <v>0</v>
      </c>
      <c r="O166" s="137">
        <f t="shared" si="62"/>
        <v>0</v>
      </c>
      <c r="P166" s="137">
        <f t="shared" si="62"/>
        <v>0</v>
      </c>
      <c r="Q166" s="137">
        <f t="shared" si="62"/>
        <v>0</v>
      </c>
      <c r="R166" s="137">
        <f t="shared" si="62"/>
        <v>0</v>
      </c>
      <c r="S166" s="137">
        <f t="shared" si="62"/>
        <v>0</v>
      </c>
      <c r="T166" s="137">
        <f t="shared" si="62"/>
        <v>0</v>
      </c>
      <c r="U166" s="137">
        <f t="shared" ref="U166:AF166" si="63">SUM(U169:U171)*9.75348</f>
        <v>0</v>
      </c>
      <c r="V166" s="137">
        <f t="shared" si="63"/>
        <v>0</v>
      </c>
      <c r="W166" s="137">
        <f t="shared" si="63"/>
        <v>0</v>
      </c>
      <c r="X166" s="137">
        <f t="shared" si="63"/>
        <v>0</v>
      </c>
      <c r="Y166" s="137">
        <f t="shared" si="63"/>
        <v>0</v>
      </c>
      <c r="Z166" s="137">
        <f t="shared" si="63"/>
        <v>0</v>
      </c>
      <c r="AA166" s="137">
        <f t="shared" si="63"/>
        <v>0</v>
      </c>
      <c r="AB166" s="137">
        <f t="shared" si="63"/>
        <v>0</v>
      </c>
      <c r="AC166" s="137">
        <f t="shared" si="63"/>
        <v>0</v>
      </c>
      <c r="AD166" s="137">
        <f t="shared" si="63"/>
        <v>0</v>
      </c>
      <c r="AE166" s="137">
        <f t="shared" si="63"/>
        <v>0</v>
      </c>
      <c r="AF166" s="137">
        <f t="shared" si="63"/>
        <v>0</v>
      </c>
      <c r="AG166" s="359"/>
      <c r="AH166" s="359"/>
      <c r="AI166" s="233"/>
      <c r="AJ166" s="9"/>
      <c r="AK166" s="32">
        <f>SUM(F166:AI166)</f>
        <v>0</v>
      </c>
      <c r="DI166" s="29"/>
    </row>
    <row r="167" spans="2:113 15079:15471" s="1" customFormat="1" x14ac:dyDescent="0.25">
      <c r="B167" s="223"/>
      <c r="C167" s="164" t="s">
        <v>43</v>
      </c>
      <c r="D167" s="118"/>
      <c r="E167" s="160" t="s">
        <v>16</v>
      </c>
      <c r="F167" s="137">
        <f t="shared" ref="F167:AF167" si="64">F165-F166</f>
        <v>0</v>
      </c>
      <c r="G167" s="137">
        <f t="shared" si="64"/>
        <v>0</v>
      </c>
      <c r="H167" s="137">
        <f t="shared" si="64"/>
        <v>0</v>
      </c>
      <c r="I167" s="137">
        <f t="shared" si="64"/>
        <v>0</v>
      </c>
      <c r="J167" s="137">
        <f t="shared" si="64"/>
        <v>0</v>
      </c>
      <c r="K167" s="137">
        <f t="shared" si="64"/>
        <v>0</v>
      </c>
      <c r="L167" s="137">
        <f t="shared" si="64"/>
        <v>0</v>
      </c>
      <c r="M167" s="137">
        <f t="shared" si="64"/>
        <v>0</v>
      </c>
      <c r="N167" s="137">
        <f t="shared" si="64"/>
        <v>0</v>
      </c>
      <c r="O167" s="137">
        <f t="shared" si="64"/>
        <v>0</v>
      </c>
      <c r="P167" s="137">
        <f t="shared" si="64"/>
        <v>0</v>
      </c>
      <c r="Q167" s="137">
        <f t="shared" si="64"/>
        <v>0</v>
      </c>
      <c r="R167" s="107">
        <v>0</v>
      </c>
      <c r="S167" s="107">
        <v>0</v>
      </c>
      <c r="T167" s="137">
        <f t="shared" si="64"/>
        <v>0</v>
      </c>
      <c r="U167" s="137">
        <f t="shared" si="64"/>
        <v>0</v>
      </c>
      <c r="V167" s="137">
        <f t="shared" si="64"/>
        <v>0</v>
      </c>
      <c r="W167" s="137">
        <f t="shared" si="64"/>
        <v>0</v>
      </c>
      <c r="X167" s="137">
        <f t="shared" si="64"/>
        <v>0</v>
      </c>
      <c r="Y167" s="137">
        <f t="shared" si="64"/>
        <v>0</v>
      </c>
      <c r="Z167" s="137">
        <f t="shared" si="64"/>
        <v>0</v>
      </c>
      <c r="AA167" s="137">
        <f t="shared" si="64"/>
        <v>0</v>
      </c>
      <c r="AB167" s="137">
        <f t="shared" si="64"/>
        <v>0</v>
      </c>
      <c r="AC167" s="137">
        <f t="shared" si="64"/>
        <v>0</v>
      </c>
      <c r="AD167" s="137">
        <f t="shared" si="64"/>
        <v>0</v>
      </c>
      <c r="AE167" s="137">
        <f t="shared" si="64"/>
        <v>0</v>
      </c>
      <c r="AF167" s="137">
        <f t="shared" si="64"/>
        <v>0</v>
      </c>
      <c r="AG167" s="359"/>
      <c r="AH167" s="359"/>
      <c r="AI167" s="233"/>
      <c r="AJ167" s="9"/>
      <c r="AK167" s="32">
        <f>SUM(F167:AI167)</f>
        <v>0</v>
      </c>
      <c r="DI167" s="29"/>
    </row>
    <row r="168" spans="2:113 15079:15471" s="1" customFormat="1" x14ac:dyDescent="0.25">
      <c r="B168" s="223"/>
      <c r="C168" s="164" t="s">
        <v>33</v>
      </c>
      <c r="D168" s="118"/>
      <c r="E168" s="101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351"/>
      <c r="AH168" s="351"/>
      <c r="AI168" s="217"/>
      <c r="AJ168" s="9"/>
      <c r="AK168" s="33" t="s">
        <v>33</v>
      </c>
      <c r="DI168" s="29"/>
    </row>
    <row r="169" spans="2:113 15079:15471" s="44" customFormat="1" x14ac:dyDescent="0.25">
      <c r="B169" s="228"/>
      <c r="C169" s="85" t="s">
        <v>31</v>
      </c>
      <c r="D169" s="86"/>
      <c r="E169" s="246" t="s">
        <v>36</v>
      </c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  <c r="AA169" s="167"/>
      <c r="AB169" s="167"/>
      <c r="AC169" s="167"/>
      <c r="AD169" s="167"/>
      <c r="AE169" s="167"/>
      <c r="AF169" s="167"/>
      <c r="AG169" s="361"/>
      <c r="AH169" s="361"/>
      <c r="AI169" s="247"/>
      <c r="AJ169" s="36"/>
      <c r="AK169" s="35">
        <f>SUM(F169:AI169)</f>
        <v>0</v>
      </c>
      <c r="DI169" s="248"/>
    </row>
    <row r="170" spans="2:113 15079:15471" s="44" customFormat="1" x14ac:dyDescent="0.25">
      <c r="B170" s="228"/>
      <c r="C170" s="85" t="s">
        <v>30</v>
      </c>
      <c r="D170" s="86"/>
      <c r="E170" s="246" t="s">
        <v>36</v>
      </c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  <c r="AA170" s="167"/>
      <c r="AB170" s="167"/>
      <c r="AC170" s="167"/>
      <c r="AD170" s="167"/>
      <c r="AE170" s="167"/>
      <c r="AF170" s="167"/>
      <c r="AG170" s="361"/>
      <c r="AH170" s="361"/>
      <c r="AI170" s="247"/>
      <c r="AJ170" s="36"/>
      <c r="AK170" s="35">
        <f>SUM(F170:AI170)</f>
        <v>0</v>
      </c>
      <c r="DI170" s="248"/>
    </row>
    <row r="171" spans="2:113 15079:15471" s="44" customFormat="1" x14ac:dyDescent="0.25">
      <c r="B171" s="228"/>
      <c r="C171" s="85" t="s">
        <v>42</v>
      </c>
      <c r="D171" s="86"/>
      <c r="E171" s="246" t="s">
        <v>36</v>
      </c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67"/>
      <c r="Q171" s="167"/>
      <c r="R171" s="167"/>
      <c r="S171" s="167"/>
      <c r="T171" s="167"/>
      <c r="U171" s="167"/>
      <c r="V171" s="167"/>
      <c r="W171" s="167"/>
      <c r="X171" s="167"/>
      <c r="Y171" s="167"/>
      <c r="Z171" s="167"/>
      <c r="AA171" s="167"/>
      <c r="AB171" s="167"/>
      <c r="AC171" s="167"/>
      <c r="AD171" s="167"/>
      <c r="AE171" s="167"/>
      <c r="AF171" s="167"/>
      <c r="AG171" s="361"/>
      <c r="AH171" s="361"/>
      <c r="AI171" s="247"/>
      <c r="AJ171" s="36"/>
      <c r="AK171" s="35">
        <f>SUM(F171:AI171)</f>
        <v>0</v>
      </c>
      <c r="DI171" s="248"/>
    </row>
    <row r="172" spans="2:113 15079:15471" s="1" customFormat="1" x14ac:dyDescent="0.25">
      <c r="B172" s="223"/>
      <c r="C172" s="164" t="s">
        <v>32</v>
      </c>
      <c r="D172" s="118"/>
      <c r="E172" s="101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351"/>
      <c r="AH172" s="351"/>
      <c r="AI172" s="217"/>
      <c r="AJ172" s="9"/>
      <c r="AK172" s="33" t="s">
        <v>32</v>
      </c>
      <c r="DI172" s="29"/>
    </row>
    <row r="173" spans="2:113 15079:15471" s="1" customFormat="1" x14ac:dyDescent="0.25">
      <c r="B173" s="223"/>
      <c r="C173" s="85" t="s">
        <v>31</v>
      </c>
      <c r="D173" s="118"/>
      <c r="E173" s="160" t="s">
        <v>32</v>
      </c>
      <c r="F173" s="107">
        <f>F169*24</f>
        <v>0</v>
      </c>
      <c r="G173" s="107">
        <f t="shared" ref="G173:AF173" si="65">G169*24</f>
        <v>0</v>
      </c>
      <c r="H173" s="107">
        <f t="shared" si="65"/>
        <v>0</v>
      </c>
      <c r="I173" s="107">
        <f t="shared" si="65"/>
        <v>0</v>
      </c>
      <c r="J173" s="107">
        <f t="shared" si="65"/>
        <v>0</v>
      </c>
      <c r="K173" s="107">
        <f t="shared" si="65"/>
        <v>0</v>
      </c>
      <c r="L173" s="107">
        <f t="shared" si="65"/>
        <v>0</v>
      </c>
      <c r="M173" s="107">
        <f t="shared" si="65"/>
        <v>0</v>
      </c>
      <c r="N173" s="107">
        <f t="shared" si="65"/>
        <v>0</v>
      </c>
      <c r="O173" s="107">
        <f t="shared" si="65"/>
        <v>0</v>
      </c>
      <c r="P173" s="107">
        <f t="shared" si="65"/>
        <v>0</v>
      </c>
      <c r="Q173" s="107">
        <f t="shared" si="65"/>
        <v>0</v>
      </c>
      <c r="R173" s="107">
        <f t="shared" si="65"/>
        <v>0</v>
      </c>
      <c r="S173" s="107">
        <f t="shared" si="65"/>
        <v>0</v>
      </c>
      <c r="T173" s="107">
        <f t="shared" si="65"/>
        <v>0</v>
      </c>
      <c r="U173" s="107">
        <f t="shared" si="65"/>
        <v>0</v>
      </c>
      <c r="V173" s="107">
        <f t="shared" si="65"/>
        <v>0</v>
      </c>
      <c r="W173" s="107">
        <f t="shared" si="65"/>
        <v>0</v>
      </c>
      <c r="X173" s="107">
        <f t="shared" si="65"/>
        <v>0</v>
      </c>
      <c r="Y173" s="107">
        <f t="shared" si="65"/>
        <v>0</v>
      </c>
      <c r="Z173" s="107">
        <f t="shared" si="65"/>
        <v>0</v>
      </c>
      <c r="AA173" s="107">
        <f t="shared" si="65"/>
        <v>0</v>
      </c>
      <c r="AB173" s="107">
        <f t="shared" si="65"/>
        <v>0</v>
      </c>
      <c r="AC173" s="107">
        <f t="shared" si="65"/>
        <v>0</v>
      </c>
      <c r="AD173" s="107">
        <f t="shared" si="65"/>
        <v>0</v>
      </c>
      <c r="AE173" s="107">
        <f t="shared" si="65"/>
        <v>0</v>
      </c>
      <c r="AF173" s="107">
        <f t="shared" si="65"/>
        <v>0</v>
      </c>
      <c r="AG173" s="351"/>
      <c r="AH173" s="351"/>
      <c r="AI173" s="217"/>
      <c r="AJ173" s="9"/>
      <c r="AK173" s="17">
        <f>AK169*24</f>
        <v>0</v>
      </c>
      <c r="DI173" s="29"/>
    </row>
    <row r="174" spans="2:113 15079:15471" s="1" customFormat="1" x14ac:dyDescent="0.25">
      <c r="B174" s="223"/>
      <c r="C174" s="85" t="s">
        <v>30</v>
      </c>
      <c r="D174" s="118"/>
      <c r="E174" s="160" t="s">
        <v>32</v>
      </c>
      <c r="F174" s="107">
        <f>F170*12</f>
        <v>0</v>
      </c>
      <c r="G174" s="107">
        <f t="shared" ref="G174:AF175" si="66">G170*12</f>
        <v>0</v>
      </c>
      <c r="H174" s="107">
        <f t="shared" si="66"/>
        <v>0</v>
      </c>
      <c r="I174" s="107">
        <f t="shared" si="66"/>
        <v>0</v>
      </c>
      <c r="J174" s="107">
        <f t="shared" si="66"/>
        <v>0</v>
      </c>
      <c r="K174" s="107">
        <f t="shared" si="66"/>
        <v>0</v>
      </c>
      <c r="L174" s="107">
        <f t="shared" si="66"/>
        <v>0</v>
      </c>
      <c r="M174" s="107">
        <f t="shared" si="66"/>
        <v>0</v>
      </c>
      <c r="N174" s="107">
        <f t="shared" si="66"/>
        <v>0</v>
      </c>
      <c r="O174" s="107">
        <f t="shared" si="66"/>
        <v>0</v>
      </c>
      <c r="P174" s="107">
        <f t="shared" si="66"/>
        <v>0</v>
      </c>
      <c r="Q174" s="107">
        <f t="shared" si="66"/>
        <v>0</v>
      </c>
      <c r="R174" s="107">
        <f t="shared" si="66"/>
        <v>0</v>
      </c>
      <c r="S174" s="107">
        <f t="shared" si="66"/>
        <v>0</v>
      </c>
      <c r="T174" s="107">
        <f t="shared" si="66"/>
        <v>0</v>
      </c>
      <c r="U174" s="107">
        <f t="shared" si="66"/>
        <v>0</v>
      </c>
      <c r="V174" s="107">
        <f t="shared" si="66"/>
        <v>0</v>
      </c>
      <c r="W174" s="107">
        <f t="shared" si="66"/>
        <v>0</v>
      </c>
      <c r="X174" s="107">
        <f t="shared" si="66"/>
        <v>0</v>
      </c>
      <c r="Y174" s="107">
        <f t="shared" si="66"/>
        <v>0</v>
      </c>
      <c r="Z174" s="107">
        <f t="shared" si="66"/>
        <v>0</v>
      </c>
      <c r="AA174" s="107">
        <f t="shared" si="66"/>
        <v>0</v>
      </c>
      <c r="AB174" s="107">
        <f t="shared" si="66"/>
        <v>0</v>
      </c>
      <c r="AC174" s="107">
        <f t="shared" si="66"/>
        <v>0</v>
      </c>
      <c r="AD174" s="107">
        <f t="shared" si="66"/>
        <v>0</v>
      </c>
      <c r="AE174" s="107">
        <f t="shared" si="66"/>
        <v>0</v>
      </c>
      <c r="AF174" s="107">
        <f t="shared" si="66"/>
        <v>0</v>
      </c>
      <c r="AG174" s="351"/>
      <c r="AH174" s="351"/>
      <c r="AI174" s="217"/>
      <c r="AJ174" s="9"/>
      <c r="AK174" s="17">
        <f>AK170*12</f>
        <v>0</v>
      </c>
      <c r="DI174" s="29"/>
    </row>
    <row r="175" spans="2:113 15079:15471" s="1" customFormat="1" x14ac:dyDescent="0.25">
      <c r="B175" s="223"/>
      <c r="C175" s="85" t="s">
        <v>42</v>
      </c>
      <c r="D175" s="118"/>
      <c r="E175" s="160" t="s">
        <v>32</v>
      </c>
      <c r="F175" s="107">
        <f>F171*6</f>
        <v>0</v>
      </c>
      <c r="G175" s="107">
        <f t="shared" ref="G175:AC175" si="67">G171*6</f>
        <v>0</v>
      </c>
      <c r="H175" s="107">
        <f t="shared" si="67"/>
        <v>0</v>
      </c>
      <c r="I175" s="107">
        <f t="shared" si="67"/>
        <v>0</v>
      </c>
      <c r="J175" s="107">
        <f t="shared" si="67"/>
        <v>0</v>
      </c>
      <c r="K175" s="107">
        <f t="shared" si="67"/>
        <v>0</v>
      </c>
      <c r="L175" s="107">
        <f t="shared" si="67"/>
        <v>0</v>
      </c>
      <c r="M175" s="107">
        <f t="shared" si="67"/>
        <v>0</v>
      </c>
      <c r="N175" s="107">
        <f t="shared" si="67"/>
        <v>0</v>
      </c>
      <c r="O175" s="107">
        <f t="shared" si="67"/>
        <v>0</v>
      </c>
      <c r="P175" s="107">
        <f t="shared" si="67"/>
        <v>0</v>
      </c>
      <c r="Q175" s="107">
        <f t="shared" si="67"/>
        <v>0</v>
      </c>
      <c r="R175" s="107">
        <f t="shared" si="67"/>
        <v>0</v>
      </c>
      <c r="S175" s="107">
        <f t="shared" si="67"/>
        <v>0</v>
      </c>
      <c r="T175" s="107">
        <f t="shared" si="67"/>
        <v>0</v>
      </c>
      <c r="U175" s="107">
        <f t="shared" si="67"/>
        <v>0</v>
      </c>
      <c r="V175" s="107">
        <f t="shared" si="67"/>
        <v>0</v>
      </c>
      <c r="W175" s="107">
        <f t="shared" si="67"/>
        <v>0</v>
      </c>
      <c r="X175" s="107">
        <f t="shared" si="67"/>
        <v>0</v>
      </c>
      <c r="Y175" s="107">
        <f t="shared" si="67"/>
        <v>0</v>
      </c>
      <c r="Z175" s="107">
        <f t="shared" si="67"/>
        <v>0</v>
      </c>
      <c r="AA175" s="107">
        <f t="shared" si="67"/>
        <v>0</v>
      </c>
      <c r="AB175" s="107">
        <f t="shared" si="67"/>
        <v>0</v>
      </c>
      <c r="AC175" s="107">
        <f t="shared" si="67"/>
        <v>0</v>
      </c>
      <c r="AD175" s="107">
        <f t="shared" si="66"/>
        <v>0</v>
      </c>
      <c r="AE175" s="107">
        <f t="shared" si="66"/>
        <v>0</v>
      </c>
      <c r="AF175" s="107">
        <f t="shared" si="66"/>
        <v>0</v>
      </c>
      <c r="AG175" s="351"/>
      <c r="AH175" s="351"/>
      <c r="AI175" s="217"/>
      <c r="AJ175" s="9"/>
      <c r="AK175" s="17">
        <f>AK171*6</f>
        <v>0</v>
      </c>
      <c r="DI175" s="29"/>
    </row>
    <row r="176" spans="2:113 15079:15471" s="1" customFormat="1" x14ac:dyDescent="0.25">
      <c r="B176" s="223"/>
      <c r="C176" s="164" t="s">
        <v>41</v>
      </c>
      <c r="D176" s="118"/>
      <c r="E176" s="160" t="s">
        <v>40</v>
      </c>
      <c r="F176" s="107">
        <f>F165*45/1700</f>
        <v>0</v>
      </c>
      <c r="G176" s="107">
        <f t="shared" ref="G176:AF176" si="68">G165*45/1700</f>
        <v>0</v>
      </c>
      <c r="H176" s="107">
        <f t="shared" si="68"/>
        <v>0</v>
      </c>
      <c r="I176" s="107">
        <f t="shared" si="68"/>
        <v>0</v>
      </c>
      <c r="J176" s="107">
        <f t="shared" si="68"/>
        <v>0</v>
      </c>
      <c r="K176" s="107">
        <f t="shared" si="68"/>
        <v>0</v>
      </c>
      <c r="L176" s="107">
        <f t="shared" si="68"/>
        <v>0</v>
      </c>
      <c r="M176" s="107">
        <f t="shared" si="68"/>
        <v>0</v>
      </c>
      <c r="N176" s="107">
        <f t="shared" si="68"/>
        <v>0</v>
      </c>
      <c r="O176" s="107">
        <f t="shared" si="68"/>
        <v>0</v>
      </c>
      <c r="P176" s="107">
        <f t="shared" si="68"/>
        <v>0</v>
      </c>
      <c r="Q176" s="107">
        <f t="shared" si="68"/>
        <v>0</v>
      </c>
      <c r="R176" s="107">
        <f t="shared" si="68"/>
        <v>0</v>
      </c>
      <c r="S176" s="107">
        <f t="shared" si="68"/>
        <v>0</v>
      </c>
      <c r="T176" s="107">
        <f t="shared" si="68"/>
        <v>0</v>
      </c>
      <c r="U176" s="107">
        <f t="shared" si="68"/>
        <v>0</v>
      </c>
      <c r="V176" s="107">
        <f t="shared" si="68"/>
        <v>0</v>
      </c>
      <c r="W176" s="107">
        <f t="shared" si="68"/>
        <v>0</v>
      </c>
      <c r="X176" s="107">
        <f t="shared" si="68"/>
        <v>0</v>
      </c>
      <c r="Y176" s="107">
        <f t="shared" si="68"/>
        <v>0</v>
      </c>
      <c r="Z176" s="107">
        <f t="shared" si="68"/>
        <v>0</v>
      </c>
      <c r="AA176" s="107">
        <f t="shared" si="68"/>
        <v>0</v>
      </c>
      <c r="AB176" s="107">
        <f t="shared" si="68"/>
        <v>0</v>
      </c>
      <c r="AC176" s="107">
        <f t="shared" si="68"/>
        <v>0</v>
      </c>
      <c r="AD176" s="107">
        <f t="shared" si="68"/>
        <v>0</v>
      </c>
      <c r="AE176" s="107">
        <f t="shared" si="68"/>
        <v>0</v>
      </c>
      <c r="AF176" s="107">
        <f t="shared" si="68"/>
        <v>0</v>
      </c>
      <c r="AG176" s="351"/>
      <c r="AH176" s="351"/>
      <c r="AI176" s="217"/>
      <c r="AJ176" s="9"/>
      <c r="AK176" s="17">
        <f>SUM(F176:AI176)</f>
        <v>0</v>
      </c>
      <c r="DI176" s="29"/>
    </row>
    <row r="177" spans="2:113 15079:15471" s="1" customFormat="1" x14ac:dyDescent="0.25">
      <c r="B177" s="223"/>
      <c r="C177" s="164" t="s">
        <v>39</v>
      </c>
      <c r="D177" s="118"/>
      <c r="E177" s="160" t="s">
        <v>38</v>
      </c>
      <c r="F177" s="107">
        <f t="shared" ref="F177:AF177" si="69">SUM(F169:F171)/500</f>
        <v>0</v>
      </c>
      <c r="G177" s="107">
        <f t="shared" si="69"/>
        <v>0</v>
      </c>
      <c r="H177" s="107">
        <f t="shared" si="69"/>
        <v>0</v>
      </c>
      <c r="I177" s="107">
        <f t="shared" si="69"/>
        <v>0</v>
      </c>
      <c r="J177" s="107">
        <f t="shared" si="69"/>
        <v>0</v>
      </c>
      <c r="K177" s="107">
        <f t="shared" si="69"/>
        <v>0</v>
      </c>
      <c r="L177" s="107">
        <f t="shared" si="69"/>
        <v>0</v>
      </c>
      <c r="M177" s="107">
        <f t="shared" si="69"/>
        <v>0</v>
      </c>
      <c r="N177" s="107">
        <f t="shared" si="69"/>
        <v>0</v>
      </c>
      <c r="O177" s="107">
        <f t="shared" si="69"/>
        <v>0</v>
      </c>
      <c r="P177" s="107">
        <f t="shared" si="69"/>
        <v>0</v>
      </c>
      <c r="Q177" s="107">
        <f t="shared" si="69"/>
        <v>0</v>
      </c>
      <c r="R177" s="107">
        <f t="shared" si="69"/>
        <v>0</v>
      </c>
      <c r="S177" s="107">
        <f t="shared" si="69"/>
        <v>0</v>
      </c>
      <c r="T177" s="107">
        <f t="shared" si="69"/>
        <v>0</v>
      </c>
      <c r="U177" s="107">
        <f t="shared" si="69"/>
        <v>0</v>
      </c>
      <c r="V177" s="107">
        <f t="shared" si="69"/>
        <v>0</v>
      </c>
      <c r="W177" s="107">
        <f t="shared" si="69"/>
        <v>0</v>
      </c>
      <c r="X177" s="107">
        <f t="shared" si="69"/>
        <v>0</v>
      </c>
      <c r="Y177" s="107">
        <f t="shared" si="69"/>
        <v>0</v>
      </c>
      <c r="Z177" s="107">
        <f t="shared" si="69"/>
        <v>0</v>
      </c>
      <c r="AA177" s="107">
        <f t="shared" si="69"/>
        <v>0</v>
      </c>
      <c r="AB177" s="107">
        <f t="shared" si="69"/>
        <v>0</v>
      </c>
      <c r="AC177" s="107">
        <f t="shared" si="69"/>
        <v>0</v>
      </c>
      <c r="AD177" s="107">
        <f t="shared" si="69"/>
        <v>0</v>
      </c>
      <c r="AE177" s="107">
        <f t="shared" si="69"/>
        <v>0</v>
      </c>
      <c r="AF177" s="107">
        <f t="shared" si="69"/>
        <v>0</v>
      </c>
      <c r="AG177" s="351"/>
      <c r="AH177" s="351"/>
      <c r="AI177" s="217"/>
      <c r="AJ177" s="9"/>
      <c r="AK177" s="17">
        <f>SUM(F177:AI177)</f>
        <v>0</v>
      </c>
      <c r="DI177" s="29"/>
    </row>
    <row r="178" spans="2:113 15079:15471" s="1" customFormat="1" x14ac:dyDescent="0.25">
      <c r="B178" s="215"/>
      <c r="C178" s="82" t="s">
        <v>37</v>
      </c>
      <c r="D178" s="98"/>
      <c r="E178" s="213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100"/>
      <c r="AD178" s="99"/>
      <c r="AE178" s="99"/>
      <c r="AF178" s="99"/>
      <c r="AG178" s="349"/>
      <c r="AH178" s="349"/>
      <c r="AI178" s="214"/>
      <c r="AJ178" s="21"/>
      <c r="AK178" s="34" t="s">
        <v>34</v>
      </c>
      <c r="DI178" s="4"/>
      <c r="VGY178"/>
      <c r="VGZ178"/>
      <c r="VHA178"/>
      <c r="VHB178"/>
      <c r="VHC178"/>
      <c r="VHD178"/>
      <c r="VHE178"/>
      <c r="VHF178"/>
      <c r="VHG178"/>
      <c r="VHH178"/>
      <c r="VHI178"/>
      <c r="VHJ178"/>
      <c r="VHK178"/>
      <c r="VHL178"/>
      <c r="VHM178"/>
      <c r="VHN178"/>
      <c r="VHO178"/>
      <c r="VHP178"/>
      <c r="VHQ178"/>
      <c r="VHR178"/>
      <c r="VHS178"/>
      <c r="VHT178"/>
      <c r="VHU178"/>
      <c r="VHV178"/>
      <c r="VHW178"/>
      <c r="VHX178"/>
      <c r="VHY178"/>
      <c r="VHZ178"/>
      <c r="VIA178"/>
      <c r="VIB178"/>
      <c r="VIC178"/>
      <c r="VID178"/>
      <c r="VIE178"/>
      <c r="VIF178"/>
      <c r="VIG178"/>
      <c r="VIH178"/>
      <c r="VII178"/>
      <c r="VIJ178"/>
      <c r="VIK178"/>
      <c r="VIL178"/>
      <c r="VIM178"/>
      <c r="VIN178"/>
      <c r="VIO178"/>
      <c r="VIP178"/>
      <c r="VIQ178"/>
      <c r="VIR178"/>
      <c r="VIS178"/>
      <c r="VIT178"/>
      <c r="VIU178"/>
      <c r="VIV178"/>
      <c r="VIW178"/>
      <c r="VIX178"/>
      <c r="VIY178"/>
      <c r="VIZ178"/>
      <c r="VJA178"/>
      <c r="VJB178"/>
      <c r="VJC178"/>
      <c r="VJD178"/>
      <c r="VJE178"/>
      <c r="VJF178"/>
      <c r="VJG178"/>
      <c r="VJH178"/>
      <c r="VJI178"/>
      <c r="VJJ178"/>
      <c r="VJK178"/>
      <c r="VJL178"/>
      <c r="VJM178"/>
      <c r="VJN178"/>
      <c r="VJO178"/>
      <c r="VJP178"/>
      <c r="VJQ178"/>
      <c r="VJR178"/>
      <c r="VJS178"/>
      <c r="VJT178"/>
      <c r="VJU178"/>
      <c r="VJV178"/>
      <c r="VJW178"/>
      <c r="VJX178"/>
      <c r="VJY178"/>
      <c r="VJZ178"/>
      <c r="VKA178"/>
      <c r="VKB178"/>
      <c r="VKC178"/>
      <c r="VKD178"/>
      <c r="VKE178"/>
      <c r="VKF178"/>
      <c r="VKG178"/>
      <c r="VKH178"/>
      <c r="VKI178"/>
      <c r="VKJ178"/>
      <c r="VKK178"/>
      <c r="VKL178"/>
      <c r="VKM178"/>
      <c r="VKN178"/>
      <c r="VKO178"/>
      <c r="VKP178"/>
      <c r="VKQ178"/>
      <c r="VKR178"/>
      <c r="VKS178"/>
      <c r="VKT178"/>
      <c r="VKU178"/>
      <c r="VKV178"/>
      <c r="VKW178"/>
      <c r="VKX178"/>
      <c r="VKY178"/>
      <c r="VKZ178"/>
      <c r="VLA178"/>
      <c r="VLB178"/>
      <c r="VLC178"/>
      <c r="VLD178"/>
      <c r="VLE178"/>
      <c r="VLF178"/>
      <c r="VLG178"/>
      <c r="VLH178"/>
      <c r="VLI178"/>
      <c r="VLJ178"/>
      <c r="VLK178"/>
      <c r="VLL178"/>
      <c r="VLM178"/>
      <c r="VLN178"/>
      <c r="VLO178"/>
      <c r="VLP178"/>
      <c r="VLQ178"/>
      <c r="VLR178"/>
      <c r="VLS178"/>
      <c r="VLT178"/>
      <c r="VLU178"/>
      <c r="VLV178"/>
      <c r="VLW178"/>
      <c r="VLX178"/>
      <c r="VLY178"/>
      <c r="VLZ178"/>
      <c r="VMA178"/>
      <c r="VMB178"/>
      <c r="VMC178"/>
      <c r="VMD178"/>
      <c r="VME178"/>
      <c r="VMF178"/>
      <c r="VMG178"/>
      <c r="VMH178"/>
      <c r="VMI178"/>
      <c r="VMJ178"/>
      <c r="VMK178"/>
      <c r="VML178"/>
      <c r="VMM178"/>
      <c r="VMN178"/>
      <c r="VMO178"/>
      <c r="VMP178"/>
      <c r="VMQ178"/>
      <c r="VMR178"/>
      <c r="VMS178"/>
      <c r="VMT178"/>
      <c r="VMU178"/>
      <c r="VMV178"/>
      <c r="VMW178"/>
      <c r="VMX178"/>
      <c r="VMY178"/>
      <c r="VMZ178"/>
      <c r="VNA178"/>
      <c r="VNB178"/>
      <c r="VNC178"/>
      <c r="VND178"/>
      <c r="VNE178"/>
      <c r="VNF178"/>
      <c r="VNG178"/>
      <c r="VNH178"/>
      <c r="VNI178"/>
      <c r="VNJ178"/>
      <c r="VNK178"/>
      <c r="VNL178"/>
      <c r="VNM178"/>
      <c r="VNN178"/>
      <c r="VNO178"/>
      <c r="VNP178"/>
      <c r="VNQ178"/>
      <c r="VNR178"/>
      <c r="VNS178"/>
      <c r="VNT178"/>
      <c r="VNU178"/>
      <c r="VNV178"/>
      <c r="VNW178"/>
      <c r="VNX178"/>
      <c r="VNY178"/>
      <c r="VNZ178"/>
      <c r="VOA178"/>
      <c r="VOB178"/>
      <c r="VOC178"/>
      <c r="VOD178"/>
      <c r="VOE178"/>
      <c r="VOF178"/>
      <c r="VOG178"/>
      <c r="VOH178"/>
      <c r="VOI178"/>
      <c r="VOJ178"/>
      <c r="VOK178"/>
      <c r="VOL178"/>
      <c r="VOM178"/>
      <c r="VON178"/>
      <c r="VOO178"/>
      <c r="VOP178"/>
      <c r="VOQ178"/>
      <c r="VOR178"/>
      <c r="VOS178"/>
      <c r="VOT178"/>
      <c r="VOU178"/>
      <c r="VOV178"/>
      <c r="VOW178"/>
      <c r="VOX178"/>
      <c r="VOY178"/>
      <c r="VOZ178"/>
      <c r="VPA178"/>
      <c r="VPB178"/>
      <c r="VPC178"/>
      <c r="VPD178"/>
      <c r="VPE178"/>
      <c r="VPF178"/>
      <c r="VPG178"/>
      <c r="VPH178"/>
      <c r="VPI178"/>
      <c r="VPJ178"/>
      <c r="VPK178"/>
      <c r="VPL178"/>
      <c r="VPM178"/>
      <c r="VPN178"/>
      <c r="VPO178"/>
      <c r="VPP178"/>
      <c r="VPQ178"/>
      <c r="VPR178"/>
      <c r="VPS178"/>
      <c r="VPT178"/>
      <c r="VPU178"/>
      <c r="VPV178"/>
      <c r="VPW178"/>
      <c r="VPX178"/>
      <c r="VPY178"/>
      <c r="VPZ178"/>
      <c r="VQA178"/>
      <c r="VQB178"/>
      <c r="VQC178"/>
      <c r="VQD178"/>
      <c r="VQE178"/>
      <c r="VQF178"/>
      <c r="VQG178"/>
      <c r="VQH178"/>
      <c r="VQI178"/>
      <c r="VQJ178"/>
      <c r="VQK178"/>
      <c r="VQL178"/>
      <c r="VQM178"/>
      <c r="VQN178"/>
      <c r="VQO178"/>
      <c r="VQP178"/>
      <c r="VQQ178"/>
      <c r="VQR178"/>
      <c r="VQS178"/>
      <c r="VQT178"/>
      <c r="VQU178"/>
      <c r="VQV178"/>
      <c r="VQW178"/>
      <c r="VQX178"/>
      <c r="VQY178"/>
      <c r="VQZ178"/>
      <c r="VRA178"/>
      <c r="VRB178"/>
      <c r="VRC178"/>
      <c r="VRD178"/>
      <c r="VRE178"/>
      <c r="VRF178"/>
      <c r="VRG178"/>
      <c r="VRH178"/>
      <c r="VRI178"/>
      <c r="VRJ178"/>
      <c r="VRK178"/>
      <c r="VRL178"/>
      <c r="VRM178"/>
      <c r="VRN178"/>
      <c r="VRO178"/>
      <c r="VRP178"/>
      <c r="VRQ178"/>
      <c r="VRR178"/>
      <c r="VRS178"/>
      <c r="VRT178"/>
      <c r="VRU178"/>
      <c r="VRV178"/>
      <c r="VRW178"/>
      <c r="VRX178"/>
      <c r="VRY178"/>
      <c r="VRZ178"/>
      <c r="VSA178"/>
      <c r="VSB178"/>
      <c r="VSC178"/>
      <c r="VSD178"/>
      <c r="VSE178"/>
      <c r="VSF178"/>
      <c r="VSG178"/>
      <c r="VSH178"/>
      <c r="VSI178"/>
      <c r="VSJ178"/>
      <c r="VSK178"/>
      <c r="VSL178"/>
      <c r="VSM178"/>
      <c r="VSN178"/>
      <c r="VSO178"/>
      <c r="VSP178"/>
      <c r="VSQ178"/>
      <c r="VSR178"/>
      <c r="VSS178"/>
      <c r="VST178"/>
      <c r="VSU178"/>
      <c r="VSV178"/>
      <c r="VSW178"/>
      <c r="VSX178"/>
      <c r="VSY178"/>
      <c r="VSZ178"/>
      <c r="VTA178"/>
      <c r="VTB178"/>
      <c r="VTC178"/>
      <c r="VTD178"/>
      <c r="VTE178"/>
      <c r="VTF178"/>
      <c r="VTG178"/>
      <c r="VTH178"/>
      <c r="VTI178"/>
      <c r="VTJ178"/>
      <c r="VTK178"/>
      <c r="VTL178"/>
      <c r="VTM178"/>
      <c r="VTN178"/>
      <c r="VTO178"/>
      <c r="VTP178"/>
      <c r="VTQ178"/>
      <c r="VTR178"/>
      <c r="VTS178"/>
      <c r="VTT178"/>
      <c r="VTU178"/>
      <c r="VTV178"/>
      <c r="VTW178"/>
      <c r="VTX178"/>
      <c r="VTY178"/>
      <c r="VTZ178"/>
      <c r="VUA178"/>
      <c r="VUB178"/>
      <c r="VUC178"/>
      <c r="VUD178"/>
      <c r="VUE178"/>
      <c r="VUF178"/>
      <c r="VUG178"/>
      <c r="VUH178"/>
      <c r="VUI178"/>
      <c r="VUJ178"/>
      <c r="VUK178"/>
      <c r="VUL178"/>
      <c r="VUM178"/>
      <c r="VUN178"/>
      <c r="VUO178"/>
      <c r="VUP178"/>
      <c r="VUQ178"/>
      <c r="VUR178"/>
      <c r="VUS178"/>
      <c r="VUT178"/>
      <c r="VUU178"/>
      <c r="VUV178"/>
      <c r="VUW178"/>
      <c r="VUX178"/>
      <c r="VUY178"/>
      <c r="VUZ178"/>
      <c r="VVA178"/>
      <c r="VVB178"/>
      <c r="VVC178"/>
      <c r="VVD178"/>
      <c r="VVE178"/>
      <c r="VVF178"/>
      <c r="VVG178"/>
      <c r="VVH178"/>
      <c r="VVI178"/>
      <c r="VVJ178"/>
      <c r="VVK178"/>
      <c r="VVL178"/>
      <c r="VVM178"/>
      <c r="VVN178"/>
      <c r="VVO178"/>
      <c r="VVP178"/>
      <c r="VVQ178"/>
      <c r="VVR178"/>
      <c r="VVS178"/>
      <c r="VVT178"/>
      <c r="VVU178"/>
      <c r="VVV178"/>
      <c r="VVW178"/>
      <c r="VVX178"/>
      <c r="VVY178"/>
      <c r="VVZ178"/>
      <c r="VWA178"/>
    </row>
    <row r="179" spans="2:113 15079:15471" s="1" customFormat="1" x14ac:dyDescent="0.25">
      <c r="B179" s="223"/>
      <c r="C179" s="164" t="s">
        <v>33</v>
      </c>
      <c r="D179" s="118"/>
      <c r="E179" s="101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351"/>
      <c r="AH179" s="351"/>
      <c r="AI179" s="217"/>
      <c r="AJ179" s="9"/>
      <c r="AK179" s="33" t="s">
        <v>33</v>
      </c>
      <c r="DI179" s="29"/>
    </row>
    <row r="180" spans="2:113 15079:15471" s="1" customFormat="1" x14ac:dyDescent="0.25">
      <c r="B180" s="223"/>
      <c r="C180" s="85" t="s">
        <v>31</v>
      </c>
      <c r="D180" s="118"/>
      <c r="E180" s="160" t="s">
        <v>36</v>
      </c>
      <c r="F180" s="107">
        <v>0</v>
      </c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351"/>
      <c r="AH180" s="351"/>
      <c r="AI180" s="217"/>
      <c r="AJ180" s="9"/>
      <c r="AK180" s="17">
        <f>SUM(F180:AI180)</f>
        <v>0</v>
      </c>
      <c r="DI180" s="29"/>
    </row>
    <row r="181" spans="2:113 15079:15471" s="1" customFormat="1" x14ac:dyDescent="0.25">
      <c r="B181" s="223"/>
      <c r="C181" s="85" t="s">
        <v>30</v>
      </c>
      <c r="D181" s="118"/>
      <c r="E181" s="160" t="s">
        <v>36</v>
      </c>
      <c r="F181" s="107">
        <v>0</v>
      </c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351"/>
      <c r="AH181" s="351"/>
      <c r="AI181" s="217"/>
      <c r="AJ181" s="9"/>
      <c r="AK181" s="17">
        <f>SUM(F181:AI181)</f>
        <v>0</v>
      </c>
      <c r="DI181" s="29"/>
    </row>
    <row r="182" spans="2:113 15079:15471" s="1" customFormat="1" x14ac:dyDescent="0.25">
      <c r="B182" s="223"/>
      <c r="C182" s="164" t="s">
        <v>32</v>
      </c>
      <c r="D182" s="118"/>
      <c r="E182" s="101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351"/>
      <c r="AH182" s="351"/>
      <c r="AI182" s="217"/>
      <c r="AJ182" s="9"/>
      <c r="AK182" s="33" t="s">
        <v>32</v>
      </c>
      <c r="DI182" s="29"/>
    </row>
    <row r="183" spans="2:113 15079:15471" s="1" customFormat="1" x14ac:dyDescent="0.25">
      <c r="B183" s="223"/>
      <c r="C183" s="85" t="s">
        <v>31</v>
      </c>
      <c r="D183" s="118"/>
      <c r="E183" s="160" t="s">
        <v>32</v>
      </c>
      <c r="F183" s="107">
        <v>0</v>
      </c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351"/>
      <c r="AH183" s="351"/>
      <c r="AI183" s="217"/>
      <c r="AJ183" s="9"/>
      <c r="AK183" s="17">
        <f>SUM(F183:AI183)</f>
        <v>0</v>
      </c>
      <c r="DI183" s="29"/>
    </row>
    <row r="184" spans="2:113 15079:15471" s="1" customFormat="1" x14ac:dyDescent="0.25">
      <c r="B184" s="223"/>
      <c r="C184" s="85" t="s">
        <v>30</v>
      </c>
      <c r="D184" s="118"/>
      <c r="E184" s="160" t="s">
        <v>32</v>
      </c>
      <c r="F184" s="107">
        <v>0</v>
      </c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351"/>
      <c r="AH184" s="351"/>
      <c r="AI184" s="217"/>
      <c r="AJ184" s="9"/>
      <c r="AK184" s="17">
        <f>SUM(F184:AI184)</f>
        <v>0</v>
      </c>
      <c r="DI184" s="29"/>
    </row>
    <row r="185" spans="2:113 15079:15471" s="1" customFormat="1" x14ac:dyDescent="0.25">
      <c r="B185" s="215"/>
      <c r="C185" s="82" t="s">
        <v>35</v>
      </c>
      <c r="D185" s="98"/>
      <c r="E185" s="213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100"/>
      <c r="AD185" s="99"/>
      <c r="AE185" s="99"/>
      <c r="AF185" s="99"/>
      <c r="AG185" s="349"/>
      <c r="AH185" s="349"/>
      <c r="AI185" s="214"/>
      <c r="AJ185" s="21"/>
      <c r="AK185" s="34" t="s">
        <v>34</v>
      </c>
      <c r="DI185" s="4"/>
      <c r="VGY185"/>
      <c r="VGZ185"/>
      <c r="VHA185"/>
      <c r="VHB185"/>
      <c r="VHC185"/>
      <c r="VHD185"/>
      <c r="VHE185"/>
      <c r="VHF185"/>
      <c r="VHG185"/>
      <c r="VHH185"/>
      <c r="VHI185"/>
      <c r="VHJ185"/>
      <c r="VHK185"/>
      <c r="VHL185"/>
      <c r="VHM185"/>
      <c r="VHN185"/>
      <c r="VHO185"/>
      <c r="VHP185"/>
      <c r="VHQ185"/>
      <c r="VHR185"/>
      <c r="VHS185"/>
      <c r="VHT185"/>
      <c r="VHU185"/>
      <c r="VHV185"/>
      <c r="VHW185"/>
      <c r="VHX185"/>
      <c r="VHY185"/>
      <c r="VHZ185"/>
      <c r="VIA185"/>
      <c r="VIB185"/>
      <c r="VIC185"/>
      <c r="VID185"/>
      <c r="VIE185"/>
      <c r="VIF185"/>
      <c r="VIG185"/>
      <c r="VIH185"/>
      <c r="VII185"/>
      <c r="VIJ185"/>
      <c r="VIK185"/>
      <c r="VIL185"/>
      <c r="VIM185"/>
      <c r="VIN185"/>
      <c r="VIO185"/>
      <c r="VIP185"/>
      <c r="VIQ185"/>
      <c r="VIR185"/>
      <c r="VIS185"/>
      <c r="VIT185"/>
      <c r="VIU185"/>
      <c r="VIV185"/>
      <c r="VIW185"/>
      <c r="VIX185"/>
      <c r="VIY185"/>
      <c r="VIZ185"/>
      <c r="VJA185"/>
      <c r="VJB185"/>
      <c r="VJC185"/>
      <c r="VJD185"/>
      <c r="VJE185"/>
      <c r="VJF185"/>
      <c r="VJG185"/>
      <c r="VJH185"/>
      <c r="VJI185"/>
      <c r="VJJ185"/>
      <c r="VJK185"/>
      <c r="VJL185"/>
      <c r="VJM185"/>
      <c r="VJN185"/>
      <c r="VJO185"/>
      <c r="VJP185"/>
      <c r="VJQ185"/>
      <c r="VJR185"/>
      <c r="VJS185"/>
      <c r="VJT185"/>
      <c r="VJU185"/>
      <c r="VJV185"/>
      <c r="VJW185"/>
      <c r="VJX185"/>
      <c r="VJY185"/>
      <c r="VJZ185"/>
      <c r="VKA185"/>
      <c r="VKB185"/>
      <c r="VKC185"/>
      <c r="VKD185"/>
      <c r="VKE185"/>
      <c r="VKF185"/>
      <c r="VKG185"/>
      <c r="VKH185"/>
      <c r="VKI185"/>
      <c r="VKJ185"/>
      <c r="VKK185"/>
      <c r="VKL185"/>
      <c r="VKM185"/>
      <c r="VKN185"/>
      <c r="VKO185"/>
      <c r="VKP185"/>
      <c r="VKQ185"/>
      <c r="VKR185"/>
      <c r="VKS185"/>
      <c r="VKT185"/>
      <c r="VKU185"/>
      <c r="VKV185"/>
      <c r="VKW185"/>
      <c r="VKX185"/>
      <c r="VKY185"/>
      <c r="VKZ185"/>
      <c r="VLA185"/>
      <c r="VLB185"/>
      <c r="VLC185"/>
      <c r="VLD185"/>
      <c r="VLE185"/>
      <c r="VLF185"/>
      <c r="VLG185"/>
      <c r="VLH185"/>
      <c r="VLI185"/>
      <c r="VLJ185"/>
      <c r="VLK185"/>
      <c r="VLL185"/>
      <c r="VLM185"/>
      <c r="VLN185"/>
      <c r="VLO185"/>
      <c r="VLP185"/>
      <c r="VLQ185"/>
      <c r="VLR185"/>
      <c r="VLS185"/>
      <c r="VLT185"/>
      <c r="VLU185"/>
      <c r="VLV185"/>
      <c r="VLW185"/>
      <c r="VLX185"/>
      <c r="VLY185"/>
      <c r="VLZ185"/>
      <c r="VMA185"/>
      <c r="VMB185"/>
      <c r="VMC185"/>
      <c r="VMD185"/>
      <c r="VME185"/>
      <c r="VMF185"/>
      <c r="VMG185"/>
      <c r="VMH185"/>
      <c r="VMI185"/>
      <c r="VMJ185"/>
      <c r="VMK185"/>
      <c r="VML185"/>
      <c r="VMM185"/>
      <c r="VMN185"/>
      <c r="VMO185"/>
      <c r="VMP185"/>
      <c r="VMQ185"/>
      <c r="VMR185"/>
      <c r="VMS185"/>
      <c r="VMT185"/>
      <c r="VMU185"/>
      <c r="VMV185"/>
      <c r="VMW185"/>
      <c r="VMX185"/>
      <c r="VMY185"/>
      <c r="VMZ185"/>
      <c r="VNA185"/>
      <c r="VNB185"/>
      <c r="VNC185"/>
      <c r="VND185"/>
      <c r="VNE185"/>
      <c r="VNF185"/>
      <c r="VNG185"/>
      <c r="VNH185"/>
      <c r="VNI185"/>
      <c r="VNJ185"/>
      <c r="VNK185"/>
      <c r="VNL185"/>
      <c r="VNM185"/>
      <c r="VNN185"/>
      <c r="VNO185"/>
      <c r="VNP185"/>
      <c r="VNQ185"/>
      <c r="VNR185"/>
      <c r="VNS185"/>
      <c r="VNT185"/>
      <c r="VNU185"/>
      <c r="VNV185"/>
      <c r="VNW185"/>
      <c r="VNX185"/>
      <c r="VNY185"/>
      <c r="VNZ185"/>
      <c r="VOA185"/>
      <c r="VOB185"/>
      <c r="VOC185"/>
      <c r="VOD185"/>
      <c r="VOE185"/>
      <c r="VOF185"/>
      <c r="VOG185"/>
      <c r="VOH185"/>
      <c r="VOI185"/>
      <c r="VOJ185"/>
      <c r="VOK185"/>
      <c r="VOL185"/>
      <c r="VOM185"/>
      <c r="VON185"/>
      <c r="VOO185"/>
      <c r="VOP185"/>
      <c r="VOQ185"/>
      <c r="VOR185"/>
      <c r="VOS185"/>
      <c r="VOT185"/>
      <c r="VOU185"/>
      <c r="VOV185"/>
      <c r="VOW185"/>
      <c r="VOX185"/>
      <c r="VOY185"/>
      <c r="VOZ185"/>
      <c r="VPA185"/>
      <c r="VPB185"/>
      <c r="VPC185"/>
      <c r="VPD185"/>
      <c r="VPE185"/>
      <c r="VPF185"/>
      <c r="VPG185"/>
      <c r="VPH185"/>
      <c r="VPI185"/>
      <c r="VPJ185"/>
      <c r="VPK185"/>
      <c r="VPL185"/>
      <c r="VPM185"/>
      <c r="VPN185"/>
      <c r="VPO185"/>
      <c r="VPP185"/>
      <c r="VPQ185"/>
      <c r="VPR185"/>
      <c r="VPS185"/>
      <c r="VPT185"/>
      <c r="VPU185"/>
      <c r="VPV185"/>
      <c r="VPW185"/>
      <c r="VPX185"/>
      <c r="VPY185"/>
      <c r="VPZ185"/>
      <c r="VQA185"/>
      <c r="VQB185"/>
      <c r="VQC185"/>
      <c r="VQD185"/>
      <c r="VQE185"/>
      <c r="VQF185"/>
      <c r="VQG185"/>
      <c r="VQH185"/>
      <c r="VQI185"/>
      <c r="VQJ185"/>
      <c r="VQK185"/>
      <c r="VQL185"/>
      <c r="VQM185"/>
      <c r="VQN185"/>
      <c r="VQO185"/>
      <c r="VQP185"/>
      <c r="VQQ185"/>
      <c r="VQR185"/>
      <c r="VQS185"/>
      <c r="VQT185"/>
      <c r="VQU185"/>
      <c r="VQV185"/>
      <c r="VQW185"/>
      <c r="VQX185"/>
      <c r="VQY185"/>
      <c r="VQZ185"/>
      <c r="VRA185"/>
      <c r="VRB185"/>
      <c r="VRC185"/>
      <c r="VRD185"/>
      <c r="VRE185"/>
      <c r="VRF185"/>
      <c r="VRG185"/>
      <c r="VRH185"/>
      <c r="VRI185"/>
      <c r="VRJ185"/>
      <c r="VRK185"/>
      <c r="VRL185"/>
      <c r="VRM185"/>
      <c r="VRN185"/>
      <c r="VRO185"/>
      <c r="VRP185"/>
      <c r="VRQ185"/>
      <c r="VRR185"/>
      <c r="VRS185"/>
      <c r="VRT185"/>
      <c r="VRU185"/>
      <c r="VRV185"/>
      <c r="VRW185"/>
      <c r="VRX185"/>
      <c r="VRY185"/>
      <c r="VRZ185"/>
      <c r="VSA185"/>
      <c r="VSB185"/>
      <c r="VSC185"/>
      <c r="VSD185"/>
      <c r="VSE185"/>
      <c r="VSF185"/>
      <c r="VSG185"/>
      <c r="VSH185"/>
      <c r="VSI185"/>
      <c r="VSJ185"/>
      <c r="VSK185"/>
      <c r="VSL185"/>
      <c r="VSM185"/>
      <c r="VSN185"/>
      <c r="VSO185"/>
      <c r="VSP185"/>
      <c r="VSQ185"/>
      <c r="VSR185"/>
      <c r="VSS185"/>
      <c r="VST185"/>
      <c r="VSU185"/>
      <c r="VSV185"/>
      <c r="VSW185"/>
      <c r="VSX185"/>
      <c r="VSY185"/>
      <c r="VSZ185"/>
      <c r="VTA185"/>
      <c r="VTB185"/>
      <c r="VTC185"/>
      <c r="VTD185"/>
      <c r="VTE185"/>
      <c r="VTF185"/>
      <c r="VTG185"/>
      <c r="VTH185"/>
      <c r="VTI185"/>
      <c r="VTJ185"/>
      <c r="VTK185"/>
      <c r="VTL185"/>
      <c r="VTM185"/>
      <c r="VTN185"/>
      <c r="VTO185"/>
      <c r="VTP185"/>
      <c r="VTQ185"/>
      <c r="VTR185"/>
      <c r="VTS185"/>
      <c r="VTT185"/>
      <c r="VTU185"/>
      <c r="VTV185"/>
      <c r="VTW185"/>
      <c r="VTX185"/>
      <c r="VTY185"/>
      <c r="VTZ185"/>
      <c r="VUA185"/>
      <c r="VUB185"/>
      <c r="VUC185"/>
      <c r="VUD185"/>
      <c r="VUE185"/>
      <c r="VUF185"/>
      <c r="VUG185"/>
      <c r="VUH185"/>
      <c r="VUI185"/>
      <c r="VUJ185"/>
      <c r="VUK185"/>
      <c r="VUL185"/>
      <c r="VUM185"/>
      <c r="VUN185"/>
      <c r="VUO185"/>
      <c r="VUP185"/>
      <c r="VUQ185"/>
      <c r="VUR185"/>
      <c r="VUS185"/>
      <c r="VUT185"/>
      <c r="VUU185"/>
      <c r="VUV185"/>
      <c r="VUW185"/>
      <c r="VUX185"/>
      <c r="VUY185"/>
      <c r="VUZ185"/>
      <c r="VVA185"/>
      <c r="VVB185"/>
      <c r="VVC185"/>
      <c r="VVD185"/>
      <c r="VVE185"/>
      <c r="VVF185"/>
      <c r="VVG185"/>
      <c r="VVH185"/>
      <c r="VVI185"/>
      <c r="VVJ185"/>
      <c r="VVK185"/>
      <c r="VVL185"/>
      <c r="VVM185"/>
      <c r="VVN185"/>
      <c r="VVO185"/>
      <c r="VVP185"/>
      <c r="VVQ185"/>
      <c r="VVR185"/>
      <c r="VVS185"/>
      <c r="VVT185"/>
      <c r="VVU185"/>
      <c r="VVV185"/>
      <c r="VVW185"/>
      <c r="VVX185"/>
      <c r="VVY185"/>
      <c r="VVZ185"/>
      <c r="VWA185"/>
    </row>
    <row r="186" spans="2:113 15079:15471" s="1" customFormat="1" x14ac:dyDescent="0.25">
      <c r="B186" s="223"/>
      <c r="C186" s="164" t="s">
        <v>33</v>
      </c>
      <c r="D186" s="118"/>
      <c r="E186" s="101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351"/>
      <c r="AH186" s="351"/>
      <c r="AI186" s="217"/>
      <c r="AJ186" s="9"/>
      <c r="AK186" s="33" t="s">
        <v>33</v>
      </c>
      <c r="DI186" s="29"/>
    </row>
    <row r="187" spans="2:113 15079:15471" s="1" customFormat="1" x14ac:dyDescent="0.25">
      <c r="B187" s="223"/>
      <c r="C187" s="85" t="s">
        <v>31</v>
      </c>
      <c r="D187" s="114">
        <v>0.3</v>
      </c>
      <c r="E187" s="160" t="s">
        <v>29</v>
      </c>
      <c r="F187" s="137" t="e">
        <f>F180/F169*100</f>
        <v>#DIV/0!</v>
      </c>
      <c r="G187" s="137" t="e">
        <f t="shared" ref="G187:AI187" si="70">G180/G169*100</f>
        <v>#DIV/0!</v>
      </c>
      <c r="H187" s="137" t="e">
        <f t="shared" si="70"/>
        <v>#DIV/0!</v>
      </c>
      <c r="I187" s="137" t="e">
        <f t="shared" si="70"/>
        <v>#DIV/0!</v>
      </c>
      <c r="J187" s="137" t="e">
        <f t="shared" si="70"/>
        <v>#DIV/0!</v>
      </c>
      <c r="K187" s="137" t="e">
        <f t="shared" si="70"/>
        <v>#DIV/0!</v>
      </c>
      <c r="L187" s="137" t="e">
        <f t="shared" si="70"/>
        <v>#DIV/0!</v>
      </c>
      <c r="M187" s="137" t="e">
        <f t="shared" si="70"/>
        <v>#DIV/0!</v>
      </c>
      <c r="N187" s="137" t="e">
        <f t="shared" si="70"/>
        <v>#DIV/0!</v>
      </c>
      <c r="O187" s="137" t="e">
        <f t="shared" si="70"/>
        <v>#DIV/0!</v>
      </c>
      <c r="P187" s="137" t="e">
        <f t="shared" si="70"/>
        <v>#DIV/0!</v>
      </c>
      <c r="Q187" s="137" t="e">
        <f t="shared" si="70"/>
        <v>#DIV/0!</v>
      </c>
      <c r="R187" s="137" t="e">
        <f t="shared" si="70"/>
        <v>#DIV/0!</v>
      </c>
      <c r="S187" s="137" t="e">
        <f t="shared" si="70"/>
        <v>#DIV/0!</v>
      </c>
      <c r="T187" s="137" t="e">
        <f t="shared" si="70"/>
        <v>#DIV/0!</v>
      </c>
      <c r="U187" s="137" t="e">
        <f t="shared" si="70"/>
        <v>#DIV/0!</v>
      </c>
      <c r="V187" s="137" t="e">
        <f t="shared" si="70"/>
        <v>#DIV/0!</v>
      </c>
      <c r="W187" s="137" t="e">
        <f t="shared" si="70"/>
        <v>#DIV/0!</v>
      </c>
      <c r="X187" s="137" t="e">
        <f t="shared" si="70"/>
        <v>#DIV/0!</v>
      </c>
      <c r="Y187" s="137" t="e">
        <f t="shared" si="70"/>
        <v>#DIV/0!</v>
      </c>
      <c r="Z187" s="137" t="e">
        <f t="shared" si="70"/>
        <v>#DIV/0!</v>
      </c>
      <c r="AA187" s="137" t="e">
        <f t="shared" si="70"/>
        <v>#DIV/0!</v>
      </c>
      <c r="AB187" s="137" t="e">
        <f t="shared" si="70"/>
        <v>#DIV/0!</v>
      </c>
      <c r="AC187" s="137" t="e">
        <f t="shared" si="70"/>
        <v>#DIV/0!</v>
      </c>
      <c r="AD187" s="137" t="e">
        <f t="shared" si="70"/>
        <v>#DIV/0!</v>
      </c>
      <c r="AE187" s="137" t="e">
        <f t="shared" si="70"/>
        <v>#DIV/0!</v>
      </c>
      <c r="AF187" s="137" t="e">
        <f t="shared" si="70"/>
        <v>#DIV/0!</v>
      </c>
      <c r="AG187" s="137" t="e">
        <f t="shared" si="70"/>
        <v>#DIV/0!</v>
      </c>
      <c r="AH187" s="137" t="e">
        <f t="shared" si="70"/>
        <v>#DIV/0!</v>
      </c>
      <c r="AI187" s="233" t="e">
        <f t="shared" si="70"/>
        <v>#DIV/0!</v>
      </c>
      <c r="AJ187" s="9"/>
      <c r="AK187" s="32" t="e">
        <f>AK180/AK169*100</f>
        <v>#DIV/0!</v>
      </c>
      <c r="DI187" s="29"/>
    </row>
    <row r="188" spans="2:113 15079:15471" s="1" customFormat="1" x14ac:dyDescent="0.25">
      <c r="B188" s="223"/>
      <c r="C188" s="85" t="s">
        <v>30</v>
      </c>
      <c r="D188" s="114">
        <v>0.3</v>
      </c>
      <c r="E188" s="160" t="s">
        <v>29</v>
      </c>
      <c r="F188" s="137" t="e">
        <f t="shared" ref="F188:AI188" si="71">F181/F171*100</f>
        <v>#DIV/0!</v>
      </c>
      <c r="G188" s="137" t="e">
        <f t="shared" si="71"/>
        <v>#DIV/0!</v>
      </c>
      <c r="H188" s="137" t="e">
        <f t="shared" si="71"/>
        <v>#DIV/0!</v>
      </c>
      <c r="I188" s="137" t="e">
        <f t="shared" si="71"/>
        <v>#DIV/0!</v>
      </c>
      <c r="J188" s="137" t="e">
        <f t="shared" si="71"/>
        <v>#DIV/0!</v>
      </c>
      <c r="K188" s="137" t="e">
        <f t="shared" si="71"/>
        <v>#DIV/0!</v>
      </c>
      <c r="L188" s="137" t="e">
        <f t="shared" si="71"/>
        <v>#DIV/0!</v>
      </c>
      <c r="M188" s="137" t="e">
        <f t="shared" si="71"/>
        <v>#DIV/0!</v>
      </c>
      <c r="N188" s="137" t="e">
        <f t="shared" si="71"/>
        <v>#DIV/0!</v>
      </c>
      <c r="O188" s="137" t="e">
        <f t="shared" si="71"/>
        <v>#DIV/0!</v>
      </c>
      <c r="P188" s="137" t="e">
        <f t="shared" si="71"/>
        <v>#DIV/0!</v>
      </c>
      <c r="Q188" s="137" t="e">
        <f t="shared" si="71"/>
        <v>#DIV/0!</v>
      </c>
      <c r="R188" s="137" t="e">
        <f t="shared" si="71"/>
        <v>#DIV/0!</v>
      </c>
      <c r="S188" s="137" t="e">
        <f t="shared" si="71"/>
        <v>#DIV/0!</v>
      </c>
      <c r="T188" s="137" t="e">
        <f t="shared" si="71"/>
        <v>#DIV/0!</v>
      </c>
      <c r="U188" s="137" t="e">
        <f t="shared" si="71"/>
        <v>#DIV/0!</v>
      </c>
      <c r="V188" s="137" t="e">
        <f t="shared" si="71"/>
        <v>#DIV/0!</v>
      </c>
      <c r="W188" s="137" t="e">
        <f t="shared" si="71"/>
        <v>#DIV/0!</v>
      </c>
      <c r="X188" s="137" t="e">
        <f t="shared" si="71"/>
        <v>#DIV/0!</v>
      </c>
      <c r="Y188" s="137" t="e">
        <f t="shared" si="71"/>
        <v>#DIV/0!</v>
      </c>
      <c r="Z188" s="137" t="e">
        <f t="shared" si="71"/>
        <v>#DIV/0!</v>
      </c>
      <c r="AA188" s="137" t="e">
        <f t="shared" si="71"/>
        <v>#DIV/0!</v>
      </c>
      <c r="AB188" s="137" t="e">
        <f t="shared" si="71"/>
        <v>#DIV/0!</v>
      </c>
      <c r="AC188" s="137" t="e">
        <f t="shared" si="71"/>
        <v>#DIV/0!</v>
      </c>
      <c r="AD188" s="137" t="e">
        <f t="shared" si="71"/>
        <v>#DIV/0!</v>
      </c>
      <c r="AE188" s="137" t="e">
        <f t="shared" si="71"/>
        <v>#DIV/0!</v>
      </c>
      <c r="AF188" s="137" t="e">
        <f t="shared" si="71"/>
        <v>#DIV/0!</v>
      </c>
      <c r="AG188" s="137" t="e">
        <f t="shared" si="71"/>
        <v>#DIV/0!</v>
      </c>
      <c r="AH188" s="137" t="e">
        <f t="shared" si="71"/>
        <v>#DIV/0!</v>
      </c>
      <c r="AI188" s="233" t="e">
        <f t="shared" si="71"/>
        <v>#DIV/0!</v>
      </c>
      <c r="AJ188" s="9"/>
      <c r="AK188" s="32" t="e">
        <f>AK181/AK171*100</f>
        <v>#DIV/0!</v>
      </c>
      <c r="DI188" s="29"/>
    </row>
    <row r="189" spans="2:113 15079:15471" s="1" customFormat="1" x14ac:dyDescent="0.25">
      <c r="B189" s="223"/>
      <c r="C189" s="164" t="s">
        <v>32</v>
      </c>
      <c r="D189" s="114"/>
      <c r="E189" s="101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233"/>
      <c r="AJ189" s="9"/>
      <c r="AK189" s="33" t="s">
        <v>32</v>
      </c>
      <c r="DI189" s="29"/>
    </row>
    <row r="190" spans="2:113 15079:15471" s="1" customFormat="1" x14ac:dyDescent="0.25">
      <c r="B190" s="223"/>
      <c r="C190" s="85" t="s">
        <v>31</v>
      </c>
      <c r="D190" s="114">
        <v>0.5</v>
      </c>
      <c r="E190" s="160" t="s">
        <v>29</v>
      </c>
      <c r="F190" s="137" t="e">
        <f>F183/F173*100</f>
        <v>#DIV/0!</v>
      </c>
      <c r="G190" s="137" t="e">
        <f t="shared" ref="G190:AI190" si="72">G183/G173*100</f>
        <v>#DIV/0!</v>
      </c>
      <c r="H190" s="137" t="e">
        <f t="shared" si="72"/>
        <v>#DIV/0!</v>
      </c>
      <c r="I190" s="137" t="e">
        <f t="shared" si="72"/>
        <v>#DIV/0!</v>
      </c>
      <c r="J190" s="137" t="e">
        <f t="shared" si="72"/>
        <v>#DIV/0!</v>
      </c>
      <c r="K190" s="137" t="e">
        <f t="shared" si="72"/>
        <v>#DIV/0!</v>
      </c>
      <c r="L190" s="137" t="e">
        <f t="shared" si="72"/>
        <v>#DIV/0!</v>
      </c>
      <c r="M190" s="137" t="e">
        <f t="shared" si="72"/>
        <v>#DIV/0!</v>
      </c>
      <c r="N190" s="137" t="e">
        <f t="shared" si="72"/>
        <v>#DIV/0!</v>
      </c>
      <c r="O190" s="137" t="e">
        <f t="shared" si="72"/>
        <v>#DIV/0!</v>
      </c>
      <c r="P190" s="137" t="e">
        <f t="shared" si="72"/>
        <v>#DIV/0!</v>
      </c>
      <c r="Q190" s="137" t="e">
        <f t="shared" si="72"/>
        <v>#DIV/0!</v>
      </c>
      <c r="R190" s="137" t="e">
        <f t="shared" si="72"/>
        <v>#DIV/0!</v>
      </c>
      <c r="S190" s="137" t="e">
        <f t="shared" si="72"/>
        <v>#DIV/0!</v>
      </c>
      <c r="T190" s="137" t="e">
        <f t="shared" si="72"/>
        <v>#DIV/0!</v>
      </c>
      <c r="U190" s="137" t="e">
        <f t="shared" si="72"/>
        <v>#DIV/0!</v>
      </c>
      <c r="V190" s="137" t="e">
        <f t="shared" si="72"/>
        <v>#DIV/0!</v>
      </c>
      <c r="W190" s="137" t="e">
        <f t="shared" si="72"/>
        <v>#DIV/0!</v>
      </c>
      <c r="X190" s="137" t="e">
        <f t="shared" si="72"/>
        <v>#DIV/0!</v>
      </c>
      <c r="Y190" s="137" t="e">
        <f t="shared" si="72"/>
        <v>#DIV/0!</v>
      </c>
      <c r="Z190" s="137" t="e">
        <f t="shared" si="72"/>
        <v>#DIV/0!</v>
      </c>
      <c r="AA190" s="137" t="e">
        <f t="shared" si="72"/>
        <v>#DIV/0!</v>
      </c>
      <c r="AB190" s="137" t="e">
        <f t="shared" si="72"/>
        <v>#DIV/0!</v>
      </c>
      <c r="AC190" s="137" t="e">
        <f t="shared" si="72"/>
        <v>#DIV/0!</v>
      </c>
      <c r="AD190" s="137" t="e">
        <f t="shared" si="72"/>
        <v>#DIV/0!</v>
      </c>
      <c r="AE190" s="137" t="e">
        <f t="shared" si="72"/>
        <v>#DIV/0!</v>
      </c>
      <c r="AF190" s="137" t="e">
        <f t="shared" si="72"/>
        <v>#DIV/0!</v>
      </c>
      <c r="AG190" s="137" t="e">
        <f t="shared" si="72"/>
        <v>#DIV/0!</v>
      </c>
      <c r="AH190" s="137" t="e">
        <f t="shared" si="72"/>
        <v>#DIV/0!</v>
      </c>
      <c r="AI190" s="233" t="e">
        <f t="shared" si="72"/>
        <v>#DIV/0!</v>
      </c>
      <c r="AJ190" s="9"/>
      <c r="AK190" s="32" t="e">
        <f>AK183/AK173*100</f>
        <v>#DIV/0!</v>
      </c>
      <c r="DI190" s="29"/>
    </row>
    <row r="191" spans="2:113 15079:15471" s="1" customFormat="1" x14ac:dyDescent="0.25">
      <c r="B191" s="223"/>
      <c r="C191" s="85" t="s">
        <v>30</v>
      </c>
      <c r="D191" s="114">
        <v>0.5</v>
      </c>
      <c r="E191" s="160" t="s">
        <v>29</v>
      </c>
      <c r="F191" s="137" t="e">
        <f t="shared" ref="F191:AI191" si="73">F184/F175*100</f>
        <v>#DIV/0!</v>
      </c>
      <c r="G191" s="137" t="e">
        <f t="shared" si="73"/>
        <v>#DIV/0!</v>
      </c>
      <c r="H191" s="137" t="e">
        <f t="shared" si="73"/>
        <v>#DIV/0!</v>
      </c>
      <c r="I191" s="137" t="e">
        <f t="shared" si="73"/>
        <v>#DIV/0!</v>
      </c>
      <c r="J191" s="137" t="e">
        <f t="shared" si="73"/>
        <v>#DIV/0!</v>
      </c>
      <c r="K191" s="137" t="e">
        <f t="shared" si="73"/>
        <v>#DIV/0!</v>
      </c>
      <c r="L191" s="137" t="e">
        <f t="shared" si="73"/>
        <v>#DIV/0!</v>
      </c>
      <c r="M191" s="137" t="e">
        <f t="shared" si="73"/>
        <v>#DIV/0!</v>
      </c>
      <c r="N191" s="137" t="e">
        <f t="shared" si="73"/>
        <v>#DIV/0!</v>
      </c>
      <c r="O191" s="137" t="e">
        <f t="shared" si="73"/>
        <v>#DIV/0!</v>
      </c>
      <c r="P191" s="137" t="e">
        <f t="shared" si="73"/>
        <v>#DIV/0!</v>
      </c>
      <c r="Q191" s="137" t="e">
        <f t="shared" si="73"/>
        <v>#DIV/0!</v>
      </c>
      <c r="R191" s="137" t="e">
        <f t="shared" si="73"/>
        <v>#DIV/0!</v>
      </c>
      <c r="S191" s="137" t="e">
        <f t="shared" si="73"/>
        <v>#DIV/0!</v>
      </c>
      <c r="T191" s="137" t="e">
        <f t="shared" si="73"/>
        <v>#DIV/0!</v>
      </c>
      <c r="U191" s="137" t="e">
        <f t="shared" si="73"/>
        <v>#DIV/0!</v>
      </c>
      <c r="V191" s="137" t="e">
        <f t="shared" si="73"/>
        <v>#DIV/0!</v>
      </c>
      <c r="W191" s="137" t="e">
        <f t="shared" si="73"/>
        <v>#DIV/0!</v>
      </c>
      <c r="X191" s="137" t="e">
        <f t="shared" si="73"/>
        <v>#DIV/0!</v>
      </c>
      <c r="Y191" s="137" t="e">
        <f t="shared" si="73"/>
        <v>#DIV/0!</v>
      </c>
      <c r="Z191" s="137" t="e">
        <f t="shared" si="73"/>
        <v>#DIV/0!</v>
      </c>
      <c r="AA191" s="137" t="e">
        <f t="shared" si="73"/>
        <v>#DIV/0!</v>
      </c>
      <c r="AB191" s="137" t="e">
        <f t="shared" si="73"/>
        <v>#DIV/0!</v>
      </c>
      <c r="AC191" s="137" t="e">
        <f t="shared" si="73"/>
        <v>#DIV/0!</v>
      </c>
      <c r="AD191" s="137" t="e">
        <f t="shared" si="73"/>
        <v>#DIV/0!</v>
      </c>
      <c r="AE191" s="137" t="e">
        <f t="shared" si="73"/>
        <v>#DIV/0!</v>
      </c>
      <c r="AF191" s="137" t="e">
        <f t="shared" si="73"/>
        <v>#DIV/0!</v>
      </c>
      <c r="AG191" s="137" t="e">
        <f t="shared" si="73"/>
        <v>#DIV/0!</v>
      </c>
      <c r="AH191" s="137" t="e">
        <f t="shared" si="73"/>
        <v>#DIV/0!</v>
      </c>
      <c r="AI191" s="233" t="e">
        <f t="shared" si="73"/>
        <v>#DIV/0!</v>
      </c>
      <c r="AJ191" s="9"/>
      <c r="AK191" s="32" t="e">
        <f>AK184/AK175*100</f>
        <v>#DIV/0!</v>
      </c>
      <c r="DI191" s="29"/>
    </row>
    <row r="192" spans="2:113 15079:15471" s="1" customFormat="1" x14ac:dyDescent="0.25">
      <c r="B192" s="97">
        <v>9</v>
      </c>
      <c r="C192" s="59" t="s">
        <v>115</v>
      </c>
      <c r="D192" s="172"/>
      <c r="E192" s="256"/>
      <c r="F192" s="172"/>
      <c r="G192" s="172"/>
      <c r="H192" s="172"/>
      <c r="I192" s="172"/>
      <c r="J192" s="172"/>
      <c r="K192" s="172"/>
      <c r="L192" s="172"/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  <c r="Y192" s="172"/>
      <c r="Z192" s="172"/>
      <c r="AA192" s="172"/>
      <c r="AB192" s="172"/>
      <c r="AC192" s="172"/>
      <c r="AD192" s="172"/>
      <c r="AE192" s="172"/>
      <c r="AF192" s="172"/>
      <c r="AG192" s="372"/>
      <c r="AH192" s="372"/>
      <c r="AI192" s="257"/>
      <c r="AJ192" s="331"/>
      <c r="AK192" s="34" t="s">
        <v>45</v>
      </c>
    </row>
    <row r="193" spans="2:37" s="1" customFormat="1" x14ac:dyDescent="0.25">
      <c r="B193" s="115"/>
      <c r="C193" s="62" t="s">
        <v>120</v>
      </c>
      <c r="D193" s="114"/>
      <c r="E193" s="66" t="s">
        <v>16</v>
      </c>
      <c r="F193" s="72">
        <v>67187</v>
      </c>
      <c r="G193" s="72">
        <v>110428</v>
      </c>
      <c r="H193" s="72">
        <v>92248</v>
      </c>
      <c r="I193" s="72">
        <v>90290</v>
      </c>
      <c r="J193" s="72">
        <v>8725</v>
      </c>
      <c r="K193" s="72">
        <v>128922</v>
      </c>
      <c r="L193" s="72">
        <v>31509</v>
      </c>
      <c r="M193" s="72">
        <v>33123</v>
      </c>
      <c r="N193" s="72">
        <v>50134</v>
      </c>
      <c r="O193" s="72">
        <v>117297</v>
      </c>
      <c r="P193" s="72">
        <v>145914</v>
      </c>
      <c r="Q193" s="72">
        <v>204286</v>
      </c>
      <c r="R193" s="72">
        <v>95637</v>
      </c>
      <c r="S193" s="72">
        <v>149284</v>
      </c>
      <c r="T193" s="72">
        <v>141362</v>
      </c>
      <c r="U193" s="72">
        <v>126696</v>
      </c>
      <c r="V193" s="72">
        <v>154346</v>
      </c>
      <c r="W193" s="72">
        <v>300836</v>
      </c>
      <c r="X193" s="72"/>
      <c r="Y193" s="72"/>
      <c r="Z193" s="72"/>
      <c r="AA193" s="72"/>
      <c r="AB193" s="72"/>
      <c r="AC193" s="72"/>
      <c r="AD193" s="72">
        <v>67243</v>
      </c>
      <c r="AE193" s="72">
        <v>146811</v>
      </c>
      <c r="AF193" s="72"/>
      <c r="AG193" s="364">
        <v>88954</v>
      </c>
      <c r="AH193" s="364">
        <v>89471</v>
      </c>
      <c r="AI193" s="258">
        <v>183232</v>
      </c>
      <c r="AJ193" s="69"/>
      <c r="AK193" s="37">
        <f>SUM(E193:AI193)</f>
        <v>2623935</v>
      </c>
    </row>
    <row r="194" spans="2:37" s="1" customFormat="1" x14ac:dyDescent="0.25">
      <c r="B194" s="115"/>
      <c r="C194" s="60" t="s">
        <v>121</v>
      </c>
      <c r="D194" s="114"/>
      <c r="E194" s="66" t="s">
        <v>16</v>
      </c>
      <c r="F194" s="68">
        <v>72258.89</v>
      </c>
      <c r="G194" s="68">
        <v>125077.72</v>
      </c>
      <c r="H194" s="68">
        <v>78648.08</v>
      </c>
      <c r="I194" s="68">
        <v>114208.62</v>
      </c>
      <c r="J194" s="68">
        <v>184.07</v>
      </c>
      <c r="K194" s="68">
        <v>118497.25</v>
      </c>
      <c r="L194" s="68">
        <v>40772.230000000003</v>
      </c>
      <c r="M194" s="68">
        <v>42361.18</v>
      </c>
      <c r="N194" s="68">
        <v>42448.71</v>
      </c>
      <c r="O194" s="68">
        <v>117194.87</v>
      </c>
      <c r="P194" s="68">
        <v>146488.4</v>
      </c>
      <c r="Q194" s="68">
        <v>201971.73</v>
      </c>
      <c r="R194" s="68">
        <v>85039.07</v>
      </c>
      <c r="S194" s="68">
        <v>173504.16</v>
      </c>
      <c r="T194" s="68">
        <v>142004.85999999999</v>
      </c>
      <c r="U194" s="68">
        <v>128676.09</v>
      </c>
      <c r="V194" s="68">
        <v>127353.32</v>
      </c>
      <c r="W194" s="68">
        <v>127182.78</v>
      </c>
      <c r="X194" s="68">
        <v>158140.69</v>
      </c>
      <c r="Y194" s="68">
        <v>173.24</v>
      </c>
      <c r="Z194" s="68">
        <v>952.83</v>
      </c>
      <c r="AA194" s="68"/>
      <c r="AB194" s="68"/>
      <c r="AC194" s="68"/>
      <c r="AD194" s="68">
        <v>110040.9</v>
      </c>
      <c r="AE194" s="68">
        <v>76385.11</v>
      </c>
      <c r="AF194" s="68">
        <v>72821.929999999993</v>
      </c>
      <c r="AG194" s="366">
        <v>70818.820000000007</v>
      </c>
      <c r="AH194" s="366">
        <v>110006.59</v>
      </c>
      <c r="AI194" s="259">
        <v>122890.54</v>
      </c>
      <c r="AJ194" s="69"/>
      <c r="AK194" s="37">
        <f>SUM(F194:AI194)</f>
        <v>2606102.6799999997</v>
      </c>
    </row>
    <row r="195" spans="2:37" s="1" customFormat="1" x14ac:dyDescent="0.25">
      <c r="B195" s="115"/>
      <c r="C195" s="60" t="s">
        <v>44</v>
      </c>
      <c r="D195" s="114"/>
      <c r="E195" s="66" t="s">
        <v>16</v>
      </c>
      <c r="F195" s="68">
        <f>SUM(F199)*10.83</f>
        <v>72322.740000000005</v>
      </c>
      <c r="G195" s="68">
        <f t="shared" ref="G195:AI195" si="74">SUM(G199)*10.83</f>
        <v>125140.65</v>
      </c>
      <c r="H195" s="68">
        <f t="shared" si="74"/>
        <v>78755.759999999995</v>
      </c>
      <c r="I195" s="68">
        <f t="shared" si="74"/>
        <v>114256.5</v>
      </c>
      <c r="J195" s="68">
        <f t="shared" si="74"/>
        <v>184.11</v>
      </c>
      <c r="K195" s="68">
        <f t="shared" si="74"/>
        <v>118556.01</v>
      </c>
      <c r="L195" s="68">
        <f t="shared" si="74"/>
        <v>40774.949999999997</v>
      </c>
      <c r="M195" s="68">
        <f t="shared" si="74"/>
        <v>42366.96</v>
      </c>
      <c r="N195" s="68">
        <f t="shared" si="74"/>
        <v>42453.599999999999</v>
      </c>
      <c r="O195" s="68">
        <f t="shared" si="74"/>
        <v>117234.75</v>
      </c>
      <c r="P195" s="68">
        <f t="shared" si="74"/>
        <v>146616.54</v>
      </c>
      <c r="Q195" s="68">
        <f t="shared" si="74"/>
        <v>202271.91</v>
      </c>
      <c r="R195" s="68">
        <f t="shared" si="74"/>
        <v>85156.29</v>
      </c>
      <c r="S195" s="68">
        <f t="shared" si="74"/>
        <v>173594.07</v>
      </c>
      <c r="T195" s="68">
        <f t="shared" si="74"/>
        <v>142046.28</v>
      </c>
      <c r="U195" s="68">
        <f t="shared" si="74"/>
        <v>128898.66</v>
      </c>
      <c r="V195" s="68">
        <f t="shared" si="74"/>
        <v>127458.27</v>
      </c>
      <c r="W195" s="68">
        <f t="shared" si="74"/>
        <v>127295.82</v>
      </c>
      <c r="X195" s="68">
        <f t="shared" si="74"/>
        <v>158204.64000000001</v>
      </c>
      <c r="Y195" s="68">
        <f t="shared" si="74"/>
        <v>173.28</v>
      </c>
      <c r="Z195" s="68">
        <f t="shared" si="74"/>
        <v>974.7</v>
      </c>
      <c r="AA195" s="68">
        <f t="shared" si="74"/>
        <v>0</v>
      </c>
      <c r="AB195" s="68">
        <f t="shared" si="74"/>
        <v>0</v>
      </c>
      <c r="AC195" s="68">
        <f t="shared" si="74"/>
        <v>0</v>
      </c>
      <c r="AD195" s="68">
        <f t="shared" si="74"/>
        <v>111169.95</v>
      </c>
      <c r="AE195" s="68">
        <f t="shared" si="74"/>
        <v>76492.289999999994</v>
      </c>
      <c r="AF195" s="68">
        <f t="shared" si="74"/>
        <v>72896.73</v>
      </c>
      <c r="AG195" s="68">
        <f t="shared" si="74"/>
        <v>71207.25</v>
      </c>
      <c r="AH195" s="68">
        <f t="shared" si="74"/>
        <v>110292.72</v>
      </c>
      <c r="AI195" s="68">
        <f t="shared" si="74"/>
        <v>123137.1</v>
      </c>
      <c r="AJ195" s="327"/>
      <c r="AK195" s="37">
        <f>SUM(C195:AI195)</f>
        <v>2609932.5300000007</v>
      </c>
    </row>
    <row r="196" spans="2:37" s="1" customFormat="1" x14ac:dyDescent="0.25">
      <c r="B196" s="115"/>
      <c r="C196" s="60" t="s">
        <v>43</v>
      </c>
      <c r="D196" s="114"/>
      <c r="E196" s="66" t="s">
        <v>16</v>
      </c>
      <c r="F196" s="68">
        <f>F194-F195</f>
        <v>-63.850000000005821</v>
      </c>
      <c r="G196" s="68">
        <f t="shared" ref="G196:AF196" si="75">G194-G195</f>
        <v>-62.929999999993015</v>
      </c>
      <c r="H196" s="68">
        <f>H194-H195</f>
        <v>-107.67999999999302</v>
      </c>
      <c r="I196" s="68">
        <f t="shared" si="75"/>
        <v>-47.880000000004657</v>
      </c>
      <c r="J196" s="68">
        <f t="shared" si="75"/>
        <v>-4.0000000000020464E-2</v>
      </c>
      <c r="K196" s="68">
        <f t="shared" si="75"/>
        <v>-58.759999999994761</v>
      </c>
      <c r="L196" s="68">
        <f t="shared" si="75"/>
        <v>-2.7199999999938882</v>
      </c>
      <c r="M196" s="68">
        <f t="shared" si="75"/>
        <v>-5.7799999999988358</v>
      </c>
      <c r="N196" s="68">
        <f t="shared" si="75"/>
        <v>-4.8899999999994179</v>
      </c>
      <c r="O196" s="68">
        <f t="shared" si="75"/>
        <v>-39.880000000004657</v>
      </c>
      <c r="P196" s="68">
        <f t="shared" si="75"/>
        <v>-128.14000000001397</v>
      </c>
      <c r="Q196" s="68">
        <f t="shared" si="75"/>
        <v>-300.17999999999302</v>
      </c>
      <c r="R196" s="68">
        <f t="shared" si="75"/>
        <v>-117.21999999998661</v>
      </c>
      <c r="S196" s="68">
        <f t="shared" si="75"/>
        <v>-89.910000000003492</v>
      </c>
      <c r="T196" s="68">
        <f t="shared" si="75"/>
        <v>-41.420000000012806</v>
      </c>
      <c r="U196" s="68">
        <f t="shared" si="75"/>
        <v>-222.57000000000698</v>
      </c>
      <c r="V196" s="68">
        <f t="shared" si="75"/>
        <v>-104.94999999999709</v>
      </c>
      <c r="W196" s="68">
        <f t="shared" si="75"/>
        <v>-113.04000000000815</v>
      </c>
      <c r="X196" s="68">
        <f t="shared" si="75"/>
        <v>-63.950000000011642</v>
      </c>
      <c r="Y196" s="68">
        <f t="shared" si="75"/>
        <v>-3.9999999999992042E-2</v>
      </c>
      <c r="Z196" s="68">
        <f t="shared" si="75"/>
        <v>-21.870000000000005</v>
      </c>
      <c r="AA196" s="68">
        <f t="shared" si="75"/>
        <v>0</v>
      </c>
      <c r="AB196" s="68">
        <f t="shared" si="75"/>
        <v>0</v>
      </c>
      <c r="AC196" s="68">
        <f t="shared" si="75"/>
        <v>0</v>
      </c>
      <c r="AD196" s="68">
        <f t="shared" si="75"/>
        <v>-1129.0500000000029</v>
      </c>
      <c r="AE196" s="68">
        <f t="shared" si="75"/>
        <v>-107.17999999999302</v>
      </c>
      <c r="AF196" s="68">
        <f t="shared" si="75"/>
        <v>-74.80000000000291</v>
      </c>
      <c r="AG196" s="68">
        <f>AG194-AG195</f>
        <v>-388.42999999999302</v>
      </c>
      <c r="AH196" s="68">
        <f>AH194-AH195</f>
        <v>-286.13000000000466</v>
      </c>
      <c r="AI196" s="259">
        <f>AI194-AI195</f>
        <v>-246.56000000001222</v>
      </c>
      <c r="AJ196" s="327"/>
      <c r="AK196" s="37">
        <f>SUM(C196:AI196)</f>
        <v>-3829.8500000000304</v>
      </c>
    </row>
    <row r="197" spans="2:37" s="1" customFormat="1" x14ac:dyDescent="0.25">
      <c r="B197" s="115"/>
      <c r="C197" s="63" t="s">
        <v>56</v>
      </c>
      <c r="D197" s="114"/>
      <c r="E197" s="49" t="s">
        <v>16</v>
      </c>
      <c r="F197" s="68">
        <v>0</v>
      </c>
      <c r="G197" s="68">
        <v>0</v>
      </c>
      <c r="H197" s="68">
        <v>0</v>
      </c>
      <c r="I197" s="68">
        <v>0</v>
      </c>
      <c r="J197" s="68">
        <v>0</v>
      </c>
      <c r="K197" s="68">
        <v>0</v>
      </c>
      <c r="L197" s="68">
        <v>0</v>
      </c>
      <c r="M197" s="68">
        <v>0</v>
      </c>
      <c r="N197" s="68">
        <v>0</v>
      </c>
      <c r="O197" s="68">
        <v>0</v>
      </c>
      <c r="P197" s="68">
        <v>0</v>
      </c>
      <c r="Q197" s="68">
        <v>0</v>
      </c>
      <c r="R197" s="68">
        <v>0</v>
      </c>
      <c r="S197" s="68">
        <v>0</v>
      </c>
      <c r="T197" s="68">
        <v>0</v>
      </c>
      <c r="U197" s="68">
        <v>0</v>
      </c>
      <c r="V197" s="68">
        <v>0</v>
      </c>
      <c r="W197" s="68">
        <v>0</v>
      </c>
      <c r="X197" s="68">
        <v>0</v>
      </c>
      <c r="Y197" s="68">
        <v>0</v>
      </c>
      <c r="Z197" s="68">
        <v>0</v>
      </c>
      <c r="AA197" s="68">
        <v>0</v>
      </c>
      <c r="AB197" s="68">
        <v>0</v>
      </c>
      <c r="AC197" s="68">
        <v>0</v>
      </c>
      <c r="AD197" s="68">
        <v>0</v>
      </c>
      <c r="AE197" s="68">
        <v>0</v>
      </c>
      <c r="AF197" s="68">
        <v>0</v>
      </c>
      <c r="AG197" s="68">
        <v>1</v>
      </c>
      <c r="AH197" s="68">
        <v>2</v>
      </c>
      <c r="AI197" s="259">
        <v>3</v>
      </c>
      <c r="AJ197" s="69"/>
      <c r="AK197" s="32">
        <f>SUM(C197:AI197)</f>
        <v>6</v>
      </c>
    </row>
    <row r="198" spans="2:37" s="1" customFormat="1" x14ac:dyDescent="0.25">
      <c r="B198" s="115"/>
      <c r="C198" s="60" t="s">
        <v>33</v>
      </c>
      <c r="D198" s="114"/>
      <c r="E198" s="66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366"/>
      <c r="AH198" s="366"/>
      <c r="AI198" s="259"/>
      <c r="AJ198" s="69"/>
      <c r="AK198" s="32" t="s">
        <v>33</v>
      </c>
    </row>
    <row r="199" spans="2:37" s="1" customFormat="1" x14ac:dyDescent="0.25">
      <c r="B199" s="115"/>
      <c r="C199" s="60" t="s">
        <v>116</v>
      </c>
      <c r="D199" s="114"/>
      <c r="E199" s="66" t="s">
        <v>36</v>
      </c>
      <c r="F199" s="10">
        <v>6678</v>
      </c>
      <c r="G199" s="10">
        <v>11555</v>
      </c>
      <c r="H199" s="10">
        <v>7272</v>
      </c>
      <c r="I199" s="10">
        <v>10550</v>
      </c>
      <c r="J199" s="10">
        <v>17</v>
      </c>
      <c r="K199" s="10">
        <v>10947</v>
      </c>
      <c r="L199" s="10">
        <v>3765</v>
      </c>
      <c r="M199" s="10">
        <v>3912</v>
      </c>
      <c r="N199" s="10">
        <v>3920</v>
      </c>
      <c r="O199" s="10">
        <v>10825</v>
      </c>
      <c r="P199" s="10">
        <v>13538</v>
      </c>
      <c r="Q199" s="10">
        <v>18677</v>
      </c>
      <c r="R199" s="10">
        <v>7863</v>
      </c>
      <c r="S199" s="10">
        <v>16029</v>
      </c>
      <c r="T199" s="10">
        <v>13116</v>
      </c>
      <c r="U199" s="10">
        <v>11902</v>
      </c>
      <c r="V199" s="10">
        <v>11769</v>
      </c>
      <c r="W199" s="10">
        <v>11754</v>
      </c>
      <c r="X199" s="10">
        <v>14608</v>
      </c>
      <c r="Y199" s="10">
        <v>16</v>
      </c>
      <c r="Z199" s="10">
        <v>90</v>
      </c>
      <c r="AA199" s="10"/>
      <c r="AB199" s="10"/>
      <c r="AC199" s="10"/>
      <c r="AD199" s="10">
        <v>10265</v>
      </c>
      <c r="AE199" s="10">
        <v>7063</v>
      </c>
      <c r="AF199" s="10">
        <v>6731</v>
      </c>
      <c r="AG199" s="367">
        <v>6575</v>
      </c>
      <c r="AH199" s="367">
        <v>10184</v>
      </c>
      <c r="AI199" s="260">
        <v>11370</v>
      </c>
      <c r="AJ199" s="69"/>
      <c r="AK199" s="35">
        <f>SUM(E199:AI199)</f>
        <v>240991</v>
      </c>
    </row>
    <row r="200" spans="2:37" s="1" customFormat="1" x14ac:dyDescent="0.25">
      <c r="B200" s="115"/>
      <c r="C200" s="60" t="s">
        <v>32</v>
      </c>
      <c r="D200" s="114"/>
      <c r="E200" s="66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366"/>
      <c r="AH200" s="366"/>
      <c r="AI200" s="259"/>
      <c r="AJ200" s="69"/>
      <c r="AK200" s="32" t="s">
        <v>32</v>
      </c>
    </row>
    <row r="201" spans="2:37" s="1" customFormat="1" x14ac:dyDescent="0.25">
      <c r="B201" s="115"/>
      <c r="C201" s="60" t="s">
        <v>116</v>
      </c>
      <c r="D201" s="114"/>
      <c r="E201" s="66" t="s">
        <v>32</v>
      </c>
      <c r="F201" s="10">
        <f>F199*12</f>
        <v>80136</v>
      </c>
      <c r="G201" s="10">
        <f t="shared" ref="G201:AF201" si="76">G199*12</f>
        <v>138660</v>
      </c>
      <c r="H201" s="10">
        <f t="shared" si="76"/>
        <v>87264</v>
      </c>
      <c r="I201" s="10">
        <f t="shared" si="76"/>
        <v>126600</v>
      </c>
      <c r="J201" s="10">
        <f t="shared" si="76"/>
        <v>204</v>
      </c>
      <c r="K201" s="10">
        <f t="shared" si="76"/>
        <v>131364</v>
      </c>
      <c r="L201" s="10">
        <f t="shared" si="76"/>
        <v>45180</v>
      </c>
      <c r="M201" s="10">
        <f t="shared" si="76"/>
        <v>46944</v>
      </c>
      <c r="N201" s="10">
        <f t="shared" si="76"/>
        <v>47040</v>
      </c>
      <c r="O201" s="10">
        <f t="shared" si="76"/>
        <v>129900</v>
      </c>
      <c r="P201" s="10">
        <f t="shared" si="76"/>
        <v>162456</v>
      </c>
      <c r="Q201" s="10">
        <f t="shared" si="76"/>
        <v>224124</v>
      </c>
      <c r="R201" s="10">
        <f t="shared" si="76"/>
        <v>94356</v>
      </c>
      <c r="S201" s="10">
        <f t="shared" si="76"/>
        <v>192348</v>
      </c>
      <c r="T201" s="10">
        <f t="shared" si="76"/>
        <v>157392</v>
      </c>
      <c r="U201" s="10">
        <f t="shared" si="76"/>
        <v>142824</v>
      </c>
      <c r="V201" s="10">
        <f t="shared" si="76"/>
        <v>141228</v>
      </c>
      <c r="W201" s="10">
        <f t="shared" si="76"/>
        <v>141048</v>
      </c>
      <c r="X201" s="10">
        <f t="shared" si="76"/>
        <v>175296</v>
      </c>
      <c r="Y201" s="10">
        <f t="shared" si="76"/>
        <v>192</v>
      </c>
      <c r="Z201" s="10">
        <f t="shared" si="76"/>
        <v>1080</v>
      </c>
      <c r="AA201" s="10">
        <f t="shared" si="76"/>
        <v>0</v>
      </c>
      <c r="AB201" s="10">
        <f t="shared" si="76"/>
        <v>0</v>
      </c>
      <c r="AC201" s="10">
        <f t="shared" si="76"/>
        <v>0</v>
      </c>
      <c r="AD201" s="10">
        <f t="shared" si="76"/>
        <v>123180</v>
      </c>
      <c r="AE201" s="10">
        <f t="shared" si="76"/>
        <v>84756</v>
      </c>
      <c r="AF201" s="10">
        <f t="shared" si="76"/>
        <v>80772</v>
      </c>
      <c r="AG201" s="10">
        <f>AG199*12</f>
        <v>78900</v>
      </c>
      <c r="AH201" s="10">
        <f>AH199*12</f>
        <v>122208</v>
      </c>
      <c r="AI201" s="260">
        <f>AI199*12</f>
        <v>136440</v>
      </c>
      <c r="AJ201" s="328"/>
      <c r="AK201" s="17">
        <f>AK199*24</f>
        <v>5783784</v>
      </c>
    </row>
    <row r="202" spans="2:37" s="1" customFormat="1" x14ac:dyDescent="0.25">
      <c r="B202" s="115"/>
      <c r="C202" s="60" t="s">
        <v>41</v>
      </c>
      <c r="D202" s="114"/>
      <c r="E202" s="66" t="s">
        <v>40</v>
      </c>
      <c r="F202" s="10">
        <f>F199*45/1700</f>
        <v>176.77058823529413</v>
      </c>
      <c r="G202" s="10">
        <f t="shared" ref="G202:AF202" si="77">G199*45/1700</f>
        <v>305.86764705882354</v>
      </c>
      <c r="H202" s="10">
        <f t="shared" si="77"/>
        <v>192.49411764705883</v>
      </c>
      <c r="I202" s="10">
        <f t="shared" si="77"/>
        <v>279.26470588235293</v>
      </c>
      <c r="J202" s="10">
        <f t="shared" si="77"/>
        <v>0.45</v>
      </c>
      <c r="K202" s="10">
        <f t="shared" si="77"/>
        <v>289.77352941176468</v>
      </c>
      <c r="L202" s="10">
        <f t="shared" si="77"/>
        <v>99.661764705882348</v>
      </c>
      <c r="M202" s="10">
        <f t="shared" si="77"/>
        <v>103.55294117647058</v>
      </c>
      <c r="N202" s="10">
        <f t="shared" si="77"/>
        <v>103.76470588235294</v>
      </c>
      <c r="O202" s="10">
        <f t="shared" si="77"/>
        <v>286.54411764705884</v>
      </c>
      <c r="P202" s="10">
        <f t="shared" si="77"/>
        <v>358.35882352941178</v>
      </c>
      <c r="Q202" s="10">
        <f t="shared" si="77"/>
        <v>494.39117647058822</v>
      </c>
      <c r="R202" s="10">
        <f t="shared" si="77"/>
        <v>208.13823529411764</v>
      </c>
      <c r="S202" s="10">
        <f t="shared" si="77"/>
        <v>424.29705882352943</v>
      </c>
      <c r="T202" s="10">
        <f t="shared" si="77"/>
        <v>347.18823529411765</v>
      </c>
      <c r="U202" s="10">
        <f t="shared" si="77"/>
        <v>315.0529411764706</v>
      </c>
      <c r="V202" s="10">
        <f t="shared" si="77"/>
        <v>311.5323529411765</v>
      </c>
      <c r="W202" s="10">
        <f t="shared" si="77"/>
        <v>311.13529411764705</v>
      </c>
      <c r="X202" s="10">
        <f t="shared" si="77"/>
        <v>386.68235294117648</v>
      </c>
      <c r="Y202" s="10">
        <f t="shared" si="77"/>
        <v>0.42352941176470588</v>
      </c>
      <c r="Z202" s="10">
        <f t="shared" si="77"/>
        <v>2.3823529411764706</v>
      </c>
      <c r="AA202" s="10">
        <f t="shared" si="77"/>
        <v>0</v>
      </c>
      <c r="AB202" s="10">
        <f t="shared" si="77"/>
        <v>0</v>
      </c>
      <c r="AC202" s="10">
        <f t="shared" si="77"/>
        <v>0</v>
      </c>
      <c r="AD202" s="10">
        <f t="shared" si="77"/>
        <v>271.72058823529414</v>
      </c>
      <c r="AE202" s="10">
        <f t="shared" si="77"/>
        <v>186.96176470588236</v>
      </c>
      <c r="AF202" s="10">
        <f t="shared" si="77"/>
        <v>178.17352941176472</v>
      </c>
      <c r="AG202" s="10">
        <f>AG199*45/1700</f>
        <v>174.04411764705881</v>
      </c>
      <c r="AH202" s="10">
        <f>AH199*45/1700</f>
        <v>269.57647058823528</v>
      </c>
      <c r="AI202" s="260">
        <f>AI199*45/1700</f>
        <v>300.97058823529414</v>
      </c>
      <c r="AJ202" s="328"/>
      <c r="AK202" s="17">
        <f>SUM(C202:AI202)</f>
        <v>6379.1735294117643</v>
      </c>
    </row>
    <row r="203" spans="2:37" s="1" customFormat="1" x14ac:dyDescent="0.25">
      <c r="B203" s="115"/>
      <c r="C203" s="60" t="s">
        <v>39</v>
      </c>
      <c r="D203" s="114"/>
      <c r="E203" s="66" t="s">
        <v>38</v>
      </c>
      <c r="F203" s="10">
        <f>SUM(F199)/500</f>
        <v>13.356</v>
      </c>
      <c r="G203" s="10">
        <f t="shared" ref="G203:AF203" si="78">SUM(G199)/500</f>
        <v>23.11</v>
      </c>
      <c r="H203" s="10">
        <f t="shared" si="78"/>
        <v>14.544</v>
      </c>
      <c r="I203" s="10">
        <f t="shared" si="78"/>
        <v>21.1</v>
      </c>
      <c r="J203" s="10">
        <f t="shared" si="78"/>
        <v>3.4000000000000002E-2</v>
      </c>
      <c r="K203" s="10">
        <f t="shared" si="78"/>
        <v>21.893999999999998</v>
      </c>
      <c r="L203" s="10">
        <f t="shared" si="78"/>
        <v>7.53</v>
      </c>
      <c r="M203" s="10">
        <f t="shared" si="78"/>
        <v>7.8239999999999998</v>
      </c>
      <c r="N203" s="10">
        <f t="shared" si="78"/>
        <v>7.84</v>
      </c>
      <c r="O203" s="10">
        <f t="shared" si="78"/>
        <v>21.65</v>
      </c>
      <c r="P203" s="10">
        <f t="shared" si="78"/>
        <v>27.076000000000001</v>
      </c>
      <c r="Q203" s="10">
        <f t="shared" si="78"/>
        <v>37.353999999999999</v>
      </c>
      <c r="R203" s="10">
        <f t="shared" si="78"/>
        <v>15.726000000000001</v>
      </c>
      <c r="S203" s="10">
        <f t="shared" si="78"/>
        <v>32.058</v>
      </c>
      <c r="T203" s="10">
        <f t="shared" si="78"/>
        <v>26.231999999999999</v>
      </c>
      <c r="U203" s="10">
        <f t="shared" si="78"/>
        <v>23.803999999999998</v>
      </c>
      <c r="V203" s="10">
        <f t="shared" si="78"/>
        <v>23.538</v>
      </c>
      <c r="W203" s="10">
        <f t="shared" si="78"/>
        <v>23.507999999999999</v>
      </c>
      <c r="X203" s="10">
        <f t="shared" si="78"/>
        <v>29.216000000000001</v>
      </c>
      <c r="Y203" s="10">
        <f t="shared" si="78"/>
        <v>3.2000000000000001E-2</v>
      </c>
      <c r="Z203" s="10">
        <f t="shared" si="78"/>
        <v>0.18</v>
      </c>
      <c r="AA203" s="10">
        <f t="shared" si="78"/>
        <v>0</v>
      </c>
      <c r="AB203" s="10">
        <f t="shared" si="78"/>
        <v>0</v>
      </c>
      <c r="AC203" s="10">
        <f t="shared" si="78"/>
        <v>0</v>
      </c>
      <c r="AD203" s="10">
        <f t="shared" si="78"/>
        <v>20.53</v>
      </c>
      <c r="AE203" s="10">
        <f t="shared" si="78"/>
        <v>14.125999999999999</v>
      </c>
      <c r="AF203" s="10">
        <f t="shared" si="78"/>
        <v>13.462</v>
      </c>
      <c r="AG203" s="10">
        <f>SUM(AG199)/500</f>
        <v>13.15</v>
      </c>
      <c r="AH203" s="10">
        <f>SUM(AH199)/500</f>
        <v>20.367999999999999</v>
      </c>
      <c r="AI203" s="401">
        <f>SUM(AI199)/500</f>
        <v>22.74</v>
      </c>
      <c r="AJ203" s="328"/>
      <c r="AK203" s="79">
        <f>SUM(C203:AI203)</f>
        <v>481.98199999999991</v>
      </c>
    </row>
    <row r="204" spans="2:37" s="1" customFormat="1" x14ac:dyDescent="0.25">
      <c r="B204" s="115"/>
      <c r="C204" s="59" t="s">
        <v>37</v>
      </c>
      <c r="D204" s="172"/>
      <c r="E204" s="175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373"/>
      <c r="AH204" s="373"/>
      <c r="AI204" s="261"/>
      <c r="AJ204" s="332"/>
      <c r="AK204" s="174" t="s">
        <v>34</v>
      </c>
    </row>
    <row r="205" spans="2:37" s="1" customFormat="1" x14ac:dyDescent="0.25">
      <c r="B205" s="115"/>
      <c r="C205" s="60" t="s">
        <v>33</v>
      </c>
      <c r="D205" s="114"/>
      <c r="E205" s="66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359"/>
      <c r="AH205" s="359"/>
      <c r="AI205" s="233"/>
      <c r="AJ205" s="69"/>
      <c r="AK205" s="32"/>
    </row>
    <row r="206" spans="2:37" s="1" customFormat="1" x14ac:dyDescent="0.25">
      <c r="B206" s="115"/>
      <c r="C206" s="60" t="s">
        <v>116</v>
      </c>
      <c r="D206" s="114"/>
      <c r="E206" s="66" t="s">
        <v>36</v>
      </c>
      <c r="F206" s="107">
        <v>5</v>
      </c>
      <c r="G206" s="107">
        <v>4</v>
      </c>
      <c r="H206" s="107">
        <v>9</v>
      </c>
      <c r="I206" s="107">
        <v>6</v>
      </c>
      <c r="J206" s="107"/>
      <c r="K206" s="107">
        <v>4</v>
      </c>
      <c r="L206" s="107"/>
      <c r="M206" s="107"/>
      <c r="N206" s="107"/>
      <c r="O206" s="107">
        <v>2</v>
      </c>
      <c r="P206" s="107">
        <v>10</v>
      </c>
      <c r="Q206" s="107">
        <v>25</v>
      </c>
      <c r="R206" s="107">
        <v>10</v>
      </c>
      <c r="S206" s="107">
        <v>6</v>
      </c>
      <c r="T206" s="107">
        <v>2</v>
      </c>
      <c r="U206" s="107">
        <v>22</v>
      </c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351"/>
      <c r="AH206" s="351"/>
      <c r="AI206" s="217"/>
      <c r="AJ206" s="69"/>
      <c r="AK206" s="35">
        <f>SUM(C206:AI206)</f>
        <v>105</v>
      </c>
    </row>
    <row r="207" spans="2:37" s="1" customFormat="1" x14ac:dyDescent="0.25">
      <c r="B207" s="115"/>
      <c r="C207" s="60" t="s">
        <v>32</v>
      </c>
      <c r="D207" s="114"/>
      <c r="E207" s="66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359"/>
      <c r="AH207" s="359"/>
      <c r="AI207" s="233"/>
      <c r="AJ207" s="69"/>
      <c r="AK207" s="32"/>
    </row>
    <row r="208" spans="2:37" s="1" customFormat="1" x14ac:dyDescent="0.25">
      <c r="B208" s="115"/>
      <c r="C208" s="60" t="s">
        <v>116</v>
      </c>
      <c r="D208" s="114"/>
      <c r="E208" s="66" t="s">
        <v>32</v>
      </c>
      <c r="F208" s="107">
        <f>F206*12</f>
        <v>60</v>
      </c>
      <c r="G208" s="107">
        <f>G206*12</f>
        <v>48</v>
      </c>
      <c r="H208" s="107">
        <f>H206*12</f>
        <v>108</v>
      </c>
      <c r="I208" s="107"/>
      <c r="J208" s="107">
        <f>J206*12</f>
        <v>0</v>
      </c>
      <c r="K208" s="107"/>
      <c r="L208" s="107"/>
      <c r="M208" s="107"/>
      <c r="N208" s="107">
        <f t="shared" ref="N208:T208" si="79">N206*12</f>
        <v>0</v>
      </c>
      <c r="O208" s="107">
        <f t="shared" si="79"/>
        <v>24</v>
      </c>
      <c r="P208" s="107">
        <f t="shared" si="79"/>
        <v>120</v>
      </c>
      <c r="Q208" s="107">
        <f t="shared" si="79"/>
        <v>300</v>
      </c>
      <c r="R208" s="107">
        <f t="shared" si="79"/>
        <v>120</v>
      </c>
      <c r="S208" s="107">
        <f t="shared" si="79"/>
        <v>72</v>
      </c>
      <c r="T208" s="107">
        <f t="shared" si="79"/>
        <v>24</v>
      </c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>
        <f>AF206*12</f>
        <v>0</v>
      </c>
      <c r="AG208" s="351"/>
      <c r="AH208" s="351"/>
      <c r="AI208" s="217"/>
      <c r="AJ208" s="69"/>
      <c r="AK208" s="35">
        <f>SUM(C208:AI208)</f>
        <v>876</v>
      </c>
    </row>
    <row r="209" spans="2:113 15079:15471" s="1" customFormat="1" x14ac:dyDescent="0.25">
      <c r="B209" s="115"/>
      <c r="C209" s="82" t="s">
        <v>35</v>
      </c>
      <c r="D209" s="315"/>
      <c r="E209" s="316"/>
      <c r="F209" s="317"/>
      <c r="G209" s="317"/>
      <c r="H209" s="317"/>
      <c r="I209" s="317"/>
      <c r="J209" s="317"/>
      <c r="K209" s="317"/>
      <c r="L209" s="317"/>
      <c r="M209" s="317"/>
      <c r="N209" s="317"/>
      <c r="O209" s="317"/>
      <c r="P209" s="317"/>
      <c r="Q209" s="317"/>
      <c r="R209" s="317"/>
      <c r="S209" s="317"/>
      <c r="T209" s="317"/>
      <c r="U209" s="317"/>
      <c r="V209" s="317"/>
      <c r="W209" s="317"/>
      <c r="X209" s="317"/>
      <c r="Y209" s="317"/>
      <c r="Z209" s="317"/>
      <c r="AA209" s="317"/>
      <c r="AB209" s="317"/>
      <c r="AC209" s="317"/>
      <c r="AD209" s="317"/>
      <c r="AE209" s="317"/>
      <c r="AF209" s="317"/>
      <c r="AG209" s="374"/>
      <c r="AH209" s="374"/>
      <c r="AI209" s="318"/>
      <c r="AJ209" s="69"/>
      <c r="AK209" s="34" t="s">
        <v>34</v>
      </c>
    </row>
    <row r="210" spans="2:113 15079:15471" s="1" customFormat="1" x14ac:dyDescent="0.25">
      <c r="B210" s="115"/>
      <c r="C210" s="164" t="s">
        <v>33</v>
      </c>
      <c r="D210" s="114"/>
      <c r="E210" s="66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351"/>
      <c r="AH210" s="351"/>
      <c r="AI210" s="217"/>
      <c r="AJ210" s="69"/>
      <c r="AK210" s="35"/>
    </row>
    <row r="211" spans="2:113 15079:15471" s="1" customFormat="1" x14ac:dyDescent="0.25">
      <c r="B211" s="115"/>
      <c r="C211" s="60" t="s">
        <v>116</v>
      </c>
      <c r="D211" s="114">
        <v>0.3</v>
      </c>
      <c r="E211" s="160" t="s">
        <v>29</v>
      </c>
      <c r="F211" s="107">
        <f>F206/F199*100</f>
        <v>7.4872716382150345E-2</v>
      </c>
      <c r="G211" s="107">
        <f t="shared" ref="G211:AE211" si="80">G206/G199*100</f>
        <v>3.461704889658157E-2</v>
      </c>
      <c r="H211" s="107">
        <f t="shared" si="80"/>
        <v>0.12376237623762376</v>
      </c>
      <c r="I211" s="107">
        <f t="shared" si="80"/>
        <v>5.6872037914691947E-2</v>
      </c>
      <c r="J211" s="107">
        <f t="shared" si="80"/>
        <v>0</v>
      </c>
      <c r="K211" s="107">
        <f t="shared" si="80"/>
        <v>3.6539691239609026E-2</v>
      </c>
      <c r="L211" s="107">
        <f t="shared" si="80"/>
        <v>0</v>
      </c>
      <c r="M211" s="107">
        <f t="shared" si="80"/>
        <v>0</v>
      </c>
      <c r="N211" s="107">
        <f t="shared" si="80"/>
        <v>0</v>
      </c>
      <c r="O211" s="107">
        <f t="shared" si="80"/>
        <v>1.8475750577367205E-2</v>
      </c>
      <c r="P211" s="107">
        <f t="shared" si="80"/>
        <v>7.3866154527995276E-2</v>
      </c>
      <c r="Q211" s="107">
        <f t="shared" si="80"/>
        <v>0.13385447341650158</v>
      </c>
      <c r="R211" s="107">
        <f t="shared" si="80"/>
        <v>0.12717792191275595</v>
      </c>
      <c r="S211" s="107">
        <f t="shared" si="80"/>
        <v>3.743215422047539E-2</v>
      </c>
      <c r="T211" s="107">
        <f t="shared" si="80"/>
        <v>1.5248551387618176E-2</v>
      </c>
      <c r="U211" s="107">
        <f t="shared" si="80"/>
        <v>0.18484288354898337</v>
      </c>
      <c r="V211" s="107">
        <f t="shared" si="80"/>
        <v>0</v>
      </c>
      <c r="W211" s="107">
        <f t="shared" si="80"/>
        <v>0</v>
      </c>
      <c r="X211" s="107">
        <f t="shared" si="80"/>
        <v>0</v>
      </c>
      <c r="Y211" s="107">
        <f t="shared" si="80"/>
        <v>0</v>
      </c>
      <c r="Z211" s="107">
        <f t="shared" si="80"/>
        <v>0</v>
      </c>
      <c r="AA211" s="107" t="e">
        <f t="shared" si="80"/>
        <v>#DIV/0!</v>
      </c>
      <c r="AB211" s="107" t="e">
        <f t="shared" si="80"/>
        <v>#DIV/0!</v>
      </c>
      <c r="AC211" s="107" t="e">
        <f t="shared" si="80"/>
        <v>#DIV/0!</v>
      </c>
      <c r="AD211" s="107">
        <f t="shared" si="80"/>
        <v>0</v>
      </c>
      <c r="AE211" s="107">
        <f t="shared" si="80"/>
        <v>0</v>
      </c>
      <c r="AF211" s="107">
        <f>AF206/AF199*100</f>
        <v>0</v>
      </c>
      <c r="AG211" s="107">
        <f>AG206/AG199*100</f>
        <v>0</v>
      </c>
      <c r="AH211" s="107">
        <f>AH206/AH199*100</f>
        <v>0</v>
      </c>
      <c r="AI211" s="217">
        <f>AI206/AI199*100</f>
        <v>0</v>
      </c>
      <c r="AJ211" s="69"/>
      <c r="AK211" s="319">
        <f>AK206/AK199*100</f>
        <v>4.3570091829155444E-2</v>
      </c>
    </row>
    <row r="212" spans="2:113 15079:15471" s="1" customFormat="1" x14ac:dyDescent="0.25">
      <c r="B212" s="115"/>
      <c r="C212" s="164" t="s">
        <v>32</v>
      </c>
      <c r="D212" s="114"/>
      <c r="E212" s="66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351"/>
      <c r="AH212" s="351"/>
      <c r="AI212" s="217"/>
      <c r="AJ212" s="69"/>
      <c r="AK212" s="35"/>
    </row>
    <row r="213" spans="2:113 15079:15471" s="1" customFormat="1" x14ac:dyDescent="0.25">
      <c r="B213" s="115"/>
      <c r="C213" s="60" t="s">
        <v>116</v>
      </c>
      <c r="D213" s="114">
        <v>0.5</v>
      </c>
      <c r="E213" s="160" t="s">
        <v>29</v>
      </c>
      <c r="F213" s="107">
        <f>F208/F199*100</f>
        <v>0.89847259658580414</v>
      </c>
      <c r="G213" s="107">
        <f t="shared" ref="G213:AI213" si="81">G208/G199*100</f>
        <v>0.41540458675897879</v>
      </c>
      <c r="H213" s="107">
        <f t="shared" si="81"/>
        <v>1.4851485148514851</v>
      </c>
      <c r="I213" s="107">
        <f t="shared" si="81"/>
        <v>0</v>
      </c>
      <c r="J213" s="107">
        <f t="shared" si="81"/>
        <v>0</v>
      </c>
      <c r="K213" s="107">
        <f t="shared" si="81"/>
        <v>0</v>
      </c>
      <c r="L213" s="107">
        <f t="shared" si="81"/>
        <v>0</v>
      </c>
      <c r="M213" s="107">
        <f t="shared" si="81"/>
        <v>0</v>
      </c>
      <c r="N213" s="107">
        <f t="shared" si="81"/>
        <v>0</v>
      </c>
      <c r="O213" s="107">
        <f t="shared" si="81"/>
        <v>0.22170900692840648</v>
      </c>
      <c r="P213" s="107">
        <f t="shared" si="81"/>
        <v>0.8863938543359432</v>
      </c>
      <c r="Q213" s="107">
        <f t="shared" si="81"/>
        <v>1.606253680998019</v>
      </c>
      <c r="R213" s="107">
        <f t="shared" si="81"/>
        <v>1.5261350629530714</v>
      </c>
      <c r="S213" s="107">
        <f t="shared" si="81"/>
        <v>0.44918585064570471</v>
      </c>
      <c r="T213" s="107">
        <f t="shared" si="81"/>
        <v>0.18298261665141813</v>
      </c>
      <c r="U213" s="107">
        <f t="shared" si="81"/>
        <v>0</v>
      </c>
      <c r="V213" s="107">
        <f t="shared" si="81"/>
        <v>0</v>
      </c>
      <c r="W213" s="107">
        <f t="shared" si="81"/>
        <v>0</v>
      </c>
      <c r="X213" s="107">
        <f t="shared" si="81"/>
        <v>0</v>
      </c>
      <c r="Y213" s="107">
        <f t="shared" si="81"/>
        <v>0</v>
      </c>
      <c r="Z213" s="107">
        <f t="shared" si="81"/>
        <v>0</v>
      </c>
      <c r="AA213" s="107" t="e">
        <f t="shared" si="81"/>
        <v>#DIV/0!</v>
      </c>
      <c r="AB213" s="107" t="e">
        <f t="shared" si="81"/>
        <v>#DIV/0!</v>
      </c>
      <c r="AC213" s="107" t="e">
        <f t="shared" si="81"/>
        <v>#DIV/0!</v>
      </c>
      <c r="AD213" s="107">
        <f t="shared" si="81"/>
        <v>0</v>
      </c>
      <c r="AE213" s="107">
        <f t="shared" si="81"/>
        <v>0</v>
      </c>
      <c r="AF213" s="107">
        <f t="shared" si="81"/>
        <v>0</v>
      </c>
      <c r="AG213" s="107">
        <f t="shared" si="81"/>
        <v>0</v>
      </c>
      <c r="AH213" s="107">
        <f t="shared" si="81"/>
        <v>0</v>
      </c>
      <c r="AI213" s="217">
        <f t="shared" si="81"/>
        <v>0</v>
      </c>
      <c r="AJ213" s="69"/>
      <c r="AK213" s="32">
        <f>AK206/AK196*100</f>
        <v>-2.7416217345326626</v>
      </c>
    </row>
    <row r="214" spans="2:113 15079:15471" s="1" customFormat="1" x14ac:dyDescent="0.25">
      <c r="B214" s="115"/>
      <c r="C214" s="262" t="s">
        <v>122</v>
      </c>
      <c r="D214" s="263"/>
      <c r="E214" s="264" t="s">
        <v>16</v>
      </c>
      <c r="F214" s="265">
        <f>F193</f>
        <v>67187</v>
      </c>
      <c r="G214" s="265">
        <f>G193</f>
        <v>110428</v>
      </c>
      <c r="H214" s="265">
        <f>H193</f>
        <v>92248</v>
      </c>
      <c r="I214" s="265">
        <f>I193</f>
        <v>90290</v>
      </c>
      <c r="J214" s="265">
        <f>J193</f>
        <v>8725</v>
      </c>
      <c r="K214" s="265">
        <f t="shared" ref="K214:AB214" si="82">K193</f>
        <v>128922</v>
      </c>
      <c r="L214" s="265">
        <f t="shared" si="82"/>
        <v>31509</v>
      </c>
      <c r="M214" s="265">
        <f t="shared" si="82"/>
        <v>33123</v>
      </c>
      <c r="N214" s="265">
        <f t="shared" si="82"/>
        <v>50134</v>
      </c>
      <c r="O214" s="265">
        <f t="shared" si="82"/>
        <v>117297</v>
      </c>
      <c r="P214" s="265">
        <f t="shared" si="82"/>
        <v>145914</v>
      </c>
      <c r="Q214" s="265">
        <f t="shared" si="82"/>
        <v>204286</v>
      </c>
      <c r="R214" s="265">
        <f t="shared" si="82"/>
        <v>95637</v>
      </c>
      <c r="S214" s="265">
        <f t="shared" si="82"/>
        <v>149284</v>
      </c>
      <c r="T214" s="265">
        <f t="shared" si="82"/>
        <v>141362</v>
      </c>
      <c r="U214" s="265">
        <f t="shared" si="82"/>
        <v>126696</v>
      </c>
      <c r="V214" s="265">
        <f t="shared" si="82"/>
        <v>154346</v>
      </c>
      <c r="W214" s="265">
        <f t="shared" si="82"/>
        <v>300836</v>
      </c>
      <c r="X214" s="265">
        <f t="shared" si="82"/>
        <v>0</v>
      </c>
      <c r="Y214" s="265">
        <f t="shared" si="82"/>
        <v>0</v>
      </c>
      <c r="Z214" s="265">
        <f t="shared" si="82"/>
        <v>0</v>
      </c>
      <c r="AA214" s="265">
        <f t="shared" si="82"/>
        <v>0</v>
      </c>
      <c r="AB214" s="265">
        <f t="shared" si="82"/>
        <v>0</v>
      </c>
      <c r="AC214" s="265">
        <f>AC193</f>
        <v>0</v>
      </c>
      <c r="AD214" s="265">
        <f t="shared" ref="AD214:AI214" si="83">AD193</f>
        <v>67243</v>
      </c>
      <c r="AE214" s="265">
        <f t="shared" si="83"/>
        <v>146811</v>
      </c>
      <c r="AF214" s="265">
        <f t="shared" si="83"/>
        <v>0</v>
      </c>
      <c r="AG214" s="265">
        <f t="shared" si="83"/>
        <v>88954</v>
      </c>
      <c r="AH214" s="265">
        <f t="shared" si="83"/>
        <v>89471</v>
      </c>
      <c r="AI214" s="404">
        <f t="shared" si="83"/>
        <v>183232</v>
      </c>
      <c r="AJ214" s="334"/>
      <c r="AK214" s="335">
        <f>SUM(E214:AI214)</f>
        <v>2623935</v>
      </c>
    </row>
    <row r="215" spans="2:113 15079:15471" s="1" customFormat="1" x14ac:dyDescent="0.25">
      <c r="B215" s="115"/>
      <c r="C215" s="266" t="s">
        <v>146</v>
      </c>
      <c r="D215" s="267"/>
      <c r="E215" s="268" t="s">
        <v>16</v>
      </c>
      <c r="F215" s="269">
        <f>F138</f>
        <v>98282</v>
      </c>
      <c r="G215" s="269">
        <f>G138</f>
        <v>91122</v>
      </c>
      <c r="H215" s="269">
        <f>H138</f>
        <v>99930</v>
      </c>
      <c r="I215" s="269">
        <f>I138</f>
        <v>0</v>
      </c>
      <c r="J215" s="269">
        <f>J138</f>
        <v>146914</v>
      </c>
      <c r="K215" s="269">
        <f t="shared" ref="K215:AI215" si="84">K138</f>
        <v>86679</v>
      </c>
      <c r="L215" s="269">
        <f t="shared" si="84"/>
        <v>170556</v>
      </c>
      <c r="M215" s="269">
        <f t="shared" si="84"/>
        <v>89182</v>
      </c>
      <c r="N215" s="269">
        <f t="shared" si="84"/>
        <v>155220</v>
      </c>
      <c r="O215" s="269">
        <f t="shared" si="84"/>
        <v>63000</v>
      </c>
      <c r="P215" s="269">
        <f t="shared" si="84"/>
        <v>6261</v>
      </c>
      <c r="Q215" s="269">
        <f t="shared" si="84"/>
        <v>0</v>
      </c>
      <c r="R215" s="269">
        <f t="shared" si="84"/>
        <v>0</v>
      </c>
      <c r="S215" s="269">
        <f t="shared" si="84"/>
        <v>68677</v>
      </c>
      <c r="T215" s="269">
        <f t="shared" si="84"/>
        <v>3145</v>
      </c>
      <c r="U215" s="269">
        <f t="shared" si="84"/>
        <v>0</v>
      </c>
      <c r="V215" s="269">
        <f t="shared" si="84"/>
        <v>141319</v>
      </c>
      <c r="W215" s="269">
        <f t="shared" si="84"/>
        <v>53709</v>
      </c>
      <c r="X215" s="269">
        <f t="shared" si="84"/>
        <v>7769</v>
      </c>
      <c r="Y215" s="269">
        <f t="shared" si="84"/>
        <v>0</v>
      </c>
      <c r="Z215" s="269">
        <f t="shared" si="84"/>
        <v>0</v>
      </c>
      <c r="AA215" s="269">
        <f t="shared" si="84"/>
        <v>0</v>
      </c>
      <c r="AB215" s="269">
        <f t="shared" si="84"/>
        <v>0</v>
      </c>
      <c r="AC215" s="269">
        <f t="shared" si="84"/>
        <v>0</v>
      </c>
      <c r="AD215" s="269">
        <f t="shared" si="84"/>
        <v>0</v>
      </c>
      <c r="AE215" s="269">
        <f t="shared" si="84"/>
        <v>42794</v>
      </c>
      <c r="AF215" s="269">
        <f t="shared" si="84"/>
        <v>124223</v>
      </c>
      <c r="AG215" s="269">
        <f t="shared" si="84"/>
        <v>131383</v>
      </c>
      <c r="AH215" s="269">
        <f t="shared" si="84"/>
        <v>68484</v>
      </c>
      <c r="AI215" s="333">
        <f t="shared" si="84"/>
        <v>69545</v>
      </c>
      <c r="AJ215" s="334"/>
      <c r="AK215" s="308">
        <f>SUM(F215:AI215)</f>
        <v>1718194</v>
      </c>
    </row>
    <row r="216" spans="2:113 15079:15471" s="1" customFormat="1" x14ac:dyDescent="0.25">
      <c r="B216" s="115"/>
      <c r="C216" s="270" t="s">
        <v>117</v>
      </c>
      <c r="D216" s="271"/>
      <c r="E216" s="272" t="s">
        <v>16</v>
      </c>
      <c r="F216" s="273">
        <f>F83</f>
        <v>0</v>
      </c>
      <c r="G216" s="273">
        <f>G83</f>
        <v>0</v>
      </c>
      <c r="H216" s="273">
        <f>H83</f>
        <v>0</v>
      </c>
      <c r="I216" s="273">
        <f>I83</f>
        <v>94902</v>
      </c>
      <c r="J216" s="273">
        <f>J83</f>
        <v>0</v>
      </c>
      <c r="K216" s="273">
        <f t="shared" ref="K216:T216" si="85">K83</f>
        <v>0</v>
      </c>
      <c r="L216" s="273">
        <f t="shared" si="85"/>
        <v>0</v>
      </c>
      <c r="M216" s="273">
        <f t="shared" si="85"/>
        <v>0</v>
      </c>
      <c r="N216" s="273">
        <f t="shared" si="85"/>
        <v>0</v>
      </c>
      <c r="O216" s="273">
        <f t="shared" si="85"/>
        <v>0</v>
      </c>
      <c r="P216" s="273">
        <f t="shared" si="85"/>
        <v>0</v>
      </c>
      <c r="Q216" s="273">
        <f t="shared" si="85"/>
        <v>0</v>
      </c>
      <c r="R216" s="273">
        <f t="shared" si="85"/>
        <v>0</v>
      </c>
      <c r="S216" s="273">
        <f t="shared" si="85"/>
        <v>0</v>
      </c>
      <c r="T216" s="273">
        <f t="shared" si="85"/>
        <v>0</v>
      </c>
      <c r="U216" s="273">
        <f>U83</f>
        <v>90566</v>
      </c>
      <c r="V216" s="273">
        <f>V83</f>
        <v>0</v>
      </c>
      <c r="W216" s="273">
        <f>W83</f>
        <v>0</v>
      </c>
      <c r="X216" s="273">
        <f>X83</f>
        <v>0</v>
      </c>
      <c r="Y216" s="273">
        <f>Y83</f>
        <v>0</v>
      </c>
      <c r="Z216" s="273">
        <f>Z82</f>
        <v>0</v>
      </c>
      <c r="AA216" s="273">
        <f>AA83</f>
        <v>0</v>
      </c>
      <c r="AB216" s="273">
        <f>AB82</f>
        <v>0</v>
      </c>
      <c r="AC216" s="273">
        <f t="shared" ref="AC216:AI216" si="86">AC83</f>
        <v>194515</v>
      </c>
      <c r="AD216" s="273">
        <f t="shared" si="86"/>
        <v>0</v>
      </c>
      <c r="AE216" s="273">
        <f t="shared" si="86"/>
        <v>0</v>
      </c>
      <c r="AF216" s="273">
        <f t="shared" si="86"/>
        <v>0</v>
      </c>
      <c r="AG216" s="273">
        <f t="shared" si="86"/>
        <v>0</v>
      </c>
      <c r="AH216" s="273">
        <f t="shared" si="86"/>
        <v>127933</v>
      </c>
      <c r="AI216" s="336">
        <f t="shared" si="86"/>
        <v>0</v>
      </c>
      <c r="AJ216" s="334"/>
      <c r="AK216" s="337">
        <f>SUM(E216:AI216)</f>
        <v>507916</v>
      </c>
    </row>
    <row r="217" spans="2:113 15079:15471" s="1" customFormat="1" x14ac:dyDescent="0.25">
      <c r="B217" s="115"/>
      <c r="C217" s="274" t="s">
        <v>118</v>
      </c>
      <c r="D217" s="275"/>
      <c r="E217" s="276" t="s">
        <v>114</v>
      </c>
      <c r="F217" s="277">
        <f>F214+F215+F216</f>
        <v>165469</v>
      </c>
      <c r="G217" s="277">
        <f>G214+G215+G216</f>
        <v>201550</v>
      </c>
      <c r="H217" s="277">
        <f>H214+H215+H216</f>
        <v>192178</v>
      </c>
      <c r="I217" s="277">
        <f>I214+I215+I216</f>
        <v>185192</v>
      </c>
      <c r="J217" s="277">
        <f>J214+J215+J216</f>
        <v>155639</v>
      </c>
      <c r="K217" s="277">
        <f t="shared" ref="K217:AI217" si="87">K214+K215+K216</f>
        <v>215601</v>
      </c>
      <c r="L217" s="277">
        <f t="shared" si="87"/>
        <v>202065</v>
      </c>
      <c r="M217" s="277">
        <f t="shared" si="87"/>
        <v>122305</v>
      </c>
      <c r="N217" s="277">
        <f t="shared" si="87"/>
        <v>205354</v>
      </c>
      <c r="O217" s="277">
        <f t="shared" si="87"/>
        <v>180297</v>
      </c>
      <c r="P217" s="277">
        <f t="shared" si="87"/>
        <v>152175</v>
      </c>
      <c r="Q217" s="277">
        <f t="shared" si="87"/>
        <v>204286</v>
      </c>
      <c r="R217" s="277">
        <f t="shared" si="87"/>
        <v>95637</v>
      </c>
      <c r="S217" s="277">
        <f t="shared" si="87"/>
        <v>217961</v>
      </c>
      <c r="T217" s="277">
        <f t="shared" si="87"/>
        <v>144507</v>
      </c>
      <c r="U217" s="277">
        <f t="shared" si="87"/>
        <v>217262</v>
      </c>
      <c r="V217" s="277">
        <f t="shared" si="87"/>
        <v>295665</v>
      </c>
      <c r="W217" s="277">
        <f t="shared" si="87"/>
        <v>354545</v>
      </c>
      <c r="X217" s="277">
        <f t="shared" si="87"/>
        <v>7769</v>
      </c>
      <c r="Y217" s="277">
        <f t="shared" si="87"/>
        <v>0</v>
      </c>
      <c r="Z217" s="277">
        <f t="shared" si="87"/>
        <v>0</v>
      </c>
      <c r="AA217" s="277">
        <f>AA214+AA215+AA216</f>
        <v>0</v>
      </c>
      <c r="AB217" s="277">
        <f t="shared" si="87"/>
        <v>0</v>
      </c>
      <c r="AC217" s="277">
        <f t="shared" si="87"/>
        <v>194515</v>
      </c>
      <c r="AD217" s="277">
        <f t="shared" si="87"/>
        <v>67243</v>
      </c>
      <c r="AE217" s="277">
        <f t="shared" si="87"/>
        <v>189605</v>
      </c>
      <c r="AF217" s="277">
        <f t="shared" si="87"/>
        <v>124223</v>
      </c>
      <c r="AG217" s="277">
        <f t="shared" si="87"/>
        <v>220337</v>
      </c>
      <c r="AH217" s="277">
        <f t="shared" si="87"/>
        <v>285888</v>
      </c>
      <c r="AI217" s="338">
        <f t="shared" si="87"/>
        <v>252777</v>
      </c>
      <c r="AJ217" s="334"/>
      <c r="AK217" s="339">
        <f>AK214+AK215+AK216</f>
        <v>4850045</v>
      </c>
    </row>
    <row r="218" spans="2:113 15079:15471" s="1" customFormat="1" x14ac:dyDescent="0.25">
      <c r="B218" s="115"/>
      <c r="C218" s="278" t="s">
        <v>123</v>
      </c>
      <c r="D218" s="275"/>
      <c r="E218" s="279" t="s">
        <v>16</v>
      </c>
      <c r="F218" s="280">
        <f>SUM(F194+F165+F139+F111+F84)</f>
        <v>133714.28999999998</v>
      </c>
      <c r="G218" s="280">
        <f>SUM(G194+G165+G139+G111+G84)</f>
        <v>239282.64</v>
      </c>
      <c r="H218" s="280">
        <f>SUM(H194+H165+H139+H111+H84)</f>
        <v>152451.40000000002</v>
      </c>
      <c r="I218" s="280">
        <f>SUM(I194+I165+I139+I111+I84)</f>
        <v>188490.65</v>
      </c>
      <c r="J218" s="280">
        <f>SUM(J194+J165+J139+J111+J84)</f>
        <v>205343</v>
      </c>
      <c r="K218" s="280">
        <f t="shared" ref="K218:AI218" si="88">SUM(K194+K165+K139+K111+K84)</f>
        <v>194300.03999999998</v>
      </c>
      <c r="L218" s="280">
        <f t="shared" si="88"/>
        <v>178786.94</v>
      </c>
      <c r="M218" s="280">
        <f t="shared" si="88"/>
        <v>188921.12</v>
      </c>
      <c r="N218" s="280">
        <f t="shared" si="88"/>
        <v>181175.71</v>
      </c>
      <c r="O218" s="280">
        <f t="shared" si="88"/>
        <v>191037.72999999998</v>
      </c>
      <c r="P218" s="280">
        <f t="shared" si="88"/>
        <v>183090.41</v>
      </c>
      <c r="Q218" s="280">
        <f t="shared" si="88"/>
        <v>201971.73</v>
      </c>
      <c r="R218" s="280">
        <f t="shared" si="88"/>
        <v>85039.07</v>
      </c>
      <c r="S218" s="280">
        <f t="shared" si="88"/>
        <v>193013.65</v>
      </c>
      <c r="T218" s="280">
        <f t="shared" si="88"/>
        <v>179667.37999999998</v>
      </c>
      <c r="U218" s="280">
        <f>SUM(U194+U165+U139+U111+U84)</f>
        <v>204061.37</v>
      </c>
      <c r="V218" s="280">
        <f t="shared" si="88"/>
        <v>226384.43</v>
      </c>
      <c r="W218" s="280">
        <f t="shared" si="88"/>
        <v>157321.9</v>
      </c>
      <c r="X218" s="280">
        <f t="shared" si="88"/>
        <v>195657.69</v>
      </c>
      <c r="Y218" s="280">
        <f t="shared" si="88"/>
        <v>173.24</v>
      </c>
      <c r="Z218" s="280">
        <f t="shared" si="88"/>
        <v>952.83</v>
      </c>
      <c r="AA218" s="280">
        <f t="shared" si="88"/>
        <v>0</v>
      </c>
      <c r="AB218" s="280">
        <f t="shared" si="88"/>
        <v>0</v>
      </c>
      <c r="AC218" s="280">
        <f t="shared" si="88"/>
        <v>0</v>
      </c>
      <c r="AD218" s="280">
        <f t="shared" si="88"/>
        <v>176447.78999999998</v>
      </c>
      <c r="AE218" s="280">
        <f t="shared" si="88"/>
        <v>208666.62000000002</v>
      </c>
      <c r="AF218" s="280">
        <f t="shared" si="88"/>
        <v>183548.21</v>
      </c>
      <c r="AG218" s="280">
        <f t="shared" si="88"/>
        <v>200030.38</v>
      </c>
      <c r="AH218" s="280">
        <f t="shared" si="88"/>
        <v>186297.21</v>
      </c>
      <c r="AI218" s="340">
        <f t="shared" si="88"/>
        <v>200116.41999999998</v>
      </c>
      <c r="AJ218" s="341"/>
      <c r="AK218" s="342">
        <f>SUM(F218:AI218)</f>
        <v>4635943.8500000006</v>
      </c>
    </row>
    <row r="219" spans="2:113 15079:15471" s="1" customFormat="1" x14ac:dyDescent="0.25">
      <c r="B219" s="215">
        <v>8</v>
      </c>
      <c r="C219" s="134" t="s">
        <v>28</v>
      </c>
      <c r="D219" s="98"/>
      <c r="E219" s="231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349"/>
      <c r="AH219" s="349"/>
      <c r="AI219" s="214"/>
      <c r="AJ219" s="9"/>
      <c r="AK219" s="31" t="s">
        <v>27</v>
      </c>
      <c r="DI219" s="4"/>
      <c r="VGY219"/>
      <c r="VGZ219"/>
      <c r="VHA219"/>
      <c r="VHB219"/>
      <c r="VHC219"/>
      <c r="VHD219"/>
      <c r="VHE219"/>
      <c r="VHF219"/>
      <c r="VHG219"/>
      <c r="VHH219"/>
      <c r="VHI219"/>
      <c r="VHJ219"/>
      <c r="VHK219"/>
      <c r="VHL219"/>
      <c r="VHM219"/>
      <c r="VHN219"/>
      <c r="VHO219"/>
      <c r="VHP219"/>
      <c r="VHQ219"/>
      <c r="VHR219"/>
      <c r="VHS219"/>
      <c r="VHT219"/>
      <c r="VHU219"/>
      <c r="VHV219"/>
      <c r="VHW219"/>
      <c r="VHX219"/>
      <c r="VHY219"/>
      <c r="VHZ219"/>
      <c r="VIA219"/>
      <c r="VIB219"/>
      <c r="VIC219"/>
      <c r="VID219"/>
      <c r="VIE219"/>
      <c r="VIF219"/>
      <c r="VIG219"/>
      <c r="VIH219"/>
      <c r="VII219"/>
      <c r="VIJ219"/>
      <c r="VIK219"/>
      <c r="VIL219"/>
      <c r="VIM219"/>
      <c r="VIN219"/>
      <c r="VIO219"/>
      <c r="VIP219"/>
      <c r="VIQ219"/>
      <c r="VIR219"/>
      <c r="VIS219"/>
      <c r="VIT219"/>
      <c r="VIU219"/>
      <c r="VIV219"/>
      <c r="VIW219"/>
      <c r="VIX219"/>
      <c r="VIY219"/>
      <c r="VIZ219"/>
      <c r="VJA219"/>
      <c r="VJB219"/>
      <c r="VJC219"/>
      <c r="VJD219"/>
      <c r="VJE219"/>
      <c r="VJF219"/>
      <c r="VJG219"/>
      <c r="VJH219"/>
      <c r="VJI219"/>
      <c r="VJJ219"/>
      <c r="VJK219"/>
      <c r="VJL219"/>
      <c r="VJM219"/>
      <c r="VJN219"/>
      <c r="VJO219"/>
      <c r="VJP219"/>
      <c r="VJQ219"/>
      <c r="VJR219"/>
      <c r="VJS219"/>
      <c r="VJT219"/>
      <c r="VJU219"/>
      <c r="VJV219"/>
      <c r="VJW219"/>
      <c r="VJX219"/>
      <c r="VJY219"/>
      <c r="VJZ219"/>
      <c r="VKA219"/>
      <c r="VKB219"/>
      <c r="VKC219"/>
      <c r="VKD219"/>
      <c r="VKE219"/>
      <c r="VKF219"/>
      <c r="VKG219"/>
      <c r="VKH219"/>
      <c r="VKI219"/>
      <c r="VKJ219"/>
      <c r="VKK219"/>
      <c r="VKL219"/>
      <c r="VKM219"/>
      <c r="VKN219"/>
      <c r="VKO219"/>
      <c r="VKP219"/>
      <c r="VKQ219"/>
      <c r="VKR219"/>
      <c r="VKS219"/>
      <c r="VKT219"/>
      <c r="VKU219"/>
      <c r="VKV219"/>
      <c r="VKW219"/>
      <c r="VKX219"/>
      <c r="VKY219"/>
      <c r="VKZ219"/>
      <c r="VLA219"/>
      <c r="VLB219"/>
      <c r="VLC219"/>
      <c r="VLD219"/>
      <c r="VLE219"/>
      <c r="VLF219"/>
      <c r="VLG219"/>
      <c r="VLH219"/>
      <c r="VLI219"/>
      <c r="VLJ219"/>
      <c r="VLK219"/>
      <c r="VLL219"/>
      <c r="VLM219"/>
      <c r="VLN219"/>
      <c r="VLO219"/>
      <c r="VLP219"/>
      <c r="VLQ219"/>
      <c r="VLR219"/>
      <c r="VLS219"/>
      <c r="VLT219"/>
      <c r="VLU219"/>
      <c r="VLV219"/>
      <c r="VLW219"/>
      <c r="VLX219"/>
      <c r="VLY219"/>
      <c r="VLZ219"/>
      <c r="VMA219"/>
      <c r="VMB219"/>
      <c r="VMC219"/>
      <c r="VMD219"/>
      <c r="VME219"/>
      <c r="VMF219"/>
      <c r="VMG219"/>
      <c r="VMH219"/>
      <c r="VMI219"/>
      <c r="VMJ219"/>
      <c r="VMK219"/>
      <c r="VML219"/>
      <c r="VMM219"/>
      <c r="VMN219"/>
      <c r="VMO219"/>
      <c r="VMP219"/>
      <c r="VMQ219"/>
      <c r="VMR219"/>
      <c r="VMS219"/>
      <c r="VMT219"/>
      <c r="VMU219"/>
      <c r="VMV219"/>
      <c r="VMW219"/>
      <c r="VMX219"/>
      <c r="VMY219"/>
      <c r="VMZ219"/>
      <c r="VNA219"/>
      <c r="VNB219"/>
      <c r="VNC219"/>
      <c r="VND219"/>
      <c r="VNE219"/>
      <c r="VNF219"/>
      <c r="VNG219"/>
      <c r="VNH219"/>
      <c r="VNI219"/>
      <c r="VNJ219"/>
      <c r="VNK219"/>
      <c r="VNL219"/>
      <c r="VNM219"/>
      <c r="VNN219"/>
      <c r="VNO219"/>
      <c r="VNP219"/>
      <c r="VNQ219"/>
      <c r="VNR219"/>
      <c r="VNS219"/>
      <c r="VNT219"/>
      <c r="VNU219"/>
      <c r="VNV219"/>
      <c r="VNW219"/>
      <c r="VNX219"/>
      <c r="VNY219"/>
      <c r="VNZ219"/>
      <c r="VOA219"/>
      <c r="VOB219"/>
      <c r="VOC219"/>
      <c r="VOD219"/>
      <c r="VOE219"/>
      <c r="VOF219"/>
      <c r="VOG219"/>
      <c r="VOH219"/>
      <c r="VOI219"/>
      <c r="VOJ219"/>
      <c r="VOK219"/>
      <c r="VOL219"/>
      <c r="VOM219"/>
      <c r="VON219"/>
      <c r="VOO219"/>
      <c r="VOP219"/>
      <c r="VOQ219"/>
      <c r="VOR219"/>
      <c r="VOS219"/>
      <c r="VOT219"/>
      <c r="VOU219"/>
      <c r="VOV219"/>
      <c r="VOW219"/>
      <c r="VOX219"/>
      <c r="VOY219"/>
      <c r="VOZ219"/>
      <c r="VPA219"/>
      <c r="VPB219"/>
      <c r="VPC219"/>
      <c r="VPD219"/>
      <c r="VPE219"/>
      <c r="VPF219"/>
      <c r="VPG219"/>
      <c r="VPH219"/>
      <c r="VPI219"/>
      <c r="VPJ219"/>
      <c r="VPK219"/>
      <c r="VPL219"/>
      <c r="VPM219"/>
      <c r="VPN219"/>
      <c r="VPO219"/>
      <c r="VPP219"/>
      <c r="VPQ219"/>
      <c r="VPR219"/>
      <c r="VPS219"/>
      <c r="VPT219"/>
      <c r="VPU219"/>
      <c r="VPV219"/>
      <c r="VPW219"/>
      <c r="VPX219"/>
      <c r="VPY219"/>
      <c r="VPZ219"/>
      <c r="VQA219"/>
      <c r="VQB219"/>
      <c r="VQC219"/>
      <c r="VQD219"/>
      <c r="VQE219"/>
      <c r="VQF219"/>
      <c r="VQG219"/>
      <c r="VQH219"/>
      <c r="VQI219"/>
      <c r="VQJ219"/>
      <c r="VQK219"/>
      <c r="VQL219"/>
      <c r="VQM219"/>
      <c r="VQN219"/>
      <c r="VQO219"/>
      <c r="VQP219"/>
      <c r="VQQ219"/>
      <c r="VQR219"/>
      <c r="VQS219"/>
      <c r="VQT219"/>
      <c r="VQU219"/>
      <c r="VQV219"/>
      <c r="VQW219"/>
      <c r="VQX219"/>
      <c r="VQY219"/>
      <c r="VQZ219"/>
      <c r="VRA219"/>
      <c r="VRB219"/>
      <c r="VRC219"/>
      <c r="VRD219"/>
      <c r="VRE219"/>
      <c r="VRF219"/>
      <c r="VRG219"/>
      <c r="VRH219"/>
      <c r="VRI219"/>
      <c r="VRJ219"/>
      <c r="VRK219"/>
      <c r="VRL219"/>
      <c r="VRM219"/>
      <c r="VRN219"/>
      <c r="VRO219"/>
      <c r="VRP219"/>
      <c r="VRQ219"/>
      <c r="VRR219"/>
      <c r="VRS219"/>
      <c r="VRT219"/>
      <c r="VRU219"/>
      <c r="VRV219"/>
      <c r="VRW219"/>
      <c r="VRX219"/>
      <c r="VRY219"/>
      <c r="VRZ219"/>
      <c r="VSA219"/>
      <c r="VSB219"/>
      <c r="VSC219"/>
      <c r="VSD219"/>
      <c r="VSE219"/>
      <c r="VSF219"/>
      <c r="VSG219"/>
      <c r="VSH219"/>
      <c r="VSI219"/>
      <c r="VSJ219"/>
      <c r="VSK219"/>
      <c r="VSL219"/>
      <c r="VSM219"/>
      <c r="VSN219"/>
      <c r="VSO219"/>
      <c r="VSP219"/>
      <c r="VSQ219"/>
      <c r="VSR219"/>
      <c r="VSS219"/>
      <c r="VST219"/>
      <c r="VSU219"/>
      <c r="VSV219"/>
      <c r="VSW219"/>
      <c r="VSX219"/>
      <c r="VSY219"/>
      <c r="VSZ219"/>
      <c r="VTA219"/>
      <c r="VTB219"/>
      <c r="VTC219"/>
      <c r="VTD219"/>
      <c r="VTE219"/>
      <c r="VTF219"/>
      <c r="VTG219"/>
      <c r="VTH219"/>
      <c r="VTI219"/>
      <c r="VTJ219"/>
      <c r="VTK219"/>
      <c r="VTL219"/>
      <c r="VTM219"/>
      <c r="VTN219"/>
      <c r="VTO219"/>
      <c r="VTP219"/>
      <c r="VTQ219"/>
      <c r="VTR219"/>
      <c r="VTS219"/>
      <c r="VTT219"/>
      <c r="VTU219"/>
      <c r="VTV219"/>
      <c r="VTW219"/>
      <c r="VTX219"/>
      <c r="VTY219"/>
      <c r="VTZ219"/>
      <c r="VUA219"/>
      <c r="VUB219"/>
      <c r="VUC219"/>
      <c r="VUD219"/>
      <c r="VUE219"/>
      <c r="VUF219"/>
      <c r="VUG219"/>
      <c r="VUH219"/>
      <c r="VUI219"/>
      <c r="VUJ219"/>
      <c r="VUK219"/>
      <c r="VUL219"/>
      <c r="VUM219"/>
      <c r="VUN219"/>
      <c r="VUO219"/>
      <c r="VUP219"/>
      <c r="VUQ219"/>
      <c r="VUR219"/>
      <c r="VUS219"/>
      <c r="VUT219"/>
      <c r="VUU219"/>
      <c r="VUV219"/>
      <c r="VUW219"/>
      <c r="VUX219"/>
      <c r="VUY219"/>
      <c r="VUZ219"/>
      <c r="VVA219"/>
      <c r="VVB219"/>
      <c r="VVC219"/>
      <c r="VVD219"/>
      <c r="VVE219"/>
      <c r="VVF219"/>
      <c r="VVG219"/>
      <c r="VVH219"/>
      <c r="VVI219"/>
      <c r="VVJ219"/>
      <c r="VVK219"/>
      <c r="VVL219"/>
      <c r="VVM219"/>
      <c r="VVN219"/>
      <c r="VVO219"/>
      <c r="VVP219"/>
      <c r="VVQ219"/>
      <c r="VVR219"/>
      <c r="VVS219"/>
      <c r="VVT219"/>
      <c r="VVU219"/>
      <c r="VVV219"/>
      <c r="VVW219"/>
      <c r="VVX219"/>
      <c r="VVY219"/>
      <c r="VVZ219"/>
      <c r="VWA219"/>
    </row>
    <row r="220" spans="2:113 15079:15471" s="1" customFormat="1" x14ac:dyDescent="0.25">
      <c r="B220" s="215"/>
      <c r="C220" s="113" t="s">
        <v>26</v>
      </c>
      <c r="D220" s="118"/>
      <c r="E220" s="160" t="s">
        <v>22</v>
      </c>
      <c r="F220" s="176">
        <v>1390</v>
      </c>
      <c r="G220" s="384">
        <v>1538.8</v>
      </c>
      <c r="H220" s="384">
        <v>1556</v>
      </c>
      <c r="I220" s="383">
        <v>1525.7</v>
      </c>
      <c r="J220" s="383">
        <v>1480.3</v>
      </c>
      <c r="K220" s="176">
        <v>1435.3</v>
      </c>
      <c r="L220" s="383">
        <v>1461.9</v>
      </c>
      <c r="M220" s="383">
        <v>1508.1</v>
      </c>
      <c r="N220" s="383">
        <v>1546.9</v>
      </c>
      <c r="O220" s="176">
        <v>1414.7</v>
      </c>
      <c r="P220" s="383">
        <v>1464.4</v>
      </c>
      <c r="Q220" s="176">
        <v>1340.4</v>
      </c>
      <c r="R220" s="176">
        <v>1324.4</v>
      </c>
      <c r="S220" s="176">
        <v>1294.3</v>
      </c>
      <c r="T220" s="176">
        <v>1270.3</v>
      </c>
      <c r="U220" s="27">
        <v>1224.7</v>
      </c>
      <c r="V220" s="27">
        <v>1318.7</v>
      </c>
      <c r="W220" s="27">
        <v>1285.5</v>
      </c>
      <c r="X220" s="176">
        <v>1250.5999999999999</v>
      </c>
      <c r="Y220" s="176">
        <v>1240.9000000000001</v>
      </c>
      <c r="Z220" s="176">
        <v>1294</v>
      </c>
      <c r="AA220" s="176">
        <v>1237.9000000000001</v>
      </c>
      <c r="AB220" s="27">
        <v>1404.6</v>
      </c>
      <c r="AC220" s="27">
        <v>1335.7</v>
      </c>
      <c r="AD220" s="27">
        <v>1237.4000000000001</v>
      </c>
      <c r="AE220" s="27">
        <v>1253.5</v>
      </c>
      <c r="AF220" s="27">
        <v>1177.8</v>
      </c>
      <c r="AG220" s="375">
        <v>1103.5</v>
      </c>
      <c r="AH220" s="375">
        <v>1250.4000000000001</v>
      </c>
      <c r="AI220" s="405">
        <v>1128.7</v>
      </c>
      <c r="AJ220" s="9"/>
      <c r="AK220" s="30">
        <f>SUM(F220:AI220)</f>
        <v>40295.4</v>
      </c>
      <c r="DI220" s="29"/>
    </row>
    <row r="221" spans="2:113 15079:15471" s="2" customFormat="1" x14ac:dyDescent="0.25">
      <c r="B221" s="241"/>
      <c r="C221" s="136" t="s">
        <v>25</v>
      </c>
      <c r="D221" s="178">
        <f>D225</f>
        <v>1460.001</v>
      </c>
      <c r="E221" s="232" t="s">
        <v>22</v>
      </c>
      <c r="F221" s="176">
        <v>1502.1151</v>
      </c>
      <c r="G221" s="384">
        <v>1527.3072999999999</v>
      </c>
      <c r="H221" s="384">
        <v>1569.0337</v>
      </c>
      <c r="I221" s="383">
        <v>1482.3052</v>
      </c>
      <c r="J221" s="177">
        <v>1375.9304</v>
      </c>
      <c r="K221" s="179">
        <v>1394.6014</v>
      </c>
      <c r="L221" s="386">
        <v>1476.6306999999999</v>
      </c>
      <c r="M221" s="383">
        <v>1524.0301999999999</v>
      </c>
      <c r="N221" s="383">
        <v>1462.3639000000001</v>
      </c>
      <c r="O221" s="176">
        <v>1437.2036000000001</v>
      </c>
      <c r="P221" s="176">
        <v>1311.1533999999999</v>
      </c>
      <c r="Q221" s="176">
        <v>1318.9537</v>
      </c>
      <c r="R221" s="176">
        <v>1281.8456000000001</v>
      </c>
      <c r="S221" s="176">
        <v>1244.0391999999999</v>
      </c>
      <c r="T221" s="176">
        <v>1171.5266999999999</v>
      </c>
      <c r="U221" s="176">
        <v>1274.5196000000001</v>
      </c>
      <c r="V221" s="176">
        <v>1246.7755</v>
      </c>
      <c r="W221" s="176">
        <v>1213.0215000000001</v>
      </c>
      <c r="X221" s="176">
        <v>1210.2179000000001</v>
      </c>
      <c r="Y221" s="176">
        <v>1195.9855</v>
      </c>
      <c r="Z221" s="176">
        <v>1192.9256</v>
      </c>
      <c r="AA221" s="176">
        <v>1362.6496999999999</v>
      </c>
      <c r="AB221" s="27">
        <v>1300.9244000000001</v>
      </c>
      <c r="AC221" s="27">
        <v>1188.3417999999999</v>
      </c>
      <c r="AD221" s="27">
        <v>1205.4915000000001</v>
      </c>
      <c r="AE221" s="27">
        <v>1106.4519</v>
      </c>
      <c r="AF221" s="27">
        <v>1044.8927000000001</v>
      </c>
      <c r="AG221" s="375">
        <v>1204.5941</v>
      </c>
      <c r="AH221" s="375">
        <v>1087.5295000000001</v>
      </c>
      <c r="AI221" s="405">
        <v>1184.3013000000001</v>
      </c>
      <c r="AK221" s="26">
        <f>SUM(F221:AI221)</f>
        <v>39097.662599999981</v>
      </c>
      <c r="DI221" s="25"/>
    </row>
    <row r="222" spans="2:113 15079:15471" s="1" customFormat="1" x14ac:dyDescent="0.25">
      <c r="B222" s="223"/>
      <c r="C222" s="158" t="s">
        <v>12</v>
      </c>
      <c r="D222" s="118"/>
      <c r="E222" s="101"/>
      <c r="F222" s="176"/>
      <c r="G222" s="177"/>
      <c r="H222" s="177"/>
      <c r="I222" s="107"/>
      <c r="J222" s="177"/>
      <c r="K222" s="179"/>
      <c r="L222" s="179"/>
      <c r="M222" s="107"/>
      <c r="N222" s="107"/>
      <c r="O222" s="107"/>
      <c r="P222" s="107"/>
      <c r="Q222" s="78"/>
      <c r="R222" s="78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37"/>
      <c r="AD222" s="137"/>
      <c r="AE222" s="137"/>
      <c r="AF222" s="137"/>
      <c r="AG222" s="359"/>
      <c r="AH222" s="359"/>
      <c r="AI222" s="233"/>
      <c r="AJ222" s="9"/>
      <c r="AK222" s="11" t="s">
        <v>12</v>
      </c>
      <c r="AL222" s="23"/>
      <c r="DI222" s="4"/>
      <c r="VGY222"/>
      <c r="VGZ222"/>
      <c r="VHA222"/>
      <c r="VHB222"/>
      <c r="VHC222"/>
      <c r="VHD222"/>
      <c r="VHE222"/>
      <c r="VHF222"/>
      <c r="VHG222"/>
      <c r="VHH222"/>
      <c r="VHI222"/>
      <c r="VHJ222"/>
      <c r="VHK222"/>
      <c r="VHL222"/>
      <c r="VHM222"/>
      <c r="VHN222"/>
      <c r="VHO222"/>
      <c r="VHP222"/>
      <c r="VHQ222"/>
      <c r="VHR222"/>
      <c r="VHS222"/>
      <c r="VHT222"/>
      <c r="VHU222"/>
      <c r="VHV222"/>
      <c r="VHW222"/>
      <c r="VHX222"/>
      <c r="VHY222"/>
      <c r="VHZ222"/>
      <c r="VIA222"/>
      <c r="VIB222"/>
      <c r="VIC222"/>
      <c r="VID222"/>
      <c r="VIE222"/>
      <c r="VIF222"/>
      <c r="VIG222"/>
      <c r="VIH222"/>
      <c r="VII222"/>
      <c r="VIJ222"/>
      <c r="VIK222"/>
      <c r="VIL222"/>
      <c r="VIM222"/>
      <c r="VIN222"/>
      <c r="VIO222"/>
      <c r="VIP222"/>
      <c r="VIQ222"/>
      <c r="VIR222"/>
      <c r="VIS222"/>
      <c r="VIT222"/>
      <c r="VIU222"/>
      <c r="VIV222"/>
      <c r="VIW222"/>
      <c r="VIX222"/>
      <c r="VIY222"/>
      <c r="VIZ222"/>
      <c r="VJA222"/>
      <c r="VJB222"/>
      <c r="VJC222"/>
      <c r="VJD222"/>
      <c r="VJE222"/>
      <c r="VJF222"/>
      <c r="VJG222"/>
      <c r="VJH222"/>
      <c r="VJI222"/>
      <c r="VJJ222"/>
      <c r="VJK222"/>
      <c r="VJL222"/>
      <c r="VJM222"/>
      <c r="VJN222"/>
      <c r="VJO222"/>
      <c r="VJP222"/>
      <c r="VJQ222"/>
      <c r="VJR222"/>
      <c r="VJS222"/>
      <c r="VJT222"/>
      <c r="VJU222"/>
      <c r="VJV222"/>
      <c r="VJW222"/>
      <c r="VJX222"/>
      <c r="VJY222"/>
      <c r="VJZ222"/>
      <c r="VKA222"/>
      <c r="VKB222"/>
      <c r="VKC222"/>
      <c r="VKD222"/>
      <c r="VKE222"/>
      <c r="VKF222"/>
      <c r="VKG222"/>
      <c r="VKH222"/>
      <c r="VKI222"/>
      <c r="VKJ222"/>
      <c r="VKK222"/>
      <c r="VKL222"/>
      <c r="VKM222"/>
      <c r="VKN222"/>
      <c r="VKO222"/>
      <c r="VKP222"/>
      <c r="VKQ222"/>
      <c r="VKR222"/>
      <c r="VKS222"/>
      <c r="VKT222"/>
      <c r="VKU222"/>
      <c r="VKV222"/>
      <c r="VKW222"/>
      <c r="VKX222"/>
      <c r="VKY222"/>
      <c r="VKZ222"/>
      <c r="VLA222"/>
      <c r="VLB222"/>
      <c r="VLC222"/>
      <c r="VLD222"/>
      <c r="VLE222"/>
      <c r="VLF222"/>
      <c r="VLG222"/>
      <c r="VLH222"/>
      <c r="VLI222"/>
      <c r="VLJ222"/>
      <c r="VLK222"/>
      <c r="VLL222"/>
      <c r="VLM222"/>
      <c r="VLN222"/>
      <c r="VLO222"/>
      <c r="VLP222"/>
      <c r="VLQ222"/>
      <c r="VLR222"/>
      <c r="VLS222"/>
      <c r="VLT222"/>
      <c r="VLU222"/>
      <c r="VLV222"/>
      <c r="VLW222"/>
      <c r="VLX222"/>
      <c r="VLY222"/>
      <c r="VLZ222"/>
      <c r="VMA222"/>
      <c r="VMB222"/>
      <c r="VMC222"/>
      <c r="VMD222"/>
      <c r="VME222"/>
      <c r="VMF222"/>
      <c r="VMG222"/>
      <c r="VMH222"/>
      <c r="VMI222"/>
      <c r="VMJ222"/>
      <c r="VMK222"/>
      <c r="VML222"/>
      <c r="VMM222"/>
      <c r="VMN222"/>
      <c r="VMO222"/>
      <c r="VMP222"/>
      <c r="VMQ222"/>
      <c r="VMR222"/>
      <c r="VMS222"/>
      <c r="VMT222"/>
      <c r="VMU222"/>
      <c r="VMV222"/>
      <c r="VMW222"/>
      <c r="VMX222"/>
      <c r="VMY222"/>
      <c r="VMZ222"/>
      <c r="VNA222"/>
      <c r="VNB222"/>
      <c r="VNC222"/>
      <c r="VND222"/>
      <c r="VNE222"/>
      <c r="VNF222"/>
      <c r="VNG222"/>
      <c r="VNH222"/>
      <c r="VNI222"/>
      <c r="VNJ222"/>
      <c r="VNK222"/>
      <c r="VNL222"/>
      <c r="VNM222"/>
      <c r="VNN222"/>
      <c r="VNO222"/>
      <c r="VNP222"/>
      <c r="VNQ222"/>
      <c r="VNR222"/>
      <c r="VNS222"/>
      <c r="VNT222"/>
      <c r="VNU222"/>
      <c r="VNV222"/>
      <c r="VNW222"/>
      <c r="VNX222"/>
      <c r="VNY222"/>
      <c r="VNZ222"/>
      <c r="VOA222"/>
      <c r="VOB222"/>
      <c r="VOC222"/>
      <c r="VOD222"/>
      <c r="VOE222"/>
      <c r="VOF222"/>
      <c r="VOG222"/>
      <c r="VOH222"/>
      <c r="VOI222"/>
      <c r="VOJ222"/>
      <c r="VOK222"/>
      <c r="VOL222"/>
      <c r="VOM222"/>
      <c r="VON222"/>
      <c r="VOO222"/>
      <c r="VOP222"/>
      <c r="VOQ222"/>
      <c r="VOR222"/>
      <c r="VOS222"/>
      <c r="VOT222"/>
      <c r="VOU222"/>
      <c r="VOV222"/>
      <c r="VOW222"/>
      <c r="VOX222"/>
      <c r="VOY222"/>
      <c r="VOZ222"/>
      <c r="VPA222"/>
      <c r="VPB222"/>
      <c r="VPC222"/>
      <c r="VPD222"/>
      <c r="VPE222"/>
      <c r="VPF222"/>
      <c r="VPG222"/>
      <c r="VPH222"/>
      <c r="VPI222"/>
      <c r="VPJ222"/>
      <c r="VPK222"/>
      <c r="VPL222"/>
      <c r="VPM222"/>
      <c r="VPN222"/>
      <c r="VPO222"/>
      <c r="VPP222"/>
      <c r="VPQ222"/>
      <c r="VPR222"/>
      <c r="VPS222"/>
      <c r="VPT222"/>
      <c r="VPU222"/>
      <c r="VPV222"/>
      <c r="VPW222"/>
      <c r="VPX222"/>
      <c r="VPY222"/>
      <c r="VPZ222"/>
      <c r="VQA222"/>
      <c r="VQB222"/>
      <c r="VQC222"/>
      <c r="VQD222"/>
      <c r="VQE222"/>
      <c r="VQF222"/>
      <c r="VQG222"/>
      <c r="VQH222"/>
      <c r="VQI222"/>
      <c r="VQJ222"/>
      <c r="VQK222"/>
      <c r="VQL222"/>
      <c r="VQM222"/>
      <c r="VQN222"/>
      <c r="VQO222"/>
      <c r="VQP222"/>
      <c r="VQQ222"/>
      <c r="VQR222"/>
      <c r="VQS222"/>
      <c r="VQT222"/>
      <c r="VQU222"/>
      <c r="VQV222"/>
      <c r="VQW222"/>
      <c r="VQX222"/>
      <c r="VQY222"/>
      <c r="VQZ222"/>
      <c r="VRA222"/>
      <c r="VRB222"/>
      <c r="VRC222"/>
      <c r="VRD222"/>
      <c r="VRE222"/>
      <c r="VRF222"/>
      <c r="VRG222"/>
      <c r="VRH222"/>
      <c r="VRI222"/>
      <c r="VRJ222"/>
      <c r="VRK222"/>
      <c r="VRL222"/>
      <c r="VRM222"/>
      <c r="VRN222"/>
      <c r="VRO222"/>
      <c r="VRP222"/>
      <c r="VRQ222"/>
      <c r="VRR222"/>
      <c r="VRS222"/>
      <c r="VRT222"/>
      <c r="VRU222"/>
      <c r="VRV222"/>
      <c r="VRW222"/>
      <c r="VRX222"/>
      <c r="VRY222"/>
      <c r="VRZ222"/>
      <c r="VSA222"/>
      <c r="VSB222"/>
      <c r="VSC222"/>
      <c r="VSD222"/>
      <c r="VSE222"/>
      <c r="VSF222"/>
      <c r="VSG222"/>
      <c r="VSH222"/>
      <c r="VSI222"/>
      <c r="VSJ222"/>
      <c r="VSK222"/>
      <c r="VSL222"/>
      <c r="VSM222"/>
      <c r="VSN222"/>
      <c r="VSO222"/>
      <c r="VSP222"/>
      <c r="VSQ222"/>
      <c r="VSR222"/>
      <c r="VSS222"/>
      <c r="VST222"/>
      <c r="VSU222"/>
      <c r="VSV222"/>
      <c r="VSW222"/>
      <c r="VSX222"/>
      <c r="VSY222"/>
      <c r="VSZ222"/>
      <c r="VTA222"/>
      <c r="VTB222"/>
      <c r="VTC222"/>
      <c r="VTD222"/>
      <c r="VTE222"/>
      <c r="VTF222"/>
      <c r="VTG222"/>
      <c r="VTH222"/>
      <c r="VTI222"/>
      <c r="VTJ222"/>
      <c r="VTK222"/>
      <c r="VTL222"/>
      <c r="VTM222"/>
      <c r="VTN222"/>
      <c r="VTO222"/>
      <c r="VTP222"/>
      <c r="VTQ222"/>
      <c r="VTR222"/>
      <c r="VTS222"/>
      <c r="VTT222"/>
      <c r="VTU222"/>
      <c r="VTV222"/>
      <c r="VTW222"/>
      <c r="VTX222"/>
      <c r="VTY222"/>
      <c r="VTZ222"/>
      <c r="VUA222"/>
      <c r="VUB222"/>
      <c r="VUC222"/>
      <c r="VUD222"/>
      <c r="VUE222"/>
      <c r="VUF222"/>
      <c r="VUG222"/>
      <c r="VUH222"/>
      <c r="VUI222"/>
      <c r="VUJ222"/>
      <c r="VUK222"/>
      <c r="VUL222"/>
      <c r="VUM222"/>
      <c r="VUN222"/>
      <c r="VUO222"/>
      <c r="VUP222"/>
      <c r="VUQ222"/>
      <c r="VUR222"/>
      <c r="VUS222"/>
      <c r="VUT222"/>
      <c r="VUU222"/>
      <c r="VUV222"/>
      <c r="VUW222"/>
      <c r="VUX222"/>
      <c r="VUY222"/>
      <c r="VUZ222"/>
      <c r="VVA222"/>
      <c r="VVB222"/>
      <c r="VVC222"/>
      <c r="VVD222"/>
      <c r="VVE222"/>
      <c r="VVF222"/>
      <c r="VVG222"/>
      <c r="VVH222"/>
      <c r="VVI222"/>
      <c r="VVJ222"/>
      <c r="VVK222"/>
      <c r="VVL222"/>
      <c r="VVM222"/>
      <c r="VVN222"/>
      <c r="VVO222"/>
      <c r="VVP222"/>
      <c r="VVQ222"/>
      <c r="VVR222"/>
      <c r="VVS222"/>
      <c r="VVT222"/>
      <c r="VVU222"/>
      <c r="VVV222"/>
      <c r="VVW222"/>
      <c r="VVX222"/>
      <c r="VVY222"/>
      <c r="VVZ222"/>
      <c r="VWA222"/>
    </row>
    <row r="223" spans="2:113 15079:15471" s="1" customFormat="1" x14ac:dyDescent="0.25">
      <c r="B223" s="223"/>
      <c r="C223" s="113" t="s">
        <v>24</v>
      </c>
      <c r="D223" s="114">
        <v>292</v>
      </c>
      <c r="E223" s="160" t="s">
        <v>22</v>
      </c>
      <c r="F223" s="176">
        <v>304.81319999999999</v>
      </c>
      <c r="G223" s="27">
        <v>340.9726</v>
      </c>
      <c r="H223" s="177">
        <v>273.67950000000002</v>
      </c>
      <c r="I223" s="176">
        <v>306.87950000000001</v>
      </c>
      <c r="J223" s="177">
        <v>278.84140000000002</v>
      </c>
      <c r="K223" s="179">
        <v>267.96249999999998</v>
      </c>
      <c r="L223" s="179">
        <v>328.73790000000002</v>
      </c>
      <c r="M223" s="176">
        <v>325.8732</v>
      </c>
      <c r="N223" s="176">
        <v>258.4033</v>
      </c>
      <c r="O223" s="176">
        <v>261.51560000000001</v>
      </c>
      <c r="P223" s="176">
        <v>251.23840000000001</v>
      </c>
      <c r="Q223" s="176">
        <v>267.50290000000001</v>
      </c>
      <c r="R223" s="176">
        <v>266.1857</v>
      </c>
      <c r="S223" s="176">
        <v>243.81399999999999</v>
      </c>
      <c r="T223" s="176">
        <v>258.42469999999997</v>
      </c>
      <c r="U223" s="176">
        <v>262.41469999999998</v>
      </c>
      <c r="V223" s="176">
        <v>218.10169999999999</v>
      </c>
      <c r="W223" s="176">
        <v>210.6865</v>
      </c>
      <c r="X223" s="176">
        <v>214.506</v>
      </c>
      <c r="Y223" s="176">
        <v>228.97280000000001</v>
      </c>
      <c r="Z223" s="176">
        <v>221.58099999999999</v>
      </c>
      <c r="AA223" s="176">
        <v>236.38339999999999</v>
      </c>
      <c r="AB223" s="176">
        <v>204.0522</v>
      </c>
      <c r="AC223" s="176">
        <v>189.78</v>
      </c>
      <c r="AD223" s="176">
        <v>203.76750000000001</v>
      </c>
      <c r="AE223" s="176">
        <v>185.18889999999999</v>
      </c>
      <c r="AF223" s="176">
        <v>204.14580000000001</v>
      </c>
      <c r="AG223" s="376">
        <v>221.52420000000001</v>
      </c>
      <c r="AH223" s="376">
        <v>163.17089999999999</v>
      </c>
      <c r="AI223" s="281">
        <v>187.92099999999999</v>
      </c>
      <c r="AJ223" s="9"/>
      <c r="AK223" s="24">
        <f>SUM(F223:AI223)</f>
        <v>7387.0410000000011</v>
      </c>
      <c r="AL223" s="23"/>
      <c r="AT223" s="23"/>
      <c r="DH223" s="23"/>
      <c r="DI223" s="4"/>
      <c r="VGY223"/>
      <c r="VGZ223"/>
      <c r="VHA223"/>
      <c r="VHB223"/>
      <c r="VHC223"/>
      <c r="VHD223"/>
      <c r="VHE223"/>
      <c r="VHF223"/>
      <c r="VHG223"/>
      <c r="VHH223"/>
      <c r="VHI223"/>
      <c r="VHJ223"/>
      <c r="VHK223"/>
      <c r="VHL223"/>
      <c r="VHM223"/>
      <c r="VHN223"/>
      <c r="VHO223"/>
      <c r="VHP223"/>
      <c r="VHQ223"/>
      <c r="VHR223"/>
      <c r="VHS223"/>
      <c r="VHT223"/>
      <c r="VHU223"/>
      <c r="VHV223"/>
      <c r="VHW223"/>
      <c r="VHX223"/>
      <c r="VHY223"/>
      <c r="VHZ223"/>
      <c r="VIA223"/>
      <c r="VIB223"/>
      <c r="VIC223"/>
      <c r="VID223"/>
      <c r="VIE223"/>
      <c r="VIF223"/>
      <c r="VIG223"/>
      <c r="VIH223"/>
      <c r="VII223"/>
      <c r="VIJ223"/>
      <c r="VIK223"/>
      <c r="VIL223"/>
      <c r="VIM223"/>
      <c r="VIN223"/>
      <c r="VIO223"/>
      <c r="VIP223"/>
      <c r="VIQ223"/>
      <c r="VIR223"/>
      <c r="VIS223"/>
      <c r="VIT223"/>
      <c r="VIU223"/>
      <c r="VIV223"/>
      <c r="VIW223"/>
      <c r="VIX223"/>
      <c r="VIY223"/>
      <c r="VIZ223"/>
      <c r="VJA223"/>
      <c r="VJB223"/>
      <c r="VJC223"/>
      <c r="VJD223"/>
      <c r="VJE223"/>
      <c r="VJF223"/>
      <c r="VJG223"/>
      <c r="VJH223"/>
      <c r="VJI223"/>
      <c r="VJJ223"/>
      <c r="VJK223"/>
      <c r="VJL223"/>
      <c r="VJM223"/>
      <c r="VJN223"/>
      <c r="VJO223"/>
      <c r="VJP223"/>
      <c r="VJQ223"/>
      <c r="VJR223"/>
      <c r="VJS223"/>
      <c r="VJT223"/>
      <c r="VJU223"/>
      <c r="VJV223"/>
      <c r="VJW223"/>
      <c r="VJX223"/>
      <c r="VJY223"/>
      <c r="VJZ223"/>
      <c r="VKA223"/>
      <c r="VKB223"/>
      <c r="VKC223"/>
      <c r="VKD223"/>
      <c r="VKE223"/>
      <c r="VKF223"/>
      <c r="VKG223"/>
      <c r="VKH223"/>
      <c r="VKI223"/>
      <c r="VKJ223"/>
      <c r="VKK223"/>
      <c r="VKL223"/>
      <c r="VKM223"/>
      <c r="VKN223"/>
      <c r="VKO223"/>
      <c r="VKP223"/>
      <c r="VKQ223"/>
      <c r="VKR223"/>
      <c r="VKS223"/>
      <c r="VKT223"/>
      <c r="VKU223"/>
      <c r="VKV223"/>
      <c r="VKW223"/>
      <c r="VKX223"/>
      <c r="VKY223"/>
      <c r="VKZ223"/>
      <c r="VLA223"/>
      <c r="VLB223"/>
      <c r="VLC223"/>
      <c r="VLD223"/>
      <c r="VLE223"/>
      <c r="VLF223"/>
      <c r="VLG223"/>
      <c r="VLH223"/>
      <c r="VLI223"/>
      <c r="VLJ223"/>
      <c r="VLK223"/>
      <c r="VLL223"/>
      <c r="VLM223"/>
      <c r="VLN223"/>
      <c r="VLO223"/>
      <c r="VLP223"/>
      <c r="VLQ223"/>
      <c r="VLR223"/>
      <c r="VLS223"/>
      <c r="VLT223"/>
      <c r="VLU223"/>
      <c r="VLV223"/>
      <c r="VLW223"/>
      <c r="VLX223"/>
      <c r="VLY223"/>
      <c r="VLZ223"/>
      <c r="VMA223"/>
      <c r="VMB223"/>
      <c r="VMC223"/>
      <c r="VMD223"/>
      <c r="VME223"/>
      <c r="VMF223"/>
      <c r="VMG223"/>
      <c r="VMH223"/>
      <c r="VMI223"/>
      <c r="VMJ223"/>
      <c r="VMK223"/>
      <c r="VML223"/>
      <c r="VMM223"/>
      <c r="VMN223"/>
      <c r="VMO223"/>
      <c r="VMP223"/>
      <c r="VMQ223"/>
      <c r="VMR223"/>
      <c r="VMS223"/>
      <c r="VMT223"/>
      <c r="VMU223"/>
      <c r="VMV223"/>
      <c r="VMW223"/>
      <c r="VMX223"/>
      <c r="VMY223"/>
      <c r="VMZ223"/>
      <c r="VNA223"/>
      <c r="VNB223"/>
      <c r="VNC223"/>
      <c r="VND223"/>
      <c r="VNE223"/>
      <c r="VNF223"/>
      <c r="VNG223"/>
      <c r="VNH223"/>
      <c r="VNI223"/>
      <c r="VNJ223"/>
      <c r="VNK223"/>
      <c r="VNL223"/>
      <c r="VNM223"/>
      <c r="VNN223"/>
      <c r="VNO223"/>
      <c r="VNP223"/>
      <c r="VNQ223"/>
      <c r="VNR223"/>
      <c r="VNS223"/>
      <c r="VNT223"/>
      <c r="VNU223"/>
      <c r="VNV223"/>
      <c r="VNW223"/>
      <c r="VNX223"/>
      <c r="VNY223"/>
      <c r="VNZ223"/>
      <c r="VOA223"/>
      <c r="VOB223"/>
      <c r="VOC223"/>
      <c r="VOD223"/>
      <c r="VOE223"/>
      <c r="VOF223"/>
      <c r="VOG223"/>
      <c r="VOH223"/>
      <c r="VOI223"/>
      <c r="VOJ223"/>
      <c r="VOK223"/>
      <c r="VOL223"/>
      <c r="VOM223"/>
      <c r="VON223"/>
      <c r="VOO223"/>
      <c r="VOP223"/>
      <c r="VOQ223"/>
      <c r="VOR223"/>
      <c r="VOS223"/>
      <c r="VOT223"/>
      <c r="VOU223"/>
      <c r="VOV223"/>
      <c r="VOW223"/>
      <c r="VOX223"/>
      <c r="VOY223"/>
      <c r="VOZ223"/>
      <c r="VPA223"/>
      <c r="VPB223"/>
      <c r="VPC223"/>
      <c r="VPD223"/>
      <c r="VPE223"/>
      <c r="VPF223"/>
      <c r="VPG223"/>
      <c r="VPH223"/>
      <c r="VPI223"/>
      <c r="VPJ223"/>
      <c r="VPK223"/>
      <c r="VPL223"/>
      <c r="VPM223"/>
      <c r="VPN223"/>
      <c r="VPO223"/>
      <c r="VPP223"/>
      <c r="VPQ223"/>
      <c r="VPR223"/>
      <c r="VPS223"/>
      <c r="VPT223"/>
      <c r="VPU223"/>
      <c r="VPV223"/>
      <c r="VPW223"/>
      <c r="VPX223"/>
      <c r="VPY223"/>
      <c r="VPZ223"/>
      <c r="VQA223"/>
      <c r="VQB223"/>
      <c r="VQC223"/>
      <c r="VQD223"/>
      <c r="VQE223"/>
      <c r="VQF223"/>
      <c r="VQG223"/>
      <c r="VQH223"/>
      <c r="VQI223"/>
      <c r="VQJ223"/>
      <c r="VQK223"/>
      <c r="VQL223"/>
      <c r="VQM223"/>
      <c r="VQN223"/>
      <c r="VQO223"/>
      <c r="VQP223"/>
      <c r="VQQ223"/>
      <c r="VQR223"/>
      <c r="VQS223"/>
      <c r="VQT223"/>
      <c r="VQU223"/>
      <c r="VQV223"/>
      <c r="VQW223"/>
      <c r="VQX223"/>
      <c r="VQY223"/>
      <c r="VQZ223"/>
      <c r="VRA223"/>
      <c r="VRB223"/>
      <c r="VRC223"/>
      <c r="VRD223"/>
      <c r="VRE223"/>
      <c r="VRF223"/>
      <c r="VRG223"/>
      <c r="VRH223"/>
      <c r="VRI223"/>
      <c r="VRJ223"/>
      <c r="VRK223"/>
      <c r="VRL223"/>
      <c r="VRM223"/>
      <c r="VRN223"/>
      <c r="VRO223"/>
      <c r="VRP223"/>
      <c r="VRQ223"/>
      <c r="VRR223"/>
      <c r="VRS223"/>
      <c r="VRT223"/>
      <c r="VRU223"/>
      <c r="VRV223"/>
      <c r="VRW223"/>
      <c r="VRX223"/>
      <c r="VRY223"/>
      <c r="VRZ223"/>
      <c r="VSA223"/>
      <c r="VSB223"/>
      <c r="VSC223"/>
      <c r="VSD223"/>
      <c r="VSE223"/>
      <c r="VSF223"/>
      <c r="VSG223"/>
      <c r="VSH223"/>
      <c r="VSI223"/>
      <c r="VSJ223"/>
      <c r="VSK223"/>
      <c r="VSL223"/>
      <c r="VSM223"/>
      <c r="VSN223"/>
      <c r="VSO223"/>
      <c r="VSP223"/>
      <c r="VSQ223"/>
      <c r="VSR223"/>
      <c r="VSS223"/>
      <c r="VST223"/>
      <c r="VSU223"/>
      <c r="VSV223"/>
      <c r="VSW223"/>
      <c r="VSX223"/>
      <c r="VSY223"/>
      <c r="VSZ223"/>
      <c r="VTA223"/>
      <c r="VTB223"/>
      <c r="VTC223"/>
      <c r="VTD223"/>
      <c r="VTE223"/>
      <c r="VTF223"/>
      <c r="VTG223"/>
      <c r="VTH223"/>
      <c r="VTI223"/>
      <c r="VTJ223"/>
      <c r="VTK223"/>
      <c r="VTL223"/>
      <c r="VTM223"/>
      <c r="VTN223"/>
      <c r="VTO223"/>
      <c r="VTP223"/>
      <c r="VTQ223"/>
      <c r="VTR223"/>
      <c r="VTS223"/>
      <c r="VTT223"/>
      <c r="VTU223"/>
      <c r="VTV223"/>
      <c r="VTW223"/>
      <c r="VTX223"/>
      <c r="VTY223"/>
      <c r="VTZ223"/>
      <c r="VUA223"/>
      <c r="VUB223"/>
      <c r="VUC223"/>
      <c r="VUD223"/>
      <c r="VUE223"/>
      <c r="VUF223"/>
      <c r="VUG223"/>
      <c r="VUH223"/>
      <c r="VUI223"/>
      <c r="VUJ223"/>
      <c r="VUK223"/>
      <c r="VUL223"/>
      <c r="VUM223"/>
      <c r="VUN223"/>
      <c r="VUO223"/>
      <c r="VUP223"/>
      <c r="VUQ223"/>
      <c r="VUR223"/>
      <c r="VUS223"/>
      <c r="VUT223"/>
      <c r="VUU223"/>
      <c r="VUV223"/>
      <c r="VUW223"/>
      <c r="VUX223"/>
      <c r="VUY223"/>
      <c r="VUZ223"/>
      <c r="VVA223"/>
      <c r="VVB223"/>
      <c r="VVC223"/>
      <c r="VVD223"/>
      <c r="VVE223"/>
      <c r="VVF223"/>
      <c r="VVG223"/>
      <c r="VVH223"/>
      <c r="VVI223"/>
      <c r="VVJ223"/>
      <c r="VVK223"/>
      <c r="VVL223"/>
      <c r="VVM223"/>
      <c r="VVN223"/>
      <c r="VVO223"/>
      <c r="VVP223"/>
      <c r="VVQ223"/>
      <c r="VVR223"/>
      <c r="VVS223"/>
      <c r="VVT223"/>
      <c r="VVU223"/>
      <c r="VVV223"/>
      <c r="VVW223"/>
      <c r="VVX223"/>
      <c r="VVY223"/>
      <c r="VVZ223"/>
      <c r="VWA223"/>
    </row>
    <row r="224" spans="2:113 15079:15471" s="1" customFormat="1" x14ac:dyDescent="0.25">
      <c r="B224" s="223"/>
      <c r="C224" s="113" t="s">
        <v>23</v>
      </c>
      <c r="D224" s="114">
        <v>1168.001</v>
      </c>
      <c r="E224" s="160" t="s">
        <v>22</v>
      </c>
      <c r="F224" s="176">
        <f t="shared" ref="F224:AI224" si="89">F225-F223</f>
        <v>1197.3018999999999</v>
      </c>
      <c r="G224" s="177">
        <f t="shared" si="89"/>
        <v>1186.3346999999999</v>
      </c>
      <c r="H224" s="177">
        <f t="shared" si="89"/>
        <v>1295.3542</v>
      </c>
      <c r="I224" s="176">
        <f t="shared" si="89"/>
        <v>1175.4257</v>
      </c>
      <c r="J224" s="177">
        <f t="shared" si="89"/>
        <v>1097.0889999999999</v>
      </c>
      <c r="K224" s="179">
        <f t="shared" si="89"/>
        <v>1126.6388999999999</v>
      </c>
      <c r="L224" s="179">
        <f t="shared" si="89"/>
        <v>1147.8927999999999</v>
      </c>
      <c r="M224" s="176">
        <f t="shared" si="89"/>
        <v>1198.1569999999999</v>
      </c>
      <c r="N224" s="176">
        <f t="shared" si="89"/>
        <v>1203.9606000000001</v>
      </c>
      <c r="O224" s="176">
        <f t="shared" si="89"/>
        <v>1175.6880000000001</v>
      </c>
      <c r="P224" s="176">
        <f t="shared" si="89"/>
        <v>1059.915</v>
      </c>
      <c r="Q224" s="176">
        <f>Q225-Q223</f>
        <v>1051.4508000000001</v>
      </c>
      <c r="R224" s="176">
        <f>R225-R223</f>
        <v>1015.6599000000001</v>
      </c>
      <c r="S224" s="176">
        <f t="shared" si="89"/>
        <v>1000.2252</v>
      </c>
      <c r="T224" s="176">
        <f t="shared" si="89"/>
        <v>913.10199999999986</v>
      </c>
      <c r="U224" s="176">
        <f t="shared" si="89"/>
        <v>1012.1049</v>
      </c>
      <c r="V224" s="176">
        <f t="shared" si="89"/>
        <v>1028.6738</v>
      </c>
      <c r="W224" s="176">
        <f t="shared" si="89"/>
        <v>1002.335</v>
      </c>
      <c r="X224" s="176">
        <f t="shared" si="89"/>
        <v>995.71190000000013</v>
      </c>
      <c r="Y224" s="176">
        <f t="shared" si="89"/>
        <v>967.0127</v>
      </c>
      <c r="Z224" s="176">
        <f t="shared" si="89"/>
        <v>971.34460000000001</v>
      </c>
      <c r="AA224" s="176">
        <f t="shared" si="89"/>
        <v>1126.2663</v>
      </c>
      <c r="AB224" s="176">
        <f t="shared" si="89"/>
        <v>1096.8722</v>
      </c>
      <c r="AC224" s="176">
        <f t="shared" si="89"/>
        <v>998.56179999999995</v>
      </c>
      <c r="AD224" s="176">
        <f t="shared" si="89"/>
        <v>1001.724</v>
      </c>
      <c r="AE224" s="176">
        <f t="shared" si="89"/>
        <v>921.26300000000003</v>
      </c>
      <c r="AF224" s="176">
        <f t="shared" si="89"/>
        <v>840.7469000000001</v>
      </c>
      <c r="AG224" s="176">
        <f t="shared" si="89"/>
        <v>983.06989999999996</v>
      </c>
      <c r="AH224" s="176">
        <f t="shared" si="89"/>
        <v>924.35860000000014</v>
      </c>
      <c r="AI224" s="281">
        <f t="shared" si="89"/>
        <v>996.38030000000003</v>
      </c>
      <c r="AJ224" s="9"/>
      <c r="AK224" s="24">
        <f>SUM(F224:AI224)</f>
        <v>31710.621599999991</v>
      </c>
      <c r="AL224" s="23"/>
      <c r="DI224" s="4"/>
      <c r="VGY224"/>
      <c r="VGZ224"/>
      <c r="VHA224"/>
      <c r="VHB224"/>
      <c r="VHC224"/>
      <c r="VHD224"/>
      <c r="VHE224"/>
      <c r="VHF224"/>
      <c r="VHG224"/>
      <c r="VHH224"/>
      <c r="VHI224"/>
      <c r="VHJ224"/>
      <c r="VHK224"/>
      <c r="VHL224"/>
      <c r="VHM224"/>
      <c r="VHN224"/>
      <c r="VHO224"/>
      <c r="VHP224"/>
      <c r="VHQ224"/>
      <c r="VHR224"/>
      <c r="VHS224"/>
      <c r="VHT224"/>
      <c r="VHU224"/>
      <c r="VHV224"/>
      <c r="VHW224"/>
      <c r="VHX224"/>
      <c r="VHY224"/>
      <c r="VHZ224"/>
      <c r="VIA224"/>
      <c r="VIB224"/>
      <c r="VIC224"/>
      <c r="VID224"/>
      <c r="VIE224"/>
      <c r="VIF224"/>
      <c r="VIG224"/>
      <c r="VIH224"/>
      <c r="VII224"/>
      <c r="VIJ224"/>
      <c r="VIK224"/>
      <c r="VIL224"/>
      <c r="VIM224"/>
      <c r="VIN224"/>
      <c r="VIO224"/>
      <c r="VIP224"/>
      <c r="VIQ224"/>
      <c r="VIR224"/>
      <c r="VIS224"/>
      <c r="VIT224"/>
      <c r="VIU224"/>
      <c r="VIV224"/>
      <c r="VIW224"/>
      <c r="VIX224"/>
      <c r="VIY224"/>
      <c r="VIZ224"/>
      <c r="VJA224"/>
      <c r="VJB224"/>
      <c r="VJC224"/>
      <c r="VJD224"/>
      <c r="VJE224"/>
      <c r="VJF224"/>
      <c r="VJG224"/>
      <c r="VJH224"/>
      <c r="VJI224"/>
      <c r="VJJ224"/>
      <c r="VJK224"/>
      <c r="VJL224"/>
      <c r="VJM224"/>
      <c r="VJN224"/>
      <c r="VJO224"/>
      <c r="VJP224"/>
      <c r="VJQ224"/>
      <c r="VJR224"/>
      <c r="VJS224"/>
      <c r="VJT224"/>
      <c r="VJU224"/>
      <c r="VJV224"/>
      <c r="VJW224"/>
      <c r="VJX224"/>
      <c r="VJY224"/>
      <c r="VJZ224"/>
      <c r="VKA224"/>
      <c r="VKB224"/>
      <c r="VKC224"/>
      <c r="VKD224"/>
      <c r="VKE224"/>
      <c r="VKF224"/>
      <c r="VKG224"/>
      <c r="VKH224"/>
      <c r="VKI224"/>
      <c r="VKJ224"/>
      <c r="VKK224"/>
      <c r="VKL224"/>
      <c r="VKM224"/>
      <c r="VKN224"/>
      <c r="VKO224"/>
      <c r="VKP224"/>
      <c r="VKQ224"/>
      <c r="VKR224"/>
      <c r="VKS224"/>
      <c r="VKT224"/>
      <c r="VKU224"/>
      <c r="VKV224"/>
      <c r="VKW224"/>
      <c r="VKX224"/>
      <c r="VKY224"/>
      <c r="VKZ224"/>
      <c r="VLA224"/>
      <c r="VLB224"/>
      <c r="VLC224"/>
      <c r="VLD224"/>
      <c r="VLE224"/>
      <c r="VLF224"/>
      <c r="VLG224"/>
      <c r="VLH224"/>
      <c r="VLI224"/>
      <c r="VLJ224"/>
      <c r="VLK224"/>
      <c r="VLL224"/>
      <c r="VLM224"/>
      <c r="VLN224"/>
      <c r="VLO224"/>
      <c r="VLP224"/>
      <c r="VLQ224"/>
      <c r="VLR224"/>
      <c r="VLS224"/>
      <c r="VLT224"/>
      <c r="VLU224"/>
      <c r="VLV224"/>
      <c r="VLW224"/>
      <c r="VLX224"/>
      <c r="VLY224"/>
      <c r="VLZ224"/>
      <c r="VMA224"/>
      <c r="VMB224"/>
      <c r="VMC224"/>
      <c r="VMD224"/>
      <c r="VME224"/>
      <c r="VMF224"/>
      <c r="VMG224"/>
      <c r="VMH224"/>
      <c r="VMI224"/>
      <c r="VMJ224"/>
      <c r="VMK224"/>
      <c r="VML224"/>
      <c r="VMM224"/>
      <c r="VMN224"/>
      <c r="VMO224"/>
      <c r="VMP224"/>
      <c r="VMQ224"/>
      <c r="VMR224"/>
      <c r="VMS224"/>
      <c r="VMT224"/>
      <c r="VMU224"/>
      <c r="VMV224"/>
      <c r="VMW224"/>
      <c r="VMX224"/>
      <c r="VMY224"/>
      <c r="VMZ224"/>
      <c r="VNA224"/>
      <c r="VNB224"/>
      <c r="VNC224"/>
      <c r="VND224"/>
      <c r="VNE224"/>
      <c r="VNF224"/>
      <c r="VNG224"/>
      <c r="VNH224"/>
      <c r="VNI224"/>
      <c r="VNJ224"/>
      <c r="VNK224"/>
      <c r="VNL224"/>
      <c r="VNM224"/>
      <c r="VNN224"/>
      <c r="VNO224"/>
      <c r="VNP224"/>
      <c r="VNQ224"/>
      <c r="VNR224"/>
      <c r="VNS224"/>
      <c r="VNT224"/>
      <c r="VNU224"/>
      <c r="VNV224"/>
      <c r="VNW224"/>
      <c r="VNX224"/>
      <c r="VNY224"/>
      <c r="VNZ224"/>
      <c r="VOA224"/>
      <c r="VOB224"/>
      <c r="VOC224"/>
      <c r="VOD224"/>
      <c r="VOE224"/>
      <c r="VOF224"/>
      <c r="VOG224"/>
      <c r="VOH224"/>
      <c r="VOI224"/>
      <c r="VOJ224"/>
      <c r="VOK224"/>
      <c r="VOL224"/>
      <c r="VOM224"/>
      <c r="VON224"/>
      <c r="VOO224"/>
      <c r="VOP224"/>
      <c r="VOQ224"/>
      <c r="VOR224"/>
      <c r="VOS224"/>
      <c r="VOT224"/>
      <c r="VOU224"/>
      <c r="VOV224"/>
      <c r="VOW224"/>
      <c r="VOX224"/>
      <c r="VOY224"/>
      <c r="VOZ224"/>
      <c r="VPA224"/>
      <c r="VPB224"/>
      <c r="VPC224"/>
      <c r="VPD224"/>
      <c r="VPE224"/>
      <c r="VPF224"/>
      <c r="VPG224"/>
      <c r="VPH224"/>
      <c r="VPI224"/>
      <c r="VPJ224"/>
      <c r="VPK224"/>
      <c r="VPL224"/>
      <c r="VPM224"/>
      <c r="VPN224"/>
      <c r="VPO224"/>
      <c r="VPP224"/>
      <c r="VPQ224"/>
      <c r="VPR224"/>
      <c r="VPS224"/>
      <c r="VPT224"/>
      <c r="VPU224"/>
      <c r="VPV224"/>
      <c r="VPW224"/>
      <c r="VPX224"/>
      <c r="VPY224"/>
      <c r="VPZ224"/>
      <c r="VQA224"/>
      <c r="VQB224"/>
      <c r="VQC224"/>
      <c r="VQD224"/>
      <c r="VQE224"/>
      <c r="VQF224"/>
      <c r="VQG224"/>
      <c r="VQH224"/>
      <c r="VQI224"/>
      <c r="VQJ224"/>
      <c r="VQK224"/>
      <c r="VQL224"/>
      <c r="VQM224"/>
      <c r="VQN224"/>
      <c r="VQO224"/>
      <c r="VQP224"/>
      <c r="VQQ224"/>
      <c r="VQR224"/>
      <c r="VQS224"/>
      <c r="VQT224"/>
      <c r="VQU224"/>
      <c r="VQV224"/>
      <c r="VQW224"/>
      <c r="VQX224"/>
      <c r="VQY224"/>
      <c r="VQZ224"/>
      <c r="VRA224"/>
      <c r="VRB224"/>
      <c r="VRC224"/>
      <c r="VRD224"/>
      <c r="VRE224"/>
      <c r="VRF224"/>
      <c r="VRG224"/>
      <c r="VRH224"/>
      <c r="VRI224"/>
      <c r="VRJ224"/>
      <c r="VRK224"/>
      <c r="VRL224"/>
      <c r="VRM224"/>
      <c r="VRN224"/>
      <c r="VRO224"/>
      <c r="VRP224"/>
      <c r="VRQ224"/>
      <c r="VRR224"/>
      <c r="VRS224"/>
      <c r="VRT224"/>
      <c r="VRU224"/>
      <c r="VRV224"/>
      <c r="VRW224"/>
      <c r="VRX224"/>
      <c r="VRY224"/>
      <c r="VRZ224"/>
      <c r="VSA224"/>
      <c r="VSB224"/>
      <c r="VSC224"/>
      <c r="VSD224"/>
      <c r="VSE224"/>
      <c r="VSF224"/>
      <c r="VSG224"/>
      <c r="VSH224"/>
      <c r="VSI224"/>
      <c r="VSJ224"/>
      <c r="VSK224"/>
      <c r="VSL224"/>
      <c r="VSM224"/>
      <c r="VSN224"/>
      <c r="VSO224"/>
      <c r="VSP224"/>
      <c r="VSQ224"/>
      <c r="VSR224"/>
      <c r="VSS224"/>
      <c r="VST224"/>
      <c r="VSU224"/>
      <c r="VSV224"/>
      <c r="VSW224"/>
      <c r="VSX224"/>
      <c r="VSY224"/>
      <c r="VSZ224"/>
      <c r="VTA224"/>
      <c r="VTB224"/>
      <c r="VTC224"/>
      <c r="VTD224"/>
      <c r="VTE224"/>
      <c r="VTF224"/>
      <c r="VTG224"/>
      <c r="VTH224"/>
      <c r="VTI224"/>
      <c r="VTJ224"/>
      <c r="VTK224"/>
      <c r="VTL224"/>
      <c r="VTM224"/>
      <c r="VTN224"/>
      <c r="VTO224"/>
      <c r="VTP224"/>
      <c r="VTQ224"/>
      <c r="VTR224"/>
      <c r="VTS224"/>
      <c r="VTT224"/>
      <c r="VTU224"/>
      <c r="VTV224"/>
      <c r="VTW224"/>
      <c r="VTX224"/>
      <c r="VTY224"/>
      <c r="VTZ224"/>
      <c r="VUA224"/>
      <c r="VUB224"/>
      <c r="VUC224"/>
      <c r="VUD224"/>
      <c r="VUE224"/>
      <c r="VUF224"/>
      <c r="VUG224"/>
      <c r="VUH224"/>
      <c r="VUI224"/>
      <c r="VUJ224"/>
      <c r="VUK224"/>
      <c r="VUL224"/>
      <c r="VUM224"/>
      <c r="VUN224"/>
      <c r="VUO224"/>
      <c r="VUP224"/>
      <c r="VUQ224"/>
      <c r="VUR224"/>
      <c r="VUS224"/>
      <c r="VUT224"/>
      <c r="VUU224"/>
      <c r="VUV224"/>
      <c r="VUW224"/>
      <c r="VUX224"/>
      <c r="VUY224"/>
      <c r="VUZ224"/>
      <c r="VVA224"/>
      <c r="VVB224"/>
      <c r="VVC224"/>
      <c r="VVD224"/>
      <c r="VVE224"/>
      <c r="VVF224"/>
      <c r="VVG224"/>
      <c r="VVH224"/>
      <c r="VVI224"/>
      <c r="VVJ224"/>
      <c r="VVK224"/>
      <c r="VVL224"/>
      <c r="VVM224"/>
      <c r="VVN224"/>
      <c r="VVO224"/>
      <c r="VVP224"/>
      <c r="VVQ224"/>
      <c r="VVR224"/>
      <c r="VVS224"/>
      <c r="VVT224"/>
      <c r="VVU224"/>
      <c r="VVV224"/>
      <c r="VVW224"/>
      <c r="VVX224"/>
      <c r="VVY224"/>
      <c r="VVZ224"/>
      <c r="VWA224"/>
    </row>
    <row r="225" spans="2:113 15079:15471" s="45" customFormat="1" ht="15.75" thickBot="1" x14ac:dyDescent="0.3">
      <c r="B225" s="282"/>
      <c r="C225" s="181" t="s">
        <v>1</v>
      </c>
      <c r="D225" s="182">
        <f>SUM(D223:D224)</f>
        <v>1460.001</v>
      </c>
      <c r="E225" s="183" t="s">
        <v>22</v>
      </c>
      <c r="F225" s="184">
        <f t="shared" ref="F225:AI225" si="90">F221</f>
        <v>1502.1151</v>
      </c>
      <c r="G225" s="185">
        <f t="shared" si="90"/>
        <v>1527.3072999999999</v>
      </c>
      <c r="H225" s="185">
        <f t="shared" si="90"/>
        <v>1569.0337</v>
      </c>
      <c r="I225" s="184">
        <f t="shared" si="90"/>
        <v>1482.3052</v>
      </c>
      <c r="J225" s="184">
        <f t="shared" si="90"/>
        <v>1375.9304</v>
      </c>
      <c r="K225" s="184">
        <f t="shared" si="90"/>
        <v>1394.6014</v>
      </c>
      <c r="L225" s="184">
        <f t="shared" si="90"/>
        <v>1476.6306999999999</v>
      </c>
      <c r="M225" s="184">
        <f t="shared" si="90"/>
        <v>1524.0301999999999</v>
      </c>
      <c r="N225" s="184">
        <f t="shared" si="90"/>
        <v>1462.3639000000001</v>
      </c>
      <c r="O225" s="184">
        <f t="shared" si="90"/>
        <v>1437.2036000000001</v>
      </c>
      <c r="P225" s="184">
        <f t="shared" si="90"/>
        <v>1311.1533999999999</v>
      </c>
      <c r="Q225" s="184">
        <f>Q221</f>
        <v>1318.9537</v>
      </c>
      <c r="R225" s="184">
        <f>R221</f>
        <v>1281.8456000000001</v>
      </c>
      <c r="S225" s="184">
        <f t="shared" si="90"/>
        <v>1244.0391999999999</v>
      </c>
      <c r="T225" s="184">
        <f t="shared" si="90"/>
        <v>1171.5266999999999</v>
      </c>
      <c r="U225" s="184">
        <f t="shared" si="90"/>
        <v>1274.5196000000001</v>
      </c>
      <c r="V225" s="184">
        <f t="shared" si="90"/>
        <v>1246.7755</v>
      </c>
      <c r="W225" s="184">
        <f t="shared" si="90"/>
        <v>1213.0215000000001</v>
      </c>
      <c r="X225" s="184">
        <f t="shared" si="90"/>
        <v>1210.2179000000001</v>
      </c>
      <c r="Y225" s="184">
        <f t="shared" si="90"/>
        <v>1195.9855</v>
      </c>
      <c r="Z225" s="184">
        <f t="shared" si="90"/>
        <v>1192.9256</v>
      </c>
      <c r="AA225" s="184">
        <f t="shared" si="90"/>
        <v>1362.6496999999999</v>
      </c>
      <c r="AB225" s="184">
        <f t="shared" si="90"/>
        <v>1300.9244000000001</v>
      </c>
      <c r="AC225" s="184">
        <f t="shared" si="90"/>
        <v>1188.3417999999999</v>
      </c>
      <c r="AD225" s="184">
        <f t="shared" si="90"/>
        <v>1205.4915000000001</v>
      </c>
      <c r="AE225" s="184">
        <f t="shared" si="90"/>
        <v>1106.4519</v>
      </c>
      <c r="AF225" s="184">
        <f t="shared" si="90"/>
        <v>1044.8927000000001</v>
      </c>
      <c r="AG225" s="184">
        <f t="shared" si="90"/>
        <v>1204.5941</v>
      </c>
      <c r="AH225" s="184">
        <f t="shared" si="90"/>
        <v>1087.5295000000001</v>
      </c>
      <c r="AI225" s="283">
        <f t="shared" si="90"/>
        <v>1184.3013000000001</v>
      </c>
      <c r="AJ225" s="16"/>
      <c r="AK225" s="22">
        <f>SUM(AK223:AK224)</f>
        <v>39097.662599999996</v>
      </c>
      <c r="AT225" s="419"/>
      <c r="DI225" s="284"/>
    </row>
    <row r="226" spans="2:113 15079:15471" s="45" customFormat="1" x14ac:dyDescent="0.25">
      <c r="B226" s="215">
        <v>9</v>
      </c>
      <c r="C226" s="186" t="s">
        <v>21</v>
      </c>
      <c r="D226" s="187"/>
      <c r="E226" s="187"/>
      <c r="F226" s="188"/>
      <c r="G226" s="188"/>
      <c r="H226" s="188"/>
      <c r="I226" s="188"/>
      <c r="J226" s="188"/>
      <c r="K226" s="188"/>
      <c r="L226" s="188"/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  <c r="AA226" s="188"/>
      <c r="AB226" s="188"/>
      <c r="AC226" s="188"/>
      <c r="AD226" s="188"/>
      <c r="AE226" s="188"/>
      <c r="AF226" s="188"/>
      <c r="AG226" s="377"/>
      <c r="AH226" s="377"/>
      <c r="AI226" s="285"/>
      <c r="AJ226" s="16"/>
      <c r="AK226" s="73" t="s">
        <v>20</v>
      </c>
      <c r="DI226" s="284"/>
    </row>
    <row r="227" spans="2:113 15079:15471" s="45" customFormat="1" x14ac:dyDescent="0.25">
      <c r="B227" s="215"/>
      <c r="C227" s="113" t="s">
        <v>4</v>
      </c>
      <c r="D227" s="109">
        <f>17000*24</f>
        <v>408000</v>
      </c>
      <c r="E227" s="160" t="s">
        <v>16</v>
      </c>
      <c r="F227" s="157">
        <v>313160</v>
      </c>
      <c r="G227" s="157">
        <v>335667</v>
      </c>
      <c r="H227" s="157">
        <v>343456</v>
      </c>
      <c r="I227" s="157">
        <v>330262</v>
      </c>
      <c r="J227" s="157">
        <v>307941</v>
      </c>
      <c r="K227" s="157">
        <v>344946</v>
      </c>
      <c r="L227" s="157">
        <v>331706</v>
      </c>
      <c r="M227" s="157">
        <v>336161</v>
      </c>
      <c r="N227" s="157">
        <v>343378</v>
      </c>
      <c r="O227" s="157">
        <v>330148</v>
      </c>
      <c r="P227" s="157">
        <v>287571</v>
      </c>
      <c r="Q227" s="157">
        <v>276848</v>
      </c>
      <c r="R227" s="157">
        <v>272350</v>
      </c>
      <c r="S227" s="157">
        <v>261947</v>
      </c>
      <c r="T227" s="157">
        <v>250837</v>
      </c>
      <c r="U227" s="157">
        <v>269516</v>
      </c>
      <c r="V227" s="157">
        <v>278362</v>
      </c>
      <c r="W227" s="157">
        <v>269825</v>
      </c>
      <c r="X227" s="157">
        <v>257256</v>
      </c>
      <c r="Y227" s="157">
        <v>255204</v>
      </c>
      <c r="Z227" s="157">
        <v>259109</v>
      </c>
      <c r="AA227" s="157">
        <v>315458</v>
      </c>
      <c r="AB227" s="157">
        <v>301303</v>
      </c>
      <c r="AC227" s="157">
        <v>274890</v>
      </c>
      <c r="AD227" s="157">
        <v>263260</v>
      </c>
      <c r="AE227" s="157">
        <v>238100</v>
      </c>
      <c r="AF227" s="157">
        <v>190587</v>
      </c>
      <c r="AG227" s="360">
        <v>253088</v>
      </c>
      <c r="AH227" s="360">
        <v>220669</v>
      </c>
      <c r="AI227" s="244">
        <v>260609</v>
      </c>
      <c r="AJ227" s="16"/>
      <c r="AK227" s="15">
        <f>SUM(F227:AI227)</f>
        <v>8573614</v>
      </c>
      <c r="AL227" s="18"/>
      <c r="DI227" s="284"/>
    </row>
    <row r="228" spans="2:113 15079:15471" s="45" customFormat="1" x14ac:dyDescent="0.25">
      <c r="B228" s="215"/>
      <c r="C228" s="164" t="s">
        <v>19</v>
      </c>
      <c r="D228" s="159"/>
      <c r="E228" s="101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360"/>
      <c r="AH228" s="360"/>
      <c r="AI228" s="244"/>
      <c r="AJ228" s="16"/>
      <c r="AK228" s="19" t="s">
        <v>19</v>
      </c>
      <c r="AL228" s="18"/>
      <c r="DI228" s="284"/>
    </row>
    <row r="229" spans="2:113 15079:15471" s="1" customFormat="1" x14ac:dyDescent="0.25">
      <c r="B229" s="223"/>
      <c r="C229" s="113" t="s">
        <v>18</v>
      </c>
      <c r="D229" s="109">
        <v>180000</v>
      </c>
      <c r="E229" s="160" t="s">
        <v>16</v>
      </c>
      <c r="F229" s="78">
        <v>184400</v>
      </c>
      <c r="G229" s="78">
        <v>188200</v>
      </c>
      <c r="H229" s="78">
        <v>182500</v>
      </c>
      <c r="I229" s="78">
        <v>185100</v>
      </c>
      <c r="J229" s="107">
        <v>172800</v>
      </c>
      <c r="K229" s="107">
        <v>174300</v>
      </c>
      <c r="L229" s="78">
        <v>191900</v>
      </c>
      <c r="M229" s="78">
        <v>185500</v>
      </c>
      <c r="N229" s="107">
        <v>179800</v>
      </c>
      <c r="O229" s="107">
        <v>176200</v>
      </c>
      <c r="P229" s="107">
        <v>172500</v>
      </c>
      <c r="Q229" s="107">
        <v>168900</v>
      </c>
      <c r="R229" s="107">
        <v>171500</v>
      </c>
      <c r="S229" s="107">
        <v>166200</v>
      </c>
      <c r="T229" s="107">
        <v>181900</v>
      </c>
      <c r="U229" s="107">
        <v>172400</v>
      </c>
      <c r="V229" s="107">
        <v>178980</v>
      </c>
      <c r="W229" s="107">
        <v>172920</v>
      </c>
      <c r="X229" s="107">
        <v>162500</v>
      </c>
      <c r="Y229" s="107">
        <v>165500</v>
      </c>
      <c r="Z229" s="107">
        <v>169500</v>
      </c>
      <c r="AA229" s="107">
        <v>176200</v>
      </c>
      <c r="AB229" s="107">
        <v>173500</v>
      </c>
      <c r="AC229" s="107">
        <v>169900</v>
      </c>
      <c r="AD229" s="107">
        <v>168200</v>
      </c>
      <c r="AE229" s="107">
        <v>163800</v>
      </c>
      <c r="AF229" s="107">
        <v>163900</v>
      </c>
      <c r="AG229" s="351">
        <v>163300</v>
      </c>
      <c r="AH229" s="351">
        <v>161400</v>
      </c>
      <c r="AI229" s="217">
        <v>167600</v>
      </c>
      <c r="AJ229" s="9"/>
      <c r="AK229" s="17">
        <f>SUM(F229:AI229)</f>
        <v>5211300</v>
      </c>
      <c r="DI229" s="4"/>
      <c r="VGY229"/>
      <c r="VGZ229"/>
      <c r="VHA229"/>
      <c r="VHB229"/>
      <c r="VHC229"/>
      <c r="VHD229"/>
      <c r="VHE229"/>
      <c r="VHF229"/>
      <c r="VHG229"/>
      <c r="VHH229"/>
      <c r="VHI229"/>
      <c r="VHJ229"/>
      <c r="VHK229"/>
      <c r="VHL229"/>
      <c r="VHM229"/>
      <c r="VHN229"/>
      <c r="VHO229"/>
      <c r="VHP229"/>
      <c r="VHQ229"/>
      <c r="VHR229"/>
      <c r="VHS229"/>
      <c r="VHT229"/>
      <c r="VHU229"/>
      <c r="VHV229"/>
      <c r="VHW229"/>
      <c r="VHX229"/>
      <c r="VHY229"/>
      <c r="VHZ229"/>
      <c r="VIA229"/>
      <c r="VIB229"/>
      <c r="VIC229"/>
      <c r="VID229"/>
      <c r="VIE229"/>
      <c r="VIF229"/>
      <c r="VIG229"/>
      <c r="VIH229"/>
      <c r="VII229"/>
      <c r="VIJ229"/>
      <c r="VIK229"/>
      <c r="VIL229"/>
      <c r="VIM229"/>
      <c r="VIN229"/>
      <c r="VIO229"/>
      <c r="VIP229"/>
      <c r="VIQ229"/>
      <c r="VIR229"/>
      <c r="VIS229"/>
      <c r="VIT229"/>
      <c r="VIU229"/>
      <c r="VIV229"/>
      <c r="VIW229"/>
      <c r="VIX229"/>
      <c r="VIY229"/>
      <c r="VIZ229"/>
      <c r="VJA229"/>
      <c r="VJB229"/>
      <c r="VJC229"/>
      <c r="VJD229"/>
      <c r="VJE229"/>
      <c r="VJF229"/>
      <c r="VJG229"/>
      <c r="VJH229"/>
      <c r="VJI229"/>
      <c r="VJJ229"/>
      <c r="VJK229"/>
      <c r="VJL229"/>
      <c r="VJM229"/>
      <c r="VJN229"/>
      <c r="VJO229"/>
      <c r="VJP229"/>
      <c r="VJQ229"/>
      <c r="VJR229"/>
      <c r="VJS229"/>
      <c r="VJT229"/>
      <c r="VJU229"/>
      <c r="VJV229"/>
      <c r="VJW229"/>
      <c r="VJX229"/>
      <c r="VJY229"/>
      <c r="VJZ229"/>
      <c r="VKA229"/>
      <c r="VKB229"/>
      <c r="VKC229"/>
      <c r="VKD229"/>
      <c r="VKE229"/>
      <c r="VKF229"/>
      <c r="VKG229"/>
      <c r="VKH229"/>
      <c r="VKI229"/>
      <c r="VKJ229"/>
      <c r="VKK229"/>
      <c r="VKL229"/>
      <c r="VKM229"/>
      <c r="VKN229"/>
      <c r="VKO229"/>
      <c r="VKP229"/>
      <c r="VKQ229"/>
      <c r="VKR229"/>
      <c r="VKS229"/>
      <c r="VKT229"/>
      <c r="VKU229"/>
      <c r="VKV229"/>
      <c r="VKW229"/>
      <c r="VKX229"/>
      <c r="VKY229"/>
      <c r="VKZ229"/>
      <c r="VLA229"/>
      <c r="VLB229"/>
      <c r="VLC229"/>
      <c r="VLD229"/>
      <c r="VLE229"/>
      <c r="VLF229"/>
      <c r="VLG229"/>
      <c r="VLH229"/>
      <c r="VLI229"/>
      <c r="VLJ229"/>
      <c r="VLK229"/>
      <c r="VLL229"/>
      <c r="VLM229"/>
      <c r="VLN229"/>
      <c r="VLO229"/>
      <c r="VLP229"/>
      <c r="VLQ229"/>
      <c r="VLR229"/>
      <c r="VLS229"/>
      <c r="VLT229"/>
      <c r="VLU229"/>
      <c r="VLV229"/>
      <c r="VLW229"/>
      <c r="VLX229"/>
      <c r="VLY229"/>
      <c r="VLZ229"/>
      <c r="VMA229"/>
      <c r="VMB229"/>
      <c r="VMC229"/>
      <c r="VMD229"/>
      <c r="VME229"/>
      <c r="VMF229"/>
      <c r="VMG229"/>
      <c r="VMH229"/>
      <c r="VMI229"/>
      <c r="VMJ229"/>
      <c r="VMK229"/>
      <c r="VML229"/>
      <c r="VMM229"/>
      <c r="VMN229"/>
      <c r="VMO229"/>
      <c r="VMP229"/>
      <c r="VMQ229"/>
      <c r="VMR229"/>
      <c r="VMS229"/>
      <c r="VMT229"/>
      <c r="VMU229"/>
      <c r="VMV229"/>
      <c r="VMW229"/>
      <c r="VMX229"/>
      <c r="VMY229"/>
      <c r="VMZ229"/>
      <c r="VNA229"/>
      <c r="VNB229"/>
      <c r="VNC229"/>
      <c r="VND229"/>
      <c r="VNE229"/>
      <c r="VNF229"/>
      <c r="VNG229"/>
      <c r="VNH229"/>
      <c r="VNI229"/>
      <c r="VNJ229"/>
      <c r="VNK229"/>
      <c r="VNL229"/>
      <c r="VNM229"/>
      <c r="VNN229"/>
      <c r="VNO229"/>
      <c r="VNP229"/>
      <c r="VNQ229"/>
      <c r="VNR229"/>
      <c r="VNS229"/>
      <c r="VNT229"/>
      <c r="VNU229"/>
      <c r="VNV229"/>
      <c r="VNW229"/>
      <c r="VNX229"/>
      <c r="VNY229"/>
      <c r="VNZ229"/>
      <c r="VOA229"/>
      <c r="VOB229"/>
      <c r="VOC229"/>
      <c r="VOD229"/>
      <c r="VOE229"/>
      <c r="VOF229"/>
      <c r="VOG229"/>
      <c r="VOH229"/>
      <c r="VOI229"/>
      <c r="VOJ229"/>
      <c r="VOK229"/>
      <c r="VOL229"/>
      <c r="VOM229"/>
      <c r="VON229"/>
      <c r="VOO229"/>
      <c r="VOP229"/>
      <c r="VOQ229"/>
      <c r="VOR229"/>
      <c r="VOS229"/>
      <c r="VOT229"/>
      <c r="VOU229"/>
      <c r="VOV229"/>
      <c r="VOW229"/>
      <c r="VOX229"/>
      <c r="VOY229"/>
      <c r="VOZ229"/>
      <c r="VPA229"/>
      <c r="VPB229"/>
      <c r="VPC229"/>
      <c r="VPD229"/>
      <c r="VPE229"/>
      <c r="VPF229"/>
      <c r="VPG229"/>
      <c r="VPH229"/>
      <c r="VPI229"/>
      <c r="VPJ229"/>
      <c r="VPK229"/>
      <c r="VPL229"/>
      <c r="VPM229"/>
      <c r="VPN229"/>
      <c r="VPO229"/>
      <c r="VPP229"/>
      <c r="VPQ229"/>
      <c r="VPR229"/>
      <c r="VPS229"/>
      <c r="VPT229"/>
      <c r="VPU229"/>
      <c r="VPV229"/>
      <c r="VPW229"/>
      <c r="VPX229"/>
      <c r="VPY229"/>
      <c r="VPZ229"/>
      <c r="VQA229"/>
      <c r="VQB229"/>
      <c r="VQC229"/>
      <c r="VQD229"/>
      <c r="VQE229"/>
      <c r="VQF229"/>
      <c r="VQG229"/>
      <c r="VQH229"/>
      <c r="VQI229"/>
      <c r="VQJ229"/>
      <c r="VQK229"/>
      <c r="VQL229"/>
      <c r="VQM229"/>
      <c r="VQN229"/>
      <c r="VQO229"/>
      <c r="VQP229"/>
      <c r="VQQ229"/>
      <c r="VQR229"/>
      <c r="VQS229"/>
      <c r="VQT229"/>
      <c r="VQU229"/>
      <c r="VQV229"/>
      <c r="VQW229"/>
      <c r="VQX229"/>
      <c r="VQY229"/>
      <c r="VQZ229"/>
      <c r="VRA229"/>
      <c r="VRB229"/>
      <c r="VRC229"/>
      <c r="VRD229"/>
      <c r="VRE229"/>
      <c r="VRF229"/>
      <c r="VRG229"/>
      <c r="VRH229"/>
      <c r="VRI229"/>
      <c r="VRJ229"/>
      <c r="VRK229"/>
      <c r="VRL229"/>
      <c r="VRM229"/>
      <c r="VRN229"/>
      <c r="VRO229"/>
      <c r="VRP229"/>
      <c r="VRQ229"/>
      <c r="VRR229"/>
      <c r="VRS229"/>
      <c r="VRT229"/>
      <c r="VRU229"/>
      <c r="VRV229"/>
      <c r="VRW229"/>
      <c r="VRX229"/>
      <c r="VRY229"/>
      <c r="VRZ229"/>
      <c r="VSA229"/>
      <c r="VSB229"/>
      <c r="VSC229"/>
      <c r="VSD229"/>
      <c r="VSE229"/>
      <c r="VSF229"/>
      <c r="VSG229"/>
      <c r="VSH229"/>
      <c r="VSI229"/>
      <c r="VSJ229"/>
      <c r="VSK229"/>
      <c r="VSL229"/>
      <c r="VSM229"/>
      <c r="VSN229"/>
      <c r="VSO229"/>
      <c r="VSP229"/>
      <c r="VSQ229"/>
      <c r="VSR229"/>
      <c r="VSS229"/>
      <c r="VST229"/>
      <c r="VSU229"/>
      <c r="VSV229"/>
      <c r="VSW229"/>
      <c r="VSX229"/>
      <c r="VSY229"/>
      <c r="VSZ229"/>
      <c r="VTA229"/>
      <c r="VTB229"/>
      <c r="VTC229"/>
      <c r="VTD229"/>
      <c r="VTE229"/>
      <c r="VTF229"/>
      <c r="VTG229"/>
      <c r="VTH229"/>
      <c r="VTI229"/>
      <c r="VTJ229"/>
      <c r="VTK229"/>
      <c r="VTL229"/>
      <c r="VTM229"/>
      <c r="VTN229"/>
      <c r="VTO229"/>
      <c r="VTP229"/>
      <c r="VTQ229"/>
      <c r="VTR229"/>
      <c r="VTS229"/>
      <c r="VTT229"/>
      <c r="VTU229"/>
      <c r="VTV229"/>
      <c r="VTW229"/>
      <c r="VTX229"/>
      <c r="VTY229"/>
      <c r="VTZ229"/>
      <c r="VUA229"/>
      <c r="VUB229"/>
      <c r="VUC229"/>
      <c r="VUD229"/>
      <c r="VUE229"/>
      <c r="VUF229"/>
      <c r="VUG229"/>
      <c r="VUH229"/>
      <c r="VUI229"/>
      <c r="VUJ229"/>
      <c r="VUK229"/>
      <c r="VUL229"/>
      <c r="VUM229"/>
      <c r="VUN229"/>
      <c r="VUO229"/>
      <c r="VUP229"/>
      <c r="VUQ229"/>
      <c r="VUR229"/>
      <c r="VUS229"/>
      <c r="VUT229"/>
      <c r="VUU229"/>
      <c r="VUV229"/>
      <c r="VUW229"/>
      <c r="VUX229"/>
      <c r="VUY229"/>
      <c r="VUZ229"/>
      <c r="VVA229"/>
      <c r="VVB229"/>
      <c r="VVC229"/>
      <c r="VVD229"/>
      <c r="VVE229"/>
      <c r="VVF229"/>
      <c r="VVG229"/>
      <c r="VVH229"/>
      <c r="VVI229"/>
      <c r="VVJ229"/>
      <c r="VVK229"/>
      <c r="VVL229"/>
      <c r="VVM229"/>
      <c r="VVN229"/>
      <c r="VVO229"/>
      <c r="VVP229"/>
      <c r="VVQ229"/>
      <c r="VVR229"/>
      <c r="VVS229"/>
      <c r="VVT229"/>
      <c r="VVU229"/>
      <c r="VVV229"/>
      <c r="VVW229"/>
      <c r="VVX229"/>
      <c r="VVY229"/>
      <c r="VVZ229"/>
      <c r="VWA229"/>
    </row>
    <row r="230" spans="2:113 15079:15471" s="1" customFormat="1" x14ac:dyDescent="0.25">
      <c r="B230" s="223"/>
      <c r="C230" s="113" t="s">
        <v>17</v>
      </c>
      <c r="D230" s="109">
        <v>122000</v>
      </c>
      <c r="E230" s="160" t="s">
        <v>16</v>
      </c>
      <c r="F230" s="107">
        <v>101200</v>
      </c>
      <c r="G230" s="107">
        <v>103100</v>
      </c>
      <c r="H230" s="107">
        <v>113400</v>
      </c>
      <c r="I230" s="107">
        <v>71000</v>
      </c>
      <c r="J230" s="107">
        <v>99500</v>
      </c>
      <c r="K230" s="107">
        <v>111000</v>
      </c>
      <c r="L230" s="107">
        <v>98700</v>
      </c>
      <c r="M230" s="107">
        <v>102000</v>
      </c>
      <c r="N230" s="107">
        <v>105100</v>
      </c>
      <c r="O230" s="107">
        <v>113000</v>
      </c>
      <c r="P230" s="107">
        <v>102900</v>
      </c>
      <c r="Q230" s="107">
        <v>98000</v>
      </c>
      <c r="R230" s="107">
        <v>98600</v>
      </c>
      <c r="S230" s="107">
        <v>92700</v>
      </c>
      <c r="T230" s="107">
        <v>85580</v>
      </c>
      <c r="U230" s="107">
        <v>95600</v>
      </c>
      <c r="V230" s="107">
        <v>93500</v>
      </c>
      <c r="W230" s="107">
        <v>91800</v>
      </c>
      <c r="X230" s="107">
        <v>88900</v>
      </c>
      <c r="Y230" s="107">
        <v>81100</v>
      </c>
      <c r="Z230" s="107">
        <v>76500</v>
      </c>
      <c r="AA230" s="107">
        <v>65100</v>
      </c>
      <c r="AB230" s="107">
        <v>76700</v>
      </c>
      <c r="AC230" s="107">
        <v>71900</v>
      </c>
      <c r="AD230" s="107">
        <v>74600</v>
      </c>
      <c r="AE230" s="107">
        <v>84700</v>
      </c>
      <c r="AF230" s="107">
        <v>38000</v>
      </c>
      <c r="AG230" s="351">
        <v>84300</v>
      </c>
      <c r="AH230" s="351">
        <v>61300</v>
      </c>
      <c r="AI230" s="217">
        <v>93200</v>
      </c>
      <c r="AJ230" s="9"/>
      <c r="AK230" s="17">
        <f>SUM(F230:AI230)</f>
        <v>2672980</v>
      </c>
      <c r="DI230" s="4"/>
      <c r="VGY230"/>
      <c r="VGZ230"/>
      <c r="VHA230"/>
      <c r="VHB230"/>
      <c r="VHC230"/>
      <c r="VHD230"/>
      <c r="VHE230"/>
      <c r="VHF230"/>
      <c r="VHG230"/>
      <c r="VHH230"/>
      <c r="VHI230"/>
      <c r="VHJ230"/>
      <c r="VHK230"/>
      <c r="VHL230"/>
      <c r="VHM230"/>
      <c r="VHN230"/>
      <c r="VHO230"/>
      <c r="VHP230"/>
      <c r="VHQ230"/>
      <c r="VHR230"/>
      <c r="VHS230"/>
      <c r="VHT230"/>
      <c r="VHU230"/>
      <c r="VHV230"/>
      <c r="VHW230"/>
      <c r="VHX230"/>
      <c r="VHY230"/>
      <c r="VHZ230"/>
      <c r="VIA230"/>
      <c r="VIB230"/>
      <c r="VIC230"/>
      <c r="VID230"/>
      <c r="VIE230"/>
      <c r="VIF230"/>
      <c r="VIG230"/>
      <c r="VIH230"/>
      <c r="VII230"/>
      <c r="VIJ230"/>
      <c r="VIK230"/>
      <c r="VIL230"/>
      <c r="VIM230"/>
      <c r="VIN230"/>
      <c r="VIO230"/>
      <c r="VIP230"/>
      <c r="VIQ230"/>
      <c r="VIR230"/>
      <c r="VIS230"/>
      <c r="VIT230"/>
      <c r="VIU230"/>
      <c r="VIV230"/>
      <c r="VIW230"/>
      <c r="VIX230"/>
      <c r="VIY230"/>
      <c r="VIZ230"/>
      <c r="VJA230"/>
      <c r="VJB230"/>
      <c r="VJC230"/>
      <c r="VJD230"/>
      <c r="VJE230"/>
      <c r="VJF230"/>
      <c r="VJG230"/>
      <c r="VJH230"/>
      <c r="VJI230"/>
      <c r="VJJ230"/>
      <c r="VJK230"/>
      <c r="VJL230"/>
      <c r="VJM230"/>
      <c r="VJN230"/>
      <c r="VJO230"/>
      <c r="VJP230"/>
      <c r="VJQ230"/>
      <c r="VJR230"/>
      <c r="VJS230"/>
      <c r="VJT230"/>
      <c r="VJU230"/>
      <c r="VJV230"/>
      <c r="VJW230"/>
      <c r="VJX230"/>
      <c r="VJY230"/>
      <c r="VJZ230"/>
      <c r="VKA230"/>
      <c r="VKB230"/>
      <c r="VKC230"/>
      <c r="VKD230"/>
      <c r="VKE230"/>
      <c r="VKF230"/>
      <c r="VKG230"/>
      <c r="VKH230"/>
      <c r="VKI230"/>
      <c r="VKJ230"/>
      <c r="VKK230"/>
      <c r="VKL230"/>
      <c r="VKM230"/>
      <c r="VKN230"/>
      <c r="VKO230"/>
      <c r="VKP230"/>
      <c r="VKQ230"/>
      <c r="VKR230"/>
      <c r="VKS230"/>
      <c r="VKT230"/>
      <c r="VKU230"/>
      <c r="VKV230"/>
      <c r="VKW230"/>
      <c r="VKX230"/>
      <c r="VKY230"/>
      <c r="VKZ230"/>
      <c r="VLA230"/>
      <c r="VLB230"/>
      <c r="VLC230"/>
      <c r="VLD230"/>
      <c r="VLE230"/>
      <c r="VLF230"/>
      <c r="VLG230"/>
      <c r="VLH230"/>
      <c r="VLI230"/>
      <c r="VLJ230"/>
      <c r="VLK230"/>
      <c r="VLL230"/>
      <c r="VLM230"/>
      <c r="VLN230"/>
      <c r="VLO230"/>
      <c r="VLP230"/>
      <c r="VLQ230"/>
      <c r="VLR230"/>
      <c r="VLS230"/>
      <c r="VLT230"/>
      <c r="VLU230"/>
      <c r="VLV230"/>
      <c r="VLW230"/>
      <c r="VLX230"/>
      <c r="VLY230"/>
      <c r="VLZ230"/>
      <c r="VMA230"/>
      <c r="VMB230"/>
      <c r="VMC230"/>
      <c r="VMD230"/>
      <c r="VME230"/>
      <c r="VMF230"/>
      <c r="VMG230"/>
      <c r="VMH230"/>
      <c r="VMI230"/>
      <c r="VMJ230"/>
      <c r="VMK230"/>
      <c r="VML230"/>
      <c r="VMM230"/>
      <c r="VMN230"/>
      <c r="VMO230"/>
      <c r="VMP230"/>
      <c r="VMQ230"/>
      <c r="VMR230"/>
      <c r="VMS230"/>
      <c r="VMT230"/>
      <c r="VMU230"/>
      <c r="VMV230"/>
      <c r="VMW230"/>
      <c r="VMX230"/>
      <c r="VMY230"/>
      <c r="VMZ230"/>
      <c r="VNA230"/>
      <c r="VNB230"/>
      <c r="VNC230"/>
      <c r="VND230"/>
      <c r="VNE230"/>
      <c r="VNF230"/>
      <c r="VNG230"/>
      <c r="VNH230"/>
      <c r="VNI230"/>
      <c r="VNJ230"/>
      <c r="VNK230"/>
      <c r="VNL230"/>
      <c r="VNM230"/>
      <c r="VNN230"/>
      <c r="VNO230"/>
      <c r="VNP230"/>
      <c r="VNQ230"/>
      <c r="VNR230"/>
      <c r="VNS230"/>
      <c r="VNT230"/>
      <c r="VNU230"/>
      <c r="VNV230"/>
      <c r="VNW230"/>
      <c r="VNX230"/>
      <c r="VNY230"/>
      <c r="VNZ230"/>
      <c r="VOA230"/>
      <c r="VOB230"/>
      <c r="VOC230"/>
      <c r="VOD230"/>
      <c r="VOE230"/>
      <c r="VOF230"/>
      <c r="VOG230"/>
      <c r="VOH230"/>
      <c r="VOI230"/>
      <c r="VOJ230"/>
      <c r="VOK230"/>
      <c r="VOL230"/>
      <c r="VOM230"/>
      <c r="VON230"/>
      <c r="VOO230"/>
      <c r="VOP230"/>
      <c r="VOQ230"/>
      <c r="VOR230"/>
      <c r="VOS230"/>
      <c r="VOT230"/>
      <c r="VOU230"/>
      <c r="VOV230"/>
      <c r="VOW230"/>
      <c r="VOX230"/>
      <c r="VOY230"/>
      <c r="VOZ230"/>
      <c r="VPA230"/>
      <c r="VPB230"/>
      <c r="VPC230"/>
      <c r="VPD230"/>
      <c r="VPE230"/>
      <c r="VPF230"/>
      <c r="VPG230"/>
      <c r="VPH230"/>
      <c r="VPI230"/>
      <c r="VPJ230"/>
      <c r="VPK230"/>
      <c r="VPL230"/>
      <c r="VPM230"/>
      <c r="VPN230"/>
      <c r="VPO230"/>
      <c r="VPP230"/>
      <c r="VPQ230"/>
      <c r="VPR230"/>
      <c r="VPS230"/>
      <c r="VPT230"/>
      <c r="VPU230"/>
      <c r="VPV230"/>
      <c r="VPW230"/>
      <c r="VPX230"/>
      <c r="VPY230"/>
      <c r="VPZ230"/>
      <c r="VQA230"/>
      <c r="VQB230"/>
      <c r="VQC230"/>
      <c r="VQD230"/>
      <c r="VQE230"/>
      <c r="VQF230"/>
      <c r="VQG230"/>
      <c r="VQH230"/>
      <c r="VQI230"/>
      <c r="VQJ230"/>
      <c r="VQK230"/>
      <c r="VQL230"/>
      <c r="VQM230"/>
      <c r="VQN230"/>
      <c r="VQO230"/>
      <c r="VQP230"/>
      <c r="VQQ230"/>
      <c r="VQR230"/>
      <c r="VQS230"/>
      <c r="VQT230"/>
      <c r="VQU230"/>
      <c r="VQV230"/>
      <c r="VQW230"/>
      <c r="VQX230"/>
      <c r="VQY230"/>
      <c r="VQZ230"/>
      <c r="VRA230"/>
      <c r="VRB230"/>
      <c r="VRC230"/>
      <c r="VRD230"/>
      <c r="VRE230"/>
      <c r="VRF230"/>
      <c r="VRG230"/>
      <c r="VRH230"/>
      <c r="VRI230"/>
      <c r="VRJ230"/>
      <c r="VRK230"/>
      <c r="VRL230"/>
      <c r="VRM230"/>
      <c r="VRN230"/>
      <c r="VRO230"/>
      <c r="VRP230"/>
      <c r="VRQ230"/>
      <c r="VRR230"/>
      <c r="VRS230"/>
      <c r="VRT230"/>
      <c r="VRU230"/>
      <c r="VRV230"/>
      <c r="VRW230"/>
      <c r="VRX230"/>
      <c r="VRY230"/>
      <c r="VRZ230"/>
      <c r="VSA230"/>
      <c r="VSB230"/>
      <c r="VSC230"/>
      <c r="VSD230"/>
      <c r="VSE230"/>
      <c r="VSF230"/>
      <c r="VSG230"/>
      <c r="VSH230"/>
      <c r="VSI230"/>
      <c r="VSJ230"/>
      <c r="VSK230"/>
      <c r="VSL230"/>
      <c r="VSM230"/>
      <c r="VSN230"/>
      <c r="VSO230"/>
      <c r="VSP230"/>
      <c r="VSQ230"/>
      <c r="VSR230"/>
      <c r="VSS230"/>
      <c r="VST230"/>
      <c r="VSU230"/>
      <c r="VSV230"/>
      <c r="VSW230"/>
      <c r="VSX230"/>
      <c r="VSY230"/>
      <c r="VSZ230"/>
      <c r="VTA230"/>
      <c r="VTB230"/>
      <c r="VTC230"/>
      <c r="VTD230"/>
      <c r="VTE230"/>
      <c r="VTF230"/>
      <c r="VTG230"/>
      <c r="VTH230"/>
      <c r="VTI230"/>
      <c r="VTJ230"/>
      <c r="VTK230"/>
      <c r="VTL230"/>
      <c r="VTM230"/>
      <c r="VTN230"/>
      <c r="VTO230"/>
      <c r="VTP230"/>
      <c r="VTQ230"/>
      <c r="VTR230"/>
      <c r="VTS230"/>
      <c r="VTT230"/>
      <c r="VTU230"/>
      <c r="VTV230"/>
      <c r="VTW230"/>
      <c r="VTX230"/>
      <c r="VTY230"/>
      <c r="VTZ230"/>
      <c r="VUA230"/>
      <c r="VUB230"/>
      <c r="VUC230"/>
      <c r="VUD230"/>
      <c r="VUE230"/>
      <c r="VUF230"/>
      <c r="VUG230"/>
      <c r="VUH230"/>
      <c r="VUI230"/>
      <c r="VUJ230"/>
      <c r="VUK230"/>
      <c r="VUL230"/>
      <c r="VUM230"/>
      <c r="VUN230"/>
      <c r="VUO230"/>
      <c r="VUP230"/>
      <c r="VUQ230"/>
      <c r="VUR230"/>
      <c r="VUS230"/>
      <c r="VUT230"/>
      <c r="VUU230"/>
      <c r="VUV230"/>
      <c r="VUW230"/>
      <c r="VUX230"/>
      <c r="VUY230"/>
      <c r="VUZ230"/>
      <c r="VVA230"/>
      <c r="VVB230"/>
      <c r="VVC230"/>
      <c r="VVD230"/>
      <c r="VVE230"/>
      <c r="VVF230"/>
      <c r="VVG230"/>
      <c r="VVH230"/>
      <c r="VVI230"/>
      <c r="VVJ230"/>
      <c r="VVK230"/>
      <c r="VVL230"/>
      <c r="VVM230"/>
      <c r="VVN230"/>
      <c r="VVO230"/>
      <c r="VVP230"/>
      <c r="VVQ230"/>
      <c r="VVR230"/>
      <c r="VVS230"/>
      <c r="VVT230"/>
      <c r="VVU230"/>
      <c r="VVV230"/>
      <c r="VVW230"/>
      <c r="VVX230"/>
      <c r="VVY230"/>
      <c r="VVZ230"/>
      <c r="VWA230"/>
    </row>
    <row r="231" spans="2:113 15079:15471" s="1" customFormat="1" x14ac:dyDescent="0.25">
      <c r="B231" s="223"/>
      <c r="C231" s="113" t="s">
        <v>8</v>
      </c>
      <c r="D231" s="109">
        <f>D227-D229-D230</f>
        <v>106000</v>
      </c>
      <c r="E231" s="160" t="s">
        <v>16</v>
      </c>
      <c r="F231" s="107">
        <f t="shared" ref="F231:AI231" si="91">F227-F229-F230</f>
        <v>27560</v>
      </c>
      <c r="G231" s="107">
        <f t="shared" si="91"/>
        <v>44367</v>
      </c>
      <c r="H231" s="107">
        <f t="shared" si="91"/>
        <v>47556</v>
      </c>
      <c r="I231" s="107">
        <f t="shared" si="91"/>
        <v>74162</v>
      </c>
      <c r="J231" s="107">
        <f t="shared" si="91"/>
        <v>35641</v>
      </c>
      <c r="K231" s="107">
        <f t="shared" si="91"/>
        <v>59646</v>
      </c>
      <c r="L231" s="107">
        <f t="shared" si="91"/>
        <v>41106</v>
      </c>
      <c r="M231" s="107">
        <f t="shared" si="91"/>
        <v>48661</v>
      </c>
      <c r="N231" s="107">
        <f t="shared" si="91"/>
        <v>58478</v>
      </c>
      <c r="O231" s="107">
        <f t="shared" si="91"/>
        <v>40948</v>
      </c>
      <c r="P231" s="107">
        <f t="shared" si="91"/>
        <v>12171</v>
      </c>
      <c r="Q231" s="107">
        <f t="shared" si="91"/>
        <v>9948</v>
      </c>
      <c r="R231" s="107">
        <f t="shared" si="91"/>
        <v>2250</v>
      </c>
      <c r="S231" s="107">
        <f t="shared" si="91"/>
        <v>3047</v>
      </c>
      <c r="T231" s="107">
        <f t="shared" si="91"/>
        <v>-16643</v>
      </c>
      <c r="U231" s="107">
        <f t="shared" si="91"/>
        <v>1516</v>
      </c>
      <c r="V231" s="107">
        <f t="shared" si="91"/>
        <v>5882</v>
      </c>
      <c r="W231" s="107">
        <f t="shared" si="91"/>
        <v>5105</v>
      </c>
      <c r="X231" s="107">
        <f t="shared" si="91"/>
        <v>5856</v>
      </c>
      <c r="Y231" s="107">
        <f t="shared" si="91"/>
        <v>8604</v>
      </c>
      <c r="Z231" s="107">
        <f t="shared" si="91"/>
        <v>13109</v>
      </c>
      <c r="AA231" s="107">
        <f t="shared" si="91"/>
        <v>74158</v>
      </c>
      <c r="AB231" s="107">
        <f t="shared" si="91"/>
        <v>51103</v>
      </c>
      <c r="AC231" s="107">
        <f t="shared" si="91"/>
        <v>33090</v>
      </c>
      <c r="AD231" s="107">
        <f t="shared" si="91"/>
        <v>20460</v>
      </c>
      <c r="AE231" s="10">
        <f t="shared" si="91"/>
        <v>-10400</v>
      </c>
      <c r="AF231" s="10">
        <f t="shared" si="91"/>
        <v>-11313</v>
      </c>
      <c r="AG231" s="107">
        <f t="shared" si="91"/>
        <v>5488</v>
      </c>
      <c r="AH231" s="107">
        <f t="shared" si="91"/>
        <v>-2031</v>
      </c>
      <c r="AI231" s="217">
        <f t="shared" si="91"/>
        <v>-191</v>
      </c>
      <c r="AJ231" s="9"/>
      <c r="AK231" s="17">
        <f>SUM(F231:AI231)</f>
        <v>689334</v>
      </c>
      <c r="DI231" s="4"/>
      <c r="VGY231"/>
      <c r="VGZ231"/>
      <c r="VHA231"/>
      <c r="VHB231"/>
      <c r="VHC231"/>
      <c r="VHD231"/>
      <c r="VHE231"/>
      <c r="VHF231"/>
      <c r="VHG231"/>
      <c r="VHH231"/>
      <c r="VHI231"/>
      <c r="VHJ231"/>
      <c r="VHK231"/>
      <c r="VHL231"/>
      <c r="VHM231"/>
      <c r="VHN231"/>
      <c r="VHO231"/>
      <c r="VHP231"/>
      <c r="VHQ231"/>
      <c r="VHR231"/>
      <c r="VHS231"/>
      <c r="VHT231"/>
      <c r="VHU231"/>
      <c r="VHV231"/>
      <c r="VHW231"/>
      <c r="VHX231"/>
      <c r="VHY231"/>
      <c r="VHZ231"/>
      <c r="VIA231"/>
      <c r="VIB231"/>
      <c r="VIC231"/>
      <c r="VID231"/>
      <c r="VIE231"/>
      <c r="VIF231"/>
      <c r="VIG231"/>
      <c r="VIH231"/>
      <c r="VII231"/>
      <c r="VIJ231"/>
      <c r="VIK231"/>
      <c r="VIL231"/>
      <c r="VIM231"/>
      <c r="VIN231"/>
      <c r="VIO231"/>
      <c r="VIP231"/>
      <c r="VIQ231"/>
      <c r="VIR231"/>
      <c r="VIS231"/>
      <c r="VIT231"/>
      <c r="VIU231"/>
      <c r="VIV231"/>
      <c r="VIW231"/>
      <c r="VIX231"/>
      <c r="VIY231"/>
      <c r="VIZ231"/>
      <c r="VJA231"/>
      <c r="VJB231"/>
      <c r="VJC231"/>
      <c r="VJD231"/>
      <c r="VJE231"/>
      <c r="VJF231"/>
      <c r="VJG231"/>
      <c r="VJH231"/>
      <c r="VJI231"/>
      <c r="VJJ231"/>
      <c r="VJK231"/>
      <c r="VJL231"/>
      <c r="VJM231"/>
      <c r="VJN231"/>
      <c r="VJO231"/>
      <c r="VJP231"/>
      <c r="VJQ231"/>
      <c r="VJR231"/>
      <c r="VJS231"/>
      <c r="VJT231"/>
      <c r="VJU231"/>
      <c r="VJV231"/>
      <c r="VJW231"/>
      <c r="VJX231"/>
      <c r="VJY231"/>
      <c r="VJZ231"/>
      <c r="VKA231"/>
      <c r="VKB231"/>
      <c r="VKC231"/>
      <c r="VKD231"/>
      <c r="VKE231"/>
      <c r="VKF231"/>
      <c r="VKG231"/>
      <c r="VKH231"/>
      <c r="VKI231"/>
      <c r="VKJ231"/>
      <c r="VKK231"/>
      <c r="VKL231"/>
      <c r="VKM231"/>
      <c r="VKN231"/>
      <c r="VKO231"/>
      <c r="VKP231"/>
      <c r="VKQ231"/>
      <c r="VKR231"/>
      <c r="VKS231"/>
      <c r="VKT231"/>
      <c r="VKU231"/>
      <c r="VKV231"/>
      <c r="VKW231"/>
      <c r="VKX231"/>
      <c r="VKY231"/>
      <c r="VKZ231"/>
      <c r="VLA231"/>
      <c r="VLB231"/>
      <c r="VLC231"/>
      <c r="VLD231"/>
      <c r="VLE231"/>
      <c r="VLF231"/>
      <c r="VLG231"/>
      <c r="VLH231"/>
      <c r="VLI231"/>
      <c r="VLJ231"/>
      <c r="VLK231"/>
      <c r="VLL231"/>
      <c r="VLM231"/>
      <c r="VLN231"/>
      <c r="VLO231"/>
      <c r="VLP231"/>
      <c r="VLQ231"/>
      <c r="VLR231"/>
      <c r="VLS231"/>
      <c r="VLT231"/>
      <c r="VLU231"/>
      <c r="VLV231"/>
      <c r="VLW231"/>
      <c r="VLX231"/>
      <c r="VLY231"/>
      <c r="VLZ231"/>
      <c r="VMA231"/>
      <c r="VMB231"/>
      <c r="VMC231"/>
      <c r="VMD231"/>
      <c r="VME231"/>
      <c r="VMF231"/>
      <c r="VMG231"/>
      <c r="VMH231"/>
      <c r="VMI231"/>
      <c r="VMJ231"/>
      <c r="VMK231"/>
      <c r="VML231"/>
      <c r="VMM231"/>
      <c r="VMN231"/>
      <c r="VMO231"/>
      <c r="VMP231"/>
      <c r="VMQ231"/>
      <c r="VMR231"/>
      <c r="VMS231"/>
      <c r="VMT231"/>
      <c r="VMU231"/>
      <c r="VMV231"/>
      <c r="VMW231"/>
      <c r="VMX231"/>
      <c r="VMY231"/>
      <c r="VMZ231"/>
      <c r="VNA231"/>
      <c r="VNB231"/>
      <c r="VNC231"/>
      <c r="VND231"/>
      <c r="VNE231"/>
      <c r="VNF231"/>
      <c r="VNG231"/>
      <c r="VNH231"/>
      <c r="VNI231"/>
      <c r="VNJ231"/>
      <c r="VNK231"/>
      <c r="VNL231"/>
      <c r="VNM231"/>
      <c r="VNN231"/>
      <c r="VNO231"/>
      <c r="VNP231"/>
      <c r="VNQ231"/>
      <c r="VNR231"/>
      <c r="VNS231"/>
      <c r="VNT231"/>
      <c r="VNU231"/>
      <c r="VNV231"/>
      <c r="VNW231"/>
      <c r="VNX231"/>
      <c r="VNY231"/>
      <c r="VNZ231"/>
      <c r="VOA231"/>
      <c r="VOB231"/>
      <c r="VOC231"/>
      <c r="VOD231"/>
      <c r="VOE231"/>
      <c r="VOF231"/>
      <c r="VOG231"/>
      <c r="VOH231"/>
      <c r="VOI231"/>
      <c r="VOJ231"/>
      <c r="VOK231"/>
      <c r="VOL231"/>
      <c r="VOM231"/>
      <c r="VON231"/>
      <c r="VOO231"/>
      <c r="VOP231"/>
      <c r="VOQ231"/>
      <c r="VOR231"/>
      <c r="VOS231"/>
      <c r="VOT231"/>
      <c r="VOU231"/>
      <c r="VOV231"/>
      <c r="VOW231"/>
      <c r="VOX231"/>
      <c r="VOY231"/>
      <c r="VOZ231"/>
      <c r="VPA231"/>
      <c r="VPB231"/>
      <c r="VPC231"/>
      <c r="VPD231"/>
      <c r="VPE231"/>
      <c r="VPF231"/>
      <c r="VPG231"/>
      <c r="VPH231"/>
      <c r="VPI231"/>
      <c r="VPJ231"/>
      <c r="VPK231"/>
      <c r="VPL231"/>
      <c r="VPM231"/>
      <c r="VPN231"/>
      <c r="VPO231"/>
      <c r="VPP231"/>
      <c r="VPQ231"/>
      <c r="VPR231"/>
      <c r="VPS231"/>
      <c r="VPT231"/>
      <c r="VPU231"/>
      <c r="VPV231"/>
      <c r="VPW231"/>
      <c r="VPX231"/>
      <c r="VPY231"/>
      <c r="VPZ231"/>
      <c r="VQA231"/>
      <c r="VQB231"/>
      <c r="VQC231"/>
      <c r="VQD231"/>
      <c r="VQE231"/>
      <c r="VQF231"/>
      <c r="VQG231"/>
      <c r="VQH231"/>
      <c r="VQI231"/>
      <c r="VQJ231"/>
      <c r="VQK231"/>
      <c r="VQL231"/>
      <c r="VQM231"/>
      <c r="VQN231"/>
      <c r="VQO231"/>
      <c r="VQP231"/>
      <c r="VQQ231"/>
      <c r="VQR231"/>
      <c r="VQS231"/>
      <c r="VQT231"/>
      <c r="VQU231"/>
      <c r="VQV231"/>
      <c r="VQW231"/>
      <c r="VQX231"/>
      <c r="VQY231"/>
      <c r="VQZ231"/>
      <c r="VRA231"/>
      <c r="VRB231"/>
      <c r="VRC231"/>
      <c r="VRD231"/>
      <c r="VRE231"/>
      <c r="VRF231"/>
      <c r="VRG231"/>
      <c r="VRH231"/>
      <c r="VRI231"/>
      <c r="VRJ231"/>
      <c r="VRK231"/>
      <c r="VRL231"/>
      <c r="VRM231"/>
      <c r="VRN231"/>
      <c r="VRO231"/>
      <c r="VRP231"/>
      <c r="VRQ231"/>
      <c r="VRR231"/>
      <c r="VRS231"/>
      <c r="VRT231"/>
      <c r="VRU231"/>
      <c r="VRV231"/>
      <c r="VRW231"/>
      <c r="VRX231"/>
      <c r="VRY231"/>
      <c r="VRZ231"/>
      <c r="VSA231"/>
      <c r="VSB231"/>
      <c r="VSC231"/>
      <c r="VSD231"/>
      <c r="VSE231"/>
      <c r="VSF231"/>
      <c r="VSG231"/>
      <c r="VSH231"/>
      <c r="VSI231"/>
      <c r="VSJ231"/>
      <c r="VSK231"/>
      <c r="VSL231"/>
      <c r="VSM231"/>
      <c r="VSN231"/>
      <c r="VSO231"/>
      <c r="VSP231"/>
      <c r="VSQ231"/>
      <c r="VSR231"/>
      <c r="VSS231"/>
      <c r="VST231"/>
      <c r="VSU231"/>
      <c r="VSV231"/>
      <c r="VSW231"/>
      <c r="VSX231"/>
      <c r="VSY231"/>
      <c r="VSZ231"/>
      <c r="VTA231"/>
      <c r="VTB231"/>
      <c r="VTC231"/>
      <c r="VTD231"/>
      <c r="VTE231"/>
      <c r="VTF231"/>
      <c r="VTG231"/>
      <c r="VTH231"/>
      <c r="VTI231"/>
      <c r="VTJ231"/>
      <c r="VTK231"/>
      <c r="VTL231"/>
      <c r="VTM231"/>
      <c r="VTN231"/>
      <c r="VTO231"/>
      <c r="VTP231"/>
      <c r="VTQ231"/>
      <c r="VTR231"/>
      <c r="VTS231"/>
      <c r="VTT231"/>
      <c r="VTU231"/>
      <c r="VTV231"/>
      <c r="VTW231"/>
      <c r="VTX231"/>
      <c r="VTY231"/>
      <c r="VTZ231"/>
      <c r="VUA231"/>
      <c r="VUB231"/>
      <c r="VUC231"/>
      <c r="VUD231"/>
      <c r="VUE231"/>
      <c r="VUF231"/>
      <c r="VUG231"/>
      <c r="VUH231"/>
      <c r="VUI231"/>
      <c r="VUJ231"/>
      <c r="VUK231"/>
      <c r="VUL231"/>
      <c r="VUM231"/>
      <c r="VUN231"/>
      <c r="VUO231"/>
      <c r="VUP231"/>
      <c r="VUQ231"/>
      <c r="VUR231"/>
      <c r="VUS231"/>
      <c r="VUT231"/>
      <c r="VUU231"/>
      <c r="VUV231"/>
      <c r="VUW231"/>
      <c r="VUX231"/>
      <c r="VUY231"/>
      <c r="VUZ231"/>
      <c r="VVA231"/>
      <c r="VVB231"/>
      <c r="VVC231"/>
      <c r="VVD231"/>
      <c r="VVE231"/>
      <c r="VVF231"/>
      <c r="VVG231"/>
      <c r="VVH231"/>
      <c r="VVI231"/>
      <c r="VVJ231"/>
      <c r="VVK231"/>
      <c r="VVL231"/>
      <c r="VVM231"/>
      <c r="VVN231"/>
      <c r="VVO231"/>
      <c r="VVP231"/>
      <c r="VVQ231"/>
      <c r="VVR231"/>
      <c r="VVS231"/>
      <c r="VVT231"/>
      <c r="VVU231"/>
      <c r="VVV231"/>
      <c r="VVW231"/>
      <c r="VVX231"/>
      <c r="VVY231"/>
      <c r="VVZ231"/>
      <c r="VWA231"/>
    </row>
    <row r="232" spans="2:113 15079:15471" s="45" customFormat="1" ht="15.75" thickBot="1" x14ac:dyDescent="0.3">
      <c r="B232" s="282"/>
      <c r="C232" s="158" t="s">
        <v>1</v>
      </c>
      <c r="D232" s="189">
        <f>SUM(D229:D231)</f>
        <v>408000</v>
      </c>
      <c r="E232" s="160" t="s">
        <v>16</v>
      </c>
      <c r="F232" s="157">
        <f t="shared" ref="F232:AI232" si="92">SUM(F229:F231)</f>
        <v>313160</v>
      </c>
      <c r="G232" s="157">
        <f t="shared" si="92"/>
        <v>335667</v>
      </c>
      <c r="H232" s="157">
        <f t="shared" si="92"/>
        <v>343456</v>
      </c>
      <c r="I232" s="157">
        <f t="shared" si="92"/>
        <v>330262</v>
      </c>
      <c r="J232" s="157">
        <f t="shared" si="92"/>
        <v>307941</v>
      </c>
      <c r="K232" s="157">
        <f t="shared" si="92"/>
        <v>344946</v>
      </c>
      <c r="L232" s="157">
        <f t="shared" si="92"/>
        <v>331706</v>
      </c>
      <c r="M232" s="157">
        <f t="shared" si="92"/>
        <v>336161</v>
      </c>
      <c r="N232" s="157">
        <f t="shared" si="92"/>
        <v>343378</v>
      </c>
      <c r="O232" s="157">
        <f t="shared" si="92"/>
        <v>330148</v>
      </c>
      <c r="P232" s="157">
        <f t="shared" si="92"/>
        <v>287571</v>
      </c>
      <c r="Q232" s="157">
        <f t="shared" si="92"/>
        <v>276848</v>
      </c>
      <c r="R232" s="157">
        <f t="shared" si="92"/>
        <v>272350</v>
      </c>
      <c r="S232" s="157">
        <f t="shared" si="92"/>
        <v>261947</v>
      </c>
      <c r="T232" s="157">
        <f t="shared" si="92"/>
        <v>250837</v>
      </c>
      <c r="U232" s="157">
        <f t="shared" si="92"/>
        <v>269516</v>
      </c>
      <c r="V232" s="157">
        <f t="shared" si="92"/>
        <v>278362</v>
      </c>
      <c r="W232" s="157">
        <f t="shared" si="92"/>
        <v>269825</v>
      </c>
      <c r="X232" s="157">
        <f t="shared" si="92"/>
        <v>257256</v>
      </c>
      <c r="Y232" s="157">
        <f t="shared" si="92"/>
        <v>255204</v>
      </c>
      <c r="Z232" s="157">
        <f t="shared" si="92"/>
        <v>259109</v>
      </c>
      <c r="AA232" s="157">
        <f t="shared" si="92"/>
        <v>315458</v>
      </c>
      <c r="AB232" s="157">
        <f t="shared" si="92"/>
        <v>301303</v>
      </c>
      <c r="AC232" s="157">
        <f t="shared" si="92"/>
        <v>274890</v>
      </c>
      <c r="AD232" s="157">
        <f t="shared" si="92"/>
        <v>263260</v>
      </c>
      <c r="AE232" s="157">
        <f t="shared" si="92"/>
        <v>238100</v>
      </c>
      <c r="AF232" s="157">
        <f t="shared" si="92"/>
        <v>190587</v>
      </c>
      <c r="AG232" s="157">
        <f t="shared" si="92"/>
        <v>253088</v>
      </c>
      <c r="AH232" s="157">
        <f t="shared" si="92"/>
        <v>220669</v>
      </c>
      <c r="AI232" s="244">
        <f t="shared" si="92"/>
        <v>260609</v>
      </c>
      <c r="AJ232" s="16"/>
      <c r="AK232" s="15">
        <f>SUM(AK229:AK231)</f>
        <v>8573614</v>
      </c>
      <c r="DI232" s="284"/>
    </row>
    <row r="233" spans="2:113 15079:15471" s="1" customFormat="1" x14ac:dyDescent="0.25">
      <c r="B233" s="215">
        <v>10</v>
      </c>
      <c r="C233" s="134" t="s">
        <v>15</v>
      </c>
      <c r="D233" s="135"/>
      <c r="E233" s="231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173"/>
      <c r="AD233" s="173"/>
      <c r="AE233" s="173"/>
      <c r="AF233" s="173"/>
      <c r="AG233" s="363"/>
      <c r="AH233" s="363"/>
      <c r="AI233" s="286"/>
      <c r="AJ233" s="9"/>
      <c r="AK233" s="73" t="s">
        <v>14</v>
      </c>
      <c r="DI233" s="4"/>
      <c r="VGY233"/>
      <c r="VGZ233"/>
      <c r="VHA233"/>
      <c r="VHB233"/>
      <c r="VHC233"/>
      <c r="VHD233"/>
      <c r="VHE233"/>
      <c r="VHF233"/>
      <c r="VHG233"/>
      <c r="VHH233"/>
      <c r="VHI233"/>
      <c r="VHJ233"/>
      <c r="VHK233"/>
      <c r="VHL233"/>
      <c r="VHM233"/>
      <c r="VHN233"/>
      <c r="VHO233"/>
      <c r="VHP233"/>
      <c r="VHQ233"/>
      <c r="VHR233"/>
      <c r="VHS233"/>
      <c r="VHT233"/>
      <c r="VHU233"/>
      <c r="VHV233"/>
      <c r="VHW233"/>
      <c r="VHX233"/>
      <c r="VHY233"/>
      <c r="VHZ233"/>
      <c r="VIA233"/>
      <c r="VIB233"/>
      <c r="VIC233"/>
      <c r="VID233"/>
      <c r="VIE233"/>
      <c r="VIF233"/>
      <c r="VIG233"/>
      <c r="VIH233"/>
      <c r="VII233"/>
      <c r="VIJ233"/>
      <c r="VIK233"/>
      <c r="VIL233"/>
      <c r="VIM233"/>
      <c r="VIN233"/>
      <c r="VIO233"/>
      <c r="VIP233"/>
      <c r="VIQ233"/>
      <c r="VIR233"/>
      <c r="VIS233"/>
      <c r="VIT233"/>
      <c r="VIU233"/>
      <c r="VIV233"/>
      <c r="VIW233"/>
      <c r="VIX233"/>
      <c r="VIY233"/>
      <c r="VIZ233"/>
      <c r="VJA233"/>
      <c r="VJB233"/>
      <c r="VJC233"/>
      <c r="VJD233"/>
      <c r="VJE233"/>
      <c r="VJF233"/>
      <c r="VJG233"/>
      <c r="VJH233"/>
      <c r="VJI233"/>
      <c r="VJJ233"/>
      <c r="VJK233"/>
      <c r="VJL233"/>
      <c r="VJM233"/>
      <c r="VJN233"/>
      <c r="VJO233"/>
      <c r="VJP233"/>
      <c r="VJQ233"/>
      <c r="VJR233"/>
      <c r="VJS233"/>
      <c r="VJT233"/>
      <c r="VJU233"/>
      <c r="VJV233"/>
      <c r="VJW233"/>
      <c r="VJX233"/>
      <c r="VJY233"/>
      <c r="VJZ233"/>
      <c r="VKA233"/>
      <c r="VKB233"/>
      <c r="VKC233"/>
      <c r="VKD233"/>
      <c r="VKE233"/>
      <c r="VKF233"/>
      <c r="VKG233"/>
      <c r="VKH233"/>
      <c r="VKI233"/>
      <c r="VKJ233"/>
      <c r="VKK233"/>
      <c r="VKL233"/>
      <c r="VKM233"/>
      <c r="VKN233"/>
      <c r="VKO233"/>
      <c r="VKP233"/>
      <c r="VKQ233"/>
      <c r="VKR233"/>
      <c r="VKS233"/>
      <c r="VKT233"/>
      <c r="VKU233"/>
      <c r="VKV233"/>
      <c r="VKW233"/>
      <c r="VKX233"/>
      <c r="VKY233"/>
      <c r="VKZ233"/>
      <c r="VLA233"/>
      <c r="VLB233"/>
      <c r="VLC233"/>
      <c r="VLD233"/>
      <c r="VLE233"/>
      <c r="VLF233"/>
      <c r="VLG233"/>
      <c r="VLH233"/>
      <c r="VLI233"/>
      <c r="VLJ233"/>
      <c r="VLK233"/>
      <c r="VLL233"/>
      <c r="VLM233"/>
      <c r="VLN233"/>
      <c r="VLO233"/>
      <c r="VLP233"/>
      <c r="VLQ233"/>
      <c r="VLR233"/>
      <c r="VLS233"/>
      <c r="VLT233"/>
      <c r="VLU233"/>
      <c r="VLV233"/>
      <c r="VLW233"/>
      <c r="VLX233"/>
      <c r="VLY233"/>
      <c r="VLZ233"/>
      <c r="VMA233"/>
      <c r="VMB233"/>
      <c r="VMC233"/>
      <c r="VMD233"/>
      <c r="VME233"/>
      <c r="VMF233"/>
      <c r="VMG233"/>
      <c r="VMH233"/>
      <c r="VMI233"/>
      <c r="VMJ233"/>
      <c r="VMK233"/>
      <c r="VML233"/>
      <c r="VMM233"/>
      <c r="VMN233"/>
      <c r="VMO233"/>
      <c r="VMP233"/>
      <c r="VMQ233"/>
      <c r="VMR233"/>
      <c r="VMS233"/>
      <c r="VMT233"/>
      <c r="VMU233"/>
      <c r="VMV233"/>
      <c r="VMW233"/>
      <c r="VMX233"/>
      <c r="VMY233"/>
      <c r="VMZ233"/>
      <c r="VNA233"/>
      <c r="VNB233"/>
      <c r="VNC233"/>
      <c r="VND233"/>
      <c r="VNE233"/>
      <c r="VNF233"/>
      <c r="VNG233"/>
      <c r="VNH233"/>
      <c r="VNI233"/>
      <c r="VNJ233"/>
      <c r="VNK233"/>
      <c r="VNL233"/>
      <c r="VNM233"/>
      <c r="VNN233"/>
      <c r="VNO233"/>
      <c r="VNP233"/>
      <c r="VNQ233"/>
      <c r="VNR233"/>
      <c r="VNS233"/>
      <c r="VNT233"/>
      <c r="VNU233"/>
      <c r="VNV233"/>
      <c r="VNW233"/>
      <c r="VNX233"/>
      <c r="VNY233"/>
      <c r="VNZ233"/>
      <c r="VOA233"/>
      <c r="VOB233"/>
      <c r="VOC233"/>
      <c r="VOD233"/>
      <c r="VOE233"/>
      <c r="VOF233"/>
      <c r="VOG233"/>
      <c r="VOH233"/>
      <c r="VOI233"/>
      <c r="VOJ233"/>
      <c r="VOK233"/>
      <c r="VOL233"/>
      <c r="VOM233"/>
      <c r="VON233"/>
      <c r="VOO233"/>
      <c r="VOP233"/>
      <c r="VOQ233"/>
      <c r="VOR233"/>
      <c r="VOS233"/>
      <c r="VOT233"/>
      <c r="VOU233"/>
      <c r="VOV233"/>
      <c r="VOW233"/>
      <c r="VOX233"/>
      <c r="VOY233"/>
      <c r="VOZ233"/>
      <c r="VPA233"/>
      <c r="VPB233"/>
      <c r="VPC233"/>
      <c r="VPD233"/>
      <c r="VPE233"/>
      <c r="VPF233"/>
      <c r="VPG233"/>
      <c r="VPH233"/>
      <c r="VPI233"/>
      <c r="VPJ233"/>
      <c r="VPK233"/>
      <c r="VPL233"/>
      <c r="VPM233"/>
      <c r="VPN233"/>
      <c r="VPO233"/>
      <c r="VPP233"/>
      <c r="VPQ233"/>
      <c r="VPR233"/>
      <c r="VPS233"/>
      <c r="VPT233"/>
      <c r="VPU233"/>
      <c r="VPV233"/>
      <c r="VPW233"/>
      <c r="VPX233"/>
      <c r="VPY233"/>
      <c r="VPZ233"/>
      <c r="VQA233"/>
      <c r="VQB233"/>
      <c r="VQC233"/>
      <c r="VQD233"/>
      <c r="VQE233"/>
      <c r="VQF233"/>
      <c r="VQG233"/>
      <c r="VQH233"/>
      <c r="VQI233"/>
      <c r="VQJ233"/>
      <c r="VQK233"/>
      <c r="VQL233"/>
      <c r="VQM233"/>
      <c r="VQN233"/>
      <c r="VQO233"/>
      <c r="VQP233"/>
      <c r="VQQ233"/>
      <c r="VQR233"/>
      <c r="VQS233"/>
      <c r="VQT233"/>
      <c r="VQU233"/>
      <c r="VQV233"/>
      <c r="VQW233"/>
      <c r="VQX233"/>
      <c r="VQY233"/>
      <c r="VQZ233"/>
      <c r="VRA233"/>
      <c r="VRB233"/>
      <c r="VRC233"/>
      <c r="VRD233"/>
      <c r="VRE233"/>
      <c r="VRF233"/>
      <c r="VRG233"/>
      <c r="VRH233"/>
      <c r="VRI233"/>
      <c r="VRJ233"/>
      <c r="VRK233"/>
      <c r="VRL233"/>
      <c r="VRM233"/>
      <c r="VRN233"/>
      <c r="VRO233"/>
      <c r="VRP233"/>
      <c r="VRQ233"/>
      <c r="VRR233"/>
      <c r="VRS233"/>
      <c r="VRT233"/>
      <c r="VRU233"/>
      <c r="VRV233"/>
      <c r="VRW233"/>
      <c r="VRX233"/>
      <c r="VRY233"/>
      <c r="VRZ233"/>
      <c r="VSA233"/>
      <c r="VSB233"/>
      <c r="VSC233"/>
      <c r="VSD233"/>
      <c r="VSE233"/>
      <c r="VSF233"/>
      <c r="VSG233"/>
      <c r="VSH233"/>
      <c r="VSI233"/>
      <c r="VSJ233"/>
      <c r="VSK233"/>
      <c r="VSL233"/>
      <c r="VSM233"/>
      <c r="VSN233"/>
      <c r="VSO233"/>
      <c r="VSP233"/>
      <c r="VSQ233"/>
      <c r="VSR233"/>
      <c r="VSS233"/>
      <c r="VST233"/>
      <c r="VSU233"/>
      <c r="VSV233"/>
      <c r="VSW233"/>
      <c r="VSX233"/>
      <c r="VSY233"/>
      <c r="VSZ233"/>
      <c r="VTA233"/>
      <c r="VTB233"/>
      <c r="VTC233"/>
      <c r="VTD233"/>
      <c r="VTE233"/>
      <c r="VTF233"/>
      <c r="VTG233"/>
      <c r="VTH233"/>
      <c r="VTI233"/>
      <c r="VTJ233"/>
      <c r="VTK233"/>
      <c r="VTL233"/>
      <c r="VTM233"/>
      <c r="VTN233"/>
      <c r="VTO233"/>
      <c r="VTP233"/>
      <c r="VTQ233"/>
      <c r="VTR233"/>
      <c r="VTS233"/>
      <c r="VTT233"/>
      <c r="VTU233"/>
      <c r="VTV233"/>
      <c r="VTW233"/>
      <c r="VTX233"/>
      <c r="VTY233"/>
      <c r="VTZ233"/>
      <c r="VUA233"/>
      <c r="VUB233"/>
      <c r="VUC233"/>
      <c r="VUD233"/>
      <c r="VUE233"/>
      <c r="VUF233"/>
      <c r="VUG233"/>
      <c r="VUH233"/>
      <c r="VUI233"/>
      <c r="VUJ233"/>
      <c r="VUK233"/>
      <c r="VUL233"/>
      <c r="VUM233"/>
      <c r="VUN233"/>
      <c r="VUO233"/>
      <c r="VUP233"/>
      <c r="VUQ233"/>
      <c r="VUR233"/>
      <c r="VUS233"/>
      <c r="VUT233"/>
      <c r="VUU233"/>
      <c r="VUV233"/>
      <c r="VUW233"/>
      <c r="VUX233"/>
      <c r="VUY233"/>
      <c r="VUZ233"/>
      <c r="VVA233"/>
      <c r="VVB233"/>
      <c r="VVC233"/>
      <c r="VVD233"/>
      <c r="VVE233"/>
      <c r="VVF233"/>
      <c r="VVG233"/>
      <c r="VVH233"/>
      <c r="VVI233"/>
      <c r="VVJ233"/>
      <c r="VVK233"/>
      <c r="VVL233"/>
      <c r="VVM233"/>
      <c r="VVN233"/>
      <c r="VVO233"/>
      <c r="VVP233"/>
      <c r="VVQ233"/>
      <c r="VVR233"/>
      <c r="VVS233"/>
      <c r="VVT233"/>
      <c r="VVU233"/>
      <c r="VVV233"/>
      <c r="VVW233"/>
      <c r="VVX233"/>
      <c r="VVY233"/>
      <c r="VVZ233"/>
      <c r="VWA233"/>
    </row>
    <row r="234" spans="2:113 15079:15471" s="44" customFormat="1" ht="17.25" x14ac:dyDescent="0.25">
      <c r="B234" s="228"/>
      <c r="C234" s="166" t="s">
        <v>13</v>
      </c>
      <c r="D234" s="190">
        <v>750</v>
      </c>
      <c r="E234" s="246" t="s">
        <v>127</v>
      </c>
      <c r="F234" s="201">
        <v>843</v>
      </c>
      <c r="G234" s="201">
        <v>758</v>
      </c>
      <c r="H234" s="201">
        <v>924</v>
      </c>
      <c r="I234" s="191">
        <v>750</v>
      </c>
      <c r="J234" s="385">
        <v>680</v>
      </c>
      <c r="K234" s="385">
        <v>608</v>
      </c>
      <c r="L234" s="385">
        <v>503</v>
      </c>
      <c r="M234" s="191">
        <v>640</v>
      </c>
      <c r="N234" s="191">
        <v>746</v>
      </c>
      <c r="O234" s="201">
        <v>750</v>
      </c>
      <c r="P234" s="191">
        <v>665</v>
      </c>
      <c r="Q234" s="191">
        <v>741</v>
      </c>
      <c r="R234" s="385">
        <v>560</v>
      </c>
      <c r="S234" s="191">
        <v>688</v>
      </c>
      <c r="T234" s="385">
        <v>575</v>
      </c>
      <c r="U234" s="191">
        <v>580</v>
      </c>
      <c r="V234" s="385">
        <v>581</v>
      </c>
      <c r="W234" s="385">
        <v>574</v>
      </c>
      <c r="X234" s="385">
        <v>450</v>
      </c>
      <c r="Y234" s="385">
        <v>642</v>
      </c>
      <c r="Z234" s="385">
        <v>561</v>
      </c>
      <c r="AA234" s="385">
        <v>589</v>
      </c>
      <c r="AB234" s="191">
        <v>655</v>
      </c>
      <c r="AC234" s="191">
        <v>576</v>
      </c>
      <c r="AD234" s="385">
        <v>490</v>
      </c>
      <c r="AE234" s="191">
        <v>625</v>
      </c>
      <c r="AF234" s="191">
        <v>450</v>
      </c>
      <c r="AG234" s="378">
        <v>690</v>
      </c>
      <c r="AH234" s="378">
        <v>457</v>
      </c>
      <c r="AI234" s="287">
        <v>582</v>
      </c>
      <c r="AK234" s="74">
        <f>SUM(F234:AI234)</f>
        <v>18933</v>
      </c>
      <c r="DI234" s="13"/>
    </row>
    <row r="235" spans="2:113 15079:15471" s="44" customFormat="1" x14ac:dyDescent="0.25">
      <c r="B235" s="228"/>
      <c r="C235" s="192" t="s">
        <v>12</v>
      </c>
      <c r="D235" s="86"/>
      <c r="E235" s="156"/>
      <c r="F235" s="191"/>
      <c r="G235" s="191"/>
      <c r="H235" s="191"/>
      <c r="I235" s="191"/>
      <c r="J235" s="191"/>
      <c r="K235" s="191"/>
      <c r="L235" s="385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  <c r="Y235" s="385"/>
      <c r="Z235" s="385"/>
      <c r="AA235" s="385"/>
      <c r="AB235" s="191"/>
      <c r="AC235" s="191"/>
      <c r="AD235" s="191"/>
      <c r="AE235" s="191"/>
      <c r="AF235" s="191"/>
      <c r="AG235" s="378"/>
      <c r="AH235" s="378"/>
      <c r="AI235" s="287"/>
      <c r="AK235" s="14" t="s">
        <v>12</v>
      </c>
      <c r="DI235" s="13"/>
    </row>
    <row r="236" spans="2:113 15079:15471" s="44" customFormat="1" ht="17.25" x14ac:dyDescent="0.25">
      <c r="B236" s="228"/>
      <c r="C236" s="166" t="s">
        <v>11</v>
      </c>
      <c r="D236" s="193">
        <v>91.5</v>
      </c>
      <c r="E236" s="246" t="s">
        <v>127</v>
      </c>
      <c r="F236" s="201">
        <v>217</v>
      </c>
      <c r="G236" s="201">
        <v>263</v>
      </c>
      <c r="H236" s="201">
        <v>150</v>
      </c>
      <c r="I236" s="201">
        <v>196</v>
      </c>
      <c r="J236" s="191">
        <v>58</v>
      </c>
      <c r="K236" s="385">
        <v>51</v>
      </c>
      <c r="L236" s="385">
        <v>75</v>
      </c>
      <c r="M236" s="385">
        <v>62</v>
      </c>
      <c r="N236" s="385">
        <v>87</v>
      </c>
      <c r="O236" s="385">
        <v>64</v>
      </c>
      <c r="P236" s="385">
        <v>46</v>
      </c>
      <c r="Q236" s="385">
        <v>76</v>
      </c>
      <c r="R236" s="385">
        <v>62</v>
      </c>
      <c r="S236" s="385">
        <v>70</v>
      </c>
      <c r="T236" s="385">
        <v>65</v>
      </c>
      <c r="U236" s="385">
        <v>66</v>
      </c>
      <c r="V236" s="385">
        <v>41</v>
      </c>
      <c r="W236" s="385">
        <v>34</v>
      </c>
      <c r="X236" s="385">
        <v>21</v>
      </c>
      <c r="Y236" s="385">
        <v>43</v>
      </c>
      <c r="Z236" s="385">
        <v>66</v>
      </c>
      <c r="AA236" s="385">
        <v>51</v>
      </c>
      <c r="AB236" s="191">
        <v>47</v>
      </c>
      <c r="AC236" s="191">
        <v>45</v>
      </c>
      <c r="AD236" s="191">
        <v>55</v>
      </c>
      <c r="AE236" s="191">
        <v>60</v>
      </c>
      <c r="AF236" s="191">
        <v>44</v>
      </c>
      <c r="AG236" s="378">
        <v>59</v>
      </c>
      <c r="AH236" s="378">
        <v>57</v>
      </c>
      <c r="AI236" s="287">
        <v>22</v>
      </c>
      <c r="AK236" s="75">
        <f>SUM(F236:AI236)</f>
        <v>2253</v>
      </c>
      <c r="AS236" s="13"/>
      <c r="DI236" s="13"/>
    </row>
    <row r="237" spans="2:113 15079:15471" s="44" customFormat="1" ht="17.25" x14ac:dyDescent="0.25">
      <c r="B237" s="228"/>
      <c r="C237" s="166" t="s">
        <v>10</v>
      </c>
      <c r="D237" s="193">
        <v>179.63</v>
      </c>
      <c r="E237" s="246" t="s">
        <v>127</v>
      </c>
      <c r="F237" s="191">
        <v>137</v>
      </c>
      <c r="G237" s="191">
        <v>120</v>
      </c>
      <c r="H237" s="191">
        <v>131</v>
      </c>
      <c r="I237" s="191">
        <v>101</v>
      </c>
      <c r="J237" s="191">
        <v>100</v>
      </c>
      <c r="K237" s="191">
        <v>124</v>
      </c>
      <c r="L237" s="385">
        <v>159</v>
      </c>
      <c r="M237" s="191">
        <v>132</v>
      </c>
      <c r="N237" s="191">
        <v>130</v>
      </c>
      <c r="O237" s="191">
        <v>163</v>
      </c>
      <c r="P237" s="191">
        <v>148</v>
      </c>
      <c r="Q237" s="191">
        <v>126</v>
      </c>
      <c r="R237" s="191">
        <v>141</v>
      </c>
      <c r="S237" s="191">
        <v>113</v>
      </c>
      <c r="T237" s="191">
        <v>114</v>
      </c>
      <c r="U237" s="191">
        <v>114</v>
      </c>
      <c r="V237" s="191">
        <v>106</v>
      </c>
      <c r="W237" s="191">
        <v>149</v>
      </c>
      <c r="X237" s="191">
        <v>120</v>
      </c>
      <c r="Y237" s="191">
        <v>93</v>
      </c>
      <c r="Z237" s="191">
        <v>115</v>
      </c>
      <c r="AA237" s="191">
        <v>78</v>
      </c>
      <c r="AB237" s="191">
        <v>98</v>
      </c>
      <c r="AC237" s="191">
        <v>55</v>
      </c>
      <c r="AD237" s="191">
        <v>93</v>
      </c>
      <c r="AE237" s="191">
        <v>107</v>
      </c>
      <c r="AF237" s="191">
        <v>40</v>
      </c>
      <c r="AG237" s="378">
        <v>79</v>
      </c>
      <c r="AH237" s="378">
        <v>73</v>
      </c>
      <c r="AI237" s="287">
        <v>95</v>
      </c>
      <c r="AK237" s="75">
        <f>SUM(F237:AI237)</f>
        <v>3354</v>
      </c>
      <c r="AS237" s="13"/>
      <c r="DI237" s="13"/>
    </row>
    <row r="238" spans="2:113 15079:15471" s="44" customFormat="1" ht="17.25" x14ac:dyDescent="0.25">
      <c r="B238" s="228"/>
      <c r="C238" s="166" t="s">
        <v>9</v>
      </c>
      <c r="D238" s="190">
        <f>44.69%*D234</f>
        <v>335.17499999999995</v>
      </c>
      <c r="E238" s="246" t="s">
        <v>127</v>
      </c>
      <c r="F238" s="201">
        <v>364.4</v>
      </c>
      <c r="G238" s="201">
        <v>342</v>
      </c>
      <c r="H238" s="201">
        <v>343</v>
      </c>
      <c r="I238" s="201">
        <v>351.8</v>
      </c>
      <c r="J238" s="201">
        <v>336.6</v>
      </c>
      <c r="K238" s="191">
        <v>355.1</v>
      </c>
      <c r="L238" s="385">
        <v>334.8</v>
      </c>
      <c r="M238" s="201">
        <v>351.6</v>
      </c>
      <c r="N238" s="201">
        <v>369.2</v>
      </c>
      <c r="O238" s="201">
        <v>345</v>
      </c>
      <c r="P238" s="191">
        <v>318.39999999999998</v>
      </c>
      <c r="Q238" s="191">
        <v>309.10000000000002</v>
      </c>
      <c r="R238" s="191">
        <v>298.8</v>
      </c>
      <c r="S238" s="191">
        <v>303.10000000000002</v>
      </c>
      <c r="T238" s="385">
        <v>300.5</v>
      </c>
      <c r="U238" s="385">
        <v>314.10000000000002</v>
      </c>
      <c r="V238" s="385">
        <v>305.2</v>
      </c>
      <c r="W238" s="191">
        <v>329.9</v>
      </c>
      <c r="X238" s="191">
        <v>283.60000000000002</v>
      </c>
      <c r="Y238" s="191">
        <v>301.89999999999998</v>
      </c>
      <c r="Z238" s="191">
        <v>342.3</v>
      </c>
      <c r="AA238" s="191">
        <v>368.9</v>
      </c>
      <c r="AB238" s="191">
        <v>330.1</v>
      </c>
      <c r="AC238" s="191">
        <v>305</v>
      </c>
      <c r="AD238" s="191">
        <v>320</v>
      </c>
      <c r="AE238" s="385">
        <v>267</v>
      </c>
      <c r="AF238" s="191">
        <v>308.2</v>
      </c>
      <c r="AG238" s="378">
        <v>258.3</v>
      </c>
      <c r="AH238" s="378">
        <v>313.3</v>
      </c>
      <c r="AI238" s="287">
        <v>265.2</v>
      </c>
      <c r="AK238" s="75">
        <f>SUM(F238:AI238)</f>
        <v>9636.4000000000015</v>
      </c>
      <c r="AL238" s="412"/>
      <c r="DI238" s="13"/>
    </row>
    <row r="239" spans="2:113 15079:15471" s="44" customFormat="1" ht="17.25" x14ac:dyDescent="0.25">
      <c r="B239" s="228"/>
      <c r="C239" s="166" t="s">
        <v>8</v>
      </c>
      <c r="D239" s="190">
        <f>D234-SUM(D236:D238)</f>
        <v>143.69500000000005</v>
      </c>
      <c r="E239" s="246" t="s">
        <v>127</v>
      </c>
      <c r="F239" s="191">
        <f t="shared" ref="F239:K239" si="93">F234-(SUM(F236:F238))</f>
        <v>124.60000000000002</v>
      </c>
      <c r="G239" s="191">
        <f t="shared" si="93"/>
        <v>33</v>
      </c>
      <c r="H239" s="201">
        <f t="shared" si="93"/>
        <v>300</v>
      </c>
      <c r="I239" s="191">
        <f t="shared" si="93"/>
        <v>101.20000000000005</v>
      </c>
      <c r="J239" s="201">
        <f t="shared" si="93"/>
        <v>185.39999999999998</v>
      </c>
      <c r="K239" s="191">
        <f t="shared" si="93"/>
        <v>77.899999999999977</v>
      </c>
      <c r="L239" s="191">
        <f t="shared" ref="L239:AI239" si="94">L234-(SUM(L236:L238))</f>
        <v>-65.799999999999955</v>
      </c>
      <c r="M239" s="191">
        <f t="shared" si="94"/>
        <v>94.399999999999977</v>
      </c>
      <c r="N239" s="201">
        <f t="shared" si="94"/>
        <v>159.79999999999995</v>
      </c>
      <c r="O239" s="191">
        <f t="shared" si="94"/>
        <v>178</v>
      </c>
      <c r="P239" s="191">
        <f t="shared" si="94"/>
        <v>152.60000000000002</v>
      </c>
      <c r="Q239" s="191">
        <f t="shared" si="94"/>
        <v>229.89999999999998</v>
      </c>
      <c r="R239" s="191">
        <f t="shared" si="94"/>
        <v>58.199999999999989</v>
      </c>
      <c r="S239" s="191">
        <f t="shared" si="94"/>
        <v>201.89999999999998</v>
      </c>
      <c r="T239" s="191">
        <f t="shared" si="94"/>
        <v>95.5</v>
      </c>
      <c r="U239" s="191">
        <f t="shared" si="94"/>
        <v>85.899999999999977</v>
      </c>
      <c r="V239" s="191">
        <f t="shared" si="94"/>
        <v>128.80000000000001</v>
      </c>
      <c r="W239" s="191">
        <f t="shared" si="94"/>
        <v>61.100000000000023</v>
      </c>
      <c r="X239" s="191">
        <f t="shared" si="94"/>
        <v>25.399999999999977</v>
      </c>
      <c r="Y239" s="191">
        <f t="shared" si="94"/>
        <v>204.10000000000002</v>
      </c>
      <c r="Z239" s="191">
        <f t="shared" si="94"/>
        <v>37.700000000000045</v>
      </c>
      <c r="AA239" s="191">
        <f t="shared" si="94"/>
        <v>91.100000000000023</v>
      </c>
      <c r="AB239" s="191">
        <f t="shared" si="94"/>
        <v>179.89999999999998</v>
      </c>
      <c r="AC239" s="191">
        <f t="shared" si="94"/>
        <v>171</v>
      </c>
      <c r="AD239" s="191">
        <f t="shared" si="94"/>
        <v>22</v>
      </c>
      <c r="AE239" s="191">
        <f t="shared" si="94"/>
        <v>191</v>
      </c>
      <c r="AF239" s="385">
        <f t="shared" si="94"/>
        <v>57.800000000000011</v>
      </c>
      <c r="AG239" s="191">
        <f t="shared" si="94"/>
        <v>293.7</v>
      </c>
      <c r="AH239" s="191">
        <f t="shared" si="94"/>
        <v>13.699999999999989</v>
      </c>
      <c r="AI239" s="287">
        <f t="shared" si="94"/>
        <v>199.8</v>
      </c>
      <c r="AK239" s="75">
        <f>SUM(F239:AI239)</f>
        <v>3689.6000000000004</v>
      </c>
      <c r="AL239" s="413"/>
      <c r="DI239" s="13"/>
    </row>
    <row r="240" spans="2:113 15079:15471" s="44" customFormat="1" ht="18" thickBot="1" x14ac:dyDescent="0.3">
      <c r="B240" s="288"/>
      <c r="C240" s="166" t="s">
        <v>7</v>
      </c>
      <c r="D240" s="190">
        <f>30%*D234</f>
        <v>225</v>
      </c>
      <c r="E240" s="246" t="s">
        <v>127</v>
      </c>
      <c r="F240" s="191">
        <v>199</v>
      </c>
      <c r="G240" s="191">
        <v>189</v>
      </c>
      <c r="H240" s="191">
        <v>209</v>
      </c>
      <c r="I240" s="201">
        <v>244</v>
      </c>
      <c r="J240" s="191">
        <v>141</v>
      </c>
      <c r="K240" s="191">
        <v>93</v>
      </c>
      <c r="L240" s="191">
        <v>51</v>
      </c>
      <c r="M240" s="191">
        <v>120</v>
      </c>
      <c r="N240" s="191">
        <v>148</v>
      </c>
      <c r="O240" s="385">
        <v>171</v>
      </c>
      <c r="P240" s="191">
        <v>185</v>
      </c>
      <c r="Q240" s="191">
        <v>85</v>
      </c>
      <c r="R240" s="385">
        <v>112</v>
      </c>
      <c r="S240" s="191">
        <v>94</v>
      </c>
      <c r="T240" s="385">
        <v>157</v>
      </c>
      <c r="U240" s="191">
        <v>108</v>
      </c>
      <c r="V240" s="191">
        <v>133</v>
      </c>
      <c r="W240" s="191">
        <v>103</v>
      </c>
      <c r="X240" s="191">
        <v>79</v>
      </c>
      <c r="Y240" s="191">
        <v>61</v>
      </c>
      <c r="Z240" s="191">
        <v>69</v>
      </c>
      <c r="AA240" s="191">
        <v>120</v>
      </c>
      <c r="AB240" s="191">
        <v>117</v>
      </c>
      <c r="AC240" s="191">
        <v>112</v>
      </c>
      <c r="AD240" s="191">
        <v>107</v>
      </c>
      <c r="AE240" s="191">
        <v>104</v>
      </c>
      <c r="AF240" s="191">
        <v>46</v>
      </c>
      <c r="AG240" s="378">
        <v>116</v>
      </c>
      <c r="AH240" s="378">
        <v>85</v>
      </c>
      <c r="AI240" s="287">
        <v>87</v>
      </c>
      <c r="AK240" s="75">
        <f>SUM(F240:AI240)</f>
        <v>3645</v>
      </c>
      <c r="DI240" s="13"/>
    </row>
    <row r="241" spans="2:113 15079:15471" s="1" customFormat="1" x14ac:dyDescent="0.25">
      <c r="B241" s="289">
        <v>11</v>
      </c>
      <c r="C241" s="134" t="s">
        <v>6</v>
      </c>
      <c r="D241" s="135"/>
      <c r="E241" s="231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349"/>
      <c r="AH241" s="349"/>
      <c r="AI241" s="214"/>
      <c r="AJ241" s="9"/>
      <c r="AK241" s="12" t="s">
        <v>5</v>
      </c>
      <c r="DI241" s="4"/>
      <c r="VGY241"/>
      <c r="VGZ241"/>
      <c r="VHA241"/>
      <c r="VHB241"/>
      <c r="VHC241"/>
      <c r="VHD241"/>
      <c r="VHE241"/>
      <c r="VHF241"/>
      <c r="VHG241"/>
      <c r="VHH241"/>
      <c r="VHI241"/>
      <c r="VHJ241"/>
      <c r="VHK241"/>
      <c r="VHL241"/>
      <c r="VHM241"/>
      <c r="VHN241"/>
      <c r="VHO241"/>
      <c r="VHP241"/>
      <c r="VHQ241"/>
      <c r="VHR241"/>
      <c r="VHS241"/>
      <c r="VHT241"/>
      <c r="VHU241"/>
      <c r="VHV241"/>
      <c r="VHW241"/>
      <c r="VHX241"/>
      <c r="VHY241"/>
      <c r="VHZ241"/>
      <c r="VIA241"/>
      <c r="VIB241"/>
      <c r="VIC241"/>
      <c r="VID241"/>
      <c r="VIE241"/>
      <c r="VIF241"/>
      <c r="VIG241"/>
      <c r="VIH241"/>
      <c r="VII241"/>
      <c r="VIJ241"/>
      <c r="VIK241"/>
      <c r="VIL241"/>
      <c r="VIM241"/>
      <c r="VIN241"/>
      <c r="VIO241"/>
      <c r="VIP241"/>
      <c r="VIQ241"/>
      <c r="VIR241"/>
      <c r="VIS241"/>
      <c r="VIT241"/>
      <c r="VIU241"/>
      <c r="VIV241"/>
      <c r="VIW241"/>
      <c r="VIX241"/>
      <c r="VIY241"/>
      <c r="VIZ241"/>
      <c r="VJA241"/>
      <c r="VJB241"/>
      <c r="VJC241"/>
      <c r="VJD241"/>
      <c r="VJE241"/>
      <c r="VJF241"/>
      <c r="VJG241"/>
      <c r="VJH241"/>
      <c r="VJI241"/>
      <c r="VJJ241"/>
      <c r="VJK241"/>
      <c r="VJL241"/>
      <c r="VJM241"/>
      <c r="VJN241"/>
      <c r="VJO241"/>
      <c r="VJP241"/>
      <c r="VJQ241"/>
      <c r="VJR241"/>
      <c r="VJS241"/>
      <c r="VJT241"/>
      <c r="VJU241"/>
      <c r="VJV241"/>
      <c r="VJW241"/>
      <c r="VJX241"/>
      <c r="VJY241"/>
      <c r="VJZ241"/>
      <c r="VKA241"/>
      <c r="VKB241"/>
      <c r="VKC241"/>
      <c r="VKD241"/>
      <c r="VKE241"/>
      <c r="VKF241"/>
      <c r="VKG241"/>
      <c r="VKH241"/>
      <c r="VKI241"/>
      <c r="VKJ241"/>
      <c r="VKK241"/>
      <c r="VKL241"/>
      <c r="VKM241"/>
      <c r="VKN241"/>
      <c r="VKO241"/>
      <c r="VKP241"/>
      <c r="VKQ241"/>
      <c r="VKR241"/>
      <c r="VKS241"/>
      <c r="VKT241"/>
      <c r="VKU241"/>
      <c r="VKV241"/>
      <c r="VKW241"/>
      <c r="VKX241"/>
      <c r="VKY241"/>
      <c r="VKZ241"/>
      <c r="VLA241"/>
      <c r="VLB241"/>
      <c r="VLC241"/>
      <c r="VLD241"/>
      <c r="VLE241"/>
      <c r="VLF241"/>
      <c r="VLG241"/>
      <c r="VLH241"/>
      <c r="VLI241"/>
      <c r="VLJ241"/>
      <c r="VLK241"/>
      <c r="VLL241"/>
      <c r="VLM241"/>
      <c r="VLN241"/>
      <c r="VLO241"/>
      <c r="VLP241"/>
      <c r="VLQ241"/>
      <c r="VLR241"/>
      <c r="VLS241"/>
      <c r="VLT241"/>
      <c r="VLU241"/>
      <c r="VLV241"/>
      <c r="VLW241"/>
      <c r="VLX241"/>
      <c r="VLY241"/>
      <c r="VLZ241"/>
      <c r="VMA241"/>
      <c r="VMB241"/>
      <c r="VMC241"/>
      <c r="VMD241"/>
      <c r="VME241"/>
      <c r="VMF241"/>
      <c r="VMG241"/>
      <c r="VMH241"/>
      <c r="VMI241"/>
      <c r="VMJ241"/>
      <c r="VMK241"/>
      <c r="VML241"/>
      <c r="VMM241"/>
      <c r="VMN241"/>
      <c r="VMO241"/>
      <c r="VMP241"/>
      <c r="VMQ241"/>
      <c r="VMR241"/>
      <c r="VMS241"/>
      <c r="VMT241"/>
      <c r="VMU241"/>
      <c r="VMV241"/>
      <c r="VMW241"/>
      <c r="VMX241"/>
      <c r="VMY241"/>
      <c r="VMZ241"/>
      <c r="VNA241"/>
      <c r="VNB241"/>
      <c r="VNC241"/>
      <c r="VND241"/>
      <c r="VNE241"/>
      <c r="VNF241"/>
      <c r="VNG241"/>
      <c r="VNH241"/>
      <c r="VNI241"/>
      <c r="VNJ241"/>
      <c r="VNK241"/>
      <c r="VNL241"/>
      <c r="VNM241"/>
      <c r="VNN241"/>
      <c r="VNO241"/>
      <c r="VNP241"/>
      <c r="VNQ241"/>
      <c r="VNR241"/>
      <c r="VNS241"/>
      <c r="VNT241"/>
      <c r="VNU241"/>
      <c r="VNV241"/>
      <c r="VNW241"/>
      <c r="VNX241"/>
      <c r="VNY241"/>
      <c r="VNZ241"/>
      <c r="VOA241"/>
      <c r="VOB241"/>
      <c r="VOC241"/>
      <c r="VOD241"/>
      <c r="VOE241"/>
      <c r="VOF241"/>
      <c r="VOG241"/>
      <c r="VOH241"/>
      <c r="VOI241"/>
      <c r="VOJ241"/>
      <c r="VOK241"/>
      <c r="VOL241"/>
      <c r="VOM241"/>
      <c r="VON241"/>
      <c r="VOO241"/>
      <c r="VOP241"/>
      <c r="VOQ241"/>
      <c r="VOR241"/>
      <c r="VOS241"/>
      <c r="VOT241"/>
      <c r="VOU241"/>
      <c r="VOV241"/>
      <c r="VOW241"/>
      <c r="VOX241"/>
      <c r="VOY241"/>
      <c r="VOZ241"/>
      <c r="VPA241"/>
      <c r="VPB241"/>
      <c r="VPC241"/>
      <c r="VPD241"/>
      <c r="VPE241"/>
      <c r="VPF241"/>
      <c r="VPG241"/>
      <c r="VPH241"/>
      <c r="VPI241"/>
      <c r="VPJ241"/>
      <c r="VPK241"/>
      <c r="VPL241"/>
      <c r="VPM241"/>
      <c r="VPN241"/>
      <c r="VPO241"/>
      <c r="VPP241"/>
      <c r="VPQ241"/>
      <c r="VPR241"/>
      <c r="VPS241"/>
      <c r="VPT241"/>
      <c r="VPU241"/>
      <c r="VPV241"/>
      <c r="VPW241"/>
      <c r="VPX241"/>
      <c r="VPY241"/>
      <c r="VPZ241"/>
      <c r="VQA241"/>
      <c r="VQB241"/>
      <c r="VQC241"/>
      <c r="VQD241"/>
      <c r="VQE241"/>
      <c r="VQF241"/>
      <c r="VQG241"/>
      <c r="VQH241"/>
      <c r="VQI241"/>
      <c r="VQJ241"/>
      <c r="VQK241"/>
      <c r="VQL241"/>
      <c r="VQM241"/>
      <c r="VQN241"/>
      <c r="VQO241"/>
      <c r="VQP241"/>
      <c r="VQQ241"/>
      <c r="VQR241"/>
      <c r="VQS241"/>
      <c r="VQT241"/>
      <c r="VQU241"/>
      <c r="VQV241"/>
      <c r="VQW241"/>
      <c r="VQX241"/>
      <c r="VQY241"/>
      <c r="VQZ241"/>
      <c r="VRA241"/>
      <c r="VRB241"/>
      <c r="VRC241"/>
      <c r="VRD241"/>
      <c r="VRE241"/>
      <c r="VRF241"/>
      <c r="VRG241"/>
      <c r="VRH241"/>
      <c r="VRI241"/>
      <c r="VRJ241"/>
      <c r="VRK241"/>
      <c r="VRL241"/>
      <c r="VRM241"/>
      <c r="VRN241"/>
      <c r="VRO241"/>
      <c r="VRP241"/>
      <c r="VRQ241"/>
      <c r="VRR241"/>
      <c r="VRS241"/>
      <c r="VRT241"/>
      <c r="VRU241"/>
      <c r="VRV241"/>
      <c r="VRW241"/>
      <c r="VRX241"/>
      <c r="VRY241"/>
      <c r="VRZ241"/>
      <c r="VSA241"/>
      <c r="VSB241"/>
      <c r="VSC241"/>
      <c r="VSD241"/>
      <c r="VSE241"/>
      <c r="VSF241"/>
      <c r="VSG241"/>
      <c r="VSH241"/>
      <c r="VSI241"/>
      <c r="VSJ241"/>
      <c r="VSK241"/>
      <c r="VSL241"/>
      <c r="VSM241"/>
      <c r="VSN241"/>
      <c r="VSO241"/>
      <c r="VSP241"/>
      <c r="VSQ241"/>
      <c r="VSR241"/>
      <c r="VSS241"/>
      <c r="VST241"/>
      <c r="VSU241"/>
      <c r="VSV241"/>
      <c r="VSW241"/>
      <c r="VSX241"/>
      <c r="VSY241"/>
      <c r="VSZ241"/>
      <c r="VTA241"/>
      <c r="VTB241"/>
      <c r="VTC241"/>
      <c r="VTD241"/>
      <c r="VTE241"/>
      <c r="VTF241"/>
      <c r="VTG241"/>
      <c r="VTH241"/>
      <c r="VTI241"/>
      <c r="VTJ241"/>
      <c r="VTK241"/>
      <c r="VTL241"/>
      <c r="VTM241"/>
      <c r="VTN241"/>
      <c r="VTO241"/>
      <c r="VTP241"/>
      <c r="VTQ241"/>
      <c r="VTR241"/>
      <c r="VTS241"/>
      <c r="VTT241"/>
      <c r="VTU241"/>
      <c r="VTV241"/>
      <c r="VTW241"/>
      <c r="VTX241"/>
      <c r="VTY241"/>
      <c r="VTZ241"/>
      <c r="VUA241"/>
      <c r="VUB241"/>
      <c r="VUC241"/>
      <c r="VUD241"/>
      <c r="VUE241"/>
      <c r="VUF241"/>
      <c r="VUG241"/>
      <c r="VUH241"/>
      <c r="VUI241"/>
      <c r="VUJ241"/>
      <c r="VUK241"/>
      <c r="VUL241"/>
      <c r="VUM241"/>
      <c r="VUN241"/>
      <c r="VUO241"/>
      <c r="VUP241"/>
      <c r="VUQ241"/>
      <c r="VUR241"/>
      <c r="VUS241"/>
      <c r="VUT241"/>
      <c r="VUU241"/>
      <c r="VUV241"/>
      <c r="VUW241"/>
      <c r="VUX241"/>
      <c r="VUY241"/>
      <c r="VUZ241"/>
      <c r="VVA241"/>
      <c r="VVB241"/>
      <c r="VVC241"/>
      <c r="VVD241"/>
      <c r="VVE241"/>
      <c r="VVF241"/>
      <c r="VVG241"/>
      <c r="VVH241"/>
      <c r="VVI241"/>
      <c r="VVJ241"/>
      <c r="VVK241"/>
      <c r="VVL241"/>
      <c r="VVM241"/>
      <c r="VVN241"/>
      <c r="VVO241"/>
      <c r="VVP241"/>
      <c r="VVQ241"/>
      <c r="VVR241"/>
      <c r="VVS241"/>
      <c r="VVT241"/>
      <c r="VVU241"/>
      <c r="VVV241"/>
      <c r="VVW241"/>
      <c r="VVX241"/>
      <c r="VVY241"/>
      <c r="VVZ241"/>
      <c r="VWA241"/>
    </row>
    <row r="242" spans="2:113 15079:15471" s="1" customFormat="1" x14ac:dyDescent="0.25">
      <c r="B242" s="289"/>
      <c r="C242" s="195" t="s">
        <v>4</v>
      </c>
      <c r="D242" s="196"/>
      <c r="E242" s="290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351"/>
      <c r="AH242" s="351"/>
      <c r="AI242" s="217"/>
      <c r="AJ242" s="9"/>
      <c r="AK242" s="11" t="s">
        <v>4</v>
      </c>
      <c r="DI242" s="4"/>
      <c r="VGY242"/>
      <c r="VGZ242"/>
      <c r="VHA242"/>
      <c r="VHB242"/>
      <c r="VHC242"/>
      <c r="VHD242"/>
      <c r="VHE242"/>
      <c r="VHF242"/>
      <c r="VHG242"/>
      <c r="VHH242"/>
      <c r="VHI242"/>
      <c r="VHJ242"/>
      <c r="VHK242"/>
      <c r="VHL242"/>
      <c r="VHM242"/>
      <c r="VHN242"/>
      <c r="VHO242"/>
      <c r="VHP242"/>
      <c r="VHQ242"/>
      <c r="VHR242"/>
      <c r="VHS242"/>
      <c r="VHT242"/>
      <c r="VHU242"/>
      <c r="VHV242"/>
      <c r="VHW242"/>
      <c r="VHX242"/>
      <c r="VHY242"/>
      <c r="VHZ242"/>
      <c r="VIA242"/>
      <c r="VIB242"/>
      <c r="VIC242"/>
      <c r="VID242"/>
      <c r="VIE242"/>
      <c r="VIF242"/>
      <c r="VIG242"/>
      <c r="VIH242"/>
      <c r="VII242"/>
      <c r="VIJ242"/>
      <c r="VIK242"/>
      <c r="VIL242"/>
      <c r="VIM242"/>
      <c r="VIN242"/>
      <c r="VIO242"/>
      <c r="VIP242"/>
      <c r="VIQ242"/>
      <c r="VIR242"/>
      <c r="VIS242"/>
      <c r="VIT242"/>
      <c r="VIU242"/>
      <c r="VIV242"/>
      <c r="VIW242"/>
      <c r="VIX242"/>
      <c r="VIY242"/>
      <c r="VIZ242"/>
      <c r="VJA242"/>
      <c r="VJB242"/>
      <c r="VJC242"/>
      <c r="VJD242"/>
      <c r="VJE242"/>
      <c r="VJF242"/>
      <c r="VJG242"/>
      <c r="VJH242"/>
      <c r="VJI242"/>
      <c r="VJJ242"/>
      <c r="VJK242"/>
      <c r="VJL242"/>
      <c r="VJM242"/>
      <c r="VJN242"/>
      <c r="VJO242"/>
      <c r="VJP242"/>
      <c r="VJQ242"/>
      <c r="VJR242"/>
      <c r="VJS242"/>
      <c r="VJT242"/>
      <c r="VJU242"/>
      <c r="VJV242"/>
      <c r="VJW242"/>
      <c r="VJX242"/>
      <c r="VJY242"/>
      <c r="VJZ242"/>
      <c r="VKA242"/>
      <c r="VKB242"/>
      <c r="VKC242"/>
      <c r="VKD242"/>
      <c r="VKE242"/>
      <c r="VKF242"/>
      <c r="VKG242"/>
      <c r="VKH242"/>
      <c r="VKI242"/>
      <c r="VKJ242"/>
      <c r="VKK242"/>
      <c r="VKL242"/>
      <c r="VKM242"/>
      <c r="VKN242"/>
      <c r="VKO242"/>
      <c r="VKP242"/>
      <c r="VKQ242"/>
      <c r="VKR242"/>
      <c r="VKS242"/>
      <c r="VKT242"/>
      <c r="VKU242"/>
      <c r="VKV242"/>
      <c r="VKW242"/>
      <c r="VKX242"/>
      <c r="VKY242"/>
      <c r="VKZ242"/>
      <c r="VLA242"/>
      <c r="VLB242"/>
      <c r="VLC242"/>
      <c r="VLD242"/>
      <c r="VLE242"/>
      <c r="VLF242"/>
      <c r="VLG242"/>
      <c r="VLH242"/>
      <c r="VLI242"/>
      <c r="VLJ242"/>
      <c r="VLK242"/>
      <c r="VLL242"/>
      <c r="VLM242"/>
      <c r="VLN242"/>
      <c r="VLO242"/>
      <c r="VLP242"/>
      <c r="VLQ242"/>
      <c r="VLR242"/>
      <c r="VLS242"/>
      <c r="VLT242"/>
      <c r="VLU242"/>
      <c r="VLV242"/>
      <c r="VLW242"/>
      <c r="VLX242"/>
      <c r="VLY242"/>
      <c r="VLZ242"/>
      <c r="VMA242"/>
      <c r="VMB242"/>
      <c r="VMC242"/>
      <c r="VMD242"/>
      <c r="VME242"/>
      <c r="VMF242"/>
      <c r="VMG242"/>
      <c r="VMH242"/>
      <c r="VMI242"/>
      <c r="VMJ242"/>
      <c r="VMK242"/>
      <c r="VML242"/>
      <c r="VMM242"/>
      <c r="VMN242"/>
      <c r="VMO242"/>
      <c r="VMP242"/>
      <c r="VMQ242"/>
      <c r="VMR242"/>
      <c r="VMS242"/>
      <c r="VMT242"/>
      <c r="VMU242"/>
      <c r="VMV242"/>
      <c r="VMW242"/>
      <c r="VMX242"/>
      <c r="VMY242"/>
      <c r="VMZ242"/>
      <c r="VNA242"/>
      <c r="VNB242"/>
      <c r="VNC242"/>
      <c r="VND242"/>
      <c r="VNE242"/>
      <c r="VNF242"/>
      <c r="VNG242"/>
      <c r="VNH242"/>
      <c r="VNI242"/>
      <c r="VNJ242"/>
      <c r="VNK242"/>
      <c r="VNL242"/>
      <c r="VNM242"/>
      <c r="VNN242"/>
      <c r="VNO242"/>
      <c r="VNP242"/>
      <c r="VNQ242"/>
      <c r="VNR242"/>
      <c r="VNS242"/>
      <c r="VNT242"/>
      <c r="VNU242"/>
      <c r="VNV242"/>
      <c r="VNW242"/>
      <c r="VNX242"/>
      <c r="VNY242"/>
      <c r="VNZ242"/>
      <c r="VOA242"/>
      <c r="VOB242"/>
      <c r="VOC242"/>
      <c r="VOD242"/>
      <c r="VOE242"/>
      <c r="VOF242"/>
      <c r="VOG242"/>
      <c r="VOH242"/>
      <c r="VOI242"/>
      <c r="VOJ242"/>
      <c r="VOK242"/>
      <c r="VOL242"/>
      <c r="VOM242"/>
      <c r="VON242"/>
      <c r="VOO242"/>
      <c r="VOP242"/>
      <c r="VOQ242"/>
      <c r="VOR242"/>
      <c r="VOS242"/>
      <c r="VOT242"/>
      <c r="VOU242"/>
      <c r="VOV242"/>
      <c r="VOW242"/>
      <c r="VOX242"/>
      <c r="VOY242"/>
      <c r="VOZ242"/>
      <c r="VPA242"/>
      <c r="VPB242"/>
      <c r="VPC242"/>
      <c r="VPD242"/>
      <c r="VPE242"/>
      <c r="VPF242"/>
      <c r="VPG242"/>
      <c r="VPH242"/>
      <c r="VPI242"/>
      <c r="VPJ242"/>
      <c r="VPK242"/>
      <c r="VPL242"/>
      <c r="VPM242"/>
      <c r="VPN242"/>
      <c r="VPO242"/>
      <c r="VPP242"/>
      <c r="VPQ242"/>
      <c r="VPR242"/>
      <c r="VPS242"/>
      <c r="VPT242"/>
      <c r="VPU242"/>
      <c r="VPV242"/>
      <c r="VPW242"/>
      <c r="VPX242"/>
      <c r="VPY242"/>
      <c r="VPZ242"/>
      <c r="VQA242"/>
      <c r="VQB242"/>
      <c r="VQC242"/>
      <c r="VQD242"/>
      <c r="VQE242"/>
      <c r="VQF242"/>
      <c r="VQG242"/>
      <c r="VQH242"/>
      <c r="VQI242"/>
      <c r="VQJ242"/>
      <c r="VQK242"/>
      <c r="VQL242"/>
      <c r="VQM242"/>
      <c r="VQN242"/>
      <c r="VQO242"/>
      <c r="VQP242"/>
      <c r="VQQ242"/>
      <c r="VQR242"/>
      <c r="VQS242"/>
      <c r="VQT242"/>
      <c r="VQU242"/>
      <c r="VQV242"/>
      <c r="VQW242"/>
      <c r="VQX242"/>
      <c r="VQY242"/>
      <c r="VQZ242"/>
      <c r="VRA242"/>
      <c r="VRB242"/>
      <c r="VRC242"/>
      <c r="VRD242"/>
      <c r="VRE242"/>
      <c r="VRF242"/>
      <c r="VRG242"/>
      <c r="VRH242"/>
      <c r="VRI242"/>
      <c r="VRJ242"/>
      <c r="VRK242"/>
      <c r="VRL242"/>
      <c r="VRM242"/>
      <c r="VRN242"/>
      <c r="VRO242"/>
      <c r="VRP242"/>
      <c r="VRQ242"/>
      <c r="VRR242"/>
      <c r="VRS242"/>
      <c r="VRT242"/>
      <c r="VRU242"/>
      <c r="VRV242"/>
      <c r="VRW242"/>
      <c r="VRX242"/>
      <c r="VRY242"/>
      <c r="VRZ242"/>
      <c r="VSA242"/>
      <c r="VSB242"/>
      <c r="VSC242"/>
      <c r="VSD242"/>
      <c r="VSE242"/>
      <c r="VSF242"/>
      <c r="VSG242"/>
      <c r="VSH242"/>
      <c r="VSI242"/>
      <c r="VSJ242"/>
      <c r="VSK242"/>
      <c r="VSL242"/>
      <c r="VSM242"/>
      <c r="VSN242"/>
      <c r="VSO242"/>
      <c r="VSP242"/>
      <c r="VSQ242"/>
      <c r="VSR242"/>
      <c r="VSS242"/>
      <c r="VST242"/>
      <c r="VSU242"/>
      <c r="VSV242"/>
      <c r="VSW242"/>
      <c r="VSX242"/>
      <c r="VSY242"/>
      <c r="VSZ242"/>
      <c r="VTA242"/>
      <c r="VTB242"/>
      <c r="VTC242"/>
      <c r="VTD242"/>
      <c r="VTE242"/>
      <c r="VTF242"/>
      <c r="VTG242"/>
      <c r="VTH242"/>
      <c r="VTI242"/>
      <c r="VTJ242"/>
      <c r="VTK242"/>
      <c r="VTL242"/>
      <c r="VTM242"/>
      <c r="VTN242"/>
      <c r="VTO242"/>
      <c r="VTP242"/>
      <c r="VTQ242"/>
      <c r="VTR242"/>
      <c r="VTS242"/>
      <c r="VTT242"/>
      <c r="VTU242"/>
      <c r="VTV242"/>
      <c r="VTW242"/>
      <c r="VTX242"/>
      <c r="VTY242"/>
      <c r="VTZ242"/>
      <c r="VUA242"/>
      <c r="VUB242"/>
      <c r="VUC242"/>
      <c r="VUD242"/>
      <c r="VUE242"/>
      <c r="VUF242"/>
      <c r="VUG242"/>
      <c r="VUH242"/>
      <c r="VUI242"/>
      <c r="VUJ242"/>
      <c r="VUK242"/>
      <c r="VUL242"/>
      <c r="VUM242"/>
      <c r="VUN242"/>
      <c r="VUO242"/>
      <c r="VUP242"/>
      <c r="VUQ242"/>
      <c r="VUR242"/>
      <c r="VUS242"/>
      <c r="VUT242"/>
      <c r="VUU242"/>
      <c r="VUV242"/>
      <c r="VUW242"/>
      <c r="VUX242"/>
      <c r="VUY242"/>
      <c r="VUZ242"/>
      <c r="VVA242"/>
      <c r="VVB242"/>
      <c r="VVC242"/>
      <c r="VVD242"/>
      <c r="VVE242"/>
      <c r="VVF242"/>
      <c r="VVG242"/>
      <c r="VVH242"/>
      <c r="VVI242"/>
      <c r="VVJ242"/>
      <c r="VVK242"/>
      <c r="VVL242"/>
      <c r="VVM242"/>
      <c r="VVN242"/>
      <c r="VVO242"/>
      <c r="VVP242"/>
      <c r="VVQ242"/>
      <c r="VVR242"/>
      <c r="VVS242"/>
      <c r="VVT242"/>
      <c r="VVU242"/>
      <c r="VVV242"/>
      <c r="VVW242"/>
      <c r="VVX242"/>
      <c r="VVY242"/>
      <c r="VVZ242"/>
      <c r="VWA242"/>
    </row>
    <row r="243" spans="2:113 15079:15471" s="1" customFormat="1" x14ac:dyDescent="0.25">
      <c r="B243" s="289"/>
      <c r="C243" s="136" t="s">
        <v>3</v>
      </c>
      <c r="D243" s="109">
        <v>28770</v>
      </c>
      <c r="E243" s="194" t="s">
        <v>2</v>
      </c>
      <c r="F243" s="78">
        <v>29200</v>
      </c>
      <c r="G243" s="78">
        <v>30100</v>
      </c>
      <c r="H243" s="78">
        <v>29800</v>
      </c>
      <c r="I243" s="10">
        <v>28500</v>
      </c>
      <c r="J243" s="78">
        <v>29300</v>
      </c>
      <c r="K243" s="78">
        <v>29900</v>
      </c>
      <c r="L243" s="78">
        <v>29500</v>
      </c>
      <c r="M243" s="10">
        <v>28100</v>
      </c>
      <c r="N243" s="107">
        <v>27700</v>
      </c>
      <c r="O243" s="78">
        <v>28800</v>
      </c>
      <c r="P243" s="78">
        <v>29100</v>
      </c>
      <c r="Q243" s="107">
        <v>28400</v>
      </c>
      <c r="R243" s="107">
        <v>27200</v>
      </c>
      <c r="S243" s="107">
        <v>26000</v>
      </c>
      <c r="T243" s="107">
        <v>25400</v>
      </c>
      <c r="U243" s="10">
        <v>27900</v>
      </c>
      <c r="V243" s="10">
        <v>27700</v>
      </c>
      <c r="W243" s="107">
        <v>26600</v>
      </c>
      <c r="X243" s="107">
        <v>25600</v>
      </c>
      <c r="Y243" s="10">
        <v>22300</v>
      </c>
      <c r="Z243" s="107">
        <v>21700</v>
      </c>
      <c r="AA243" s="10">
        <v>21800</v>
      </c>
      <c r="AB243" s="107">
        <v>21700</v>
      </c>
      <c r="AC243" s="107">
        <v>22300</v>
      </c>
      <c r="AD243" s="107">
        <v>23900</v>
      </c>
      <c r="AE243" s="107">
        <v>25500</v>
      </c>
      <c r="AF243" s="107">
        <v>22000</v>
      </c>
      <c r="AG243" s="351">
        <v>26100</v>
      </c>
      <c r="AH243" s="351">
        <v>23700</v>
      </c>
      <c r="AI243" s="217">
        <v>26700</v>
      </c>
      <c r="AJ243" s="9"/>
      <c r="AK243" s="8">
        <f>SUM(F243:AI243)</f>
        <v>792500</v>
      </c>
      <c r="DI243" s="4"/>
      <c r="VGY243"/>
      <c r="VGZ243"/>
      <c r="VHA243"/>
      <c r="VHB243"/>
      <c r="VHC243"/>
      <c r="VHD243"/>
      <c r="VHE243"/>
      <c r="VHF243"/>
      <c r="VHG243"/>
      <c r="VHH243"/>
      <c r="VHI243"/>
      <c r="VHJ243"/>
      <c r="VHK243"/>
      <c r="VHL243"/>
      <c r="VHM243"/>
      <c r="VHN243"/>
      <c r="VHO243"/>
      <c r="VHP243"/>
      <c r="VHQ243"/>
      <c r="VHR243"/>
      <c r="VHS243"/>
      <c r="VHT243"/>
      <c r="VHU243"/>
      <c r="VHV243"/>
      <c r="VHW243"/>
      <c r="VHX243"/>
      <c r="VHY243"/>
      <c r="VHZ243"/>
      <c r="VIA243"/>
      <c r="VIB243"/>
      <c r="VIC243"/>
      <c r="VID243"/>
      <c r="VIE243"/>
      <c r="VIF243"/>
      <c r="VIG243"/>
      <c r="VIH243"/>
      <c r="VII243"/>
      <c r="VIJ243"/>
      <c r="VIK243"/>
      <c r="VIL243"/>
      <c r="VIM243"/>
      <c r="VIN243"/>
      <c r="VIO243"/>
      <c r="VIP243"/>
      <c r="VIQ243"/>
      <c r="VIR243"/>
      <c r="VIS243"/>
      <c r="VIT243"/>
      <c r="VIU243"/>
      <c r="VIV243"/>
      <c r="VIW243"/>
      <c r="VIX243"/>
      <c r="VIY243"/>
      <c r="VIZ243"/>
      <c r="VJA243"/>
      <c r="VJB243"/>
      <c r="VJC243"/>
      <c r="VJD243"/>
      <c r="VJE243"/>
      <c r="VJF243"/>
      <c r="VJG243"/>
      <c r="VJH243"/>
      <c r="VJI243"/>
      <c r="VJJ243"/>
      <c r="VJK243"/>
      <c r="VJL243"/>
      <c r="VJM243"/>
      <c r="VJN243"/>
      <c r="VJO243"/>
      <c r="VJP243"/>
      <c r="VJQ243"/>
      <c r="VJR243"/>
      <c r="VJS243"/>
      <c r="VJT243"/>
      <c r="VJU243"/>
      <c r="VJV243"/>
      <c r="VJW243"/>
      <c r="VJX243"/>
      <c r="VJY243"/>
      <c r="VJZ243"/>
      <c r="VKA243"/>
      <c r="VKB243"/>
      <c r="VKC243"/>
      <c r="VKD243"/>
      <c r="VKE243"/>
      <c r="VKF243"/>
      <c r="VKG243"/>
      <c r="VKH243"/>
      <c r="VKI243"/>
      <c r="VKJ243"/>
      <c r="VKK243"/>
      <c r="VKL243"/>
      <c r="VKM243"/>
      <c r="VKN243"/>
      <c r="VKO243"/>
      <c r="VKP243"/>
      <c r="VKQ243"/>
      <c r="VKR243"/>
      <c r="VKS243"/>
      <c r="VKT243"/>
      <c r="VKU243"/>
      <c r="VKV243"/>
      <c r="VKW243"/>
      <c r="VKX243"/>
      <c r="VKY243"/>
      <c r="VKZ243"/>
      <c r="VLA243"/>
      <c r="VLB243"/>
      <c r="VLC243"/>
      <c r="VLD243"/>
      <c r="VLE243"/>
      <c r="VLF243"/>
      <c r="VLG243"/>
      <c r="VLH243"/>
      <c r="VLI243"/>
      <c r="VLJ243"/>
      <c r="VLK243"/>
      <c r="VLL243"/>
      <c r="VLM243"/>
      <c r="VLN243"/>
      <c r="VLO243"/>
      <c r="VLP243"/>
      <c r="VLQ243"/>
      <c r="VLR243"/>
      <c r="VLS243"/>
      <c r="VLT243"/>
      <c r="VLU243"/>
      <c r="VLV243"/>
      <c r="VLW243"/>
      <c r="VLX243"/>
      <c r="VLY243"/>
      <c r="VLZ243"/>
      <c r="VMA243"/>
      <c r="VMB243"/>
      <c r="VMC243"/>
      <c r="VMD243"/>
      <c r="VME243"/>
      <c r="VMF243"/>
      <c r="VMG243"/>
      <c r="VMH243"/>
      <c r="VMI243"/>
      <c r="VMJ243"/>
      <c r="VMK243"/>
      <c r="VML243"/>
      <c r="VMM243"/>
      <c r="VMN243"/>
      <c r="VMO243"/>
      <c r="VMP243"/>
      <c r="VMQ243"/>
      <c r="VMR243"/>
      <c r="VMS243"/>
      <c r="VMT243"/>
      <c r="VMU243"/>
      <c r="VMV243"/>
      <c r="VMW243"/>
      <c r="VMX243"/>
      <c r="VMY243"/>
      <c r="VMZ243"/>
      <c r="VNA243"/>
      <c r="VNB243"/>
      <c r="VNC243"/>
      <c r="VND243"/>
      <c r="VNE243"/>
      <c r="VNF243"/>
      <c r="VNG243"/>
      <c r="VNH243"/>
      <c r="VNI243"/>
      <c r="VNJ243"/>
      <c r="VNK243"/>
      <c r="VNL243"/>
      <c r="VNM243"/>
      <c r="VNN243"/>
      <c r="VNO243"/>
      <c r="VNP243"/>
      <c r="VNQ243"/>
      <c r="VNR243"/>
      <c r="VNS243"/>
      <c r="VNT243"/>
      <c r="VNU243"/>
      <c r="VNV243"/>
      <c r="VNW243"/>
      <c r="VNX243"/>
      <c r="VNY243"/>
      <c r="VNZ243"/>
      <c r="VOA243"/>
      <c r="VOB243"/>
      <c r="VOC243"/>
      <c r="VOD243"/>
      <c r="VOE243"/>
      <c r="VOF243"/>
      <c r="VOG243"/>
      <c r="VOH243"/>
      <c r="VOI243"/>
      <c r="VOJ243"/>
      <c r="VOK243"/>
      <c r="VOL243"/>
      <c r="VOM243"/>
      <c r="VON243"/>
      <c r="VOO243"/>
      <c r="VOP243"/>
      <c r="VOQ243"/>
      <c r="VOR243"/>
      <c r="VOS243"/>
      <c r="VOT243"/>
      <c r="VOU243"/>
      <c r="VOV243"/>
      <c r="VOW243"/>
      <c r="VOX243"/>
      <c r="VOY243"/>
      <c r="VOZ243"/>
      <c r="VPA243"/>
      <c r="VPB243"/>
      <c r="VPC243"/>
      <c r="VPD243"/>
      <c r="VPE243"/>
      <c r="VPF243"/>
      <c r="VPG243"/>
      <c r="VPH243"/>
      <c r="VPI243"/>
      <c r="VPJ243"/>
      <c r="VPK243"/>
      <c r="VPL243"/>
      <c r="VPM243"/>
      <c r="VPN243"/>
      <c r="VPO243"/>
      <c r="VPP243"/>
      <c r="VPQ243"/>
      <c r="VPR243"/>
      <c r="VPS243"/>
      <c r="VPT243"/>
      <c r="VPU243"/>
      <c r="VPV243"/>
      <c r="VPW243"/>
      <c r="VPX243"/>
      <c r="VPY243"/>
      <c r="VPZ243"/>
      <c r="VQA243"/>
      <c r="VQB243"/>
      <c r="VQC243"/>
      <c r="VQD243"/>
      <c r="VQE243"/>
      <c r="VQF243"/>
      <c r="VQG243"/>
      <c r="VQH243"/>
      <c r="VQI243"/>
      <c r="VQJ243"/>
      <c r="VQK243"/>
      <c r="VQL243"/>
      <c r="VQM243"/>
      <c r="VQN243"/>
      <c r="VQO243"/>
      <c r="VQP243"/>
      <c r="VQQ243"/>
      <c r="VQR243"/>
      <c r="VQS243"/>
      <c r="VQT243"/>
      <c r="VQU243"/>
      <c r="VQV243"/>
      <c r="VQW243"/>
      <c r="VQX243"/>
      <c r="VQY243"/>
      <c r="VQZ243"/>
      <c r="VRA243"/>
      <c r="VRB243"/>
      <c r="VRC243"/>
      <c r="VRD243"/>
      <c r="VRE243"/>
      <c r="VRF243"/>
      <c r="VRG243"/>
      <c r="VRH243"/>
      <c r="VRI243"/>
      <c r="VRJ243"/>
      <c r="VRK243"/>
      <c r="VRL243"/>
      <c r="VRM243"/>
      <c r="VRN243"/>
      <c r="VRO243"/>
      <c r="VRP243"/>
      <c r="VRQ243"/>
      <c r="VRR243"/>
      <c r="VRS243"/>
      <c r="VRT243"/>
      <c r="VRU243"/>
      <c r="VRV243"/>
      <c r="VRW243"/>
      <c r="VRX243"/>
      <c r="VRY243"/>
      <c r="VRZ243"/>
      <c r="VSA243"/>
      <c r="VSB243"/>
      <c r="VSC243"/>
      <c r="VSD243"/>
      <c r="VSE243"/>
      <c r="VSF243"/>
      <c r="VSG243"/>
      <c r="VSH243"/>
      <c r="VSI243"/>
      <c r="VSJ243"/>
      <c r="VSK243"/>
      <c r="VSL243"/>
      <c r="VSM243"/>
      <c r="VSN243"/>
      <c r="VSO243"/>
      <c r="VSP243"/>
      <c r="VSQ243"/>
      <c r="VSR243"/>
      <c r="VSS243"/>
      <c r="VST243"/>
      <c r="VSU243"/>
      <c r="VSV243"/>
      <c r="VSW243"/>
      <c r="VSX243"/>
      <c r="VSY243"/>
      <c r="VSZ243"/>
      <c r="VTA243"/>
      <c r="VTB243"/>
      <c r="VTC243"/>
      <c r="VTD243"/>
      <c r="VTE243"/>
      <c r="VTF243"/>
      <c r="VTG243"/>
      <c r="VTH243"/>
      <c r="VTI243"/>
      <c r="VTJ243"/>
      <c r="VTK243"/>
      <c r="VTL243"/>
      <c r="VTM243"/>
      <c r="VTN243"/>
      <c r="VTO243"/>
      <c r="VTP243"/>
      <c r="VTQ243"/>
      <c r="VTR243"/>
      <c r="VTS243"/>
      <c r="VTT243"/>
      <c r="VTU243"/>
      <c r="VTV243"/>
      <c r="VTW243"/>
      <c r="VTX243"/>
      <c r="VTY243"/>
      <c r="VTZ243"/>
      <c r="VUA243"/>
      <c r="VUB243"/>
      <c r="VUC243"/>
      <c r="VUD243"/>
      <c r="VUE243"/>
      <c r="VUF243"/>
      <c r="VUG243"/>
      <c r="VUH243"/>
      <c r="VUI243"/>
      <c r="VUJ243"/>
      <c r="VUK243"/>
      <c r="VUL243"/>
      <c r="VUM243"/>
      <c r="VUN243"/>
      <c r="VUO243"/>
      <c r="VUP243"/>
      <c r="VUQ243"/>
      <c r="VUR243"/>
      <c r="VUS243"/>
      <c r="VUT243"/>
      <c r="VUU243"/>
      <c r="VUV243"/>
      <c r="VUW243"/>
      <c r="VUX243"/>
      <c r="VUY243"/>
      <c r="VUZ243"/>
      <c r="VVA243"/>
      <c r="VVB243"/>
      <c r="VVC243"/>
      <c r="VVD243"/>
      <c r="VVE243"/>
      <c r="VVF243"/>
      <c r="VVG243"/>
      <c r="VVH243"/>
      <c r="VVI243"/>
      <c r="VVJ243"/>
      <c r="VVK243"/>
      <c r="VVL243"/>
      <c r="VVM243"/>
      <c r="VVN243"/>
      <c r="VVO243"/>
      <c r="VVP243"/>
      <c r="VVQ243"/>
      <c r="VVR243"/>
      <c r="VVS243"/>
      <c r="VVT243"/>
      <c r="VVU243"/>
      <c r="VVV243"/>
      <c r="VVW243"/>
      <c r="VVX243"/>
      <c r="VVY243"/>
      <c r="VVZ243"/>
      <c r="VWA243"/>
    </row>
    <row r="244" spans="2:113 15079:15471" s="1" customFormat="1" ht="15.75" thickBot="1" x14ac:dyDescent="0.3">
      <c r="B244" s="291"/>
      <c r="C244" s="197" t="s">
        <v>1</v>
      </c>
      <c r="D244" s="198"/>
      <c r="E244" s="199" t="s">
        <v>0</v>
      </c>
      <c r="F244" s="381">
        <f t="shared" ref="F244:AI244" si="95">SUM(F243:F243)</f>
        <v>29200</v>
      </c>
      <c r="G244" s="381">
        <f t="shared" si="95"/>
        <v>30100</v>
      </c>
      <c r="H244" s="381">
        <f t="shared" si="95"/>
        <v>29800</v>
      </c>
      <c r="I244" s="200">
        <f t="shared" si="95"/>
        <v>28500</v>
      </c>
      <c r="J244" s="381">
        <f t="shared" si="95"/>
        <v>29300</v>
      </c>
      <c r="K244" s="381">
        <f t="shared" si="95"/>
        <v>29900</v>
      </c>
      <c r="L244" s="381">
        <f t="shared" si="95"/>
        <v>29500</v>
      </c>
      <c r="M244" s="200">
        <f t="shared" si="95"/>
        <v>28100</v>
      </c>
      <c r="N244" s="200">
        <f t="shared" si="95"/>
        <v>27700</v>
      </c>
      <c r="O244" s="381">
        <f t="shared" si="95"/>
        <v>28800</v>
      </c>
      <c r="P244" s="381">
        <f t="shared" si="95"/>
        <v>29100</v>
      </c>
      <c r="Q244" s="200">
        <f t="shared" si="95"/>
        <v>28400</v>
      </c>
      <c r="R244" s="200">
        <f t="shared" si="95"/>
        <v>27200</v>
      </c>
      <c r="S244" s="200">
        <f t="shared" si="95"/>
        <v>26000</v>
      </c>
      <c r="T244" s="200">
        <f t="shared" si="95"/>
        <v>25400</v>
      </c>
      <c r="U244" s="391">
        <f t="shared" si="95"/>
        <v>27900</v>
      </c>
      <c r="V244" s="391">
        <f t="shared" si="95"/>
        <v>27700</v>
      </c>
      <c r="W244" s="200">
        <f t="shared" si="95"/>
        <v>26600</v>
      </c>
      <c r="X244" s="200">
        <f t="shared" si="95"/>
        <v>25600</v>
      </c>
      <c r="Y244" s="200">
        <f t="shared" si="95"/>
        <v>22300</v>
      </c>
      <c r="Z244" s="200">
        <f t="shared" si="95"/>
        <v>21700</v>
      </c>
      <c r="AA244" s="391">
        <f t="shared" si="95"/>
        <v>21800</v>
      </c>
      <c r="AB244" s="200">
        <f t="shared" si="95"/>
        <v>21700</v>
      </c>
      <c r="AC244" s="200">
        <f t="shared" si="95"/>
        <v>22300</v>
      </c>
      <c r="AD244" s="200">
        <f t="shared" si="95"/>
        <v>23900</v>
      </c>
      <c r="AE244" s="200">
        <f t="shared" si="95"/>
        <v>25500</v>
      </c>
      <c r="AF244" s="200">
        <f t="shared" si="95"/>
        <v>22000</v>
      </c>
      <c r="AG244" s="200">
        <f t="shared" si="95"/>
        <v>26100</v>
      </c>
      <c r="AH244" s="200">
        <f t="shared" si="95"/>
        <v>23700</v>
      </c>
      <c r="AI244" s="292">
        <f t="shared" si="95"/>
        <v>26700</v>
      </c>
      <c r="AJ244" s="6"/>
      <c r="AK244" s="5">
        <f>SUM(F244:AI244)</f>
        <v>792500</v>
      </c>
      <c r="DI244" s="4"/>
      <c r="VGY244"/>
      <c r="VGZ244"/>
      <c r="VHA244"/>
      <c r="VHB244"/>
      <c r="VHC244"/>
      <c r="VHD244"/>
      <c r="VHE244"/>
      <c r="VHF244"/>
      <c r="VHG244"/>
      <c r="VHH244"/>
      <c r="VHI244"/>
      <c r="VHJ244"/>
      <c r="VHK244"/>
      <c r="VHL244"/>
      <c r="VHM244"/>
      <c r="VHN244"/>
      <c r="VHO244"/>
      <c r="VHP244"/>
      <c r="VHQ244"/>
      <c r="VHR244"/>
      <c r="VHS244"/>
      <c r="VHT244"/>
      <c r="VHU244"/>
      <c r="VHV244"/>
      <c r="VHW244"/>
      <c r="VHX244"/>
      <c r="VHY244"/>
      <c r="VHZ244"/>
      <c r="VIA244"/>
      <c r="VIB244"/>
      <c r="VIC244"/>
      <c r="VID244"/>
      <c r="VIE244"/>
      <c r="VIF244"/>
      <c r="VIG244"/>
      <c r="VIH244"/>
      <c r="VII244"/>
      <c r="VIJ244"/>
      <c r="VIK244"/>
      <c r="VIL244"/>
      <c r="VIM244"/>
      <c r="VIN244"/>
      <c r="VIO244"/>
      <c r="VIP244"/>
      <c r="VIQ244"/>
      <c r="VIR244"/>
      <c r="VIS244"/>
      <c r="VIT244"/>
      <c r="VIU244"/>
      <c r="VIV244"/>
      <c r="VIW244"/>
      <c r="VIX244"/>
      <c r="VIY244"/>
      <c r="VIZ244"/>
      <c r="VJA244"/>
      <c r="VJB244"/>
      <c r="VJC244"/>
      <c r="VJD244"/>
      <c r="VJE244"/>
      <c r="VJF244"/>
      <c r="VJG244"/>
      <c r="VJH244"/>
      <c r="VJI244"/>
      <c r="VJJ244"/>
      <c r="VJK244"/>
      <c r="VJL244"/>
      <c r="VJM244"/>
      <c r="VJN244"/>
      <c r="VJO244"/>
      <c r="VJP244"/>
      <c r="VJQ244"/>
      <c r="VJR244"/>
      <c r="VJS244"/>
      <c r="VJT244"/>
      <c r="VJU244"/>
      <c r="VJV244"/>
      <c r="VJW244"/>
      <c r="VJX244"/>
      <c r="VJY244"/>
      <c r="VJZ244"/>
      <c r="VKA244"/>
      <c r="VKB244"/>
      <c r="VKC244"/>
      <c r="VKD244"/>
      <c r="VKE244"/>
      <c r="VKF244"/>
      <c r="VKG244"/>
      <c r="VKH244"/>
      <c r="VKI244"/>
      <c r="VKJ244"/>
      <c r="VKK244"/>
      <c r="VKL244"/>
      <c r="VKM244"/>
      <c r="VKN244"/>
      <c r="VKO244"/>
      <c r="VKP244"/>
      <c r="VKQ244"/>
      <c r="VKR244"/>
      <c r="VKS244"/>
      <c r="VKT244"/>
      <c r="VKU244"/>
      <c r="VKV244"/>
      <c r="VKW244"/>
      <c r="VKX244"/>
      <c r="VKY244"/>
      <c r="VKZ244"/>
      <c r="VLA244"/>
      <c r="VLB244"/>
      <c r="VLC244"/>
      <c r="VLD244"/>
      <c r="VLE244"/>
      <c r="VLF244"/>
      <c r="VLG244"/>
      <c r="VLH244"/>
      <c r="VLI244"/>
      <c r="VLJ244"/>
      <c r="VLK244"/>
      <c r="VLL244"/>
      <c r="VLM244"/>
      <c r="VLN244"/>
      <c r="VLO244"/>
      <c r="VLP244"/>
      <c r="VLQ244"/>
      <c r="VLR244"/>
      <c r="VLS244"/>
      <c r="VLT244"/>
      <c r="VLU244"/>
      <c r="VLV244"/>
      <c r="VLW244"/>
      <c r="VLX244"/>
      <c r="VLY244"/>
      <c r="VLZ244"/>
      <c r="VMA244"/>
      <c r="VMB244"/>
      <c r="VMC244"/>
      <c r="VMD244"/>
      <c r="VME244"/>
      <c r="VMF244"/>
      <c r="VMG244"/>
      <c r="VMH244"/>
      <c r="VMI244"/>
      <c r="VMJ244"/>
      <c r="VMK244"/>
      <c r="VML244"/>
      <c r="VMM244"/>
      <c r="VMN244"/>
      <c r="VMO244"/>
      <c r="VMP244"/>
      <c r="VMQ244"/>
      <c r="VMR244"/>
      <c r="VMS244"/>
      <c r="VMT244"/>
      <c r="VMU244"/>
      <c r="VMV244"/>
      <c r="VMW244"/>
      <c r="VMX244"/>
      <c r="VMY244"/>
      <c r="VMZ244"/>
      <c r="VNA244"/>
      <c r="VNB244"/>
      <c r="VNC244"/>
      <c r="VND244"/>
      <c r="VNE244"/>
      <c r="VNF244"/>
      <c r="VNG244"/>
      <c r="VNH244"/>
      <c r="VNI244"/>
      <c r="VNJ244"/>
      <c r="VNK244"/>
      <c r="VNL244"/>
      <c r="VNM244"/>
      <c r="VNN244"/>
      <c r="VNO244"/>
      <c r="VNP244"/>
      <c r="VNQ244"/>
      <c r="VNR244"/>
      <c r="VNS244"/>
      <c r="VNT244"/>
      <c r="VNU244"/>
      <c r="VNV244"/>
      <c r="VNW244"/>
      <c r="VNX244"/>
      <c r="VNY244"/>
      <c r="VNZ244"/>
      <c r="VOA244"/>
      <c r="VOB244"/>
      <c r="VOC244"/>
      <c r="VOD244"/>
      <c r="VOE244"/>
      <c r="VOF244"/>
      <c r="VOG244"/>
      <c r="VOH244"/>
      <c r="VOI244"/>
      <c r="VOJ244"/>
      <c r="VOK244"/>
      <c r="VOL244"/>
      <c r="VOM244"/>
      <c r="VON244"/>
      <c r="VOO244"/>
      <c r="VOP244"/>
      <c r="VOQ244"/>
      <c r="VOR244"/>
      <c r="VOS244"/>
      <c r="VOT244"/>
      <c r="VOU244"/>
      <c r="VOV244"/>
      <c r="VOW244"/>
      <c r="VOX244"/>
      <c r="VOY244"/>
      <c r="VOZ244"/>
      <c r="VPA244"/>
      <c r="VPB244"/>
      <c r="VPC244"/>
      <c r="VPD244"/>
      <c r="VPE244"/>
      <c r="VPF244"/>
      <c r="VPG244"/>
      <c r="VPH244"/>
      <c r="VPI244"/>
      <c r="VPJ244"/>
      <c r="VPK244"/>
      <c r="VPL244"/>
      <c r="VPM244"/>
      <c r="VPN244"/>
      <c r="VPO244"/>
      <c r="VPP244"/>
      <c r="VPQ244"/>
      <c r="VPR244"/>
      <c r="VPS244"/>
      <c r="VPT244"/>
      <c r="VPU244"/>
      <c r="VPV244"/>
      <c r="VPW244"/>
      <c r="VPX244"/>
      <c r="VPY244"/>
      <c r="VPZ244"/>
      <c r="VQA244"/>
      <c r="VQB244"/>
      <c r="VQC244"/>
      <c r="VQD244"/>
      <c r="VQE244"/>
      <c r="VQF244"/>
      <c r="VQG244"/>
      <c r="VQH244"/>
      <c r="VQI244"/>
      <c r="VQJ244"/>
      <c r="VQK244"/>
      <c r="VQL244"/>
      <c r="VQM244"/>
      <c r="VQN244"/>
      <c r="VQO244"/>
      <c r="VQP244"/>
      <c r="VQQ244"/>
      <c r="VQR244"/>
      <c r="VQS244"/>
      <c r="VQT244"/>
      <c r="VQU244"/>
      <c r="VQV244"/>
      <c r="VQW244"/>
      <c r="VQX244"/>
      <c r="VQY244"/>
      <c r="VQZ244"/>
      <c r="VRA244"/>
      <c r="VRB244"/>
      <c r="VRC244"/>
      <c r="VRD244"/>
      <c r="VRE244"/>
      <c r="VRF244"/>
      <c r="VRG244"/>
      <c r="VRH244"/>
      <c r="VRI244"/>
      <c r="VRJ244"/>
      <c r="VRK244"/>
      <c r="VRL244"/>
      <c r="VRM244"/>
      <c r="VRN244"/>
      <c r="VRO244"/>
      <c r="VRP244"/>
      <c r="VRQ244"/>
      <c r="VRR244"/>
      <c r="VRS244"/>
      <c r="VRT244"/>
      <c r="VRU244"/>
      <c r="VRV244"/>
      <c r="VRW244"/>
      <c r="VRX244"/>
      <c r="VRY244"/>
      <c r="VRZ244"/>
      <c r="VSA244"/>
      <c r="VSB244"/>
      <c r="VSC244"/>
      <c r="VSD244"/>
      <c r="VSE244"/>
      <c r="VSF244"/>
      <c r="VSG244"/>
      <c r="VSH244"/>
      <c r="VSI244"/>
      <c r="VSJ244"/>
      <c r="VSK244"/>
      <c r="VSL244"/>
      <c r="VSM244"/>
      <c r="VSN244"/>
      <c r="VSO244"/>
      <c r="VSP244"/>
      <c r="VSQ244"/>
      <c r="VSR244"/>
      <c r="VSS244"/>
      <c r="VST244"/>
      <c r="VSU244"/>
      <c r="VSV244"/>
      <c r="VSW244"/>
      <c r="VSX244"/>
      <c r="VSY244"/>
      <c r="VSZ244"/>
      <c r="VTA244"/>
      <c r="VTB244"/>
      <c r="VTC244"/>
      <c r="VTD244"/>
      <c r="VTE244"/>
      <c r="VTF244"/>
      <c r="VTG244"/>
      <c r="VTH244"/>
      <c r="VTI244"/>
      <c r="VTJ244"/>
      <c r="VTK244"/>
      <c r="VTL244"/>
      <c r="VTM244"/>
      <c r="VTN244"/>
      <c r="VTO244"/>
      <c r="VTP244"/>
      <c r="VTQ244"/>
      <c r="VTR244"/>
      <c r="VTS244"/>
      <c r="VTT244"/>
      <c r="VTU244"/>
      <c r="VTV244"/>
      <c r="VTW244"/>
      <c r="VTX244"/>
      <c r="VTY244"/>
      <c r="VTZ244"/>
      <c r="VUA244"/>
      <c r="VUB244"/>
      <c r="VUC244"/>
      <c r="VUD244"/>
      <c r="VUE244"/>
      <c r="VUF244"/>
      <c r="VUG244"/>
      <c r="VUH244"/>
      <c r="VUI244"/>
      <c r="VUJ244"/>
      <c r="VUK244"/>
      <c r="VUL244"/>
      <c r="VUM244"/>
      <c r="VUN244"/>
      <c r="VUO244"/>
      <c r="VUP244"/>
      <c r="VUQ244"/>
      <c r="VUR244"/>
      <c r="VUS244"/>
      <c r="VUT244"/>
      <c r="VUU244"/>
      <c r="VUV244"/>
      <c r="VUW244"/>
      <c r="VUX244"/>
      <c r="VUY244"/>
      <c r="VUZ244"/>
      <c r="VVA244"/>
      <c r="VVB244"/>
      <c r="VVC244"/>
      <c r="VVD244"/>
      <c r="VVE244"/>
      <c r="VVF244"/>
      <c r="VVG244"/>
      <c r="VVH244"/>
      <c r="VVI244"/>
      <c r="VVJ244"/>
      <c r="VVK244"/>
      <c r="VVL244"/>
      <c r="VVM244"/>
      <c r="VVN244"/>
      <c r="VVO244"/>
      <c r="VVP244"/>
      <c r="VVQ244"/>
      <c r="VVR244"/>
      <c r="VVS244"/>
      <c r="VVT244"/>
      <c r="VVU244"/>
      <c r="VVV244"/>
      <c r="VVW244"/>
      <c r="VVX244"/>
      <c r="VVY244"/>
      <c r="VVZ244"/>
      <c r="VWA244"/>
    </row>
    <row r="245" spans="2:113 15079:15471" s="1" customFormat="1" ht="15" hidden="1" customHeight="1" x14ac:dyDescent="0.25">
      <c r="B245" s="101">
        <v>12</v>
      </c>
      <c r="C245" s="293" t="s">
        <v>128</v>
      </c>
      <c r="D245" s="294"/>
      <c r="E245" s="293"/>
      <c r="F245" s="294"/>
      <c r="G245" s="294"/>
      <c r="H245" s="294"/>
      <c r="I245" s="294"/>
      <c r="J245" s="294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  <c r="AA245" s="294"/>
      <c r="AB245" s="294"/>
      <c r="AC245" s="294"/>
      <c r="AD245" s="294"/>
      <c r="AE245" s="294"/>
      <c r="AF245" s="294"/>
      <c r="AG245" s="294"/>
      <c r="AH245" s="294"/>
      <c r="AI245" s="294"/>
      <c r="AK245" s="295" t="s">
        <v>129</v>
      </c>
      <c r="DI245" s="4"/>
      <c r="VGY245"/>
      <c r="VGZ245"/>
      <c r="VHA245"/>
      <c r="VHB245"/>
      <c r="VHC245"/>
      <c r="VHD245"/>
      <c r="VHE245"/>
      <c r="VHF245"/>
      <c r="VHG245"/>
      <c r="VHH245"/>
      <c r="VHI245"/>
      <c r="VHJ245"/>
      <c r="VHK245"/>
      <c r="VHL245"/>
      <c r="VHM245"/>
      <c r="VHN245"/>
      <c r="VHO245"/>
      <c r="VHP245"/>
      <c r="VHQ245"/>
      <c r="VHR245"/>
      <c r="VHS245"/>
      <c r="VHT245"/>
      <c r="VHU245"/>
      <c r="VHV245"/>
      <c r="VHW245"/>
      <c r="VHX245"/>
      <c r="VHY245"/>
      <c r="VHZ245"/>
      <c r="VIA245"/>
      <c r="VIB245"/>
      <c r="VIC245"/>
      <c r="VID245"/>
      <c r="VIE245"/>
      <c r="VIF245"/>
      <c r="VIG245"/>
      <c r="VIH245"/>
      <c r="VII245"/>
      <c r="VIJ245"/>
      <c r="VIK245"/>
      <c r="VIL245"/>
      <c r="VIM245"/>
      <c r="VIN245"/>
      <c r="VIO245"/>
      <c r="VIP245"/>
      <c r="VIQ245"/>
      <c r="VIR245"/>
      <c r="VIS245"/>
      <c r="VIT245"/>
      <c r="VIU245"/>
      <c r="VIV245"/>
      <c r="VIW245"/>
      <c r="VIX245"/>
      <c r="VIY245"/>
      <c r="VIZ245"/>
      <c r="VJA245"/>
      <c r="VJB245"/>
      <c r="VJC245"/>
      <c r="VJD245"/>
      <c r="VJE245"/>
      <c r="VJF245"/>
      <c r="VJG245"/>
      <c r="VJH245"/>
      <c r="VJI245"/>
      <c r="VJJ245"/>
      <c r="VJK245"/>
      <c r="VJL245"/>
      <c r="VJM245"/>
      <c r="VJN245"/>
      <c r="VJO245"/>
      <c r="VJP245"/>
      <c r="VJQ245"/>
      <c r="VJR245"/>
      <c r="VJS245"/>
      <c r="VJT245"/>
      <c r="VJU245"/>
      <c r="VJV245"/>
      <c r="VJW245"/>
      <c r="VJX245"/>
      <c r="VJY245"/>
      <c r="VJZ245"/>
      <c r="VKA245"/>
      <c r="VKB245"/>
      <c r="VKC245"/>
      <c r="VKD245"/>
      <c r="VKE245"/>
      <c r="VKF245"/>
      <c r="VKG245"/>
      <c r="VKH245"/>
      <c r="VKI245"/>
      <c r="VKJ245"/>
      <c r="VKK245"/>
      <c r="VKL245"/>
      <c r="VKM245"/>
      <c r="VKN245"/>
      <c r="VKO245"/>
      <c r="VKP245"/>
      <c r="VKQ245"/>
      <c r="VKR245"/>
      <c r="VKS245"/>
      <c r="VKT245"/>
      <c r="VKU245"/>
      <c r="VKV245"/>
      <c r="VKW245"/>
      <c r="VKX245"/>
      <c r="VKY245"/>
      <c r="VKZ245"/>
      <c r="VLA245"/>
      <c r="VLB245"/>
      <c r="VLC245"/>
      <c r="VLD245"/>
      <c r="VLE245"/>
      <c r="VLF245"/>
      <c r="VLG245"/>
      <c r="VLH245"/>
      <c r="VLI245"/>
      <c r="VLJ245"/>
      <c r="VLK245"/>
      <c r="VLL245"/>
      <c r="VLM245"/>
      <c r="VLN245"/>
      <c r="VLO245"/>
      <c r="VLP245"/>
      <c r="VLQ245"/>
      <c r="VLR245"/>
      <c r="VLS245"/>
      <c r="VLT245"/>
      <c r="VLU245"/>
      <c r="VLV245"/>
      <c r="VLW245"/>
      <c r="VLX245"/>
      <c r="VLY245"/>
      <c r="VLZ245"/>
      <c r="VMA245"/>
      <c r="VMB245"/>
      <c r="VMC245"/>
      <c r="VMD245"/>
      <c r="VME245"/>
      <c r="VMF245"/>
      <c r="VMG245"/>
      <c r="VMH245"/>
      <c r="VMI245"/>
      <c r="VMJ245"/>
      <c r="VMK245"/>
      <c r="VML245"/>
      <c r="VMM245"/>
      <c r="VMN245"/>
      <c r="VMO245"/>
      <c r="VMP245"/>
      <c r="VMQ245"/>
      <c r="VMR245"/>
      <c r="VMS245"/>
      <c r="VMT245"/>
      <c r="VMU245"/>
      <c r="VMV245"/>
      <c r="VMW245"/>
      <c r="VMX245"/>
      <c r="VMY245"/>
      <c r="VMZ245"/>
      <c r="VNA245"/>
      <c r="VNB245"/>
      <c r="VNC245"/>
      <c r="VND245"/>
      <c r="VNE245"/>
      <c r="VNF245"/>
      <c r="VNG245"/>
      <c r="VNH245"/>
      <c r="VNI245"/>
      <c r="VNJ245"/>
      <c r="VNK245"/>
      <c r="VNL245"/>
      <c r="VNM245"/>
      <c r="VNN245"/>
      <c r="VNO245"/>
      <c r="VNP245"/>
      <c r="VNQ245"/>
      <c r="VNR245"/>
      <c r="VNS245"/>
      <c r="VNT245"/>
      <c r="VNU245"/>
      <c r="VNV245"/>
      <c r="VNW245"/>
      <c r="VNX245"/>
      <c r="VNY245"/>
      <c r="VNZ245"/>
      <c r="VOA245"/>
      <c r="VOB245"/>
      <c r="VOC245"/>
      <c r="VOD245"/>
      <c r="VOE245"/>
      <c r="VOF245"/>
      <c r="VOG245"/>
      <c r="VOH245"/>
      <c r="VOI245"/>
      <c r="VOJ245"/>
      <c r="VOK245"/>
      <c r="VOL245"/>
      <c r="VOM245"/>
      <c r="VON245"/>
      <c r="VOO245"/>
      <c r="VOP245"/>
      <c r="VOQ245"/>
      <c r="VOR245"/>
      <c r="VOS245"/>
      <c r="VOT245"/>
      <c r="VOU245"/>
      <c r="VOV245"/>
      <c r="VOW245"/>
      <c r="VOX245"/>
      <c r="VOY245"/>
      <c r="VOZ245"/>
      <c r="VPA245"/>
      <c r="VPB245"/>
      <c r="VPC245"/>
      <c r="VPD245"/>
      <c r="VPE245"/>
      <c r="VPF245"/>
      <c r="VPG245"/>
      <c r="VPH245"/>
      <c r="VPI245"/>
      <c r="VPJ245"/>
      <c r="VPK245"/>
      <c r="VPL245"/>
      <c r="VPM245"/>
      <c r="VPN245"/>
      <c r="VPO245"/>
      <c r="VPP245"/>
      <c r="VPQ245"/>
      <c r="VPR245"/>
      <c r="VPS245"/>
      <c r="VPT245"/>
      <c r="VPU245"/>
      <c r="VPV245"/>
      <c r="VPW245"/>
      <c r="VPX245"/>
      <c r="VPY245"/>
      <c r="VPZ245"/>
      <c r="VQA245"/>
      <c r="VQB245"/>
      <c r="VQC245"/>
      <c r="VQD245"/>
      <c r="VQE245"/>
      <c r="VQF245"/>
      <c r="VQG245"/>
      <c r="VQH245"/>
      <c r="VQI245"/>
      <c r="VQJ245"/>
      <c r="VQK245"/>
      <c r="VQL245"/>
      <c r="VQM245"/>
      <c r="VQN245"/>
      <c r="VQO245"/>
      <c r="VQP245"/>
      <c r="VQQ245"/>
      <c r="VQR245"/>
      <c r="VQS245"/>
      <c r="VQT245"/>
      <c r="VQU245"/>
      <c r="VQV245"/>
      <c r="VQW245"/>
      <c r="VQX245"/>
      <c r="VQY245"/>
      <c r="VQZ245"/>
      <c r="VRA245"/>
      <c r="VRB245"/>
      <c r="VRC245"/>
      <c r="VRD245"/>
      <c r="VRE245"/>
      <c r="VRF245"/>
      <c r="VRG245"/>
      <c r="VRH245"/>
      <c r="VRI245"/>
      <c r="VRJ245"/>
      <c r="VRK245"/>
      <c r="VRL245"/>
      <c r="VRM245"/>
      <c r="VRN245"/>
      <c r="VRO245"/>
      <c r="VRP245"/>
      <c r="VRQ245"/>
      <c r="VRR245"/>
      <c r="VRS245"/>
      <c r="VRT245"/>
      <c r="VRU245"/>
      <c r="VRV245"/>
      <c r="VRW245"/>
      <c r="VRX245"/>
      <c r="VRY245"/>
      <c r="VRZ245"/>
      <c r="VSA245"/>
      <c r="VSB245"/>
      <c r="VSC245"/>
      <c r="VSD245"/>
      <c r="VSE245"/>
      <c r="VSF245"/>
      <c r="VSG245"/>
      <c r="VSH245"/>
      <c r="VSI245"/>
      <c r="VSJ245"/>
      <c r="VSK245"/>
      <c r="VSL245"/>
      <c r="VSM245"/>
      <c r="VSN245"/>
      <c r="VSO245"/>
      <c r="VSP245"/>
      <c r="VSQ245"/>
      <c r="VSR245"/>
      <c r="VSS245"/>
      <c r="VST245"/>
      <c r="VSU245"/>
      <c r="VSV245"/>
      <c r="VSW245"/>
      <c r="VSX245"/>
      <c r="VSY245"/>
      <c r="VSZ245"/>
      <c r="VTA245"/>
      <c r="VTB245"/>
      <c r="VTC245"/>
      <c r="VTD245"/>
      <c r="VTE245"/>
      <c r="VTF245"/>
      <c r="VTG245"/>
      <c r="VTH245"/>
      <c r="VTI245"/>
      <c r="VTJ245"/>
      <c r="VTK245"/>
      <c r="VTL245"/>
      <c r="VTM245"/>
      <c r="VTN245"/>
      <c r="VTO245"/>
      <c r="VTP245"/>
      <c r="VTQ245"/>
      <c r="VTR245"/>
      <c r="VTS245"/>
      <c r="VTT245"/>
      <c r="VTU245"/>
      <c r="VTV245"/>
      <c r="VTW245"/>
      <c r="VTX245"/>
      <c r="VTY245"/>
      <c r="VTZ245"/>
      <c r="VUA245"/>
      <c r="VUB245"/>
      <c r="VUC245"/>
      <c r="VUD245"/>
      <c r="VUE245"/>
      <c r="VUF245"/>
      <c r="VUG245"/>
      <c r="VUH245"/>
      <c r="VUI245"/>
      <c r="VUJ245"/>
      <c r="VUK245"/>
      <c r="VUL245"/>
      <c r="VUM245"/>
      <c r="VUN245"/>
      <c r="VUO245"/>
      <c r="VUP245"/>
      <c r="VUQ245"/>
      <c r="VUR245"/>
      <c r="VUS245"/>
      <c r="VUT245"/>
      <c r="VUU245"/>
      <c r="VUV245"/>
      <c r="VUW245"/>
      <c r="VUX245"/>
      <c r="VUY245"/>
      <c r="VUZ245"/>
      <c r="VVA245"/>
      <c r="VVB245"/>
      <c r="VVC245"/>
      <c r="VVD245"/>
      <c r="VVE245"/>
      <c r="VVF245"/>
      <c r="VVG245"/>
      <c r="VVH245"/>
      <c r="VVI245"/>
      <c r="VVJ245"/>
      <c r="VVK245"/>
      <c r="VVL245"/>
      <c r="VVM245"/>
      <c r="VVN245"/>
      <c r="VVO245"/>
      <c r="VVP245"/>
      <c r="VVQ245"/>
      <c r="VVR245"/>
      <c r="VVS245"/>
      <c r="VVT245"/>
      <c r="VVU245"/>
      <c r="VVV245"/>
      <c r="VVW245"/>
      <c r="VVX245"/>
      <c r="VVY245"/>
      <c r="VVZ245"/>
      <c r="VWA245"/>
    </row>
    <row r="246" spans="2:113 15079:15471" s="1" customFormat="1" ht="15" hidden="1" customHeight="1" x14ac:dyDescent="0.25">
      <c r="B246" s="115"/>
      <c r="C246" s="296" t="s">
        <v>130</v>
      </c>
      <c r="D246" s="118"/>
      <c r="E246" s="194" t="s">
        <v>16</v>
      </c>
      <c r="F246" s="169">
        <v>0</v>
      </c>
      <c r="G246" s="169">
        <v>198870</v>
      </c>
      <c r="H246" s="169">
        <v>301580</v>
      </c>
      <c r="I246" s="169">
        <v>349960</v>
      </c>
      <c r="J246" s="169">
        <v>170020</v>
      </c>
      <c r="K246" s="169">
        <v>84030</v>
      </c>
      <c r="L246" s="169">
        <v>193420</v>
      </c>
      <c r="M246" s="169">
        <v>21750</v>
      </c>
      <c r="N246" s="169">
        <v>106020</v>
      </c>
      <c r="O246" s="169">
        <v>0</v>
      </c>
      <c r="P246" s="169">
        <v>0</v>
      </c>
      <c r="Q246" s="169">
        <v>0</v>
      </c>
      <c r="R246" s="169">
        <v>0</v>
      </c>
      <c r="S246" s="169">
        <v>0</v>
      </c>
      <c r="T246" s="169">
        <v>0</v>
      </c>
      <c r="U246" s="169">
        <v>0</v>
      </c>
      <c r="V246" s="169">
        <v>0</v>
      </c>
      <c r="W246" s="169">
        <v>147620</v>
      </c>
      <c r="X246" s="169">
        <v>0</v>
      </c>
      <c r="Y246" s="169">
        <v>0</v>
      </c>
      <c r="Z246" s="169">
        <v>257700</v>
      </c>
      <c r="AA246" s="169">
        <v>281570</v>
      </c>
      <c r="AB246" s="169">
        <v>262580</v>
      </c>
      <c r="AC246" s="169">
        <v>359130</v>
      </c>
      <c r="AD246" s="169">
        <v>28340</v>
      </c>
      <c r="AE246" s="169">
        <v>0</v>
      </c>
      <c r="AF246" s="169">
        <v>0</v>
      </c>
      <c r="AG246" s="169"/>
      <c r="AH246" s="169"/>
      <c r="AI246" s="169"/>
      <c r="AK246" s="8">
        <f>SUM(F246:AI246)</f>
        <v>2762590</v>
      </c>
      <c r="DI246" s="4"/>
      <c r="VGY246"/>
      <c r="VGZ246"/>
      <c r="VHA246"/>
      <c r="VHB246"/>
      <c r="VHC246"/>
      <c r="VHD246"/>
      <c r="VHE246"/>
      <c r="VHF246"/>
      <c r="VHG246"/>
      <c r="VHH246"/>
      <c r="VHI246"/>
      <c r="VHJ246"/>
      <c r="VHK246"/>
      <c r="VHL246"/>
      <c r="VHM246"/>
      <c r="VHN246"/>
      <c r="VHO246"/>
      <c r="VHP246"/>
      <c r="VHQ246"/>
      <c r="VHR246"/>
      <c r="VHS246"/>
      <c r="VHT246"/>
      <c r="VHU246"/>
      <c r="VHV246"/>
      <c r="VHW246"/>
      <c r="VHX246"/>
      <c r="VHY246"/>
      <c r="VHZ246"/>
      <c r="VIA246"/>
      <c r="VIB246"/>
      <c r="VIC246"/>
      <c r="VID246"/>
      <c r="VIE246"/>
      <c r="VIF246"/>
      <c r="VIG246"/>
      <c r="VIH246"/>
      <c r="VII246"/>
      <c r="VIJ246"/>
      <c r="VIK246"/>
      <c r="VIL246"/>
      <c r="VIM246"/>
      <c r="VIN246"/>
      <c r="VIO246"/>
      <c r="VIP246"/>
      <c r="VIQ246"/>
      <c r="VIR246"/>
      <c r="VIS246"/>
      <c r="VIT246"/>
      <c r="VIU246"/>
      <c r="VIV246"/>
      <c r="VIW246"/>
      <c r="VIX246"/>
      <c r="VIY246"/>
      <c r="VIZ246"/>
      <c r="VJA246"/>
      <c r="VJB246"/>
      <c r="VJC246"/>
      <c r="VJD246"/>
      <c r="VJE246"/>
      <c r="VJF246"/>
      <c r="VJG246"/>
      <c r="VJH246"/>
      <c r="VJI246"/>
      <c r="VJJ246"/>
      <c r="VJK246"/>
      <c r="VJL246"/>
      <c r="VJM246"/>
      <c r="VJN246"/>
      <c r="VJO246"/>
      <c r="VJP246"/>
      <c r="VJQ246"/>
      <c r="VJR246"/>
      <c r="VJS246"/>
      <c r="VJT246"/>
      <c r="VJU246"/>
      <c r="VJV246"/>
      <c r="VJW246"/>
      <c r="VJX246"/>
      <c r="VJY246"/>
      <c r="VJZ246"/>
      <c r="VKA246"/>
      <c r="VKB246"/>
      <c r="VKC246"/>
      <c r="VKD246"/>
      <c r="VKE246"/>
      <c r="VKF246"/>
      <c r="VKG246"/>
      <c r="VKH246"/>
      <c r="VKI246"/>
      <c r="VKJ246"/>
      <c r="VKK246"/>
      <c r="VKL246"/>
      <c r="VKM246"/>
      <c r="VKN246"/>
      <c r="VKO246"/>
      <c r="VKP246"/>
      <c r="VKQ246"/>
      <c r="VKR246"/>
      <c r="VKS246"/>
      <c r="VKT246"/>
      <c r="VKU246"/>
      <c r="VKV246"/>
      <c r="VKW246"/>
      <c r="VKX246"/>
      <c r="VKY246"/>
      <c r="VKZ246"/>
      <c r="VLA246"/>
      <c r="VLB246"/>
      <c r="VLC246"/>
      <c r="VLD246"/>
      <c r="VLE246"/>
      <c r="VLF246"/>
      <c r="VLG246"/>
      <c r="VLH246"/>
      <c r="VLI246"/>
      <c r="VLJ246"/>
      <c r="VLK246"/>
      <c r="VLL246"/>
      <c r="VLM246"/>
      <c r="VLN246"/>
      <c r="VLO246"/>
      <c r="VLP246"/>
      <c r="VLQ246"/>
      <c r="VLR246"/>
      <c r="VLS246"/>
      <c r="VLT246"/>
      <c r="VLU246"/>
      <c r="VLV246"/>
      <c r="VLW246"/>
      <c r="VLX246"/>
      <c r="VLY246"/>
      <c r="VLZ246"/>
      <c r="VMA246"/>
      <c r="VMB246"/>
      <c r="VMC246"/>
      <c r="VMD246"/>
      <c r="VME246"/>
      <c r="VMF246"/>
      <c r="VMG246"/>
      <c r="VMH246"/>
      <c r="VMI246"/>
      <c r="VMJ246"/>
      <c r="VMK246"/>
      <c r="VML246"/>
      <c r="VMM246"/>
      <c r="VMN246"/>
      <c r="VMO246"/>
      <c r="VMP246"/>
      <c r="VMQ246"/>
      <c r="VMR246"/>
      <c r="VMS246"/>
      <c r="VMT246"/>
      <c r="VMU246"/>
      <c r="VMV246"/>
      <c r="VMW246"/>
      <c r="VMX246"/>
      <c r="VMY246"/>
      <c r="VMZ246"/>
      <c r="VNA246"/>
      <c r="VNB246"/>
      <c r="VNC246"/>
      <c r="VND246"/>
      <c r="VNE246"/>
      <c r="VNF246"/>
      <c r="VNG246"/>
      <c r="VNH246"/>
      <c r="VNI246"/>
      <c r="VNJ246"/>
      <c r="VNK246"/>
      <c r="VNL246"/>
      <c r="VNM246"/>
      <c r="VNN246"/>
      <c r="VNO246"/>
      <c r="VNP246"/>
      <c r="VNQ246"/>
      <c r="VNR246"/>
      <c r="VNS246"/>
      <c r="VNT246"/>
      <c r="VNU246"/>
      <c r="VNV246"/>
      <c r="VNW246"/>
      <c r="VNX246"/>
      <c r="VNY246"/>
      <c r="VNZ246"/>
      <c r="VOA246"/>
      <c r="VOB246"/>
      <c r="VOC246"/>
      <c r="VOD246"/>
      <c r="VOE246"/>
      <c r="VOF246"/>
      <c r="VOG246"/>
      <c r="VOH246"/>
      <c r="VOI246"/>
      <c r="VOJ246"/>
      <c r="VOK246"/>
      <c r="VOL246"/>
      <c r="VOM246"/>
      <c r="VON246"/>
      <c r="VOO246"/>
      <c r="VOP246"/>
      <c r="VOQ246"/>
      <c r="VOR246"/>
      <c r="VOS246"/>
      <c r="VOT246"/>
      <c r="VOU246"/>
      <c r="VOV246"/>
      <c r="VOW246"/>
      <c r="VOX246"/>
      <c r="VOY246"/>
      <c r="VOZ246"/>
      <c r="VPA246"/>
      <c r="VPB246"/>
      <c r="VPC246"/>
      <c r="VPD246"/>
      <c r="VPE246"/>
      <c r="VPF246"/>
      <c r="VPG246"/>
      <c r="VPH246"/>
      <c r="VPI246"/>
      <c r="VPJ246"/>
      <c r="VPK246"/>
      <c r="VPL246"/>
      <c r="VPM246"/>
      <c r="VPN246"/>
      <c r="VPO246"/>
      <c r="VPP246"/>
      <c r="VPQ246"/>
      <c r="VPR246"/>
      <c r="VPS246"/>
      <c r="VPT246"/>
      <c r="VPU246"/>
      <c r="VPV246"/>
      <c r="VPW246"/>
      <c r="VPX246"/>
      <c r="VPY246"/>
      <c r="VPZ246"/>
      <c r="VQA246"/>
      <c r="VQB246"/>
      <c r="VQC246"/>
      <c r="VQD246"/>
      <c r="VQE246"/>
      <c r="VQF246"/>
      <c r="VQG246"/>
      <c r="VQH246"/>
      <c r="VQI246"/>
      <c r="VQJ246"/>
      <c r="VQK246"/>
      <c r="VQL246"/>
      <c r="VQM246"/>
      <c r="VQN246"/>
      <c r="VQO246"/>
      <c r="VQP246"/>
      <c r="VQQ246"/>
      <c r="VQR246"/>
      <c r="VQS246"/>
      <c r="VQT246"/>
      <c r="VQU246"/>
      <c r="VQV246"/>
      <c r="VQW246"/>
      <c r="VQX246"/>
      <c r="VQY246"/>
      <c r="VQZ246"/>
      <c r="VRA246"/>
      <c r="VRB246"/>
      <c r="VRC246"/>
      <c r="VRD246"/>
      <c r="VRE246"/>
      <c r="VRF246"/>
      <c r="VRG246"/>
      <c r="VRH246"/>
      <c r="VRI246"/>
      <c r="VRJ246"/>
      <c r="VRK246"/>
      <c r="VRL246"/>
      <c r="VRM246"/>
      <c r="VRN246"/>
      <c r="VRO246"/>
      <c r="VRP246"/>
      <c r="VRQ246"/>
      <c r="VRR246"/>
      <c r="VRS246"/>
      <c r="VRT246"/>
      <c r="VRU246"/>
      <c r="VRV246"/>
      <c r="VRW246"/>
      <c r="VRX246"/>
      <c r="VRY246"/>
      <c r="VRZ246"/>
      <c r="VSA246"/>
      <c r="VSB246"/>
      <c r="VSC246"/>
      <c r="VSD246"/>
      <c r="VSE246"/>
      <c r="VSF246"/>
      <c r="VSG246"/>
      <c r="VSH246"/>
      <c r="VSI246"/>
      <c r="VSJ246"/>
      <c r="VSK246"/>
      <c r="VSL246"/>
      <c r="VSM246"/>
      <c r="VSN246"/>
      <c r="VSO246"/>
      <c r="VSP246"/>
      <c r="VSQ246"/>
      <c r="VSR246"/>
      <c r="VSS246"/>
      <c r="VST246"/>
      <c r="VSU246"/>
      <c r="VSV246"/>
      <c r="VSW246"/>
      <c r="VSX246"/>
      <c r="VSY246"/>
      <c r="VSZ246"/>
      <c r="VTA246"/>
      <c r="VTB246"/>
      <c r="VTC246"/>
      <c r="VTD246"/>
      <c r="VTE246"/>
      <c r="VTF246"/>
      <c r="VTG246"/>
      <c r="VTH246"/>
      <c r="VTI246"/>
      <c r="VTJ246"/>
      <c r="VTK246"/>
      <c r="VTL246"/>
      <c r="VTM246"/>
      <c r="VTN246"/>
      <c r="VTO246"/>
      <c r="VTP246"/>
      <c r="VTQ246"/>
      <c r="VTR246"/>
      <c r="VTS246"/>
      <c r="VTT246"/>
      <c r="VTU246"/>
      <c r="VTV246"/>
      <c r="VTW246"/>
      <c r="VTX246"/>
      <c r="VTY246"/>
      <c r="VTZ246"/>
      <c r="VUA246"/>
      <c r="VUB246"/>
      <c r="VUC246"/>
      <c r="VUD246"/>
      <c r="VUE246"/>
      <c r="VUF246"/>
      <c r="VUG246"/>
      <c r="VUH246"/>
      <c r="VUI246"/>
      <c r="VUJ246"/>
      <c r="VUK246"/>
      <c r="VUL246"/>
      <c r="VUM246"/>
      <c r="VUN246"/>
      <c r="VUO246"/>
      <c r="VUP246"/>
      <c r="VUQ246"/>
      <c r="VUR246"/>
      <c r="VUS246"/>
      <c r="VUT246"/>
      <c r="VUU246"/>
      <c r="VUV246"/>
      <c r="VUW246"/>
      <c r="VUX246"/>
      <c r="VUY246"/>
      <c r="VUZ246"/>
      <c r="VVA246"/>
      <c r="VVB246"/>
      <c r="VVC246"/>
      <c r="VVD246"/>
      <c r="VVE246"/>
      <c r="VVF246"/>
      <c r="VVG246"/>
      <c r="VVH246"/>
      <c r="VVI246"/>
      <c r="VVJ246"/>
      <c r="VVK246"/>
      <c r="VVL246"/>
      <c r="VVM246"/>
      <c r="VVN246"/>
      <c r="VVO246"/>
      <c r="VVP246"/>
      <c r="VVQ246"/>
      <c r="VVR246"/>
      <c r="VVS246"/>
      <c r="VVT246"/>
      <c r="VVU246"/>
      <c r="VVV246"/>
      <c r="VVW246"/>
      <c r="VVX246"/>
      <c r="VVY246"/>
      <c r="VVZ246"/>
      <c r="VWA246"/>
    </row>
    <row r="247" spans="2:113 15079:15471" s="1" customFormat="1" ht="15" hidden="1" customHeight="1" x14ac:dyDescent="0.25">
      <c r="B247" s="115"/>
      <c r="C247" s="296" t="s">
        <v>73</v>
      </c>
      <c r="D247" s="118"/>
      <c r="E247" s="194" t="s">
        <v>16</v>
      </c>
      <c r="F247" s="169">
        <v>0</v>
      </c>
      <c r="G247" s="169">
        <v>0</v>
      </c>
      <c r="H247" s="169">
        <v>0</v>
      </c>
      <c r="I247" s="169">
        <v>104890</v>
      </c>
      <c r="J247" s="169">
        <v>0</v>
      </c>
      <c r="K247" s="169">
        <v>0</v>
      </c>
      <c r="L247" s="169">
        <v>0</v>
      </c>
      <c r="M247" s="169">
        <v>0</v>
      </c>
      <c r="N247" s="169">
        <v>0</v>
      </c>
      <c r="O247" s="169">
        <v>0</v>
      </c>
      <c r="P247" s="169">
        <v>0</v>
      </c>
      <c r="Q247" s="169">
        <v>0</v>
      </c>
      <c r="R247" s="169">
        <v>0</v>
      </c>
      <c r="S247" s="169">
        <v>0</v>
      </c>
      <c r="T247" s="169">
        <v>0</v>
      </c>
      <c r="U247" s="169">
        <v>0</v>
      </c>
      <c r="V247" s="169">
        <v>0</v>
      </c>
      <c r="W247" s="169">
        <v>121900</v>
      </c>
      <c r="X247" s="169">
        <v>0</v>
      </c>
      <c r="Y247" s="169">
        <v>0</v>
      </c>
      <c r="Z247" s="169">
        <v>288510</v>
      </c>
      <c r="AA247" s="169">
        <v>0</v>
      </c>
      <c r="AB247" s="169">
        <v>0</v>
      </c>
      <c r="AC247" s="169">
        <v>0</v>
      </c>
      <c r="AD247" s="169">
        <v>0</v>
      </c>
      <c r="AE247" s="169">
        <v>0</v>
      </c>
      <c r="AF247" s="169">
        <v>0</v>
      </c>
      <c r="AG247" s="169"/>
      <c r="AH247" s="169"/>
      <c r="AI247" s="169"/>
      <c r="AK247" s="8">
        <f>SUM(F247:AI247)</f>
        <v>515300</v>
      </c>
      <c r="DI247" s="4"/>
      <c r="VGY247"/>
      <c r="VGZ247"/>
      <c r="VHA247"/>
      <c r="VHB247"/>
      <c r="VHC247"/>
      <c r="VHD247"/>
      <c r="VHE247"/>
      <c r="VHF247"/>
      <c r="VHG247"/>
      <c r="VHH247"/>
      <c r="VHI247"/>
      <c r="VHJ247"/>
      <c r="VHK247"/>
      <c r="VHL247"/>
      <c r="VHM247"/>
      <c r="VHN247"/>
      <c r="VHO247"/>
      <c r="VHP247"/>
      <c r="VHQ247"/>
      <c r="VHR247"/>
      <c r="VHS247"/>
      <c r="VHT247"/>
      <c r="VHU247"/>
      <c r="VHV247"/>
      <c r="VHW247"/>
      <c r="VHX247"/>
      <c r="VHY247"/>
      <c r="VHZ247"/>
      <c r="VIA247"/>
      <c r="VIB247"/>
      <c r="VIC247"/>
      <c r="VID247"/>
      <c r="VIE247"/>
      <c r="VIF247"/>
      <c r="VIG247"/>
      <c r="VIH247"/>
      <c r="VII247"/>
      <c r="VIJ247"/>
      <c r="VIK247"/>
      <c r="VIL247"/>
      <c r="VIM247"/>
      <c r="VIN247"/>
      <c r="VIO247"/>
      <c r="VIP247"/>
      <c r="VIQ247"/>
      <c r="VIR247"/>
      <c r="VIS247"/>
      <c r="VIT247"/>
      <c r="VIU247"/>
      <c r="VIV247"/>
      <c r="VIW247"/>
      <c r="VIX247"/>
      <c r="VIY247"/>
      <c r="VIZ247"/>
      <c r="VJA247"/>
      <c r="VJB247"/>
      <c r="VJC247"/>
      <c r="VJD247"/>
      <c r="VJE247"/>
      <c r="VJF247"/>
      <c r="VJG247"/>
      <c r="VJH247"/>
      <c r="VJI247"/>
      <c r="VJJ247"/>
      <c r="VJK247"/>
      <c r="VJL247"/>
      <c r="VJM247"/>
      <c r="VJN247"/>
      <c r="VJO247"/>
      <c r="VJP247"/>
      <c r="VJQ247"/>
      <c r="VJR247"/>
      <c r="VJS247"/>
      <c r="VJT247"/>
      <c r="VJU247"/>
      <c r="VJV247"/>
      <c r="VJW247"/>
      <c r="VJX247"/>
      <c r="VJY247"/>
      <c r="VJZ247"/>
      <c r="VKA247"/>
      <c r="VKB247"/>
      <c r="VKC247"/>
      <c r="VKD247"/>
      <c r="VKE247"/>
      <c r="VKF247"/>
      <c r="VKG247"/>
      <c r="VKH247"/>
      <c r="VKI247"/>
      <c r="VKJ247"/>
      <c r="VKK247"/>
      <c r="VKL247"/>
      <c r="VKM247"/>
      <c r="VKN247"/>
      <c r="VKO247"/>
      <c r="VKP247"/>
      <c r="VKQ247"/>
      <c r="VKR247"/>
      <c r="VKS247"/>
      <c r="VKT247"/>
      <c r="VKU247"/>
      <c r="VKV247"/>
      <c r="VKW247"/>
      <c r="VKX247"/>
      <c r="VKY247"/>
      <c r="VKZ247"/>
      <c r="VLA247"/>
      <c r="VLB247"/>
      <c r="VLC247"/>
      <c r="VLD247"/>
      <c r="VLE247"/>
      <c r="VLF247"/>
      <c r="VLG247"/>
      <c r="VLH247"/>
      <c r="VLI247"/>
      <c r="VLJ247"/>
      <c r="VLK247"/>
      <c r="VLL247"/>
      <c r="VLM247"/>
      <c r="VLN247"/>
      <c r="VLO247"/>
      <c r="VLP247"/>
      <c r="VLQ247"/>
      <c r="VLR247"/>
      <c r="VLS247"/>
      <c r="VLT247"/>
      <c r="VLU247"/>
      <c r="VLV247"/>
      <c r="VLW247"/>
      <c r="VLX247"/>
      <c r="VLY247"/>
      <c r="VLZ247"/>
      <c r="VMA247"/>
      <c r="VMB247"/>
      <c r="VMC247"/>
      <c r="VMD247"/>
      <c r="VME247"/>
      <c r="VMF247"/>
      <c r="VMG247"/>
      <c r="VMH247"/>
      <c r="VMI247"/>
      <c r="VMJ247"/>
      <c r="VMK247"/>
      <c r="VML247"/>
      <c r="VMM247"/>
      <c r="VMN247"/>
      <c r="VMO247"/>
      <c r="VMP247"/>
      <c r="VMQ247"/>
      <c r="VMR247"/>
      <c r="VMS247"/>
      <c r="VMT247"/>
      <c r="VMU247"/>
      <c r="VMV247"/>
      <c r="VMW247"/>
      <c r="VMX247"/>
      <c r="VMY247"/>
      <c r="VMZ247"/>
      <c r="VNA247"/>
      <c r="VNB247"/>
      <c r="VNC247"/>
      <c r="VND247"/>
      <c r="VNE247"/>
      <c r="VNF247"/>
      <c r="VNG247"/>
      <c r="VNH247"/>
      <c r="VNI247"/>
      <c r="VNJ247"/>
      <c r="VNK247"/>
      <c r="VNL247"/>
      <c r="VNM247"/>
      <c r="VNN247"/>
      <c r="VNO247"/>
      <c r="VNP247"/>
      <c r="VNQ247"/>
      <c r="VNR247"/>
      <c r="VNS247"/>
      <c r="VNT247"/>
      <c r="VNU247"/>
      <c r="VNV247"/>
      <c r="VNW247"/>
      <c r="VNX247"/>
      <c r="VNY247"/>
      <c r="VNZ247"/>
      <c r="VOA247"/>
      <c r="VOB247"/>
      <c r="VOC247"/>
      <c r="VOD247"/>
      <c r="VOE247"/>
      <c r="VOF247"/>
      <c r="VOG247"/>
      <c r="VOH247"/>
      <c r="VOI247"/>
      <c r="VOJ247"/>
      <c r="VOK247"/>
      <c r="VOL247"/>
      <c r="VOM247"/>
      <c r="VON247"/>
      <c r="VOO247"/>
      <c r="VOP247"/>
      <c r="VOQ247"/>
      <c r="VOR247"/>
      <c r="VOS247"/>
      <c r="VOT247"/>
      <c r="VOU247"/>
      <c r="VOV247"/>
      <c r="VOW247"/>
      <c r="VOX247"/>
      <c r="VOY247"/>
      <c r="VOZ247"/>
      <c r="VPA247"/>
      <c r="VPB247"/>
      <c r="VPC247"/>
      <c r="VPD247"/>
      <c r="VPE247"/>
      <c r="VPF247"/>
      <c r="VPG247"/>
      <c r="VPH247"/>
      <c r="VPI247"/>
      <c r="VPJ247"/>
      <c r="VPK247"/>
      <c r="VPL247"/>
      <c r="VPM247"/>
      <c r="VPN247"/>
      <c r="VPO247"/>
      <c r="VPP247"/>
      <c r="VPQ247"/>
      <c r="VPR247"/>
      <c r="VPS247"/>
      <c r="VPT247"/>
      <c r="VPU247"/>
      <c r="VPV247"/>
      <c r="VPW247"/>
      <c r="VPX247"/>
      <c r="VPY247"/>
      <c r="VPZ247"/>
      <c r="VQA247"/>
      <c r="VQB247"/>
      <c r="VQC247"/>
      <c r="VQD247"/>
      <c r="VQE247"/>
      <c r="VQF247"/>
      <c r="VQG247"/>
      <c r="VQH247"/>
      <c r="VQI247"/>
      <c r="VQJ247"/>
      <c r="VQK247"/>
      <c r="VQL247"/>
      <c r="VQM247"/>
      <c r="VQN247"/>
      <c r="VQO247"/>
      <c r="VQP247"/>
      <c r="VQQ247"/>
      <c r="VQR247"/>
      <c r="VQS247"/>
      <c r="VQT247"/>
      <c r="VQU247"/>
      <c r="VQV247"/>
      <c r="VQW247"/>
      <c r="VQX247"/>
      <c r="VQY247"/>
      <c r="VQZ247"/>
      <c r="VRA247"/>
      <c r="VRB247"/>
      <c r="VRC247"/>
      <c r="VRD247"/>
      <c r="VRE247"/>
      <c r="VRF247"/>
      <c r="VRG247"/>
      <c r="VRH247"/>
      <c r="VRI247"/>
      <c r="VRJ247"/>
      <c r="VRK247"/>
      <c r="VRL247"/>
      <c r="VRM247"/>
      <c r="VRN247"/>
      <c r="VRO247"/>
      <c r="VRP247"/>
      <c r="VRQ247"/>
      <c r="VRR247"/>
      <c r="VRS247"/>
      <c r="VRT247"/>
      <c r="VRU247"/>
      <c r="VRV247"/>
      <c r="VRW247"/>
      <c r="VRX247"/>
      <c r="VRY247"/>
      <c r="VRZ247"/>
      <c r="VSA247"/>
      <c r="VSB247"/>
      <c r="VSC247"/>
      <c r="VSD247"/>
      <c r="VSE247"/>
      <c r="VSF247"/>
      <c r="VSG247"/>
      <c r="VSH247"/>
      <c r="VSI247"/>
      <c r="VSJ247"/>
      <c r="VSK247"/>
      <c r="VSL247"/>
      <c r="VSM247"/>
      <c r="VSN247"/>
      <c r="VSO247"/>
      <c r="VSP247"/>
      <c r="VSQ247"/>
      <c r="VSR247"/>
      <c r="VSS247"/>
      <c r="VST247"/>
      <c r="VSU247"/>
      <c r="VSV247"/>
      <c r="VSW247"/>
      <c r="VSX247"/>
      <c r="VSY247"/>
      <c r="VSZ247"/>
      <c r="VTA247"/>
      <c r="VTB247"/>
      <c r="VTC247"/>
      <c r="VTD247"/>
      <c r="VTE247"/>
      <c r="VTF247"/>
      <c r="VTG247"/>
      <c r="VTH247"/>
      <c r="VTI247"/>
      <c r="VTJ247"/>
      <c r="VTK247"/>
      <c r="VTL247"/>
      <c r="VTM247"/>
      <c r="VTN247"/>
      <c r="VTO247"/>
      <c r="VTP247"/>
      <c r="VTQ247"/>
      <c r="VTR247"/>
      <c r="VTS247"/>
      <c r="VTT247"/>
      <c r="VTU247"/>
      <c r="VTV247"/>
      <c r="VTW247"/>
      <c r="VTX247"/>
      <c r="VTY247"/>
      <c r="VTZ247"/>
      <c r="VUA247"/>
      <c r="VUB247"/>
      <c r="VUC247"/>
      <c r="VUD247"/>
      <c r="VUE247"/>
      <c r="VUF247"/>
      <c r="VUG247"/>
      <c r="VUH247"/>
      <c r="VUI247"/>
      <c r="VUJ247"/>
      <c r="VUK247"/>
      <c r="VUL247"/>
      <c r="VUM247"/>
      <c r="VUN247"/>
      <c r="VUO247"/>
      <c r="VUP247"/>
      <c r="VUQ247"/>
      <c r="VUR247"/>
      <c r="VUS247"/>
      <c r="VUT247"/>
      <c r="VUU247"/>
      <c r="VUV247"/>
      <c r="VUW247"/>
      <c r="VUX247"/>
      <c r="VUY247"/>
      <c r="VUZ247"/>
      <c r="VVA247"/>
      <c r="VVB247"/>
      <c r="VVC247"/>
      <c r="VVD247"/>
      <c r="VVE247"/>
      <c r="VVF247"/>
      <c r="VVG247"/>
      <c r="VVH247"/>
      <c r="VVI247"/>
      <c r="VVJ247"/>
      <c r="VVK247"/>
      <c r="VVL247"/>
      <c r="VVM247"/>
      <c r="VVN247"/>
      <c r="VVO247"/>
      <c r="VVP247"/>
      <c r="VVQ247"/>
      <c r="VVR247"/>
      <c r="VVS247"/>
      <c r="VVT247"/>
      <c r="VVU247"/>
      <c r="VVV247"/>
      <c r="VVW247"/>
      <c r="VVX247"/>
      <c r="VVY247"/>
      <c r="VVZ247"/>
      <c r="VWA247"/>
    </row>
    <row r="248" spans="2:113 15079:15471" s="1" customFormat="1" ht="15" hidden="1" customHeight="1" x14ac:dyDescent="0.25">
      <c r="B248" s="115"/>
      <c r="C248" s="296" t="s">
        <v>72</v>
      </c>
      <c r="D248" s="118"/>
      <c r="E248" s="194" t="s">
        <v>16</v>
      </c>
      <c r="F248" s="169">
        <v>0</v>
      </c>
      <c r="G248" s="169">
        <v>113670</v>
      </c>
      <c r="H248" s="169">
        <v>137250</v>
      </c>
      <c r="I248" s="169">
        <v>422380</v>
      </c>
      <c r="J248" s="169">
        <v>313510</v>
      </c>
      <c r="K248" s="169">
        <v>81190</v>
      </c>
      <c r="L248" s="169">
        <v>470520</v>
      </c>
      <c r="M248" s="169">
        <v>520450</v>
      </c>
      <c r="N248" s="169">
        <v>228880</v>
      </c>
      <c r="O248" s="169">
        <v>100560</v>
      </c>
      <c r="P248" s="169">
        <v>256770</v>
      </c>
      <c r="Q248" s="169">
        <v>196900</v>
      </c>
      <c r="R248" s="169">
        <v>0</v>
      </c>
      <c r="S248" s="169">
        <v>243410</v>
      </c>
      <c r="T248" s="169">
        <v>29090</v>
      </c>
      <c r="U248" s="169">
        <v>152940</v>
      </c>
      <c r="V248" s="169">
        <v>121590</v>
      </c>
      <c r="W248" s="169">
        <v>562580</v>
      </c>
      <c r="X248" s="169">
        <v>228760</v>
      </c>
      <c r="Y248" s="169">
        <v>128390</v>
      </c>
      <c r="Z248" s="169">
        <v>92910</v>
      </c>
      <c r="AA248" s="169">
        <v>81690</v>
      </c>
      <c r="AB248" s="169">
        <v>94960</v>
      </c>
      <c r="AC248" s="169">
        <v>59460</v>
      </c>
      <c r="AD248" s="169">
        <v>26450</v>
      </c>
      <c r="AE248" s="169">
        <v>44460</v>
      </c>
      <c r="AF248" s="169">
        <v>28000</v>
      </c>
      <c r="AG248" s="169"/>
      <c r="AH248" s="169"/>
      <c r="AI248" s="169"/>
      <c r="AK248" s="8">
        <f>SUM(F248:AI248)</f>
        <v>4736770</v>
      </c>
      <c r="DI248" s="4"/>
      <c r="VGY248"/>
      <c r="VGZ248"/>
      <c r="VHA248"/>
      <c r="VHB248"/>
      <c r="VHC248"/>
      <c r="VHD248"/>
      <c r="VHE248"/>
      <c r="VHF248"/>
      <c r="VHG248"/>
      <c r="VHH248"/>
      <c r="VHI248"/>
      <c r="VHJ248"/>
      <c r="VHK248"/>
      <c r="VHL248"/>
      <c r="VHM248"/>
      <c r="VHN248"/>
      <c r="VHO248"/>
      <c r="VHP248"/>
      <c r="VHQ248"/>
      <c r="VHR248"/>
      <c r="VHS248"/>
      <c r="VHT248"/>
      <c r="VHU248"/>
      <c r="VHV248"/>
      <c r="VHW248"/>
      <c r="VHX248"/>
      <c r="VHY248"/>
      <c r="VHZ248"/>
      <c r="VIA248"/>
      <c r="VIB248"/>
      <c r="VIC248"/>
      <c r="VID248"/>
      <c r="VIE248"/>
      <c r="VIF248"/>
      <c r="VIG248"/>
      <c r="VIH248"/>
      <c r="VII248"/>
      <c r="VIJ248"/>
      <c r="VIK248"/>
      <c r="VIL248"/>
      <c r="VIM248"/>
      <c r="VIN248"/>
      <c r="VIO248"/>
      <c r="VIP248"/>
      <c r="VIQ248"/>
      <c r="VIR248"/>
      <c r="VIS248"/>
      <c r="VIT248"/>
      <c r="VIU248"/>
      <c r="VIV248"/>
      <c r="VIW248"/>
      <c r="VIX248"/>
      <c r="VIY248"/>
      <c r="VIZ248"/>
      <c r="VJA248"/>
      <c r="VJB248"/>
      <c r="VJC248"/>
      <c r="VJD248"/>
      <c r="VJE248"/>
      <c r="VJF248"/>
      <c r="VJG248"/>
      <c r="VJH248"/>
      <c r="VJI248"/>
      <c r="VJJ248"/>
      <c r="VJK248"/>
      <c r="VJL248"/>
      <c r="VJM248"/>
      <c r="VJN248"/>
      <c r="VJO248"/>
      <c r="VJP248"/>
      <c r="VJQ248"/>
      <c r="VJR248"/>
      <c r="VJS248"/>
      <c r="VJT248"/>
      <c r="VJU248"/>
      <c r="VJV248"/>
      <c r="VJW248"/>
      <c r="VJX248"/>
      <c r="VJY248"/>
      <c r="VJZ248"/>
      <c r="VKA248"/>
      <c r="VKB248"/>
      <c r="VKC248"/>
      <c r="VKD248"/>
      <c r="VKE248"/>
      <c r="VKF248"/>
      <c r="VKG248"/>
      <c r="VKH248"/>
      <c r="VKI248"/>
      <c r="VKJ248"/>
      <c r="VKK248"/>
      <c r="VKL248"/>
      <c r="VKM248"/>
      <c r="VKN248"/>
      <c r="VKO248"/>
      <c r="VKP248"/>
      <c r="VKQ248"/>
      <c r="VKR248"/>
      <c r="VKS248"/>
      <c r="VKT248"/>
      <c r="VKU248"/>
      <c r="VKV248"/>
      <c r="VKW248"/>
      <c r="VKX248"/>
      <c r="VKY248"/>
      <c r="VKZ248"/>
      <c r="VLA248"/>
      <c r="VLB248"/>
      <c r="VLC248"/>
      <c r="VLD248"/>
      <c r="VLE248"/>
      <c r="VLF248"/>
      <c r="VLG248"/>
      <c r="VLH248"/>
      <c r="VLI248"/>
      <c r="VLJ248"/>
      <c r="VLK248"/>
      <c r="VLL248"/>
      <c r="VLM248"/>
      <c r="VLN248"/>
      <c r="VLO248"/>
      <c r="VLP248"/>
      <c r="VLQ248"/>
      <c r="VLR248"/>
      <c r="VLS248"/>
      <c r="VLT248"/>
      <c r="VLU248"/>
      <c r="VLV248"/>
      <c r="VLW248"/>
      <c r="VLX248"/>
      <c r="VLY248"/>
      <c r="VLZ248"/>
      <c r="VMA248"/>
      <c r="VMB248"/>
      <c r="VMC248"/>
      <c r="VMD248"/>
      <c r="VME248"/>
      <c r="VMF248"/>
      <c r="VMG248"/>
      <c r="VMH248"/>
      <c r="VMI248"/>
      <c r="VMJ248"/>
      <c r="VMK248"/>
      <c r="VML248"/>
      <c r="VMM248"/>
      <c r="VMN248"/>
      <c r="VMO248"/>
      <c r="VMP248"/>
      <c r="VMQ248"/>
      <c r="VMR248"/>
      <c r="VMS248"/>
      <c r="VMT248"/>
      <c r="VMU248"/>
      <c r="VMV248"/>
      <c r="VMW248"/>
      <c r="VMX248"/>
      <c r="VMY248"/>
      <c r="VMZ248"/>
      <c r="VNA248"/>
      <c r="VNB248"/>
      <c r="VNC248"/>
      <c r="VND248"/>
      <c r="VNE248"/>
      <c r="VNF248"/>
      <c r="VNG248"/>
      <c r="VNH248"/>
      <c r="VNI248"/>
      <c r="VNJ248"/>
      <c r="VNK248"/>
      <c r="VNL248"/>
      <c r="VNM248"/>
      <c r="VNN248"/>
      <c r="VNO248"/>
      <c r="VNP248"/>
      <c r="VNQ248"/>
      <c r="VNR248"/>
      <c r="VNS248"/>
      <c r="VNT248"/>
      <c r="VNU248"/>
      <c r="VNV248"/>
      <c r="VNW248"/>
      <c r="VNX248"/>
      <c r="VNY248"/>
      <c r="VNZ248"/>
      <c r="VOA248"/>
      <c r="VOB248"/>
      <c r="VOC248"/>
      <c r="VOD248"/>
      <c r="VOE248"/>
      <c r="VOF248"/>
      <c r="VOG248"/>
      <c r="VOH248"/>
      <c r="VOI248"/>
      <c r="VOJ248"/>
      <c r="VOK248"/>
      <c r="VOL248"/>
      <c r="VOM248"/>
      <c r="VON248"/>
      <c r="VOO248"/>
      <c r="VOP248"/>
      <c r="VOQ248"/>
      <c r="VOR248"/>
      <c r="VOS248"/>
      <c r="VOT248"/>
      <c r="VOU248"/>
      <c r="VOV248"/>
      <c r="VOW248"/>
      <c r="VOX248"/>
      <c r="VOY248"/>
      <c r="VOZ248"/>
      <c r="VPA248"/>
      <c r="VPB248"/>
      <c r="VPC248"/>
      <c r="VPD248"/>
      <c r="VPE248"/>
      <c r="VPF248"/>
      <c r="VPG248"/>
      <c r="VPH248"/>
      <c r="VPI248"/>
      <c r="VPJ248"/>
      <c r="VPK248"/>
      <c r="VPL248"/>
      <c r="VPM248"/>
      <c r="VPN248"/>
      <c r="VPO248"/>
      <c r="VPP248"/>
      <c r="VPQ248"/>
      <c r="VPR248"/>
      <c r="VPS248"/>
      <c r="VPT248"/>
      <c r="VPU248"/>
      <c r="VPV248"/>
      <c r="VPW248"/>
      <c r="VPX248"/>
      <c r="VPY248"/>
      <c r="VPZ248"/>
      <c r="VQA248"/>
      <c r="VQB248"/>
      <c r="VQC248"/>
      <c r="VQD248"/>
      <c r="VQE248"/>
      <c r="VQF248"/>
      <c r="VQG248"/>
      <c r="VQH248"/>
      <c r="VQI248"/>
      <c r="VQJ248"/>
      <c r="VQK248"/>
      <c r="VQL248"/>
      <c r="VQM248"/>
      <c r="VQN248"/>
      <c r="VQO248"/>
      <c r="VQP248"/>
      <c r="VQQ248"/>
      <c r="VQR248"/>
      <c r="VQS248"/>
      <c r="VQT248"/>
      <c r="VQU248"/>
      <c r="VQV248"/>
      <c r="VQW248"/>
      <c r="VQX248"/>
      <c r="VQY248"/>
      <c r="VQZ248"/>
      <c r="VRA248"/>
      <c r="VRB248"/>
      <c r="VRC248"/>
      <c r="VRD248"/>
      <c r="VRE248"/>
      <c r="VRF248"/>
      <c r="VRG248"/>
      <c r="VRH248"/>
      <c r="VRI248"/>
      <c r="VRJ248"/>
      <c r="VRK248"/>
      <c r="VRL248"/>
      <c r="VRM248"/>
      <c r="VRN248"/>
      <c r="VRO248"/>
      <c r="VRP248"/>
      <c r="VRQ248"/>
      <c r="VRR248"/>
      <c r="VRS248"/>
      <c r="VRT248"/>
      <c r="VRU248"/>
      <c r="VRV248"/>
      <c r="VRW248"/>
      <c r="VRX248"/>
      <c r="VRY248"/>
      <c r="VRZ248"/>
      <c r="VSA248"/>
      <c r="VSB248"/>
      <c r="VSC248"/>
      <c r="VSD248"/>
      <c r="VSE248"/>
      <c r="VSF248"/>
      <c r="VSG248"/>
      <c r="VSH248"/>
      <c r="VSI248"/>
      <c r="VSJ248"/>
      <c r="VSK248"/>
      <c r="VSL248"/>
      <c r="VSM248"/>
      <c r="VSN248"/>
      <c r="VSO248"/>
      <c r="VSP248"/>
      <c r="VSQ248"/>
      <c r="VSR248"/>
      <c r="VSS248"/>
      <c r="VST248"/>
      <c r="VSU248"/>
      <c r="VSV248"/>
      <c r="VSW248"/>
      <c r="VSX248"/>
      <c r="VSY248"/>
      <c r="VSZ248"/>
      <c r="VTA248"/>
      <c r="VTB248"/>
      <c r="VTC248"/>
      <c r="VTD248"/>
      <c r="VTE248"/>
      <c r="VTF248"/>
      <c r="VTG248"/>
      <c r="VTH248"/>
      <c r="VTI248"/>
      <c r="VTJ248"/>
      <c r="VTK248"/>
      <c r="VTL248"/>
      <c r="VTM248"/>
      <c r="VTN248"/>
      <c r="VTO248"/>
      <c r="VTP248"/>
      <c r="VTQ248"/>
      <c r="VTR248"/>
      <c r="VTS248"/>
      <c r="VTT248"/>
      <c r="VTU248"/>
      <c r="VTV248"/>
      <c r="VTW248"/>
      <c r="VTX248"/>
      <c r="VTY248"/>
      <c r="VTZ248"/>
      <c r="VUA248"/>
      <c r="VUB248"/>
      <c r="VUC248"/>
      <c r="VUD248"/>
      <c r="VUE248"/>
      <c r="VUF248"/>
      <c r="VUG248"/>
      <c r="VUH248"/>
      <c r="VUI248"/>
      <c r="VUJ248"/>
      <c r="VUK248"/>
      <c r="VUL248"/>
      <c r="VUM248"/>
      <c r="VUN248"/>
      <c r="VUO248"/>
      <c r="VUP248"/>
      <c r="VUQ248"/>
      <c r="VUR248"/>
      <c r="VUS248"/>
      <c r="VUT248"/>
      <c r="VUU248"/>
      <c r="VUV248"/>
      <c r="VUW248"/>
      <c r="VUX248"/>
      <c r="VUY248"/>
      <c r="VUZ248"/>
      <c r="VVA248"/>
      <c r="VVB248"/>
      <c r="VVC248"/>
      <c r="VVD248"/>
      <c r="VVE248"/>
      <c r="VVF248"/>
      <c r="VVG248"/>
      <c r="VVH248"/>
      <c r="VVI248"/>
      <c r="VVJ248"/>
      <c r="VVK248"/>
      <c r="VVL248"/>
      <c r="VVM248"/>
      <c r="VVN248"/>
      <c r="VVO248"/>
      <c r="VVP248"/>
      <c r="VVQ248"/>
      <c r="VVR248"/>
      <c r="VVS248"/>
      <c r="VVT248"/>
      <c r="VVU248"/>
      <c r="VVV248"/>
      <c r="VVW248"/>
      <c r="VVX248"/>
      <c r="VVY248"/>
      <c r="VVZ248"/>
      <c r="VWA248"/>
    </row>
    <row r="249" spans="2:113 15079:15471" s="1" customFormat="1" ht="15" hidden="1" customHeight="1" x14ac:dyDescent="0.25">
      <c r="B249" s="115"/>
      <c r="C249" s="296" t="s">
        <v>71</v>
      </c>
      <c r="D249" s="118"/>
      <c r="E249" s="194" t="s">
        <v>16</v>
      </c>
      <c r="F249" s="169">
        <v>0</v>
      </c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  <c r="AB249" s="169"/>
      <c r="AC249" s="169"/>
      <c r="AD249" s="169"/>
      <c r="AE249" s="169"/>
      <c r="AF249" s="107"/>
      <c r="AG249" s="107"/>
      <c r="AH249" s="107"/>
      <c r="AI249" s="107"/>
      <c r="AK249" s="8">
        <f>SUM(F249:AI249)</f>
        <v>0</v>
      </c>
      <c r="DI249" s="4"/>
      <c r="VGY249"/>
      <c r="VGZ249"/>
      <c r="VHA249"/>
      <c r="VHB249"/>
      <c r="VHC249"/>
      <c r="VHD249"/>
      <c r="VHE249"/>
      <c r="VHF249"/>
      <c r="VHG249"/>
      <c r="VHH249"/>
      <c r="VHI249"/>
      <c r="VHJ249"/>
      <c r="VHK249"/>
      <c r="VHL249"/>
      <c r="VHM249"/>
      <c r="VHN249"/>
      <c r="VHO249"/>
      <c r="VHP249"/>
      <c r="VHQ249"/>
      <c r="VHR249"/>
      <c r="VHS249"/>
      <c r="VHT249"/>
      <c r="VHU249"/>
      <c r="VHV249"/>
      <c r="VHW249"/>
      <c r="VHX249"/>
      <c r="VHY249"/>
      <c r="VHZ249"/>
      <c r="VIA249"/>
      <c r="VIB249"/>
      <c r="VIC249"/>
      <c r="VID249"/>
      <c r="VIE249"/>
      <c r="VIF249"/>
      <c r="VIG249"/>
      <c r="VIH249"/>
      <c r="VII249"/>
      <c r="VIJ249"/>
      <c r="VIK249"/>
      <c r="VIL249"/>
      <c r="VIM249"/>
      <c r="VIN249"/>
      <c r="VIO249"/>
      <c r="VIP249"/>
      <c r="VIQ249"/>
      <c r="VIR249"/>
      <c r="VIS249"/>
      <c r="VIT249"/>
      <c r="VIU249"/>
      <c r="VIV249"/>
      <c r="VIW249"/>
      <c r="VIX249"/>
      <c r="VIY249"/>
      <c r="VIZ249"/>
      <c r="VJA249"/>
      <c r="VJB249"/>
      <c r="VJC249"/>
      <c r="VJD249"/>
      <c r="VJE249"/>
      <c r="VJF249"/>
      <c r="VJG249"/>
      <c r="VJH249"/>
      <c r="VJI249"/>
      <c r="VJJ249"/>
      <c r="VJK249"/>
      <c r="VJL249"/>
      <c r="VJM249"/>
      <c r="VJN249"/>
      <c r="VJO249"/>
      <c r="VJP249"/>
      <c r="VJQ249"/>
      <c r="VJR249"/>
      <c r="VJS249"/>
      <c r="VJT249"/>
      <c r="VJU249"/>
      <c r="VJV249"/>
      <c r="VJW249"/>
      <c r="VJX249"/>
      <c r="VJY249"/>
      <c r="VJZ249"/>
      <c r="VKA249"/>
      <c r="VKB249"/>
      <c r="VKC249"/>
      <c r="VKD249"/>
      <c r="VKE249"/>
      <c r="VKF249"/>
      <c r="VKG249"/>
      <c r="VKH249"/>
      <c r="VKI249"/>
      <c r="VKJ249"/>
      <c r="VKK249"/>
      <c r="VKL249"/>
      <c r="VKM249"/>
      <c r="VKN249"/>
      <c r="VKO249"/>
      <c r="VKP249"/>
      <c r="VKQ249"/>
      <c r="VKR249"/>
      <c r="VKS249"/>
      <c r="VKT249"/>
      <c r="VKU249"/>
      <c r="VKV249"/>
      <c r="VKW249"/>
      <c r="VKX249"/>
      <c r="VKY249"/>
      <c r="VKZ249"/>
      <c r="VLA249"/>
      <c r="VLB249"/>
      <c r="VLC249"/>
      <c r="VLD249"/>
      <c r="VLE249"/>
      <c r="VLF249"/>
      <c r="VLG249"/>
      <c r="VLH249"/>
      <c r="VLI249"/>
      <c r="VLJ249"/>
      <c r="VLK249"/>
      <c r="VLL249"/>
      <c r="VLM249"/>
      <c r="VLN249"/>
      <c r="VLO249"/>
      <c r="VLP249"/>
      <c r="VLQ249"/>
      <c r="VLR249"/>
      <c r="VLS249"/>
      <c r="VLT249"/>
      <c r="VLU249"/>
      <c r="VLV249"/>
      <c r="VLW249"/>
      <c r="VLX249"/>
      <c r="VLY249"/>
      <c r="VLZ249"/>
      <c r="VMA249"/>
      <c r="VMB249"/>
      <c r="VMC249"/>
      <c r="VMD249"/>
      <c r="VME249"/>
      <c r="VMF249"/>
      <c r="VMG249"/>
      <c r="VMH249"/>
      <c r="VMI249"/>
      <c r="VMJ249"/>
      <c r="VMK249"/>
      <c r="VML249"/>
      <c r="VMM249"/>
      <c r="VMN249"/>
      <c r="VMO249"/>
      <c r="VMP249"/>
      <c r="VMQ249"/>
      <c r="VMR249"/>
      <c r="VMS249"/>
      <c r="VMT249"/>
      <c r="VMU249"/>
      <c r="VMV249"/>
      <c r="VMW249"/>
      <c r="VMX249"/>
      <c r="VMY249"/>
      <c r="VMZ249"/>
      <c r="VNA249"/>
      <c r="VNB249"/>
      <c r="VNC249"/>
      <c r="VND249"/>
      <c r="VNE249"/>
      <c r="VNF249"/>
      <c r="VNG249"/>
      <c r="VNH249"/>
      <c r="VNI249"/>
      <c r="VNJ249"/>
      <c r="VNK249"/>
      <c r="VNL249"/>
      <c r="VNM249"/>
      <c r="VNN249"/>
      <c r="VNO249"/>
      <c r="VNP249"/>
      <c r="VNQ249"/>
      <c r="VNR249"/>
      <c r="VNS249"/>
      <c r="VNT249"/>
      <c r="VNU249"/>
      <c r="VNV249"/>
      <c r="VNW249"/>
      <c r="VNX249"/>
      <c r="VNY249"/>
      <c r="VNZ249"/>
      <c r="VOA249"/>
      <c r="VOB249"/>
      <c r="VOC249"/>
      <c r="VOD249"/>
      <c r="VOE249"/>
      <c r="VOF249"/>
      <c r="VOG249"/>
      <c r="VOH249"/>
      <c r="VOI249"/>
      <c r="VOJ249"/>
      <c r="VOK249"/>
      <c r="VOL249"/>
      <c r="VOM249"/>
      <c r="VON249"/>
      <c r="VOO249"/>
      <c r="VOP249"/>
      <c r="VOQ249"/>
      <c r="VOR249"/>
      <c r="VOS249"/>
      <c r="VOT249"/>
      <c r="VOU249"/>
      <c r="VOV249"/>
      <c r="VOW249"/>
      <c r="VOX249"/>
      <c r="VOY249"/>
      <c r="VOZ249"/>
      <c r="VPA249"/>
      <c r="VPB249"/>
      <c r="VPC249"/>
      <c r="VPD249"/>
      <c r="VPE249"/>
      <c r="VPF249"/>
      <c r="VPG249"/>
      <c r="VPH249"/>
      <c r="VPI249"/>
      <c r="VPJ249"/>
      <c r="VPK249"/>
      <c r="VPL249"/>
      <c r="VPM249"/>
      <c r="VPN249"/>
      <c r="VPO249"/>
      <c r="VPP249"/>
      <c r="VPQ249"/>
      <c r="VPR249"/>
      <c r="VPS249"/>
      <c r="VPT249"/>
      <c r="VPU249"/>
      <c r="VPV249"/>
      <c r="VPW249"/>
      <c r="VPX249"/>
      <c r="VPY249"/>
      <c r="VPZ249"/>
      <c r="VQA249"/>
      <c r="VQB249"/>
      <c r="VQC249"/>
      <c r="VQD249"/>
      <c r="VQE249"/>
      <c r="VQF249"/>
      <c r="VQG249"/>
      <c r="VQH249"/>
      <c r="VQI249"/>
      <c r="VQJ249"/>
      <c r="VQK249"/>
      <c r="VQL249"/>
      <c r="VQM249"/>
      <c r="VQN249"/>
      <c r="VQO249"/>
      <c r="VQP249"/>
      <c r="VQQ249"/>
      <c r="VQR249"/>
      <c r="VQS249"/>
      <c r="VQT249"/>
      <c r="VQU249"/>
      <c r="VQV249"/>
      <c r="VQW249"/>
      <c r="VQX249"/>
      <c r="VQY249"/>
      <c r="VQZ249"/>
      <c r="VRA249"/>
      <c r="VRB249"/>
      <c r="VRC249"/>
      <c r="VRD249"/>
      <c r="VRE249"/>
      <c r="VRF249"/>
      <c r="VRG249"/>
      <c r="VRH249"/>
      <c r="VRI249"/>
      <c r="VRJ249"/>
      <c r="VRK249"/>
      <c r="VRL249"/>
      <c r="VRM249"/>
      <c r="VRN249"/>
      <c r="VRO249"/>
      <c r="VRP249"/>
      <c r="VRQ249"/>
      <c r="VRR249"/>
      <c r="VRS249"/>
      <c r="VRT249"/>
      <c r="VRU249"/>
      <c r="VRV249"/>
      <c r="VRW249"/>
      <c r="VRX249"/>
      <c r="VRY249"/>
      <c r="VRZ249"/>
      <c r="VSA249"/>
      <c r="VSB249"/>
      <c r="VSC249"/>
      <c r="VSD249"/>
      <c r="VSE249"/>
      <c r="VSF249"/>
      <c r="VSG249"/>
      <c r="VSH249"/>
      <c r="VSI249"/>
      <c r="VSJ249"/>
      <c r="VSK249"/>
      <c r="VSL249"/>
      <c r="VSM249"/>
      <c r="VSN249"/>
      <c r="VSO249"/>
      <c r="VSP249"/>
      <c r="VSQ249"/>
      <c r="VSR249"/>
      <c r="VSS249"/>
      <c r="VST249"/>
      <c r="VSU249"/>
      <c r="VSV249"/>
      <c r="VSW249"/>
      <c r="VSX249"/>
      <c r="VSY249"/>
      <c r="VSZ249"/>
      <c r="VTA249"/>
      <c r="VTB249"/>
      <c r="VTC249"/>
      <c r="VTD249"/>
      <c r="VTE249"/>
      <c r="VTF249"/>
      <c r="VTG249"/>
      <c r="VTH249"/>
      <c r="VTI249"/>
      <c r="VTJ249"/>
      <c r="VTK249"/>
      <c r="VTL249"/>
      <c r="VTM249"/>
      <c r="VTN249"/>
      <c r="VTO249"/>
      <c r="VTP249"/>
      <c r="VTQ249"/>
      <c r="VTR249"/>
      <c r="VTS249"/>
      <c r="VTT249"/>
      <c r="VTU249"/>
      <c r="VTV249"/>
      <c r="VTW249"/>
      <c r="VTX249"/>
      <c r="VTY249"/>
      <c r="VTZ249"/>
      <c r="VUA249"/>
      <c r="VUB249"/>
      <c r="VUC249"/>
      <c r="VUD249"/>
      <c r="VUE249"/>
      <c r="VUF249"/>
      <c r="VUG249"/>
      <c r="VUH249"/>
      <c r="VUI249"/>
      <c r="VUJ249"/>
      <c r="VUK249"/>
      <c r="VUL249"/>
      <c r="VUM249"/>
      <c r="VUN249"/>
      <c r="VUO249"/>
      <c r="VUP249"/>
      <c r="VUQ249"/>
      <c r="VUR249"/>
      <c r="VUS249"/>
      <c r="VUT249"/>
      <c r="VUU249"/>
      <c r="VUV249"/>
      <c r="VUW249"/>
      <c r="VUX249"/>
      <c r="VUY249"/>
      <c r="VUZ249"/>
      <c r="VVA249"/>
      <c r="VVB249"/>
      <c r="VVC249"/>
      <c r="VVD249"/>
      <c r="VVE249"/>
      <c r="VVF249"/>
      <c r="VVG249"/>
      <c r="VVH249"/>
      <c r="VVI249"/>
      <c r="VVJ249"/>
      <c r="VVK249"/>
      <c r="VVL249"/>
      <c r="VVM249"/>
      <c r="VVN249"/>
      <c r="VVO249"/>
      <c r="VVP249"/>
      <c r="VVQ249"/>
      <c r="VVR249"/>
      <c r="VVS249"/>
      <c r="VVT249"/>
      <c r="VVU249"/>
      <c r="VVV249"/>
      <c r="VVW249"/>
      <c r="VVX249"/>
      <c r="VVY249"/>
      <c r="VVZ249"/>
      <c r="VWA249"/>
    </row>
    <row r="250" spans="2:113 15079:15471" s="1" customFormat="1" ht="15" hidden="1" customHeight="1" x14ac:dyDescent="0.25">
      <c r="B250" s="115"/>
      <c r="C250" s="296" t="s">
        <v>70</v>
      </c>
      <c r="D250" s="118"/>
      <c r="E250" s="194" t="s">
        <v>16</v>
      </c>
      <c r="F250" s="169">
        <v>0</v>
      </c>
      <c r="G250" s="169">
        <v>180350</v>
      </c>
      <c r="H250" s="169">
        <v>105490</v>
      </c>
      <c r="I250" s="169">
        <v>0</v>
      </c>
      <c r="J250" s="169">
        <v>65140</v>
      </c>
      <c r="K250" s="169">
        <v>105530</v>
      </c>
      <c r="L250" s="169">
        <v>170500</v>
      </c>
      <c r="M250" s="169">
        <v>170640</v>
      </c>
      <c r="N250" s="169">
        <v>169440</v>
      </c>
      <c r="O250" s="169">
        <v>494640</v>
      </c>
      <c r="P250" s="169">
        <v>325840</v>
      </c>
      <c r="Q250" s="169">
        <v>57350</v>
      </c>
      <c r="R250" s="169">
        <v>242960</v>
      </c>
      <c r="S250" s="169">
        <v>497990</v>
      </c>
      <c r="T250" s="169">
        <v>262530</v>
      </c>
      <c r="U250" s="169">
        <v>135150</v>
      </c>
      <c r="V250" s="169">
        <v>191470</v>
      </c>
      <c r="W250" s="169">
        <v>41600</v>
      </c>
      <c r="X250" s="169">
        <v>0</v>
      </c>
      <c r="Y250" s="169">
        <v>0</v>
      </c>
      <c r="Z250" s="169">
        <v>105590</v>
      </c>
      <c r="AA250" s="169">
        <v>106070</v>
      </c>
      <c r="AB250" s="169">
        <v>104870</v>
      </c>
      <c r="AC250" s="169">
        <v>84760</v>
      </c>
      <c r="AD250" s="169">
        <v>588420</v>
      </c>
      <c r="AE250" s="169">
        <v>0</v>
      </c>
      <c r="AF250" s="169">
        <v>0</v>
      </c>
      <c r="AG250" s="169"/>
      <c r="AH250" s="169"/>
      <c r="AI250" s="169"/>
      <c r="AK250" s="8">
        <f>SUM(F250:AI250)</f>
        <v>4206330</v>
      </c>
      <c r="AL250" s="411"/>
      <c r="DI250" s="4"/>
      <c r="VGY250"/>
      <c r="VGZ250"/>
      <c r="VHA250"/>
      <c r="VHB250"/>
      <c r="VHC250"/>
      <c r="VHD250"/>
      <c r="VHE250"/>
      <c r="VHF250"/>
      <c r="VHG250"/>
      <c r="VHH250"/>
      <c r="VHI250"/>
      <c r="VHJ250"/>
      <c r="VHK250"/>
      <c r="VHL250"/>
      <c r="VHM250"/>
      <c r="VHN250"/>
      <c r="VHO250"/>
      <c r="VHP250"/>
      <c r="VHQ250"/>
      <c r="VHR250"/>
      <c r="VHS250"/>
      <c r="VHT250"/>
      <c r="VHU250"/>
      <c r="VHV250"/>
      <c r="VHW250"/>
      <c r="VHX250"/>
      <c r="VHY250"/>
      <c r="VHZ250"/>
      <c r="VIA250"/>
      <c r="VIB250"/>
      <c r="VIC250"/>
      <c r="VID250"/>
      <c r="VIE250"/>
      <c r="VIF250"/>
      <c r="VIG250"/>
      <c r="VIH250"/>
      <c r="VII250"/>
      <c r="VIJ250"/>
      <c r="VIK250"/>
      <c r="VIL250"/>
      <c r="VIM250"/>
      <c r="VIN250"/>
      <c r="VIO250"/>
      <c r="VIP250"/>
      <c r="VIQ250"/>
      <c r="VIR250"/>
      <c r="VIS250"/>
      <c r="VIT250"/>
      <c r="VIU250"/>
      <c r="VIV250"/>
      <c r="VIW250"/>
      <c r="VIX250"/>
      <c r="VIY250"/>
      <c r="VIZ250"/>
      <c r="VJA250"/>
      <c r="VJB250"/>
      <c r="VJC250"/>
      <c r="VJD250"/>
      <c r="VJE250"/>
      <c r="VJF250"/>
      <c r="VJG250"/>
      <c r="VJH250"/>
      <c r="VJI250"/>
      <c r="VJJ250"/>
      <c r="VJK250"/>
      <c r="VJL250"/>
      <c r="VJM250"/>
      <c r="VJN250"/>
      <c r="VJO250"/>
      <c r="VJP250"/>
      <c r="VJQ250"/>
      <c r="VJR250"/>
      <c r="VJS250"/>
      <c r="VJT250"/>
      <c r="VJU250"/>
      <c r="VJV250"/>
      <c r="VJW250"/>
      <c r="VJX250"/>
      <c r="VJY250"/>
      <c r="VJZ250"/>
      <c r="VKA250"/>
      <c r="VKB250"/>
      <c r="VKC250"/>
      <c r="VKD250"/>
      <c r="VKE250"/>
      <c r="VKF250"/>
      <c r="VKG250"/>
      <c r="VKH250"/>
      <c r="VKI250"/>
      <c r="VKJ250"/>
      <c r="VKK250"/>
      <c r="VKL250"/>
      <c r="VKM250"/>
      <c r="VKN250"/>
      <c r="VKO250"/>
      <c r="VKP250"/>
      <c r="VKQ250"/>
      <c r="VKR250"/>
      <c r="VKS250"/>
      <c r="VKT250"/>
      <c r="VKU250"/>
      <c r="VKV250"/>
      <c r="VKW250"/>
      <c r="VKX250"/>
      <c r="VKY250"/>
      <c r="VKZ250"/>
      <c r="VLA250"/>
      <c r="VLB250"/>
      <c r="VLC250"/>
      <c r="VLD250"/>
      <c r="VLE250"/>
      <c r="VLF250"/>
      <c r="VLG250"/>
      <c r="VLH250"/>
      <c r="VLI250"/>
      <c r="VLJ250"/>
      <c r="VLK250"/>
      <c r="VLL250"/>
      <c r="VLM250"/>
      <c r="VLN250"/>
      <c r="VLO250"/>
      <c r="VLP250"/>
      <c r="VLQ250"/>
      <c r="VLR250"/>
      <c r="VLS250"/>
      <c r="VLT250"/>
      <c r="VLU250"/>
      <c r="VLV250"/>
      <c r="VLW250"/>
      <c r="VLX250"/>
      <c r="VLY250"/>
      <c r="VLZ250"/>
      <c r="VMA250"/>
      <c r="VMB250"/>
      <c r="VMC250"/>
      <c r="VMD250"/>
      <c r="VME250"/>
      <c r="VMF250"/>
      <c r="VMG250"/>
      <c r="VMH250"/>
      <c r="VMI250"/>
      <c r="VMJ250"/>
      <c r="VMK250"/>
      <c r="VML250"/>
      <c r="VMM250"/>
      <c r="VMN250"/>
      <c r="VMO250"/>
      <c r="VMP250"/>
      <c r="VMQ250"/>
      <c r="VMR250"/>
      <c r="VMS250"/>
      <c r="VMT250"/>
      <c r="VMU250"/>
      <c r="VMV250"/>
      <c r="VMW250"/>
      <c r="VMX250"/>
      <c r="VMY250"/>
      <c r="VMZ250"/>
      <c r="VNA250"/>
      <c r="VNB250"/>
      <c r="VNC250"/>
      <c r="VND250"/>
      <c r="VNE250"/>
      <c r="VNF250"/>
      <c r="VNG250"/>
      <c r="VNH250"/>
      <c r="VNI250"/>
      <c r="VNJ250"/>
      <c r="VNK250"/>
      <c r="VNL250"/>
      <c r="VNM250"/>
      <c r="VNN250"/>
      <c r="VNO250"/>
      <c r="VNP250"/>
      <c r="VNQ250"/>
      <c r="VNR250"/>
      <c r="VNS250"/>
      <c r="VNT250"/>
      <c r="VNU250"/>
      <c r="VNV250"/>
      <c r="VNW250"/>
      <c r="VNX250"/>
      <c r="VNY250"/>
      <c r="VNZ250"/>
      <c r="VOA250"/>
      <c r="VOB250"/>
      <c r="VOC250"/>
      <c r="VOD250"/>
      <c r="VOE250"/>
      <c r="VOF250"/>
      <c r="VOG250"/>
      <c r="VOH250"/>
      <c r="VOI250"/>
      <c r="VOJ250"/>
      <c r="VOK250"/>
      <c r="VOL250"/>
      <c r="VOM250"/>
      <c r="VON250"/>
      <c r="VOO250"/>
      <c r="VOP250"/>
      <c r="VOQ250"/>
      <c r="VOR250"/>
      <c r="VOS250"/>
      <c r="VOT250"/>
      <c r="VOU250"/>
      <c r="VOV250"/>
      <c r="VOW250"/>
      <c r="VOX250"/>
      <c r="VOY250"/>
      <c r="VOZ250"/>
      <c r="VPA250"/>
      <c r="VPB250"/>
      <c r="VPC250"/>
      <c r="VPD250"/>
      <c r="VPE250"/>
      <c r="VPF250"/>
      <c r="VPG250"/>
      <c r="VPH250"/>
      <c r="VPI250"/>
      <c r="VPJ250"/>
      <c r="VPK250"/>
      <c r="VPL250"/>
      <c r="VPM250"/>
      <c r="VPN250"/>
      <c r="VPO250"/>
      <c r="VPP250"/>
      <c r="VPQ250"/>
      <c r="VPR250"/>
      <c r="VPS250"/>
      <c r="VPT250"/>
      <c r="VPU250"/>
      <c r="VPV250"/>
      <c r="VPW250"/>
      <c r="VPX250"/>
      <c r="VPY250"/>
      <c r="VPZ250"/>
      <c r="VQA250"/>
      <c r="VQB250"/>
      <c r="VQC250"/>
      <c r="VQD250"/>
      <c r="VQE250"/>
      <c r="VQF250"/>
      <c r="VQG250"/>
      <c r="VQH250"/>
      <c r="VQI250"/>
      <c r="VQJ250"/>
      <c r="VQK250"/>
      <c r="VQL250"/>
      <c r="VQM250"/>
      <c r="VQN250"/>
      <c r="VQO250"/>
      <c r="VQP250"/>
      <c r="VQQ250"/>
      <c r="VQR250"/>
      <c r="VQS250"/>
      <c r="VQT250"/>
      <c r="VQU250"/>
      <c r="VQV250"/>
      <c r="VQW250"/>
      <c r="VQX250"/>
      <c r="VQY250"/>
      <c r="VQZ250"/>
      <c r="VRA250"/>
      <c r="VRB250"/>
      <c r="VRC250"/>
      <c r="VRD250"/>
      <c r="VRE250"/>
      <c r="VRF250"/>
      <c r="VRG250"/>
      <c r="VRH250"/>
      <c r="VRI250"/>
      <c r="VRJ250"/>
      <c r="VRK250"/>
      <c r="VRL250"/>
      <c r="VRM250"/>
      <c r="VRN250"/>
      <c r="VRO250"/>
      <c r="VRP250"/>
      <c r="VRQ250"/>
      <c r="VRR250"/>
      <c r="VRS250"/>
      <c r="VRT250"/>
      <c r="VRU250"/>
      <c r="VRV250"/>
      <c r="VRW250"/>
      <c r="VRX250"/>
      <c r="VRY250"/>
      <c r="VRZ250"/>
      <c r="VSA250"/>
      <c r="VSB250"/>
      <c r="VSC250"/>
      <c r="VSD250"/>
      <c r="VSE250"/>
      <c r="VSF250"/>
      <c r="VSG250"/>
      <c r="VSH250"/>
      <c r="VSI250"/>
      <c r="VSJ250"/>
      <c r="VSK250"/>
      <c r="VSL250"/>
      <c r="VSM250"/>
      <c r="VSN250"/>
      <c r="VSO250"/>
      <c r="VSP250"/>
      <c r="VSQ250"/>
      <c r="VSR250"/>
      <c r="VSS250"/>
      <c r="VST250"/>
      <c r="VSU250"/>
      <c r="VSV250"/>
      <c r="VSW250"/>
      <c r="VSX250"/>
      <c r="VSY250"/>
      <c r="VSZ250"/>
      <c r="VTA250"/>
      <c r="VTB250"/>
      <c r="VTC250"/>
      <c r="VTD250"/>
      <c r="VTE250"/>
      <c r="VTF250"/>
      <c r="VTG250"/>
      <c r="VTH250"/>
      <c r="VTI250"/>
      <c r="VTJ250"/>
      <c r="VTK250"/>
      <c r="VTL250"/>
      <c r="VTM250"/>
      <c r="VTN250"/>
      <c r="VTO250"/>
      <c r="VTP250"/>
      <c r="VTQ250"/>
      <c r="VTR250"/>
      <c r="VTS250"/>
      <c r="VTT250"/>
      <c r="VTU250"/>
      <c r="VTV250"/>
      <c r="VTW250"/>
      <c r="VTX250"/>
      <c r="VTY250"/>
      <c r="VTZ250"/>
      <c r="VUA250"/>
      <c r="VUB250"/>
      <c r="VUC250"/>
      <c r="VUD250"/>
      <c r="VUE250"/>
      <c r="VUF250"/>
      <c r="VUG250"/>
      <c r="VUH250"/>
      <c r="VUI250"/>
      <c r="VUJ250"/>
      <c r="VUK250"/>
      <c r="VUL250"/>
      <c r="VUM250"/>
      <c r="VUN250"/>
      <c r="VUO250"/>
      <c r="VUP250"/>
      <c r="VUQ250"/>
      <c r="VUR250"/>
      <c r="VUS250"/>
      <c r="VUT250"/>
      <c r="VUU250"/>
      <c r="VUV250"/>
      <c r="VUW250"/>
      <c r="VUX250"/>
      <c r="VUY250"/>
      <c r="VUZ250"/>
      <c r="VVA250"/>
      <c r="VVB250"/>
      <c r="VVC250"/>
      <c r="VVD250"/>
      <c r="VVE250"/>
      <c r="VVF250"/>
      <c r="VVG250"/>
      <c r="VVH250"/>
      <c r="VVI250"/>
      <c r="VVJ250"/>
      <c r="VVK250"/>
      <c r="VVL250"/>
      <c r="VVM250"/>
      <c r="VVN250"/>
      <c r="VVO250"/>
      <c r="VVP250"/>
      <c r="VVQ250"/>
      <c r="VVR250"/>
      <c r="VVS250"/>
      <c r="VVT250"/>
      <c r="VVU250"/>
      <c r="VVV250"/>
      <c r="VVW250"/>
      <c r="VVX250"/>
      <c r="VVY250"/>
      <c r="VVZ250"/>
      <c r="VWA250"/>
    </row>
    <row r="251" spans="2:113 15079:15471" s="45" customFormat="1" ht="15" hidden="1" customHeight="1" x14ac:dyDescent="0.25">
      <c r="B251" s="180"/>
      <c r="C251" s="297" t="s">
        <v>1</v>
      </c>
      <c r="D251" s="298"/>
      <c r="E251" s="299" t="s">
        <v>16</v>
      </c>
      <c r="F251" s="300">
        <f t="shared" ref="F251:AF251" si="96">SUM(F246:F250)</f>
        <v>0</v>
      </c>
      <c r="G251" s="300">
        <f t="shared" si="96"/>
        <v>492890</v>
      </c>
      <c r="H251" s="300">
        <f t="shared" si="96"/>
        <v>544320</v>
      </c>
      <c r="I251" s="300">
        <f t="shared" si="96"/>
        <v>877230</v>
      </c>
      <c r="J251" s="300">
        <f t="shared" si="96"/>
        <v>548670</v>
      </c>
      <c r="K251" s="300">
        <f t="shared" si="96"/>
        <v>270750</v>
      </c>
      <c r="L251" s="300">
        <f t="shared" si="96"/>
        <v>834440</v>
      </c>
      <c r="M251" s="300">
        <f t="shared" si="96"/>
        <v>712840</v>
      </c>
      <c r="N251" s="300">
        <f t="shared" si="96"/>
        <v>504340</v>
      </c>
      <c r="O251" s="300">
        <f t="shared" si="96"/>
        <v>595200</v>
      </c>
      <c r="P251" s="300">
        <f t="shared" si="96"/>
        <v>582610</v>
      </c>
      <c r="Q251" s="300">
        <f t="shared" si="96"/>
        <v>254250</v>
      </c>
      <c r="R251" s="300">
        <f t="shared" si="96"/>
        <v>242960</v>
      </c>
      <c r="S251" s="300">
        <f t="shared" si="96"/>
        <v>741400</v>
      </c>
      <c r="T251" s="300">
        <f t="shared" si="96"/>
        <v>291620</v>
      </c>
      <c r="U251" s="300">
        <f t="shared" si="96"/>
        <v>288090</v>
      </c>
      <c r="V251" s="300">
        <f t="shared" si="96"/>
        <v>313060</v>
      </c>
      <c r="W251" s="300">
        <f t="shared" si="96"/>
        <v>873700</v>
      </c>
      <c r="X251" s="300">
        <f t="shared" si="96"/>
        <v>228760</v>
      </c>
      <c r="Y251" s="300">
        <f t="shared" si="96"/>
        <v>128390</v>
      </c>
      <c r="Z251" s="300">
        <f t="shared" si="96"/>
        <v>744710</v>
      </c>
      <c r="AA251" s="300">
        <f t="shared" si="96"/>
        <v>469330</v>
      </c>
      <c r="AB251" s="300">
        <f t="shared" si="96"/>
        <v>462410</v>
      </c>
      <c r="AC251" s="300">
        <f t="shared" si="96"/>
        <v>503350</v>
      </c>
      <c r="AD251" s="300">
        <f t="shared" si="96"/>
        <v>643210</v>
      </c>
      <c r="AE251" s="300">
        <f t="shared" si="96"/>
        <v>44460</v>
      </c>
      <c r="AF251" s="300">
        <f t="shared" si="96"/>
        <v>28000</v>
      </c>
      <c r="AG251" s="300"/>
      <c r="AH251" s="300"/>
      <c r="AI251" s="300"/>
      <c r="AK251" s="301">
        <f>SUM(AK246:AK250)</f>
        <v>12220990</v>
      </c>
      <c r="AL251" s="411"/>
      <c r="DI251" s="284"/>
    </row>
    <row r="252" spans="2:113 15079:15471" s="1" customFormat="1" ht="15" hidden="1" customHeight="1" x14ac:dyDescent="0.25">
      <c r="B252" s="97">
        <v>13</v>
      </c>
      <c r="C252" s="138" t="s">
        <v>131</v>
      </c>
      <c r="D252" s="302"/>
      <c r="E252" s="138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  <c r="AH252" s="99"/>
      <c r="AI252" s="99"/>
      <c r="AK252" s="295" t="s">
        <v>132</v>
      </c>
      <c r="DI252" s="4"/>
      <c r="VGY252"/>
      <c r="VGZ252"/>
      <c r="VHA252"/>
      <c r="VHB252"/>
      <c r="VHC252"/>
      <c r="VHD252"/>
      <c r="VHE252"/>
      <c r="VHF252"/>
      <c r="VHG252"/>
      <c r="VHH252"/>
      <c r="VHI252"/>
      <c r="VHJ252"/>
      <c r="VHK252"/>
      <c r="VHL252"/>
      <c r="VHM252"/>
      <c r="VHN252"/>
      <c r="VHO252"/>
      <c r="VHP252"/>
      <c r="VHQ252"/>
      <c r="VHR252"/>
      <c r="VHS252"/>
      <c r="VHT252"/>
      <c r="VHU252"/>
      <c r="VHV252"/>
      <c r="VHW252"/>
      <c r="VHX252"/>
      <c r="VHY252"/>
      <c r="VHZ252"/>
      <c r="VIA252"/>
      <c r="VIB252"/>
      <c r="VIC252"/>
      <c r="VID252"/>
      <c r="VIE252"/>
      <c r="VIF252"/>
      <c r="VIG252"/>
      <c r="VIH252"/>
      <c r="VII252"/>
      <c r="VIJ252"/>
      <c r="VIK252"/>
      <c r="VIL252"/>
      <c r="VIM252"/>
      <c r="VIN252"/>
      <c r="VIO252"/>
      <c r="VIP252"/>
      <c r="VIQ252"/>
      <c r="VIR252"/>
      <c r="VIS252"/>
      <c r="VIT252"/>
      <c r="VIU252"/>
      <c r="VIV252"/>
      <c r="VIW252"/>
      <c r="VIX252"/>
      <c r="VIY252"/>
      <c r="VIZ252"/>
      <c r="VJA252"/>
      <c r="VJB252"/>
      <c r="VJC252"/>
      <c r="VJD252"/>
      <c r="VJE252"/>
      <c r="VJF252"/>
      <c r="VJG252"/>
      <c r="VJH252"/>
      <c r="VJI252"/>
      <c r="VJJ252"/>
      <c r="VJK252"/>
      <c r="VJL252"/>
      <c r="VJM252"/>
      <c r="VJN252"/>
      <c r="VJO252"/>
      <c r="VJP252"/>
      <c r="VJQ252"/>
      <c r="VJR252"/>
      <c r="VJS252"/>
      <c r="VJT252"/>
      <c r="VJU252"/>
      <c r="VJV252"/>
      <c r="VJW252"/>
      <c r="VJX252"/>
      <c r="VJY252"/>
      <c r="VJZ252"/>
      <c r="VKA252"/>
      <c r="VKB252"/>
      <c r="VKC252"/>
      <c r="VKD252"/>
      <c r="VKE252"/>
      <c r="VKF252"/>
      <c r="VKG252"/>
      <c r="VKH252"/>
      <c r="VKI252"/>
      <c r="VKJ252"/>
      <c r="VKK252"/>
      <c r="VKL252"/>
      <c r="VKM252"/>
      <c r="VKN252"/>
      <c r="VKO252"/>
      <c r="VKP252"/>
      <c r="VKQ252"/>
      <c r="VKR252"/>
      <c r="VKS252"/>
      <c r="VKT252"/>
      <c r="VKU252"/>
      <c r="VKV252"/>
      <c r="VKW252"/>
      <c r="VKX252"/>
      <c r="VKY252"/>
      <c r="VKZ252"/>
      <c r="VLA252"/>
      <c r="VLB252"/>
      <c r="VLC252"/>
      <c r="VLD252"/>
      <c r="VLE252"/>
      <c r="VLF252"/>
      <c r="VLG252"/>
      <c r="VLH252"/>
      <c r="VLI252"/>
      <c r="VLJ252"/>
      <c r="VLK252"/>
      <c r="VLL252"/>
      <c r="VLM252"/>
      <c r="VLN252"/>
      <c r="VLO252"/>
      <c r="VLP252"/>
      <c r="VLQ252"/>
      <c r="VLR252"/>
      <c r="VLS252"/>
      <c r="VLT252"/>
      <c r="VLU252"/>
      <c r="VLV252"/>
      <c r="VLW252"/>
      <c r="VLX252"/>
      <c r="VLY252"/>
      <c r="VLZ252"/>
      <c r="VMA252"/>
      <c r="VMB252"/>
      <c r="VMC252"/>
      <c r="VMD252"/>
      <c r="VME252"/>
      <c r="VMF252"/>
      <c r="VMG252"/>
      <c r="VMH252"/>
      <c r="VMI252"/>
      <c r="VMJ252"/>
      <c r="VMK252"/>
      <c r="VML252"/>
      <c r="VMM252"/>
      <c r="VMN252"/>
      <c r="VMO252"/>
      <c r="VMP252"/>
      <c r="VMQ252"/>
      <c r="VMR252"/>
      <c r="VMS252"/>
      <c r="VMT252"/>
      <c r="VMU252"/>
      <c r="VMV252"/>
      <c r="VMW252"/>
      <c r="VMX252"/>
      <c r="VMY252"/>
      <c r="VMZ252"/>
      <c r="VNA252"/>
      <c r="VNB252"/>
      <c r="VNC252"/>
      <c r="VND252"/>
      <c r="VNE252"/>
      <c r="VNF252"/>
      <c r="VNG252"/>
      <c r="VNH252"/>
      <c r="VNI252"/>
      <c r="VNJ252"/>
      <c r="VNK252"/>
      <c r="VNL252"/>
      <c r="VNM252"/>
      <c r="VNN252"/>
      <c r="VNO252"/>
      <c r="VNP252"/>
      <c r="VNQ252"/>
      <c r="VNR252"/>
      <c r="VNS252"/>
      <c r="VNT252"/>
      <c r="VNU252"/>
      <c r="VNV252"/>
      <c r="VNW252"/>
      <c r="VNX252"/>
      <c r="VNY252"/>
      <c r="VNZ252"/>
      <c r="VOA252"/>
      <c r="VOB252"/>
      <c r="VOC252"/>
      <c r="VOD252"/>
      <c r="VOE252"/>
      <c r="VOF252"/>
      <c r="VOG252"/>
      <c r="VOH252"/>
      <c r="VOI252"/>
      <c r="VOJ252"/>
      <c r="VOK252"/>
      <c r="VOL252"/>
      <c r="VOM252"/>
      <c r="VON252"/>
      <c r="VOO252"/>
      <c r="VOP252"/>
      <c r="VOQ252"/>
      <c r="VOR252"/>
      <c r="VOS252"/>
      <c r="VOT252"/>
      <c r="VOU252"/>
      <c r="VOV252"/>
      <c r="VOW252"/>
      <c r="VOX252"/>
      <c r="VOY252"/>
      <c r="VOZ252"/>
      <c r="VPA252"/>
      <c r="VPB252"/>
      <c r="VPC252"/>
      <c r="VPD252"/>
      <c r="VPE252"/>
      <c r="VPF252"/>
      <c r="VPG252"/>
      <c r="VPH252"/>
      <c r="VPI252"/>
      <c r="VPJ252"/>
      <c r="VPK252"/>
      <c r="VPL252"/>
      <c r="VPM252"/>
      <c r="VPN252"/>
      <c r="VPO252"/>
      <c r="VPP252"/>
      <c r="VPQ252"/>
      <c r="VPR252"/>
      <c r="VPS252"/>
      <c r="VPT252"/>
      <c r="VPU252"/>
      <c r="VPV252"/>
      <c r="VPW252"/>
      <c r="VPX252"/>
      <c r="VPY252"/>
      <c r="VPZ252"/>
      <c r="VQA252"/>
      <c r="VQB252"/>
      <c r="VQC252"/>
      <c r="VQD252"/>
      <c r="VQE252"/>
      <c r="VQF252"/>
      <c r="VQG252"/>
      <c r="VQH252"/>
      <c r="VQI252"/>
      <c r="VQJ252"/>
      <c r="VQK252"/>
      <c r="VQL252"/>
      <c r="VQM252"/>
      <c r="VQN252"/>
      <c r="VQO252"/>
      <c r="VQP252"/>
      <c r="VQQ252"/>
      <c r="VQR252"/>
      <c r="VQS252"/>
      <c r="VQT252"/>
      <c r="VQU252"/>
      <c r="VQV252"/>
      <c r="VQW252"/>
      <c r="VQX252"/>
      <c r="VQY252"/>
      <c r="VQZ252"/>
      <c r="VRA252"/>
      <c r="VRB252"/>
      <c r="VRC252"/>
      <c r="VRD252"/>
      <c r="VRE252"/>
      <c r="VRF252"/>
      <c r="VRG252"/>
      <c r="VRH252"/>
      <c r="VRI252"/>
      <c r="VRJ252"/>
      <c r="VRK252"/>
      <c r="VRL252"/>
      <c r="VRM252"/>
      <c r="VRN252"/>
      <c r="VRO252"/>
      <c r="VRP252"/>
      <c r="VRQ252"/>
      <c r="VRR252"/>
      <c r="VRS252"/>
      <c r="VRT252"/>
      <c r="VRU252"/>
      <c r="VRV252"/>
      <c r="VRW252"/>
      <c r="VRX252"/>
      <c r="VRY252"/>
      <c r="VRZ252"/>
      <c r="VSA252"/>
      <c r="VSB252"/>
      <c r="VSC252"/>
      <c r="VSD252"/>
      <c r="VSE252"/>
      <c r="VSF252"/>
      <c r="VSG252"/>
      <c r="VSH252"/>
      <c r="VSI252"/>
      <c r="VSJ252"/>
      <c r="VSK252"/>
      <c r="VSL252"/>
      <c r="VSM252"/>
      <c r="VSN252"/>
      <c r="VSO252"/>
      <c r="VSP252"/>
      <c r="VSQ252"/>
      <c r="VSR252"/>
      <c r="VSS252"/>
      <c r="VST252"/>
      <c r="VSU252"/>
      <c r="VSV252"/>
      <c r="VSW252"/>
      <c r="VSX252"/>
      <c r="VSY252"/>
      <c r="VSZ252"/>
      <c r="VTA252"/>
      <c r="VTB252"/>
      <c r="VTC252"/>
      <c r="VTD252"/>
      <c r="VTE252"/>
      <c r="VTF252"/>
      <c r="VTG252"/>
      <c r="VTH252"/>
      <c r="VTI252"/>
      <c r="VTJ252"/>
      <c r="VTK252"/>
      <c r="VTL252"/>
      <c r="VTM252"/>
      <c r="VTN252"/>
      <c r="VTO252"/>
      <c r="VTP252"/>
      <c r="VTQ252"/>
      <c r="VTR252"/>
      <c r="VTS252"/>
      <c r="VTT252"/>
      <c r="VTU252"/>
      <c r="VTV252"/>
      <c r="VTW252"/>
      <c r="VTX252"/>
      <c r="VTY252"/>
      <c r="VTZ252"/>
      <c r="VUA252"/>
      <c r="VUB252"/>
      <c r="VUC252"/>
      <c r="VUD252"/>
      <c r="VUE252"/>
      <c r="VUF252"/>
      <c r="VUG252"/>
      <c r="VUH252"/>
      <c r="VUI252"/>
      <c r="VUJ252"/>
      <c r="VUK252"/>
      <c r="VUL252"/>
      <c r="VUM252"/>
      <c r="VUN252"/>
      <c r="VUO252"/>
      <c r="VUP252"/>
      <c r="VUQ252"/>
      <c r="VUR252"/>
      <c r="VUS252"/>
      <c r="VUT252"/>
      <c r="VUU252"/>
      <c r="VUV252"/>
      <c r="VUW252"/>
      <c r="VUX252"/>
      <c r="VUY252"/>
      <c r="VUZ252"/>
      <c r="VVA252"/>
      <c r="VVB252"/>
      <c r="VVC252"/>
      <c r="VVD252"/>
      <c r="VVE252"/>
      <c r="VVF252"/>
      <c r="VVG252"/>
      <c r="VVH252"/>
      <c r="VVI252"/>
      <c r="VVJ252"/>
      <c r="VVK252"/>
      <c r="VVL252"/>
      <c r="VVM252"/>
      <c r="VVN252"/>
      <c r="VVO252"/>
      <c r="VVP252"/>
      <c r="VVQ252"/>
      <c r="VVR252"/>
      <c r="VVS252"/>
      <c r="VVT252"/>
      <c r="VVU252"/>
      <c r="VVV252"/>
      <c r="VVW252"/>
      <c r="VVX252"/>
      <c r="VVY252"/>
      <c r="VVZ252"/>
      <c r="VWA252"/>
    </row>
    <row r="253" spans="2:113 15079:15471" s="1" customFormat="1" ht="15" hidden="1" customHeight="1" x14ac:dyDescent="0.25">
      <c r="B253" s="115"/>
      <c r="C253" s="296" t="s">
        <v>130</v>
      </c>
      <c r="D253" s="118"/>
      <c r="E253" s="194" t="s">
        <v>16</v>
      </c>
      <c r="F253" s="169">
        <v>0</v>
      </c>
      <c r="G253" s="169">
        <v>0</v>
      </c>
      <c r="H253" s="169">
        <v>0</v>
      </c>
      <c r="I253" s="169">
        <v>0</v>
      </c>
      <c r="J253" s="169">
        <v>998100</v>
      </c>
      <c r="K253" s="169">
        <v>1187270</v>
      </c>
      <c r="L253" s="169">
        <v>1345050</v>
      </c>
      <c r="M253" s="169">
        <v>1279250</v>
      </c>
      <c r="N253" s="169">
        <v>1540660</v>
      </c>
      <c r="O253" s="169">
        <v>1221250</v>
      </c>
      <c r="P253" s="169">
        <v>1804530</v>
      </c>
      <c r="Q253" s="169">
        <v>1816620</v>
      </c>
      <c r="R253" s="169">
        <v>1766630</v>
      </c>
      <c r="S253" s="169">
        <v>52950</v>
      </c>
      <c r="T253" s="169">
        <v>0</v>
      </c>
      <c r="U253" s="169">
        <v>0</v>
      </c>
      <c r="V253" s="169">
        <v>0</v>
      </c>
      <c r="W253" s="169">
        <v>0</v>
      </c>
      <c r="X253" s="169">
        <v>0</v>
      </c>
      <c r="Y253" s="169">
        <v>0</v>
      </c>
      <c r="Z253" s="169">
        <v>0</v>
      </c>
      <c r="AA253" s="169">
        <v>0</v>
      </c>
      <c r="AB253" s="169">
        <v>0</v>
      </c>
      <c r="AC253" s="169">
        <v>0</v>
      </c>
      <c r="AD253" s="169">
        <v>0</v>
      </c>
      <c r="AE253" s="169">
        <v>0</v>
      </c>
      <c r="AF253" s="169">
        <v>0</v>
      </c>
      <c r="AG253" s="169"/>
      <c r="AH253" s="169"/>
      <c r="AI253" s="169"/>
      <c r="AK253" s="8">
        <f>SUM(F253:AI253)</f>
        <v>13012310</v>
      </c>
      <c r="DI253" s="4"/>
      <c r="VGY253"/>
      <c r="VGZ253"/>
      <c r="VHA253"/>
      <c r="VHB253"/>
      <c r="VHC253"/>
      <c r="VHD253"/>
      <c r="VHE253"/>
      <c r="VHF253"/>
      <c r="VHG253"/>
      <c r="VHH253"/>
      <c r="VHI253"/>
      <c r="VHJ253"/>
      <c r="VHK253"/>
      <c r="VHL253"/>
      <c r="VHM253"/>
      <c r="VHN253"/>
      <c r="VHO253"/>
      <c r="VHP253"/>
      <c r="VHQ253"/>
      <c r="VHR253"/>
      <c r="VHS253"/>
      <c r="VHT253"/>
      <c r="VHU253"/>
      <c r="VHV253"/>
      <c r="VHW253"/>
      <c r="VHX253"/>
      <c r="VHY253"/>
      <c r="VHZ253"/>
      <c r="VIA253"/>
      <c r="VIB253"/>
      <c r="VIC253"/>
      <c r="VID253"/>
      <c r="VIE253"/>
      <c r="VIF253"/>
      <c r="VIG253"/>
      <c r="VIH253"/>
      <c r="VII253"/>
      <c r="VIJ253"/>
      <c r="VIK253"/>
      <c r="VIL253"/>
      <c r="VIM253"/>
      <c r="VIN253"/>
      <c r="VIO253"/>
      <c r="VIP253"/>
      <c r="VIQ253"/>
      <c r="VIR253"/>
      <c r="VIS253"/>
      <c r="VIT253"/>
      <c r="VIU253"/>
      <c r="VIV253"/>
      <c r="VIW253"/>
      <c r="VIX253"/>
      <c r="VIY253"/>
      <c r="VIZ253"/>
      <c r="VJA253"/>
      <c r="VJB253"/>
      <c r="VJC253"/>
      <c r="VJD253"/>
      <c r="VJE253"/>
      <c r="VJF253"/>
      <c r="VJG253"/>
      <c r="VJH253"/>
      <c r="VJI253"/>
      <c r="VJJ253"/>
      <c r="VJK253"/>
      <c r="VJL253"/>
      <c r="VJM253"/>
      <c r="VJN253"/>
      <c r="VJO253"/>
      <c r="VJP253"/>
      <c r="VJQ253"/>
      <c r="VJR253"/>
      <c r="VJS253"/>
      <c r="VJT253"/>
      <c r="VJU253"/>
      <c r="VJV253"/>
      <c r="VJW253"/>
      <c r="VJX253"/>
      <c r="VJY253"/>
      <c r="VJZ253"/>
      <c r="VKA253"/>
      <c r="VKB253"/>
      <c r="VKC253"/>
      <c r="VKD253"/>
      <c r="VKE253"/>
      <c r="VKF253"/>
      <c r="VKG253"/>
      <c r="VKH253"/>
      <c r="VKI253"/>
      <c r="VKJ253"/>
      <c r="VKK253"/>
      <c r="VKL253"/>
      <c r="VKM253"/>
      <c r="VKN253"/>
      <c r="VKO253"/>
      <c r="VKP253"/>
      <c r="VKQ253"/>
      <c r="VKR253"/>
      <c r="VKS253"/>
      <c r="VKT253"/>
      <c r="VKU253"/>
      <c r="VKV253"/>
      <c r="VKW253"/>
      <c r="VKX253"/>
      <c r="VKY253"/>
      <c r="VKZ253"/>
      <c r="VLA253"/>
      <c r="VLB253"/>
      <c r="VLC253"/>
      <c r="VLD253"/>
      <c r="VLE253"/>
      <c r="VLF253"/>
      <c r="VLG253"/>
      <c r="VLH253"/>
      <c r="VLI253"/>
      <c r="VLJ253"/>
      <c r="VLK253"/>
      <c r="VLL253"/>
      <c r="VLM253"/>
      <c r="VLN253"/>
      <c r="VLO253"/>
      <c r="VLP253"/>
      <c r="VLQ253"/>
      <c r="VLR253"/>
      <c r="VLS253"/>
      <c r="VLT253"/>
      <c r="VLU253"/>
      <c r="VLV253"/>
      <c r="VLW253"/>
      <c r="VLX253"/>
      <c r="VLY253"/>
      <c r="VLZ253"/>
      <c r="VMA253"/>
      <c r="VMB253"/>
      <c r="VMC253"/>
      <c r="VMD253"/>
      <c r="VME253"/>
      <c r="VMF253"/>
      <c r="VMG253"/>
      <c r="VMH253"/>
      <c r="VMI253"/>
      <c r="VMJ253"/>
      <c r="VMK253"/>
      <c r="VML253"/>
      <c r="VMM253"/>
      <c r="VMN253"/>
      <c r="VMO253"/>
      <c r="VMP253"/>
      <c r="VMQ253"/>
      <c r="VMR253"/>
      <c r="VMS253"/>
      <c r="VMT253"/>
      <c r="VMU253"/>
      <c r="VMV253"/>
      <c r="VMW253"/>
      <c r="VMX253"/>
      <c r="VMY253"/>
      <c r="VMZ253"/>
      <c r="VNA253"/>
      <c r="VNB253"/>
      <c r="VNC253"/>
      <c r="VND253"/>
      <c r="VNE253"/>
      <c r="VNF253"/>
      <c r="VNG253"/>
      <c r="VNH253"/>
      <c r="VNI253"/>
      <c r="VNJ253"/>
      <c r="VNK253"/>
      <c r="VNL253"/>
      <c r="VNM253"/>
      <c r="VNN253"/>
      <c r="VNO253"/>
      <c r="VNP253"/>
      <c r="VNQ253"/>
      <c r="VNR253"/>
      <c r="VNS253"/>
      <c r="VNT253"/>
      <c r="VNU253"/>
      <c r="VNV253"/>
      <c r="VNW253"/>
      <c r="VNX253"/>
      <c r="VNY253"/>
      <c r="VNZ253"/>
      <c r="VOA253"/>
      <c r="VOB253"/>
      <c r="VOC253"/>
      <c r="VOD253"/>
      <c r="VOE253"/>
      <c r="VOF253"/>
      <c r="VOG253"/>
      <c r="VOH253"/>
      <c r="VOI253"/>
      <c r="VOJ253"/>
      <c r="VOK253"/>
      <c r="VOL253"/>
      <c r="VOM253"/>
      <c r="VON253"/>
      <c r="VOO253"/>
      <c r="VOP253"/>
      <c r="VOQ253"/>
      <c r="VOR253"/>
      <c r="VOS253"/>
      <c r="VOT253"/>
      <c r="VOU253"/>
      <c r="VOV253"/>
      <c r="VOW253"/>
      <c r="VOX253"/>
      <c r="VOY253"/>
      <c r="VOZ253"/>
      <c r="VPA253"/>
      <c r="VPB253"/>
      <c r="VPC253"/>
      <c r="VPD253"/>
      <c r="VPE253"/>
      <c r="VPF253"/>
      <c r="VPG253"/>
      <c r="VPH253"/>
      <c r="VPI253"/>
      <c r="VPJ253"/>
      <c r="VPK253"/>
      <c r="VPL253"/>
      <c r="VPM253"/>
      <c r="VPN253"/>
      <c r="VPO253"/>
      <c r="VPP253"/>
      <c r="VPQ253"/>
      <c r="VPR253"/>
      <c r="VPS253"/>
      <c r="VPT253"/>
      <c r="VPU253"/>
      <c r="VPV253"/>
      <c r="VPW253"/>
      <c r="VPX253"/>
      <c r="VPY253"/>
      <c r="VPZ253"/>
      <c r="VQA253"/>
      <c r="VQB253"/>
      <c r="VQC253"/>
      <c r="VQD253"/>
      <c r="VQE253"/>
      <c r="VQF253"/>
      <c r="VQG253"/>
      <c r="VQH253"/>
      <c r="VQI253"/>
      <c r="VQJ253"/>
      <c r="VQK253"/>
      <c r="VQL253"/>
      <c r="VQM253"/>
      <c r="VQN253"/>
      <c r="VQO253"/>
      <c r="VQP253"/>
      <c r="VQQ253"/>
      <c r="VQR253"/>
      <c r="VQS253"/>
      <c r="VQT253"/>
      <c r="VQU253"/>
      <c r="VQV253"/>
      <c r="VQW253"/>
      <c r="VQX253"/>
      <c r="VQY253"/>
      <c r="VQZ253"/>
      <c r="VRA253"/>
      <c r="VRB253"/>
      <c r="VRC253"/>
      <c r="VRD253"/>
      <c r="VRE253"/>
      <c r="VRF253"/>
      <c r="VRG253"/>
      <c r="VRH253"/>
      <c r="VRI253"/>
      <c r="VRJ253"/>
      <c r="VRK253"/>
      <c r="VRL253"/>
      <c r="VRM253"/>
      <c r="VRN253"/>
      <c r="VRO253"/>
      <c r="VRP253"/>
      <c r="VRQ253"/>
      <c r="VRR253"/>
      <c r="VRS253"/>
      <c r="VRT253"/>
      <c r="VRU253"/>
      <c r="VRV253"/>
      <c r="VRW253"/>
      <c r="VRX253"/>
      <c r="VRY253"/>
      <c r="VRZ253"/>
      <c r="VSA253"/>
      <c r="VSB253"/>
      <c r="VSC253"/>
      <c r="VSD253"/>
      <c r="VSE253"/>
      <c r="VSF253"/>
      <c r="VSG253"/>
      <c r="VSH253"/>
      <c r="VSI253"/>
      <c r="VSJ253"/>
      <c r="VSK253"/>
      <c r="VSL253"/>
      <c r="VSM253"/>
      <c r="VSN253"/>
      <c r="VSO253"/>
      <c r="VSP253"/>
      <c r="VSQ253"/>
      <c r="VSR253"/>
      <c r="VSS253"/>
      <c r="VST253"/>
      <c r="VSU253"/>
      <c r="VSV253"/>
      <c r="VSW253"/>
      <c r="VSX253"/>
      <c r="VSY253"/>
      <c r="VSZ253"/>
      <c r="VTA253"/>
      <c r="VTB253"/>
      <c r="VTC253"/>
      <c r="VTD253"/>
      <c r="VTE253"/>
      <c r="VTF253"/>
      <c r="VTG253"/>
      <c r="VTH253"/>
      <c r="VTI253"/>
      <c r="VTJ253"/>
      <c r="VTK253"/>
      <c r="VTL253"/>
      <c r="VTM253"/>
      <c r="VTN253"/>
      <c r="VTO253"/>
      <c r="VTP253"/>
      <c r="VTQ253"/>
      <c r="VTR253"/>
      <c r="VTS253"/>
      <c r="VTT253"/>
      <c r="VTU253"/>
      <c r="VTV253"/>
      <c r="VTW253"/>
      <c r="VTX253"/>
      <c r="VTY253"/>
      <c r="VTZ253"/>
      <c r="VUA253"/>
      <c r="VUB253"/>
      <c r="VUC253"/>
      <c r="VUD253"/>
      <c r="VUE253"/>
      <c r="VUF253"/>
      <c r="VUG253"/>
      <c r="VUH253"/>
      <c r="VUI253"/>
      <c r="VUJ253"/>
      <c r="VUK253"/>
      <c r="VUL253"/>
      <c r="VUM253"/>
      <c r="VUN253"/>
      <c r="VUO253"/>
      <c r="VUP253"/>
      <c r="VUQ253"/>
      <c r="VUR253"/>
      <c r="VUS253"/>
      <c r="VUT253"/>
      <c r="VUU253"/>
      <c r="VUV253"/>
      <c r="VUW253"/>
      <c r="VUX253"/>
      <c r="VUY253"/>
      <c r="VUZ253"/>
      <c r="VVA253"/>
      <c r="VVB253"/>
      <c r="VVC253"/>
      <c r="VVD253"/>
      <c r="VVE253"/>
      <c r="VVF253"/>
      <c r="VVG253"/>
      <c r="VVH253"/>
      <c r="VVI253"/>
      <c r="VVJ253"/>
      <c r="VVK253"/>
      <c r="VVL253"/>
      <c r="VVM253"/>
      <c r="VVN253"/>
      <c r="VVO253"/>
      <c r="VVP253"/>
      <c r="VVQ253"/>
      <c r="VVR253"/>
      <c r="VVS253"/>
      <c r="VVT253"/>
      <c r="VVU253"/>
      <c r="VVV253"/>
      <c r="VVW253"/>
      <c r="VVX253"/>
      <c r="VVY253"/>
      <c r="VVZ253"/>
      <c r="VWA253"/>
    </row>
    <row r="254" spans="2:113 15079:15471" s="1" customFormat="1" ht="15" hidden="1" customHeight="1" x14ac:dyDescent="0.25">
      <c r="B254" s="115"/>
      <c r="C254" s="296" t="s">
        <v>73</v>
      </c>
      <c r="D254" s="118"/>
      <c r="E254" s="194" t="s">
        <v>16</v>
      </c>
      <c r="F254" s="169">
        <v>0</v>
      </c>
      <c r="G254" s="169">
        <v>0</v>
      </c>
      <c r="H254" s="169">
        <v>0</v>
      </c>
      <c r="I254" s="169">
        <v>0</v>
      </c>
      <c r="J254" s="169">
        <v>0</v>
      </c>
      <c r="K254" s="169">
        <v>0</v>
      </c>
      <c r="L254" s="169">
        <v>0</v>
      </c>
      <c r="M254" s="169">
        <v>338170</v>
      </c>
      <c r="N254" s="169">
        <v>252970</v>
      </c>
      <c r="O254" s="169">
        <v>111150</v>
      </c>
      <c r="P254" s="169">
        <v>0</v>
      </c>
      <c r="Q254" s="169">
        <v>0</v>
      </c>
      <c r="R254" s="169">
        <v>0</v>
      </c>
      <c r="S254" s="169">
        <v>0</v>
      </c>
      <c r="T254" s="169">
        <v>0</v>
      </c>
      <c r="U254" s="169">
        <v>0</v>
      </c>
      <c r="V254" s="169">
        <v>0</v>
      </c>
      <c r="W254" s="169">
        <v>0</v>
      </c>
      <c r="X254" s="169">
        <v>0</v>
      </c>
      <c r="Y254" s="169">
        <v>0</v>
      </c>
      <c r="Z254" s="169">
        <v>0</v>
      </c>
      <c r="AA254" s="169">
        <v>0</v>
      </c>
      <c r="AB254" s="169">
        <v>0</v>
      </c>
      <c r="AC254" s="169">
        <v>0</v>
      </c>
      <c r="AD254" s="169">
        <v>299440</v>
      </c>
      <c r="AE254" s="169">
        <v>108510</v>
      </c>
      <c r="AF254" s="169">
        <v>0</v>
      </c>
      <c r="AG254" s="169"/>
      <c r="AH254" s="169"/>
      <c r="AI254" s="169"/>
      <c r="AK254" s="8">
        <f>SUM(F254:AI254)</f>
        <v>1110240</v>
      </c>
      <c r="DI254" s="4"/>
      <c r="VGY254"/>
      <c r="VGZ254"/>
      <c r="VHA254"/>
      <c r="VHB254"/>
      <c r="VHC254"/>
      <c r="VHD254"/>
      <c r="VHE254"/>
      <c r="VHF254"/>
      <c r="VHG254"/>
      <c r="VHH254"/>
      <c r="VHI254"/>
      <c r="VHJ254"/>
      <c r="VHK254"/>
      <c r="VHL254"/>
      <c r="VHM254"/>
      <c r="VHN254"/>
      <c r="VHO254"/>
      <c r="VHP254"/>
      <c r="VHQ254"/>
      <c r="VHR254"/>
      <c r="VHS254"/>
      <c r="VHT254"/>
      <c r="VHU254"/>
      <c r="VHV254"/>
      <c r="VHW254"/>
      <c r="VHX254"/>
      <c r="VHY254"/>
      <c r="VHZ254"/>
      <c r="VIA254"/>
      <c r="VIB254"/>
      <c r="VIC254"/>
      <c r="VID254"/>
      <c r="VIE254"/>
      <c r="VIF254"/>
      <c r="VIG254"/>
      <c r="VIH254"/>
      <c r="VII254"/>
      <c r="VIJ254"/>
      <c r="VIK254"/>
      <c r="VIL254"/>
      <c r="VIM254"/>
      <c r="VIN254"/>
      <c r="VIO254"/>
      <c r="VIP254"/>
      <c r="VIQ254"/>
      <c r="VIR254"/>
      <c r="VIS254"/>
      <c r="VIT254"/>
      <c r="VIU254"/>
      <c r="VIV254"/>
      <c r="VIW254"/>
      <c r="VIX254"/>
      <c r="VIY254"/>
      <c r="VIZ254"/>
      <c r="VJA254"/>
      <c r="VJB254"/>
      <c r="VJC254"/>
      <c r="VJD254"/>
      <c r="VJE254"/>
      <c r="VJF254"/>
      <c r="VJG254"/>
      <c r="VJH254"/>
      <c r="VJI254"/>
      <c r="VJJ254"/>
      <c r="VJK254"/>
      <c r="VJL254"/>
      <c r="VJM254"/>
      <c r="VJN254"/>
      <c r="VJO254"/>
      <c r="VJP254"/>
      <c r="VJQ254"/>
      <c r="VJR254"/>
      <c r="VJS254"/>
      <c r="VJT254"/>
      <c r="VJU254"/>
      <c r="VJV254"/>
      <c r="VJW254"/>
      <c r="VJX254"/>
      <c r="VJY254"/>
      <c r="VJZ254"/>
      <c r="VKA254"/>
      <c r="VKB254"/>
      <c r="VKC254"/>
      <c r="VKD254"/>
      <c r="VKE254"/>
      <c r="VKF254"/>
      <c r="VKG254"/>
      <c r="VKH254"/>
      <c r="VKI254"/>
      <c r="VKJ254"/>
      <c r="VKK254"/>
      <c r="VKL254"/>
      <c r="VKM254"/>
      <c r="VKN254"/>
      <c r="VKO254"/>
      <c r="VKP254"/>
      <c r="VKQ254"/>
      <c r="VKR254"/>
      <c r="VKS254"/>
      <c r="VKT254"/>
      <c r="VKU254"/>
      <c r="VKV254"/>
      <c r="VKW254"/>
      <c r="VKX254"/>
      <c r="VKY254"/>
      <c r="VKZ254"/>
      <c r="VLA254"/>
      <c r="VLB254"/>
      <c r="VLC254"/>
      <c r="VLD254"/>
      <c r="VLE254"/>
      <c r="VLF254"/>
      <c r="VLG254"/>
      <c r="VLH254"/>
      <c r="VLI254"/>
      <c r="VLJ254"/>
      <c r="VLK254"/>
      <c r="VLL254"/>
      <c r="VLM254"/>
      <c r="VLN254"/>
      <c r="VLO254"/>
      <c r="VLP254"/>
      <c r="VLQ254"/>
      <c r="VLR254"/>
      <c r="VLS254"/>
      <c r="VLT254"/>
      <c r="VLU254"/>
      <c r="VLV254"/>
      <c r="VLW254"/>
      <c r="VLX254"/>
      <c r="VLY254"/>
      <c r="VLZ254"/>
      <c r="VMA254"/>
      <c r="VMB254"/>
      <c r="VMC254"/>
      <c r="VMD254"/>
      <c r="VME254"/>
      <c r="VMF254"/>
      <c r="VMG254"/>
      <c r="VMH254"/>
      <c r="VMI254"/>
      <c r="VMJ254"/>
      <c r="VMK254"/>
      <c r="VML254"/>
      <c r="VMM254"/>
      <c r="VMN254"/>
      <c r="VMO254"/>
      <c r="VMP254"/>
      <c r="VMQ254"/>
      <c r="VMR254"/>
      <c r="VMS254"/>
      <c r="VMT254"/>
      <c r="VMU254"/>
      <c r="VMV254"/>
      <c r="VMW254"/>
      <c r="VMX254"/>
      <c r="VMY254"/>
      <c r="VMZ254"/>
      <c r="VNA254"/>
      <c r="VNB254"/>
      <c r="VNC254"/>
      <c r="VND254"/>
      <c r="VNE254"/>
      <c r="VNF254"/>
      <c r="VNG254"/>
      <c r="VNH254"/>
      <c r="VNI254"/>
      <c r="VNJ254"/>
      <c r="VNK254"/>
      <c r="VNL254"/>
      <c r="VNM254"/>
      <c r="VNN254"/>
      <c r="VNO254"/>
      <c r="VNP254"/>
      <c r="VNQ254"/>
      <c r="VNR254"/>
      <c r="VNS254"/>
      <c r="VNT254"/>
      <c r="VNU254"/>
      <c r="VNV254"/>
      <c r="VNW254"/>
      <c r="VNX254"/>
      <c r="VNY254"/>
      <c r="VNZ254"/>
      <c r="VOA254"/>
      <c r="VOB254"/>
      <c r="VOC254"/>
      <c r="VOD254"/>
      <c r="VOE254"/>
      <c r="VOF254"/>
      <c r="VOG254"/>
      <c r="VOH254"/>
      <c r="VOI254"/>
      <c r="VOJ254"/>
      <c r="VOK254"/>
      <c r="VOL254"/>
      <c r="VOM254"/>
      <c r="VON254"/>
      <c r="VOO254"/>
      <c r="VOP254"/>
      <c r="VOQ254"/>
      <c r="VOR254"/>
      <c r="VOS254"/>
      <c r="VOT254"/>
      <c r="VOU254"/>
      <c r="VOV254"/>
      <c r="VOW254"/>
      <c r="VOX254"/>
      <c r="VOY254"/>
      <c r="VOZ254"/>
      <c r="VPA254"/>
      <c r="VPB254"/>
      <c r="VPC254"/>
      <c r="VPD254"/>
      <c r="VPE254"/>
      <c r="VPF254"/>
      <c r="VPG254"/>
      <c r="VPH254"/>
      <c r="VPI254"/>
      <c r="VPJ254"/>
      <c r="VPK254"/>
      <c r="VPL254"/>
      <c r="VPM254"/>
      <c r="VPN254"/>
      <c r="VPO254"/>
      <c r="VPP254"/>
      <c r="VPQ254"/>
      <c r="VPR254"/>
      <c r="VPS254"/>
      <c r="VPT254"/>
      <c r="VPU254"/>
      <c r="VPV254"/>
      <c r="VPW254"/>
      <c r="VPX254"/>
      <c r="VPY254"/>
      <c r="VPZ254"/>
      <c r="VQA254"/>
      <c r="VQB254"/>
      <c r="VQC254"/>
      <c r="VQD254"/>
      <c r="VQE254"/>
      <c r="VQF254"/>
      <c r="VQG254"/>
      <c r="VQH254"/>
      <c r="VQI254"/>
      <c r="VQJ254"/>
      <c r="VQK254"/>
      <c r="VQL254"/>
      <c r="VQM254"/>
      <c r="VQN254"/>
      <c r="VQO254"/>
      <c r="VQP254"/>
      <c r="VQQ254"/>
      <c r="VQR254"/>
      <c r="VQS254"/>
      <c r="VQT254"/>
      <c r="VQU254"/>
      <c r="VQV254"/>
      <c r="VQW254"/>
      <c r="VQX254"/>
      <c r="VQY254"/>
      <c r="VQZ254"/>
      <c r="VRA254"/>
      <c r="VRB254"/>
      <c r="VRC254"/>
      <c r="VRD254"/>
      <c r="VRE254"/>
      <c r="VRF254"/>
      <c r="VRG254"/>
      <c r="VRH254"/>
      <c r="VRI254"/>
      <c r="VRJ254"/>
      <c r="VRK254"/>
      <c r="VRL254"/>
      <c r="VRM254"/>
      <c r="VRN254"/>
      <c r="VRO254"/>
      <c r="VRP254"/>
      <c r="VRQ254"/>
      <c r="VRR254"/>
      <c r="VRS254"/>
      <c r="VRT254"/>
      <c r="VRU254"/>
      <c r="VRV254"/>
      <c r="VRW254"/>
      <c r="VRX254"/>
      <c r="VRY254"/>
      <c r="VRZ254"/>
      <c r="VSA254"/>
      <c r="VSB254"/>
      <c r="VSC254"/>
      <c r="VSD254"/>
      <c r="VSE254"/>
      <c r="VSF254"/>
      <c r="VSG254"/>
      <c r="VSH254"/>
      <c r="VSI254"/>
      <c r="VSJ254"/>
      <c r="VSK254"/>
      <c r="VSL254"/>
      <c r="VSM254"/>
      <c r="VSN254"/>
      <c r="VSO254"/>
      <c r="VSP254"/>
      <c r="VSQ254"/>
      <c r="VSR254"/>
      <c r="VSS254"/>
      <c r="VST254"/>
      <c r="VSU254"/>
      <c r="VSV254"/>
      <c r="VSW254"/>
      <c r="VSX254"/>
      <c r="VSY254"/>
      <c r="VSZ254"/>
      <c r="VTA254"/>
      <c r="VTB254"/>
      <c r="VTC254"/>
      <c r="VTD254"/>
      <c r="VTE254"/>
      <c r="VTF254"/>
      <c r="VTG254"/>
      <c r="VTH254"/>
      <c r="VTI254"/>
      <c r="VTJ254"/>
      <c r="VTK254"/>
      <c r="VTL254"/>
      <c r="VTM254"/>
      <c r="VTN254"/>
      <c r="VTO254"/>
      <c r="VTP254"/>
      <c r="VTQ254"/>
      <c r="VTR254"/>
      <c r="VTS254"/>
      <c r="VTT254"/>
      <c r="VTU254"/>
      <c r="VTV254"/>
      <c r="VTW254"/>
      <c r="VTX254"/>
      <c r="VTY254"/>
      <c r="VTZ254"/>
      <c r="VUA254"/>
      <c r="VUB254"/>
      <c r="VUC254"/>
      <c r="VUD254"/>
      <c r="VUE254"/>
      <c r="VUF254"/>
      <c r="VUG254"/>
      <c r="VUH254"/>
      <c r="VUI254"/>
      <c r="VUJ254"/>
      <c r="VUK254"/>
      <c r="VUL254"/>
      <c r="VUM254"/>
      <c r="VUN254"/>
      <c r="VUO254"/>
      <c r="VUP254"/>
      <c r="VUQ254"/>
      <c r="VUR254"/>
      <c r="VUS254"/>
      <c r="VUT254"/>
      <c r="VUU254"/>
      <c r="VUV254"/>
      <c r="VUW254"/>
      <c r="VUX254"/>
      <c r="VUY254"/>
      <c r="VUZ254"/>
      <c r="VVA254"/>
      <c r="VVB254"/>
      <c r="VVC254"/>
      <c r="VVD254"/>
      <c r="VVE254"/>
      <c r="VVF254"/>
      <c r="VVG254"/>
      <c r="VVH254"/>
      <c r="VVI254"/>
      <c r="VVJ254"/>
      <c r="VVK254"/>
      <c r="VVL254"/>
      <c r="VVM254"/>
      <c r="VVN254"/>
      <c r="VVO254"/>
      <c r="VVP254"/>
      <c r="VVQ254"/>
      <c r="VVR254"/>
      <c r="VVS254"/>
      <c r="VVT254"/>
      <c r="VVU254"/>
      <c r="VVV254"/>
      <c r="VVW254"/>
      <c r="VVX254"/>
      <c r="VVY254"/>
      <c r="VVZ254"/>
      <c r="VWA254"/>
    </row>
    <row r="255" spans="2:113 15079:15471" s="1" customFormat="1" ht="15" hidden="1" customHeight="1" x14ac:dyDescent="0.25">
      <c r="B255" s="115"/>
      <c r="C255" s="296" t="s">
        <v>72</v>
      </c>
      <c r="D255" s="118"/>
      <c r="E255" s="194" t="s">
        <v>16</v>
      </c>
      <c r="F255" s="169">
        <v>0</v>
      </c>
      <c r="G255" s="169">
        <v>0</v>
      </c>
      <c r="H255" s="169">
        <v>0</v>
      </c>
      <c r="I255" s="169">
        <v>0</v>
      </c>
      <c r="J255" s="169">
        <v>0</v>
      </c>
      <c r="K255" s="169">
        <v>0</v>
      </c>
      <c r="L255" s="169">
        <v>0</v>
      </c>
      <c r="M255" s="169">
        <v>0</v>
      </c>
      <c r="N255" s="169">
        <v>0</v>
      </c>
      <c r="O255" s="169">
        <v>0</v>
      </c>
      <c r="P255" s="169">
        <v>0</v>
      </c>
      <c r="Q255" s="169">
        <v>0</v>
      </c>
      <c r="R255" s="169">
        <v>0</v>
      </c>
      <c r="S255" s="169">
        <v>1180660</v>
      </c>
      <c r="T255" s="169">
        <v>1013340</v>
      </c>
      <c r="U255" s="169">
        <v>1009220</v>
      </c>
      <c r="V255" s="169">
        <v>1288830</v>
      </c>
      <c r="W255" s="169">
        <v>0</v>
      </c>
      <c r="X255" s="169">
        <v>0</v>
      </c>
      <c r="Y255" s="169">
        <v>0</v>
      </c>
      <c r="Z255" s="169">
        <v>0</v>
      </c>
      <c r="AA255" s="169">
        <v>0</v>
      </c>
      <c r="AB255" s="169">
        <v>0</v>
      </c>
      <c r="AC255" s="169">
        <v>0</v>
      </c>
      <c r="AD255" s="169">
        <v>0</v>
      </c>
      <c r="AE255" s="169">
        <v>0</v>
      </c>
      <c r="AF255" s="169">
        <v>0</v>
      </c>
      <c r="AG255" s="169"/>
      <c r="AH255" s="169"/>
      <c r="AI255" s="169"/>
      <c r="AK255" s="8">
        <f>SUM(F255:AI255)</f>
        <v>4492050</v>
      </c>
      <c r="DI255" s="4"/>
      <c r="VGY255"/>
      <c r="VGZ255"/>
      <c r="VHA255"/>
      <c r="VHB255"/>
      <c r="VHC255"/>
      <c r="VHD255"/>
      <c r="VHE255"/>
      <c r="VHF255"/>
      <c r="VHG255"/>
      <c r="VHH255"/>
      <c r="VHI255"/>
      <c r="VHJ255"/>
      <c r="VHK255"/>
      <c r="VHL255"/>
      <c r="VHM255"/>
      <c r="VHN255"/>
      <c r="VHO255"/>
      <c r="VHP255"/>
      <c r="VHQ255"/>
      <c r="VHR255"/>
      <c r="VHS255"/>
      <c r="VHT255"/>
      <c r="VHU255"/>
      <c r="VHV255"/>
      <c r="VHW255"/>
      <c r="VHX255"/>
      <c r="VHY255"/>
      <c r="VHZ255"/>
      <c r="VIA255"/>
      <c r="VIB255"/>
      <c r="VIC255"/>
      <c r="VID255"/>
      <c r="VIE255"/>
      <c r="VIF255"/>
      <c r="VIG255"/>
      <c r="VIH255"/>
      <c r="VII255"/>
      <c r="VIJ255"/>
      <c r="VIK255"/>
      <c r="VIL255"/>
      <c r="VIM255"/>
      <c r="VIN255"/>
      <c r="VIO255"/>
      <c r="VIP255"/>
      <c r="VIQ255"/>
      <c r="VIR255"/>
      <c r="VIS255"/>
      <c r="VIT255"/>
      <c r="VIU255"/>
      <c r="VIV255"/>
      <c r="VIW255"/>
      <c r="VIX255"/>
      <c r="VIY255"/>
      <c r="VIZ255"/>
      <c r="VJA255"/>
      <c r="VJB255"/>
      <c r="VJC255"/>
      <c r="VJD255"/>
      <c r="VJE255"/>
      <c r="VJF255"/>
      <c r="VJG255"/>
      <c r="VJH255"/>
      <c r="VJI255"/>
      <c r="VJJ255"/>
      <c r="VJK255"/>
      <c r="VJL255"/>
      <c r="VJM255"/>
      <c r="VJN255"/>
      <c r="VJO255"/>
      <c r="VJP255"/>
      <c r="VJQ255"/>
      <c r="VJR255"/>
      <c r="VJS255"/>
      <c r="VJT255"/>
      <c r="VJU255"/>
      <c r="VJV255"/>
      <c r="VJW255"/>
      <c r="VJX255"/>
      <c r="VJY255"/>
      <c r="VJZ255"/>
      <c r="VKA255"/>
      <c r="VKB255"/>
      <c r="VKC255"/>
      <c r="VKD255"/>
      <c r="VKE255"/>
      <c r="VKF255"/>
      <c r="VKG255"/>
      <c r="VKH255"/>
      <c r="VKI255"/>
      <c r="VKJ255"/>
      <c r="VKK255"/>
      <c r="VKL255"/>
      <c r="VKM255"/>
      <c r="VKN255"/>
      <c r="VKO255"/>
      <c r="VKP255"/>
      <c r="VKQ255"/>
      <c r="VKR255"/>
      <c r="VKS255"/>
      <c r="VKT255"/>
      <c r="VKU255"/>
      <c r="VKV255"/>
      <c r="VKW255"/>
      <c r="VKX255"/>
      <c r="VKY255"/>
      <c r="VKZ255"/>
      <c r="VLA255"/>
      <c r="VLB255"/>
      <c r="VLC255"/>
      <c r="VLD255"/>
      <c r="VLE255"/>
      <c r="VLF255"/>
      <c r="VLG255"/>
      <c r="VLH255"/>
      <c r="VLI255"/>
      <c r="VLJ255"/>
      <c r="VLK255"/>
      <c r="VLL255"/>
      <c r="VLM255"/>
      <c r="VLN255"/>
      <c r="VLO255"/>
      <c r="VLP255"/>
      <c r="VLQ255"/>
      <c r="VLR255"/>
      <c r="VLS255"/>
      <c r="VLT255"/>
      <c r="VLU255"/>
      <c r="VLV255"/>
      <c r="VLW255"/>
      <c r="VLX255"/>
      <c r="VLY255"/>
      <c r="VLZ255"/>
      <c r="VMA255"/>
      <c r="VMB255"/>
      <c r="VMC255"/>
      <c r="VMD255"/>
      <c r="VME255"/>
      <c r="VMF255"/>
      <c r="VMG255"/>
      <c r="VMH255"/>
      <c r="VMI255"/>
      <c r="VMJ255"/>
      <c r="VMK255"/>
      <c r="VML255"/>
      <c r="VMM255"/>
      <c r="VMN255"/>
      <c r="VMO255"/>
      <c r="VMP255"/>
      <c r="VMQ255"/>
      <c r="VMR255"/>
      <c r="VMS255"/>
      <c r="VMT255"/>
      <c r="VMU255"/>
      <c r="VMV255"/>
      <c r="VMW255"/>
      <c r="VMX255"/>
      <c r="VMY255"/>
      <c r="VMZ255"/>
      <c r="VNA255"/>
      <c r="VNB255"/>
      <c r="VNC255"/>
      <c r="VND255"/>
      <c r="VNE255"/>
      <c r="VNF255"/>
      <c r="VNG255"/>
      <c r="VNH255"/>
      <c r="VNI255"/>
      <c r="VNJ255"/>
      <c r="VNK255"/>
      <c r="VNL255"/>
      <c r="VNM255"/>
      <c r="VNN255"/>
      <c r="VNO255"/>
      <c r="VNP255"/>
      <c r="VNQ255"/>
      <c r="VNR255"/>
      <c r="VNS255"/>
      <c r="VNT255"/>
      <c r="VNU255"/>
      <c r="VNV255"/>
      <c r="VNW255"/>
      <c r="VNX255"/>
      <c r="VNY255"/>
      <c r="VNZ255"/>
      <c r="VOA255"/>
      <c r="VOB255"/>
      <c r="VOC255"/>
      <c r="VOD255"/>
      <c r="VOE255"/>
      <c r="VOF255"/>
      <c r="VOG255"/>
      <c r="VOH255"/>
      <c r="VOI255"/>
      <c r="VOJ255"/>
      <c r="VOK255"/>
      <c r="VOL255"/>
      <c r="VOM255"/>
      <c r="VON255"/>
      <c r="VOO255"/>
      <c r="VOP255"/>
      <c r="VOQ255"/>
      <c r="VOR255"/>
      <c r="VOS255"/>
      <c r="VOT255"/>
      <c r="VOU255"/>
      <c r="VOV255"/>
      <c r="VOW255"/>
      <c r="VOX255"/>
      <c r="VOY255"/>
      <c r="VOZ255"/>
      <c r="VPA255"/>
      <c r="VPB255"/>
      <c r="VPC255"/>
      <c r="VPD255"/>
      <c r="VPE255"/>
      <c r="VPF255"/>
      <c r="VPG255"/>
      <c r="VPH255"/>
      <c r="VPI255"/>
      <c r="VPJ255"/>
      <c r="VPK255"/>
      <c r="VPL255"/>
      <c r="VPM255"/>
      <c r="VPN255"/>
      <c r="VPO255"/>
      <c r="VPP255"/>
      <c r="VPQ255"/>
      <c r="VPR255"/>
      <c r="VPS255"/>
      <c r="VPT255"/>
      <c r="VPU255"/>
      <c r="VPV255"/>
      <c r="VPW255"/>
      <c r="VPX255"/>
      <c r="VPY255"/>
      <c r="VPZ255"/>
      <c r="VQA255"/>
      <c r="VQB255"/>
      <c r="VQC255"/>
      <c r="VQD255"/>
      <c r="VQE255"/>
      <c r="VQF255"/>
      <c r="VQG255"/>
      <c r="VQH255"/>
      <c r="VQI255"/>
      <c r="VQJ255"/>
      <c r="VQK255"/>
      <c r="VQL255"/>
      <c r="VQM255"/>
      <c r="VQN255"/>
      <c r="VQO255"/>
      <c r="VQP255"/>
      <c r="VQQ255"/>
      <c r="VQR255"/>
      <c r="VQS255"/>
      <c r="VQT255"/>
      <c r="VQU255"/>
      <c r="VQV255"/>
      <c r="VQW255"/>
      <c r="VQX255"/>
      <c r="VQY255"/>
      <c r="VQZ255"/>
      <c r="VRA255"/>
      <c r="VRB255"/>
      <c r="VRC255"/>
      <c r="VRD255"/>
      <c r="VRE255"/>
      <c r="VRF255"/>
      <c r="VRG255"/>
      <c r="VRH255"/>
      <c r="VRI255"/>
      <c r="VRJ255"/>
      <c r="VRK255"/>
      <c r="VRL255"/>
      <c r="VRM255"/>
      <c r="VRN255"/>
      <c r="VRO255"/>
      <c r="VRP255"/>
      <c r="VRQ255"/>
      <c r="VRR255"/>
      <c r="VRS255"/>
      <c r="VRT255"/>
      <c r="VRU255"/>
      <c r="VRV255"/>
      <c r="VRW255"/>
      <c r="VRX255"/>
      <c r="VRY255"/>
      <c r="VRZ255"/>
      <c r="VSA255"/>
      <c r="VSB255"/>
      <c r="VSC255"/>
      <c r="VSD255"/>
      <c r="VSE255"/>
      <c r="VSF255"/>
      <c r="VSG255"/>
      <c r="VSH255"/>
      <c r="VSI255"/>
      <c r="VSJ255"/>
      <c r="VSK255"/>
      <c r="VSL255"/>
      <c r="VSM255"/>
      <c r="VSN255"/>
      <c r="VSO255"/>
      <c r="VSP255"/>
      <c r="VSQ255"/>
      <c r="VSR255"/>
      <c r="VSS255"/>
      <c r="VST255"/>
      <c r="VSU255"/>
      <c r="VSV255"/>
      <c r="VSW255"/>
      <c r="VSX255"/>
      <c r="VSY255"/>
      <c r="VSZ255"/>
      <c r="VTA255"/>
      <c r="VTB255"/>
      <c r="VTC255"/>
      <c r="VTD255"/>
      <c r="VTE255"/>
      <c r="VTF255"/>
      <c r="VTG255"/>
      <c r="VTH255"/>
      <c r="VTI255"/>
      <c r="VTJ255"/>
      <c r="VTK255"/>
      <c r="VTL255"/>
      <c r="VTM255"/>
      <c r="VTN255"/>
      <c r="VTO255"/>
      <c r="VTP255"/>
      <c r="VTQ255"/>
      <c r="VTR255"/>
      <c r="VTS255"/>
      <c r="VTT255"/>
      <c r="VTU255"/>
      <c r="VTV255"/>
      <c r="VTW255"/>
      <c r="VTX255"/>
      <c r="VTY255"/>
      <c r="VTZ255"/>
      <c r="VUA255"/>
      <c r="VUB255"/>
      <c r="VUC255"/>
      <c r="VUD255"/>
      <c r="VUE255"/>
      <c r="VUF255"/>
      <c r="VUG255"/>
      <c r="VUH255"/>
      <c r="VUI255"/>
      <c r="VUJ255"/>
      <c r="VUK255"/>
      <c r="VUL255"/>
      <c r="VUM255"/>
      <c r="VUN255"/>
      <c r="VUO255"/>
      <c r="VUP255"/>
      <c r="VUQ255"/>
      <c r="VUR255"/>
      <c r="VUS255"/>
      <c r="VUT255"/>
      <c r="VUU255"/>
      <c r="VUV255"/>
      <c r="VUW255"/>
      <c r="VUX255"/>
      <c r="VUY255"/>
      <c r="VUZ255"/>
      <c r="VVA255"/>
      <c r="VVB255"/>
      <c r="VVC255"/>
      <c r="VVD255"/>
      <c r="VVE255"/>
      <c r="VVF255"/>
      <c r="VVG255"/>
      <c r="VVH255"/>
      <c r="VVI255"/>
      <c r="VVJ255"/>
      <c r="VVK255"/>
      <c r="VVL255"/>
      <c r="VVM255"/>
      <c r="VVN255"/>
      <c r="VVO255"/>
      <c r="VVP255"/>
      <c r="VVQ255"/>
      <c r="VVR255"/>
      <c r="VVS255"/>
      <c r="VVT255"/>
      <c r="VVU255"/>
      <c r="VVV255"/>
      <c r="VVW255"/>
      <c r="VVX255"/>
      <c r="VVY255"/>
      <c r="VVZ255"/>
      <c r="VWA255"/>
    </row>
    <row r="256" spans="2:113 15079:15471" s="1" customFormat="1" ht="15" hidden="1" customHeight="1" x14ac:dyDescent="0.25">
      <c r="B256" s="115"/>
      <c r="C256" s="296" t="s">
        <v>69</v>
      </c>
      <c r="D256" s="118"/>
      <c r="E256" s="194" t="s">
        <v>16</v>
      </c>
      <c r="F256" s="169">
        <v>0</v>
      </c>
      <c r="G256" s="169">
        <v>0</v>
      </c>
      <c r="H256" s="169">
        <v>0</v>
      </c>
      <c r="I256" s="169"/>
      <c r="J256" s="169">
        <v>0</v>
      </c>
      <c r="K256" s="169">
        <v>0</v>
      </c>
      <c r="L256" s="169">
        <v>0</v>
      </c>
      <c r="M256" s="169">
        <v>0</v>
      </c>
      <c r="N256" s="169"/>
      <c r="O256" s="169">
        <v>0</v>
      </c>
      <c r="P256" s="169">
        <v>0</v>
      </c>
      <c r="Q256" s="169">
        <v>0</v>
      </c>
      <c r="R256" s="169">
        <v>0</v>
      </c>
      <c r="S256" s="169"/>
      <c r="T256" s="169"/>
      <c r="U256" s="169"/>
      <c r="V256" s="169"/>
      <c r="W256" s="169">
        <v>0</v>
      </c>
      <c r="X256" s="169">
        <v>0</v>
      </c>
      <c r="Y256" s="169">
        <v>0</v>
      </c>
      <c r="Z256" s="169">
        <v>0</v>
      </c>
      <c r="AA256" s="169">
        <v>0</v>
      </c>
      <c r="AB256" s="169">
        <v>0</v>
      </c>
      <c r="AC256" s="169">
        <v>0</v>
      </c>
      <c r="AD256" s="169">
        <v>0</v>
      </c>
      <c r="AE256" s="169">
        <v>0</v>
      </c>
      <c r="AF256" s="169">
        <v>0</v>
      </c>
      <c r="AG256" s="169"/>
      <c r="AH256" s="169"/>
      <c r="AI256" s="169"/>
      <c r="AK256" s="8">
        <f>SUM(F256:AI256)</f>
        <v>0</v>
      </c>
      <c r="DI256" s="4"/>
      <c r="VGY256"/>
      <c r="VGZ256"/>
      <c r="VHA256"/>
      <c r="VHB256"/>
      <c r="VHC256"/>
      <c r="VHD256"/>
      <c r="VHE256"/>
      <c r="VHF256"/>
      <c r="VHG256"/>
      <c r="VHH256"/>
      <c r="VHI256"/>
      <c r="VHJ256"/>
      <c r="VHK256"/>
      <c r="VHL256"/>
      <c r="VHM256"/>
      <c r="VHN256"/>
      <c r="VHO256"/>
      <c r="VHP256"/>
      <c r="VHQ256"/>
      <c r="VHR256"/>
      <c r="VHS256"/>
      <c r="VHT256"/>
      <c r="VHU256"/>
      <c r="VHV256"/>
      <c r="VHW256"/>
      <c r="VHX256"/>
      <c r="VHY256"/>
      <c r="VHZ256"/>
      <c r="VIA256"/>
      <c r="VIB256"/>
      <c r="VIC256"/>
      <c r="VID256"/>
      <c r="VIE256"/>
      <c r="VIF256"/>
      <c r="VIG256"/>
      <c r="VIH256"/>
      <c r="VII256"/>
      <c r="VIJ256"/>
      <c r="VIK256"/>
      <c r="VIL256"/>
      <c r="VIM256"/>
      <c r="VIN256"/>
      <c r="VIO256"/>
      <c r="VIP256"/>
      <c r="VIQ256"/>
      <c r="VIR256"/>
      <c r="VIS256"/>
      <c r="VIT256"/>
      <c r="VIU256"/>
      <c r="VIV256"/>
      <c r="VIW256"/>
      <c r="VIX256"/>
      <c r="VIY256"/>
      <c r="VIZ256"/>
      <c r="VJA256"/>
      <c r="VJB256"/>
      <c r="VJC256"/>
      <c r="VJD256"/>
      <c r="VJE256"/>
      <c r="VJF256"/>
      <c r="VJG256"/>
      <c r="VJH256"/>
      <c r="VJI256"/>
      <c r="VJJ256"/>
      <c r="VJK256"/>
      <c r="VJL256"/>
      <c r="VJM256"/>
      <c r="VJN256"/>
      <c r="VJO256"/>
      <c r="VJP256"/>
      <c r="VJQ256"/>
      <c r="VJR256"/>
      <c r="VJS256"/>
      <c r="VJT256"/>
      <c r="VJU256"/>
      <c r="VJV256"/>
      <c r="VJW256"/>
      <c r="VJX256"/>
      <c r="VJY256"/>
      <c r="VJZ256"/>
      <c r="VKA256"/>
      <c r="VKB256"/>
      <c r="VKC256"/>
      <c r="VKD256"/>
      <c r="VKE256"/>
      <c r="VKF256"/>
      <c r="VKG256"/>
      <c r="VKH256"/>
      <c r="VKI256"/>
      <c r="VKJ256"/>
      <c r="VKK256"/>
      <c r="VKL256"/>
      <c r="VKM256"/>
      <c r="VKN256"/>
      <c r="VKO256"/>
      <c r="VKP256"/>
      <c r="VKQ256"/>
      <c r="VKR256"/>
      <c r="VKS256"/>
      <c r="VKT256"/>
      <c r="VKU256"/>
      <c r="VKV256"/>
      <c r="VKW256"/>
      <c r="VKX256"/>
      <c r="VKY256"/>
      <c r="VKZ256"/>
      <c r="VLA256"/>
      <c r="VLB256"/>
      <c r="VLC256"/>
      <c r="VLD256"/>
      <c r="VLE256"/>
      <c r="VLF256"/>
      <c r="VLG256"/>
      <c r="VLH256"/>
      <c r="VLI256"/>
      <c r="VLJ256"/>
      <c r="VLK256"/>
      <c r="VLL256"/>
      <c r="VLM256"/>
      <c r="VLN256"/>
      <c r="VLO256"/>
      <c r="VLP256"/>
      <c r="VLQ256"/>
      <c r="VLR256"/>
      <c r="VLS256"/>
      <c r="VLT256"/>
      <c r="VLU256"/>
      <c r="VLV256"/>
      <c r="VLW256"/>
      <c r="VLX256"/>
      <c r="VLY256"/>
      <c r="VLZ256"/>
      <c r="VMA256"/>
      <c r="VMB256"/>
      <c r="VMC256"/>
      <c r="VMD256"/>
      <c r="VME256"/>
      <c r="VMF256"/>
      <c r="VMG256"/>
      <c r="VMH256"/>
      <c r="VMI256"/>
      <c r="VMJ256"/>
      <c r="VMK256"/>
      <c r="VML256"/>
      <c r="VMM256"/>
      <c r="VMN256"/>
      <c r="VMO256"/>
      <c r="VMP256"/>
      <c r="VMQ256"/>
      <c r="VMR256"/>
      <c r="VMS256"/>
      <c r="VMT256"/>
      <c r="VMU256"/>
      <c r="VMV256"/>
      <c r="VMW256"/>
      <c r="VMX256"/>
      <c r="VMY256"/>
      <c r="VMZ256"/>
      <c r="VNA256"/>
      <c r="VNB256"/>
      <c r="VNC256"/>
      <c r="VND256"/>
      <c r="VNE256"/>
      <c r="VNF256"/>
      <c r="VNG256"/>
      <c r="VNH256"/>
      <c r="VNI256"/>
      <c r="VNJ256"/>
      <c r="VNK256"/>
      <c r="VNL256"/>
      <c r="VNM256"/>
      <c r="VNN256"/>
      <c r="VNO256"/>
      <c r="VNP256"/>
      <c r="VNQ256"/>
      <c r="VNR256"/>
      <c r="VNS256"/>
      <c r="VNT256"/>
      <c r="VNU256"/>
      <c r="VNV256"/>
      <c r="VNW256"/>
      <c r="VNX256"/>
      <c r="VNY256"/>
      <c r="VNZ256"/>
      <c r="VOA256"/>
      <c r="VOB256"/>
      <c r="VOC256"/>
      <c r="VOD256"/>
      <c r="VOE256"/>
      <c r="VOF256"/>
      <c r="VOG256"/>
      <c r="VOH256"/>
      <c r="VOI256"/>
      <c r="VOJ256"/>
      <c r="VOK256"/>
      <c r="VOL256"/>
      <c r="VOM256"/>
      <c r="VON256"/>
      <c r="VOO256"/>
      <c r="VOP256"/>
      <c r="VOQ256"/>
      <c r="VOR256"/>
      <c r="VOS256"/>
      <c r="VOT256"/>
      <c r="VOU256"/>
      <c r="VOV256"/>
      <c r="VOW256"/>
      <c r="VOX256"/>
      <c r="VOY256"/>
      <c r="VOZ256"/>
      <c r="VPA256"/>
      <c r="VPB256"/>
      <c r="VPC256"/>
      <c r="VPD256"/>
      <c r="VPE256"/>
      <c r="VPF256"/>
      <c r="VPG256"/>
      <c r="VPH256"/>
      <c r="VPI256"/>
      <c r="VPJ256"/>
      <c r="VPK256"/>
      <c r="VPL256"/>
      <c r="VPM256"/>
      <c r="VPN256"/>
      <c r="VPO256"/>
      <c r="VPP256"/>
      <c r="VPQ256"/>
      <c r="VPR256"/>
      <c r="VPS256"/>
      <c r="VPT256"/>
      <c r="VPU256"/>
      <c r="VPV256"/>
      <c r="VPW256"/>
      <c r="VPX256"/>
      <c r="VPY256"/>
      <c r="VPZ256"/>
      <c r="VQA256"/>
      <c r="VQB256"/>
      <c r="VQC256"/>
      <c r="VQD256"/>
      <c r="VQE256"/>
      <c r="VQF256"/>
      <c r="VQG256"/>
      <c r="VQH256"/>
      <c r="VQI256"/>
      <c r="VQJ256"/>
      <c r="VQK256"/>
      <c r="VQL256"/>
      <c r="VQM256"/>
      <c r="VQN256"/>
      <c r="VQO256"/>
      <c r="VQP256"/>
      <c r="VQQ256"/>
      <c r="VQR256"/>
      <c r="VQS256"/>
      <c r="VQT256"/>
      <c r="VQU256"/>
      <c r="VQV256"/>
      <c r="VQW256"/>
      <c r="VQX256"/>
      <c r="VQY256"/>
      <c r="VQZ256"/>
      <c r="VRA256"/>
      <c r="VRB256"/>
      <c r="VRC256"/>
      <c r="VRD256"/>
      <c r="VRE256"/>
      <c r="VRF256"/>
      <c r="VRG256"/>
      <c r="VRH256"/>
      <c r="VRI256"/>
      <c r="VRJ256"/>
      <c r="VRK256"/>
      <c r="VRL256"/>
      <c r="VRM256"/>
      <c r="VRN256"/>
      <c r="VRO256"/>
      <c r="VRP256"/>
      <c r="VRQ256"/>
      <c r="VRR256"/>
      <c r="VRS256"/>
      <c r="VRT256"/>
      <c r="VRU256"/>
      <c r="VRV256"/>
      <c r="VRW256"/>
      <c r="VRX256"/>
      <c r="VRY256"/>
      <c r="VRZ256"/>
      <c r="VSA256"/>
      <c r="VSB256"/>
      <c r="VSC256"/>
      <c r="VSD256"/>
      <c r="VSE256"/>
      <c r="VSF256"/>
      <c r="VSG256"/>
      <c r="VSH256"/>
      <c r="VSI256"/>
      <c r="VSJ256"/>
      <c r="VSK256"/>
      <c r="VSL256"/>
      <c r="VSM256"/>
      <c r="VSN256"/>
      <c r="VSO256"/>
      <c r="VSP256"/>
      <c r="VSQ256"/>
      <c r="VSR256"/>
      <c r="VSS256"/>
      <c r="VST256"/>
      <c r="VSU256"/>
      <c r="VSV256"/>
      <c r="VSW256"/>
      <c r="VSX256"/>
      <c r="VSY256"/>
      <c r="VSZ256"/>
      <c r="VTA256"/>
      <c r="VTB256"/>
      <c r="VTC256"/>
      <c r="VTD256"/>
      <c r="VTE256"/>
      <c r="VTF256"/>
      <c r="VTG256"/>
      <c r="VTH256"/>
      <c r="VTI256"/>
      <c r="VTJ256"/>
      <c r="VTK256"/>
      <c r="VTL256"/>
      <c r="VTM256"/>
      <c r="VTN256"/>
      <c r="VTO256"/>
      <c r="VTP256"/>
      <c r="VTQ256"/>
      <c r="VTR256"/>
      <c r="VTS256"/>
      <c r="VTT256"/>
      <c r="VTU256"/>
      <c r="VTV256"/>
      <c r="VTW256"/>
      <c r="VTX256"/>
      <c r="VTY256"/>
      <c r="VTZ256"/>
      <c r="VUA256"/>
      <c r="VUB256"/>
      <c r="VUC256"/>
      <c r="VUD256"/>
      <c r="VUE256"/>
      <c r="VUF256"/>
      <c r="VUG256"/>
      <c r="VUH256"/>
      <c r="VUI256"/>
      <c r="VUJ256"/>
      <c r="VUK256"/>
      <c r="VUL256"/>
      <c r="VUM256"/>
      <c r="VUN256"/>
      <c r="VUO256"/>
      <c r="VUP256"/>
      <c r="VUQ256"/>
      <c r="VUR256"/>
      <c r="VUS256"/>
      <c r="VUT256"/>
      <c r="VUU256"/>
      <c r="VUV256"/>
      <c r="VUW256"/>
      <c r="VUX256"/>
      <c r="VUY256"/>
      <c r="VUZ256"/>
      <c r="VVA256"/>
      <c r="VVB256"/>
      <c r="VVC256"/>
      <c r="VVD256"/>
      <c r="VVE256"/>
      <c r="VVF256"/>
      <c r="VVG256"/>
      <c r="VVH256"/>
      <c r="VVI256"/>
      <c r="VVJ256"/>
      <c r="VVK256"/>
      <c r="VVL256"/>
      <c r="VVM256"/>
      <c r="VVN256"/>
      <c r="VVO256"/>
      <c r="VVP256"/>
      <c r="VVQ256"/>
      <c r="VVR256"/>
      <c r="VVS256"/>
      <c r="VVT256"/>
      <c r="VVU256"/>
      <c r="VVV256"/>
      <c r="VVW256"/>
      <c r="VVX256"/>
      <c r="VVY256"/>
      <c r="VVZ256"/>
      <c r="VWA256"/>
    </row>
    <row r="257" spans="2:113 15079:15471" s="1" customFormat="1" ht="15" hidden="1" customHeight="1" x14ac:dyDescent="0.25">
      <c r="B257" s="115"/>
      <c r="C257" s="296" t="s">
        <v>70</v>
      </c>
      <c r="D257" s="118"/>
      <c r="E257" s="194" t="s">
        <v>16</v>
      </c>
      <c r="F257" s="169">
        <v>0</v>
      </c>
      <c r="G257" s="169">
        <v>0</v>
      </c>
      <c r="H257" s="169">
        <v>0</v>
      </c>
      <c r="I257" s="169">
        <v>105980</v>
      </c>
      <c r="J257" s="169">
        <v>0</v>
      </c>
      <c r="K257" s="169">
        <v>0</v>
      </c>
      <c r="L257" s="169">
        <v>0</v>
      </c>
      <c r="M257" s="169">
        <v>0</v>
      </c>
      <c r="N257" s="169">
        <v>0</v>
      </c>
      <c r="O257" s="169">
        <v>0</v>
      </c>
      <c r="P257" s="169">
        <v>0</v>
      </c>
      <c r="Q257" s="169">
        <v>0</v>
      </c>
      <c r="R257" s="169">
        <v>0</v>
      </c>
      <c r="S257" s="169">
        <v>0</v>
      </c>
      <c r="T257" s="169">
        <v>0</v>
      </c>
      <c r="U257" s="169">
        <v>0</v>
      </c>
      <c r="V257" s="169">
        <v>0</v>
      </c>
      <c r="W257" s="169">
        <v>0</v>
      </c>
      <c r="X257" s="169">
        <v>0</v>
      </c>
      <c r="Y257" s="169">
        <v>0</v>
      </c>
      <c r="Z257" s="169">
        <v>0</v>
      </c>
      <c r="AA257" s="169">
        <v>0</v>
      </c>
      <c r="AB257" s="169">
        <v>0</v>
      </c>
      <c r="AC257" s="169">
        <v>0</v>
      </c>
      <c r="AD257" s="169">
        <v>0</v>
      </c>
      <c r="AE257" s="169">
        <v>0</v>
      </c>
      <c r="AF257" s="169">
        <v>0</v>
      </c>
      <c r="AG257" s="169"/>
      <c r="AH257" s="169"/>
      <c r="AI257" s="169"/>
      <c r="AK257" s="8">
        <f>SUM(F257:AI257)</f>
        <v>105980</v>
      </c>
      <c r="DI257" s="4"/>
      <c r="VGY257"/>
      <c r="VGZ257"/>
      <c r="VHA257"/>
      <c r="VHB257"/>
      <c r="VHC257"/>
      <c r="VHD257"/>
      <c r="VHE257"/>
      <c r="VHF257"/>
      <c r="VHG257"/>
      <c r="VHH257"/>
      <c r="VHI257"/>
      <c r="VHJ257"/>
      <c r="VHK257"/>
      <c r="VHL257"/>
      <c r="VHM257"/>
      <c r="VHN257"/>
      <c r="VHO257"/>
      <c r="VHP257"/>
      <c r="VHQ257"/>
      <c r="VHR257"/>
      <c r="VHS257"/>
      <c r="VHT257"/>
      <c r="VHU257"/>
      <c r="VHV257"/>
      <c r="VHW257"/>
      <c r="VHX257"/>
      <c r="VHY257"/>
      <c r="VHZ257"/>
      <c r="VIA257"/>
      <c r="VIB257"/>
      <c r="VIC257"/>
      <c r="VID257"/>
      <c r="VIE257"/>
      <c r="VIF257"/>
      <c r="VIG257"/>
      <c r="VIH257"/>
      <c r="VII257"/>
      <c r="VIJ257"/>
      <c r="VIK257"/>
      <c r="VIL257"/>
      <c r="VIM257"/>
      <c r="VIN257"/>
      <c r="VIO257"/>
      <c r="VIP257"/>
      <c r="VIQ257"/>
      <c r="VIR257"/>
      <c r="VIS257"/>
      <c r="VIT257"/>
      <c r="VIU257"/>
      <c r="VIV257"/>
      <c r="VIW257"/>
      <c r="VIX257"/>
      <c r="VIY257"/>
      <c r="VIZ257"/>
      <c r="VJA257"/>
      <c r="VJB257"/>
      <c r="VJC257"/>
      <c r="VJD257"/>
      <c r="VJE257"/>
      <c r="VJF257"/>
      <c r="VJG257"/>
      <c r="VJH257"/>
      <c r="VJI257"/>
      <c r="VJJ257"/>
      <c r="VJK257"/>
      <c r="VJL257"/>
      <c r="VJM257"/>
      <c r="VJN257"/>
      <c r="VJO257"/>
      <c r="VJP257"/>
      <c r="VJQ257"/>
      <c r="VJR257"/>
      <c r="VJS257"/>
      <c r="VJT257"/>
      <c r="VJU257"/>
      <c r="VJV257"/>
      <c r="VJW257"/>
      <c r="VJX257"/>
      <c r="VJY257"/>
      <c r="VJZ257"/>
      <c r="VKA257"/>
      <c r="VKB257"/>
      <c r="VKC257"/>
      <c r="VKD257"/>
      <c r="VKE257"/>
      <c r="VKF257"/>
      <c r="VKG257"/>
      <c r="VKH257"/>
      <c r="VKI257"/>
      <c r="VKJ257"/>
      <c r="VKK257"/>
      <c r="VKL257"/>
      <c r="VKM257"/>
      <c r="VKN257"/>
      <c r="VKO257"/>
      <c r="VKP257"/>
      <c r="VKQ257"/>
      <c r="VKR257"/>
      <c r="VKS257"/>
      <c r="VKT257"/>
      <c r="VKU257"/>
      <c r="VKV257"/>
      <c r="VKW257"/>
      <c r="VKX257"/>
      <c r="VKY257"/>
      <c r="VKZ257"/>
      <c r="VLA257"/>
      <c r="VLB257"/>
      <c r="VLC257"/>
      <c r="VLD257"/>
      <c r="VLE257"/>
      <c r="VLF257"/>
      <c r="VLG257"/>
      <c r="VLH257"/>
      <c r="VLI257"/>
      <c r="VLJ257"/>
      <c r="VLK257"/>
      <c r="VLL257"/>
      <c r="VLM257"/>
      <c r="VLN257"/>
      <c r="VLO257"/>
      <c r="VLP257"/>
      <c r="VLQ257"/>
      <c r="VLR257"/>
      <c r="VLS257"/>
      <c r="VLT257"/>
      <c r="VLU257"/>
      <c r="VLV257"/>
      <c r="VLW257"/>
      <c r="VLX257"/>
      <c r="VLY257"/>
      <c r="VLZ257"/>
      <c r="VMA257"/>
      <c r="VMB257"/>
      <c r="VMC257"/>
      <c r="VMD257"/>
      <c r="VME257"/>
      <c r="VMF257"/>
      <c r="VMG257"/>
      <c r="VMH257"/>
      <c r="VMI257"/>
      <c r="VMJ257"/>
      <c r="VMK257"/>
      <c r="VML257"/>
      <c r="VMM257"/>
      <c r="VMN257"/>
      <c r="VMO257"/>
      <c r="VMP257"/>
      <c r="VMQ257"/>
      <c r="VMR257"/>
      <c r="VMS257"/>
      <c r="VMT257"/>
      <c r="VMU257"/>
      <c r="VMV257"/>
      <c r="VMW257"/>
      <c r="VMX257"/>
      <c r="VMY257"/>
      <c r="VMZ257"/>
      <c r="VNA257"/>
      <c r="VNB257"/>
      <c r="VNC257"/>
      <c r="VND257"/>
      <c r="VNE257"/>
      <c r="VNF257"/>
      <c r="VNG257"/>
      <c r="VNH257"/>
      <c r="VNI257"/>
      <c r="VNJ257"/>
      <c r="VNK257"/>
      <c r="VNL257"/>
      <c r="VNM257"/>
      <c r="VNN257"/>
      <c r="VNO257"/>
      <c r="VNP257"/>
      <c r="VNQ257"/>
      <c r="VNR257"/>
      <c r="VNS257"/>
      <c r="VNT257"/>
      <c r="VNU257"/>
      <c r="VNV257"/>
      <c r="VNW257"/>
      <c r="VNX257"/>
      <c r="VNY257"/>
      <c r="VNZ257"/>
      <c r="VOA257"/>
      <c r="VOB257"/>
      <c r="VOC257"/>
      <c r="VOD257"/>
      <c r="VOE257"/>
      <c r="VOF257"/>
      <c r="VOG257"/>
      <c r="VOH257"/>
      <c r="VOI257"/>
      <c r="VOJ257"/>
      <c r="VOK257"/>
      <c r="VOL257"/>
      <c r="VOM257"/>
      <c r="VON257"/>
      <c r="VOO257"/>
      <c r="VOP257"/>
      <c r="VOQ257"/>
      <c r="VOR257"/>
      <c r="VOS257"/>
      <c r="VOT257"/>
      <c r="VOU257"/>
      <c r="VOV257"/>
      <c r="VOW257"/>
      <c r="VOX257"/>
      <c r="VOY257"/>
      <c r="VOZ257"/>
      <c r="VPA257"/>
      <c r="VPB257"/>
      <c r="VPC257"/>
      <c r="VPD257"/>
      <c r="VPE257"/>
      <c r="VPF257"/>
      <c r="VPG257"/>
      <c r="VPH257"/>
      <c r="VPI257"/>
      <c r="VPJ257"/>
      <c r="VPK257"/>
      <c r="VPL257"/>
      <c r="VPM257"/>
      <c r="VPN257"/>
      <c r="VPO257"/>
      <c r="VPP257"/>
      <c r="VPQ257"/>
      <c r="VPR257"/>
      <c r="VPS257"/>
      <c r="VPT257"/>
      <c r="VPU257"/>
      <c r="VPV257"/>
      <c r="VPW257"/>
      <c r="VPX257"/>
      <c r="VPY257"/>
      <c r="VPZ257"/>
      <c r="VQA257"/>
      <c r="VQB257"/>
      <c r="VQC257"/>
      <c r="VQD257"/>
      <c r="VQE257"/>
      <c r="VQF257"/>
      <c r="VQG257"/>
      <c r="VQH257"/>
      <c r="VQI257"/>
      <c r="VQJ257"/>
      <c r="VQK257"/>
      <c r="VQL257"/>
      <c r="VQM257"/>
      <c r="VQN257"/>
      <c r="VQO257"/>
      <c r="VQP257"/>
      <c r="VQQ257"/>
      <c r="VQR257"/>
      <c r="VQS257"/>
      <c r="VQT257"/>
      <c r="VQU257"/>
      <c r="VQV257"/>
      <c r="VQW257"/>
      <c r="VQX257"/>
      <c r="VQY257"/>
      <c r="VQZ257"/>
      <c r="VRA257"/>
      <c r="VRB257"/>
      <c r="VRC257"/>
      <c r="VRD257"/>
      <c r="VRE257"/>
      <c r="VRF257"/>
      <c r="VRG257"/>
      <c r="VRH257"/>
      <c r="VRI257"/>
      <c r="VRJ257"/>
      <c r="VRK257"/>
      <c r="VRL257"/>
      <c r="VRM257"/>
      <c r="VRN257"/>
      <c r="VRO257"/>
      <c r="VRP257"/>
      <c r="VRQ257"/>
      <c r="VRR257"/>
      <c r="VRS257"/>
      <c r="VRT257"/>
      <c r="VRU257"/>
      <c r="VRV257"/>
      <c r="VRW257"/>
      <c r="VRX257"/>
      <c r="VRY257"/>
      <c r="VRZ257"/>
      <c r="VSA257"/>
      <c r="VSB257"/>
      <c r="VSC257"/>
      <c r="VSD257"/>
      <c r="VSE257"/>
      <c r="VSF257"/>
      <c r="VSG257"/>
      <c r="VSH257"/>
      <c r="VSI257"/>
      <c r="VSJ257"/>
      <c r="VSK257"/>
      <c r="VSL257"/>
      <c r="VSM257"/>
      <c r="VSN257"/>
      <c r="VSO257"/>
      <c r="VSP257"/>
      <c r="VSQ257"/>
      <c r="VSR257"/>
      <c r="VSS257"/>
      <c r="VST257"/>
      <c r="VSU257"/>
      <c r="VSV257"/>
      <c r="VSW257"/>
      <c r="VSX257"/>
      <c r="VSY257"/>
      <c r="VSZ257"/>
      <c r="VTA257"/>
      <c r="VTB257"/>
      <c r="VTC257"/>
      <c r="VTD257"/>
      <c r="VTE257"/>
      <c r="VTF257"/>
      <c r="VTG257"/>
      <c r="VTH257"/>
      <c r="VTI257"/>
      <c r="VTJ257"/>
      <c r="VTK257"/>
      <c r="VTL257"/>
      <c r="VTM257"/>
      <c r="VTN257"/>
      <c r="VTO257"/>
      <c r="VTP257"/>
      <c r="VTQ257"/>
      <c r="VTR257"/>
      <c r="VTS257"/>
      <c r="VTT257"/>
      <c r="VTU257"/>
      <c r="VTV257"/>
      <c r="VTW257"/>
      <c r="VTX257"/>
      <c r="VTY257"/>
      <c r="VTZ257"/>
      <c r="VUA257"/>
      <c r="VUB257"/>
      <c r="VUC257"/>
      <c r="VUD257"/>
      <c r="VUE257"/>
      <c r="VUF257"/>
      <c r="VUG257"/>
      <c r="VUH257"/>
      <c r="VUI257"/>
      <c r="VUJ257"/>
      <c r="VUK257"/>
      <c r="VUL257"/>
      <c r="VUM257"/>
      <c r="VUN257"/>
      <c r="VUO257"/>
      <c r="VUP257"/>
      <c r="VUQ257"/>
      <c r="VUR257"/>
      <c r="VUS257"/>
      <c r="VUT257"/>
      <c r="VUU257"/>
      <c r="VUV257"/>
      <c r="VUW257"/>
      <c r="VUX257"/>
      <c r="VUY257"/>
      <c r="VUZ257"/>
      <c r="VVA257"/>
      <c r="VVB257"/>
      <c r="VVC257"/>
      <c r="VVD257"/>
      <c r="VVE257"/>
      <c r="VVF257"/>
      <c r="VVG257"/>
      <c r="VVH257"/>
      <c r="VVI257"/>
      <c r="VVJ257"/>
      <c r="VVK257"/>
      <c r="VVL257"/>
      <c r="VVM257"/>
      <c r="VVN257"/>
      <c r="VVO257"/>
      <c r="VVP257"/>
      <c r="VVQ257"/>
      <c r="VVR257"/>
      <c r="VVS257"/>
      <c r="VVT257"/>
      <c r="VVU257"/>
      <c r="VVV257"/>
      <c r="VVW257"/>
      <c r="VVX257"/>
      <c r="VVY257"/>
      <c r="VVZ257"/>
      <c r="VWA257"/>
    </row>
    <row r="258" spans="2:113 15079:15471" s="45" customFormat="1" ht="15.75" hidden="1" customHeight="1" x14ac:dyDescent="0.25">
      <c r="B258" s="180"/>
      <c r="C258" s="297" t="s">
        <v>1</v>
      </c>
      <c r="D258" s="298"/>
      <c r="E258" s="299" t="s">
        <v>16</v>
      </c>
      <c r="F258" s="300">
        <f t="shared" ref="F258:AF258" si="97">SUM(F253:F257)</f>
        <v>0</v>
      </c>
      <c r="G258" s="300">
        <f t="shared" si="97"/>
        <v>0</v>
      </c>
      <c r="H258" s="300">
        <f t="shared" si="97"/>
        <v>0</v>
      </c>
      <c r="I258" s="300">
        <f t="shared" si="97"/>
        <v>105980</v>
      </c>
      <c r="J258" s="300">
        <f t="shared" si="97"/>
        <v>998100</v>
      </c>
      <c r="K258" s="300">
        <f t="shared" si="97"/>
        <v>1187270</v>
      </c>
      <c r="L258" s="300">
        <f t="shared" si="97"/>
        <v>1345050</v>
      </c>
      <c r="M258" s="300">
        <f t="shared" si="97"/>
        <v>1617420</v>
      </c>
      <c r="N258" s="300">
        <f t="shared" si="97"/>
        <v>1793630</v>
      </c>
      <c r="O258" s="300">
        <f t="shared" si="97"/>
        <v>1332400</v>
      </c>
      <c r="P258" s="300">
        <f t="shared" si="97"/>
        <v>1804530</v>
      </c>
      <c r="Q258" s="300">
        <f t="shared" si="97"/>
        <v>1816620</v>
      </c>
      <c r="R258" s="300">
        <f t="shared" si="97"/>
        <v>1766630</v>
      </c>
      <c r="S258" s="300">
        <f t="shared" si="97"/>
        <v>1233610</v>
      </c>
      <c r="T258" s="300">
        <f t="shared" si="97"/>
        <v>1013340</v>
      </c>
      <c r="U258" s="300">
        <f t="shared" si="97"/>
        <v>1009220</v>
      </c>
      <c r="V258" s="300">
        <f t="shared" si="97"/>
        <v>1288830</v>
      </c>
      <c r="W258" s="300">
        <f t="shared" si="97"/>
        <v>0</v>
      </c>
      <c r="X258" s="300">
        <f t="shared" si="97"/>
        <v>0</v>
      </c>
      <c r="Y258" s="300">
        <f t="shared" si="97"/>
        <v>0</v>
      </c>
      <c r="Z258" s="300">
        <f t="shared" si="97"/>
        <v>0</v>
      </c>
      <c r="AA258" s="300">
        <f t="shared" si="97"/>
        <v>0</v>
      </c>
      <c r="AB258" s="300">
        <f t="shared" si="97"/>
        <v>0</v>
      </c>
      <c r="AC258" s="300">
        <f t="shared" si="97"/>
        <v>0</v>
      </c>
      <c r="AD258" s="300">
        <f t="shared" si="97"/>
        <v>299440</v>
      </c>
      <c r="AE258" s="300">
        <f t="shared" si="97"/>
        <v>108510</v>
      </c>
      <c r="AF258" s="300">
        <f t="shared" si="97"/>
        <v>0</v>
      </c>
      <c r="AG258" s="300"/>
      <c r="AH258" s="300"/>
      <c r="AI258" s="300"/>
      <c r="AK258" s="5">
        <f>SUM(AK253:AK257)</f>
        <v>18720580</v>
      </c>
      <c r="DI258" s="284"/>
    </row>
    <row r="288" spans="2:113 15079:15471" s="1" customFormat="1" x14ac:dyDescent="0.25">
      <c r="B288" s="20"/>
      <c r="E288" s="45"/>
      <c r="Y288" s="7"/>
      <c r="DI288" s="4"/>
      <c r="VGY288"/>
      <c r="VGZ288"/>
      <c r="VHA288"/>
      <c r="VHB288"/>
      <c r="VHC288"/>
      <c r="VHD288"/>
      <c r="VHE288"/>
      <c r="VHF288"/>
      <c r="VHG288"/>
      <c r="VHH288"/>
      <c r="VHI288"/>
      <c r="VHJ288"/>
      <c r="VHK288"/>
      <c r="VHL288"/>
      <c r="VHM288"/>
      <c r="VHN288"/>
      <c r="VHO288"/>
      <c r="VHP288"/>
      <c r="VHQ288"/>
      <c r="VHR288"/>
      <c r="VHS288"/>
      <c r="VHT288"/>
      <c r="VHU288"/>
      <c r="VHV288"/>
      <c r="VHW288"/>
      <c r="VHX288"/>
      <c r="VHY288"/>
      <c r="VHZ288"/>
      <c r="VIA288"/>
      <c r="VIB288"/>
      <c r="VIC288"/>
      <c r="VID288"/>
      <c r="VIE288"/>
      <c r="VIF288"/>
      <c r="VIG288"/>
      <c r="VIH288"/>
      <c r="VII288"/>
      <c r="VIJ288"/>
      <c r="VIK288"/>
      <c r="VIL288"/>
      <c r="VIM288"/>
      <c r="VIN288"/>
      <c r="VIO288"/>
      <c r="VIP288"/>
      <c r="VIQ288"/>
      <c r="VIR288"/>
      <c r="VIS288"/>
      <c r="VIT288"/>
      <c r="VIU288"/>
      <c r="VIV288"/>
      <c r="VIW288"/>
      <c r="VIX288"/>
      <c r="VIY288"/>
      <c r="VIZ288"/>
      <c r="VJA288"/>
      <c r="VJB288"/>
      <c r="VJC288"/>
      <c r="VJD288"/>
      <c r="VJE288"/>
      <c r="VJF288"/>
      <c r="VJG288"/>
      <c r="VJH288"/>
      <c r="VJI288"/>
      <c r="VJJ288"/>
      <c r="VJK288"/>
      <c r="VJL288"/>
      <c r="VJM288"/>
      <c r="VJN288"/>
      <c r="VJO288"/>
      <c r="VJP288"/>
      <c r="VJQ288"/>
      <c r="VJR288"/>
      <c r="VJS288"/>
      <c r="VJT288"/>
      <c r="VJU288"/>
      <c r="VJV288"/>
      <c r="VJW288"/>
      <c r="VJX288"/>
      <c r="VJY288"/>
      <c r="VJZ288"/>
      <c r="VKA288"/>
      <c r="VKB288"/>
      <c r="VKC288"/>
      <c r="VKD288"/>
      <c r="VKE288"/>
      <c r="VKF288"/>
      <c r="VKG288"/>
      <c r="VKH288"/>
      <c r="VKI288"/>
      <c r="VKJ288"/>
      <c r="VKK288"/>
      <c r="VKL288"/>
      <c r="VKM288"/>
      <c r="VKN288"/>
      <c r="VKO288"/>
      <c r="VKP288"/>
      <c r="VKQ288"/>
      <c r="VKR288"/>
      <c r="VKS288"/>
      <c r="VKT288"/>
      <c r="VKU288"/>
      <c r="VKV288"/>
      <c r="VKW288"/>
      <c r="VKX288"/>
      <c r="VKY288"/>
      <c r="VKZ288"/>
      <c r="VLA288"/>
      <c r="VLB288"/>
      <c r="VLC288"/>
      <c r="VLD288"/>
      <c r="VLE288"/>
      <c r="VLF288"/>
      <c r="VLG288"/>
      <c r="VLH288"/>
      <c r="VLI288"/>
      <c r="VLJ288"/>
      <c r="VLK288"/>
      <c r="VLL288"/>
      <c r="VLM288"/>
      <c r="VLN288"/>
      <c r="VLO288"/>
      <c r="VLP288"/>
      <c r="VLQ288"/>
      <c r="VLR288"/>
      <c r="VLS288"/>
      <c r="VLT288"/>
      <c r="VLU288"/>
      <c r="VLV288"/>
      <c r="VLW288"/>
      <c r="VLX288"/>
      <c r="VLY288"/>
      <c r="VLZ288"/>
      <c r="VMA288"/>
      <c r="VMB288"/>
      <c r="VMC288"/>
      <c r="VMD288"/>
      <c r="VME288"/>
      <c r="VMF288"/>
      <c r="VMG288"/>
      <c r="VMH288"/>
      <c r="VMI288"/>
      <c r="VMJ288"/>
      <c r="VMK288"/>
      <c r="VML288"/>
      <c r="VMM288"/>
      <c r="VMN288"/>
      <c r="VMO288"/>
      <c r="VMP288"/>
      <c r="VMQ288"/>
      <c r="VMR288"/>
      <c r="VMS288"/>
      <c r="VMT288"/>
      <c r="VMU288"/>
      <c r="VMV288"/>
      <c r="VMW288"/>
      <c r="VMX288"/>
      <c r="VMY288"/>
      <c r="VMZ288"/>
      <c r="VNA288"/>
      <c r="VNB288"/>
      <c r="VNC288"/>
      <c r="VND288"/>
      <c r="VNE288"/>
      <c r="VNF288"/>
      <c r="VNG288"/>
      <c r="VNH288"/>
      <c r="VNI288"/>
      <c r="VNJ288"/>
      <c r="VNK288"/>
      <c r="VNL288"/>
      <c r="VNM288"/>
      <c r="VNN288"/>
      <c r="VNO288"/>
      <c r="VNP288"/>
      <c r="VNQ288"/>
      <c r="VNR288"/>
      <c r="VNS288"/>
      <c r="VNT288"/>
      <c r="VNU288"/>
      <c r="VNV288"/>
      <c r="VNW288"/>
      <c r="VNX288"/>
      <c r="VNY288"/>
      <c r="VNZ288"/>
      <c r="VOA288"/>
      <c r="VOB288"/>
      <c r="VOC288"/>
      <c r="VOD288"/>
      <c r="VOE288"/>
      <c r="VOF288"/>
      <c r="VOG288"/>
      <c r="VOH288"/>
      <c r="VOI288"/>
      <c r="VOJ288"/>
      <c r="VOK288"/>
      <c r="VOL288"/>
      <c r="VOM288"/>
      <c r="VON288"/>
      <c r="VOO288"/>
      <c r="VOP288"/>
      <c r="VOQ288"/>
      <c r="VOR288"/>
      <c r="VOS288"/>
      <c r="VOT288"/>
      <c r="VOU288"/>
      <c r="VOV288"/>
      <c r="VOW288"/>
      <c r="VOX288"/>
      <c r="VOY288"/>
      <c r="VOZ288"/>
      <c r="VPA288"/>
      <c r="VPB288"/>
      <c r="VPC288"/>
      <c r="VPD288"/>
      <c r="VPE288"/>
      <c r="VPF288"/>
      <c r="VPG288"/>
      <c r="VPH288"/>
      <c r="VPI288"/>
      <c r="VPJ288"/>
      <c r="VPK288"/>
      <c r="VPL288"/>
      <c r="VPM288"/>
      <c r="VPN288"/>
      <c r="VPO288"/>
      <c r="VPP288"/>
      <c r="VPQ288"/>
      <c r="VPR288"/>
      <c r="VPS288"/>
      <c r="VPT288"/>
      <c r="VPU288"/>
      <c r="VPV288"/>
      <c r="VPW288"/>
      <c r="VPX288"/>
      <c r="VPY288"/>
      <c r="VPZ288"/>
      <c r="VQA288"/>
      <c r="VQB288"/>
      <c r="VQC288"/>
      <c r="VQD288"/>
      <c r="VQE288"/>
      <c r="VQF288"/>
      <c r="VQG288"/>
      <c r="VQH288"/>
      <c r="VQI288"/>
      <c r="VQJ288"/>
      <c r="VQK288"/>
      <c r="VQL288"/>
      <c r="VQM288"/>
      <c r="VQN288"/>
      <c r="VQO288"/>
      <c r="VQP288"/>
      <c r="VQQ288"/>
      <c r="VQR288"/>
      <c r="VQS288"/>
      <c r="VQT288"/>
      <c r="VQU288"/>
      <c r="VQV288"/>
      <c r="VQW288"/>
      <c r="VQX288"/>
      <c r="VQY288"/>
      <c r="VQZ288"/>
      <c r="VRA288"/>
      <c r="VRB288"/>
      <c r="VRC288"/>
      <c r="VRD288"/>
      <c r="VRE288"/>
      <c r="VRF288"/>
      <c r="VRG288"/>
      <c r="VRH288"/>
      <c r="VRI288"/>
      <c r="VRJ288"/>
      <c r="VRK288"/>
      <c r="VRL288"/>
      <c r="VRM288"/>
      <c r="VRN288"/>
      <c r="VRO288"/>
      <c r="VRP288"/>
      <c r="VRQ288"/>
      <c r="VRR288"/>
      <c r="VRS288"/>
      <c r="VRT288"/>
      <c r="VRU288"/>
      <c r="VRV288"/>
      <c r="VRW288"/>
      <c r="VRX288"/>
      <c r="VRY288"/>
      <c r="VRZ288"/>
      <c r="VSA288"/>
      <c r="VSB288"/>
      <c r="VSC288"/>
      <c r="VSD288"/>
      <c r="VSE288"/>
      <c r="VSF288"/>
      <c r="VSG288"/>
      <c r="VSH288"/>
      <c r="VSI288"/>
      <c r="VSJ288"/>
      <c r="VSK288"/>
      <c r="VSL288"/>
      <c r="VSM288"/>
      <c r="VSN288"/>
      <c r="VSO288"/>
      <c r="VSP288"/>
      <c r="VSQ288"/>
      <c r="VSR288"/>
      <c r="VSS288"/>
      <c r="VST288"/>
      <c r="VSU288"/>
      <c r="VSV288"/>
      <c r="VSW288"/>
      <c r="VSX288"/>
      <c r="VSY288"/>
      <c r="VSZ288"/>
      <c r="VTA288"/>
      <c r="VTB288"/>
      <c r="VTC288"/>
      <c r="VTD288"/>
      <c r="VTE288"/>
      <c r="VTF288"/>
      <c r="VTG288"/>
      <c r="VTH288"/>
      <c r="VTI288"/>
      <c r="VTJ288"/>
      <c r="VTK288"/>
      <c r="VTL288"/>
      <c r="VTM288"/>
      <c r="VTN288"/>
      <c r="VTO288"/>
      <c r="VTP288"/>
      <c r="VTQ288"/>
      <c r="VTR288"/>
      <c r="VTS288"/>
      <c r="VTT288"/>
      <c r="VTU288"/>
      <c r="VTV288"/>
      <c r="VTW288"/>
      <c r="VTX288"/>
      <c r="VTY288"/>
      <c r="VTZ288"/>
      <c r="VUA288"/>
      <c r="VUB288"/>
      <c r="VUC288"/>
      <c r="VUD288"/>
      <c r="VUE288"/>
      <c r="VUF288"/>
      <c r="VUG288"/>
      <c r="VUH288"/>
      <c r="VUI288"/>
      <c r="VUJ288"/>
      <c r="VUK288"/>
      <c r="VUL288"/>
      <c r="VUM288"/>
      <c r="VUN288"/>
      <c r="VUO288"/>
      <c r="VUP288"/>
      <c r="VUQ288"/>
      <c r="VUR288"/>
      <c r="VUS288"/>
      <c r="VUT288"/>
      <c r="VUU288"/>
      <c r="VUV288"/>
      <c r="VUW288"/>
      <c r="VUX288"/>
      <c r="VUY288"/>
      <c r="VUZ288"/>
      <c r="VVA288"/>
      <c r="VVB288"/>
      <c r="VVC288"/>
      <c r="VVD288"/>
      <c r="VVE288"/>
      <c r="VVF288"/>
      <c r="VVG288"/>
      <c r="VVH288"/>
      <c r="VVI288"/>
      <c r="VVJ288"/>
      <c r="VVK288"/>
      <c r="VVL288"/>
      <c r="VVM288"/>
      <c r="VVN288"/>
      <c r="VVO288"/>
      <c r="VVP288"/>
      <c r="VVQ288"/>
      <c r="VVR288"/>
      <c r="VVS288"/>
      <c r="VVT288"/>
      <c r="VVU288"/>
      <c r="VVV288"/>
      <c r="VVW288"/>
      <c r="VVX288"/>
      <c r="VVY288"/>
      <c r="VVZ288"/>
      <c r="VWA288"/>
    </row>
  </sheetData>
  <mergeCells count="7">
    <mergeCell ref="B2:AI2"/>
    <mergeCell ref="F5:AI5"/>
    <mergeCell ref="AK5:AK6"/>
    <mergeCell ref="B5:B6"/>
    <mergeCell ref="C5:C6"/>
    <mergeCell ref="D5:D6"/>
    <mergeCell ref="E5:E6"/>
  </mergeCells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Aprl-23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dcterms:created xsi:type="dcterms:W3CDTF">2022-09-06T08:59:53Z</dcterms:created>
  <dcterms:modified xsi:type="dcterms:W3CDTF">2024-08-20T03:14:05Z</dcterms:modified>
</cp:coreProperties>
</file>